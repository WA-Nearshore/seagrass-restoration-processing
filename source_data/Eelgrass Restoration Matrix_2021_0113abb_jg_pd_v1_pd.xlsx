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autoCompressPictures="0" defaultThemeVersion="124226"/>
  <mc:AlternateContent xmlns:mc="http://schemas.openxmlformats.org/markup-compatibility/2006">
    <mc:Choice Requires="x15">
      <x15ac:absPath xmlns:x15ac="http://schemas.microsoft.com/office/spreadsheetml/2010/11/ac" url="K:\projects\Eelgrass_Restoration\Restoration_Storymap\2025_09_data_prep\source_data\"/>
    </mc:Choice>
  </mc:AlternateContent>
  <xr:revisionPtr revIDLastSave="0" documentId="13_ncr:1_{510CF725-F987-4747-92FF-60E147EB8123}" xr6:coauthVersionLast="47" xr6:coauthVersionMax="47" xr10:uidLastSave="{00000000-0000-0000-0000-000000000000}"/>
  <bookViews>
    <workbookView xWindow="-120" yWindow="-120" windowWidth="29040" windowHeight="15720" tabRatio="768" activeTab="6" xr2:uid="{00000000-000D-0000-FFFF-FFFF00000000}"/>
  </bookViews>
  <sheets>
    <sheet name="README" sheetId="21" r:id="rId1"/>
    <sheet name="Data_dictionary" sheetId="10" r:id="rId2"/>
    <sheet name="Assessments" sheetId="11" r:id="rId3"/>
    <sheet name="Planting GPS Points" sheetId="17" r:id="rId4"/>
    <sheet name="Plantings" sheetId="22" r:id="rId5"/>
    <sheet name="Monitoring" sheetId="15" r:id="rId6"/>
    <sheet name="Donor Sites" sheetId="14" r:id="rId7"/>
    <sheet name="Sensors" sheetId="6" r:id="rId8"/>
    <sheet name="Questions &amp; Follow-up" sheetId="18" r:id="rId9"/>
    <sheet name="Missing Data" sheetId="19" r:id="rId10"/>
    <sheet name="SuccessRates" sheetId="20" r:id="rId11"/>
  </sheets>
  <definedNames>
    <definedName name="_xlnm._FilterDatabase" localSheetId="2" hidden="1">Assessments!$A$1:$S$422</definedName>
    <definedName name="_xlnm._FilterDatabase" localSheetId="5" hidden="1">Monitoring!$A$1:$R$660</definedName>
    <definedName name="_xlnm._FilterDatabase" localSheetId="3" hidden="1">'Planting GPS Points'!$A$1:$AL$290</definedName>
    <definedName name="PLANTING">'Planting GPS Points'!$B$5:$AL$282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4" i="15" l="1"/>
  <c r="D665" i="15"/>
  <c r="D666" i="15"/>
  <c r="D667" i="15"/>
  <c r="D668" i="15"/>
  <c r="D669" i="15"/>
  <c r="D670" i="15"/>
  <c r="D671" i="15"/>
  <c r="D672" i="15"/>
  <c r="D673" i="15"/>
  <c r="D674" i="15"/>
  <c r="D675" i="15"/>
  <c r="D676" i="15"/>
  <c r="D677" i="15"/>
  <c r="D678" i="15"/>
  <c r="D679" i="15"/>
  <c r="D680" i="15"/>
  <c r="D681" i="15"/>
  <c r="D682" i="15"/>
  <c r="D683" i="15"/>
  <c r="D684" i="15"/>
  <c r="D685" i="15"/>
  <c r="D686" i="15"/>
  <c r="D663"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451"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380" i="15"/>
  <c r="D367" i="15"/>
  <c r="D368" i="15"/>
  <c r="D369" i="15"/>
  <c r="D370" i="15"/>
  <c r="D371" i="15"/>
  <c r="D372" i="15"/>
  <c r="D373" i="15"/>
  <c r="D374" i="15"/>
  <c r="D375" i="15"/>
  <c r="D376" i="15"/>
  <c r="D377" i="15"/>
  <c r="D366"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63"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451"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380" i="15"/>
  <c r="C367" i="15"/>
  <c r="C368" i="15"/>
  <c r="C369" i="15"/>
  <c r="C370" i="15"/>
  <c r="C371" i="15"/>
  <c r="C372" i="15"/>
  <c r="C373" i="15"/>
  <c r="C374" i="15"/>
  <c r="C375" i="15"/>
  <c r="C376" i="15"/>
  <c r="C377" i="15"/>
  <c r="C366"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 i="15"/>
  <c r="C4" i="17"/>
  <c r="D4"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59" i="17"/>
  <c r="D159" i="17"/>
  <c r="C160" i="17"/>
  <c r="D160" i="17"/>
  <c r="C161" i="17"/>
  <c r="D161" i="17"/>
  <c r="C162" i="17"/>
  <c r="D162" i="17"/>
  <c r="C163" i="17"/>
  <c r="D163" i="17"/>
  <c r="C164" i="17"/>
  <c r="D164" i="17"/>
  <c r="C165" i="17"/>
  <c r="D165" i="17"/>
  <c r="C166" i="17"/>
  <c r="D166" i="17"/>
  <c r="C167" i="17"/>
  <c r="D167" i="17"/>
  <c r="C168" i="17"/>
  <c r="D168" i="17"/>
  <c r="C169" i="17"/>
  <c r="D169" i="17"/>
  <c r="C170" i="17"/>
  <c r="D170"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D3" i="17"/>
  <c r="C3" i="17"/>
  <c r="W4" i="17"/>
  <c r="X4"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X3" i="17"/>
  <c r="W3" i="17"/>
  <c r="AJ183" i="17" l="1"/>
  <c r="AF183" i="17"/>
  <c r="AD183" i="17"/>
  <c r="AI183" i="17" s="1"/>
  <c r="P377" i="15"/>
  <c r="N377" i="15"/>
  <c r="P376" i="15"/>
  <c r="N376" i="15"/>
  <c r="P375" i="15"/>
  <c r="O375" i="15"/>
  <c r="N375" i="15"/>
  <c r="P519" i="15"/>
  <c r="O519" i="15"/>
  <c r="O95" i="15"/>
  <c r="O79" i="15"/>
  <c r="O80" i="15"/>
  <c r="N41" i="15"/>
  <c r="P41" i="15"/>
  <c r="P42" i="15"/>
  <c r="P43" i="15"/>
  <c r="O41" i="15"/>
  <c r="P11" i="15"/>
  <c r="P13" i="15"/>
  <c r="O11" i="15"/>
  <c r="N13" i="15"/>
  <c r="O13" i="15"/>
  <c r="AJ182" i="17"/>
  <c r="AF182" i="17"/>
  <c r="AD182" i="17"/>
  <c r="AI182" i="17" s="1"/>
  <c r="O604" i="15"/>
  <c r="O605"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0" i="17"/>
  <c r="N40" i="15"/>
  <c r="O40" i="15"/>
  <c r="P40" i="15"/>
  <c r="N31" i="15"/>
  <c r="O31" i="15"/>
  <c r="P31" i="15"/>
  <c r="N30" i="15"/>
  <c r="N37" i="15"/>
  <c r="O37" i="15"/>
  <c r="P37" i="15"/>
  <c r="P10" i="15"/>
  <c r="N9" i="15"/>
  <c r="N10" i="15"/>
  <c r="P9" i="15"/>
  <c r="O10" i="15"/>
  <c r="O78" i="15"/>
  <c r="O9" i="15"/>
  <c r="AD264" i="17" l="1"/>
  <c r="AI264" i="17" s="1"/>
  <c r="AD24" i="17"/>
  <c r="AI24" i="17" s="1"/>
  <c r="AF264" i="17"/>
  <c r="AF24" i="17"/>
  <c r="AE24" i="17"/>
  <c r="AJ24" i="17" s="1"/>
  <c r="AE264" i="17"/>
  <c r="AJ264" i="17" s="1"/>
  <c r="AF214" i="17"/>
  <c r="AE214" i="17"/>
  <c r="AJ214" i="17" s="1"/>
  <c r="AD214" i="17"/>
  <c r="AI214"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3" i="17"/>
  <c r="AF59" i="17"/>
  <c r="O507" i="15" l="1"/>
  <c r="O513" i="15"/>
  <c r="O508" i="15"/>
  <c r="O514" i="15"/>
  <c r="O509" i="15"/>
  <c r="O510" i="15"/>
  <c r="O72" i="15"/>
  <c r="O77" i="15"/>
  <c r="O24" i="15"/>
  <c r="O25" i="15"/>
  <c r="O114" i="15"/>
  <c r="P373" i="15" l="1"/>
  <c r="O373" i="15"/>
  <c r="N373" i="15"/>
  <c r="P372" i="15"/>
  <c r="O372" i="15"/>
  <c r="N372" i="15"/>
  <c r="P371" i="15"/>
  <c r="O371" i="15"/>
  <c r="N371" i="15"/>
  <c r="AJ181" i="17" l="1"/>
  <c r="AD181" i="17"/>
  <c r="AI181" i="17" s="1"/>
  <c r="AF181" i="17"/>
  <c r="AJ58" i="17"/>
  <c r="AF58" i="17"/>
  <c r="AD58" i="17"/>
  <c r="AI58" i="17" s="1"/>
  <c r="O76" i="15" l="1"/>
  <c r="P501" i="15"/>
  <c r="O501" i="15"/>
  <c r="N501" i="15"/>
  <c r="AE253" i="17"/>
  <c r="AJ253" i="17" s="1"/>
  <c r="AD253" i="17"/>
  <c r="AI253" i="17" s="1"/>
  <c r="AE209" i="17"/>
  <c r="AE210" i="17"/>
  <c r="AE211" i="17"/>
  <c r="AJ211" i="17" s="1"/>
  <c r="AE212" i="17"/>
  <c r="AJ212" i="17" s="1"/>
  <c r="AE59" i="17"/>
  <c r="AJ59" i="17" s="1"/>
  <c r="AD59" i="17"/>
  <c r="AI59" i="17" s="1"/>
  <c r="AF212" i="17"/>
  <c r="AD212" i="17"/>
  <c r="AI212" i="17" s="1"/>
  <c r="AF211" i="17"/>
  <c r="AD211" i="17"/>
  <c r="AI211"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49" i="17" l="1"/>
  <c r="AD249" i="17"/>
  <c r="AI249" i="17" s="1"/>
  <c r="AF249"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0" i="17" l="1"/>
  <c r="AF50" i="17"/>
  <c r="AE51" i="17"/>
  <c r="AJ51" i="17" s="1"/>
  <c r="AF51" i="17"/>
  <c r="AE52" i="17"/>
  <c r="AJ52" i="17" s="1"/>
  <c r="AF52" i="17"/>
  <c r="AD50" i="17"/>
  <c r="AI50" i="17" s="1"/>
  <c r="AD51" i="17"/>
  <c r="AI51" i="17" s="1"/>
  <c r="AD52" i="17"/>
  <c r="AI52" i="17" s="1"/>
  <c r="AE23" i="17"/>
  <c r="AJ23" i="17" s="1"/>
  <c r="AE22" i="17"/>
  <c r="AJ22" i="17" s="1"/>
  <c r="AE21" i="17"/>
  <c r="AJ21" i="17" s="1"/>
  <c r="AF21" i="17"/>
  <c r="AF22" i="17"/>
  <c r="AF23" i="17"/>
  <c r="AD22" i="17"/>
  <c r="AI22" i="17" s="1"/>
  <c r="AD23" i="17"/>
  <c r="AI23" i="17" s="1"/>
  <c r="AD21" i="17"/>
  <c r="AI21" i="17" s="1"/>
  <c r="AF178" i="17"/>
  <c r="AF179" i="17"/>
  <c r="AF180" i="17"/>
  <c r="AD180" i="17"/>
  <c r="AI180" i="17" s="1"/>
  <c r="AE180" i="17"/>
  <c r="AJ180" i="17" s="1"/>
  <c r="AJ57" i="17"/>
  <c r="AF57" i="17"/>
  <c r="AD57" i="17"/>
  <c r="AI57" i="17" s="1"/>
  <c r="AE18" i="17" l="1"/>
  <c r="O502" i="15"/>
  <c r="O505" i="15"/>
  <c r="O503" i="15"/>
  <c r="O504" i="15" l="1"/>
  <c r="O70" i="15"/>
  <c r="N62" i="15"/>
  <c r="O62" i="15"/>
  <c r="F62" i="15"/>
  <c r="P91" i="15" l="1"/>
  <c r="AF56" i="17"/>
  <c r="AJ56" i="17"/>
  <c r="AD56" i="17"/>
  <c r="AI56" i="17" s="1"/>
  <c r="AF252" i="17"/>
  <c r="AE252" i="17"/>
  <c r="AJ252" i="17" s="1"/>
  <c r="AD252" i="17"/>
  <c r="AI252" i="17" s="1"/>
  <c r="AF209" i="17"/>
  <c r="AF210" i="17"/>
  <c r="AJ209" i="17"/>
  <c r="AJ210" i="17"/>
  <c r="AD209" i="17"/>
  <c r="AI209" i="17" s="1"/>
  <c r="AD210" i="17"/>
  <c r="AI210" i="17" s="1"/>
  <c r="AJ248" i="17" l="1"/>
  <c r="AD248" i="17"/>
  <c r="AI248" i="17" s="1"/>
  <c r="AD250" i="17"/>
  <c r="AI250" i="17" s="1"/>
  <c r="AD251" i="17"/>
  <c r="AI251" i="17" s="1"/>
  <c r="AJ247" i="17"/>
  <c r="AF247" i="17"/>
  <c r="AF248" i="17"/>
  <c r="AJ250" i="17"/>
  <c r="AF250" i="17"/>
  <c r="AJ251" i="17"/>
  <c r="AF251" i="17"/>
  <c r="AD247" i="17"/>
  <c r="AI247" i="17" s="1"/>
  <c r="AF55" i="17"/>
  <c r="AJ55" i="17"/>
  <c r="AD55" i="17"/>
  <c r="AI55" i="17" s="1"/>
  <c r="O82" i="15" l="1"/>
  <c r="O69" i="15"/>
  <c r="O75" i="15"/>
  <c r="P88" i="15"/>
  <c r="P89" i="15"/>
  <c r="P126" i="15"/>
  <c r="O89" i="15"/>
  <c r="O61" i="15"/>
  <c r="N61" i="15"/>
  <c r="F61" i="15"/>
  <c r="AJ54" i="17"/>
  <c r="AF54" i="17"/>
  <c r="AD53" i="17"/>
  <c r="AD54" i="17"/>
  <c r="AI54" i="17" s="1"/>
  <c r="AF95" i="17" l="1"/>
  <c r="AF94" i="17"/>
  <c r="AF90" i="17"/>
  <c r="AF89" i="17"/>
  <c r="AF62" i="17"/>
  <c r="AF53" i="17"/>
  <c r="AF49" i="17"/>
  <c r="AF48" i="17"/>
  <c r="AF20" i="17"/>
  <c r="AF19" i="17"/>
  <c r="AF18" i="17"/>
  <c r="AE35" i="17"/>
  <c r="AE33" i="17"/>
  <c r="AE32" i="17"/>
  <c r="AE31" i="17"/>
  <c r="AE29" i="17"/>
  <c r="AE28" i="17"/>
  <c r="AE27" i="17"/>
  <c r="AE26" i="17"/>
  <c r="AE25" i="17"/>
  <c r="AE20" i="17"/>
  <c r="AE19" i="17"/>
  <c r="AE290" i="17"/>
  <c r="AE289" i="17"/>
  <c r="AE282" i="17"/>
  <c r="AE281" i="17"/>
  <c r="AE280" i="17"/>
  <c r="AE279" i="17"/>
  <c r="AE278" i="17"/>
  <c r="AE268" i="17"/>
  <c r="AE267" i="17"/>
  <c r="AE266" i="17"/>
  <c r="AE265" i="17"/>
  <c r="AE246" i="17"/>
  <c r="AE245" i="17"/>
  <c r="AE244" i="17"/>
  <c r="AE243" i="17"/>
  <c r="AE242" i="17"/>
  <c r="AE241" i="17"/>
  <c r="AE240" i="17"/>
  <c r="AE239" i="17"/>
  <c r="AE238" i="17"/>
  <c r="AE207" i="17"/>
  <c r="AE205" i="17"/>
  <c r="AE203" i="17"/>
  <c r="AE201" i="17"/>
  <c r="AE200" i="17"/>
  <c r="AE199" i="17"/>
  <c r="AE197" i="17"/>
  <c r="AE196" i="17"/>
  <c r="AE195" i="17"/>
  <c r="AE194" i="17"/>
  <c r="AE193" i="17"/>
  <c r="AE191" i="17"/>
  <c r="AE184" i="17"/>
  <c r="AE179" i="17"/>
  <c r="AE156" i="17"/>
  <c r="AE155" i="17"/>
  <c r="AE154" i="17"/>
  <c r="AE95" i="17"/>
  <c r="AE94" i="17"/>
  <c r="AE90" i="17"/>
  <c r="AE89" i="17"/>
  <c r="AE87" i="17"/>
  <c r="AE85" i="17"/>
  <c r="F667" i="15" s="1"/>
  <c r="AE83" i="17"/>
  <c r="AE81" i="17"/>
  <c r="AE80" i="17"/>
  <c r="AE79" i="17"/>
  <c r="AE77" i="17"/>
  <c r="AE76" i="17"/>
  <c r="AE72" i="17"/>
  <c r="AE70" i="17"/>
  <c r="AE65" i="17"/>
  <c r="AE64" i="17"/>
  <c r="AE63" i="17"/>
  <c r="AE62" i="17"/>
  <c r="AE49" i="17"/>
  <c r="AE48" i="17"/>
  <c r="AE47" i="17"/>
  <c r="AE46" i="17"/>
  <c r="AF87" i="17"/>
  <c r="AD87"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7" i="17" l="1"/>
  <c r="AJ94" i="17"/>
  <c r="AJ95" i="17"/>
  <c r="AJ89" i="17"/>
  <c r="AJ90" i="17"/>
  <c r="AJ179" i="17"/>
  <c r="AJ18" i="17"/>
  <c r="AJ19" i="17"/>
  <c r="AJ20" i="17"/>
  <c r="AJ191" i="17"/>
  <c r="AJ184" i="17"/>
  <c r="AJ48" i="17"/>
  <c r="AJ49" i="17"/>
  <c r="AJ62" i="17"/>
  <c r="AI87" i="17"/>
  <c r="AD94" i="17"/>
  <c r="AI94" i="17" s="1"/>
  <c r="AD95" i="17"/>
  <c r="AI95" i="17" s="1"/>
  <c r="AD89" i="17"/>
  <c r="AI89" i="17" s="1"/>
  <c r="AD90" i="17"/>
  <c r="AI90" i="17" s="1"/>
  <c r="AD179" i="17"/>
  <c r="AI179" i="17" s="1"/>
  <c r="AD18" i="17"/>
  <c r="AI18" i="17" s="1"/>
  <c r="AD19" i="17"/>
  <c r="AI19" i="17" s="1"/>
  <c r="AD20" i="17"/>
  <c r="AI20" i="17" s="1"/>
  <c r="AD191" i="17"/>
  <c r="AI191" i="17" s="1"/>
  <c r="AD184" i="17"/>
  <c r="AI184" i="17" s="1"/>
  <c r="AD48" i="17"/>
  <c r="AI48" i="17" s="1"/>
  <c r="AD49" i="17"/>
  <c r="AI49" i="17" s="1"/>
  <c r="AD62" i="17"/>
  <c r="AI62" i="17" s="1"/>
  <c r="N490" i="15" l="1"/>
  <c r="N487" i="15"/>
  <c r="AH159" i="17" l="1"/>
  <c r="AH160" i="17"/>
  <c r="AH161" i="17"/>
  <c r="AH162" i="17"/>
  <c r="AH163" i="17"/>
  <c r="AH164" i="17"/>
  <c r="AH165" i="17"/>
  <c r="AH166" i="17"/>
  <c r="AH167" i="17"/>
  <c r="AH168" i="17"/>
  <c r="AH169" i="17"/>
  <c r="AH158" i="17"/>
  <c r="AH131" i="17"/>
  <c r="AH132" i="17"/>
  <c r="AH133" i="17"/>
  <c r="AH134" i="17"/>
  <c r="AH135" i="17"/>
  <c r="AH136" i="17"/>
  <c r="AH137" i="17"/>
  <c r="AH138" i="17"/>
  <c r="AH139" i="17"/>
  <c r="AH140" i="17"/>
  <c r="AH141" i="17"/>
  <c r="AH130"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29" i="17" l="1"/>
  <c r="AD29" i="17"/>
  <c r="AI29" i="17" s="1"/>
  <c r="AJ28" i="17"/>
  <c r="AD28" i="17"/>
  <c r="AI28" i="17" s="1"/>
  <c r="AJ27" i="17"/>
  <c r="AD27" i="17"/>
  <c r="AI27" i="17" s="1"/>
  <c r="AJ26" i="17"/>
  <c r="AD26" i="17"/>
  <c r="AI26" i="17" s="1"/>
  <c r="AJ25" i="17"/>
  <c r="AD25" i="17"/>
  <c r="AI25" i="17" s="1"/>
  <c r="AJ279" i="17"/>
  <c r="AJ280" i="17"/>
  <c r="AJ281" i="17"/>
  <c r="AJ282" i="17"/>
  <c r="AD282" i="17"/>
  <c r="AI282" i="17" s="1"/>
  <c r="AD281" i="17"/>
  <c r="AI281" i="17" s="1"/>
  <c r="AD280" i="17"/>
  <c r="AI280" i="17" s="1"/>
  <c r="AD279" i="17"/>
  <c r="AI279" i="17" s="1"/>
  <c r="AD278" i="17"/>
  <c r="AI278" i="17" s="1"/>
  <c r="AJ278" i="17"/>
  <c r="AJ36" i="17" l="1"/>
  <c r="AJ53" i="17"/>
  <c r="AJ178" i="17"/>
  <c r="AI36" i="17"/>
  <c r="AI53" i="17"/>
  <c r="AI178"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6" i="17"/>
  <c r="F23" i="15" s="1"/>
  <c r="AE7" i="17"/>
  <c r="AE6" i="17"/>
  <c r="AF35" i="17" l="1"/>
  <c r="G46" i="15" s="1"/>
  <c r="P46" i="15" s="1"/>
  <c r="AJ35" i="17"/>
  <c r="AD35" i="17"/>
  <c r="AI35" i="17" s="1"/>
  <c r="P22" i="15" l="1"/>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5" i="17" l="1"/>
  <c r="AJ113" i="17"/>
  <c r="AF85" i="17"/>
  <c r="AF113" i="17"/>
  <c r="AD85" i="17"/>
  <c r="AI85" i="17" s="1"/>
  <c r="AD113" i="17"/>
  <c r="AI113"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5"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4" i="17"/>
  <c r="AJ96" i="17"/>
  <c r="AJ97" i="17"/>
  <c r="AJ185" i="17"/>
  <c r="AJ186" i="17"/>
  <c r="AJ272" i="17"/>
  <c r="AJ273" i="17"/>
  <c r="AJ283" i="17"/>
  <c r="AJ216" i="17"/>
  <c r="AJ217" i="17"/>
  <c r="AJ218" i="17"/>
  <c r="AJ219" i="17"/>
  <c r="AJ220" i="17"/>
  <c r="AJ221" i="17"/>
  <c r="AJ254" i="17"/>
  <c r="AJ5" i="17"/>
  <c r="AJ30" i="17"/>
  <c r="AJ37" i="17"/>
  <c r="AJ60" i="17"/>
  <c r="AJ61" i="17"/>
  <c r="AJ74" i="17"/>
  <c r="AJ91" i="17"/>
  <c r="AJ92" i="17"/>
  <c r="AJ93" i="17"/>
  <c r="AJ98" i="17"/>
  <c r="AJ99" i="17"/>
  <c r="AJ100" i="17"/>
  <c r="AJ101" i="17"/>
  <c r="AJ102" i="17"/>
  <c r="AJ103" i="17"/>
  <c r="AJ104" i="17"/>
  <c r="AJ105" i="17"/>
  <c r="AJ106" i="17"/>
  <c r="AJ192" i="17"/>
  <c r="AJ213" i="17"/>
  <c r="AJ222" i="17"/>
  <c r="AJ223" i="17"/>
  <c r="AJ224" i="17"/>
  <c r="AJ225" i="17"/>
  <c r="AJ226" i="17"/>
  <c r="AJ227" i="17"/>
  <c r="AJ228" i="17"/>
  <c r="AJ229" i="17"/>
  <c r="AJ230" i="17"/>
  <c r="AJ231" i="17"/>
  <c r="AJ232" i="17"/>
  <c r="AJ233" i="17"/>
  <c r="AJ234" i="17"/>
  <c r="AJ235" i="17"/>
  <c r="AJ236" i="17"/>
  <c r="AJ237" i="17"/>
  <c r="AJ269" i="17"/>
  <c r="AJ284" i="17"/>
  <c r="AJ285" i="17"/>
  <c r="AJ286" i="17"/>
  <c r="AJ287" i="17"/>
  <c r="AJ288" i="17"/>
  <c r="AJ6" i="17"/>
  <c r="AJ7" i="17"/>
  <c r="AJ38" i="17"/>
  <c r="AJ39" i="17"/>
  <c r="AJ40" i="17"/>
  <c r="AJ41" i="17"/>
  <c r="AJ42" i="17"/>
  <c r="AJ43" i="17"/>
  <c r="AJ63" i="17"/>
  <c r="AJ64" i="17"/>
  <c r="AJ107" i="17"/>
  <c r="AJ108" i="17"/>
  <c r="AJ109" i="17"/>
  <c r="AJ110" i="17"/>
  <c r="AJ111" i="17"/>
  <c r="AJ112" i="17"/>
  <c r="AJ193" i="17"/>
  <c r="AJ194" i="17"/>
  <c r="AJ195" i="17"/>
  <c r="AJ196" i="17"/>
  <c r="AJ197" i="17"/>
  <c r="AJ198" i="17"/>
  <c r="AJ215" i="17"/>
  <c r="AJ255" i="17"/>
  <c r="AJ256" i="17"/>
  <c r="AJ257" i="17"/>
  <c r="AJ258" i="17"/>
  <c r="AJ259" i="17"/>
  <c r="AJ260" i="17"/>
  <c r="AJ261" i="17"/>
  <c r="AJ262" i="17"/>
  <c r="AJ263" i="17"/>
  <c r="AJ265" i="17"/>
  <c r="AJ266" i="17"/>
  <c r="AJ267" i="17"/>
  <c r="AJ268" i="17"/>
  <c r="AJ270" i="17"/>
  <c r="AJ271" i="17"/>
  <c r="AJ289" i="17"/>
  <c r="AJ290" i="17"/>
  <c r="AJ8" i="17"/>
  <c r="AJ9" i="17"/>
  <c r="AJ10" i="17"/>
  <c r="AJ11" i="17"/>
  <c r="AJ12" i="17"/>
  <c r="AJ13" i="17"/>
  <c r="AJ14" i="17"/>
  <c r="AJ15" i="17"/>
  <c r="AJ16" i="17"/>
  <c r="AJ17" i="17"/>
  <c r="AJ31" i="17"/>
  <c r="AJ32" i="17"/>
  <c r="AJ44" i="17"/>
  <c r="AJ45" i="17"/>
  <c r="AJ65" i="17"/>
  <c r="AJ66" i="17"/>
  <c r="AJ67" i="17"/>
  <c r="AJ68" i="17"/>
  <c r="AJ69" i="17"/>
  <c r="AJ76" i="17"/>
  <c r="AJ77" i="17"/>
  <c r="AJ78" i="17"/>
  <c r="AJ79" i="17"/>
  <c r="AJ80"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87" i="17"/>
  <c r="AJ188" i="17"/>
  <c r="AJ189" i="17"/>
  <c r="AJ190" i="17"/>
  <c r="AJ199" i="17"/>
  <c r="AJ200" i="17"/>
  <c r="AJ202" i="17"/>
  <c r="AJ203" i="17"/>
  <c r="AJ204" i="17"/>
  <c r="AJ206" i="17"/>
  <c r="AJ34" i="17"/>
  <c r="AJ71" i="17"/>
  <c r="AJ73" i="17"/>
  <c r="AJ81" i="17"/>
  <c r="AJ82" i="17"/>
  <c r="AJ83" i="17"/>
  <c r="AJ84" i="17"/>
  <c r="AJ3" i="17"/>
  <c r="AD170" i="17"/>
  <c r="AD171" i="17"/>
  <c r="AD238" i="17"/>
  <c r="AD239" i="17"/>
  <c r="AD240" i="17"/>
  <c r="AD241" i="17"/>
  <c r="AD242" i="17"/>
  <c r="AD243" i="17"/>
  <c r="AD244" i="17"/>
  <c r="AD245" i="17"/>
  <c r="AD246" i="17"/>
  <c r="AD172" i="17"/>
  <c r="AD173" i="17"/>
  <c r="AD174" i="17"/>
  <c r="AD175" i="17"/>
  <c r="AD176" i="17"/>
  <c r="AD177" i="17"/>
  <c r="AI84" i="17"/>
  <c r="AD83" i="17"/>
  <c r="AI83" i="17" s="1"/>
  <c r="AI82" i="17"/>
  <c r="AD81" i="17"/>
  <c r="AI81" i="17" s="1"/>
  <c r="AI73" i="17"/>
  <c r="AD72" i="17"/>
  <c r="AI71" i="17"/>
  <c r="AD207" i="17"/>
  <c r="AD208" i="17"/>
  <c r="AI208" i="17" s="1"/>
  <c r="AD274" i="17"/>
  <c r="AI274" i="17" s="1"/>
  <c r="AD275" i="17"/>
  <c r="AI275" i="17" s="1"/>
  <c r="AD276" i="17"/>
  <c r="AI276" i="17" s="1"/>
  <c r="AD277" i="17"/>
  <c r="AI277" i="17" s="1"/>
  <c r="AD33" i="17"/>
  <c r="AI34" i="17"/>
  <c r="AD46" i="17"/>
  <c r="AD47" i="17"/>
  <c r="AD70" i="17"/>
  <c r="AI206" i="17"/>
  <c r="AD205" i="17"/>
  <c r="AI204" i="17"/>
  <c r="AD203" i="17"/>
  <c r="AI203" i="17" s="1"/>
  <c r="AI202" i="17"/>
  <c r="AD31" i="17"/>
  <c r="AI31" i="17" s="1"/>
  <c r="AD32" i="17"/>
  <c r="AI32" i="17" s="1"/>
  <c r="AD44" i="17"/>
  <c r="AI44" i="17" s="1"/>
  <c r="AD45" i="17"/>
  <c r="AI45" i="17" s="1"/>
  <c r="AD65" i="17"/>
  <c r="AI65" i="17" s="1"/>
  <c r="AD66" i="17"/>
  <c r="AI66" i="17" s="1"/>
  <c r="AI67" i="17"/>
  <c r="AD68" i="17"/>
  <c r="AI68" i="17" s="1"/>
  <c r="AI69" i="17"/>
  <c r="AD76" i="17"/>
  <c r="AI76" i="17" s="1"/>
  <c r="AD77" i="17"/>
  <c r="AI77" i="17" s="1"/>
  <c r="AD78" i="17"/>
  <c r="AI78" i="17" s="1"/>
  <c r="AD79" i="17"/>
  <c r="AI79" i="17" s="1"/>
  <c r="AD80" i="17"/>
  <c r="AI80" i="17" s="1"/>
  <c r="AD114" i="17"/>
  <c r="AI114" i="17" s="1"/>
  <c r="AI115" i="17"/>
  <c r="AD116" i="17"/>
  <c r="AI116" i="17" s="1"/>
  <c r="AI117" i="17"/>
  <c r="AD118" i="17"/>
  <c r="AI118" i="17" s="1"/>
  <c r="AI119" i="17"/>
  <c r="AI120" i="17"/>
  <c r="AI121" i="17"/>
  <c r="AD122" i="17"/>
  <c r="AI122" i="17" s="1"/>
  <c r="AI123" i="17"/>
  <c r="AI124" i="17"/>
  <c r="AI125" i="17"/>
  <c r="AD126" i="17"/>
  <c r="AI126" i="17" s="1"/>
  <c r="AI127" i="17"/>
  <c r="AI128" i="17"/>
  <c r="AI129" i="17"/>
  <c r="AD130" i="17"/>
  <c r="AI130" i="17" s="1"/>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D156" i="17"/>
  <c r="AD157" i="17"/>
  <c r="AD158" i="17"/>
  <c r="AD159" i="17"/>
  <c r="AD160" i="17"/>
  <c r="AD161" i="17"/>
  <c r="AD162" i="17"/>
  <c r="AD163" i="17"/>
  <c r="AD164" i="17"/>
  <c r="AD165" i="17"/>
  <c r="AD166" i="17"/>
  <c r="AD167" i="17"/>
  <c r="AD168" i="17"/>
  <c r="AD169" i="17"/>
  <c r="AD187" i="17"/>
  <c r="AI187" i="17" s="1"/>
  <c r="AI188" i="17"/>
  <c r="AD189" i="17"/>
  <c r="AI189" i="17" s="1"/>
  <c r="AI190" i="17"/>
  <c r="AD199" i="17"/>
  <c r="AI199" i="17" s="1"/>
  <c r="AD200" i="17"/>
  <c r="AI200" i="17" s="1"/>
  <c r="AD201" i="17"/>
  <c r="AI17" i="17"/>
  <c r="AD256" i="17"/>
  <c r="AI256" i="17" s="1"/>
  <c r="AD257" i="17"/>
  <c r="AI257" i="17" s="1"/>
  <c r="AD258" i="17"/>
  <c r="AI258" i="17" s="1"/>
  <c r="AD259" i="17"/>
  <c r="AI259" i="17" s="1"/>
  <c r="AD260" i="17"/>
  <c r="AI260" i="17" s="1"/>
  <c r="AD261" i="17"/>
  <c r="AI261" i="17" s="1"/>
  <c r="AD262" i="17"/>
  <c r="AI262" i="17" s="1"/>
  <c r="AD263" i="17"/>
  <c r="AI263" i="17" s="1"/>
  <c r="AD265" i="17"/>
  <c r="AI265" i="17" s="1"/>
  <c r="AD266" i="17"/>
  <c r="AI266" i="17" s="1"/>
  <c r="AD267" i="17"/>
  <c r="AI267" i="17" s="1"/>
  <c r="AD268" i="17"/>
  <c r="AI268" i="17" s="1"/>
  <c r="AD270" i="17"/>
  <c r="AI270" i="17" s="1"/>
  <c r="AI271" i="17"/>
  <c r="AD289" i="17"/>
  <c r="AI289" i="17" s="1"/>
  <c r="AD290" i="17"/>
  <c r="AI290" i="17" s="1"/>
  <c r="AD8" i="17"/>
  <c r="AI8" i="17" s="1"/>
  <c r="AI9" i="17"/>
  <c r="AD10" i="17"/>
  <c r="AI10" i="17" s="1"/>
  <c r="AI11" i="17"/>
  <c r="AD12" i="17"/>
  <c r="AI12" i="17" s="1"/>
  <c r="AI13" i="17"/>
  <c r="AD14" i="17"/>
  <c r="AI14" i="17" s="1"/>
  <c r="AI15" i="17"/>
  <c r="AD16" i="17"/>
  <c r="AI16" i="17" s="1"/>
  <c r="AD255" i="17"/>
  <c r="AI255" i="17" s="1"/>
  <c r="AD96" i="17"/>
  <c r="AI96" i="17" s="1"/>
  <c r="AD97" i="17"/>
  <c r="AI97" i="17" s="1"/>
  <c r="AD185" i="17"/>
  <c r="AI185" i="17" s="1"/>
  <c r="AD186" i="17"/>
  <c r="AI186" i="17" s="1"/>
  <c r="AD272" i="17"/>
  <c r="AI272" i="17" s="1"/>
  <c r="AD273" i="17"/>
  <c r="AI273" i="17" s="1"/>
  <c r="AD283" i="17"/>
  <c r="AI283" i="17" s="1"/>
  <c r="AD216" i="17"/>
  <c r="AI216" i="17" s="1"/>
  <c r="AD217" i="17"/>
  <c r="AI217" i="17" s="1"/>
  <c r="AD218" i="17"/>
  <c r="AI218" i="17" s="1"/>
  <c r="AD219" i="17"/>
  <c r="AI219" i="17" s="1"/>
  <c r="AD220" i="17"/>
  <c r="AI220" i="17" s="1"/>
  <c r="AD221" i="17"/>
  <c r="AI221" i="17" s="1"/>
  <c r="AD254" i="17"/>
  <c r="AI254" i="17" s="1"/>
  <c r="AD5" i="17"/>
  <c r="AI5" i="17" s="1"/>
  <c r="AD30" i="17"/>
  <c r="AI30" i="17" s="1"/>
  <c r="AD37" i="17"/>
  <c r="AI37" i="17" s="1"/>
  <c r="AD60" i="17"/>
  <c r="AI60" i="17" s="1"/>
  <c r="AD61" i="17"/>
  <c r="AI61" i="17" s="1"/>
  <c r="AD74" i="17"/>
  <c r="AI74" i="17" s="1"/>
  <c r="AD91" i="17"/>
  <c r="AI91" i="17" s="1"/>
  <c r="AD92" i="17"/>
  <c r="AI92" i="17" s="1"/>
  <c r="AD93" i="17"/>
  <c r="AI93" i="17" s="1"/>
  <c r="AD98" i="17"/>
  <c r="AI98" i="17" s="1"/>
  <c r="AI99" i="17"/>
  <c r="AI100" i="17"/>
  <c r="AI101" i="17"/>
  <c r="AD102" i="17"/>
  <c r="AI102" i="17" s="1"/>
  <c r="AI103" i="17"/>
  <c r="AI104" i="17"/>
  <c r="AI105" i="17"/>
  <c r="AD106" i="17"/>
  <c r="AI106" i="17" s="1"/>
  <c r="AD192" i="17"/>
  <c r="AI192" i="17" s="1"/>
  <c r="AD213" i="17"/>
  <c r="AI213" i="17" s="1"/>
  <c r="AD222" i="17"/>
  <c r="AI222" i="17" s="1"/>
  <c r="AI223" i="17"/>
  <c r="AI224" i="17"/>
  <c r="AI225" i="17"/>
  <c r="AD226" i="17"/>
  <c r="AI226" i="17" s="1"/>
  <c r="AI227" i="17"/>
  <c r="AI228" i="17"/>
  <c r="AI229" i="17"/>
  <c r="AD230" i="17"/>
  <c r="AI230" i="17" s="1"/>
  <c r="AI231" i="17"/>
  <c r="AI232" i="17"/>
  <c r="AI233" i="17"/>
  <c r="AD234" i="17"/>
  <c r="AI234" i="17" s="1"/>
  <c r="AI235" i="17"/>
  <c r="AI236" i="17"/>
  <c r="AI237" i="17"/>
  <c r="AD269" i="17"/>
  <c r="AI269" i="17" s="1"/>
  <c r="AD284" i="17"/>
  <c r="AI284" i="17" s="1"/>
  <c r="AI285" i="17"/>
  <c r="AI286" i="17"/>
  <c r="AI287" i="17"/>
  <c r="AD288" i="17"/>
  <c r="AI288" i="17" s="1"/>
  <c r="AD6" i="17"/>
  <c r="AI6" i="17" s="1"/>
  <c r="AD7" i="17"/>
  <c r="AI7" i="17" s="1"/>
  <c r="AD38" i="17"/>
  <c r="AI38" i="17" s="1"/>
  <c r="AI39" i="17"/>
  <c r="AD40" i="17"/>
  <c r="AI40" i="17" s="1"/>
  <c r="AI41" i="17"/>
  <c r="AI42" i="17"/>
  <c r="AI43" i="17"/>
  <c r="AD63" i="17"/>
  <c r="AI63" i="17" s="1"/>
  <c r="AD64" i="17"/>
  <c r="AI64" i="17" s="1"/>
  <c r="AD75" i="17"/>
  <c r="AI75" i="17" s="1"/>
  <c r="AD107" i="17"/>
  <c r="AI107" i="17" s="1"/>
  <c r="AI108" i="17"/>
  <c r="AD109" i="17"/>
  <c r="AI109" i="17" s="1"/>
  <c r="AI110" i="17"/>
  <c r="AI111" i="17"/>
  <c r="AI112" i="17"/>
  <c r="AD193" i="17"/>
  <c r="AI193" i="17" s="1"/>
  <c r="AD194" i="17"/>
  <c r="AI194" i="17" s="1"/>
  <c r="AD195" i="17"/>
  <c r="AI195" i="17" s="1"/>
  <c r="AD196" i="17"/>
  <c r="AI196" i="17" s="1"/>
  <c r="AD197" i="17"/>
  <c r="AI197" i="17" s="1"/>
  <c r="AD198" i="17"/>
  <c r="AI198" i="17" s="1"/>
  <c r="AD215" i="17"/>
  <c r="AI215" i="17" s="1"/>
  <c r="AF6" i="17"/>
  <c r="AF7" i="17"/>
  <c r="AF38" i="17"/>
  <c r="AF40" i="17"/>
  <c r="AF41" i="17"/>
  <c r="AF42" i="17"/>
  <c r="AF43" i="17"/>
  <c r="AF63" i="17"/>
  <c r="AF64" i="17"/>
  <c r="AF107" i="17"/>
  <c r="AF108" i="17"/>
  <c r="AF109" i="17"/>
  <c r="AF110" i="17"/>
  <c r="AF111" i="17"/>
  <c r="AF112" i="17"/>
  <c r="AF194" i="17"/>
  <c r="AF195" i="17"/>
  <c r="AF196" i="17"/>
  <c r="AF197" i="17"/>
  <c r="AF198" i="17"/>
  <c r="AF255" i="17"/>
  <c r="AF256" i="17"/>
  <c r="AF257" i="17"/>
  <c r="AF258" i="17"/>
  <c r="AF259" i="17"/>
  <c r="AF260" i="17"/>
  <c r="AF261" i="17"/>
  <c r="AF262" i="17"/>
  <c r="AF263" i="17"/>
  <c r="AF265" i="17"/>
  <c r="AF266" i="17"/>
  <c r="AF267" i="17"/>
  <c r="AF268" i="17"/>
  <c r="AF270" i="17"/>
  <c r="AF271" i="17"/>
  <c r="AF289" i="17"/>
  <c r="AF290" i="17"/>
  <c r="AF8" i="17"/>
  <c r="AF9" i="17"/>
  <c r="AF10" i="17"/>
  <c r="AF11" i="17"/>
  <c r="AF12" i="17"/>
  <c r="AF13" i="17"/>
  <c r="AF14" i="17"/>
  <c r="AF15" i="17"/>
  <c r="AF16" i="17"/>
  <c r="G23" i="15" s="1"/>
  <c r="P23" i="15" s="1"/>
  <c r="AF17" i="17"/>
  <c r="AF31" i="17"/>
  <c r="AF32" i="17"/>
  <c r="AF44" i="17"/>
  <c r="AF45" i="17"/>
  <c r="AF65" i="17"/>
  <c r="AF66" i="17"/>
  <c r="AF67" i="17"/>
  <c r="AF68" i="17"/>
  <c r="AF69" i="17"/>
  <c r="AF76" i="17"/>
  <c r="AF77" i="17"/>
  <c r="AF78" i="17"/>
  <c r="AF79" i="17"/>
  <c r="AF80" i="17"/>
  <c r="AF114" i="17"/>
  <c r="AF115" i="17"/>
  <c r="AF116" i="17"/>
  <c r="AF117" i="17"/>
  <c r="AF118" i="17"/>
  <c r="AF119" i="17"/>
  <c r="AF120" i="17"/>
  <c r="AF121" i="17"/>
  <c r="AF122" i="17"/>
  <c r="AF123" i="17"/>
  <c r="AF124" i="17"/>
  <c r="AF125" i="17"/>
  <c r="AF126" i="17"/>
  <c r="G465" i="15" s="1"/>
  <c r="P465" i="15" s="1"/>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87" i="17"/>
  <c r="AF188" i="17"/>
  <c r="AF189" i="17"/>
  <c r="AF190" i="17"/>
  <c r="AF199" i="17"/>
  <c r="AF200" i="17"/>
  <c r="AF201" i="17"/>
  <c r="AF202" i="17"/>
  <c r="AF203" i="17"/>
  <c r="AF204" i="17"/>
  <c r="AF205" i="17"/>
  <c r="AF207" i="17"/>
  <c r="AF33" i="17"/>
  <c r="AF34" i="17"/>
  <c r="AF46" i="17"/>
  <c r="AF47" i="17"/>
  <c r="AF70" i="17"/>
  <c r="AF71" i="17"/>
  <c r="AF72" i="17"/>
  <c r="AF73" i="17"/>
  <c r="AF81" i="17"/>
  <c r="AF82" i="17"/>
  <c r="AF83" i="17"/>
  <c r="AF84" i="17"/>
  <c r="AF170" i="17"/>
  <c r="AF171" i="17"/>
  <c r="AF238" i="17"/>
  <c r="AF239" i="17"/>
  <c r="AF240" i="17"/>
  <c r="AF241" i="17"/>
  <c r="AF242" i="17"/>
  <c r="AF243" i="17"/>
  <c r="AF244" i="17"/>
  <c r="AF245" i="17"/>
  <c r="AF246" i="17"/>
  <c r="AF172" i="17"/>
  <c r="AF173" i="17"/>
  <c r="AF174" i="17"/>
  <c r="AF175" i="17"/>
  <c r="AF176" i="17"/>
  <c r="AF177" i="17"/>
  <c r="G154" i="15" l="1"/>
  <c r="G159" i="15"/>
  <c r="G164" i="15"/>
  <c r="G149" i="15"/>
  <c r="G144" i="15"/>
  <c r="P144" i="15" s="1"/>
  <c r="G147" i="15"/>
  <c r="G152" i="15"/>
  <c r="G157" i="15"/>
  <c r="G162" i="15"/>
  <c r="G142" i="15"/>
  <c r="P142" i="15" s="1"/>
  <c r="AI246" i="17"/>
  <c r="AI238" i="17"/>
  <c r="AI240" i="17"/>
  <c r="AI239" i="17"/>
  <c r="AI245" i="17"/>
  <c r="AI244" i="17"/>
  <c r="AI243" i="17"/>
  <c r="AI242" i="17"/>
  <c r="AI241" i="17"/>
  <c r="AG75" i="17"/>
  <c r="AF75" i="17" l="1"/>
  <c r="AE75" i="17"/>
  <c r="P406" i="15"/>
  <c r="P409" i="15"/>
  <c r="P186" i="15"/>
  <c r="P188" i="15"/>
  <c r="P194" i="15"/>
  <c r="P196" i="15"/>
  <c r="P190" i="15"/>
  <c r="O192" i="15"/>
  <c r="O186" i="15"/>
  <c r="O188" i="15"/>
  <c r="O194" i="15"/>
  <c r="O196" i="15"/>
  <c r="O190" i="15"/>
  <c r="N192" i="15"/>
  <c r="N186" i="15"/>
  <c r="N188" i="15"/>
  <c r="N194" i="15"/>
  <c r="N196" i="15"/>
  <c r="N190" i="15"/>
  <c r="AH177" i="17"/>
  <c r="AH174" i="17"/>
  <c r="AH176" i="17"/>
  <c r="AH175" i="17"/>
  <c r="AH173" i="17"/>
  <c r="AH172" i="17"/>
  <c r="AJ75" i="17" l="1"/>
  <c r="AJ172" i="17"/>
  <c r="AI172" i="17"/>
  <c r="AJ173" i="17"/>
  <c r="AI173" i="17"/>
  <c r="AJ177" i="17"/>
  <c r="AI177" i="17"/>
  <c r="AI174" i="17"/>
  <c r="AJ174" i="17"/>
  <c r="AI175" i="17"/>
  <c r="AJ175" i="17"/>
  <c r="AJ176" i="17"/>
  <c r="AI176"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0" i="17" l="1"/>
  <c r="AH72" i="17"/>
  <c r="AH170" i="17"/>
  <c r="AH171" i="17"/>
  <c r="AH46" i="17"/>
  <c r="AH47" i="17"/>
  <c r="AH155" i="17"/>
  <c r="AH156" i="17"/>
  <c r="AH157" i="17"/>
  <c r="AI168" i="17" l="1"/>
  <c r="AJ168" i="17"/>
  <c r="AI156" i="17"/>
  <c r="AJ156" i="17"/>
  <c r="AI167" i="17"/>
  <c r="AJ167" i="17"/>
  <c r="AI159" i="17"/>
  <c r="AJ159" i="17"/>
  <c r="AJ155" i="17"/>
  <c r="AI155" i="17"/>
  <c r="AJ170" i="17"/>
  <c r="AI170" i="17"/>
  <c r="AI160" i="17"/>
  <c r="AJ160" i="17"/>
  <c r="AI162" i="17"/>
  <c r="AJ162" i="17"/>
  <c r="AJ47" i="17"/>
  <c r="AI47" i="17"/>
  <c r="AI72" i="17"/>
  <c r="AJ72" i="17"/>
  <c r="AI164" i="17"/>
  <c r="AJ164" i="17"/>
  <c r="AI171" i="17"/>
  <c r="AJ171" i="17"/>
  <c r="AI163" i="17"/>
  <c r="AJ163" i="17"/>
  <c r="AI166" i="17"/>
  <c r="AJ166" i="17"/>
  <c r="AI158" i="17"/>
  <c r="AJ158" i="17"/>
  <c r="AJ169" i="17"/>
  <c r="AI169" i="17"/>
  <c r="AJ165" i="17"/>
  <c r="AI165" i="17"/>
  <c r="AJ161" i="17"/>
  <c r="AI161" i="17"/>
  <c r="AJ157" i="17"/>
  <c r="AI157" i="17"/>
  <c r="AI46" i="17"/>
  <c r="AJ46" i="17"/>
  <c r="AJ70" i="17"/>
  <c r="AI70" i="17"/>
  <c r="O34" i="15"/>
  <c r="O492" i="15"/>
  <c r="O491" i="15"/>
  <c r="O493" i="15"/>
  <c r="O496" i="15"/>
  <c r="O495" i="15"/>
  <c r="O494" i="15"/>
  <c r="AH33" i="17" l="1"/>
  <c r="AH205" i="17"/>
  <c r="AH201" i="17"/>
  <c r="AJ243" i="17"/>
  <c r="AJ242" i="17"/>
  <c r="AJ241" i="17"/>
  <c r="AJ246" i="17"/>
  <c r="AJ239" i="17"/>
  <c r="AJ238" i="17"/>
  <c r="AG208" i="17"/>
  <c r="AE208" i="17" s="1"/>
  <c r="AH207" i="17"/>
  <c r="G498" i="15" s="1"/>
  <c r="P498" i="15" s="1"/>
  <c r="AG277" i="17"/>
  <c r="AE277" i="17" s="1"/>
  <c r="AG276" i="17"/>
  <c r="AE276" i="17" s="1"/>
  <c r="AG275" i="17"/>
  <c r="AE275" i="17" s="1"/>
  <c r="AG274" i="17"/>
  <c r="AE274" i="17" s="1"/>
  <c r="AG234" i="17"/>
  <c r="AF234" i="17" s="1"/>
  <c r="AG230" i="17"/>
  <c r="AF230" i="17" s="1"/>
  <c r="AG226" i="17"/>
  <c r="AF226" i="17" s="1"/>
  <c r="AG222" i="17"/>
  <c r="AF222" i="17" s="1"/>
  <c r="AG102" i="17"/>
  <c r="AF102" i="17" s="1"/>
  <c r="AG61" i="17"/>
  <c r="AF61" i="17" s="1"/>
  <c r="AG60" i="17"/>
  <c r="AF60" i="17" s="1"/>
  <c r="AG106" i="17"/>
  <c r="AF106" i="17" s="1"/>
  <c r="AG93" i="17"/>
  <c r="AF93" i="17" s="1"/>
  <c r="AG92" i="17"/>
  <c r="AF92" i="17" s="1"/>
  <c r="AG91" i="17"/>
  <c r="AF91" i="17" s="1"/>
  <c r="AG269" i="17"/>
  <c r="AF269" i="17" s="1"/>
  <c r="AG284" i="17"/>
  <c r="AF284" i="17" s="1"/>
  <c r="AG74" i="17"/>
  <c r="AF74" i="17" s="1"/>
  <c r="AG5" i="17"/>
  <c r="AF5" i="17" s="1"/>
  <c r="AG98" i="17"/>
  <c r="AF98" i="17" s="1"/>
  <c r="AG192" i="17"/>
  <c r="AF192" i="17" s="1"/>
  <c r="AG37" i="17"/>
  <c r="AF37" i="17" s="1"/>
  <c r="AG30" i="17"/>
  <c r="AF30" i="17" s="1"/>
  <c r="AG213" i="17"/>
  <c r="AF213" i="17" s="1"/>
  <c r="AG254" i="17"/>
  <c r="AF254" i="17" s="1"/>
  <c r="AG221" i="17"/>
  <c r="AF221" i="17" s="1"/>
  <c r="AG216" i="17"/>
  <c r="AF216" i="17" s="1"/>
  <c r="AG219" i="17"/>
  <c r="AF219" i="17" s="1"/>
  <c r="AG218" i="17"/>
  <c r="AF218" i="17" s="1"/>
  <c r="AG217" i="17"/>
  <c r="AF217" i="17" s="1"/>
  <c r="AG220" i="17"/>
  <c r="AF220" i="17" s="1"/>
  <c r="AG288" i="17"/>
  <c r="AF288" i="17" s="1"/>
  <c r="AG273" i="17"/>
  <c r="AF273" i="17" s="1"/>
  <c r="AG272" i="17"/>
  <c r="AF272" i="17" s="1"/>
  <c r="AG186" i="17"/>
  <c r="AF186" i="17" s="1"/>
  <c r="AG185" i="17"/>
  <c r="AF185" i="17" s="1"/>
  <c r="AG283" i="17"/>
  <c r="AF283" i="17" s="1"/>
  <c r="AG4" i="17"/>
  <c r="AF4" i="17" s="1"/>
  <c r="AD4" i="17"/>
  <c r="AI4" i="17" s="1"/>
  <c r="AG3" i="17"/>
  <c r="AF3" i="17" s="1"/>
  <c r="AD3" i="17"/>
  <c r="AG97" i="17"/>
  <c r="AF97" i="17" s="1"/>
  <c r="AG96" i="17"/>
  <c r="AF96" i="17" s="1"/>
  <c r="O585" i="15"/>
  <c r="O589" i="15"/>
  <c r="O593" i="15"/>
  <c r="O581" i="15"/>
  <c r="G62" i="15" l="1"/>
  <c r="P62" i="15" s="1"/>
  <c r="G61" i="15"/>
  <c r="P61" i="15" s="1"/>
  <c r="G59" i="15"/>
  <c r="P59" i="15" s="1"/>
  <c r="G60" i="15"/>
  <c r="P60" i="15" s="1"/>
  <c r="AH293" i="17"/>
  <c r="AI3" i="17"/>
  <c r="AD293" i="17"/>
  <c r="AE293" i="17"/>
  <c r="G45" i="15"/>
  <c r="P45" i="15" s="1"/>
  <c r="AF274" i="17"/>
  <c r="AJ274" i="17"/>
  <c r="AF276" i="17"/>
  <c r="AJ276" i="17"/>
  <c r="AF277" i="17"/>
  <c r="AJ277" i="17"/>
  <c r="AF275" i="17"/>
  <c r="AJ275" i="17"/>
  <c r="AF208" i="17"/>
  <c r="AI207" i="17"/>
  <c r="AJ207" i="17"/>
  <c r="AI201" i="17"/>
  <c r="AJ201" i="17"/>
  <c r="AJ205" i="17"/>
  <c r="AI205" i="17"/>
  <c r="AJ33" i="17"/>
  <c r="AI33" i="17"/>
  <c r="AJ244" i="17"/>
  <c r="AJ245" i="17"/>
  <c r="AJ240" i="17"/>
  <c r="O584" i="15"/>
  <c r="O588" i="15"/>
  <c r="O592" i="15"/>
  <c r="O580" i="15"/>
  <c r="AF293" i="17" l="1"/>
  <c r="G500" i="15"/>
  <c r="P500" i="15" s="1"/>
  <c r="AJ208"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<sst xmlns="http://schemas.openxmlformats.org/spreadsheetml/2006/main" count="17536" uniqueCount="2464">
  <si>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</si>
  <si>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</si>
  <si>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</si>
  <si>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</si>
  <si>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</si>
  <si>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</si>
  <si>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</si>
  <si>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</si>
  <si>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</si>
  <si>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</si>
  <si>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</si>
  <si>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</si>
  <si>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</si>
  <si>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</si>
  <si>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</si>
  <si>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</si>
  <si>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</si>
  <si>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</si>
  <si>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</si>
  <si>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</si>
  <si>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</si>
  <si>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</si>
  <si>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</si>
  <si>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</si>
  <si>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</si>
  <si>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</si>
  <si>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</si>
  <si>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</si>
  <si>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</si>
  <si>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</si>
  <si>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</si>
  <si>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</si>
  <si>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</si>
  <si>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</si>
  <si>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</si>
  <si>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</si>
  <si>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</si>
  <si>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</si>
  <si>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</si>
  <si>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</si>
  <si>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</si>
  <si>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</si>
  <si>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</si>
  <si>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</si>
  <si>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</si>
  <si>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</si>
  <si>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</si>
  <si>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</si>
  <si>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</si>
  <si>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</si>
  <si>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</si>
  <si>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</si>
  <si>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</si>
  <si>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</si>
  <si>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</si>
  <si>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</si>
  <si>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</si>
  <si>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</si>
  <si>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</si>
  <si>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</si>
  <si>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</si>
  <si>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</si>
  <si>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</si>
  <si>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</si>
  <si>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</si>
  <si>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</si>
  <si>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</si>
  <si>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</si>
  <si>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</si>
  <si>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</si>
  <si>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</si>
  <si>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</si>
  <si>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</si>
  <si>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Aston, L.A., A.B. Borde and J. Vavrinec. 2015. Final Summary Report - Eelgrass Restoration in Puget Sound Project Summary. Pacific Northwest National Laboratory, Sequim, WA. PNNL-24445.</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</si>
  <si>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</si>
  <si>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</si>
  <si>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</si>
  <si>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</si>
  <si>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</si>
  <si>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</si>
  <si>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</si>
  <si>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</si>
  <si>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</si>
  <si>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</si>
  <si>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</si>
  <si>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</si>
  <si>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</si>
  <si>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</si>
  <si>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</si>
  <si>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</si>
  <si>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</si>
  <si>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</si>
  <si>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</si>
  <si>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</si>
  <si>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</si>
  <si>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</si>
  <si>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</si>
  <si>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</si>
  <si>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</si>
  <si>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</si>
  <si>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</si>
  <si>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</si>
  <si>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</si>
  <si>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</si>
  <si>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</si>
  <si>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</si>
  <si>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</si>
  <si>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</si>
  <si>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</si>
  <si>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</si>
  <si>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</si>
  <si>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</si>
  <si>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</si>
  <si>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</si>
  <si>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</si>
  <si>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</si>
  <si>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</si>
  <si>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</si>
  <si>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</si>
  <si>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</si>
  <si>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</si>
  <si>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</si>
  <si>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</si>
  <si>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</si>
  <si>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</si>
  <si>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</si>
  <si>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</si>
  <si>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</si>
  <si>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</si>
  <si>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</si>
  <si>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</si>
  <si>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</si>
  <si>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</si>
  <si>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</si>
  <si>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</si>
  <si>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</si>
  <si>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</si>
  <si>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</si>
  <si>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</si>
  <si>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</si>
  <si>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</si>
  <si>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</si>
  <si>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</si>
  <si>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</si>
  <si>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</si>
  <si>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</si>
  <si>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</si>
  <si>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</si>
  <si>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</si>
  <si>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</si>
  <si>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</si>
  <si>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</si>
  <si>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</si>
  <si>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</si>
  <si>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</si>
  <si>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</si>
  <si>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</si>
  <si>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</si>
  <si>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</si>
  <si>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</si>
  <si>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</si>
  <si>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</si>
  <si>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</si>
  <si>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</si>
  <si>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</si>
  <si>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</si>
  <si>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</si>
  <si>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</si>
  <si>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</si>
  <si>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</si>
  <si>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</si>
  <si>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</si>
  <si>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</si>
  <si>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</si>
  <si>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</si>
  <si>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</si>
  <si>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</si>
  <si>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</si>
  <si>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</si>
  <si>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</si>
  <si>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</si>
  <si>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</si>
  <si>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</si>
  <si>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</si>
  <si>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</si>
  <si>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</si>
  <si>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</si>
  <si>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</si>
  <si>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</si>
  <si>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</si>
  <si>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</si>
  <si>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</si>
  <si>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</si>
  <si>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</si>
  <si>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</si>
  <si>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</si>
  <si>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</si>
  <si>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</si>
  <si>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</si>
  <si>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</si>
  <si>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</si>
  <si>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</si>
  <si>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</si>
  <si>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</si>
  <si>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</si>
  <si>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</si>
  <si>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</si>
  <si>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</si>
  <si>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</si>
  <si>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</si>
  <si>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</si>
  <si>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</si>
  <si>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</si>
  <si>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</si>
  <si>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</si>
  <si>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</si>
  <si>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</si>
  <si>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</si>
  <si>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</si>
  <si>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</si>
  <si>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</si>
  <si>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</si>
  <si>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</si>
  <si>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</si>
  <si>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</si>
  <si>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</si>
  <si>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</si>
  <si>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</si>
  <si>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</si>
  <si>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</si>
  <si>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</si>
  <si>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</si>
  <si>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</si>
  <si>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</si>
  <si>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</si>
  <si>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</si>
  <si>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</si>
  <si>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</si>
  <si>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</si>
  <si>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</si>
  <si>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</si>
  <si>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</si>
  <si>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</si>
  <si>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</si>
  <si>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</si>
  <si>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</si>
  <si>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</si>
  <si>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</si>
  <si>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</si>
  <si>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</si>
  <si>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</si>
  <si>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</si>
  <si>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</si>
  <si>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</si>
  <si>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</si>
  <si>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</si>
  <si>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</si>
  <si>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</si>
  <si>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</si>
  <si>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</si>
  <si>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</si>
  <si>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</si>
  <si>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</si>
  <si>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</si>
  <si>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</si>
  <si>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</si>
  <si>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</si>
  <si>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</si>
  <si>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</si>
  <si>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</si>
  <si>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</si>
  <si>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</si>
  <si>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</si>
  <si>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</si>
  <si>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</si>
  <si>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</si>
  <si>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</si>
  <si>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</si>
  <si>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</si>
  <si>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</si>
  <si>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</si>
  <si>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</si>
  <si>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</si>
  <si>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</si>
  <si>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</si>
  <si>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</si>
  <si>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</si>
  <si>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</si>
  <si>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</si>
  <si>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</si>
  <si>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</si>
  <si>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</si>
  <si>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</si>
  <si>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</si>
  <si>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</si>
  <si>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</si>
  <si>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</si>
  <si>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</si>
  <si>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</si>
  <si>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</si>
  <si>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</si>
  <si>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</si>
  <si>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</si>
  <si>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</si>
  <si>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</si>
  <si>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</si>
  <si>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</si>
  <si>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</si>
  <si>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</si>
  <si>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</si>
  <si>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</si>
  <si>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</si>
  <si>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</si>
  <si>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</si>
  <si>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</si>
  <si>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</si>
  <si>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</si>
  <si>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</si>
  <si>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</si>
  <si>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</si>
  <si>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</si>
  <si>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</si>
  <si>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</si>
  <si>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</si>
  <si>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</si>
  <si>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</si>
  <si>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</si>
  <si>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</si>
  <si>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</si>
  <si>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</si>
  <si>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</si>
  <si>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</si>
  <si>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</si>
  <si>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</si>
  <si>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</si>
  <si>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</si>
  <si>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</si>
  <si>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</si>
  <si>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</si>
  <si>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</si>
  <si>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</si>
  <si>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</si>
  <si>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</si>
  <si>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</si>
  <si>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</si>
  <si>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</si>
  <si>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</si>
  <si>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</si>
  <si>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</si>
  <si>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</si>
  <si>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</si>
  <si>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</si>
  <si>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</si>
  <si>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</si>
  <si>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</si>
  <si>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</si>
  <si>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</si>
  <si>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</si>
  <si>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</si>
  <si>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</si>
  <si>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</si>
  <si>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</si>
  <si>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</si>
  <si>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</si>
  <si>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</si>
  <si>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</si>
  <si>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</si>
  <si>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</si>
  <si>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</si>
  <si>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</si>
  <si>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</si>
  <si>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</si>
  <si>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</si>
  <si>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</si>
  <si>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</si>
  <si>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</si>
  <si>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</si>
  <si>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</si>
  <si>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</si>
  <si>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</si>
  <si>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</si>
  <si>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</si>
  <si>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</si>
  <si>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</si>
  <si>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</si>
  <si>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</si>
  <si>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</si>
  <si>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</si>
  <si>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</si>
  <si>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</si>
  <si>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</si>
  <si>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</si>
  <si>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</si>
  <si>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</si>
  <si>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</si>
  <si>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</si>
  <si>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</si>
  <si>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</si>
  <si>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</si>
  <si>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</si>
  <si>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</si>
  <si>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</si>
  <si>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</si>
  <si>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</si>
  <si>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</si>
  <si>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</si>
  <si>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</si>
  <si>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</si>
  <si>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</si>
  <si>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</si>
  <si>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</si>
  <si>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</si>
  <si>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</si>
  <si>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</si>
  <si>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</si>
  <si>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</si>
  <si>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</si>
  <si>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</si>
  <si>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</si>
  <si>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</si>
  <si>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</si>
  <si>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</si>
  <si>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</si>
  <si>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</si>
  <si>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</si>
  <si>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</si>
  <si>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</si>
  <si>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</si>
  <si>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</si>
  <si>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</si>
  <si>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</si>
  <si>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</si>
  <si>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</si>
  <si>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</si>
  <si>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</si>
  <si>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</si>
  <si>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</si>
  <si>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</si>
  <si>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</si>
  <si>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</si>
  <si>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</si>
  <si>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</si>
  <si>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</si>
  <si>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</si>
  <si>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</si>
  <si>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</si>
  <si>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</si>
  <si>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</si>
  <si>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</si>
  <si>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</si>
  <si>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</si>
  <si>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</si>
  <si>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</si>
  <si>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</si>
  <si>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</si>
  <si>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</si>
  <si>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</si>
  <si>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</si>
  <si>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</si>
  <si>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</si>
  <si>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</si>
  <si>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</si>
  <si>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</si>
  <si>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</si>
  <si>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</si>
  <si>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</si>
  <si>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</si>
  <si>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</si>
  <si>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</si>
  <si>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</si>
  <si>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</si>
  <si>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</si>
  <si>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</si>
  <si>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</si>
  <si>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</si>
  <si>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</si>
  <si>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</si>
  <si>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</si>
  <si>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</si>
  <si>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</si>
  <si>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</si>
  <si>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</si>
  <si>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</si>
  <si>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</si>
  <si>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</si>
  <si>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</si>
  <si>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</si>
  <si>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</si>
  <si>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</si>
  <si>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</si>
  <si>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</si>
  <si>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</si>
  <si>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</si>
  <si>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</si>
  <si>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</si>
  <si>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</si>
  <si>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</si>
  <si>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</si>
  <si>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</si>
  <si>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</si>
  <si>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</si>
  <si>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</si>
  <si>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</si>
  <si>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</si>
  <si>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</si>
  <si>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</si>
  <si>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</si>
  <si>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</si>
  <si>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</si>
  <si>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</si>
  <si>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</si>
  <si>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</si>
  <si>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</si>
  <si>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</si>
  <si>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</si>
  <si>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</si>
  <si>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</si>
  <si>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</si>
  <si>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</si>
  <si>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</si>
  <si>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</si>
  <si>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</si>
  <si>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</si>
  <si>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</si>
  <si>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</si>
  <si>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</si>
  <si>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</si>
  <si>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</si>
  <si>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</si>
  <si>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</si>
  <si>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</si>
  <si>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</si>
  <si>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</si>
  <si>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</si>
  <si>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</si>
  <si>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</si>
  <si>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</si>
  <si>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</si>
  <si>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</si>
  <si>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</si>
  <si>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</si>
  <si>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</si>
  <si>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</si>
  <si>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</si>
  <si>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</si>
  <si>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</si>
  <si>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</si>
  <si>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</si>
  <si>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</si>
  <si>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</si>
  <si>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</si>
  <si>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</si>
  <si>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</si>
  <si>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</si>
  <si>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</si>
  <si>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</si>
  <si>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</si>
  <si>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</si>
  <si>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</si>
  <si>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</si>
  <si>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</si>
  <si>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</si>
  <si>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</si>
  <si>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</si>
  <si>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</si>
  <si>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</si>
  <si>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</si>
  <si>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</si>
  <si>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</si>
  <si>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</si>
  <si>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</si>
  <si>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</si>
  <si>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</si>
  <si>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</si>
  <si>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</si>
  <si>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</si>
  <si>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</si>
  <si>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</si>
  <si>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</si>
  <si>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</si>
  <si>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</si>
  <si>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</si>
  <si>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</si>
  <si>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</si>
  <si>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</si>
  <si>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</si>
  <si>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</si>
  <si>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</si>
  <si>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</si>
  <si>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</si>
  <si>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</si>
  <si>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</si>
  <si>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</si>
  <si>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</si>
  <si>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</si>
  <si>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</si>
  <si>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</si>
  <si>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</si>
  <si>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</si>
  <si>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</si>
  <si>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</si>
  <si>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</si>
  <si>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</si>
  <si>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</si>
  <si>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</si>
  <si>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</si>
  <si>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</si>
  <si>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</si>
  <si>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</si>
  <si>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</si>
  <si>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</si>
  <si>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</si>
  <si>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</si>
  <si>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</si>
  <si>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</si>
  <si>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</si>
  <si>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</si>
  <si>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</si>
  <si>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</si>
  <si>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</si>
  <si>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</si>
  <si>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</si>
  <si>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</si>
  <si>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</si>
  <si>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</si>
  <si>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</si>
  <si>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</si>
  <si>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</si>
  <si>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</si>
  <si>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</si>
  <si>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</si>
  <si>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</si>
  <si>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</si>
  <si>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</si>
  <si>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</si>
  <si>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</si>
  <si>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</si>
  <si>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</si>
  <si>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</si>
  <si>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</si>
  <si>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</si>
  <si>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</si>
  <si>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</si>
  <si>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</si>
  <si>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</si>
  <si>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</si>
  <si>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</si>
  <si>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</si>
  <si>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</si>
  <si>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</si>
  <si>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</si>
  <si>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</si>
  <si>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</si>
  <si>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</si>
  <si>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</si>
  <si>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</si>
  <si>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</si>
  <si>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</si>
  <si>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</si>
  <si>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</si>
  <si>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</si>
  <si>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</si>
  <si>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</si>
  <si>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</si>
  <si>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</si>
  <si>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</si>
  <si>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</si>
  <si>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</si>
  <si>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</si>
  <si>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</si>
  <si>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</si>
  <si>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</si>
  <si>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</si>
  <si>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</si>
  <si>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</si>
  <si>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</si>
  <si>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</si>
  <si>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</si>
  <si>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</si>
  <si>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</si>
  <si>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</si>
  <si>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</si>
  <si>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</si>
  <si>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</si>
  <si>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</si>
  <si>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</si>
  <si>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</si>
  <si>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</si>
  <si>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</si>
  <si>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</si>
  <si>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</si>
  <si>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</si>
  <si>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</si>
  <si>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</si>
  <si>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</si>
  <si>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</si>
  <si>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</si>
  <si>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</si>
  <si>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</si>
  <si>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</si>
  <si>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</si>
  <si>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</si>
  <si>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</si>
  <si>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</si>
  <si>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</si>
  <si>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</si>
  <si>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</si>
  <si>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</si>
  <si>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</si>
  <si>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</si>
  <si>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</si>
  <si>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</si>
  <si>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</si>
  <si>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</si>
  <si>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</si>
  <si>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</si>
  <si>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</si>
  <si>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</si>
  <si>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</si>
  <si>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</si>
  <si>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</si>
  <si>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</si>
  <si>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</si>
  <si>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</si>
  <si>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</si>
  <si>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</si>
  <si>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</si>
  <si>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</si>
  <si>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</si>
  <si>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</si>
  <si>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</si>
  <si>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</si>
  <si>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</si>
  <si>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</si>
  <si>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</si>
  <si>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</si>
  <si>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</si>
  <si>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</si>
  <si>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</si>
  <si>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</si>
  <si>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</si>
  <si>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</si>
  <si>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</si>
  <si>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</si>
  <si>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</si>
  <si>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</si>
  <si>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</si>
  <si>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</si>
  <si>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</si>
  <si>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</si>
  <si>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</si>
  <si>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</si>
  <si>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</si>
  <si>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</si>
  <si>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</si>
  <si>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</si>
  <si>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</si>
  <si>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</si>
  <si>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</si>
  <si>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</si>
  <si>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</si>
  <si>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</si>
  <si>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</si>
  <si>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</si>
  <si>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</si>
  <si>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</si>
  <si>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</si>
  <si>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</si>
  <si>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</si>
  <si>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</si>
  <si>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</si>
  <si>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</si>
  <si>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</si>
  <si>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</si>
  <si>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</si>
  <si>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</si>
  <si>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</si>
  <si>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</si>
  <si>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</si>
  <si>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</si>
  <si>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</si>
  <si>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</si>
  <si>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</si>
  <si>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</si>
  <si>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</si>
  <si>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</si>
  <si>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</si>
  <si>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</si>
  <si>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</si>
  <si>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</si>
  <si>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</si>
  <si>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</si>
  <si>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</si>
  <si>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</si>
  <si>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</si>
  <si>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</si>
  <si>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</si>
  <si>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</si>
  <si>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</si>
  <si>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</si>
  <si>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</si>
  <si>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</si>
  <si>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</si>
  <si>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</si>
  <si>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</si>
  <si>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</si>
  <si>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</si>
  <si>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</si>
  <si>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</si>
  <si>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</si>
  <si>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</si>
  <si>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</si>
  <si>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</si>
  <si>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</si>
  <si>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</si>
  <si>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</si>
  <si>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</si>
  <si>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</si>
  <si>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</si>
  <si>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</si>
  <si>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</si>
  <si>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</si>
  <si>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</si>
  <si>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</si>
  <si>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</si>
  <si>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</si>
  <si>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</si>
  <si>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</si>
  <si>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</si>
  <si>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</si>
  <si>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</si>
  <si>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</si>
  <si>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</si>
  <si>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</si>
  <si>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</si>
  <si>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</si>
  <si>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</si>
  <si>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</si>
  <si>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</si>
  <si>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</si>
  <si>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</si>
  <si>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</si>
  <si>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</si>
  <si>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</si>
  <si>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</si>
  <si>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</si>
  <si>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</si>
  <si>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</si>
  <si>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</si>
  <si>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</si>
  <si>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</si>
  <si>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</si>
  <si>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</si>
  <si>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</si>
  <si>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</si>
  <si>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</si>
  <si>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</si>
  <si>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</si>
  <si>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</si>
  <si>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</si>
  <si>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</si>
  <si>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</si>
  <si>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</si>
  <si>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</si>
  <si>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</si>
  <si>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</si>
  <si>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</si>
  <si>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</si>
  <si>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</si>
  <si>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</si>
  <si>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</si>
  <si>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</si>
  <si>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</si>
  <si>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</si>
  <si>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</si>
  <si>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</si>
  <si>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</si>
  <si>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</si>
  <si>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</si>
  <si>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</si>
  <si>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</si>
  <si>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</si>
  <si>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</si>
  <si>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</si>
  <si>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</si>
  <si>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</si>
  <si>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</si>
  <si>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</si>
  <si>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</si>
  <si>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</si>
  <si>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</si>
  <si>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</si>
  <si>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</si>
  <si>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</si>
  <si>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</si>
  <si>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</si>
  <si>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</si>
  <si>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</si>
  <si>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</si>
  <si>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</si>
  <si>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</si>
  <si>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</si>
  <si>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</si>
  <si>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</si>
  <si>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</si>
  <si>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</si>
  <si>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</si>
  <si>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</si>
  <si>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</si>
  <si>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</si>
  <si>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</si>
  <si>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</si>
  <si>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</si>
  <si>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</si>
  <si>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</si>
  <si>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</si>
  <si>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</si>
  <si>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</si>
  <si>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</si>
  <si>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</si>
  <si>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</si>
  <si>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</si>
  <si>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</si>
  <si>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</si>
  <si>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</si>
  <si>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</si>
  <si>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</si>
  <si>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</si>
  <si>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</si>
  <si>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</si>
  <si>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</si>
  <si>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</si>
  <si>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</si>
  <si>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</si>
  <si>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</si>
  <si>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</si>
  <si>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</si>
  <si>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</si>
  <si>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</si>
  <si>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</si>
  <si>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</si>
  <si>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</si>
  <si>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</si>
  <si>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</si>
  <si>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</si>
  <si>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</si>
  <si>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</si>
  <si>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</si>
  <si>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</si>
  <si>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</si>
  <si>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</si>
  <si>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</si>
  <si>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</si>
  <si>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</si>
  <si>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</si>
  <si>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</si>
  <si>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</si>
  <si>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</si>
  <si>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</si>
  <si>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</si>
  <si>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</si>
  <si>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</si>
  <si>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</si>
  <si>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</si>
  <si>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</si>
  <si>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</si>
  <si>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</si>
  <si>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</si>
  <si>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</si>
  <si>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</si>
  <si>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</si>
  <si>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</si>
  <si>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</si>
  <si>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</si>
  <si>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</si>
  <si>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</si>
  <si>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</si>
  <si>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</si>
  <si>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</si>
  <si>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</si>
  <si>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</si>
  <si>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</si>
  <si>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</si>
  <si>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</si>
  <si>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</si>
  <si>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</si>
  <si>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</si>
  <si>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</si>
  <si>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</si>
  <si>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</si>
  <si>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</si>
  <si>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</si>
  <si>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</si>
  <si>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</si>
  <si>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</si>
  <si>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</si>
  <si>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</si>
  <si>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</si>
  <si>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</si>
  <si>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</si>
  <si>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</si>
  <si>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</si>
  <si>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</si>
  <si>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</si>
  <si>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</si>
  <si>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</si>
  <si>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</si>
  <si>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</si>
  <si>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</si>
  <si>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</si>
  <si>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</si>
  <si>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</si>
  <si>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</si>
  <si>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</si>
  <si>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</si>
  <si>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</si>
  <si>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</si>
  <si>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</si>
  <si>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</si>
  <si>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</si>
  <si>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</si>
  <si>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</si>
  <si>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</si>
  <si>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</si>
  <si>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</si>
  <si>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</si>
  <si>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</si>
  <si>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</si>
  <si>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</si>
  <si>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</si>
  <si>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</si>
  <si>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</si>
  <si>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</si>
  <si>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</si>
  <si>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</si>
  <si>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</si>
  <si>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</si>
  <si>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</si>
  <si>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</si>
  <si>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</si>
  <si>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</si>
  <si>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</si>
  <si>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</si>
  <si>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</si>
  <si>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</si>
  <si>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</si>
  <si>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</si>
  <si>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</si>
  <si>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</si>
  <si>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</si>
  <si>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</si>
  <si>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</si>
  <si>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</si>
  <si>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</si>
  <si>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</si>
  <si>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</si>
  <si>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</si>
  <si>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</si>
  <si>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</si>
  <si>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</si>
  <si>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</si>
  <si>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</si>
  <si>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</si>
  <si>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</si>
  <si>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</si>
  <si>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</si>
  <si>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</si>
  <si>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</si>
  <si>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</si>
  <si>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</si>
  <si>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</si>
  <si>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</si>
  <si>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</si>
  <si>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</si>
  <si>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</si>
  <si>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</si>
  <si>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</si>
  <si>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</si>
  <si>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</si>
  <si>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</si>
  <si>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</si>
  <si>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</si>
  <si>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</si>
  <si>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</si>
  <si>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</si>
  <si>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</si>
  <si>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</si>
  <si>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</si>
  <si>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</si>
  <si>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</si>
  <si>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</si>
  <si>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</si>
  <si>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</si>
  <si>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</si>
  <si>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</si>
  <si>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</si>
  <si>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</si>
  <si>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</si>
  <si>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</si>
  <si>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</si>
  <si>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</si>
  <si>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</si>
  <si>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</si>
  <si>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</si>
  <si>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</si>
  <si>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</si>
  <si>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</si>
  <si>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</si>
  <si>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</si>
  <si>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</si>
  <si>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</si>
  <si>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</si>
  <si>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</si>
  <si>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</si>
  <si>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</si>
  <si>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</si>
  <si>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</si>
  <si>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</si>
  <si>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</si>
  <si>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</si>
  <si>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</si>
  <si>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</si>
  <si>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</si>
  <si>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</si>
  <si>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</si>
  <si>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</si>
  <si>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</si>
  <si>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</si>
  <si>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</si>
  <si>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</si>
  <si>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</si>
  <si>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</si>
  <si>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</si>
  <si>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</si>
  <si>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</si>
  <si>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</si>
  <si>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</si>
  <si>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</si>
  <si>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</si>
  <si>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</si>
  <si>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</si>
  <si>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</si>
  <si>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</si>
  <si>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</si>
  <si>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</si>
  <si>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</si>
  <si>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</si>
  <si>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</si>
  <si>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</si>
  <si>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</si>
  <si>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</si>
  <si>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</si>
  <si>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</si>
  <si>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</si>
  <si>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</si>
  <si>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</si>
  <si>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</si>
  <si>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</si>
  <si>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</si>
  <si>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</si>
  <si>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</si>
  <si>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</si>
  <si>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</si>
  <si>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</si>
  <si>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</si>
  <si>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</si>
  <si>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</si>
  <si>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</si>
  <si>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</si>
  <si>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</si>
  <si>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</si>
  <si>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</si>
  <si>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</si>
  <si>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</si>
  <si>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</si>
  <si>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</si>
  <si>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</si>
  <si>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</si>
  <si>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</si>
  <si>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</si>
  <si>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</si>
  <si>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</si>
  <si>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</si>
  <si>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</si>
  <si>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</si>
  <si>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</si>
  <si>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</si>
  <si>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</si>
  <si>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</si>
  <si>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</si>
  <si>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</si>
  <si>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</si>
  <si>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</si>
  <si>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</si>
  <si>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</si>
  <si>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</si>
  <si>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</si>
  <si>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</si>
  <si>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</si>
  <si>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</si>
  <si>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</si>
  <si>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</si>
  <si>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</si>
  <si>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</si>
  <si>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</si>
  <si>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</si>
  <si>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</si>
  <si>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</si>
  <si>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</si>
  <si>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</si>
  <si>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</si>
  <si>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</si>
  <si>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</si>
  <si>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</si>
  <si>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</si>
  <si>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</si>
  <si>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</si>
  <si>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</si>
  <si>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</si>
  <si>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</si>
  <si>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</si>
  <si>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</si>
  <si>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</si>
  <si>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</si>
  <si>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</si>
  <si>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</si>
  <si>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</si>
  <si>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</si>
  <si>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</si>
  <si>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</si>
  <si>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</si>
  <si>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</si>
  <si>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</si>
  <si>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</si>
  <si>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</si>
  <si>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</si>
  <si>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</si>
  <si>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</si>
  <si>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</si>
  <si>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</si>
  <si>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</si>
  <si>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</si>
  <si>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</si>
  <si>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</si>
  <si>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</si>
  <si>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</si>
  <si>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</si>
  <si>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</si>
  <si>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</si>
  <si>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</si>
  <si>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</si>
  <si>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</si>
  <si>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</si>
  <si>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</si>
  <si>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</si>
  <si>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</si>
  <si>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</si>
  <si>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</si>
  <si>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</si>
  <si>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</si>
  <si>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</si>
  <si>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</si>
  <si>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</si>
  <si>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</si>
  <si>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</si>
  <si>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</si>
  <si>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</si>
  <si>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</si>
  <si>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</si>
  <si>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</si>
  <si>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</si>
  <si>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</si>
  <si>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</si>
  <si>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</si>
  <si>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</si>
  <si>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</si>
  <si>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</si>
  <si>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</si>
  <si>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</si>
  <si>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</si>
  <si>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</si>
  <si>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</si>
  <si>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</si>
  <si>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</si>
  <si>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</si>
  <si>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</si>
  <si>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</si>
  <si>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</si>
  <si>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</si>
  <si>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</si>
  <si>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</si>
  <si>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</si>
  <si>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</si>
  <si>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</si>
  <si>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</si>
  <si>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</si>
  <si>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</si>
  <si>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</si>
  <si>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</si>
  <si>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</si>
  <si>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</si>
  <si>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</si>
  <si>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</si>
  <si>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</si>
  <si>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</si>
  <si>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</si>
  <si>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</si>
  <si>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</si>
  <si>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</si>
  <si>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</si>
  <si>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</si>
  <si>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</si>
  <si>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</si>
  <si>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</si>
  <si>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</si>
  <si>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</si>
  <si>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</si>
  <si>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</si>
  <si>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</si>
  <si>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</si>
  <si>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</si>
  <si>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</si>
  <si>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</si>
  <si>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</si>
  <si>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</si>
  <si>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</si>
  <si>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</si>
  <si>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</si>
  <si>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</si>
  <si>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</si>
  <si>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</si>
  <si>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</si>
  <si>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</si>
  <si>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</si>
  <si>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</si>
  <si>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</si>
  <si>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</si>
  <si>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</si>
  <si>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</si>
  <si>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</si>
  <si>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</si>
  <si>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</si>
  <si>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</si>
  <si>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</si>
  <si>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</si>
  <si>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</si>
  <si>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</si>
  <si>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</si>
  <si>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</si>
  <si>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</si>
  <si>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</si>
  <si>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</si>
  <si>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</si>
  <si>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</si>
  <si>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</si>
  <si>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</si>
  <si>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</si>
  <si>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</si>
  <si>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</si>
  <si>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</si>
  <si>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</si>
  <si>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</si>
  <si>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</si>
  <si>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</si>
  <si>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</si>
  <si>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</si>
  <si>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</si>
  <si>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</si>
  <si>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</si>
  <si>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</si>
  <si>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</si>
  <si>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</si>
  <si>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</si>
  <si>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</si>
  <si>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</si>
  <si>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</si>
  <si>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</si>
  <si>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</si>
  <si>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</si>
  <si>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</si>
  <si>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</si>
  <si>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</si>
  <si>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</si>
  <si>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</si>
  <si>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</si>
  <si>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</si>
  <si>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</si>
  <si>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</si>
  <si>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</si>
  <si>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</si>
  <si>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</si>
  <si>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</si>
  <si>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</si>
  <si>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</si>
  <si>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</si>
  <si>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</si>
  <si>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</si>
  <si>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</si>
  <si>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</si>
  <si>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</si>
  <si>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</si>
  <si>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</si>
  <si>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</si>
  <si>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</si>
  <si>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</si>
  <si>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</si>
  <si>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</si>
  <si>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</si>
  <si>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</si>
  <si>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</si>
  <si>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</si>
  <si>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</si>
  <si>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</si>
  <si>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</si>
  <si>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</si>
  <si>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</si>
  <si>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</si>
  <si>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</si>
  <si>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</si>
  <si>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</si>
  <si>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</si>
  <si>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</si>
  <si>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</si>
  <si>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</si>
  <si>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</si>
  <si>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</si>
  <si>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</si>
  <si>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</si>
  <si>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</si>
  <si>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</si>
  <si>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</si>
  <si>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</si>
  <si>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</si>
  <si>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</si>
  <si>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</si>
  <si>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</si>
  <si>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</si>
  <si>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</si>
  <si>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</si>
  <si>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</si>
  <si>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</si>
  <si>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</si>
  <si>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</si>
  <si>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</si>
  <si>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</si>
  <si>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</si>
  <si>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</si>
  <si>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</si>
  <si>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</si>
  <si>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</si>
  <si>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</si>
  <si>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</si>
  <si>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</si>
  <si>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</si>
  <si>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</si>
  <si>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</si>
  <si>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</si>
  <si>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</si>
  <si>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</si>
  <si>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</si>
  <si>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</si>
  <si>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</si>
  <si>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</si>
  <si>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</si>
  <si>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</si>
  <si>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</si>
  <si>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</si>
  <si>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</si>
  <si>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</si>
  <si>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</si>
  <si>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</si>
  <si>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</si>
  <si>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</si>
  <si>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</si>
  <si>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</si>
  <si>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</si>
  <si>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</si>
  <si>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</si>
  <si>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</si>
  <si>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</si>
  <si>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</si>
  <si>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</si>
  <si>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</si>
  <si>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</si>
  <si>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</si>
  <si>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</si>
  <si>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</si>
  <si>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</si>
  <si>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</si>
  <si>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</si>
  <si>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</si>
  <si>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</si>
  <si>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</si>
  <si>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</si>
  <si>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</si>
  <si>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</si>
  <si>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</si>
  <si>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</si>
  <si>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</si>
  <si>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</si>
  <si>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</si>
  <si>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</si>
  <si>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</si>
  <si>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</si>
  <si>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</si>
  <si>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</si>
  <si>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</si>
  <si>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</si>
  <si>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</si>
  <si>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</si>
  <si>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</si>
  <si>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</si>
  <si>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</si>
  <si>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</si>
  <si>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</si>
  <si>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</si>
  <si>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</si>
  <si>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</si>
  <si>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</si>
  <si>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</si>
  <si>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</si>
  <si>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</si>
  <si>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</si>
  <si>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</si>
  <si>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</si>
  <si>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</si>
  <si>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</si>
  <si>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</si>
  <si>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</si>
  <si>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</si>
  <si>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</si>
  <si>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</si>
  <si>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</si>
  <si>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</si>
  <si>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</si>
  <si>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</si>
  <si>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</si>
  <si>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</si>
  <si>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</si>
  <si>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</si>
  <si>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</si>
  <si>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</si>
  <si>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</si>
  <si>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</si>
  <si>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</si>
  <si>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</si>
  <si>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</si>
  <si>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</si>
  <si>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</si>
  <si>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</si>
  <si>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</si>
  <si>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</si>
  <si>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</si>
  <si>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</si>
  <si>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</si>
  <si>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</si>
  <si>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</si>
  <si>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</si>
  <si>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</si>
  <si>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</si>
  <si>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</si>
  <si>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</si>
  <si>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</si>
  <si>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</si>
  <si>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</si>
  <si>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</si>
  <si>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</si>
  <si>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</si>
  <si>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</si>
  <si>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</si>
  <si>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</si>
  <si>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</si>
  <si>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</si>
  <si>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</si>
  <si>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</si>
  <si>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</si>
  <si>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</si>
  <si>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</si>
  <si>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</si>
  <si>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</si>
  <si>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</si>
  <si>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</si>
  <si>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</si>
  <si>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</si>
  <si>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</si>
  <si>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</si>
  <si>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</si>
  <si>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</si>
  <si>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</si>
  <si>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</si>
  <si>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</si>
  <si>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</si>
  <si>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</si>
  <si>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</si>
  <si>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</si>
  <si>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</si>
  <si>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</si>
  <si>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</si>
  <si>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</si>
  <si>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</si>
  <si>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</si>
  <si>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</si>
  <si>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</si>
  <si>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</si>
  <si>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</si>
  <si>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</si>
  <si>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</si>
  <si>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</si>
  <si>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</si>
  <si>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</si>
  <si>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</si>
  <si>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</si>
  <si>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</si>
  <si>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</si>
  <si>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</si>
  <si>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</si>
  <si>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</si>
  <si>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</si>
  <si>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</si>
  <si>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</si>
  <si>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</si>
  <si>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</si>
  <si>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</si>
  <si>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</si>
  <si>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</si>
  <si>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</si>
  <si>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</si>
  <si>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</si>
  <si>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</si>
  <si>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</si>
  <si>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</si>
  <si>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</si>
  <si>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</si>
  <si>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</si>
  <si>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</si>
  <si>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</si>
  <si>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</si>
  <si>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</si>
  <si>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</si>
  <si>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</si>
  <si>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</si>
  <si>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</si>
  <si>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</si>
  <si>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</si>
  <si>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</si>
  <si>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</si>
  <si>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</si>
  <si>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</si>
  <si>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</si>
  <si>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</si>
  <si>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</si>
  <si>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</si>
  <si>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</si>
  <si>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</si>
  <si>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</si>
  <si>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</si>
  <si>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</si>
  <si>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</si>
  <si>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</si>
  <si>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</si>
  <si>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</si>
  <si>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</si>
  <si>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</si>
  <si>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</si>
  <si>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</si>
  <si>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</si>
  <si>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</si>
  <si>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</si>
  <si>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</si>
  <si>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</si>
  <si>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</si>
  <si>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</si>
  <si>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</si>
  <si>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</si>
  <si>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</si>
  <si>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</si>
  <si>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</si>
  <si>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</si>
  <si>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</si>
  <si>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</si>
  <si>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</si>
  <si>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</si>
  <si>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</si>
  <si>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</si>
  <si>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</si>
  <si>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</si>
  <si>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</si>
  <si>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</si>
  <si>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</si>
  <si>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</si>
  <si>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</si>
  <si>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</si>
  <si>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</si>
  <si>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</si>
  <si>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</si>
  <si>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</si>
  <si>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</si>
  <si>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</si>
  <si>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</si>
  <si>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</si>
  <si>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</si>
  <si>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</si>
  <si>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</si>
  <si>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</si>
  <si>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</si>
  <si>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</si>
  <si>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</si>
  <si>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</si>
  <si>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</si>
  <si>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</si>
  <si>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</si>
  <si>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</si>
  <si>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</si>
  <si>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</si>
  <si>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</si>
  <si>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</si>
  <si>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</si>
  <si>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</si>
  <si>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</si>
  <si>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</si>
  <si>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</si>
  <si>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</si>
  <si>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</si>
  <si>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</si>
  <si>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</si>
  <si>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</si>
  <si>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</si>
  <si>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</si>
  <si>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</si>
  <si>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</si>
  <si>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</si>
  <si>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</si>
  <si>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</si>
  <si>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</si>
  <si>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</si>
  <si>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</si>
  <si>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</si>
  <si>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</si>
  <si>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</si>
  <si>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</si>
  <si>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</si>
  <si>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</si>
  <si>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</si>
  <si>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</si>
  <si>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</si>
  <si>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</si>
  <si>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</si>
  <si>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</si>
  <si>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</si>
  <si>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</si>
  <si>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</si>
  <si>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</si>
  <si>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</si>
  <si>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</si>
  <si>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</si>
  <si>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</si>
  <si>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</si>
  <si>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</si>
  <si>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</si>
  <si>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</si>
  <si>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</si>
  <si>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</si>
  <si>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</si>
  <si>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</si>
  <si>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</si>
  <si>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</si>
  <si>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</si>
  <si>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</si>
  <si>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</si>
  <si>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</si>
  <si>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</si>
  <si>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</si>
  <si>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</si>
  <si>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</si>
  <si>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</si>
  <si>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</si>
  <si>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</si>
  <si>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</si>
  <si>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</si>
  <si>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</si>
  <si>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</si>
  <si>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</si>
  <si>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</si>
  <si>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</si>
  <si>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</si>
  <si>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</si>
  <si>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</si>
  <si>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</si>
  <si>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</si>
  <si>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</si>
  <si>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</si>
  <si>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</si>
  <si>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</si>
  <si>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</si>
  <si>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</si>
  <si>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</si>
  <si>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</si>
  <si>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</si>
  <si>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</si>
  <si>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</si>
  <si>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</si>
  <si>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</si>
  <si>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</si>
  <si>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</si>
  <si>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</si>
  <si>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</si>
  <si>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</si>
  <si>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</si>
  <si>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</si>
  <si>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</si>
  <si>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</si>
  <si>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</si>
  <si>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</si>
  <si>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</si>
  <si>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</si>
  <si>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</si>
  <si>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</si>
  <si>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</si>
  <si>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</si>
  <si>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</si>
  <si>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</si>
  <si>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</si>
  <si>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</si>
  <si>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</si>
  <si>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</si>
  <si>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</si>
  <si>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</si>
  <si>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</si>
  <si>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</si>
  <si>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</si>
  <si>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</si>
  <si>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</si>
  <si>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</si>
  <si>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</si>
  <si>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</si>
  <si>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</si>
  <si>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</si>
  <si>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</si>
  <si>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</si>
  <si>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</si>
  <si>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</si>
  <si>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</si>
  <si>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</si>
  <si>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</si>
  <si>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</si>
  <si>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</si>
  <si>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</si>
  <si>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</si>
  <si>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</si>
  <si>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</si>
  <si>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</si>
  <si>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</si>
  <si>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</si>
  <si>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</si>
  <si>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</si>
  <si>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</si>
  <si>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</si>
  <si>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</si>
  <si>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</si>
  <si>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</si>
  <si>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</si>
  <si>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</si>
  <si>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</si>
  <si>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</si>
  <si>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</si>
  <si>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</si>
  <si>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</si>
  <si>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</si>
  <si>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</si>
  <si>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</si>
  <si>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</si>
  <si>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</si>
  <si>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</si>
  <si>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</si>
  <si>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</si>
  <si>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</si>
  <si>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</si>
  <si>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</si>
  <si>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</si>
  <si>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</si>
  <si>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</si>
  <si>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</si>
  <si>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</si>
  <si>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</si>
  <si>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</si>
  <si>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</si>
  <si>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</si>
  <si>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</si>
  <si>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</si>
  <si>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</si>
  <si>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</si>
  <si>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</si>
  <si>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</si>
  <si>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</si>
  <si>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</si>
  <si>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</si>
  <si>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</si>
  <si>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</si>
  <si>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</si>
  <si>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</si>
  <si>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</si>
  <si>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</si>
  <si>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</si>
  <si>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</si>
  <si>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</si>
  <si>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</si>
  <si>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</si>
  <si>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</si>
  <si>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</si>
  <si>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</si>
  <si>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</si>
  <si>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</si>
  <si>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</si>
  <si>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</si>
  <si>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</si>
  <si>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</si>
  <si>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</si>
  <si>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</si>
  <si>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</si>
  <si>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</si>
  <si>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</si>
  <si>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</si>
  <si>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</si>
  <si>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</si>
  <si>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</si>
  <si>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</si>
  <si>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</si>
  <si>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</si>
  <si>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</si>
  <si>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</si>
  <si>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</si>
  <si>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</si>
  <si>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</si>
  <si>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</si>
  <si>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</si>
  <si>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</si>
  <si>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</si>
  <si>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</si>
  <si>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</si>
  <si>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</si>
  <si>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</si>
  <si>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</si>
  <si>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</si>
  <si>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</si>
  <si>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</si>
  <si>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</si>
  <si>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</si>
  <si>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</si>
  <si>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</si>
  <si>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</si>
  <si>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</si>
  <si>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</si>
  <si>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</si>
  <si>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</si>
  <si>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</si>
  <si>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</si>
  <si>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</si>
  <si>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</si>
  <si>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</si>
  <si>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</si>
  <si>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</si>
  <si>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</si>
  <si>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</si>
  <si>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</si>
  <si>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</si>
  <si>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</si>
  <si>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</si>
  <si>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</si>
  <si>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</si>
  <si>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</si>
  <si>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</si>
  <si>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</si>
  <si>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</si>
  <si>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</si>
  <si>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</si>
  <si>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</si>
  <si>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</si>
  <si>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</si>
  <si>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</si>
  <si>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</si>
  <si>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</si>
  <si>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</si>
  <si>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</si>
  <si>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</si>
  <si>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</si>
  <si>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</si>
  <si>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</si>
  <si>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</si>
  <si>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</si>
  <si>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</si>
  <si>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</si>
  <si>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</si>
  <si>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</si>
  <si>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</si>
  <si>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</si>
  <si>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</si>
  <si>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</si>
  <si>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</si>
  <si>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</si>
  <si>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</si>
  <si>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</si>
  <si>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</si>
  <si>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</si>
  <si>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</si>
  <si>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</si>
  <si>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</si>
  <si>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</si>
  <si>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</si>
  <si>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</si>
  <si>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</si>
  <si>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</si>
  <si>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</si>
  <si>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</si>
  <si>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</si>
  <si>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</si>
  <si>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</si>
  <si>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</si>
  <si>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</si>
  <si>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</si>
  <si>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</si>
  <si>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</si>
  <si>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</si>
  <si>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</si>
  <si>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</si>
  <si>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</si>
  <si>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</si>
  <si>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</si>
  <si>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</si>
  <si>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</si>
  <si>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</si>
  <si>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</si>
  <si>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</si>
  <si>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</si>
  <si>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</si>
  <si>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</si>
  <si>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</si>
  <si>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</si>
  <si>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</si>
  <si>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</si>
  <si>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</si>
  <si>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</si>
  <si>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</si>
  <si>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</si>
  <si>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</si>
  <si>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</si>
  <si>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</si>
  <si>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</si>
  <si>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</si>
  <si>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</si>
  <si>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</si>
  <si>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</si>
  <si>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</si>
  <si>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</si>
  <si>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</si>
  <si>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</si>
  <si>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</si>
  <si>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</si>
  <si>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</si>
  <si>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</si>
  <si>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</si>
  <si>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</si>
  <si>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</si>
  <si>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</si>
  <si>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</si>
  <si>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</si>
  <si>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</si>
  <si>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</si>
  <si>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</si>
  <si>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</si>
  <si>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</si>
  <si>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</si>
  <si>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</si>
  <si>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</si>
  <si>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</si>
  <si>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</si>
  <si>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</si>
  <si>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</si>
  <si>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</si>
  <si>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</si>
  <si>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</si>
  <si>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</si>
  <si>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</si>
  <si>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</si>
  <si>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</si>
  <si>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</si>
  <si>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</si>
  <si>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</si>
  <si>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</si>
  <si>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</si>
  <si>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</si>
  <si>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</si>
  <si>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</si>
  <si>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</si>
  <si>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</si>
  <si>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</si>
  <si>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</si>
  <si>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</si>
  <si>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</si>
  <si>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</si>
  <si>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</si>
  <si>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</si>
  <si>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</si>
  <si>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</si>
  <si>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</si>
  <si>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</si>
  <si>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</si>
  <si>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</si>
  <si>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</si>
  <si>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</si>
  <si>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</si>
  <si>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</si>
  <si>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</si>
  <si>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</si>
  <si>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</si>
  <si>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</si>
  <si>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</si>
  <si>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</si>
  <si>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</si>
  <si>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</si>
  <si>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</si>
  <si>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</si>
  <si>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</si>
  <si>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</si>
  <si>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</si>
  <si>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</si>
  <si>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</si>
  <si>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</si>
  <si>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</si>
  <si>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</si>
  <si>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</si>
  <si>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</si>
  <si>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</si>
  <si>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</si>
  <si>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</si>
  <si>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</si>
  <si>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</si>
  <si>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</si>
  <si>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</si>
  <si>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</si>
  <si>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</si>
  <si>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</si>
  <si>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</si>
  <si>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</si>
  <si>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</si>
  <si>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</si>
  <si>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</si>
  <si>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</si>
  <si>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</si>
  <si>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</si>
  <si>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</si>
  <si>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</si>
  <si>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</si>
  <si>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</si>
  <si>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</si>
  <si>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</si>
  <si>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</si>
  <si>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</si>
  <si>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</si>
  <si>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</si>
  <si>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</si>
  <si>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</si>
  <si>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</si>
  <si>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</si>
  <si>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</si>
  <si>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</si>
  <si>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</si>
  <si>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</si>
  <si>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</si>
  <si>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</si>
  <si>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</si>
  <si>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</si>
  <si>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</si>
  <si>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</si>
  <si>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</si>
  <si>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</si>
  <si>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</si>
  <si>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</si>
  <si>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</si>
  <si>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</si>
  <si>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</si>
  <si>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</si>
  <si>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</si>
  <si>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</si>
  <si>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</si>
  <si>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</si>
  <si>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</si>
  <si>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</si>
  <si>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</si>
  <si>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</si>
  <si>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</si>
  <si>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</si>
  <si>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</si>
  <si>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</si>
  <si>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</si>
  <si>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</si>
  <si>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</si>
  <si>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</si>
  <si>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</si>
  <si>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</si>
  <si>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</si>
  <si>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</si>
  <si>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</si>
  <si>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</si>
  <si>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</si>
  <si>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</si>
  <si>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</si>
  <si>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</si>
  <si>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</si>
  <si>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</si>
  <si>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</si>
  <si>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</si>
  <si>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</si>
  <si>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</si>
  <si>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total shoots</t>
  </si>
  <si>
    <t>This spreadsheet is a copy of the eelgrass restoration spreadsheet that resides here:</t>
  </si>
  <si>
    <t>K:\projects\Eelgrass_Restoration\MATRIX</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</si>
  <si>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</si>
  <si>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</si>
  <si>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</si>
  <si>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</si>
  <si>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</si>
  <si>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</si>
  <si>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</si>
  <si>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</si>
  <si>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</si>
  <si>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</si>
  <si>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</si>
  <si>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</si>
  <si>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</si>
  <si>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</si>
  <si>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</si>
  <si>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</si>
  <si>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</si>
  <si>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</si>
  <si>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</si>
  <si>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</si>
  <si>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</si>
  <si>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</si>
  <si>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</si>
  <si>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</si>
  <si>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</si>
  <si>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</si>
  <si>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</si>
  <si>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</si>
  <si>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</si>
  <si>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</si>
  <si>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</si>
  <si>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</si>
  <si>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</si>
  <si>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</si>
  <si>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</si>
  <si>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</si>
  <si>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</si>
  <si>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</si>
  <si>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</si>
  <si>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</si>
  <si>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</si>
  <si>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</si>
  <si>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</si>
  <si>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</si>
  <si>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</si>
  <si>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</si>
  <si>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</si>
  <si>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</si>
  <si>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</si>
  <si>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</si>
  <si>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</si>
  <si>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</si>
  <si>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</si>
  <si>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</si>
  <si>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</si>
  <si>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</si>
  <si>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</si>
  <si>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</si>
  <si>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</si>
  <si>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</si>
  <si>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</si>
  <si>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</si>
  <si>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</si>
  <si>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</si>
  <si>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</si>
  <si>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</si>
  <si>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</si>
  <si>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</si>
  <si>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</si>
  <si>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</si>
  <si>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</si>
  <si>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</si>
  <si>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</si>
  <si>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</si>
  <si>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</si>
  <si>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</si>
  <si>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</si>
  <si>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</si>
  <si>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</si>
  <si>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</si>
  <si>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</si>
  <si>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</si>
  <si>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</si>
  <si>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</si>
  <si>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</si>
  <si>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</si>
  <si>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</si>
  <si>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</si>
  <si>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</si>
  <si>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</si>
  <si>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</si>
  <si>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</si>
  <si>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</si>
  <si>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</si>
  <si>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</si>
  <si>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</si>
  <si>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</si>
  <si>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</si>
  <si>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</si>
  <si>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</si>
  <si>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</si>
  <si>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</si>
  <si>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</si>
  <si>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</si>
  <si>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</si>
  <si>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</si>
  <si>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</si>
  <si>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</si>
  <si>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</si>
  <si>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</si>
  <si>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</si>
  <si>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</si>
  <si>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</si>
  <si>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</si>
  <si>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</si>
  <si>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</si>
  <si>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</si>
  <si>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</si>
  <si>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</si>
  <si>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</si>
  <si>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</si>
  <si>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</si>
  <si>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</si>
  <si>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</si>
  <si>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</si>
  <si>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</si>
  <si>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</si>
  <si>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</si>
  <si>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</si>
  <si>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</si>
  <si>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</si>
  <si>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</si>
  <si>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</si>
  <si>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</si>
  <si>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</si>
  <si>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</si>
  <si>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</si>
  <si>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</si>
  <si>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</si>
  <si>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</si>
  <si>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</si>
  <si>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</si>
  <si>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</si>
  <si>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</si>
  <si>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</si>
  <si>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</si>
  <si>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</si>
  <si>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</si>
  <si>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</si>
  <si>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</si>
  <si>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</si>
  <si>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</si>
  <si>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</si>
  <si>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</si>
  <si>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</si>
  <si>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</si>
  <si>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</si>
  <si>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</si>
  <si>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</si>
  <si>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</si>
  <si>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</si>
  <si>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</si>
  <si>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</si>
  <si>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</si>
  <si>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</si>
  <si>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</si>
  <si>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</si>
  <si>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</si>
  <si>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</si>
  <si>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</si>
  <si>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</si>
  <si>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</si>
  <si>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</si>
  <si>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</si>
  <si>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</si>
  <si>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</si>
  <si>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</si>
  <si>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</si>
  <si>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</si>
  <si>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</si>
  <si>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</si>
  <si>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</si>
  <si>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</si>
  <si>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</si>
  <si>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</si>
  <si>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</si>
  <si>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</si>
  <si>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</si>
  <si>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</si>
  <si>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</si>
  <si>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</si>
  <si>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</si>
  <si>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</si>
  <si>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</si>
  <si>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</si>
  <si>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</si>
  <si>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</si>
  <si>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</si>
  <si>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</si>
  <si>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</si>
  <si>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</si>
  <si>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</si>
  <si>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</si>
  <si>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</si>
  <si>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</si>
  <si>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</si>
  <si>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</si>
  <si>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</si>
  <si>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</si>
  <si>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</si>
  <si>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</si>
  <si>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</si>
  <si>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</si>
  <si>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</si>
  <si>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</si>
  <si>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</si>
  <si>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</si>
  <si>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</si>
  <si>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</si>
  <si>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</si>
  <si>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</si>
  <si>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</si>
  <si>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</si>
  <si>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</si>
  <si>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</si>
  <si>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</si>
  <si>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</si>
  <si>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</si>
  <si>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</si>
  <si>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</si>
  <si>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</si>
  <si>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</si>
  <si>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</si>
  <si>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</si>
  <si>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</si>
  <si>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</si>
  <si>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</si>
  <si>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</si>
  <si>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</si>
  <si>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</si>
  <si>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</si>
  <si>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</si>
  <si>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</si>
  <si>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</si>
  <si>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</si>
  <si>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This copy was made of the source file when it had a date stamp of 9/16/2025 4:15pm</t>
  </si>
  <si>
    <t>File edited as part of data update.</t>
  </si>
  <si>
    <t>UPDATED EVERYTHING DOWN FROM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</si>
</sst>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1">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xf numFmtId="17" fontId="0" fillId="0" borderId="0" xfId="0" applyNumberFormat="1"/>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C9"/>
  <sheetViews>
    <sheetView workbookViewId="0">
      <selection activeCell="C10" sqref="C10"/>
    </sheetView>
  </sheetViews>
  <sheetFormatPr defaultRowHeight="15" x14ac:dyDescent="0.25"/>
  <cols>
    <col min="2" max="2" width="9.7109375" bestFit="1" customWidth="1"/>
  </cols>
  <sheetData>
    <row r="2" spans="2:3" x14ac:dyDescent="0.25">
      <c r="B2" t="s">
        <v>2214</v>
      </c>
    </row>
    <row r="4" spans="2:3" x14ac:dyDescent="0.25">
      <c r="B4" t="s">
        <v>2215</v>
      </c>
    </row>
    <row r="7" spans="2:3" x14ac:dyDescent="0.25">
      <c r="B7" s="236">
        <v>45923</v>
      </c>
      <c r="C7" t="s">
        <v>2461</v>
      </c>
    </row>
    <row r="9" spans="2:3" x14ac:dyDescent="0.25">
      <c r="B9" s="260">
        <v>46054</v>
      </c>
      <c r="C9" t="s">
        <v>2462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83" sqref="A83:A103"/>
    </sheetView>
  </sheetViews>
  <sheetFormatPr defaultColWidth="8.85546875" defaultRowHeight="15" x14ac:dyDescent="0.25"/>
  <cols>
    <col min="1" max="1" width="15.5703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464</v>
      </c>
      <c r="B1" s="108" t="s">
        <v>411</v>
      </c>
      <c r="C1" s="108" t="s">
        <v>451</v>
      </c>
      <c r="D1" s="108" t="s">
        <v>143</v>
      </c>
      <c r="E1" s="13" t="s">
        <v>438</v>
      </c>
    </row>
    <row r="2" spans="1:5" x14ac:dyDescent="0.25">
      <c r="A2" t="s">
        <v>528</v>
      </c>
      <c r="B2" t="s">
        <v>437</v>
      </c>
      <c r="C2" t="s">
        <v>569</v>
      </c>
      <c r="D2" t="s">
        <v>565</v>
      </c>
    </row>
    <row r="3" spans="1:5" x14ac:dyDescent="0.25">
      <c r="A3" t="s">
        <v>528</v>
      </c>
      <c r="B3" t="s">
        <v>470</v>
      </c>
      <c r="D3" t="s">
        <v>468</v>
      </c>
    </row>
    <row r="4" spans="1:5" x14ac:dyDescent="0.25">
      <c r="A4" t="s">
        <v>528</v>
      </c>
      <c r="B4" t="s">
        <v>85</v>
      </c>
      <c r="D4" t="s">
        <v>418</v>
      </c>
    </row>
    <row r="5" spans="1:5" x14ac:dyDescent="0.25">
      <c r="A5" t="s">
        <v>528</v>
      </c>
      <c r="B5" t="s">
        <v>0</v>
      </c>
      <c r="D5" t="s">
        <v>455</v>
      </c>
    </row>
    <row r="6" spans="1:5" x14ac:dyDescent="0.25">
      <c r="A6" t="s">
        <v>528</v>
      </c>
      <c r="B6" t="s">
        <v>466</v>
      </c>
      <c r="C6" t="s">
        <v>1530</v>
      </c>
      <c r="D6" t="s">
        <v>1830</v>
      </c>
    </row>
    <row r="7" spans="1:5" x14ac:dyDescent="0.25">
      <c r="A7" t="s">
        <v>528</v>
      </c>
      <c r="B7" t="s">
        <v>439</v>
      </c>
      <c r="C7" t="s">
        <v>467</v>
      </c>
      <c r="D7" t="s">
        <v>526</v>
      </c>
    </row>
    <row r="8" spans="1:5" x14ac:dyDescent="0.25">
      <c r="A8" t="s">
        <v>528</v>
      </c>
      <c r="B8" t="s">
        <v>527</v>
      </c>
      <c r="C8" t="s">
        <v>465</v>
      </c>
      <c r="D8" t="s">
        <v>469</v>
      </c>
    </row>
    <row r="9" spans="1:5" x14ac:dyDescent="0.25">
      <c r="A9" t="s">
        <v>528</v>
      </c>
      <c r="B9" t="s">
        <v>479</v>
      </c>
      <c r="C9" t="s">
        <v>449</v>
      </c>
      <c r="D9" t="s">
        <v>576</v>
      </c>
    </row>
    <row r="10" spans="1:5" x14ac:dyDescent="0.25">
      <c r="A10" t="s">
        <v>528</v>
      </c>
      <c r="B10" t="s">
        <v>480</v>
      </c>
      <c r="C10" t="s">
        <v>449</v>
      </c>
      <c r="D10" t="s">
        <v>577</v>
      </c>
    </row>
    <row r="11" spans="1:5" x14ac:dyDescent="0.25">
      <c r="A11" t="s">
        <v>528</v>
      </c>
      <c r="B11" t="s">
        <v>481</v>
      </c>
      <c r="C11" t="s">
        <v>449</v>
      </c>
      <c r="D11" t="s">
        <v>578</v>
      </c>
    </row>
    <row r="12" spans="1:5" x14ac:dyDescent="0.25">
      <c r="A12" t="s">
        <v>528</v>
      </c>
      <c r="B12" t="s">
        <v>482</v>
      </c>
      <c r="C12" t="s">
        <v>449</v>
      </c>
      <c r="D12" t="s">
        <v>579</v>
      </c>
    </row>
    <row r="13" spans="1:5" x14ac:dyDescent="0.25">
      <c r="A13" t="s">
        <v>528</v>
      </c>
      <c r="B13" t="s">
        <v>81</v>
      </c>
      <c r="C13" t="s">
        <v>446</v>
      </c>
      <c r="D13" t="s">
        <v>423</v>
      </c>
    </row>
    <row r="14" spans="1:5" x14ac:dyDescent="0.25">
      <c r="A14" t="s">
        <v>528</v>
      </c>
      <c r="B14" t="s">
        <v>589</v>
      </c>
      <c r="C14" s="18" t="s">
        <v>491</v>
      </c>
      <c r="D14" t="s">
        <v>760</v>
      </c>
    </row>
    <row r="15" spans="1:5" x14ac:dyDescent="0.25">
      <c r="A15" t="s">
        <v>528</v>
      </c>
      <c r="B15" t="s">
        <v>471</v>
      </c>
      <c r="C15" t="s">
        <v>475</v>
      </c>
      <c r="D15" t="s">
        <v>476</v>
      </c>
    </row>
    <row r="16" spans="1:5" x14ac:dyDescent="0.25">
      <c r="A16" t="s">
        <v>528</v>
      </c>
      <c r="B16" t="s">
        <v>472</v>
      </c>
      <c r="C16" t="s">
        <v>474</v>
      </c>
      <c r="D16" t="s">
        <v>921</v>
      </c>
    </row>
    <row r="17" spans="1:4" x14ac:dyDescent="0.25">
      <c r="A17" t="s">
        <v>528</v>
      </c>
      <c r="B17" t="s">
        <v>478</v>
      </c>
      <c r="C17" t="s">
        <v>473</v>
      </c>
      <c r="D17" t="s">
        <v>1831</v>
      </c>
    </row>
    <row r="18" spans="1:4" x14ac:dyDescent="0.25">
      <c r="A18" t="s">
        <v>528</v>
      </c>
      <c r="B18" t="s">
        <v>484</v>
      </c>
      <c r="C18" s="18" t="s">
        <v>758</v>
      </c>
      <c r="D18" t="s">
        <v>920</v>
      </c>
    </row>
    <row r="19" spans="1:4" x14ac:dyDescent="0.25">
      <c r="A19" t="s">
        <v>528</v>
      </c>
      <c r="B19" t="s">
        <v>438</v>
      </c>
      <c r="D19" t="s">
        <v>440</v>
      </c>
    </row>
    <row r="20" spans="1:4" x14ac:dyDescent="0.25">
      <c r="A20" t="s">
        <v>528</v>
      </c>
      <c r="B20" t="s">
        <v>483</v>
      </c>
      <c r="D20" t="s">
        <v>477</v>
      </c>
    </row>
    <row r="22" spans="1:4" x14ac:dyDescent="0.25">
      <c r="A22" t="s">
        <v>539</v>
      </c>
      <c r="B22" t="s">
        <v>136</v>
      </c>
      <c r="D22" t="s">
        <v>418</v>
      </c>
    </row>
    <row r="23" spans="1:4" x14ac:dyDescent="0.25">
      <c r="A23" t="s">
        <v>539</v>
      </c>
      <c r="B23" t="s">
        <v>0</v>
      </c>
      <c r="D23" t="s">
        <v>455</v>
      </c>
    </row>
    <row r="24" spans="1:4" x14ac:dyDescent="0.25">
      <c r="A24" t="s">
        <v>539</v>
      </c>
      <c r="B24" t="s">
        <v>147</v>
      </c>
      <c r="D24" t="s">
        <v>419</v>
      </c>
    </row>
    <row r="25" spans="1:4" x14ac:dyDescent="0.25">
      <c r="A25" t="s">
        <v>539</v>
      </c>
      <c r="B25" t="s">
        <v>457</v>
      </c>
      <c r="C25" t="s">
        <v>458</v>
      </c>
      <c r="D25" t="s">
        <v>460</v>
      </c>
    </row>
    <row r="26" spans="1:4" x14ac:dyDescent="0.25">
      <c r="A26" t="s">
        <v>539</v>
      </c>
      <c r="B26" t="s">
        <v>433</v>
      </c>
      <c r="C26" t="s">
        <v>450</v>
      </c>
      <c r="D26" t="s">
        <v>420</v>
      </c>
    </row>
    <row r="27" spans="1:4" x14ac:dyDescent="0.25">
      <c r="A27" t="s">
        <v>539</v>
      </c>
      <c r="B27" t="s">
        <v>142</v>
      </c>
      <c r="D27" t="s">
        <v>429</v>
      </c>
    </row>
    <row r="28" spans="1:4" x14ac:dyDescent="0.25">
      <c r="A28" t="s">
        <v>539</v>
      </c>
      <c r="B28" t="s">
        <v>403</v>
      </c>
      <c r="D28" t="s">
        <v>428</v>
      </c>
    </row>
    <row r="29" spans="1:4" x14ac:dyDescent="0.25">
      <c r="A29" t="s">
        <v>539</v>
      </c>
      <c r="B29" t="s">
        <v>1</v>
      </c>
      <c r="D29" t="s">
        <v>430</v>
      </c>
    </row>
    <row r="30" spans="1:4" x14ac:dyDescent="0.25">
      <c r="A30" t="s">
        <v>539</v>
      </c>
      <c r="B30" t="s">
        <v>2</v>
      </c>
      <c r="D30" t="s">
        <v>431</v>
      </c>
    </row>
    <row r="31" spans="1:4" x14ac:dyDescent="0.25">
      <c r="A31" t="s">
        <v>539</v>
      </c>
      <c r="B31" t="s">
        <v>228</v>
      </c>
      <c r="D31" t="s">
        <v>432</v>
      </c>
    </row>
    <row r="32" spans="1:4" x14ac:dyDescent="0.25">
      <c r="A32" t="s">
        <v>539</v>
      </c>
      <c r="B32" t="s">
        <v>452</v>
      </c>
      <c r="C32" t="s">
        <v>443</v>
      </c>
      <c r="D32" t="s">
        <v>435</v>
      </c>
    </row>
    <row r="33" spans="1:5" x14ac:dyDescent="0.25">
      <c r="A33" t="s">
        <v>539</v>
      </c>
      <c r="B33" t="s">
        <v>452</v>
      </c>
      <c r="C33" t="s">
        <v>444</v>
      </c>
      <c r="D33" t="s">
        <v>434</v>
      </c>
    </row>
    <row r="34" spans="1:5" x14ac:dyDescent="0.25">
      <c r="A34" t="s">
        <v>539</v>
      </c>
      <c r="B34" t="s">
        <v>453</v>
      </c>
      <c r="C34" t="s">
        <v>445</v>
      </c>
      <c r="D34" t="s">
        <v>442</v>
      </c>
    </row>
    <row r="35" spans="1:5" x14ac:dyDescent="0.25">
      <c r="A35" t="s">
        <v>539</v>
      </c>
      <c r="B35" t="s">
        <v>453</v>
      </c>
      <c r="C35" t="s">
        <v>444</v>
      </c>
      <c r="D35" t="s">
        <v>441</v>
      </c>
    </row>
    <row r="36" spans="1:5" x14ac:dyDescent="0.25">
      <c r="A36" t="s">
        <v>539</v>
      </c>
      <c r="B36" t="s">
        <v>422</v>
      </c>
      <c r="D36" t="s">
        <v>421</v>
      </c>
    </row>
    <row r="37" spans="1:5" x14ac:dyDescent="0.25">
      <c r="A37" t="s">
        <v>539</v>
      </c>
      <c r="B37" t="s">
        <v>517</v>
      </c>
      <c r="C37" t="s">
        <v>536</v>
      </c>
      <c r="D37" t="s">
        <v>538</v>
      </c>
    </row>
    <row r="38" spans="1:5" x14ac:dyDescent="0.25">
      <c r="A38" t="s">
        <v>539</v>
      </c>
      <c r="B38" t="s">
        <v>518</v>
      </c>
      <c r="C38" t="s">
        <v>536</v>
      </c>
      <c r="D38" t="s">
        <v>537</v>
      </c>
    </row>
    <row r="39" spans="1:5" x14ac:dyDescent="0.25">
      <c r="A39" t="s">
        <v>539</v>
      </c>
      <c r="B39" t="s">
        <v>532</v>
      </c>
      <c r="C39" t="s">
        <v>569</v>
      </c>
      <c r="D39" t="s">
        <v>564</v>
      </c>
    </row>
    <row r="40" spans="1:5" x14ac:dyDescent="0.25">
      <c r="A40" t="s">
        <v>539</v>
      </c>
      <c r="B40" t="s">
        <v>96</v>
      </c>
      <c r="C40" t="s">
        <v>449</v>
      </c>
      <c r="D40" t="s">
        <v>580</v>
      </c>
    </row>
    <row r="41" spans="1:5" x14ac:dyDescent="0.25">
      <c r="A41" t="s">
        <v>539</v>
      </c>
      <c r="B41" t="s">
        <v>97</v>
      </c>
      <c r="C41" t="s">
        <v>449</v>
      </c>
      <c r="D41" t="s">
        <v>581</v>
      </c>
    </row>
    <row r="42" spans="1:5" x14ac:dyDescent="0.25">
      <c r="A42" t="s">
        <v>539</v>
      </c>
      <c r="B42" t="s">
        <v>81</v>
      </c>
      <c r="C42" t="s">
        <v>446</v>
      </c>
      <c r="D42" t="s">
        <v>423</v>
      </c>
    </row>
    <row r="43" spans="1:5" x14ac:dyDescent="0.25">
      <c r="A43" t="s">
        <v>539</v>
      </c>
      <c r="B43" t="s">
        <v>589</v>
      </c>
      <c r="C43" t="s">
        <v>491</v>
      </c>
      <c r="D43" t="s">
        <v>935</v>
      </c>
    </row>
    <row r="44" spans="1:5" x14ac:dyDescent="0.25">
      <c r="A44" t="s">
        <v>539</v>
      </c>
      <c r="B44" t="s">
        <v>490</v>
      </c>
      <c r="C44" t="s">
        <v>447</v>
      </c>
      <c r="D44" t="s">
        <v>556</v>
      </c>
    </row>
    <row r="45" spans="1:5" x14ac:dyDescent="0.25">
      <c r="A45" t="s">
        <v>539</v>
      </c>
      <c r="B45" t="s">
        <v>42</v>
      </c>
      <c r="C45" t="s">
        <v>44</v>
      </c>
      <c r="D45" t="s">
        <v>1169</v>
      </c>
    </row>
    <row r="46" spans="1:5" x14ac:dyDescent="0.25">
      <c r="A46" t="s">
        <v>539</v>
      </c>
      <c r="B46" t="s">
        <v>43</v>
      </c>
      <c r="C46" t="s">
        <v>44</v>
      </c>
      <c r="D46" t="s">
        <v>1170</v>
      </c>
    </row>
    <row r="47" spans="1:5" ht="17.25" x14ac:dyDescent="0.25">
      <c r="A47" t="s">
        <v>539</v>
      </c>
      <c r="B47" t="s">
        <v>511</v>
      </c>
      <c r="C47" t="s">
        <v>955</v>
      </c>
      <c r="D47" t="s">
        <v>454</v>
      </c>
      <c r="E47" t="s">
        <v>1023</v>
      </c>
    </row>
    <row r="48" spans="1:5" ht="17.25" x14ac:dyDescent="0.25">
      <c r="A48" t="s">
        <v>539</v>
      </c>
      <c r="B48" t="s">
        <v>637</v>
      </c>
      <c r="C48" t="s">
        <v>955</v>
      </c>
      <c r="D48" t="s">
        <v>516</v>
      </c>
      <c r="E48" t="s">
        <v>1022</v>
      </c>
    </row>
    <row r="49" spans="1:5" ht="17.25" x14ac:dyDescent="0.25">
      <c r="A49" t="s">
        <v>539</v>
      </c>
      <c r="B49" t="s">
        <v>424</v>
      </c>
      <c r="C49" t="s">
        <v>955</v>
      </c>
      <c r="D49" t="s">
        <v>1173</v>
      </c>
      <c r="E49" t="s">
        <v>1021</v>
      </c>
    </row>
    <row r="50" spans="1:5" x14ac:dyDescent="0.25">
      <c r="A50" t="s">
        <v>539</v>
      </c>
      <c r="B50" t="s">
        <v>558</v>
      </c>
      <c r="C50" t="s">
        <v>557</v>
      </c>
    </row>
    <row r="51" spans="1:5" x14ac:dyDescent="0.25">
      <c r="A51" t="s">
        <v>539</v>
      </c>
      <c r="B51" t="s">
        <v>519</v>
      </c>
      <c r="D51" t="s">
        <v>425</v>
      </c>
    </row>
    <row r="52" spans="1:5" ht="17.25" x14ac:dyDescent="0.25">
      <c r="A52" t="s">
        <v>539</v>
      </c>
      <c r="B52" t="s">
        <v>513</v>
      </c>
      <c r="C52" t="s">
        <v>956</v>
      </c>
      <c r="D52" t="s">
        <v>514</v>
      </c>
      <c r="E52" t="s">
        <v>1025</v>
      </c>
    </row>
    <row r="53" spans="1:5" ht="17.25" x14ac:dyDescent="0.25">
      <c r="A53" t="s">
        <v>539</v>
      </c>
      <c r="B53" t="s">
        <v>1027</v>
      </c>
      <c r="C53" t="s">
        <v>957</v>
      </c>
      <c r="D53" t="s">
        <v>515</v>
      </c>
      <c r="E53" t="s">
        <v>1026</v>
      </c>
    </row>
    <row r="54" spans="1:5" ht="17.25" x14ac:dyDescent="0.25">
      <c r="A54" t="s">
        <v>539</v>
      </c>
      <c r="B54" t="s">
        <v>512</v>
      </c>
      <c r="C54" t="s">
        <v>958</v>
      </c>
      <c r="D54" t="s">
        <v>426</v>
      </c>
      <c r="E54" t="s">
        <v>1024</v>
      </c>
    </row>
    <row r="55" spans="1:5" x14ac:dyDescent="0.25">
      <c r="A55" t="s">
        <v>539</v>
      </c>
      <c r="B55" t="s">
        <v>552</v>
      </c>
      <c r="C55" t="s">
        <v>448</v>
      </c>
      <c r="D55" t="s">
        <v>436</v>
      </c>
    </row>
    <row r="56" spans="1:5" x14ac:dyDescent="0.25">
      <c r="A56" t="s">
        <v>539</v>
      </c>
      <c r="B56" t="s">
        <v>438</v>
      </c>
      <c r="D56" t="s">
        <v>440</v>
      </c>
    </row>
    <row r="58" spans="1:5" s="34" customFormat="1" x14ac:dyDescent="0.25">
      <c r="A58" s="34" t="s">
        <v>529</v>
      </c>
      <c r="B58" s="50" t="s">
        <v>136</v>
      </c>
      <c r="D58" s="1" t="s">
        <v>418</v>
      </c>
    </row>
    <row r="59" spans="1:5" s="34" customFormat="1" x14ac:dyDescent="0.25">
      <c r="A59" s="34" t="s">
        <v>529</v>
      </c>
      <c r="B59" s="50" t="s">
        <v>0</v>
      </c>
      <c r="D59" s="1" t="s">
        <v>455</v>
      </c>
    </row>
    <row r="60" spans="1:5" x14ac:dyDescent="0.25">
      <c r="A60" t="s">
        <v>539</v>
      </c>
      <c r="B60" t="s">
        <v>517</v>
      </c>
      <c r="C60" t="s">
        <v>536</v>
      </c>
      <c r="D60" t="s">
        <v>538</v>
      </c>
    </row>
    <row r="61" spans="1:5" s="34" customFormat="1" x14ac:dyDescent="0.25">
      <c r="A61" s="34" t="s">
        <v>529</v>
      </c>
      <c r="B61" s="50" t="s">
        <v>532</v>
      </c>
      <c r="C61" s="1" t="s">
        <v>569</v>
      </c>
      <c r="D61" s="1" t="s">
        <v>564</v>
      </c>
    </row>
    <row r="62" spans="1:5" s="34" customFormat="1" ht="17.25" x14ac:dyDescent="0.25">
      <c r="A62" s="34" t="s">
        <v>529</v>
      </c>
      <c r="B62" s="50" t="s">
        <v>637</v>
      </c>
      <c r="C62" s="1" t="s">
        <v>645</v>
      </c>
      <c r="D62" s="1" t="s">
        <v>516</v>
      </c>
    </row>
    <row r="63" spans="1:5" s="34" customFormat="1" x14ac:dyDescent="0.25">
      <c r="A63" s="34" t="s">
        <v>529</v>
      </c>
      <c r="B63" s="51" t="s">
        <v>638</v>
      </c>
      <c r="C63" s="1"/>
      <c r="D63" s="1" t="s">
        <v>425</v>
      </c>
    </row>
    <row r="64" spans="1:5" s="34" customFormat="1" x14ac:dyDescent="0.25">
      <c r="A64" s="34" t="s">
        <v>529</v>
      </c>
      <c r="B64" s="51" t="s">
        <v>963</v>
      </c>
      <c r="C64" s="1"/>
      <c r="D64" s="1" t="s">
        <v>964</v>
      </c>
    </row>
    <row r="65" spans="1:5" s="34" customFormat="1" x14ac:dyDescent="0.25">
      <c r="A65" s="34" t="s">
        <v>529</v>
      </c>
      <c r="B65" s="51" t="s">
        <v>531</v>
      </c>
      <c r="C65" s="1" t="s">
        <v>569</v>
      </c>
      <c r="D65" s="34" t="s">
        <v>640</v>
      </c>
    </row>
    <row r="66" spans="1:5" s="34" customFormat="1" x14ac:dyDescent="0.25">
      <c r="A66" s="34" t="s">
        <v>529</v>
      </c>
      <c r="B66" s="49" t="s">
        <v>533</v>
      </c>
      <c r="C66" s="101" t="s">
        <v>534</v>
      </c>
      <c r="D66" s="34" t="s">
        <v>642</v>
      </c>
    </row>
    <row r="67" spans="1:5" s="34" customFormat="1" x14ac:dyDescent="0.25">
      <c r="A67" s="34" t="s">
        <v>529</v>
      </c>
      <c r="B67" s="51" t="s">
        <v>486</v>
      </c>
      <c r="C67" s="46" t="s">
        <v>535</v>
      </c>
      <c r="D67" s="34" t="s">
        <v>641</v>
      </c>
    </row>
    <row r="68" spans="1:5" s="34" customFormat="1" ht="17.25" x14ac:dyDescent="0.25">
      <c r="A68" s="34" t="s">
        <v>529</v>
      </c>
      <c r="B68" s="51" t="s">
        <v>487</v>
      </c>
      <c r="C68" s="101" t="s">
        <v>959</v>
      </c>
      <c r="D68" s="34" t="s">
        <v>643</v>
      </c>
    </row>
    <row r="69" spans="1:5" s="34" customFormat="1" ht="17.25" x14ac:dyDescent="0.25">
      <c r="A69" s="34" t="s">
        <v>529</v>
      </c>
      <c r="B69" s="51" t="s">
        <v>488</v>
      </c>
      <c r="C69" s="47" t="s">
        <v>960</v>
      </c>
      <c r="D69" s="34" t="s">
        <v>647</v>
      </c>
    </row>
    <row r="70" spans="1:5" s="34" customFormat="1" x14ac:dyDescent="0.25">
      <c r="A70" s="34" t="s">
        <v>529</v>
      </c>
      <c r="B70" s="51" t="s">
        <v>489</v>
      </c>
      <c r="C70" s="101" t="s">
        <v>46</v>
      </c>
      <c r="D70" s="34" t="s">
        <v>644</v>
      </c>
    </row>
    <row r="71" spans="1:5" s="34" customFormat="1" x14ac:dyDescent="0.25">
      <c r="A71" s="34" t="s">
        <v>529</v>
      </c>
      <c r="B71" t="s">
        <v>922</v>
      </c>
      <c r="C71" s="47" t="s">
        <v>47</v>
      </c>
      <c r="D71" s="34" t="s">
        <v>646</v>
      </c>
    </row>
    <row r="72" spans="1:5" x14ac:dyDescent="0.25">
      <c r="A72" s="34" t="s">
        <v>529</v>
      </c>
      <c r="B72" t="s">
        <v>438</v>
      </c>
    </row>
    <row r="74" spans="1:5" s="34" customFormat="1" x14ac:dyDescent="0.25">
      <c r="A74" s="34" t="s">
        <v>962</v>
      </c>
      <c r="B74" s="34" t="s">
        <v>0</v>
      </c>
      <c r="D74" s="34" t="s">
        <v>455</v>
      </c>
      <c r="E74" s="34" t="s">
        <v>548</v>
      </c>
    </row>
    <row r="75" spans="1:5" x14ac:dyDescent="0.25">
      <c r="A75" s="34" t="s">
        <v>962</v>
      </c>
      <c r="B75" t="s">
        <v>142</v>
      </c>
      <c r="D75" t="s">
        <v>429</v>
      </c>
    </row>
    <row r="76" spans="1:5" x14ac:dyDescent="0.25">
      <c r="A76" s="34" t="s">
        <v>962</v>
      </c>
      <c r="B76" t="s">
        <v>403</v>
      </c>
      <c r="D76" t="s">
        <v>428</v>
      </c>
    </row>
    <row r="77" spans="1:5" x14ac:dyDescent="0.25">
      <c r="A77" s="34" t="s">
        <v>962</v>
      </c>
      <c r="B77" t="s">
        <v>433</v>
      </c>
      <c r="C77" t="s">
        <v>450</v>
      </c>
      <c r="D77" t="s">
        <v>420</v>
      </c>
    </row>
    <row r="78" spans="1:5" x14ac:dyDescent="0.25">
      <c r="A78" s="34" t="s">
        <v>962</v>
      </c>
      <c r="B78" t="s">
        <v>96</v>
      </c>
      <c r="C78" t="s">
        <v>449</v>
      </c>
      <c r="D78" t="s">
        <v>580</v>
      </c>
    </row>
    <row r="79" spans="1:5" x14ac:dyDescent="0.25">
      <c r="A79" s="34" t="s">
        <v>962</v>
      </c>
      <c r="B79" t="s">
        <v>97</v>
      </c>
      <c r="C79" t="s">
        <v>449</v>
      </c>
      <c r="D79" t="s">
        <v>581</v>
      </c>
    </row>
    <row r="80" spans="1:5" x14ac:dyDescent="0.25">
      <c r="A80" s="34" t="s">
        <v>962</v>
      </c>
      <c r="B80" t="s">
        <v>81</v>
      </c>
      <c r="C80" t="s">
        <v>446</v>
      </c>
      <c r="D80" t="s">
        <v>423</v>
      </c>
    </row>
    <row r="81" spans="1:4" x14ac:dyDescent="0.25">
      <c r="A81" s="34" t="s">
        <v>962</v>
      </c>
      <c r="B81" t="s">
        <v>438</v>
      </c>
      <c r="D81" t="s">
        <v>440</v>
      </c>
    </row>
    <row r="83" spans="1:4" x14ac:dyDescent="0.25">
      <c r="A83" t="s">
        <v>530</v>
      </c>
      <c r="B83" t="s">
        <v>136</v>
      </c>
      <c r="D83" t="s">
        <v>418</v>
      </c>
    </row>
    <row r="84" spans="1:4" x14ac:dyDescent="0.25">
      <c r="A84" t="s">
        <v>530</v>
      </c>
      <c r="B84" t="s">
        <v>0</v>
      </c>
      <c r="D84" t="s">
        <v>923</v>
      </c>
    </row>
    <row r="85" spans="1:4" x14ac:dyDescent="0.25">
      <c r="A85" t="s">
        <v>530</v>
      </c>
      <c r="B85" t="s">
        <v>41</v>
      </c>
      <c r="D85" t="s">
        <v>442</v>
      </c>
    </row>
    <row r="86" spans="1:4" x14ac:dyDescent="0.25">
      <c r="A86" t="s">
        <v>530</v>
      </c>
      <c r="B86" t="s">
        <v>889</v>
      </c>
    </row>
    <row r="87" spans="1:4" x14ac:dyDescent="0.25">
      <c r="A87" t="s">
        <v>530</v>
      </c>
      <c r="B87" t="s">
        <v>86</v>
      </c>
      <c r="D87" t="s">
        <v>924</v>
      </c>
    </row>
    <row r="88" spans="1:4" x14ac:dyDescent="0.25">
      <c r="A88" t="s">
        <v>530</v>
      </c>
      <c r="B88" t="s">
        <v>84</v>
      </c>
      <c r="C88" t="s">
        <v>104</v>
      </c>
      <c r="D88" t="s">
        <v>925</v>
      </c>
    </row>
    <row r="89" spans="1:4" x14ac:dyDescent="0.25">
      <c r="A89" t="s">
        <v>530</v>
      </c>
      <c r="B89" t="s">
        <v>101</v>
      </c>
      <c r="C89" t="s">
        <v>103</v>
      </c>
      <c r="D89" t="s">
        <v>926</v>
      </c>
    </row>
    <row r="90" spans="1:4" x14ac:dyDescent="0.25">
      <c r="A90" t="s">
        <v>530</v>
      </c>
      <c r="B90" t="s">
        <v>98</v>
      </c>
      <c r="C90" t="s">
        <v>99</v>
      </c>
      <c r="D90" t="s">
        <v>927</v>
      </c>
    </row>
    <row r="91" spans="1:4" x14ac:dyDescent="0.25">
      <c r="A91" t="s">
        <v>530</v>
      </c>
      <c r="B91" t="s">
        <v>130</v>
      </c>
      <c r="D91" t="s">
        <v>928</v>
      </c>
    </row>
    <row r="92" spans="1:4" x14ac:dyDescent="0.25">
      <c r="A92" t="s">
        <v>530</v>
      </c>
      <c r="B92" t="s">
        <v>105</v>
      </c>
      <c r="D92" t="s">
        <v>929</v>
      </c>
    </row>
    <row r="93" spans="1:4" x14ac:dyDescent="0.25">
      <c r="A93" t="s">
        <v>530</v>
      </c>
      <c r="B93" t="s">
        <v>106</v>
      </c>
      <c r="D93" t="s">
        <v>930</v>
      </c>
    </row>
    <row r="94" spans="1:4" x14ac:dyDescent="0.25">
      <c r="A94" t="s">
        <v>530</v>
      </c>
      <c r="B94" t="s">
        <v>107</v>
      </c>
      <c r="C94" t="s">
        <v>569</v>
      </c>
      <c r="D94" t="s">
        <v>931</v>
      </c>
    </row>
    <row r="95" spans="1:4" x14ac:dyDescent="0.25">
      <c r="A95" t="s">
        <v>530</v>
      </c>
      <c r="B95" t="s">
        <v>132</v>
      </c>
      <c r="D95" t="s">
        <v>1004</v>
      </c>
    </row>
    <row r="96" spans="1:4" x14ac:dyDescent="0.25">
      <c r="A96" t="s">
        <v>530</v>
      </c>
      <c r="B96" t="s">
        <v>108</v>
      </c>
      <c r="C96" t="s">
        <v>569</v>
      </c>
      <c r="D96" t="s">
        <v>932</v>
      </c>
    </row>
    <row r="97" spans="1:4" x14ac:dyDescent="0.25">
      <c r="A97" t="s">
        <v>530</v>
      </c>
      <c r="B97" t="s">
        <v>133</v>
      </c>
      <c r="D97" t="s">
        <v>933</v>
      </c>
    </row>
    <row r="98" spans="1:4" x14ac:dyDescent="0.25">
      <c r="A98" t="s">
        <v>530</v>
      </c>
      <c r="B98" t="s">
        <v>934</v>
      </c>
      <c r="C98" t="s">
        <v>491</v>
      </c>
      <c r="D98" t="s">
        <v>936</v>
      </c>
    </row>
    <row r="99" spans="1:4" x14ac:dyDescent="0.25">
      <c r="A99" t="s">
        <v>530</v>
      </c>
      <c r="B99" t="s">
        <v>3</v>
      </c>
    </row>
    <row r="100" spans="1:4" x14ac:dyDescent="0.25">
      <c r="A100" t="s">
        <v>530</v>
      </c>
      <c r="B100" t="s">
        <v>887</v>
      </c>
      <c r="C100" t="s">
        <v>888</v>
      </c>
      <c r="D100" t="s">
        <v>937</v>
      </c>
    </row>
    <row r="101" spans="1:4" x14ac:dyDescent="0.25">
      <c r="A101" t="s">
        <v>530</v>
      </c>
      <c r="B101" t="s">
        <v>96</v>
      </c>
      <c r="C101" t="s">
        <v>449</v>
      </c>
      <c r="D101" t="s">
        <v>580</v>
      </c>
    </row>
    <row r="102" spans="1:4" x14ac:dyDescent="0.25">
      <c r="A102" t="s">
        <v>530</v>
      </c>
      <c r="B102" t="s">
        <v>97</v>
      </c>
      <c r="C102" t="s">
        <v>449</v>
      </c>
      <c r="D102" t="s">
        <v>581</v>
      </c>
    </row>
    <row r="103" spans="1:4" x14ac:dyDescent="0.25">
      <c r="A103" t="s">
        <v>530</v>
      </c>
      <c r="B103" t="s">
        <v>81</v>
      </c>
      <c r="C103" t="s">
        <v>446</v>
      </c>
      <c r="D103" t="s">
        <v>423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Q1" zoomScale="106" zoomScaleNormal="106" workbookViewId="0">
      <pane ySplit="1" topLeftCell="A2" activePane="bottomLeft" state="frozen"/>
      <selection pane="bottomLeft" activeCell="Q9" sqref="Q9"/>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5703125" style="12" customWidth="1"/>
    <col min="6" max="6" width="18.7109375" style="12" bestFit="1" customWidth="1"/>
    <col min="7" max="7" width="25.28515625" style="12" customWidth="1"/>
    <col min="8" max="8" width="16.42578125" style="94" customWidth="1"/>
    <col min="9" max="9" width="20" style="94" bestFit="1" customWidth="1"/>
    <col min="10" max="10" width="16.5703125" style="94" customWidth="1"/>
    <col min="11" max="11" width="14.42578125" style="94" customWidth="1"/>
    <col min="12" max="12" width="15.28515625" style="12" bestFit="1" customWidth="1"/>
    <col min="13" max="13" width="11.5703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437</v>
      </c>
      <c r="B1" s="82" t="s">
        <v>470</v>
      </c>
      <c r="C1" s="83" t="s">
        <v>85</v>
      </c>
      <c r="D1" s="21" t="s">
        <v>0</v>
      </c>
      <c r="E1" s="82" t="s">
        <v>466</v>
      </c>
      <c r="F1" s="84" t="s">
        <v>439</v>
      </c>
      <c r="G1" s="84" t="s">
        <v>527</v>
      </c>
      <c r="H1" s="85" t="s">
        <v>479</v>
      </c>
      <c r="I1" s="85" t="s">
        <v>480</v>
      </c>
      <c r="J1" s="85" t="s">
        <v>481</v>
      </c>
      <c r="K1" s="85" t="s">
        <v>482</v>
      </c>
      <c r="L1" s="82" t="s">
        <v>81</v>
      </c>
      <c r="M1" s="86" t="s">
        <v>589</v>
      </c>
      <c r="N1" s="82" t="s">
        <v>471</v>
      </c>
      <c r="O1" s="82" t="s">
        <v>472</v>
      </c>
      <c r="P1" s="82" t="s">
        <v>478</v>
      </c>
      <c r="Q1" s="82" t="s">
        <v>484</v>
      </c>
      <c r="R1" s="84" t="s">
        <v>438</v>
      </c>
      <c r="S1" s="82" t="s">
        <v>483</v>
      </c>
    </row>
    <row r="2" spans="1:26" ht="15" customHeight="1" x14ac:dyDescent="0.25">
      <c r="A2" s="10" t="s">
        <v>569</v>
      </c>
      <c r="B2" s="78"/>
      <c r="C2" s="78"/>
      <c r="D2" s="78"/>
      <c r="E2" s="10" t="s">
        <v>1530</v>
      </c>
      <c r="F2" s="10" t="s">
        <v>467</v>
      </c>
      <c r="G2" s="10" t="s">
        <v>759</v>
      </c>
      <c r="H2" s="62" t="s">
        <v>449</v>
      </c>
      <c r="I2" s="62" t="s">
        <v>449</v>
      </c>
      <c r="J2" s="62" t="s">
        <v>449</v>
      </c>
      <c r="K2" s="62" t="s">
        <v>449</v>
      </c>
      <c r="L2" s="10" t="s">
        <v>82</v>
      </c>
      <c r="M2" s="66" t="s">
        <v>491</v>
      </c>
      <c r="N2" s="10" t="s">
        <v>475</v>
      </c>
      <c r="O2" s="10" t="s">
        <v>474</v>
      </c>
      <c r="P2" s="10" t="s">
        <v>815</v>
      </c>
      <c r="Q2" s="21" t="s">
        <v>758</v>
      </c>
      <c r="R2" s="107"/>
      <c r="S2" s="10"/>
    </row>
    <row r="3" spans="1:26" s="1" customFormat="1" ht="15" customHeight="1" x14ac:dyDescent="0.25">
      <c r="A3" s="35">
        <v>41215</v>
      </c>
      <c r="B3" t="s">
        <v>649</v>
      </c>
      <c r="C3" t="s">
        <v>1287</v>
      </c>
      <c r="D3" t="s">
        <v>1290</v>
      </c>
      <c r="E3" s="146" t="s">
        <v>523</v>
      </c>
      <c r="F3" s="98" t="s">
        <v>412</v>
      </c>
      <c r="G3" s="98" t="s">
        <v>701</v>
      </c>
      <c r="H3" s="88">
        <v>47.863050000000001</v>
      </c>
      <c r="I3" s="88">
        <v>-122.69146666666667</v>
      </c>
      <c r="J3" s="88"/>
      <c r="K3" s="88"/>
      <c r="L3" s="98" t="s">
        <v>148</v>
      </c>
      <c r="M3" s="97">
        <v>-1.7</v>
      </c>
      <c r="N3" s="98" t="s">
        <v>793</v>
      </c>
      <c r="O3" s="98" t="s">
        <v>89</v>
      </c>
      <c r="P3" s="98" t="s">
        <v>291</v>
      </c>
      <c r="Q3" s="98" t="s">
        <v>372</v>
      </c>
      <c r="R3" s="13" t="s">
        <v>1291</v>
      </c>
      <c r="S3" s="98" t="s">
        <v>1284</v>
      </c>
    </row>
    <row r="4" spans="1:26" ht="15" customHeight="1" x14ac:dyDescent="0.25">
      <c r="A4" s="35">
        <v>41215</v>
      </c>
      <c r="B4" t="s">
        <v>649</v>
      </c>
      <c r="C4" t="s">
        <v>1287</v>
      </c>
      <c r="D4" t="s">
        <v>1288</v>
      </c>
      <c r="E4" s="146" t="s">
        <v>523</v>
      </c>
      <c r="F4" s="98" t="s">
        <v>691</v>
      </c>
      <c r="G4" s="98" t="s">
        <v>701</v>
      </c>
      <c r="H4" s="88">
        <v>47.862369999999999</v>
      </c>
      <c r="I4" s="88">
        <v>-122.69046666666667</v>
      </c>
      <c r="J4" s="88">
        <v>47.865270000000002</v>
      </c>
      <c r="K4" s="88">
        <v>-122.68908333333333</v>
      </c>
      <c r="L4" s="98" t="s">
        <v>148</v>
      </c>
      <c r="M4" s="97">
        <v>-3.4</v>
      </c>
      <c r="N4" s="98" t="s">
        <v>793</v>
      </c>
      <c r="O4" s="98" t="s">
        <v>89</v>
      </c>
      <c r="P4" s="98" t="s">
        <v>521</v>
      </c>
      <c r="Q4" s="98" t="s">
        <v>372</v>
      </c>
      <c r="R4" s="13" t="s">
        <v>1289</v>
      </c>
      <c r="S4" s="98" t="s">
        <v>1284</v>
      </c>
      <c r="T4" s="81"/>
      <c r="U4" s="81"/>
      <c r="V4" s="81"/>
      <c r="W4" s="81"/>
      <c r="X4" s="81"/>
      <c r="Y4" s="81"/>
      <c r="Z4" s="81"/>
    </row>
    <row r="5" spans="1:26" s="87" customFormat="1" ht="15" customHeight="1" x14ac:dyDescent="0.25">
      <c r="A5" s="35">
        <v>41215</v>
      </c>
      <c r="B5" t="s">
        <v>649</v>
      </c>
      <c r="C5" t="s">
        <v>651</v>
      </c>
      <c r="D5" t="s">
        <v>1292</v>
      </c>
      <c r="E5" s="146" t="s">
        <v>523</v>
      </c>
      <c r="F5" s="98" t="s">
        <v>412</v>
      </c>
      <c r="G5" s="98" t="s">
        <v>701</v>
      </c>
      <c r="H5" s="88">
        <v>47.823333333333331</v>
      </c>
      <c r="I5" s="88">
        <v>-122.57913333333333</v>
      </c>
      <c r="J5" s="88"/>
      <c r="K5" s="88"/>
      <c r="L5" s="98" t="s">
        <v>148</v>
      </c>
      <c r="M5" s="97">
        <v>-8.1999999999999993</v>
      </c>
      <c r="N5" s="98" t="s">
        <v>793</v>
      </c>
      <c r="O5" s="98" t="s">
        <v>808</v>
      </c>
      <c r="P5" s="98" t="s">
        <v>409</v>
      </c>
      <c r="Q5" s="98" t="s">
        <v>524</v>
      </c>
      <c r="R5" s="13" t="s">
        <v>1293</v>
      </c>
      <c r="S5" s="98" t="s">
        <v>1284</v>
      </c>
      <c r="T5"/>
      <c r="U5"/>
      <c r="V5"/>
      <c r="W5"/>
      <c r="X5"/>
      <c r="Y5"/>
      <c r="Z5"/>
    </row>
    <row r="6" spans="1:26" ht="15" customHeight="1" x14ac:dyDescent="0.25">
      <c r="A6" s="35">
        <v>41215</v>
      </c>
      <c r="B6" t="s">
        <v>649</v>
      </c>
      <c r="C6" t="s">
        <v>651</v>
      </c>
      <c r="D6" t="s">
        <v>1294</v>
      </c>
      <c r="E6" s="146" t="s">
        <v>523</v>
      </c>
      <c r="F6" s="98" t="s">
        <v>691</v>
      </c>
      <c r="G6" s="98" t="s">
        <v>701</v>
      </c>
      <c r="H6" s="88">
        <v>47.822716666666665</v>
      </c>
      <c r="I6" s="88">
        <v>-122.58055</v>
      </c>
      <c r="J6" s="88">
        <v>47.820716666666669</v>
      </c>
      <c r="K6" s="88">
        <v>-122.57989999999999</v>
      </c>
      <c r="L6" s="98" t="s">
        <v>148</v>
      </c>
      <c r="M6" s="97">
        <v>-3.2</v>
      </c>
      <c r="N6" s="98" t="s">
        <v>793</v>
      </c>
      <c r="O6" s="98" t="s">
        <v>808</v>
      </c>
      <c r="P6" s="98" t="s">
        <v>409</v>
      </c>
      <c r="Q6" s="98" t="s">
        <v>524</v>
      </c>
      <c r="R6" s="13" t="s">
        <v>1295</v>
      </c>
      <c r="S6" s="98" t="s">
        <v>1284</v>
      </c>
    </row>
    <row r="7" spans="1:26" ht="15" customHeight="1" x14ac:dyDescent="0.25">
      <c r="A7" s="35">
        <v>41215</v>
      </c>
      <c r="B7" t="s">
        <v>649</v>
      </c>
      <c r="C7" t="s">
        <v>651</v>
      </c>
      <c r="D7" t="s">
        <v>1296</v>
      </c>
      <c r="E7" s="146" t="s">
        <v>523</v>
      </c>
      <c r="F7" s="98" t="s">
        <v>691</v>
      </c>
      <c r="G7" s="98" t="s">
        <v>701</v>
      </c>
      <c r="H7" s="88">
        <v>47.820716666666669</v>
      </c>
      <c r="I7" s="88">
        <v>-122.57989999999999</v>
      </c>
      <c r="J7" s="88">
        <v>47.822733333333332</v>
      </c>
      <c r="K7" s="88">
        <v>-122.57441666666666</v>
      </c>
      <c r="L7" s="98" t="s">
        <v>148</v>
      </c>
      <c r="M7" s="97">
        <v>-5.2</v>
      </c>
      <c r="N7" s="98" t="s">
        <v>793</v>
      </c>
      <c r="O7" s="98" t="s">
        <v>808</v>
      </c>
      <c r="P7" s="98" t="s">
        <v>409</v>
      </c>
      <c r="Q7" s="98" t="s">
        <v>524</v>
      </c>
      <c r="R7" s="13" t="s">
        <v>1297</v>
      </c>
      <c r="S7" s="98" t="s">
        <v>1284</v>
      </c>
    </row>
    <row r="8" spans="1:26" ht="15" customHeight="1" x14ac:dyDescent="0.25">
      <c r="A8" s="35">
        <v>41215</v>
      </c>
      <c r="B8" t="s">
        <v>649</v>
      </c>
      <c r="C8" t="s">
        <v>1278</v>
      </c>
      <c r="D8" t="s">
        <v>1285</v>
      </c>
      <c r="E8" s="146" t="s">
        <v>523</v>
      </c>
      <c r="F8" s="98" t="s">
        <v>412</v>
      </c>
      <c r="G8" s="98" t="s">
        <v>701</v>
      </c>
      <c r="H8" s="88">
        <v>47.848599999999998</v>
      </c>
      <c r="I8" s="88">
        <v>-122.6739</v>
      </c>
      <c r="J8" s="88"/>
      <c r="K8" s="88"/>
      <c r="L8" s="98" t="s">
        <v>148</v>
      </c>
      <c r="M8" s="97">
        <v>-2.2000000000000002</v>
      </c>
      <c r="N8" s="98" t="s">
        <v>793</v>
      </c>
      <c r="O8" s="98" t="s">
        <v>268</v>
      </c>
      <c r="P8" s="98" t="s">
        <v>291</v>
      </c>
      <c r="Q8" s="98" t="s">
        <v>372</v>
      </c>
      <c r="R8" s="13" t="s">
        <v>1286</v>
      </c>
      <c r="S8" s="98" t="s">
        <v>1284</v>
      </c>
    </row>
    <row r="9" spans="1:26" ht="15" customHeight="1" x14ac:dyDescent="0.25">
      <c r="A9" s="35">
        <v>41215</v>
      </c>
      <c r="B9" t="s">
        <v>649</v>
      </c>
      <c r="C9" t="s">
        <v>1278</v>
      </c>
      <c r="D9" t="s">
        <v>1279</v>
      </c>
      <c r="E9" s="146" t="s">
        <v>523</v>
      </c>
      <c r="F9" s="98" t="s">
        <v>691</v>
      </c>
      <c r="G9" s="98" t="s">
        <v>701</v>
      </c>
      <c r="H9" s="88">
        <f>47+(51.258/60)</f>
        <v>47.854300000000002</v>
      </c>
      <c r="I9" s="88">
        <f>-1*(122+(40.447/60))</f>
        <v>-122.67411666666666</v>
      </c>
      <c r="J9" s="88">
        <f>47+(51.345/60)</f>
        <v>47.85575</v>
      </c>
      <c r="K9" s="88">
        <f>-1*(122+(40.297/60))</f>
        <v>-122.67161666666667</v>
      </c>
      <c r="L9" s="98" t="s">
        <v>148</v>
      </c>
      <c r="M9" s="97">
        <v>-3.6</v>
      </c>
      <c r="N9" s="98" t="s">
        <v>793</v>
      </c>
      <c r="O9" s="98" t="s">
        <v>866</v>
      </c>
      <c r="P9" s="98" t="s">
        <v>522</v>
      </c>
      <c r="Q9" s="98" t="s">
        <v>372</v>
      </c>
      <c r="R9" s="13" t="s">
        <v>1280</v>
      </c>
      <c r="S9" s="98" t="s">
        <v>1281</v>
      </c>
    </row>
    <row r="10" spans="1:26" ht="15" customHeight="1" x14ac:dyDescent="0.25">
      <c r="A10" s="35">
        <v>41215</v>
      </c>
      <c r="B10" t="s">
        <v>649</v>
      </c>
      <c r="C10" t="s">
        <v>1278</v>
      </c>
      <c r="D10" t="s">
        <v>1282</v>
      </c>
      <c r="E10" s="146" t="s">
        <v>523</v>
      </c>
      <c r="F10" s="98" t="s">
        <v>691</v>
      </c>
      <c r="G10" s="98" t="s">
        <v>701</v>
      </c>
      <c r="H10" s="88">
        <v>47.847099999999998</v>
      </c>
      <c r="I10" s="88">
        <v>-122.67551666666667</v>
      </c>
      <c r="J10" s="88">
        <v>47.848733333333335</v>
      </c>
      <c r="K10" s="88">
        <v>-122.67398333333334</v>
      </c>
      <c r="L10" s="98" t="s">
        <v>148</v>
      </c>
      <c r="M10" s="97">
        <v>-4.7</v>
      </c>
      <c r="N10" s="98" t="s">
        <v>793</v>
      </c>
      <c r="O10" s="98" t="s">
        <v>268</v>
      </c>
      <c r="P10" s="98" t="s">
        <v>521</v>
      </c>
      <c r="Q10" s="98" t="s">
        <v>372</v>
      </c>
      <c r="R10" s="13" t="s">
        <v>1283</v>
      </c>
      <c r="S10" s="98" t="s">
        <v>1284</v>
      </c>
    </row>
    <row r="11" spans="1:26" ht="15" customHeight="1" x14ac:dyDescent="0.25">
      <c r="A11" s="35">
        <v>41220</v>
      </c>
      <c r="B11" t="s">
        <v>649</v>
      </c>
      <c r="C11" t="s">
        <v>652</v>
      </c>
      <c r="D11" t="s">
        <v>1312</v>
      </c>
      <c r="E11" s="146" t="s">
        <v>523</v>
      </c>
      <c r="F11" s="98" t="s">
        <v>691</v>
      </c>
      <c r="G11" s="98" t="s">
        <v>701</v>
      </c>
      <c r="H11" s="88">
        <v>47.689933333333336</v>
      </c>
      <c r="I11" s="88">
        <v>-122.50038333333333</v>
      </c>
      <c r="J11" s="88">
        <v>47.690583333333336</v>
      </c>
      <c r="K11" s="88">
        <v>-122.5013</v>
      </c>
      <c r="L11" s="98" t="s">
        <v>148</v>
      </c>
      <c r="M11" s="97">
        <v>-1.5</v>
      </c>
      <c r="N11" s="98" t="s">
        <v>793</v>
      </c>
      <c r="O11" s="98" t="s">
        <v>89</v>
      </c>
      <c r="P11" s="98" t="s">
        <v>522</v>
      </c>
      <c r="Q11" s="98" t="s">
        <v>372</v>
      </c>
      <c r="R11" s="13" t="s">
        <v>1313</v>
      </c>
      <c r="S11" s="98" t="s">
        <v>1284</v>
      </c>
    </row>
    <row r="12" spans="1:26" ht="15" customHeight="1" x14ac:dyDescent="0.25">
      <c r="A12" s="35">
        <v>41220</v>
      </c>
      <c r="B12" t="s">
        <v>649</v>
      </c>
      <c r="C12" t="s">
        <v>23</v>
      </c>
      <c r="D12" t="s">
        <v>1310</v>
      </c>
      <c r="E12" s="146" t="s">
        <v>523</v>
      </c>
      <c r="F12" s="98" t="s">
        <v>691</v>
      </c>
      <c r="G12" s="98" t="s">
        <v>701</v>
      </c>
      <c r="H12" s="88">
        <v>47.705866666666665</v>
      </c>
      <c r="I12" s="88">
        <v>-122.60946666666666</v>
      </c>
      <c r="J12" s="88">
        <v>47.707333333333331</v>
      </c>
      <c r="K12" s="88">
        <v>-122.61253333333333</v>
      </c>
      <c r="L12" s="98" t="s">
        <v>148</v>
      </c>
      <c r="M12" s="97">
        <v>-1.7</v>
      </c>
      <c r="N12" s="98" t="s">
        <v>793</v>
      </c>
      <c r="O12" s="98" t="s">
        <v>89</v>
      </c>
      <c r="P12" s="98" t="s">
        <v>409</v>
      </c>
      <c r="Q12" s="98" t="s">
        <v>524</v>
      </c>
      <c r="R12" s="13" t="s">
        <v>1311</v>
      </c>
      <c r="S12" s="98" t="s">
        <v>1284</v>
      </c>
    </row>
    <row r="13" spans="1:26" ht="15" customHeight="1" x14ac:dyDescent="0.25">
      <c r="A13" s="35">
        <v>41220</v>
      </c>
      <c r="B13" t="s">
        <v>649</v>
      </c>
      <c r="C13" t="s">
        <v>23</v>
      </c>
      <c r="D13" t="s">
        <v>1308</v>
      </c>
      <c r="E13" s="146" t="s">
        <v>523</v>
      </c>
      <c r="F13" s="98" t="s">
        <v>412</v>
      </c>
      <c r="G13" s="98" t="s">
        <v>701</v>
      </c>
      <c r="H13" s="88">
        <v>47.692033333333335</v>
      </c>
      <c r="I13" s="88">
        <v>-122.59348333333334</v>
      </c>
      <c r="J13" s="88"/>
      <c r="K13" s="88"/>
      <c r="L13" s="98" t="s">
        <v>148</v>
      </c>
      <c r="M13" s="97">
        <v>-0.2</v>
      </c>
      <c r="N13" s="98" t="s">
        <v>793</v>
      </c>
      <c r="O13" s="98" t="s">
        <v>89</v>
      </c>
      <c r="P13" s="98" t="s">
        <v>409</v>
      </c>
      <c r="Q13" s="98" t="s">
        <v>525</v>
      </c>
      <c r="R13" s="13" t="s">
        <v>1309</v>
      </c>
      <c r="S13" s="98" t="s">
        <v>1284</v>
      </c>
    </row>
    <row r="14" spans="1:26" ht="15" customHeight="1" x14ac:dyDescent="0.25">
      <c r="A14" s="35">
        <v>41220</v>
      </c>
      <c r="B14" t="s">
        <v>649</v>
      </c>
      <c r="C14" t="s">
        <v>23</v>
      </c>
      <c r="D14" t="s">
        <v>1304</v>
      </c>
      <c r="E14" s="146" t="s">
        <v>523</v>
      </c>
      <c r="F14" s="98" t="s">
        <v>691</v>
      </c>
      <c r="G14" s="98" t="s">
        <v>701</v>
      </c>
      <c r="H14" s="88">
        <v>47.690733333333334</v>
      </c>
      <c r="I14" s="88">
        <v>-122.59236666666666</v>
      </c>
      <c r="J14" s="88">
        <v>47.69233333333333</v>
      </c>
      <c r="K14" s="88">
        <v>-122.59368333333333</v>
      </c>
      <c r="L14" s="98" t="s">
        <v>148</v>
      </c>
      <c r="M14" s="97">
        <v>-1.6</v>
      </c>
      <c r="N14" s="98" t="s">
        <v>793</v>
      </c>
      <c r="O14" s="98" t="s">
        <v>89</v>
      </c>
      <c r="P14" s="98" t="s">
        <v>409</v>
      </c>
      <c r="Q14" s="98" t="s">
        <v>525</v>
      </c>
      <c r="R14" s="13" t="s">
        <v>1305</v>
      </c>
      <c r="S14" s="98" t="s">
        <v>1284</v>
      </c>
    </row>
    <row r="15" spans="1:26" ht="15" customHeight="1" x14ac:dyDescent="0.25">
      <c r="A15" s="35">
        <v>41220</v>
      </c>
      <c r="B15" t="s">
        <v>649</v>
      </c>
      <c r="C15" t="s">
        <v>23</v>
      </c>
      <c r="D15" t="s">
        <v>1306</v>
      </c>
      <c r="E15" s="146" t="s">
        <v>523</v>
      </c>
      <c r="F15" s="98" t="s">
        <v>691</v>
      </c>
      <c r="G15" s="98" t="s">
        <v>701</v>
      </c>
      <c r="H15" s="88">
        <v>47.692366666666665</v>
      </c>
      <c r="I15" s="88">
        <v>-122.5949</v>
      </c>
      <c r="J15" s="88">
        <v>47.693649999999998</v>
      </c>
      <c r="K15" s="88">
        <v>-122.59626666666666</v>
      </c>
      <c r="L15" s="98" t="s">
        <v>148</v>
      </c>
      <c r="M15" s="97">
        <v>-1.2</v>
      </c>
      <c r="N15" s="98" t="s">
        <v>793</v>
      </c>
      <c r="O15" s="98" t="s">
        <v>89</v>
      </c>
      <c r="P15" s="98" t="s">
        <v>409</v>
      </c>
      <c r="Q15" s="98" t="s">
        <v>525</v>
      </c>
      <c r="R15" s="13" t="s">
        <v>1307</v>
      </c>
      <c r="S15" s="98" t="s">
        <v>1284</v>
      </c>
    </row>
    <row r="16" spans="1:26" ht="15" customHeight="1" x14ac:dyDescent="0.25">
      <c r="A16" s="35">
        <v>41220</v>
      </c>
      <c r="B16" t="s">
        <v>649</v>
      </c>
      <c r="C16" t="s">
        <v>650</v>
      </c>
      <c r="D16" t="s">
        <v>1298</v>
      </c>
      <c r="E16" s="146" t="s">
        <v>523</v>
      </c>
      <c r="F16" s="98" t="s">
        <v>412</v>
      </c>
      <c r="G16" s="98" t="s">
        <v>701</v>
      </c>
      <c r="H16" s="88">
        <v>47.745049999999999</v>
      </c>
      <c r="I16" s="88">
        <v>-122.52948333333333</v>
      </c>
      <c r="J16" s="88"/>
      <c r="K16" s="88"/>
      <c r="L16" s="98" t="s">
        <v>148</v>
      </c>
      <c r="M16" s="97">
        <v>-1.9</v>
      </c>
      <c r="N16" s="98" t="s">
        <v>793</v>
      </c>
      <c r="O16" s="98" t="s">
        <v>89</v>
      </c>
      <c r="P16" s="98" t="s">
        <v>522</v>
      </c>
      <c r="Q16" s="98" t="s">
        <v>372</v>
      </c>
      <c r="R16" s="13" t="s">
        <v>1299</v>
      </c>
      <c r="S16" s="98" t="s">
        <v>1284</v>
      </c>
    </row>
    <row r="17" spans="1:19" ht="15" customHeight="1" x14ac:dyDescent="0.25">
      <c r="A17" s="35">
        <v>41220</v>
      </c>
      <c r="B17" t="s">
        <v>649</v>
      </c>
      <c r="C17" t="s">
        <v>650</v>
      </c>
      <c r="D17" t="s">
        <v>1300</v>
      </c>
      <c r="E17" s="146" t="s">
        <v>523</v>
      </c>
      <c r="F17" s="98" t="s">
        <v>691</v>
      </c>
      <c r="G17" s="98" t="s">
        <v>701</v>
      </c>
      <c r="H17" s="88">
        <v>47.744700000000002</v>
      </c>
      <c r="I17" s="88">
        <v>-122.53486666666667</v>
      </c>
      <c r="J17" s="88">
        <v>47.746166666666667</v>
      </c>
      <c r="K17" s="88">
        <v>-122.53579999999999</v>
      </c>
      <c r="L17" s="98" t="s">
        <v>148</v>
      </c>
      <c r="M17" s="97">
        <v>0.4</v>
      </c>
      <c r="N17" s="98" t="s">
        <v>793</v>
      </c>
      <c r="O17" s="98" t="s">
        <v>89</v>
      </c>
      <c r="P17" s="98" t="s">
        <v>522</v>
      </c>
      <c r="Q17" s="98" t="s">
        <v>372</v>
      </c>
      <c r="R17" s="13" t="s">
        <v>1301</v>
      </c>
      <c r="S17" s="98" t="s">
        <v>1284</v>
      </c>
    </row>
    <row r="18" spans="1:19" ht="15" customHeight="1" x14ac:dyDescent="0.25">
      <c r="A18" s="35">
        <v>41220</v>
      </c>
      <c r="B18" t="s">
        <v>649</v>
      </c>
      <c r="C18" t="s">
        <v>650</v>
      </c>
      <c r="D18" t="s">
        <v>1302</v>
      </c>
      <c r="E18" s="146" t="s">
        <v>523</v>
      </c>
      <c r="F18" s="98" t="s">
        <v>691</v>
      </c>
      <c r="G18" s="98" t="s">
        <v>701</v>
      </c>
      <c r="H18" s="88">
        <v>47.743099999999998</v>
      </c>
      <c r="I18" s="88">
        <v>-122.54483333333333</v>
      </c>
      <c r="J18" s="88">
        <v>47.743450000000003</v>
      </c>
      <c r="K18" s="88">
        <v>-122.54689999999999</v>
      </c>
      <c r="L18" s="98" t="s">
        <v>148</v>
      </c>
      <c r="M18" s="97">
        <v>-2</v>
      </c>
      <c r="N18" s="98" t="s">
        <v>793</v>
      </c>
      <c r="O18" s="98" t="s">
        <v>89</v>
      </c>
      <c r="P18" s="98" t="s">
        <v>522</v>
      </c>
      <c r="Q18" s="98" t="s">
        <v>372</v>
      </c>
      <c r="R18" s="13" t="s">
        <v>1303</v>
      </c>
      <c r="S18" s="98" t="s">
        <v>1284</v>
      </c>
    </row>
    <row r="19" spans="1:19" ht="15" customHeight="1" x14ac:dyDescent="0.25">
      <c r="A19" s="35">
        <v>41221</v>
      </c>
      <c r="B19" t="s">
        <v>649</v>
      </c>
      <c r="C19" t="s">
        <v>9</v>
      </c>
      <c r="D19" t="s">
        <v>1314</v>
      </c>
      <c r="E19" s="146" t="s">
        <v>523</v>
      </c>
      <c r="F19" s="98" t="s">
        <v>691</v>
      </c>
      <c r="G19" s="98" t="s">
        <v>701</v>
      </c>
      <c r="H19" s="88">
        <v>47.158366666666666</v>
      </c>
      <c r="I19" s="88">
        <v>-122.72148333333334</v>
      </c>
      <c r="J19" s="88">
        <v>47.158866666666668</v>
      </c>
      <c r="K19" s="88">
        <v>-122.72258333333333</v>
      </c>
      <c r="L19" s="98" t="s">
        <v>148</v>
      </c>
      <c r="M19" s="97">
        <v>-0.8</v>
      </c>
      <c r="N19" s="98" t="s">
        <v>793</v>
      </c>
      <c r="O19" s="98" t="s">
        <v>89</v>
      </c>
      <c r="P19" s="98" t="s">
        <v>409</v>
      </c>
      <c r="Q19" s="98" t="s">
        <v>294</v>
      </c>
      <c r="R19" s="13" t="s">
        <v>1315</v>
      </c>
      <c r="S19" s="98" t="s">
        <v>1284</v>
      </c>
    </row>
    <row r="20" spans="1:19" ht="15" customHeight="1" x14ac:dyDescent="0.25">
      <c r="A20" s="35">
        <v>41221</v>
      </c>
      <c r="B20" t="s">
        <v>649</v>
      </c>
      <c r="C20" t="s">
        <v>9</v>
      </c>
      <c r="D20" t="s">
        <v>1316</v>
      </c>
      <c r="E20" s="146" t="s">
        <v>523</v>
      </c>
      <c r="F20" s="98" t="s">
        <v>691</v>
      </c>
      <c r="G20" s="98" t="s">
        <v>701</v>
      </c>
      <c r="H20" s="88">
        <v>47.161466666666669</v>
      </c>
      <c r="I20" s="88">
        <v>-122.72611666666667</v>
      </c>
      <c r="J20" s="88">
        <v>47.162300000000002</v>
      </c>
      <c r="K20" s="88">
        <v>-122.72808333333333</v>
      </c>
      <c r="L20" s="98" t="s">
        <v>148</v>
      </c>
      <c r="M20" s="97">
        <v>-2.7</v>
      </c>
      <c r="N20" s="98" t="s">
        <v>785</v>
      </c>
      <c r="O20" s="98" t="s">
        <v>89</v>
      </c>
      <c r="P20" s="98" t="s">
        <v>409</v>
      </c>
      <c r="Q20" s="98" t="s">
        <v>525</v>
      </c>
      <c r="R20" s="13" t="s">
        <v>1317</v>
      </c>
      <c r="S20" s="98" t="s">
        <v>1284</v>
      </c>
    </row>
    <row r="21" spans="1:19" ht="15" customHeight="1" x14ac:dyDescent="0.25">
      <c r="A21" s="35">
        <v>41221</v>
      </c>
      <c r="B21" t="s">
        <v>649</v>
      </c>
      <c r="C21" t="s">
        <v>655</v>
      </c>
      <c r="D21" t="s">
        <v>1330</v>
      </c>
      <c r="E21" s="146" t="s">
        <v>523</v>
      </c>
      <c r="F21" s="98" t="s">
        <v>691</v>
      </c>
      <c r="G21" s="98" t="s">
        <v>701</v>
      </c>
      <c r="H21" s="88">
        <v>47.166716666666666</v>
      </c>
      <c r="I21" s="88">
        <v>-122.84873333333333</v>
      </c>
      <c r="J21" s="88">
        <v>47.159950000000002</v>
      </c>
      <c r="K21" s="88">
        <v>-122.84716666666667</v>
      </c>
      <c r="L21" s="98" t="s">
        <v>148</v>
      </c>
      <c r="M21" s="97">
        <v>-1</v>
      </c>
      <c r="N21" s="98" t="s">
        <v>793</v>
      </c>
      <c r="O21" s="98" t="s">
        <v>89</v>
      </c>
      <c r="P21" s="98" t="s">
        <v>409</v>
      </c>
      <c r="Q21" s="98" t="s">
        <v>525</v>
      </c>
      <c r="R21" s="13" t="s">
        <v>1331</v>
      </c>
      <c r="S21" s="98" t="s">
        <v>1284</v>
      </c>
    </row>
    <row r="22" spans="1:19" ht="15" customHeight="1" x14ac:dyDescent="0.25">
      <c r="A22" s="35">
        <v>41221</v>
      </c>
      <c r="B22" t="s">
        <v>649</v>
      </c>
      <c r="C22" t="s">
        <v>654</v>
      </c>
      <c r="D22" t="s">
        <v>1328</v>
      </c>
      <c r="E22" s="146" t="s">
        <v>523</v>
      </c>
      <c r="F22" s="98" t="s">
        <v>691</v>
      </c>
      <c r="G22" s="98" t="s">
        <v>701</v>
      </c>
      <c r="H22" s="88">
        <v>47.145383333333335</v>
      </c>
      <c r="I22" s="88">
        <v>-122.89116666666666</v>
      </c>
      <c r="J22" s="88">
        <v>47.146083333333337</v>
      </c>
      <c r="K22" s="88">
        <v>-122.89279999999999</v>
      </c>
      <c r="L22" s="98" t="s">
        <v>148</v>
      </c>
      <c r="M22" s="97">
        <v>-0.7</v>
      </c>
      <c r="N22" s="98" t="s">
        <v>785</v>
      </c>
      <c r="O22" s="98" t="s">
        <v>89</v>
      </c>
      <c r="P22" s="98" t="s">
        <v>409</v>
      </c>
      <c r="Q22" s="98" t="s">
        <v>524</v>
      </c>
      <c r="R22" s="13" t="s">
        <v>1329</v>
      </c>
      <c r="S22" s="98" t="s">
        <v>1284</v>
      </c>
    </row>
    <row r="23" spans="1:19" ht="15" customHeight="1" x14ac:dyDescent="0.25">
      <c r="A23" s="35">
        <v>41221</v>
      </c>
      <c r="B23" t="s">
        <v>649</v>
      </c>
      <c r="C23" t="s">
        <v>1648</v>
      </c>
      <c r="D23" t="s">
        <v>1318</v>
      </c>
      <c r="E23" s="146" t="s">
        <v>523</v>
      </c>
      <c r="F23" s="98" t="s">
        <v>691</v>
      </c>
      <c r="G23" s="98" t="s">
        <v>701</v>
      </c>
      <c r="H23" s="88">
        <v>47.221449999999997</v>
      </c>
      <c r="I23" s="88">
        <v>-122.80993333333333</v>
      </c>
      <c r="J23" s="88">
        <v>47.223866666666666</v>
      </c>
      <c r="K23" s="88">
        <v>-122.81176666666667</v>
      </c>
      <c r="L23" s="98" t="s">
        <v>148</v>
      </c>
      <c r="M23" s="97">
        <v>-0.9</v>
      </c>
      <c r="N23" s="98" t="s">
        <v>793</v>
      </c>
      <c r="O23" s="98" t="s">
        <v>866</v>
      </c>
      <c r="P23" s="98" t="s">
        <v>409</v>
      </c>
      <c r="Q23" s="98" t="s">
        <v>294</v>
      </c>
      <c r="R23" s="13" t="s">
        <v>1319</v>
      </c>
      <c r="S23" s="98" t="s">
        <v>1284</v>
      </c>
    </row>
    <row r="24" spans="1:19" ht="15" customHeight="1" x14ac:dyDescent="0.25">
      <c r="A24" s="35">
        <v>41221</v>
      </c>
      <c r="B24" t="s">
        <v>649</v>
      </c>
      <c r="C24" t="s">
        <v>653</v>
      </c>
      <c r="D24" t="s">
        <v>1320</v>
      </c>
      <c r="E24" s="146" t="s">
        <v>523</v>
      </c>
      <c r="F24" s="98" t="s">
        <v>691</v>
      </c>
      <c r="G24" s="98" t="s">
        <v>701</v>
      </c>
      <c r="H24" s="88">
        <v>47.245233333333331</v>
      </c>
      <c r="I24" s="88">
        <v>-122.86490000000001</v>
      </c>
      <c r="J24" s="88">
        <v>47.242783333333335</v>
      </c>
      <c r="K24" s="88">
        <v>-122.86483333333334</v>
      </c>
      <c r="L24" s="98" t="s">
        <v>148</v>
      </c>
      <c r="M24" s="97">
        <v>-0.3</v>
      </c>
      <c r="N24" s="98" t="s">
        <v>793</v>
      </c>
      <c r="O24" s="98" t="s">
        <v>89</v>
      </c>
      <c r="P24" s="98" t="s">
        <v>409</v>
      </c>
      <c r="Q24" s="98" t="s">
        <v>525</v>
      </c>
      <c r="R24" s="13" t="s">
        <v>1321</v>
      </c>
      <c r="S24" s="98" t="s">
        <v>1284</v>
      </c>
    </row>
    <row r="25" spans="1:19" ht="15" customHeight="1" x14ac:dyDescent="0.25">
      <c r="A25" s="35">
        <v>41221</v>
      </c>
      <c r="B25" t="s">
        <v>649</v>
      </c>
      <c r="C25" t="s">
        <v>653</v>
      </c>
      <c r="D25" t="s">
        <v>1322</v>
      </c>
      <c r="E25" s="146" t="s">
        <v>523</v>
      </c>
      <c r="F25" s="98" t="s">
        <v>691</v>
      </c>
      <c r="G25" s="98" t="s">
        <v>701</v>
      </c>
      <c r="H25" s="88">
        <v>47.246983333333333</v>
      </c>
      <c r="I25" s="88">
        <v>-122.86718333333333</v>
      </c>
      <c r="J25" s="88">
        <v>47.246066666666664</v>
      </c>
      <c r="K25" s="88">
        <v>-122.86803333333333</v>
      </c>
      <c r="L25" s="98" t="s">
        <v>148</v>
      </c>
      <c r="M25" s="97">
        <v>-1.6</v>
      </c>
      <c r="N25" s="98" t="s">
        <v>793</v>
      </c>
      <c r="O25" s="98" t="s">
        <v>89</v>
      </c>
      <c r="P25" s="98" t="s">
        <v>409</v>
      </c>
      <c r="Q25" s="98" t="s">
        <v>524</v>
      </c>
      <c r="R25" s="13" t="s">
        <v>1323</v>
      </c>
      <c r="S25" s="98" t="s">
        <v>1284</v>
      </c>
    </row>
    <row r="26" spans="1:19" ht="15" customHeight="1" x14ac:dyDescent="0.25">
      <c r="A26" s="35">
        <v>41221</v>
      </c>
      <c r="B26" t="s">
        <v>649</v>
      </c>
      <c r="C26" t="s">
        <v>9</v>
      </c>
      <c r="D26" t="s">
        <v>1326</v>
      </c>
      <c r="E26" s="146" t="s">
        <v>523</v>
      </c>
      <c r="F26" s="98" t="s">
        <v>691</v>
      </c>
      <c r="G26" s="98" t="s">
        <v>701</v>
      </c>
      <c r="H26" s="88">
        <v>47.181433333333331</v>
      </c>
      <c r="I26" s="88">
        <v>-122.68098333333333</v>
      </c>
      <c r="J26" s="88">
        <v>47.181333333333335</v>
      </c>
      <c r="K26" s="88">
        <v>-122.6816</v>
      </c>
      <c r="L26" s="98" t="s">
        <v>148</v>
      </c>
      <c r="M26" s="97">
        <v>-1.6</v>
      </c>
      <c r="N26" s="98" t="s">
        <v>793</v>
      </c>
      <c r="O26" s="98" t="s">
        <v>268</v>
      </c>
      <c r="P26" s="98" t="s">
        <v>409</v>
      </c>
      <c r="Q26" s="98" t="s">
        <v>524</v>
      </c>
      <c r="R26" s="13" t="s">
        <v>1327</v>
      </c>
      <c r="S26" s="98" t="s">
        <v>1284</v>
      </c>
    </row>
    <row r="27" spans="1:19" ht="15" customHeight="1" x14ac:dyDescent="0.25">
      <c r="A27" s="35">
        <v>41221</v>
      </c>
      <c r="B27" t="s">
        <v>649</v>
      </c>
      <c r="C27" t="s">
        <v>9</v>
      </c>
      <c r="D27" t="s">
        <v>1324</v>
      </c>
      <c r="E27" s="146" t="s">
        <v>523</v>
      </c>
      <c r="F27" s="98" t="s">
        <v>691</v>
      </c>
      <c r="G27" s="98" t="s">
        <v>701</v>
      </c>
      <c r="H27" s="88">
        <v>47.178683333333332</v>
      </c>
      <c r="I27" s="88">
        <v>-122.7218</v>
      </c>
      <c r="J27" s="88">
        <v>47.179983333333332</v>
      </c>
      <c r="K27" s="88">
        <v>-122.72</v>
      </c>
      <c r="L27" s="98" t="s">
        <v>148</v>
      </c>
      <c r="M27" s="97">
        <v>-2.2000000000000002</v>
      </c>
      <c r="N27" s="98" t="s">
        <v>793</v>
      </c>
      <c r="O27" s="98" t="s">
        <v>89</v>
      </c>
      <c r="P27" s="98" t="s">
        <v>409</v>
      </c>
      <c r="Q27" s="98" t="s">
        <v>525</v>
      </c>
      <c r="R27" s="13" t="s">
        <v>1325</v>
      </c>
      <c r="S27" s="98" t="s">
        <v>1284</v>
      </c>
    </row>
    <row r="28" spans="1:19" ht="15" customHeight="1" x14ac:dyDescent="0.25">
      <c r="A28" s="35">
        <v>41225</v>
      </c>
      <c r="B28" t="s">
        <v>649</v>
      </c>
      <c r="C28" t="s">
        <v>659</v>
      </c>
      <c r="D28" t="s">
        <v>1342</v>
      </c>
      <c r="E28" s="146" t="s">
        <v>523</v>
      </c>
      <c r="F28" s="98" t="s">
        <v>691</v>
      </c>
      <c r="G28" s="98" t="s">
        <v>701</v>
      </c>
      <c r="H28" s="88">
        <v>48.293566666666663</v>
      </c>
      <c r="I28" s="88">
        <v>-122.61293333333333</v>
      </c>
      <c r="J28" s="88">
        <v>48.295250000000003</v>
      </c>
      <c r="K28" s="88">
        <v>-122.61338333333333</v>
      </c>
      <c r="L28" s="98" t="s">
        <v>148</v>
      </c>
      <c r="M28" s="97">
        <v>-1.3</v>
      </c>
      <c r="N28" s="98" t="s">
        <v>785</v>
      </c>
      <c r="O28" s="98" t="s">
        <v>89</v>
      </c>
      <c r="P28" s="98" t="s">
        <v>521</v>
      </c>
      <c r="Q28" s="98" t="s">
        <v>372</v>
      </c>
      <c r="R28" s="13" t="s">
        <v>1343</v>
      </c>
      <c r="S28" s="98" t="s">
        <v>1284</v>
      </c>
    </row>
    <row r="29" spans="1:19" ht="15" customHeight="1" x14ac:dyDescent="0.25">
      <c r="A29" s="35">
        <v>41225</v>
      </c>
      <c r="B29" t="s">
        <v>649</v>
      </c>
      <c r="C29" t="s">
        <v>656</v>
      </c>
      <c r="D29" t="s">
        <v>1332</v>
      </c>
      <c r="E29" s="146" t="s">
        <v>523</v>
      </c>
      <c r="F29" s="98" t="s">
        <v>691</v>
      </c>
      <c r="G29" s="98" t="s">
        <v>701</v>
      </c>
      <c r="H29" s="88">
        <v>47.999116666666666</v>
      </c>
      <c r="I29" s="88">
        <v>-122.87096666666666</v>
      </c>
      <c r="J29" s="88">
        <v>47.9968</v>
      </c>
      <c r="K29" s="88">
        <v>-122.87033333333333</v>
      </c>
      <c r="L29" s="98" t="s">
        <v>148</v>
      </c>
      <c r="M29" s="97">
        <v>-3.3</v>
      </c>
      <c r="N29" s="98" t="s">
        <v>785</v>
      </c>
      <c r="O29" s="98" t="s">
        <v>89</v>
      </c>
      <c r="P29" s="98" t="s">
        <v>522</v>
      </c>
      <c r="Q29" s="98" t="s">
        <v>372</v>
      </c>
      <c r="R29" s="13" t="s">
        <v>1333</v>
      </c>
      <c r="S29" s="98" t="s">
        <v>1284</v>
      </c>
    </row>
    <row r="30" spans="1:19" ht="15" customHeight="1" x14ac:dyDescent="0.25">
      <c r="A30" s="35">
        <v>41225</v>
      </c>
      <c r="B30" t="s">
        <v>649</v>
      </c>
      <c r="C30" t="s">
        <v>657</v>
      </c>
      <c r="D30" t="s">
        <v>1336</v>
      </c>
      <c r="E30" s="146" t="s">
        <v>523</v>
      </c>
      <c r="F30" s="98" t="s">
        <v>691</v>
      </c>
      <c r="G30" s="98" t="s">
        <v>701</v>
      </c>
      <c r="H30" s="88">
        <v>48.06516666666667</v>
      </c>
      <c r="I30" s="88">
        <v>-122.74313333333333</v>
      </c>
      <c r="J30" s="88">
        <v>48.067900000000002</v>
      </c>
      <c r="K30" s="88">
        <v>-122.74095</v>
      </c>
      <c r="L30" s="98" t="s">
        <v>148</v>
      </c>
      <c r="M30" s="97">
        <v>-1.4</v>
      </c>
      <c r="N30" s="98" t="s">
        <v>785</v>
      </c>
      <c r="O30" s="98" t="s">
        <v>89</v>
      </c>
      <c r="P30" s="98" t="s">
        <v>291</v>
      </c>
      <c r="Q30" s="98" t="s">
        <v>372</v>
      </c>
      <c r="R30" s="13" t="s">
        <v>1337</v>
      </c>
      <c r="S30" s="98" t="s">
        <v>1284</v>
      </c>
    </row>
    <row r="31" spans="1:19" ht="15" customHeight="1" x14ac:dyDescent="0.25">
      <c r="A31" s="35">
        <v>41225</v>
      </c>
      <c r="B31" t="s">
        <v>649</v>
      </c>
      <c r="C31" t="s">
        <v>658</v>
      </c>
      <c r="D31" t="s">
        <v>1338</v>
      </c>
      <c r="E31" s="146" t="s">
        <v>523</v>
      </c>
      <c r="F31" s="98" t="s">
        <v>691</v>
      </c>
      <c r="G31" s="98" t="s">
        <v>701</v>
      </c>
      <c r="H31" s="88">
        <v>48.263083333333334</v>
      </c>
      <c r="I31" s="88">
        <v>-122.64578333333333</v>
      </c>
      <c r="J31" s="88">
        <v>48.263399999999997</v>
      </c>
      <c r="K31" s="88">
        <v>-122.64725</v>
      </c>
      <c r="L31" s="98" t="s">
        <v>148</v>
      </c>
      <c r="M31" s="97">
        <v>-2.7</v>
      </c>
      <c r="N31" s="98" t="s">
        <v>785</v>
      </c>
      <c r="O31" s="98" t="s">
        <v>89</v>
      </c>
      <c r="P31" s="98" t="s">
        <v>291</v>
      </c>
      <c r="Q31" s="98" t="s">
        <v>372</v>
      </c>
      <c r="R31" s="13" t="s">
        <v>1339</v>
      </c>
      <c r="S31" s="98" t="s">
        <v>1284</v>
      </c>
    </row>
    <row r="32" spans="1:19" ht="15" customHeight="1" x14ac:dyDescent="0.25">
      <c r="A32" s="35">
        <v>41225</v>
      </c>
      <c r="B32" t="s">
        <v>649</v>
      </c>
      <c r="C32" t="s">
        <v>658</v>
      </c>
      <c r="D32" t="s">
        <v>1340</v>
      </c>
      <c r="E32" s="146" t="s">
        <v>523</v>
      </c>
      <c r="F32" s="98" t="s">
        <v>691</v>
      </c>
      <c r="G32" s="98" t="s">
        <v>701</v>
      </c>
      <c r="H32" s="88">
        <v>48.263399999999997</v>
      </c>
      <c r="I32" s="88">
        <v>-122.64725</v>
      </c>
      <c r="J32" s="88">
        <v>48.262549999999997</v>
      </c>
      <c r="K32" s="88">
        <v>-122.65196666666667</v>
      </c>
      <c r="L32" s="98" t="s">
        <v>148</v>
      </c>
      <c r="M32" s="97">
        <v>-1.2</v>
      </c>
      <c r="N32" s="98" t="s">
        <v>785</v>
      </c>
      <c r="O32" s="98" t="s">
        <v>89</v>
      </c>
      <c r="P32" s="98" t="s">
        <v>291</v>
      </c>
      <c r="Q32" s="98" t="s">
        <v>372</v>
      </c>
      <c r="R32" s="13" t="s">
        <v>1341</v>
      </c>
      <c r="S32" s="98" t="s">
        <v>1284</v>
      </c>
    </row>
    <row r="33" spans="1:19" ht="15" customHeight="1" x14ac:dyDescent="0.25">
      <c r="A33" s="35">
        <v>41225</v>
      </c>
      <c r="B33" t="s">
        <v>649</v>
      </c>
      <c r="C33" t="s">
        <v>1699</v>
      </c>
      <c r="D33" t="s">
        <v>1334</v>
      </c>
      <c r="E33" s="146" t="s">
        <v>523</v>
      </c>
      <c r="F33" s="98" t="s">
        <v>691</v>
      </c>
      <c r="G33" s="98" t="s">
        <v>701</v>
      </c>
      <c r="H33" s="88">
        <v>48.052266666666668</v>
      </c>
      <c r="I33" s="88">
        <v>-122.76855</v>
      </c>
      <c r="J33" s="88">
        <v>48.051116666666665</v>
      </c>
      <c r="K33" s="88">
        <v>-122.7685</v>
      </c>
      <c r="L33" s="98" t="s">
        <v>148</v>
      </c>
      <c r="M33" s="97">
        <v>-1.7</v>
      </c>
      <c r="N33" s="98" t="s">
        <v>785</v>
      </c>
      <c r="O33" s="98" t="s">
        <v>89</v>
      </c>
      <c r="P33" s="98" t="s">
        <v>521</v>
      </c>
      <c r="Q33" s="98" t="s">
        <v>372</v>
      </c>
      <c r="R33" s="13" t="s">
        <v>1335</v>
      </c>
      <c r="S33" s="98" t="s">
        <v>1284</v>
      </c>
    </row>
    <row r="34" spans="1:19" ht="15" customHeight="1" x14ac:dyDescent="0.25">
      <c r="A34" s="35">
        <v>41226</v>
      </c>
      <c r="B34" t="s">
        <v>649</v>
      </c>
      <c r="C34" t="s">
        <v>660</v>
      </c>
      <c r="D34" t="s">
        <v>1351</v>
      </c>
      <c r="E34" s="146" t="s">
        <v>523</v>
      </c>
      <c r="F34" s="98" t="s">
        <v>691</v>
      </c>
      <c r="G34" s="98" t="s">
        <v>701</v>
      </c>
      <c r="H34" s="88">
        <v>48.496716666666664</v>
      </c>
      <c r="I34" s="88">
        <v>-122.8216</v>
      </c>
      <c r="J34" s="88">
        <v>48.497950000000003</v>
      </c>
      <c r="K34" s="88">
        <v>-122.82053333333333</v>
      </c>
      <c r="L34" s="98" t="s">
        <v>148</v>
      </c>
      <c r="M34" s="97">
        <v>-4</v>
      </c>
      <c r="N34" s="98" t="s">
        <v>785</v>
      </c>
      <c r="O34" s="98" t="s">
        <v>1352</v>
      </c>
      <c r="P34" s="98" t="s">
        <v>291</v>
      </c>
      <c r="Q34" s="98" t="s">
        <v>372</v>
      </c>
      <c r="R34" s="13" t="s">
        <v>1353</v>
      </c>
      <c r="S34" s="98" t="s">
        <v>1284</v>
      </c>
    </row>
    <row r="35" spans="1:19" ht="15" customHeight="1" x14ac:dyDescent="0.25">
      <c r="A35" s="35">
        <v>41226</v>
      </c>
      <c r="B35" t="s">
        <v>649</v>
      </c>
      <c r="C35" t="s">
        <v>660</v>
      </c>
      <c r="D35" t="s">
        <v>1354</v>
      </c>
      <c r="E35" s="146" t="s">
        <v>523</v>
      </c>
      <c r="F35" s="98" t="s">
        <v>412</v>
      </c>
      <c r="G35" s="98" t="s">
        <v>701</v>
      </c>
      <c r="H35" s="88">
        <v>48.497233333333334</v>
      </c>
      <c r="I35" s="88">
        <v>-122.81870000000001</v>
      </c>
      <c r="J35" s="88"/>
      <c r="K35" s="88"/>
      <c r="L35" s="98" t="s">
        <v>148</v>
      </c>
      <c r="M35" s="97">
        <v>-1.1000000000000001</v>
      </c>
      <c r="N35" s="98" t="s">
        <v>785</v>
      </c>
      <c r="O35" s="98" t="s">
        <v>1352</v>
      </c>
      <c r="P35" s="98" t="s">
        <v>291</v>
      </c>
      <c r="Q35" s="98" t="s">
        <v>372</v>
      </c>
      <c r="R35" s="13" t="s">
        <v>1355</v>
      </c>
      <c r="S35" s="98" t="s">
        <v>1284</v>
      </c>
    </row>
    <row r="36" spans="1:19" ht="15" customHeight="1" x14ac:dyDescent="0.25">
      <c r="A36" s="35">
        <v>41226</v>
      </c>
      <c r="B36" t="s">
        <v>649</v>
      </c>
      <c r="C36" t="s">
        <v>660</v>
      </c>
      <c r="D36" t="s">
        <v>1356</v>
      </c>
      <c r="E36" s="146" t="s">
        <v>523</v>
      </c>
      <c r="F36" s="98" t="s">
        <v>412</v>
      </c>
      <c r="G36" s="98" t="s">
        <v>701</v>
      </c>
      <c r="H36" s="88">
        <v>48.498133333333335</v>
      </c>
      <c r="I36" s="88">
        <v>-122.81756666666666</v>
      </c>
      <c r="J36" s="88"/>
      <c r="K36" s="88"/>
      <c r="L36" s="98" t="s">
        <v>148</v>
      </c>
      <c r="M36" s="97">
        <v>0</v>
      </c>
      <c r="N36" s="98" t="s">
        <v>785</v>
      </c>
      <c r="O36" s="98" t="s">
        <v>1352</v>
      </c>
      <c r="P36" s="98" t="s">
        <v>291</v>
      </c>
      <c r="Q36" s="98" t="s">
        <v>372</v>
      </c>
      <c r="R36" s="13" t="s">
        <v>1357</v>
      </c>
      <c r="S36" s="98" t="s">
        <v>1284</v>
      </c>
    </row>
    <row r="37" spans="1:19" ht="15" customHeight="1" x14ac:dyDescent="0.25">
      <c r="A37" s="35">
        <v>41226</v>
      </c>
      <c r="B37" t="s">
        <v>649</v>
      </c>
      <c r="C37" t="s">
        <v>1348</v>
      </c>
      <c r="D37" t="s">
        <v>1349</v>
      </c>
      <c r="E37" s="146" t="s">
        <v>523</v>
      </c>
      <c r="F37" s="98" t="s">
        <v>412</v>
      </c>
      <c r="G37" s="98" t="s">
        <v>701</v>
      </c>
      <c r="H37" s="88">
        <v>48.577983333333336</v>
      </c>
      <c r="I37" s="88">
        <v>-122.63238333333334</v>
      </c>
      <c r="J37" s="88"/>
      <c r="K37" s="88"/>
      <c r="L37" s="98" t="s">
        <v>148</v>
      </c>
      <c r="M37" s="97">
        <v>-2.9</v>
      </c>
      <c r="N37" s="98" t="s">
        <v>785</v>
      </c>
      <c r="O37" s="98" t="s">
        <v>89</v>
      </c>
      <c r="P37" s="98" t="s">
        <v>291</v>
      </c>
      <c r="Q37" s="98" t="s">
        <v>372</v>
      </c>
      <c r="R37" s="13" t="s">
        <v>1350</v>
      </c>
      <c r="S37" s="98" t="s">
        <v>1284</v>
      </c>
    </row>
    <row r="38" spans="1:19" ht="15" customHeight="1" x14ac:dyDescent="0.25">
      <c r="A38" s="35">
        <v>41226</v>
      </c>
      <c r="B38" t="s">
        <v>649</v>
      </c>
      <c r="C38" t="s">
        <v>1344</v>
      </c>
      <c r="D38" t="s">
        <v>1345</v>
      </c>
      <c r="E38" s="146" t="s">
        <v>523</v>
      </c>
      <c r="F38" s="98" t="s">
        <v>691</v>
      </c>
      <c r="G38" s="98" t="s">
        <v>701</v>
      </c>
      <c r="H38" s="88">
        <v>48.559849999999997</v>
      </c>
      <c r="I38" s="88">
        <v>-122.64855</v>
      </c>
      <c r="J38" s="88">
        <v>48.561799999999998</v>
      </c>
      <c r="K38" s="88">
        <v>-122.64605</v>
      </c>
      <c r="L38" s="98" t="s">
        <v>148</v>
      </c>
      <c r="M38" s="97">
        <v>-3.3</v>
      </c>
      <c r="N38" s="98" t="s">
        <v>785</v>
      </c>
      <c r="O38" s="98" t="s">
        <v>1346</v>
      </c>
      <c r="P38" s="98" t="s">
        <v>521</v>
      </c>
      <c r="Q38" s="98" t="s">
        <v>372</v>
      </c>
      <c r="R38" s="13" t="s">
        <v>1347</v>
      </c>
      <c r="S38" s="98" t="s">
        <v>1284</v>
      </c>
    </row>
    <row r="39" spans="1:19" ht="15" customHeight="1" x14ac:dyDescent="0.25">
      <c r="A39" s="35">
        <v>41226</v>
      </c>
      <c r="B39" t="s">
        <v>649</v>
      </c>
      <c r="C39" t="s">
        <v>364</v>
      </c>
      <c r="D39" t="s">
        <v>1358</v>
      </c>
      <c r="E39" s="146" t="s">
        <v>523</v>
      </c>
      <c r="F39" s="98" t="s">
        <v>691</v>
      </c>
      <c r="G39" s="98" t="s">
        <v>701</v>
      </c>
      <c r="H39" s="88">
        <v>48.6892</v>
      </c>
      <c r="I39" s="88">
        <v>-122.89071666666666</v>
      </c>
      <c r="J39" s="88">
        <v>48.692216666666667</v>
      </c>
      <c r="K39" s="88">
        <v>-122.88973333333334</v>
      </c>
      <c r="L39" s="98" t="s">
        <v>148</v>
      </c>
      <c r="M39" s="97">
        <v>-2</v>
      </c>
      <c r="N39" s="98" t="s">
        <v>793</v>
      </c>
      <c r="O39" s="98" t="s">
        <v>89</v>
      </c>
      <c r="P39" s="98" t="s">
        <v>522</v>
      </c>
      <c r="Q39" s="98" t="s">
        <v>372</v>
      </c>
      <c r="R39" s="13" t="s">
        <v>1359</v>
      </c>
      <c r="S39" s="98" t="s">
        <v>1284</v>
      </c>
    </row>
    <row r="40" spans="1:19" ht="15" customHeight="1" x14ac:dyDescent="0.25">
      <c r="A40" s="35">
        <v>41226</v>
      </c>
      <c r="B40" t="s">
        <v>649</v>
      </c>
      <c r="C40" t="s">
        <v>364</v>
      </c>
      <c r="D40" t="s">
        <v>1360</v>
      </c>
      <c r="E40" s="146" t="s">
        <v>523</v>
      </c>
      <c r="F40" s="98" t="s">
        <v>412</v>
      </c>
      <c r="G40" s="98" t="s">
        <v>701</v>
      </c>
      <c r="H40" s="88">
        <v>48.690199999999997</v>
      </c>
      <c r="I40" s="88">
        <v>-122.89060000000001</v>
      </c>
      <c r="J40" s="88"/>
      <c r="K40" s="88"/>
      <c r="L40" s="98" t="s">
        <v>148</v>
      </c>
      <c r="M40" s="97">
        <v>-1.8</v>
      </c>
      <c r="N40" s="98" t="s">
        <v>793</v>
      </c>
      <c r="O40" s="98" t="s">
        <v>89</v>
      </c>
      <c r="P40" s="98" t="s">
        <v>522</v>
      </c>
      <c r="Q40" s="98" t="s">
        <v>372</v>
      </c>
      <c r="R40" s="13" t="s">
        <v>1361</v>
      </c>
      <c r="S40" s="98" t="s">
        <v>1284</v>
      </c>
    </row>
    <row r="41" spans="1:19" ht="15" customHeight="1" x14ac:dyDescent="0.25">
      <c r="A41" s="35">
        <v>41968</v>
      </c>
      <c r="B41" s="1" t="s">
        <v>5</v>
      </c>
      <c r="C41" t="s">
        <v>1362</v>
      </c>
      <c r="D41" t="s">
        <v>1363</v>
      </c>
      <c r="E41" s="146" t="s">
        <v>523</v>
      </c>
      <c r="F41" s="98" t="s">
        <v>412</v>
      </c>
      <c r="G41" s="98" t="s">
        <v>701</v>
      </c>
      <c r="H41" s="88">
        <v>47.273228000000003</v>
      </c>
      <c r="I41" s="88">
        <v>-122.75415</v>
      </c>
      <c r="J41" s="88"/>
      <c r="K41" s="88"/>
      <c r="L41" s="98" t="s">
        <v>148</v>
      </c>
      <c r="M41" s="97">
        <v>-1.524</v>
      </c>
      <c r="N41" s="98"/>
      <c r="O41" s="98" t="s">
        <v>89</v>
      </c>
      <c r="P41" s="98" t="s">
        <v>291</v>
      </c>
      <c r="Q41" s="98" t="s">
        <v>372</v>
      </c>
      <c r="R41" s="13" t="s">
        <v>1535</v>
      </c>
      <c r="S41" s="98" t="s">
        <v>1364</v>
      </c>
    </row>
    <row r="42" spans="1:19" ht="15" customHeight="1" x14ac:dyDescent="0.25">
      <c r="A42" s="35">
        <v>41968</v>
      </c>
      <c r="B42" s="1" t="s">
        <v>5</v>
      </c>
      <c r="C42" t="s">
        <v>1362</v>
      </c>
      <c r="D42" t="s">
        <v>1375</v>
      </c>
      <c r="E42" s="146" t="s">
        <v>523</v>
      </c>
      <c r="F42" s="98" t="s">
        <v>412</v>
      </c>
      <c r="G42" s="98" t="s">
        <v>701</v>
      </c>
      <c r="H42" s="88">
        <v>47.256050000000002</v>
      </c>
      <c r="I42" s="88">
        <v>-122.73736666666667</v>
      </c>
      <c r="J42" s="88"/>
      <c r="K42" s="88"/>
      <c r="L42" s="98" t="s">
        <v>148</v>
      </c>
      <c r="M42" s="97">
        <v>-1.2801599999999997</v>
      </c>
      <c r="N42" s="98"/>
      <c r="O42" s="98" t="s">
        <v>268</v>
      </c>
      <c r="P42" s="98" t="s">
        <v>409</v>
      </c>
      <c r="Q42" s="98" t="s">
        <v>524</v>
      </c>
      <c r="R42" s="13" t="s">
        <v>268</v>
      </c>
      <c r="S42" s="98" t="s">
        <v>1364</v>
      </c>
    </row>
    <row r="43" spans="1:19" ht="15" customHeight="1" x14ac:dyDescent="0.25">
      <c r="A43" s="35">
        <v>41968</v>
      </c>
      <c r="B43" s="1" t="s">
        <v>5</v>
      </c>
      <c r="C43" t="s">
        <v>1362</v>
      </c>
      <c r="D43" t="s">
        <v>1376</v>
      </c>
      <c r="E43" s="146" t="s">
        <v>523</v>
      </c>
      <c r="F43" s="98" t="s">
        <v>412</v>
      </c>
      <c r="G43" s="98" t="s">
        <v>701</v>
      </c>
      <c r="H43" s="88">
        <v>47.254883333333332</v>
      </c>
      <c r="I43" s="88">
        <v>-122.73686666666667</v>
      </c>
      <c r="J43" s="88"/>
      <c r="K43" s="88"/>
      <c r="L43" s="98" t="s">
        <v>148</v>
      </c>
      <c r="M43" s="97">
        <v>-0.70104000000000022</v>
      </c>
      <c r="N43" s="98"/>
      <c r="O43" s="98" t="s">
        <v>89</v>
      </c>
      <c r="P43" s="98" t="s">
        <v>409</v>
      </c>
      <c r="Q43" s="98" t="s">
        <v>294</v>
      </c>
      <c r="R43" s="13" t="s">
        <v>1377</v>
      </c>
      <c r="S43" s="98" t="s">
        <v>1364</v>
      </c>
    </row>
    <row r="44" spans="1:19" ht="15" customHeight="1" x14ac:dyDescent="0.25">
      <c r="A44" s="35">
        <v>41968</v>
      </c>
      <c r="B44" s="1" t="s">
        <v>5</v>
      </c>
      <c r="C44" t="s">
        <v>1362</v>
      </c>
      <c r="D44" t="s">
        <v>1378</v>
      </c>
      <c r="E44" s="146" t="s">
        <v>523</v>
      </c>
      <c r="F44" s="98" t="s">
        <v>412</v>
      </c>
      <c r="G44" s="98" t="s">
        <v>701</v>
      </c>
      <c r="H44" s="88">
        <v>47.254766666666669</v>
      </c>
      <c r="I44" s="88">
        <v>-122.73690000000001</v>
      </c>
      <c r="J44" s="88"/>
      <c r="K44" s="88"/>
      <c r="L44" s="98" t="s">
        <v>148</v>
      </c>
      <c r="M44" s="97">
        <v>-0.12192000000000013</v>
      </c>
      <c r="N44" s="98"/>
      <c r="O44" s="98" t="s">
        <v>268</v>
      </c>
      <c r="P44" s="98" t="s">
        <v>409</v>
      </c>
      <c r="Q44" s="98" t="s">
        <v>524</v>
      </c>
      <c r="R44" s="13" t="s">
        <v>268</v>
      </c>
      <c r="S44" s="98" t="s">
        <v>1364</v>
      </c>
    </row>
    <row r="45" spans="1:19" ht="15" customHeight="1" x14ac:dyDescent="0.25">
      <c r="A45" s="35">
        <v>41968</v>
      </c>
      <c r="B45" s="1" t="s">
        <v>5</v>
      </c>
      <c r="C45" t="s">
        <v>1362</v>
      </c>
      <c r="D45" t="s">
        <v>1379</v>
      </c>
      <c r="E45" s="146" t="s">
        <v>523</v>
      </c>
      <c r="F45" s="98" t="s">
        <v>412</v>
      </c>
      <c r="G45" s="98" t="s">
        <v>701</v>
      </c>
      <c r="H45" s="88">
        <v>47.252983333333333</v>
      </c>
      <c r="I45" s="88">
        <v>-122.73466666666667</v>
      </c>
      <c r="J45" s="88"/>
      <c r="K45" s="88"/>
      <c r="L45" s="98" t="s">
        <v>148</v>
      </c>
      <c r="M45" s="97">
        <v>-0.48767999999999989</v>
      </c>
      <c r="N45" s="98"/>
      <c r="O45" s="98" t="s">
        <v>89</v>
      </c>
      <c r="P45" s="98" t="s">
        <v>409</v>
      </c>
      <c r="Q45" s="98" t="s">
        <v>294</v>
      </c>
      <c r="R45" s="13" t="s">
        <v>1380</v>
      </c>
      <c r="S45" s="98" t="s">
        <v>1364</v>
      </c>
    </row>
    <row r="46" spans="1:19" ht="15" customHeight="1" x14ac:dyDescent="0.25">
      <c r="A46" s="35">
        <v>41968</v>
      </c>
      <c r="B46" s="1" t="s">
        <v>5</v>
      </c>
      <c r="C46" t="s">
        <v>1362</v>
      </c>
      <c r="D46" t="s">
        <v>1381</v>
      </c>
      <c r="E46" s="146" t="s">
        <v>523</v>
      </c>
      <c r="F46" s="98" t="s">
        <v>412</v>
      </c>
      <c r="G46" s="98" t="s">
        <v>701</v>
      </c>
      <c r="H46" s="88">
        <v>47.249833333333335</v>
      </c>
      <c r="I46" s="88">
        <v>-122.72726666666667</v>
      </c>
      <c r="J46" s="88"/>
      <c r="K46" s="88"/>
      <c r="L46" s="98" t="s">
        <v>148</v>
      </c>
      <c r="M46" s="97">
        <v>-1.4935200000000002</v>
      </c>
      <c r="N46" s="98"/>
      <c r="O46" s="98" t="s">
        <v>89</v>
      </c>
      <c r="P46" s="98" t="s">
        <v>409</v>
      </c>
      <c r="Q46" s="98" t="s">
        <v>294</v>
      </c>
      <c r="R46" s="13" t="s">
        <v>1382</v>
      </c>
      <c r="S46" s="98" t="s">
        <v>1364</v>
      </c>
    </row>
    <row r="47" spans="1:19" ht="15" customHeight="1" x14ac:dyDescent="0.25">
      <c r="A47" s="35">
        <v>41968</v>
      </c>
      <c r="B47" s="1" t="s">
        <v>5</v>
      </c>
      <c r="C47" s="13" t="s">
        <v>1362</v>
      </c>
      <c r="D47" t="s">
        <v>1383</v>
      </c>
      <c r="E47" s="146" t="s">
        <v>523</v>
      </c>
      <c r="F47" s="98" t="s">
        <v>412</v>
      </c>
      <c r="G47" s="98" t="s">
        <v>701</v>
      </c>
      <c r="H47" s="88">
        <v>47.24881666666667</v>
      </c>
      <c r="I47" s="88">
        <v>-122.72475</v>
      </c>
      <c r="J47" s="88"/>
      <c r="K47" s="88"/>
      <c r="L47" s="98" t="s">
        <v>148</v>
      </c>
      <c r="M47" s="97">
        <v>-0.39624000000000026</v>
      </c>
      <c r="N47" s="98"/>
      <c r="O47" s="98" t="s">
        <v>89</v>
      </c>
      <c r="P47" s="98" t="s">
        <v>409</v>
      </c>
      <c r="Q47" s="98" t="s">
        <v>294</v>
      </c>
      <c r="R47" s="13" t="s">
        <v>1384</v>
      </c>
      <c r="S47" s="98" t="s">
        <v>1364</v>
      </c>
    </row>
    <row r="48" spans="1:19" ht="15" customHeight="1" x14ac:dyDescent="0.25">
      <c r="A48" s="35">
        <v>41968</v>
      </c>
      <c r="B48" s="1" t="s">
        <v>5</v>
      </c>
      <c r="C48" s="13" t="s">
        <v>1362</v>
      </c>
      <c r="D48" t="s">
        <v>1385</v>
      </c>
      <c r="E48" s="146" t="s">
        <v>523</v>
      </c>
      <c r="F48" s="98" t="s">
        <v>412</v>
      </c>
      <c r="G48" s="98" t="s">
        <v>701</v>
      </c>
      <c r="H48" s="88">
        <v>47.249266666666664</v>
      </c>
      <c r="I48" s="88">
        <v>-122.72466666666666</v>
      </c>
      <c r="J48" s="88"/>
      <c r="K48" s="88"/>
      <c r="L48" s="98" t="s">
        <v>148</v>
      </c>
      <c r="M48" s="97">
        <v>-1.0668</v>
      </c>
      <c r="N48" s="98"/>
      <c r="O48" s="98" t="s">
        <v>89</v>
      </c>
      <c r="P48" s="98" t="s">
        <v>409</v>
      </c>
      <c r="Q48" s="98" t="s">
        <v>525</v>
      </c>
      <c r="R48" s="13" t="s">
        <v>1386</v>
      </c>
      <c r="S48" s="98" t="s">
        <v>1364</v>
      </c>
    </row>
    <row r="49" spans="1:19" ht="15" customHeight="1" x14ac:dyDescent="0.25">
      <c r="A49" s="35">
        <v>41968</v>
      </c>
      <c r="B49" s="1" t="s">
        <v>5</v>
      </c>
      <c r="C49" s="13" t="s">
        <v>1362</v>
      </c>
      <c r="D49" t="s">
        <v>1387</v>
      </c>
      <c r="E49" s="146" t="s">
        <v>523</v>
      </c>
      <c r="F49" s="98" t="s">
        <v>412</v>
      </c>
      <c r="G49" s="98" t="s">
        <v>701</v>
      </c>
      <c r="H49" s="88">
        <v>47.249650000000003</v>
      </c>
      <c r="I49" s="88">
        <v>-122.72406666666667</v>
      </c>
      <c r="J49" s="88"/>
      <c r="K49" s="88"/>
      <c r="L49" s="98" t="s">
        <v>148</v>
      </c>
      <c r="M49" s="97">
        <v>-1.4020799999999998</v>
      </c>
      <c r="N49" s="98"/>
      <c r="O49" s="98" t="s">
        <v>89</v>
      </c>
      <c r="P49" s="98" t="s">
        <v>409</v>
      </c>
      <c r="Q49" s="98" t="s">
        <v>525</v>
      </c>
      <c r="R49" s="13" t="s">
        <v>1388</v>
      </c>
      <c r="S49" s="98" t="s">
        <v>1364</v>
      </c>
    </row>
    <row r="50" spans="1:19" ht="15" customHeight="1" x14ac:dyDescent="0.25">
      <c r="A50" s="35">
        <v>41968</v>
      </c>
      <c r="B50" s="1" t="s">
        <v>5</v>
      </c>
      <c r="C50" s="13" t="s">
        <v>1362</v>
      </c>
      <c r="D50" t="s">
        <v>1389</v>
      </c>
      <c r="E50" s="146" t="s">
        <v>523</v>
      </c>
      <c r="F50" s="98" t="s">
        <v>412</v>
      </c>
      <c r="G50" s="98" t="s">
        <v>701</v>
      </c>
      <c r="H50" s="88">
        <v>47.250016666666667</v>
      </c>
      <c r="I50" s="88">
        <v>-122.72338333333333</v>
      </c>
      <c r="J50" s="88"/>
      <c r="K50" s="88"/>
      <c r="L50" s="98" t="s">
        <v>148</v>
      </c>
      <c r="M50" s="97">
        <v>-1.7373599999999996</v>
      </c>
      <c r="N50" s="98"/>
      <c r="O50" s="98"/>
      <c r="P50" s="98" t="s">
        <v>409</v>
      </c>
      <c r="Q50" s="98" t="s">
        <v>524</v>
      </c>
      <c r="R50" s="13" t="s">
        <v>1390</v>
      </c>
      <c r="S50" s="98" t="s">
        <v>1364</v>
      </c>
    </row>
    <row r="51" spans="1:19" ht="15" customHeight="1" x14ac:dyDescent="0.25">
      <c r="A51" s="35">
        <v>41968</v>
      </c>
      <c r="B51" s="1" t="s">
        <v>5</v>
      </c>
      <c r="C51" s="13" t="s">
        <v>1362</v>
      </c>
      <c r="D51" t="s">
        <v>1391</v>
      </c>
      <c r="E51" s="146" t="s">
        <v>523</v>
      </c>
      <c r="F51" s="98" t="s">
        <v>412</v>
      </c>
      <c r="G51" s="98" t="s">
        <v>701</v>
      </c>
      <c r="H51" s="88">
        <v>47.250250000000001</v>
      </c>
      <c r="I51" s="88">
        <v>-122.7229</v>
      </c>
      <c r="J51" s="88"/>
      <c r="K51" s="88"/>
      <c r="L51" s="98" t="s">
        <v>148</v>
      </c>
      <c r="M51" s="97">
        <v>-1.1887200000000002</v>
      </c>
      <c r="N51" s="98"/>
      <c r="O51" s="98" t="s">
        <v>89</v>
      </c>
      <c r="P51" s="98" t="s">
        <v>409</v>
      </c>
      <c r="Q51" s="98" t="s">
        <v>294</v>
      </c>
      <c r="R51" s="13" t="s">
        <v>1392</v>
      </c>
      <c r="S51" s="98" t="s">
        <v>1364</v>
      </c>
    </row>
    <row r="52" spans="1:19" ht="15" customHeight="1" x14ac:dyDescent="0.25">
      <c r="A52" s="35">
        <v>41968</v>
      </c>
      <c r="B52" s="1" t="s">
        <v>5</v>
      </c>
      <c r="C52" s="13" t="s">
        <v>1362</v>
      </c>
      <c r="D52" t="s">
        <v>1393</v>
      </c>
      <c r="E52" s="146" t="s">
        <v>523</v>
      </c>
      <c r="F52" s="98" t="s">
        <v>412</v>
      </c>
      <c r="G52" s="98" t="s">
        <v>701</v>
      </c>
      <c r="H52" s="88">
        <v>47.250700000000002</v>
      </c>
      <c r="I52" s="88">
        <v>-122.72239999999999</v>
      </c>
      <c r="J52" s="88"/>
      <c r="K52" s="88"/>
      <c r="L52" s="98" t="s">
        <v>148</v>
      </c>
      <c r="M52" s="97">
        <v>-1.2192000000000001</v>
      </c>
      <c r="N52" s="98"/>
      <c r="O52" s="98"/>
      <c r="P52" s="98" t="s">
        <v>409</v>
      </c>
      <c r="Q52" s="98" t="s">
        <v>294</v>
      </c>
      <c r="R52" s="13" t="s">
        <v>1394</v>
      </c>
      <c r="S52" s="98" t="s">
        <v>1364</v>
      </c>
    </row>
    <row r="53" spans="1:19" ht="15" customHeight="1" x14ac:dyDescent="0.25">
      <c r="A53" s="35">
        <v>41968</v>
      </c>
      <c r="B53" s="1" t="s">
        <v>5</v>
      </c>
      <c r="C53" s="13" t="s">
        <v>1362</v>
      </c>
      <c r="D53" t="s">
        <v>1395</v>
      </c>
      <c r="E53" s="146" t="s">
        <v>523</v>
      </c>
      <c r="F53" s="98" t="s">
        <v>412</v>
      </c>
      <c r="G53" s="98" t="s">
        <v>701</v>
      </c>
      <c r="H53" s="88">
        <v>47.251150000000003</v>
      </c>
      <c r="I53" s="88">
        <v>-122.72168333333333</v>
      </c>
      <c r="J53" s="88"/>
      <c r="K53" s="88"/>
      <c r="L53" s="98" t="s">
        <v>148</v>
      </c>
      <c r="M53" s="97">
        <v>-1.2496799999999999</v>
      </c>
      <c r="N53" s="98"/>
      <c r="O53" s="98" t="s">
        <v>268</v>
      </c>
      <c r="P53" s="98" t="s">
        <v>409</v>
      </c>
      <c r="Q53" s="98" t="s">
        <v>525</v>
      </c>
      <c r="R53" s="13" t="s">
        <v>1396</v>
      </c>
      <c r="S53" s="98" t="s">
        <v>1364</v>
      </c>
    </row>
    <row r="54" spans="1:19" ht="15" customHeight="1" x14ac:dyDescent="0.25">
      <c r="A54" s="35">
        <v>41968</v>
      </c>
      <c r="B54" s="1" t="s">
        <v>5</v>
      </c>
      <c r="C54" t="s">
        <v>1362</v>
      </c>
      <c r="D54" t="s">
        <v>1365</v>
      </c>
      <c r="E54" s="146" t="s">
        <v>523</v>
      </c>
      <c r="F54" s="98" t="s">
        <v>412</v>
      </c>
      <c r="G54" s="98" t="s">
        <v>701</v>
      </c>
      <c r="H54" s="88">
        <v>47.273440000000001</v>
      </c>
      <c r="I54" s="88">
        <v>-122.74705</v>
      </c>
      <c r="J54" s="88"/>
      <c r="K54" s="88"/>
      <c r="L54" s="98" t="s">
        <v>148</v>
      </c>
      <c r="M54" s="97">
        <v>-1.7373599999999996</v>
      </c>
      <c r="N54" s="98"/>
      <c r="O54" s="98" t="s">
        <v>268</v>
      </c>
      <c r="P54" s="98" t="s">
        <v>409</v>
      </c>
      <c r="Q54" s="98" t="s">
        <v>524</v>
      </c>
      <c r="R54" s="13" t="s">
        <v>1366</v>
      </c>
      <c r="S54" s="98" t="s">
        <v>1364</v>
      </c>
    </row>
    <row r="55" spans="1:19" ht="15" customHeight="1" x14ac:dyDescent="0.25">
      <c r="A55" s="35">
        <v>41968</v>
      </c>
      <c r="B55" s="1" t="s">
        <v>5</v>
      </c>
      <c r="C55" t="s">
        <v>1362</v>
      </c>
      <c r="D55" t="s">
        <v>1367</v>
      </c>
      <c r="E55" s="146" t="s">
        <v>523</v>
      </c>
      <c r="F55" s="98" t="s">
        <v>412</v>
      </c>
      <c r="G55" s="98" t="s">
        <v>701</v>
      </c>
      <c r="H55" s="88">
        <v>47.266590000000001</v>
      </c>
      <c r="I55" s="88">
        <v>-122.73694</v>
      </c>
      <c r="J55" s="88"/>
      <c r="K55" s="88"/>
      <c r="L55" s="98" t="s">
        <v>148</v>
      </c>
      <c r="M55" s="97">
        <v>-3.0479999999999893E-2</v>
      </c>
      <c r="N55" s="98"/>
      <c r="O55" s="98" t="s">
        <v>268</v>
      </c>
      <c r="P55" s="98" t="s">
        <v>409</v>
      </c>
      <c r="Q55" s="98" t="s">
        <v>524</v>
      </c>
      <c r="R55" s="13" t="s">
        <v>1368</v>
      </c>
      <c r="S55" s="98" t="s">
        <v>1364</v>
      </c>
    </row>
    <row r="56" spans="1:19" ht="15" customHeight="1" x14ac:dyDescent="0.25">
      <c r="A56" s="35">
        <v>41968</v>
      </c>
      <c r="B56" s="1" t="s">
        <v>5</v>
      </c>
      <c r="C56" t="s">
        <v>1362</v>
      </c>
      <c r="D56" t="s">
        <v>1369</v>
      </c>
      <c r="E56" s="146" t="s">
        <v>523</v>
      </c>
      <c r="F56" s="98" t="s">
        <v>412</v>
      </c>
      <c r="G56" s="98" t="s">
        <v>701</v>
      </c>
      <c r="H56" s="88">
        <v>47.26596</v>
      </c>
      <c r="I56" s="88">
        <v>-122.73585</v>
      </c>
      <c r="J56" s="88"/>
      <c r="K56" s="88"/>
      <c r="L56" s="98" t="s">
        <v>148</v>
      </c>
      <c r="M56" s="97">
        <v>-2.2555200000000002</v>
      </c>
      <c r="N56" s="98"/>
      <c r="O56" s="98" t="s">
        <v>268</v>
      </c>
      <c r="P56" s="98" t="s">
        <v>409</v>
      </c>
      <c r="Q56" s="98" t="s">
        <v>524</v>
      </c>
      <c r="R56" s="13" t="s">
        <v>1370</v>
      </c>
      <c r="S56" s="98" t="s">
        <v>1364</v>
      </c>
    </row>
    <row r="57" spans="1:19" ht="15" customHeight="1" x14ac:dyDescent="0.25">
      <c r="A57" s="35">
        <v>41968</v>
      </c>
      <c r="B57" s="1" t="s">
        <v>5</v>
      </c>
      <c r="C57" t="s">
        <v>1362</v>
      </c>
      <c r="D57" t="s">
        <v>1371</v>
      </c>
      <c r="E57" s="146" t="s">
        <v>523</v>
      </c>
      <c r="F57" s="98" t="s">
        <v>412</v>
      </c>
      <c r="G57" s="98" t="s">
        <v>701</v>
      </c>
      <c r="H57" s="88">
        <v>47.253740000000001</v>
      </c>
      <c r="I57" s="88">
        <v>-122.73557</v>
      </c>
      <c r="J57" s="88"/>
      <c r="K57" s="88"/>
      <c r="L57" s="98" t="s">
        <v>148</v>
      </c>
      <c r="M57" s="97">
        <v>-3.3527999999999998</v>
      </c>
      <c r="N57" s="98"/>
      <c r="O57" s="98"/>
      <c r="P57" s="98" t="s">
        <v>409</v>
      </c>
      <c r="Q57" s="98" t="s">
        <v>524</v>
      </c>
      <c r="R57" s="13" t="s">
        <v>1372</v>
      </c>
      <c r="S57" s="98" t="s">
        <v>1364</v>
      </c>
    </row>
    <row r="58" spans="1:19" ht="15" customHeight="1" x14ac:dyDescent="0.25">
      <c r="A58" s="35">
        <v>41968</v>
      </c>
      <c r="B58" s="1" t="s">
        <v>5</v>
      </c>
      <c r="C58" t="s">
        <v>1362</v>
      </c>
      <c r="D58" t="s">
        <v>1373</v>
      </c>
      <c r="E58" s="146" t="s">
        <v>523</v>
      </c>
      <c r="F58" s="98" t="s">
        <v>412</v>
      </c>
      <c r="G58" s="98" t="s">
        <v>701</v>
      </c>
      <c r="H58" s="88">
        <v>47.256616666666666</v>
      </c>
      <c r="I58" s="88">
        <v>-122.73763333333333</v>
      </c>
      <c r="J58" s="88"/>
      <c r="K58" s="88"/>
      <c r="L58" s="98" t="s">
        <v>148</v>
      </c>
      <c r="M58" s="97">
        <v>-0.94487999999999983</v>
      </c>
      <c r="N58" s="98"/>
      <c r="O58" s="98" t="s">
        <v>89</v>
      </c>
      <c r="P58" s="98" t="s">
        <v>409</v>
      </c>
      <c r="Q58" s="98" t="s">
        <v>294</v>
      </c>
      <c r="R58" s="13" t="s">
        <v>1374</v>
      </c>
      <c r="S58" s="98" t="s">
        <v>1364</v>
      </c>
    </row>
    <row r="59" spans="1:19" ht="15" customHeight="1" x14ac:dyDescent="0.25">
      <c r="A59" s="35">
        <v>41968</v>
      </c>
      <c r="B59" s="1" t="s">
        <v>5</v>
      </c>
      <c r="C59" s="47" t="s">
        <v>33</v>
      </c>
      <c r="D59" s="47" t="s">
        <v>1652</v>
      </c>
      <c r="E59" s="146" t="s">
        <v>523</v>
      </c>
      <c r="F59" s="98" t="s">
        <v>412</v>
      </c>
      <c r="G59" s="98" t="s">
        <v>701</v>
      </c>
      <c r="H59" s="88">
        <v>47.2179</v>
      </c>
      <c r="I59" s="88">
        <v>-122.65756666666667</v>
      </c>
      <c r="J59" s="88"/>
      <c r="K59" s="88"/>
      <c r="L59" s="98" t="s">
        <v>148</v>
      </c>
      <c r="M59" s="97">
        <v>-0.97536</v>
      </c>
      <c r="N59" s="98"/>
      <c r="O59" s="98" t="s">
        <v>89</v>
      </c>
      <c r="P59" s="98" t="s">
        <v>409</v>
      </c>
      <c r="Q59" s="98" t="s">
        <v>294</v>
      </c>
      <c r="R59" s="13" t="s">
        <v>1406</v>
      </c>
      <c r="S59" s="98" t="s">
        <v>1364</v>
      </c>
    </row>
    <row r="60" spans="1:19" ht="15" customHeight="1" x14ac:dyDescent="0.25">
      <c r="A60" s="35">
        <v>41968</v>
      </c>
      <c r="B60" s="1" t="s">
        <v>5</v>
      </c>
      <c r="C60" s="47" t="s">
        <v>33</v>
      </c>
      <c r="D60" s="47" t="s">
        <v>1653</v>
      </c>
      <c r="E60" s="146" t="s">
        <v>523</v>
      </c>
      <c r="F60" s="98" t="s">
        <v>412</v>
      </c>
      <c r="G60" s="98" t="s">
        <v>701</v>
      </c>
      <c r="H60" s="88">
        <v>47.224766666666667</v>
      </c>
      <c r="I60" s="88">
        <v>-122.67308333333334</v>
      </c>
      <c r="J60" s="88"/>
      <c r="K60" s="88"/>
      <c r="L60" s="98" t="s">
        <v>148</v>
      </c>
      <c r="M60" s="97">
        <v>-0.70103999999999989</v>
      </c>
      <c r="N60" s="98"/>
      <c r="O60" s="98" t="s">
        <v>89</v>
      </c>
      <c r="P60" s="98" t="s">
        <v>409</v>
      </c>
      <c r="Q60" s="98" t="s">
        <v>294</v>
      </c>
      <c r="R60" s="13" t="s">
        <v>1407</v>
      </c>
      <c r="S60" s="98" t="s">
        <v>1364</v>
      </c>
    </row>
    <row r="61" spans="1:19" ht="15" customHeight="1" x14ac:dyDescent="0.25">
      <c r="A61" s="35">
        <v>41968</v>
      </c>
      <c r="B61" s="1" t="s">
        <v>5</v>
      </c>
      <c r="C61" s="47" t="s">
        <v>33</v>
      </c>
      <c r="D61" s="47" t="s">
        <v>1654</v>
      </c>
      <c r="E61" s="146" t="s">
        <v>523</v>
      </c>
      <c r="F61" s="98" t="s">
        <v>412</v>
      </c>
      <c r="G61" s="98" t="s">
        <v>701</v>
      </c>
      <c r="H61" s="88">
        <v>47.232050000000001</v>
      </c>
      <c r="I61" s="88">
        <v>-122.69778333333333</v>
      </c>
      <c r="J61" s="88"/>
      <c r="K61" s="88"/>
      <c r="L61" s="98" t="s">
        <v>148</v>
      </c>
      <c r="M61" s="97">
        <v>-1.0058400000000003</v>
      </c>
      <c r="N61" s="98"/>
      <c r="O61" s="98" t="s">
        <v>89</v>
      </c>
      <c r="P61" s="98" t="s">
        <v>409</v>
      </c>
      <c r="Q61" s="98" t="s">
        <v>294</v>
      </c>
      <c r="R61" s="13" t="s">
        <v>1402</v>
      </c>
      <c r="S61" s="98" t="s">
        <v>1364</v>
      </c>
    </row>
    <row r="62" spans="1:19" ht="15" customHeight="1" x14ac:dyDescent="0.25">
      <c r="A62" s="35">
        <v>41968</v>
      </c>
      <c r="B62" s="1" t="s">
        <v>5</v>
      </c>
      <c r="C62" s="47" t="s">
        <v>33</v>
      </c>
      <c r="D62" s="47" t="s">
        <v>1655</v>
      </c>
      <c r="E62" s="146" t="s">
        <v>523</v>
      </c>
      <c r="F62" s="98" t="s">
        <v>412</v>
      </c>
      <c r="G62" s="98" t="s">
        <v>701</v>
      </c>
      <c r="H62" s="88">
        <v>47.23211666666667</v>
      </c>
      <c r="I62" s="88">
        <v>-122.69473333333333</v>
      </c>
      <c r="J62" s="88"/>
      <c r="K62" s="88"/>
      <c r="L62" s="98" t="s">
        <v>148</v>
      </c>
      <c r="M62" s="97">
        <v>-1.0363200000000001</v>
      </c>
      <c r="N62" s="98"/>
      <c r="O62" s="98"/>
      <c r="P62" s="98" t="s">
        <v>409</v>
      </c>
      <c r="Q62" s="98" t="s">
        <v>294</v>
      </c>
      <c r="R62" s="13" t="s">
        <v>1403</v>
      </c>
      <c r="S62" s="98" t="s">
        <v>1364</v>
      </c>
    </row>
    <row r="63" spans="1:19" ht="15" customHeight="1" x14ac:dyDescent="0.25">
      <c r="A63" s="35">
        <v>41968</v>
      </c>
      <c r="B63" s="1" t="s">
        <v>5</v>
      </c>
      <c r="C63" s="47" t="s">
        <v>33</v>
      </c>
      <c r="D63" s="47" t="s">
        <v>1656</v>
      </c>
      <c r="E63" s="146" t="s">
        <v>523</v>
      </c>
      <c r="F63" s="98" t="s">
        <v>412</v>
      </c>
      <c r="G63" s="98" t="s">
        <v>701</v>
      </c>
      <c r="H63" s="88">
        <v>47.232433333333333</v>
      </c>
      <c r="I63" s="88">
        <v>-122.68923333333333</v>
      </c>
      <c r="J63" s="88"/>
      <c r="K63" s="88"/>
      <c r="L63" s="98" t="s">
        <v>148</v>
      </c>
      <c r="M63" s="97">
        <v>-1.7068799999999997</v>
      </c>
      <c r="N63" s="98"/>
      <c r="O63" s="98" t="s">
        <v>89</v>
      </c>
      <c r="P63" s="98" t="s">
        <v>409</v>
      </c>
      <c r="Q63" s="98" t="s">
        <v>525</v>
      </c>
      <c r="R63" s="13" t="s">
        <v>1404</v>
      </c>
      <c r="S63" s="98" t="s">
        <v>1364</v>
      </c>
    </row>
    <row r="64" spans="1:19" ht="15" customHeight="1" x14ac:dyDescent="0.25">
      <c r="A64" s="35">
        <v>41968</v>
      </c>
      <c r="B64" s="1" t="s">
        <v>5</v>
      </c>
      <c r="C64" s="47" t="s">
        <v>33</v>
      </c>
      <c r="D64" s="47" t="s">
        <v>1657</v>
      </c>
      <c r="E64" s="146" t="s">
        <v>523</v>
      </c>
      <c r="F64" s="98" t="s">
        <v>412</v>
      </c>
      <c r="G64" s="98" t="s">
        <v>701</v>
      </c>
      <c r="H64" s="88">
        <v>47.232616666666665</v>
      </c>
      <c r="I64" s="88">
        <v>-122.68628333333334</v>
      </c>
      <c r="J64" s="88"/>
      <c r="K64" s="88"/>
      <c r="L64" s="98" t="s">
        <v>148</v>
      </c>
      <c r="M64" s="97">
        <v>-1.1582400000000002</v>
      </c>
      <c r="N64" s="98"/>
      <c r="O64" s="98" t="s">
        <v>89</v>
      </c>
      <c r="P64" s="98" t="s">
        <v>409</v>
      </c>
      <c r="Q64" s="98" t="s">
        <v>525</v>
      </c>
      <c r="R64" s="13" t="s">
        <v>1405</v>
      </c>
      <c r="S64" s="98" t="s">
        <v>1364</v>
      </c>
    </row>
    <row r="65" spans="1:26" ht="15" customHeight="1" x14ac:dyDescent="0.25">
      <c r="A65" s="35">
        <v>41968</v>
      </c>
      <c r="B65" s="1" t="s">
        <v>5</v>
      </c>
      <c r="C65" s="47" t="s">
        <v>1397</v>
      </c>
      <c r="D65" s="47" t="s">
        <v>1824</v>
      </c>
      <c r="E65" s="146" t="s">
        <v>523</v>
      </c>
      <c r="F65" s="98" t="s">
        <v>412</v>
      </c>
      <c r="G65" s="98" t="s">
        <v>701</v>
      </c>
      <c r="H65" s="88">
        <v>47.237916666666663</v>
      </c>
      <c r="I65" s="88">
        <v>-122.70738333333334</v>
      </c>
      <c r="J65" s="88"/>
      <c r="K65" s="88"/>
      <c r="L65" s="98" t="s">
        <v>148</v>
      </c>
      <c r="M65" s="97">
        <v>-0.88392000000000015</v>
      </c>
      <c r="N65" s="98"/>
      <c r="O65" s="98" t="s">
        <v>268</v>
      </c>
      <c r="P65" s="98" t="s">
        <v>409</v>
      </c>
      <c r="Q65" s="98" t="s">
        <v>524</v>
      </c>
      <c r="R65" s="13" t="s">
        <v>1400</v>
      </c>
      <c r="S65" s="98" t="s">
        <v>1364</v>
      </c>
    </row>
    <row r="66" spans="1:26" ht="15" customHeight="1" x14ac:dyDescent="0.25">
      <c r="A66" s="35">
        <v>41968</v>
      </c>
      <c r="B66" s="1" t="s">
        <v>5</v>
      </c>
      <c r="C66" s="47" t="s">
        <v>1397</v>
      </c>
      <c r="D66" s="47" t="s">
        <v>1825</v>
      </c>
      <c r="E66" s="146" t="s">
        <v>523</v>
      </c>
      <c r="F66" s="98" t="s">
        <v>412</v>
      </c>
      <c r="G66" s="98" t="s">
        <v>701</v>
      </c>
      <c r="H66" s="88">
        <v>47.238500000000002</v>
      </c>
      <c r="I66" s="88">
        <v>-122.70661666666666</v>
      </c>
      <c r="J66" s="88"/>
      <c r="K66" s="88"/>
      <c r="L66" s="98" t="s">
        <v>148</v>
      </c>
      <c r="M66" s="97">
        <v>-2.4384000000000001</v>
      </c>
      <c r="N66" s="98"/>
      <c r="O66" s="98"/>
      <c r="P66" s="98" t="s">
        <v>521</v>
      </c>
      <c r="Q66" s="98" t="s">
        <v>372</v>
      </c>
      <c r="R66" s="13" t="s">
        <v>1401</v>
      </c>
      <c r="S66" s="98" t="s">
        <v>1364</v>
      </c>
    </row>
    <row r="67" spans="1:26" ht="15" customHeight="1" x14ac:dyDescent="0.25">
      <c r="A67" s="35">
        <v>41968</v>
      </c>
      <c r="B67" s="1" t="s">
        <v>5</v>
      </c>
      <c r="C67" s="47" t="s">
        <v>1397</v>
      </c>
      <c r="D67" s="47" t="s">
        <v>1826</v>
      </c>
      <c r="E67" s="146" t="s">
        <v>523</v>
      </c>
      <c r="F67" s="98" t="s">
        <v>412</v>
      </c>
      <c r="G67" s="98" t="s">
        <v>701</v>
      </c>
      <c r="H67" s="88">
        <v>47.239116666666668</v>
      </c>
      <c r="I67" s="88">
        <v>-122.70874999999999</v>
      </c>
      <c r="J67" s="88"/>
      <c r="K67" s="88"/>
      <c r="L67" s="98" t="s">
        <v>148</v>
      </c>
      <c r="M67" s="97">
        <v>-1.1582400000000002</v>
      </c>
      <c r="N67" s="98"/>
      <c r="O67" s="98"/>
      <c r="P67" s="98" t="s">
        <v>522</v>
      </c>
      <c r="Q67" s="98" t="s">
        <v>372</v>
      </c>
      <c r="R67" s="13" t="s">
        <v>1399</v>
      </c>
      <c r="S67" s="98" t="s">
        <v>1364</v>
      </c>
    </row>
    <row r="68" spans="1:26" ht="15" customHeight="1" x14ac:dyDescent="0.25">
      <c r="A68" s="35">
        <v>41968</v>
      </c>
      <c r="B68" s="1" t="s">
        <v>5</v>
      </c>
      <c r="C68" s="47" t="s">
        <v>1397</v>
      </c>
      <c r="D68" s="47" t="s">
        <v>1827</v>
      </c>
      <c r="E68" s="146" t="s">
        <v>523</v>
      </c>
      <c r="F68" s="98" t="s">
        <v>412</v>
      </c>
      <c r="G68" s="98" t="s">
        <v>701</v>
      </c>
      <c r="H68" s="88">
        <v>47.239233333333331</v>
      </c>
      <c r="I68" s="88">
        <v>-122.71206666666667</v>
      </c>
      <c r="J68" s="88"/>
      <c r="K68" s="88"/>
      <c r="L68" s="98" t="s">
        <v>148</v>
      </c>
      <c r="M68" s="97">
        <v>-1.0668</v>
      </c>
      <c r="N68" s="98"/>
      <c r="O68" s="98" t="s">
        <v>89</v>
      </c>
      <c r="P68" s="98" t="s">
        <v>522</v>
      </c>
      <c r="Q68" s="98" t="s">
        <v>372</v>
      </c>
      <c r="R68" s="13" t="s">
        <v>1398</v>
      </c>
      <c r="S68" s="98" t="s">
        <v>1364</v>
      </c>
    </row>
    <row r="69" spans="1:26" ht="15" customHeight="1" x14ac:dyDescent="0.25">
      <c r="A69" s="35">
        <v>42048</v>
      </c>
      <c r="B69" s="1" t="s">
        <v>5</v>
      </c>
      <c r="C69" s="1" t="s">
        <v>20</v>
      </c>
      <c r="D69" s="1" t="s">
        <v>1543</v>
      </c>
      <c r="E69" s="90" t="s">
        <v>523</v>
      </c>
      <c r="F69" s="90" t="s">
        <v>412</v>
      </c>
      <c r="G69" s="90" t="s">
        <v>701</v>
      </c>
      <c r="H69" s="91">
        <v>48.057366666666667</v>
      </c>
      <c r="I69" s="91">
        <v>-122.35573333333333</v>
      </c>
      <c r="J69" s="95"/>
      <c r="K69" s="95"/>
      <c r="L69" s="73" t="s">
        <v>148</v>
      </c>
      <c r="M69" s="71">
        <v>-1.3411200000000001</v>
      </c>
      <c r="N69" s="90" t="s">
        <v>793</v>
      </c>
      <c r="O69" s="90" t="s">
        <v>89</v>
      </c>
      <c r="P69" s="90" t="s">
        <v>291</v>
      </c>
      <c r="Q69" s="90" t="s">
        <v>372</v>
      </c>
      <c r="R69" s="100" t="s">
        <v>873</v>
      </c>
      <c r="S69" s="131" t="s">
        <v>881</v>
      </c>
      <c r="T69" s="1"/>
      <c r="U69" s="1"/>
      <c r="V69" s="1"/>
      <c r="W69" s="1"/>
      <c r="X69" s="1"/>
      <c r="Y69" s="1"/>
      <c r="Z69" s="1"/>
    </row>
    <row r="70" spans="1:26" s="1" customFormat="1" ht="15" customHeight="1" x14ac:dyDescent="0.25">
      <c r="A70" s="35">
        <v>42048</v>
      </c>
      <c r="B70" s="1" t="s">
        <v>5</v>
      </c>
      <c r="C70" s="1" t="s">
        <v>20</v>
      </c>
      <c r="D70" s="1" t="s">
        <v>1550</v>
      </c>
      <c r="E70" s="90" t="s">
        <v>523</v>
      </c>
      <c r="F70" s="90" t="s">
        <v>412</v>
      </c>
      <c r="G70" s="90" t="s">
        <v>701</v>
      </c>
      <c r="H70" s="91">
        <v>48.177733333333336</v>
      </c>
      <c r="I70" s="91">
        <v>-122.47546666666666</v>
      </c>
      <c r="J70" s="95"/>
      <c r="K70" s="95"/>
      <c r="L70" s="73" t="s">
        <v>148</v>
      </c>
      <c r="M70" s="71">
        <v>-1.2192000000000001</v>
      </c>
      <c r="N70" s="90" t="s">
        <v>785</v>
      </c>
      <c r="O70" s="90" t="s">
        <v>781</v>
      </c>
      <c r="P70" s="90" t="s">
        <v>409</v>
      </c>
      <c r="Q70" s="96" t="s">
        <v>525</v>
      </c>
      <c r="R70" s="100" t="s">
        <v>238</v>
      </c>
      <c r="S70" s="131" t="s">
        <v>881</v>
      </c>
    </row>
    <row r="71" spans="1:26" s="1" customFormat="1" ht="15" customHeight="1" x14ac:dyDescent="0.25">
      <c r="A71" s="35">
        <v>42048</v>
      </c>
      <c r="B71" s="1" t="s">
        <v>5</v>
      </c>
      <c r="C71" s="1" t="s">
        <v>20</v>
      </c>
      <c r="D71" s="1" t="s">
        <v>1551</v>
      </c>
      <c r="E71" s="90" t="s">
        <v>523</v>
      </c>
      <c r="F71" s="90" t="s">
        <v>412</v>
      </c>
      <c r="G71" s="90" t="s">
        <v>701</v>
      </c>
      <c r="H71" s="91">
        <v>48.180300000000003</v>
      </c>
      <c r="I71" s="91">
        <v>-122.44251666666666</v>
      </c>
      <c r="J71" s="95"/>
      <c r="K71" s="95"/>
      <c r="L71" s="73" t="s">
        <v>148</v>
      </c>
      <c r="M71" s="71">
        <v>-1.4325600000000001</v>
      </c>
      <c r="N71" s="90" t="s">
        <v>785</v>
      </c>
      <c r="O71" s="90" t="s">
        <v>808</v>
      </c>
      <c r="P71" s="90" t="s">
        <v>409</v>
      </c>
      <c r="Q71" s="96" t="s">
        <v>524</v>
      </c>
      <c r="R71" s="100" t="s">
        <v>236</v>
      </c>
      <c r="S71" s="131" t="s">
        <v>881</v>
      </c>
    </row>
    <row r="72" spans="1:26" s="1" customFormat="1" ht="15" customHeight="1" x14ac:dyDescent="0.25">
      <c r="A72" s="35">
        <v>42048</v>
      </c>
      <c r="B72" s="1" t="s">
        <v>5</v>
      </c>
      <c r="C72" s="1" t="s">
        <v>20</v>
      </c>
      <c r="D72" s="1" t="s">
        <v>1552</v>
      </c>
      <c r="E72" s="90" t="s">
        <v>523</v>
      </c>
      <c r="F72" s="90" t="s">
        <v>412</v>
      </c>
      <c r="G72" s="90" t="s">
        <v>701</v>
      </c>
      <c r="H72" s="91">
        <v>48.186216666666667</v>
      </c>
      <c r="I72" s="91">
        <v>-122.44673333333333</v>
      </c>
      <c r="J72" s="95"/>
      <c r="K72" s="95"/>
      <c r="L72" s="73" t="s">
        <v>148</v>
      </c>
      <c r="M72" s="71">
        <v>-0.60960000000000003</v>
      </c>
      <c r="N72" s="90" t="s">
        <v>785</v>
      </c>
      <c r="O72" s="90" t="s">
        <v>808</v>
      </c>
      <c r="P72" s="90" t="s">
        <v>409</v>
      </c>
      <c r="Q72" s="96" t="s">
        <v>524</v>
      </c>
      <c r="R72" s="100" t="s">
        <v>232</v>
      </c>
      <c r="S72" s="131" t="s">
        <v>881</v>
      </c>
    </row>
    <row r="73" spans="1:26" s="1" customFormat="1" ht="15" customHeight="1" x14ac:dyDescent="0.25">
      <c r="A73" s="35">
        <v>42048</v>
      </c>
      <c r="B73" s="1" t="s">
        <v>5</v>
      </c>
      <c r="C73" s="1" t="s">
        <v>20</v>
      </c>
      <c r="D73" s="1" t="s">
        <v>1553</v>
      </c>
      <c r="E73" s="90" t="s">
        <v>523</v>
      </c>
      <c r="F73" s="90" t="s">
        <v>412</v>
      </c>
      <c r="G73" s="90" t="s">
        <v>701</v>
      </c>
      <c r="H73" s="91">
        <v>48.18716666666667</v>
      </c>
      <c r="I73" s="91">
        <v>-122.47373333333333</v>
      </c>
      <c r="J73" s="95"/>
      <c r="K73" s="95"/>
      <c r="L73" s="73" t="s">
        <v>148</v>
      </c>
      <c r="M73" s="71">
        <v>-0.85343999999999987</v>
      </c>
      <c r="N73" s="90" t="s">
        <v>785</v>
      </c>
      <c r="O73" s="90" t="s">
        <v>808</v>
      </c>
      <c r="P73" s="90" t="s">
        <v>409</v>
      </c>
      <c r="Q73" s="96" t="s">
        <v>524</v>
      </c>
      <c r="R73" s="100" t="s">
        <v>237</v>
      </c>
      <c r="S73" s="131" t="s">
        <v>881</v>
      </c>
    </row>
    <row r="74" spans="1:26" s="1" customFormat="1" ht="15" customHeight="1" x14ac:dyDescent="0.25">
      <c r="A74" s="35">
        <v>42048</v>
      </c>
      <c r="B74" s="1" t="s">
        <v>5</v>
      </c>
      <c r="C74" s="1" t="s">
        <v>20</v>
      </c>
      <c r="D74" s="1" t="s">
        <v>1554</v>
      </c>
      <c r="E74" s="90" t="s">
        <v>523</v>
      </c>
      <c r="F74" s="90" t="s">
        <v>412</v>
      </c>
      <c r="G74" s="90" t="s">
        <v>701</v>
      </c>
      <c r="H74" s="91">
        <v>48.064733333333336</v>
      </c>
      <c r="I74" s="91">
        <v>-122.36158333333333</v>
      </c>
      <c r="J74" s="95"/>
      <c r="K74" s="95"/>
      <c r="L74" s="73" t="s">
        <v>148</v>
      </c>
      <c r="M74" s="71">
        <v>-0.33527999999999991</v>
      </c>
      <c r="N74" s="90" t="s">
        <v>793</v>
      </c>
      <c r="O74" s="90" t="s">
        <v>89</v>
      </c>
      <c r="P74" s="90" t="s">
        <v>291</v>
      </c>
      <c r="Q74" s="96" t="s">
        <v>372</v>
      </c>
      <c r="R74" s="100" t="s">
        <v>874</v>
      </c>
      <c r="S74" s="131" t="s">
        <v>881</v>
      </c>
    </row>
    <row r="75" spans="1:26" s="1" customFormat="1" ht="15" customHeight="1" x14ac:dyDescent="0.25">
      <c r="A75" s="35">
        <v>42048</v>
      </c>
      <c r="B75" s="1" t="s">
        <v>5</v>
      </c>
      <c r="C75" s="1" t="s">
        <v>20</v>
      </c>
      <c r="D75" s="1" t="s">
        <v>1555</v>
      </c>
      <c r="E75" s="90" t="s">
        <v>523</v>
      </c>
      <c r="F75" s="90" t="s">
        <v>412</v>
      </c>
      <c r="G75" s="90" t="s">
        <v>701</v>
      </c>
      <c r="H75" s="91">
        <v>48.168283333333335</v>
      </c>
      <c r="I75" s="91">
        <v>-122.47301666666667</v>
      </c>
      <c r="J75" s="95"/>
      <c r="K75" s="95"/>
      <c r="L75" s="73" t="s">
        <v>148</v>
      </c>
      <c r="M75" s="71">
        <v>-0.88392000000000015</v>
      </c>
      <c r="N75" s="90" t="s">
        <v>793</v>
      </c>
      <c r="O75" s="90" t="s">
        <v>781</v>
      </c>
      <c r="P75" s="90" t="s">
        <v>409</v>
      </c>
      <c r="Q75" s="96" t="s">
        <v>294</v>
      </c>
      <c r="R75" s="100" t="s">
        <v>878</v>
      </c>
      <c r="S75" s="131" t="s">
        <v>881</v>
      </c>
    </row>
    <row r="76" spans="1:26" s="1" customFormat="1" ht="15" customHeight="1" x14ac:dyDescent="0.25">
      <c r="A76" s="35">
        <v>42048</v>
      </c>
      <c r="B76" s="1" t="s">
        <v>5</v>
      </c>
      <c r="C76" s="1" t="s">
        <v>20</v>
      </c>
      <c r="D76" s="1" t="s">
        <v>1544</v>
      </c>
      <c r="E76" s="90" t="s">
        <v>523</v>
      </c>
      <c r="F76" s="90" t="s">
        <v>412</v>
      </c>
      <c r="G76" s="90" t="s">
        <v>701</v>
      </c>
      <c r="H76" s="91">
        <v>48.057749999999999</v>
      </c>
      <c r="I76" s="91">
        <v>-122.35608333333333</v>
      </c>
      <c r="J76" s="95"/>
      <c r="K76" s="95"/>
      <c r="L76" s="73" t="s">
        <v>148</v>
      </c>
      <c r="M76" s="63">
        <v>-1.6459200000000003</v>
      </c>
      <c r="N76" s="90" t="s">
        <v>793</v>
      </c>
      <c r="O76" s="90" t="s">
        <v>89</v>
      </c>
      <c r="P76" s="90" t="s">
        <v>291</v>
      </c>
      <c r="Q76" s="90" t="s">
        <v>372</v>
      </c>
      <c r="R76" s="100" t="s">
        <v>873</v>
      </c>
      <c r="S76" s="131" t="s">
        <v>881</v>
      </c>
    </row>
    <row r="77" spans="1:26" s="1" customFormat="1" ht="15" customHeight="1" x14ac:dyDescent="0.25">
      <c r="A77" s="35">
        <v>42048</v>
      </c>
      <c r="B77" s="1" t="s">
        <v>5</v>
      </c>
      <c r="C77" s="1" t="s">
        <v>20</v>
      </c>
      <c r="D77" s="1" t="s">
        <v>1545</v>
      </c>
      <c r="E77" s="90" t="s">
        <v>523</v>
      </c>
      <c r="F77" s="90" t="s">
        <v>412</v>
      </c>
      <c r="G77" s="90" t="s">
        <v>701</v>
      </c>
      <c r="H77" s="91">
        <v>48.058666666666667</v>
      </c>
      <c r="I77" s="91">
        <v>-122.35695</v>
      </c>
      <c r="J77" s="95"/>
      <c r="K77" s="95"/>
      <c r="L77" s="73" t="s">
        <v>148</v>
      </c>
      <c r="M77" s="63">
        <v>-1.0972799999999998</v>
      </c>
      <c r="N77" s="90" t="s">
        <v>793</v>
      </c>
      <c r="O77" s="90" t="s">
        <v>89</v>
      </c>
      <c r="P77" s="90" t="s">
        <v>291</v>
      </c>
      <c r="Q77" s="90" t="s">
        <v>372</v>
      </c>
      <c r="R77" s="100" t="s">
        <v>873</v>
      </c>
      <c r="S77" s="131" t="s">
        <v>881</v>
      </c>
    </row>
    <row r="78" spans="1:26" s="1" customFormat="1" ht="15" customHeight="1" x14ac:dyDescent="0.25">
      <c r="A78" s="35">
        <v>42048</v>
      </c>
      <c r="B78" s="1" t="s">
        <v>5</v>
      </c>
      <c r="C78" s="1" t="s">
        <v>20</v>
      </c>
      <c r="D78" s="1" t="s">
        <v>1546</v>
      </c>
      <c r="E78" s="90" t="s">
        <v>523</v>
      </c>
      <c r="F78" s="90" t="s">
        <v>412</v>
      </c>
      <c r="G78" s="90" t="s">
        <v>701</v>
      </c>
      <c r="H78" s="91">
        <v>48.059683333333332</v>
      </c>
      <c r="I78" s="91">
        <v>-122.35711666666667</v>
      </c>
      <c r="J78" s="95"/>
      <c r="K78" s="95"/>
      <c r="L78" s="73" t="s">
        <v>148</v>
      </c>
      <c r="M78" s="71">
        <v>-0.2</v>
      </c>
      <c r="N78" s="90" t="s">
        <v>793</v>
      </c>
      <c r="O78" s="90" t="s">
        <v>89</v>
      </c>
      <c r="P78" s="90" t="s">
        <v>291</v>
      </c>
      <c r="Q78" s="90" t="s">
        <v>372</v>
      </c>
      <c r="R78" s="100" t="s">
        <v>233</v>
      </c>
      <c r="S78" s="131" t="s">
        <v>881</v>
      </c>
    </row>
    <row r="79" spans="1:26" s="1" customFormat="1" ht="15" customHeight="1" x14ac:dyDescent="0.25">
      <c r="A79" s="35">
        <v>42048</v>
      </c>
      <c r="B79" s="1" t="s">
        <v>5</v>
      </c>
      <c r="C79" s="1" t="s">
        <v>20</v>
      </c>
      <c r="D79" s="1" t="s">
        <v>1547</v>
      </c>
      <c r="E79" s="90" t="s">
        <v>523</v>
      </c>
      <c r="F79" s="90" t="s">
        <v>412</v>
      </c>
      <c r="G79" s="90" t="s">
        <v>701</v>
      </c>
      <c r="H79" s="91">
        <v>48.062766666666668</v>
      </c>
      <c r="I79" s="91">
        <v>-122.35875</v>
      </c>
      <c r="J79" s="95"/>
      <c r="K79" s="95"/>
      <c r="L79" s="73" t="s">
        <v>148</v>
      </c>
      <c r="M79" s="71">
        <v>-0.30480000000000002</v>
      </c>
      <c r="N79" s="90" t="s">
        <v>793</v>
      </c>
      <c r="O79" s="90" t="s">
        <v>268</v>
      </c>
      <c r="P79" s="90" t="s">
        <v>409</v>
      </c>
      <c r="Q79" s="96" t="s">
        <v>524</v>
      </c>
      <c r="R79" s="100" t="s">
        <v>234</v>
      </c>
      <c r="S79" s="131" t="s">
        <v>881</v>
      </c>
    </row>
    <row r="80" spans="1:26" s="1" customFormat="1" ht="15" customHeight="1" x14ac:dyDescent="0.25">
      <c r="A80" s="35">
        <v>42048</v>
      </c>
      <c r="B80" s="1" t="s">
        <v>5</v>
      </c>
      <c r="C80" s="1" t="s">
        <v>20</v>
      </c>
      <c r="D80" s="1" t="s">
        <v>1518</v>
      </c>
      <c r="E80" s="90" t="s">
        <v>523</v>
      </c>
      <c r="F80" s="90" t="s">
        <v>412</v>
      </c>
      <c r="G80" s="90" t="s">
        <v>701</v>
      </c>
      <c r="H80" s="91">
        <v>48.063383333333334</v>
      </c>
      <c r="I80" s="91">
        <v>-122.35961666666699</v>
      </c>
      <c r="J80" s="95"/>
      <c r="K80" s="95"/>
      <c r="L80" s="73" t="s">
        <v>148</v>
      </c>
      <c r="M80" s="71">
        <v>-0.33527999999999991</v>
      </c>
      <c r="N80" s="90" t="s">
        <v>793</v>
      </c>
      <c r="O80" s="90" t="s">
        <v>268</v>
      </c>
      <c r="P80" s="90" t="s">
        <v>409</v>
      </c>
      <c r="Q80" s="96" t="s">
        <v>524</v>
      </c>
      <c r="R80" s="100" t="s">
        <v>235</v>
      </c>
      <c r="S80" s="131" t="s">
        <v>881</v>
      </c>
    </row>
    <row r="81" spans="1:26" s="1" customFormat="1" ht="15" customHeight="1" x14ac:dyDescent="0.25">
      <c r="A81" s="35">
        <v>42048</v>
      </c>
      <c r="B81" s="1" t="s">
        <v>5</v>
      </c>
      <c r="C81" s="1" t="s">
        <v>20</v>
      </c>
      <c r="D81" s="1" t="s">
        <v>1548</v>
      </c>
      <c r="E81" s="90" t="s">
        <v>523</v>
      </c>
      <c r="F81" s="90" t="s">
        <v>412</v>
      </c>
      <c r="G81" s="90" t="s">
        <v>701</v>
      </c>
      <c r="H81" s="91">
        <v>48.065416666666664</v>
      </c>
      <c r="I81" s="91">
        <v>-122.36231666666667</v>
      </c>
      <c r="J81" s="95"/>
      <c r="K81" s="95"/>
      <c r="L81" s="73" t="s">
        <v>148</v>
      </c>
      <c r="M81" s="71">
        <v>-2.46888</v>
      </c>
      <c r="N81" s="90" t="s">
        <v>793</v>
      </c>
      <c r="O81" s="90" t="s">
        <v>866</v>
      </c>
      <c r="P81" s="90" t="s">
        <v>521</v>
      </c>
      <c r="Q81" s="96" t="s">
        <v>372</v>
      </c>
      <c r="R81" s="100" t="s">
        <v>875</v>
      </c>
      <c r="S81" s="131" t="s">
        <v>881</v>
      </c>
    </row>
    <row r="82" spans="1:26" s="1" customFormat="1" ht="15" customHeight="1" x14ac:dyDescent="0.25">
      <c r="A82" s="35">
        <v>42048</v>
      </c>
      <c r="B82" s="1" t="s">
        <v>5</v>
      </c>
      <c r="C82" s="1" t="s">
        <v>20</v>
      </c>
      <c r="D82" s="1" t="s">
        <v>1549</v>
      </c>
      <c r="E82" s="90" t="s">
        <v>523</v>
      </c>
      <c r="F82" s="90" t="s">
        <v>412</v>
      </c>
      <c r="G82" s="90" t="s">
        <v>701</v>
      </c>
      <c r="H82" s="91">
        <v>48.135833333333331</v>
      </c>
      <c r="I82" s="91">
        <v>-122.44063333333334</v>
      </c>
      <c r="J82" s="95"/>
      <c r="K82" s="95"/>
      <c r="L82" s="73" t="s">
        <v>148</v>
      </c>
      <c r="M82" s="71">
        <v>-0.67056000000000004</v>
      </c>
      <c r="N82" s="90" t="s">
        <v>793</v>
      </c>
      <c r="O82" s="90"/>
      <c r="P82" s="90" t="s">
        <v>291</v>
      </c>
      <c r="Q82" s="96" t="s">
        <v>372</v>
      </c>
      <c r="R82" s="100" t="s">
        <v>876</v>
      </c>
      <c r="S82" s="131" t="s">
        <v>881</v>
      </c>
    </row>
    <row r="83" spans="1:26" s="1" customFormat="1" ht="15" customHeight="1" x14ac:dyDescent="0.25">
      <c r="A83" s="35">
        <v>42048</v>
      </c>
      <c r="B83" s="1" t="s">
        <v>5</v>
      </c>
      <c r="C83" s="1" t="s">
        <v>20</v>
      </c>
      <c r="D83" s="1" t="s">
        <v>1519</v>
      </c>
      <c r="E83" s="90" t="s">
        <v>523</v>
      </c>
      <c r="F83" s="90" t="s">
        <v>412</v>
      </c>
      <c r="G83" s="90" t="s">
        <v>701</v>
      </c>
      <c r="H83" s="91">
        <v>48.112050000000004</v>
      </c>
      <c r="I83" s="91">
        <v>-122.40918000000001</v>
      </c>
      <c r="J83" s="95"/>
      <c r="K83" s="95"/>
      <c r="L83" s="73" t="s">
        <v>148</v>
      </c>
      <c r="M83" s="71">
        <v>-9.1439999999999938E-2</v>
      </c>
      <c r="N83" s="90" t="s">
        <v>793</v>
      </c>
      <c r="O83" s="90"/>
      <c r="P83" s="90" t="s">
        <v>522</v>
      </c>
      <c r="Q83" s="96" t="s">
        <v>372</v>
      </c>
      <c r="R83" s="100" t="s">
        <v>877</v>
      </c>
      <c r="S83" s="131" t="s">
        <v>881</v>
      </c>
    </row>
    <row r="84" spans="1:26" s="1" customFormat="1" ht="15" customHeight="1" x14ac:dyDescent="0.25">
      <c r="A84" s="35">
        <v>42048</v>
      </c>
      <c r="B84" s="1" t="s">
        <v>5</v>
      </c>
      <c r="C84" s="1" t="s">
        <v>150</v>
      </c>
      <c r="D84" s="1" t="s">
        <v>21</v>
      </c>
      <c r="E84" s="90" t="s">
        <v>523</v>
      </c>
      <c r="F84" s="90" t="s">
        <v>412</v>
      </c>
      <c r="G84" s="90" t="s">
        <v>701</v>
      </c>
      <c r="H84" s="91">
        <v>47.950366666666667</v>
      </c>
      <c r="I84" s="91">
        <v>-122.30018333333334</v>
      </c>
      <c r="J84" s="95"/>
      <c r="K84" s="95"/>
      <c r="L84" s="73" t="s">
        <v>148</v>
      </c>
      <c r="M84" s="71">
        <v>-2.2999999999999998</v>
      </c>
      <c r="N84" s="90"/>
      <c r="O84" s="90" t="s">
        <v>268</v>
      </c>
      <c r="P84" s="90" t="s">
        <v>409</v>
      </c>
      <c r="Q84" s="96" t="s">
        <v>524</v>
      </c>
      <c r="R84" s="100" t="s">
        <v>879</v>
      </c>
      <c r="S84" s="131" t="s">
        <v>881</v>
      </c>
      <c r="T84"/>
      <c r="U84"/>
      <c r="V84"/>
      <c r="W84"/>
      <c r="X84"/>
      <c r="Y84"/>
      <c r="Z84"/>
    </row>
    <row r="85" spans="1:26" ht="15" customHeight="1" x14ac:dyDescent="0.25">
      <c r="A85" s="35">
        <v>42052</v>
      </c>
      <c r="B85" t="s">
        <v>5</v>
      </c>
      <c r="C85" t="s">
        <v>30</v>
      </c>
      <c r="D85" t="s">
        <v>1417</v>
      </c>
      <c r="E85" s="146" t="s">
        <v>523</v>
      </c>
      <c r="F85" s="98" t="s">
        <v>691</v>
      </c>
      <c r="G85" s="98" t="s">
        <v>701</v>
      </c>
      <c r="H85" s="88">
        <v>47.60595</v>
      </c>
      <c r="I85" s="88">
        <v>-122.69891666666666</v>
      </c>
      <c r="J85" s="88">
        <v>47.605716666666666</v>
      </c>
      <c r="K85" s="88">
        <v>-122.699</v>
      </c>
      <c r="L85" s="73" t="s">
        <v>148</v>
      </c>
      <c r="M85" s="97">
        <v>-0.4</v>
      </c>
      <c r="N85" s="98"/>
      <c r="O85" s="98" t="s">
        <v>89</v>
      </c>
      <c r="P85" s="98" t="s">
        <v>409</v>
      </c>
      <c r="Q85" s="98" t="s">
        <v>294</v>
      </c>
      <c r="R85" s="13" t="s">
        <v>1418</v>
      </c>
      <c r="S85" s="98" t="s">
        <v>1410</v>
      </c>
    </row>
    <row r="86" spans="1:26" ht="15" customHeight="1" x14ac:dyDescent="0.25">
      <c r="A86" s="35">
        <v>42052</v>
      </c>
      <c r="B86" t="s">
        <v>5</v>
      </c>
      <c r="C86" t="s">
        <v>30</v>
      </c>
      <c r="D86" t="s">
        <v>1419</v>
      </c>
      <c r="E86" s="146" t="s">
        <v>523</v>
      </c>
      <c r="F86" s="98" t="s">
        <v>412</v>
      </c>
      <c r="G86" s="98" t="s">
        <v>701</v>
      </c>
      <c r="H86" s="88">
        <v>47.606450000000002</v>
      </c>
      <c r="I86" s="88">
        <v>-122.69925000000001</v>
      </c>
      <c r="J86" s="88"/>
      <c r="K86" s="88"/>
      <c r="L86" s="73" t="s">
        <v>148</v>
      </c>
      <c r="M86" s="97"/>
      <c r="N86" s="98"/>
      <c r="O86" s="98" t="s">
        <v>89</v>
      </c>
      <c r="P86" s="98" t="s">
        <v>409</v>
      </c>
      <c r="Q86" s="98" t="s">
        <v>294</v>
      </c>
      <c r="R86" s="13" t="s">
        <v>1420</v>
      </c>
      <c r="S86" s="98" t="s">
        <v>1410</v>
      </c>
    </row>
    <row r="87" spans="1:26" ht="15" customHeight="1" x14ac:dyDescent="0.25">
      <c r="A87" s="35">
        <v>42052</v>
      </c>
      <c r="B87" t="s">
        <v>5</v>
      </c>
      <c r="C87" t="s">
        <v>30</v>
      </c>
      <c r="D87" t="s">
        <v>1421</v>
      </c>
      <c r="E87" s="146" t="s">
        <v>523</v>
      </c>
      <c r="F87" s="98" t="s">
        <v>412</v>
      </c>
      <c r="G87" s="98" t="s">
        <v>701</v>
      </c>
      <c r="H87" s="88">
        <v>47.606533333333331</v>
      </c>
      <c r="I87" s="88">
        <v>-122.69926666666667</v>
      </c>
      <c r="J87" s="88"/>
      <c r="K87" s="88"/>
      <c r="L87" s="73" t="s">
        <v>148</v>
      </c>
      <c r="M87" s="97"/>
      <c r="N87" s="98"/>
      <c r="O87" s="98" t="s">
        <v>89</v>
      </c>
      <c r="P87" s="98" t="s">
        <v>409</v>
      </c>
      <c r="Q87" s="98" t="s">
        <v>294</v>
      </c>
      <c r="R87" s="13" t="s">
        <v>1422</v>
      </c>
      <c r="S87" s="98" t="s">
        <v>1410</v>
      </c>
    </row>
    <row r="88" spans="1:26" ht="15" customHeight="1" x14ac:dyDescent="0.25">
      <c r="A88" s="35">
        <v>42052</v>
      </c>
      <c r="B88" t="s">
        <v>5</v>
      </c>
      <c r="C88" t="s">
        <v>29</v>
      </c>
      <c r="D88" t="s">
        <v>1408</v>
      </c>
      <c r="E88" s="146" t="s">
        <v>523</v>
      </c>
      <c r="F88" s="98" t="s">
        <v>691</v>
      </c>
      <c r="G88" s="98" t="s">
        <v>701</v>
      </c>
      <c r="H88" s="88">
        <v>47.594233333333335</v>
      </c>
      <c r="I88" s="88">
        <v>-122.67885</v>
      </c>
      <c r="J88" s="88">
        <v>47.592816666666664</v>
      </c>
      <c r="K88" s="88">
        <v>-122.67933333333333</v>
      </c>
      <c r="L88" s="73" t="s">
        <v>148</v>
      </c>
      <c r="M88" s="97">
        <v>-0.9</v>
      </c>
      <c r="N88" s="98" t="s">
        <v>793</v>
      </c>
      <c r="O88" s="98" t="s">
        <v>89</v>
      </c>
      <c r="P88" s="98" t="s">
        <v>409</v>
      </c>
      <c r="Q88" s="98" t="s">
        <v>524</v>
      </c>
      <c r="R88" s="13" t="s">
        <v>1409</v>
      </c>
      <c r="S88" s="98" t="s">
        <v>1410</v>
      </c>
    </row>
    <row r="89" spans="1:26" ht="15" customHeight="1" x14ac:dyDescent="0.25">
      <c r="A89" s="35">
        <v>42052</v>
      </c>
      <c r="B89" t="s">
        <v>5</v>
      </c>
      <c r="C89" t="s">
        <v>29</v>
      </c>
      <c r="D89" t="s">
        <v>1411</v>
      </c>
      <c r="E89" s="146" t="s">
        <v>523</v>
      </c>
      <c r="F89" s="98" t="s">
        <v>691</v>
      </c>
      <c r="G89" s="98" t="s">
        <v>701</v>
      </c>
      <c r="H89" s="88">
        <v>47.592166666666664</v>
      </c>
      <c r="I89" s="88">
        <v>-122.67925</v>
      </c>
      <c r="J89" s="88">
        <v>47.592033333333333</v>
      </c>
      <c r="K89" s="88">
        <v>-122.67898333333333</v>
      </c>
      <c r="L89" s="73" t="s">
        <v>148</v>
      </c>
      <c r="M89" s="97">
        <v>-0.7</v>
      </c>
      <c r="N89" s="98" t="s">
        <v>793</v>
      </c>
      <c r="O89" s="98" t="s">
        <v>89</v>
      </c>
      <c r="P89" s="98" t="s">
        <v>409</v>
      </c>
      <c r="Q89" s="98" t="s">
        <v>294</v>
      </c>
      <c r="R89" s="13" t="s">
        <v>1412</v>
      </c>
      <c r="S89" s="98" t="s">
        <v>1410</v>
      </c>
    </row>
    <row r="90" spans="1:26" ht="15" customHeight="1" x14ac:dyDescent="0.25">
      <c r="A90" s="35">
        <v>42052</v>
      </c>
      <c r="B90" t="s">
        <v>5</v>
      </c>
      <c r="C90" t="s">
        <v>29</v>
      </c>
      <c r="D90" t="s">
        <v>1413</v>
      </c>
      <c r="E90" s="146" t="s">
        <v>523</v>
      </c>
      <c r="F90" s="98" t="s">
        <v>691</v>
      </c>
      <c r="G90" s="98" t="s">
        <v>701</v>
      </c>
      <c r="H90" s="88">
        <v>47.590216666666663</v>
      </c>
      <c r="I90" s="88">
        <v>-122.68586666666667</v>
      </c>
      <c r="J90" s="88">
        <v>47.590433333333337</v>
      </c>
      <c r="K90" s="88">
        <v>-122.68578333333333</v>
      </c>
      <c r="L90" s="73" t="s">
        <v>148</v>
      </c>
      <c r="M90" s="97">
        <v>-0.6</v>
      </c>
      <c r="N90" s="98" t="s">
        <v>793</v>
      </c>
      <c r="O90" s="98" t="s">
        <v>89</v>
      </c>
      <c r="P90" s="98" t="s">
        <v>409</v>
      </c>
      <c r="Q90" s="98" t="s">
        <v>294</v>
      </c>
      <c r="R90" s="13" t="s">
        <v>1414</v>
      </c>
      <c r="S90" s="98" t="s">
        <v>1410</v>
      </c>
    </row>
    <row r="91" spans="1:26" ht="15" customHeight="1" x14ac:dyDescent="0.25">
      <c r="A91" s="35">
        <v>42052</v>
      </c>
      <c r="B91" t="s">
        <v>5</v>
      </c>
      <c r="C91" t="s">
        <v>29</v>
      </c>
      <c r="D91" t="s">
        <v>1415</v>
      </c>
      <c r="E91" s="146" t="s">
        <v>523</v>
      </c>
      <c r="F91" s="98" t="s">
        <v>412</v>
      </c>
      <c r="G91" s="98" t="s">
        <v>701</v>
      </c>
      <c r="H91" s="88">
        <v>47.592083333333335</v>
      </c>
      <c r="I91" s="88">
        <v>-122.67905</v>
      </c>
      <c r="J91" s="88"/>
      <c r="K91" s="88"/>
      <c r="L91" s="73" t="s">
        <v>148</v>
      </c>
      <c r="M91" s="97">
        <v>-0.5</v>
      </c>
      <c r="N91" s="98" t="s">
        <v>793</v>
      </c>
      <c r="O91" s="98" t="s">
        <v>89</v>
      </c>
      <c r="P91" s="98" t="s">
        <v>409</v>
      </c>
      <c r="Q91" s="98" t="s">
        <v>294</v>
      </c>
      <c r="R91" s="13" t="s">
        <v>1416</v>
      </c>
      <c r="S91" s="98" t="s">
        <v>1410</v>
      </c>
    </row>
    <row r="92" spans="1:26" ht="15" customHeight="1" x14ac:dyDescent="0.25">
      <c r="A92" s="35">
        <v>42054</v>
      </c>
      <c r="B92" t="s">
        <v>5</v>
      </c>
      <c r="C92" t="s">
        <v>890</v>
      </c>
      <c r="D92" t="s">
        <v>1449</v>
      </c>
      <c r="E92" s="146" t="s">
        <v>523</v>
      </c>
      <c r="F92" s="98" t="s">
        <v>691</v>
      </c>
      <c r="G92" s="98" t="s">
        <v>701</v>
      </c>
      <c r="H92" s="88">
        <v>47.418716666666668</v>
      </c>
      <c r="I92" s="88">
        <v>-122.88333333333334</v>
      </c>
      <c r="J92" s="88">
        <v>47.423516666666664</v>
      </c>
      <c r="K92" s="88">
        <v>-122.86936666666666</v>
      </c>
      <c r="L92" s="73" t="s">
        <v>148</v>
      </c>
      <c r="M92" s="97">
        <v>-1.3</v>
      </c>
      <c r="N92" s="98"/>
      <c r="O92" s="98" t="s">
        <v>89</v>
      </c>
      <c r="P92" s="98" t="s">
        <v>522</v>
      </c>
      <c r="Q92" s="98" t="s">
        <v>372</v>
      </c>
      <c r="R92" s="13" t="s">
        <v>1450</v>
      </c>
      <c r="S92" s="98" t="s">
        <v>1425</v>
      </c>
    </row>
    <row r="93" spans="1:26" ht="15" customHeight="1" x14ac:dyDescent="0.25">
      <c r="A93" s="35">
        <v>42054</v>
      </c>
      <c r="B93" t="s">
        <v>5</v>
      </c>
      <c r="C93" t="s">
        <v>661</v>
      </c>
      <c r="D93" t="s">
        <v>1428</v>
      </c>
      <c r="E93" s="146" t="s">
        <v>523</v>
      </c>
      <c r="F93" s="98" t="s">
        <v>691</v>
      </c>
      <c r="G93" s="98" t="s">
        <v>701</v>
      </c>
      <c r="H93" s="88">
        <v>47.383916666666664</v>
      </c>
      <c r="I93" s="88">
        <v>-123.11766666666666</v>
      </c>
      <c r="J93" s="88">
        <v>47.384749999999997</v>
      </c>
      <c r="K93" s="88">
        <v>-123.11898333333333</v>
      </c>
      <c r="L93" s="73" t="s">
        <v>148</v>
      </c>
      <c r="M93" s="97">
        <v>-1.3</v>
      </c>
      <c r="N93" s="98"/>
      <c r="O93" s="98" t="s">
        <v>1429</v>
      </c>
      <c r="P93" s="98" t="s">
        <v>291</v>
      </c>
      <c r="Q93" s="98" t="s">
        <v>372</v>
      </c>
      <c r="R93" s="13" t="s">
        <v>1430</v>
      </c>
      <c r="S93" s="98" t="s">
        <v>1425</v>
      </c>
    </row>
    <row r="94" spans="1:26" ht="15" customHeight="1" x14ac:dyDescent="0.25">
      <c r="A94" s="35">
        <v>42054</v>
      </c>
      <c r="B94" t="s">
        <v>5</v>
      </c>
      <c r="C94" t="s">
        <v>661</v>
      </c>
      <c r="D94" t="s">
        <v>1431</v>
      </c>
      <c r="E94" s="146" t="s">
        <v>523</v>
      </c>
      <c r="F94" s="98" t="s">
        <v>691</v>
      </c>
      <c r="G94" s="98" t="s">
        <v>701</v>
      </c>
      <c r="H94" s="88">
        <v>47.373350000000002</v>
      </c>
      <c r="I94" s="88">
        <v>-123.09555</v>
      </c>
      <c r="J94" s="88">
        <v>47.372599999999998</v>
      </c>
      <c r="K94" s="88">
        <v>-123.09336666666667</v>
      </c>
      <c r="L94" s="73" t="s">
        <v>148</v>
      </c>
      <c r="M94" s="97">
        <v>-1.5</v>
      </c>
      <c r="N94" s="98"/>
      <c r="O94" s="98" t="s">
        <v>89</v>
      </c>
      <c r="P94" s="98" t="s">
        <v>521</v>
      </c>
      <c r="Q94" s="98" t="s">
        <v>372</v>
      </c>
      <c r="R94" s="13" t="s">
        <v>1432</v>
      </c>
      <c r="S94" s="98" t="s">
        <v>1425</v>
      </c>
    </row>
    <row r="95" spans="1:26" ht="15" customHeight="1" x14ac:dyDescent="0.25">
      <c r="A95" s="35">
        <v>42054</v>
      </c>
      <c r="B95" t="s">
        <v>5</v>
      </c>
      <c r="C95" t="s">
        <v>661</v>
      </c>
      <c r="D95" t="s">
        <v>1433</v>
      </c>
      <c r="E95" s="146" t="s">
        <v>523</v>
      </c>
      <c r="F95" s="98" t="s">
        <v>691</v>
      </c>
      <c r="G95" s="98" t="s">
        <v>701</v>
      </c>
      <c r="H95" s="88">
        <v>47.372783333333331</v>
      </c>
      <c r="I95" s="88">
        <v>-123.08861666666667</v>
      </c>
      <c r="J95" s="88">
        <v>47.372900000000001</v>
      </c>
      <c r="K95" s="88">
        <v>-123.07340000000001</v>
      </c>
      <c r="L95" s="73" t="s">
        <v>148</v>
      </c>
      <c r="M95" s="97">
        <v>-1.2</v>
      </c>
      <c r="N95" s="98"/>
      <c r="O95" s="98" t="s">
        <v>866</v>
      </c>
      <c r="P95" s="98" t="s">
        <v>521</v>
      </c>
      <c r="Q95" s="98" t="s">
        <v>372</v>
      </c>
      <c r="R95" s="13" t="s">
        <v>1434</v>
      </c>
      <c r="S95" s="98" t="s">
        <v>1425</v>
      </c>
    </row>
    <row r="96" spans="1:26" ht="15" customHeight="1" x14ac:dyDescent="0.25">
      <c r="A96" s="35">
        <v>42054</v>
      </c>
      <c r="B96" t="s">
        <v>5</v>
      </c>
      <c r="C96" t="s">
        <v>661</v>
      </c>
      <c r="D96" t="s">
        <v>1435</v>
      </c>
      <c r="E96" s="146" t="s">
        <v>523</v>
      </c>
      <c r="F96" s="98" t="s">
        <v>691</v>
      </c>
      <c r="G96" s="98" t="s">
        <v>701</v>
      </c>
      <c r="H96" s="88">
        <v>47.367849999999997</v>
      </c>
      <c r="I96" s="88">
        <v>-123.06025</v>
      </c>
      <c r="J96" s="88">
        <v>47.3688</v>
      </c>
      <c r="K96" s="88">
        <v>-123.05718333333333</v>
      </c>
      <c r="L96" s="73" t="s">
        <v>148</v>
      </c>
      <c r="M96" s="97">
        <v>-1.7</v>
      </c>
      <c r="N96" s="98"/>
      <c r="O96" s="98" t="s">
        <v>1346</v>
      </c>
      <c r="P96" s="98" t="s">
        <v>291</v>
      </c>
      <c r="Q96" s="98" t="s">
        <v>372</v>
      </c>
      <c r="R96" s="13" t="s">
        <v>1436</v>
      </c>
      <c r="S96" s="98" t="s">
        <v>1425</v>
      </c>
    </row>
    <row r="97" spans="1:19" ht="15" customHeight="1" x14ac:dyDescent="0.25">
      <c r="A97" s="35">
        <v>42054</v>
      </c>
      <c r="B97" t="s">
        <v>5</v>
      </c>
      <c r="C97" t="s">
        <v>661</v>
      </c>
      <c r="D97" t="s">
        <v>1437</v>
      </c>
      <c r="E97" s="146" t="s">
        <v>523</v>
      </c>
      <c r="F97" s="98" t="s">
        <v>691</v>
      </c>
      <c r="G97" s="98" t="s">
        <v>701</v>
      </c>
      <c r="H97" s="88">
        <v>47.388533333333335</v>
      </c>
      <c r="I97" s="88">
        <v>-122.98855</v>
      </c>
      <c r="J97" s="88">
        <v>47.388816666666663</v>
      </c>
      <c r="K97" s="88">
        <v>-122.98851666666667</v>
      </c>
      <c r="L97" s="73" t="s">
        <v>148</v>
      </c>
      <c r="M97" s="97">
        <v>-2.2999999999999998</v>
      </c>
      <c r="N97" s="98"/>
      <c r="O97" s="98" t="s">
        <v>866</v>
      </c>
      <c r="P97" s="98" t="s">
        <v>409</v>
      </c>
      <c r="Q97" s="98" t="s">
        <v>524</v>
      </c>
      <c r="R97" s="13" t="s">
        <v>1438</v>
      </c>
      <c r="S97" s="98" t="s">
        <v>1425</v>
      </c>
    </row>
    <row r="98" spans="1:19" ht="15" customHeight="1" x14ac:dyDescent="0.25">
      <c r="A98" s="35">
        <v>42054</v>
      </c>
      <c r="B98" t="s">
        <v>5</v>
      </c>
      <c r="C98" t="s">
        <v>661</v>
      </c>
      <c r="D98" t="s">
        <v>1439</v>
      </c>
      <c r="E98" s="146" t="s">
        <v>523</v>
      </c>
      <c r="F98" s="98" t="s">
        <v>691</v>
      </c>
      <c r="G98" s="98" t="s">
        <v>701</v>
      </c>
      <c r="H98" s="88">
        <v>47.395699999999998</v>
      </c>
      <c r="I98" s="88">
        <v>-122.97263333333333</v>
      </c>
      <c r="J98" s="88">
        <v>47.396999999999998</v>
      </c>
      <c r="K98" s="88">
        <v>-122.97133333333333</v>
      </c>
      <c r="L98" s="73" t="s">
        <v>148</v>
      </c>
      <c r="M98" s="97">
        <v>-1.5</v>
      </c>
      <c r="N98" s="98"/>
      <c r="O98" s="98" t="s">
        <v>268</v>
      </c>
      <c r="P98" s="98" t="s">
        <v>409</v>
      </c>
      <c r="Q98" s="98" t="s">
        <v>524</v>
      </c>
      <c r="R98" s="13" t="s">
        <v>1440</v>
      </c>
      <c r="S98" s="98" t="s">
        <v>1425</v>
      </c>
    </row>
    <row r="99" spans="1:19" ht="15" customHeight="1" x14ac:dyDescent="0.25">
      <c r="A99" s="35">
        <v>42054</v>
      </c>
      <c r="B99" t="s">
        <v>5</v>
      </c>
      <c r="C99" t="s">
        <v>661</v>
      </c>
      <c r="D99" t="s">
        <v>1441</v>
      </c>
      <c r="E99" s="146" t="s">
        <v>523</v>
      </c>
      <c r="F99" s="98" t="s">
        <v>691</v>
      </c>
      <c r="G99" s="98" t="s">
        <v>701</v>
      </c>
      <c r="H99" s="88">
        <v>47.399933333333337</v>
      </c>
      <c r="I99" s="88">
        <v>-122.95663333333333</v>
      </c>
      <c r="J99" s="88">
        <v>47.383533333333332</v>
      </c>
      <c r="K99" s="88">
        <v>-122.9567</v>
      </c>
      <c r="L99" s="73" t="s">
        <v>148</v>
      </c>
      <c r="M99" s="97">
        <v>-1</v>
      </c>
      <c r="N99" s="98"/>
      <c r="O99" s="98" t="s">
        <v>1429</v>
      </c>
      <c r="P99" s="98" t="s">
        <v>409</v>
      </c>
      <c r="Q99" s="98" t="s">
        <v>524</v>
      </c>
      <c r="R99" s="13" t="s">
        <v>1442</v>
      </c>
      <c r="S99" s="98" t="s">
        <v>1425</v>
      </c>
    </row>
    <row r="100" spans="1:19" ht="15" customHeight="1" x14ac:dyDescent="0.25">
      <c r="A100" s="35">
        <v>42054</v>
      </c>
      <c r="B100" t="s">
        <v>5</v>
      </c>
      <c r="C100" t="s">
        <v>661</v>
      </c>
      <c r="D100" t="s">
        <v>1443</v>
      </c>
      <c r="E100" s="146" t="s">
        <v>523</v>
      </c>
      <c r="F100" s="98" t="s">
        <v>691</v>
      </c>
      <c r="G100" s="98" t="s">
        <v>701</v>
      </c>
      <c r="H100" s="88">
        <v>47.389983333333333</v>
      </c>
      <c r="I100" s="88">
        <v>-122.91333333333333</v>
      </c>
      <c r="J100" s="88">
        <v>47.390233333333335</v>
      </c>
      <c r="K100" s="88">
        <v>-122.91351666666667</v>
      </c>
      <c r="L100" s="73" t="s">
        <v>148</v>
      </c>
      <c r="M100" s="97">
        <v>-1.4</v>
      </c>
      <c r="N100" s="98"/>
      <c r="O100" s="98" t="s">
        <v>89</v>
      </c>
      <c r="P100" s="98" t="s">
        <v>522</v>
      </c>
      <c r="Q100" s="98" t="s">
        <v>372</v>
      </c>
      <c r="R100" s="13" t="s">
        <v>1444</v>
      </c>
      <c r="S100" s="98" t="s">
        <v>1425</v>
      </c>
    </row>
    <row r="101" spans="1:19" ht="15" customHeight="1" x14ac:dyDescent="0.25">
      <c r="A101" s="35">
        <v>42054</v>
      </c>
      <c r="B101" t="s">
        <v>5</v>
      </c>
      <c r="C101" t="s">
        <v>661</v>
      </c>
      <c r="D101" t="s">
        <v>1445</v>
      </c>
      <c r="E101" s="146" t="s">
        <v>523</v>
      </c>
      <c r="F101" s="98" t="s">
        <v>691</v>
      </c>
      <c r="G101" s="98" t="s">
        <v>701</v>
      </c>
      <c r="H101" s="88">
        <v>47.379399999999997</v>
      </c>
      <c r="I101" s="88">
        <v>-123.01131666666667</v>
      </c>
      <c r="J101" s="88">
        <v>47.379566666666669</v>
      </c>
      <c r="K101" s="88">
        <v>-123.01146666666666</v>
      </c>
      <c r="L101" s="73" t="s">
        <v>148</v>
      </c>
      <c r="M101" s="97">
        <v>-1.9</v>
      </c>
      <c r="N101" s="98"/>
      <c r="O101" s="98" t="s">
        <v>886</v>
      </c>
      <c r="P101" s="98" t="s">
        <v>409</v>
      </c>
      <c r="Q101" s="98" t="s">
        <v>524</v>
      </c>
      <c r="R101" s="13" t="s">
        <v>1446</v>
      </c>
      <c r="S101" s="98" t="s">
        <v>1425</v>
      </c>
    </row>
    <row r="102" spans="1:19" ht="15" customHeight="1" x14ac:dyDescent="0.25">
      <c r="A102" s="35">
        <v>42054</v>
      </c>
      <c r="B102" t="s">
        <v>5</v>
      </c>
      <c r="C102" t="s">
        <v>661</v>
      </c>
      <c r="D102" t="s">
        <v>1423</v>
      </c>
      <c r="E102" s="146" t="s">
        <v>523</v>
      </c>
      <c r="F102" s="98" t="s">
        <v>412</v>
      </c>
      <c r="G102" s="98" t="s">
        <v>701</v>
      </c>
      <c r="H102" s="88">
        <v>47.379733333333334</v>
      </c>
      <c r="I102" s="88">
        <v>-123.11298333333333</v>
      </c>
      <c r="J102" s="88"/>
      <c r="K102" s="88"/>
      <c r="L102" s="73" t="s">
        <v>148</v>
      </c>
      <c r="M102" s="97"/>
      <c r="N102" s="98"/>
      <c r="O102" s="98" t="s">
        <v>268</v>
      </c>
      <c r="P102" s="98" t="s">
        <v>409</v>
      </c>
      <c r="Q102" s="98" t="s">
        <v>524</v>
      </c>
      <c r="R102" s="13" t="s">
        <v>1424</v>
      </c>
      <c r="S102" s="98" t="s">
        <v>1425</v>
      </c>
    </row>
    <row r="103" spans="1:19" ht="15" customHeight="1" x14ac:dyDescent="0.25">
      <c r="A103" s="35">
        <v>42054</v>
      </c>
      <c r="B103" t="s">
        <v>5</v>
      </c>
      <c r="C103" t="s">
        <v>661</v>
      </c>
      <c r="D103" t="s">
        <v>1426</v>
      </c>
      <c r="E103" s="146" t="s">
        <v>523</v>
      </c>
      <c r="F103" s="98" t="s">
        <v>412</v>
      </c>
      <c r="G103" s="98" t="s">
        <v>701</v>
      </c>
      <c r="H103" s="88">
        <v>47.383616666666668</v>
      </c>
      <c r="I103" s="88">
        <v>-123.11648333333333</v>
      </c>
      <c r="J103" s="88"/>
      <c r="K103" s="88"/>
      <c r="L103" s="73" t="s">
        <v>148</v>
      </c>
      <c r="M103" s="97"/>
      <c r="N103" s="98"/>
      <c r="O103" s="98" t="s">
        <v>268</v>
      </c>
      <c r="P103" s="98" t="s">
        <v>409</v>
      </c>
      <c r="Q103" s="98" t="s">
        <v>524</v>
      </c>
      <c r="R103" s="13" t="s">
        <v>1427</v>
      </c>
      <c r="S103" s="98" t="s">
        <v>1425</v>
      </c>
    </row>
    <row r="104" spans="1:19" ht="15" customHeight="1" x14ac:dyDescent="0.25">
      <c r="A104" s="35">
        <v>42054</v>
      </c>
      <c r="B104" t="s">
        <v>5</v>
      </c>
      <c r="C104" t="s">
        <v>661</v>
      </c>
      <c r="D104" t="s">
        <v>1447</v>
      </c>
      <c r="E104" s="146" t="s">
        <v>523</v>
      </c>
      <c r="F104" s="98" t="s">
        <v>412</v>
      </c>
      <c r="G104" s="98" t="s">
        <v>701</v>
      </c>
      <c r="H104" s="88">
        <v>47.383800000000001</v>
      </c>
      <c r="I104" s="88">
        <v>-122.94978333333333</v>
      </c>
      <c r="J104" s="88"/>
      <c r="K104" s="88"/>
      <c r="L104" s="73" t="s">
        <v>148</v>
      </c>
      <c r="M104" s="97">
        <v>-1.3</v>
      </c>
      <c r="N104" s="98"/>
      <c r="O104" s="98" t="s">
        <v>89</v>
      </c>
      <c r="P104" s="98" t="s">
        <v>522</v>
      </c>
      <c r="Q104" s="98" t="s">
        <v>372</v>
      </c>
      <c r="R104" s="13" t="s">
        <v>1448</v>
      </c>
      <c r="S104" s="98" t="s">
        <v>1425</v>
      </c>
    </row>
    <row r="105" spans="1:19" ht="15" customHeight="1" x14ac:dyDescent="0.25">
      <c r="A105" s="35">
        <v>42054</v>
      </c>
      <c r="B105" t="s">
        <v>5</v>
      </c>
      <c r="C105" t="s">
        <v>1451</v>
      </c>
      <c r="D105" t="s">
        <v>1452</v>
      </c>
      <c r="E105" s="146" t="s">
        <v>523</v>
      </c>
      <c r="F105" s="98" t="s">
        <v>691</v>
      </c>
      <c r="G105" s="98" t="s">
        <v>701</v>
      </c>
      <c r="H105" s="88">
        <v>47.35843333333333</v>
      </c>
      <c r="I105" s="88">
        <v>-123.11211666666667</v>
      </c>
      <c r="J105" s="88">
        <v>47.358766666666668</v>
      </c>
      <c r="K105" s="88">
        <v>-123.11148333333334</v>
      </c>
      <c r="L105" s="73" t="s">
        <v>148</v>
      </c>
      <c r="M105" s="97">
        <v>-0.1</v>
      </c>
      <c r="N105" s="98"/>
      <c r="O105" s="98" t="s">
        <v>89</v>
      </c>
      <c r="P105" s="98" t="s">
        <v>291</v>
      </c>
      <c r="Q105" s="98" t="s">
        <v>372</v>
      </c>
      <c r="R105" s="13" t="s">
        <v>1453</v>
      </c>
      <c r="S105" s="98" t="s">
        <v>1425</v>
      </c>
    </row>
    <row r="106" spans="1:19" ht="15" customHeight="1" x14ac:dyDescent="0.25">
      <c r="A106" s="35">
        <v>42054</v>
      </c>
      <c r="B106" t="s">
        <v>5</v>
      </c>
      <c r="C106" t="s">
        <v>1451</v>
      </c>
      <c r="D106" t="s">
        <v>1454</v>
      </c>
      <c r="E106" s="146" t="s">
        <v>523</v>
      </c>
      <c r="F106" s="98" t="s">
        <v>691</v>
      </c>
      <c r="G106" s="98" t="s">
        <v>701</v>
      </c>
      <c r="H106" s="88">
        <v>47.361049999999999</v>
      </c>
      <c r="I106" s="88">
        <v>-123.11083333333333</v>
      </c>
      <c r="J106" s="88">
        <v>47.362233333333336</v>
      </c>
      <c r="K106" s="88">
        <v>-123.1109</v>
      </c>
      <c r="L106" s="73" t="s">
        <v>148</v>
      </c>
      <c r="M106" s="97">
        <v>-0.5</v>
      </c>
      <c r="N106" s="98"/>
      <c r="O106" s="98" t="s">
        <v>89</v>
      </c>
      <c r="P106" s="98" t="s">
        <v>521</v>
      </c>
      <c r="Q106" s="98" t="s">
        <v>372</v>
      </c>
      <c r="R106" s="13" t="s">
        <v>1455</v>
      </c>
      <c r="S106" s="98" t="s">
        <v>1425</v>
      </c>
    </row>
    <row r="107" spans="1:19" ht="15" customHeight="1" x14ac:dyDescent="0.25">
      <c r="A107" s="35">
        <v>42072</v>
      </c>
      <c r="B107" t="s">
        <v>5</v>
      </c>
      <c r="C107" t="s">
        <v>39</v>
      </c>
      <c r="D107" t="s">
        <v>1456</v>
      </c>
      <c r="E107" s="146" t="s">
        <v>523</v>
      </c>
      <c r="F107" s="98" t="s">
        <v>691</v>
      </c>
      <c r="G107" s="98" t="s">
        <v>701</v>
      </c>
      <c r="H107" s="88">
        <v>47.120383333333336</v>
      </c>
      <c r="I107" s="88">
        <v>-122.94343000000001</v>
      </c>
      <c r="J107" s="88">
        <v>47.121066666666664</v>
      </c>
      <c r="K107" s="88">
        <v>-122.94378333333333</v>
      </c>
      <c r="L107" s="73" t="s">
        <v>148</v>
      </c>
      <c r="M107" s="97">
        <v>-0.8</v>
      </c>
      <c r="N107" s="98"/>
      <c r="O107" s="98" t="s">
        <v>89</v>
      </c>
      <c r="P107" s="98" t="s">
        <v>409</v>
      </c>
      <c r="Q107" s="98" t="s">
        <v>294</v>
      </c>
      <c r="R107" s="13" t="s">
        <v>1457</v>
      </c>
      <c r="S107" s="98" t="s">
        <v>1458</v>
      </c>
    </row>
    <row r="108" spans="1:19" ht="15" customHeight="1" x14ac:dyDescent="0.25">
      <c r="A108" s="35">
        <v>42072</v>
      </c>
      <c r="B108" t="s">
        <v>5</v>
      </c>
      <c r="C108" t="s">
        <v>39</v>
      </c>
      <c r="D108" t="s">
        <v>1459</v>
      </c>
      <c r="E108" s="146" t="s">
        <v>523</v>
      </c>
      <c r="F108" s="98" t="s">
        <v>691</v>
      </c>
      <c r="G108" s="98" t="s">
        <v>701</v>
      </c>
      <c r="H108" s="88">
        <v>47.076999999999998</v>
      </c>
      <c r="I108" s="88">
        <v>-123.00664999999999</v>
      </c>
      <c r="J108" s="88">
        <v>47.077033333333333</v>
      </c>
      <c r="K108" s="88">
        <v>-122.94023333333334</v>
      </c>
      <c r="L108" s="73" t="s">
        <v>148</v>
      </c>
      <c r="M108" s="97">
        <v>-1.6</v>
      </c>
      <c r="N108" s="98" t="s">
        <v>785</v>
      </c>
      <c r="O108" s="98" t="s">
        <v>89</v>
      </c>
      <c r="P108" s="98" t="s">
        <v>409</v>
      </c>
      <c r="Q108" s="98" t="s">
        <v>524</v>
      </c>
      <c r="R108" s="13" t="s">
        <v>1460</v>
      </c>
      <c r="S108" s="98" t="s">
        <v>1458</v>
      </c>
    </row>
    <row r="109" spans="1:19" ht="15" customHeight="1" x14ac:dyDescent="0.25">
      <c r="A109" s="35">
        <v>42072</v>
      </c>
      <c r="B109" t="s">
        <v>5</v>
      </c>
      <c r="C109" t="s">
        <v>39</v>
      </c>
      <c r="D109" t="s">
        <v>1463</v>
      </c>
      <c r="E109" s="146" t="s">
        <v>523</v>
      </c>
      <c r="F109" s="98" t="s">
        <v>691</v>
      </c>
      <c r="G109" s="98" t="s">
        <v>701</v>
      </c>
      <c r="H109" s="88">
        <v>47.080933333333334</v>
      </c>
      <c r="I109" s="88">
        <v>-122.98773333333334</v>
      </c>
      <c r="J109" s="88">
        <v>47.08121666666667</v>
      </c>
      <c r="K109" s="88">
        <v>-122.98538333333333</v>
      </c>
      <c r="L109" s="73" t="s">
        <v>148</v>
      </c>
      <c r="M109" s="97">
        <v>-1.5</v>
      </c>
      <c r="N109" s="98"/>
      <c r="O109" s="98" t="s">
        <v>89</v>
      </c>
      <c r="P109" s="98" t="s">
        <v>409</v>
      </c>
      <c r="Q109" s="98" t="s">
        <v>525</v>
      </c>
      <c r="R109" s="13" t="s">
        <v>1464</v>
      </c>
      <c r="S109" s="98" t="s">
        <v>1458</v>
      </c>
    </row>
    <row r="110" spans="1:19" ht="15" customHeight="1" x14ac:dyDescent="0.25">
      <c r="A110" s="35">
        <v>42072</v>
      </c>
      <c r="B110" t="s">
        <v>5</v>
      </c>
      <c r="C110" t="s">
        <v>39</v>
      </c>
      <c r="D110" t="s">
        <v>1465</v>
      </c>
      <c r="E110" s="146" t="s">
        <v>523</v>
      </c>
      <c r="F110" s="98" t="s">
        <v>691</v>
      </c>
      <c r="G110" s="98" t="s">
        <v>701</v>
      </c>
      <c r="H110" s="88">
        <v>47.085583333333332</v>
      </c>
      <c r="I110" s="88">
        <v>-122.97913</v>
      </c>
      <c r="J110" s="88">
        <v>47.086366666666663</v>
      </c>
      <c r="K110" s="88">
        <v>-122.97806666666666</v>
      </c>
      <c r="L110" s="73" t="s">
        <v>148</v>
      </c>
      <c r="M110" s="97">
        <v>-1.6</v>
      </c>
      <c r="N110" s="98"/>
      <c r="O110" s="98" t="s">
        <v>89</v>
      </c>
      <c r="P110" s="98" t="s">
        <v>409</v>
      </c>
      <c r="Q110" s="98" t="s">
        <v>294</v>
      </c>
      <c r="R110" s="13" t="s">
        <v>1466</v>
      </c>
      <c r="S110" s="98" t="s">
        <v>1458</v>
      </c>
    </row>
    <row r="111" spans="1:19" ht="15" customHeight="1" x14ac:dyDescent="0.25">
      <c r="A111" s="35">
        <v>42072</v>
      </c>
      <c r="B111" t="s">
        <v>5</v>
      </c>
      <c r="C111" t="s">
        <v>39</v>
      </c>
      <c r="D111" t="s">
        <v>1467</v>
      </c>
      <c r="E111" s="146" t="s">
        <v>523</v>
      </c>
      <c r="F111" s="98" t="s">
        <v>691</v>
      </c>
      <c r="G111" s="98" t="s">
        <v>701</v>
      </c>
      <c r="H111" s="88">
        <v>47.088200000000001</v>
      </c>
      <c r="I111" s="88">
        <v>-122.97431666666667</v>
      </c>
      <c r="J111" s="88">
        <v>47.088850000000001</v>
      </c>
      <c r="K111" s="88">
        <v>-122.97153333333333</v>
      </c>
      <c r="L111" s="73" t="s">
        <v>148</v>
      </c>
      <c r="M111" s="97">
        <v>-1.3</v>
      </c>
      <c r="N111" s="98"/>
      <c r="O111" s="98" t="s">
        <v>89</v>
      </c>
      <c r="P111" s="98" t="s">
        <v>409</v>
      </c>
      <c r="Q111" s="98" t="s">
        <v>525</v>
      </c>
      <c r="R111" s="13" t="s">
        <v>1468</v>
      </c>
      <c r="S111" s="98" t="s">
        <v>1458</v>
      </c>
    </row>
    <row r="112" spans="1:19" ht="15" customHeight="1" x14ac:dyDescent="0.25">
      <c r="A112" s="35">
        <v>42072</v>
      </c>
      <c r="B112" t="s">
        <v>5</v>
      </c>
      <c r="C112" t="s">
        <v>39</v>
      </c>
      <c r="D112" t="s">
        <v>1461</v>
      </c>
      <c r="E112" s="146" t="s">
        <v>523</v>
      </c>
      <c r="F112" s="98" t="s">
        <v>412</v>
      </c>
      <c r="G112" s="98" t="s">
        <v>701</v>
      </c>
      <c r="H112" s="88">
        <v>47.083416666666665</v>
      </c>
      <c r="I112" s="88">
        <v>-122.99801666666667</v>
      </c>
      <c r="J112" s="88"/>
      <c r="K112" s="88"/>
      <c r="L112" s="73" t="s">
        <v>148</v>
      </c>
      <c r="M112" s="97">
        <v>-1.2</v>
      </c>
      <c r="N112" s="98"/>
      <c r="O112" s="98"/>
      <c r="P112" s="98" t="s">
        <v>409</v>
      </c>
      <c r="Q112" s="98" t="s">
        <v>524</v>
      </c>
      <c r="R112" s="13" t="s">
        <v>1462</v>
      </c>
      <c r="S112" s="98" t="s">
        <v>1458</v>
      </c>
    </row>
    <row r="113" spans="1:19" ht="15" customHeight="1" x14ac:dyDescent="0.25">
      <c r="A113" s="35">
        <v>42072</v>
      </c>
      <c r="B113" t="s">
        <v>5</v>
      </c>
      <c r="C113" t="s">
        <v>39</v>
      </c>
      <c r="D113" t="s">
        <v>1469</v>
      </c>
      <c r="E113" s="146" t="s">
        <v>523</v>
      </c>
      <c r="F113" s="98" t="s">
        <v>412</v>
      </c>
      <c r="G113" s="98" t="s">
        <v>701</v>
      </c>
      <c r="H113" s="88">
        <v>47.0976</v>
      </c>
      <c r="I113" s="88">
        <v>-122.95566666666667</v>
      </c>
      <c r="J113" s="88"/>
      <c r="K113" s="88"/>
      <c r="L113" s="73" t="s">
        <v>148</v>
      </c>
      <c r="M113" s="97">
        <v>-2.1</v>
      </c>
      <c r="N113" s="98"/>
      <c r="O113" s="98" t="s">
        <v>89</v>
      </c>
      <c r="P113" s="98" t="s">
        <v>409</v>
      </c>
      <c r="Q113" s="98" t="s">
        <v>294</v>
      </c>
      <c r="R113" s="13" t="s">
        <v>1470</v>
      </c>
      <c r="S113" s="98" t="s">
        <v>1458</v>
      </c>
    </row>
    <row r="114" spans="1:19" ht="15" customHeight="1" x14ac:dyDescent="0.25">
      <c r="A114" s="35">
        <v>42072</v>
      </c>
      <c r="B114" t="s">
        <v>5</v>
      </c>
      <c r="C114" t="s">
        <v>35</v>
      </c>
      <c r="D114" t="s">
        <v>1475</v>
      </c>
      <c r="E114" s="146" t="s">
        <v>523</v>
      </c>
      <c r="F114" s="98" t="s">
        <v>412</v>
      </c>
      <c r="G114" s="98" t="s">
        <v>701</v>
      </c>
      <c r="H114" s="88">
        <v>47.252099999999999</v>
      </c>
      <c r="I114" s="88">
        <v>-122.92789999999999</v>
      </c>
      <c r="J114" s="88"/>
      <c r="K114" s="88"/>
      <c r="L114" s="73" t="s">
        <v>148</v>
      </c>
      <c r="M114" s="97">
        <v>-1.7</v>
      </c>
      <c r="N114" s="98"/>
      <c r="O114" s="98" t="s">
        <v>89</v>
      </c>
      <c r="P114" s="98" t="s">
        <v>409</v>
      </c>
      <c r="Q114" s="98" t="s">
        <v>525</v>
      </c>
      <c r="R114" s="13" t="s">
        <v>1476</v>
      </c>
      <c r="S114" s="98" t="s">
        <v>1458</v>
      </c>
    </row>
    <row r="115" spans="1:19" ht="15" customHeight="1" x14ac:dyDescent="0.25">
      <c r="A115" s="35">
        <v>42072</v>
      </c>
      <c r="B115" t="s">
        <v>5</v>
      </c>
      <c r="C115" t="s">
        <v>35</v>
      </c>
      <c r="D115" t="s">
        <v>1477</v>
      </c>
      <c r="E115" s="146" t="s">
        <v>523</v>
      </c>
      <c r="F115" s="98" t="s">
        <v>412</v>
      </c>
      <c r="G115" s="98" t="s">
        <v>701</v>
      </c>
      <c r="H115" s="88">
        <v>47.244766666666663</v>
      </c>
      <c r="I115" s="88">
        <v>-122.93618333333333</v>
      </c>
      <c r="J115" s="88"/>
      <c r="K115" s="88"/>
      <c r="L115" s="73" t="s">
        <v>148</v>
      </c>
      <c r="M115" s="97">
        <v>-1.9</v>
      </c>
      <c r="N115" s="98"/>
      <c r="O115" s="98" t="s">
        <v>89</v>
      </c>
      <c r="P115" s="98" t="s">
        <v>409</v>
      </c>
      <c r="Q115" s="98" t="s">
        <v>524</v>
      </c>
      <c r="R115" s="13" t="s">
        <v>1478</v>
      </c>
      <c r="S115" s="98" t="s">
        <v>1458</v>
      </c>
    </row>
    <row r="116" spans="1:19" ht="15" customHeight="1" x14ac:dyDescent="0.25">
      <c r="A116" s="35">
        <v>42072</v>
      </c>
      <c r="B116" t="s">
        <v>5</v>
      </c>
      <c r="C116" t="s">
        <v>35</v>
      </c>
      <c r="D116" t="s">
        <v>1479</v>
      </c>
      <c r="E116" s="146" t="s">
        <v>523</v>
      </c>
      <c r="F116" s="98" t="s">
        <v>412</v>
      </c>
      <c r="G116" s="98" t="s">
        <v>701</v>
      </c>
      <c r="H116" s="88">
        <v>47.218466666666664</v>
      </c>
      <c r="I116" s="88">
        <v>-122.94006666666667</v>
      </c>
      <c r="J116" s="88"/>
      <c r="K116" s="88"/>
      <c r="L116" s="73" t="s">
        <v>148</v>
      </c>
      <c r="M116" s="97">
        <v>-0.9</v>
      </c>
      <c r="N116" s="98"/>
      <c r="O116" s="98" t="s">
        <v>89</v>
      </c>
      <c r="P116" s="98" t="s">
        <v>409</v>
      </c>
      <c r="Q116" s="98" t="s">
        <v>524</v>
      </c>
      <c r="R116" s="13" t="s">
        <v>1480</v>
      </c>
      <c r="S116" s="98" t="s">
        <v>1458</v>
      </c>
    </row>
    <row r="117" spans="1:19" ht="15" customHeight="1" x14ac:dyDescent="0.25">
      <c r="A117" s="35">
        <v>42072</v>
      </c>
      <c r="B117" t="s">
        <v>5</v>
      </c>
      <c r="C117" t="s">
        <v>35</v>
      </c>
      <c r="D117" t="s">
        <v>1481</v>
      </c>
      <c r="E117" s="146" t="s">
        <v>523</v>
      </c>
      <c r="F117" s="98" t="s">
        <v>412</v>
      </c>
      <c r="G117" s="98" t="s">
        <v>701</v>
      </c>
      <c r="H117" s="88">
        <v>47.176433333333335</v>
      </c>
      <c r="I117" s="88">
        <v>-122.8952</v>
      </c>
      <c r="J117" s="88"/>
      <c r="K117" s="88"/>
      <c r="L117" s="73" t="s">
        <v>148</v>
      </c>
      <c r="M117" s="97">
        <v>-1.1000000000000001</v>
      </c>
      <c r="N117" s="98"/>
      <c r="O117" s="98" t="s">
        <v>89</v>
      </c>
      <c r="P117" s="98" t="s">
        <v>409</v>
      </c>
      <c r="Q117" s="98" t="s">
        <v>525</v>
      </c>
      <c r="R117" s="13" t="s">
        <v>1923</v>
      </c>
      <c r="S117" s="98" t="s">
        <v>1458</v>
      </c>
    </row>
    <row r="118" spans="1:19" ht="15" customHeight="1" x14ac:dyDescent="0.25">
      <c r="A118" s="35">
        <v>42072</v>
      </c>
      <c r="B118" t="s">
        <v>5</v>
      </c>
      <c r="C118" t="s">
        <v>1471</v>
      </c>
      <c r="D118" t="s">
        <v>1472</v>
      </c>
      <c r="E118" s="146" t="s">
        <v>523</v>
      </c>
      <c r="F118" s="98" t="s">
        <v>412</v>
      </c>
      <c r="G118" s="98" t="s">
        <v>701</v>
      </c>
      <c r="H118" s="88">
        <v>47.11096666666667</v>
      </c>
      <c r="I118" s="88">
        <v>-123.02885000000001</v>
      </c>
      <c r="J118" s="88"/>
      <c r="K118" s="88"/>
      <c r="L118" s="73" t="s">
        <v>148</v>
      </c>
      <c r="M118" s="97">
        <v>-1.6</v>
      </c>
      <c r="N118" s="98"/>
      <c r="O118" s="98"/>
      <c r="P118" s="98" t="s">
        <v>409</v>
      </c>
      <c r="Q118" s="98" t="s">
        <v>524</v>
      </c>
      <c r="R118" s="13" t="s">
        <v>1924</v>
      </c>
      <c r="S118" s="98" t="s">
        <v>1458</v>
      </c>
    </row>
    <row r="119" spans="1:19" ht="15" customHeight="1" x14ac:dyDescent="0.25">
      <c r="A119" s="35">
        <v>42072</v>
      </c>
      <c r="B119" t="s">
        <v>5</v>
      </c>
      <c r="C119" t="s">
        <v>1471</v>
      </c>
      <c r="D119" t="s">
        <v>1473</v>
      </c>
      <c r="E119" s="146" t="s">
        <v>523</v>
      </c>
      <c r="F119" s="98" t="s">
        <v>412</v>
      </c>
      <c r="G119" s="98" t="s">
        <v>701</v>
      </c>
      <c r="H119" s="88">
        <v>47.199433333333332</v>
      </c>
      <c r="I119" s="88">
        <v>-122.93498333333334</v>
      </c>
      <c r="J119" s="88"/>
      <c r="K119" s="88"/>
      <c r="L119" s="73" t="s">
        <v>148</v>
      </c>
      <c r="M119" s="97">
        <v>-2</v>
      </c>
      <c r="N119" s="98"/>
      <c r="O119" s="98" t="s">
        <v>89</v>
      </c>
      <c r="P119" s="98" t="s">
        <v>409</v>
      </c>
      <c r="Q119" s="98" t="s">
        <v>524</v>
      </c>
      <c r="R119" s="13" t="s">
        <v>1925</v>
      </c>
      <c r="S119" s="98" t="s">
        <v>1458</v>
      </c>
    </row>
    <row r="120" spans="1:19" ht="15" customHeight="1" x14ac:dyDescent="0.25">
      <c r="A120" s="35">
        <v>42072</v>
      </c>
      <c r="B120" t="s">
        <v>5</v>
      </c>
      <c r="C120" t="s">
        <v>1471</v>
      </c>
      <c r="D120" t="s">
        <v>1474</v>
      </c>
      <c r="E120" s="146" t="s">
        <v>523</v>
      </c>
      <c r="F120" s="98" t="s">
        <v>412</v>
      </c>
      <c r="G120" s="98" t="s">
        <v>701</v>
      </c>
      <c r="H120" s="88">
        <v>47.202770000000001</v>
      </c>
      <c r="I120" s="88">
        <v>-122.94153333333334</v>
      </c>
      <c r="J120" s="88"/>
      <c r="K120" s="88"/>
      <c r="L120" s="73" t="s">
        <v>148</v>
      </c>
      <c r="M120" s="97">
        <v>-1.1000000000000001</v>
      </c>
      <c r="N120" s="98"/>
      <c r="O120" s="98" t="s">
        <v>268</v>
      </c>
      <c r="P120" s="98" t="s">
        <v>409</v>
      </c>
      <c r="Q120" s="98" t="s">
        <v>524</v>
      </c>
      <c r="R120" s="13" t="s">
        <v>1926</v>
      </c>
      <c r="S120" s="98" t="s">
        <v>1458</v>
      </c>
    </row>
    <row r="121" spans="1:19" ht="15" customHeight="1" x14ac:dyDescent="0.25">
      <c r="A121" s="35">
        <v>42073</v>
      </c>
      <c r="B121" t="s">
        <v>5</v>
      </c>
      <c r="C121" t="s">
        <v>37</v>
      </c>
      <c r="D121" t="s">
        <v>1505</v>
      </c>
      <c r="E121" s="146" t="s">
        <v>523</v>
      </c>
      <c r="F121" s="98" t="s">
        <v>691</v>
      </c>
      <c r="G121" s="98" t="s">
        <v>701</v>
      </c>
      <c r="H121" s="88">
        <v>47.295716666666664</v>
      </c>
      <c r="I121" s="88">
        <v>-122.84936666666667</v>
      </c>
      <c r="J121" s="88">
        <v>47.299799999999998</v>
      </c>
      <c r="K121" s="88">
        <v>-122.95358333333333</v>
      </c>
      <c r="L121" s="73" t="s">
        <v>148</v>
      </c>
      <c r="M121" s="97"/>
      <c r="N121" s="98"/>
      <c r="O121" s="98" t="s">
        <v>89</v>
      </c>
      <c r="P121" s="98" t="s">
        <v>409</v>
      </c>
      <c r="Q121" s="98" t="s">
        <v>525</v>
      </c>
      <c r="R121" s="13" t="s">
        <v>1927</v>
      </c>
      <c r="S121" s="98" t="s">
        <v>1458</v>
      </c>
    </row>
    <row r="122" spans="1:19" ht="15" customHeight="1" x14ac:dyDescent="0.25">
      <c r="A122" s="35">
        <v>42073</v>
      </c>
      <c r="B122" t="s">
        <v>5</v>
      </c>
      <c r="C122" t="s">
        <v>37</v>
      </c>
      <c r="D122" t="s">
        <v>1482</v>
      </c>
      <c r="E122" s="146" t="s">
        <v>523</v>
      </c>
      <c r="F122" s="98" t="s">
        <v>412</v>
      </c>
      <c r="G122" s="98" t="s">
        <v>701</v>
      </c>
      <c r="H122" s="88">
        <v>47.272183333333331</v>
      </c>
      <c r="I122" s="88">
        <v>-122.81691666666667</v>
      </c>
      <c r="J122" s="88"/>
      <c r="K122" s="88"/>
      <c r="L122" s="73" t="s">
        <v>148</v>
      </c>
      <c r="M122" s="97">
        <v>-0.54864000000000024</v>
      </c>
      <c r="N122" s="98"/>
      <c r="O122" s="98" t="s">
        <v>89</v>
      </c>
      <c r="P122" s="98" t="s">
        <v>409</v>
      </c>
      <c r="Q122" s="98" t="s">
        <v>525</v>
      </c>
      <c r="R122" s="13" t="s">
        <v>1928</v>
      </c>
      <c r="S122" s="98" t="s">
        <v>1458</v>
      </c>
    </row>
    <row r="123" spans="1:19" ht="15" customHeight="1" x14ac:dyDescent="0.25">
      <c r="A123" s="35">
        <v>42073</v>
      </c>
      <c r="B123" t="s">
        <v>5</v>
      </c>
      <c r="C123" t="s">
        <v>37</v>
      </c>
      <c r="D123" t="s">
        <v>1499</v>
      </c>
      <c r="E123" s="146" t="s">
        <v>523</v>
      </c>
      <c r="F123" s="98" t="s">
        <v>412</v>
      </c>
      <c r="G123" s="98" t="s">
        <v>701</v>
      </c>
      <c r="H123" s="88">
        <v>47.365099999999998</v>
      </c>
      <c r="I123" s="88">
        <v>-122.81019999999999</v>
      </c>
      <c r="J123" s="88"/>
      <c r="K123" s="88"/>
      <c r="L123" s="73" t="s">
        <v>148</v>
      </c>
      <c r="M123" s="97">
        <v>-0.15240000000000001</v>
      </c>
      <c r="N123" s="98"/>
      <c r="O123" s="98" t="s">
        <v>89</v>
      </c>
      <c r="P123" s="98" t="s">
        <v>409</v>
      </c>
      <c r="Q123" s="98" t="s">
        <v>524</v>
      </c>
      <c r="R123" s="13" t="s">
        <v>1929</v>
      </c>
      <c r="S123" s="98" t="s">
        <v>1458</v>
      </c>
    </row>
    <row r="124" spans="1:19" ht="15" customHeight="1" x14ac:dyDescent="0.25">
      <c r="A124" s="35">
        <v>42073</v>
      </c>
      <c r="B124" t="s">
        <v>5</v>
      </c>
      <c r="C124" t="s">
        <v>37</v>
      </c>
      <c r="D124" t="s">
        <v>1500</v>
      </c>
      <c r="E124" s="146" t="s">
        <v>523</v>
      </c>
      <c r="F124" s="98" t="s">
        <v>412</v>
      </c>
      <c r="G124" s="98" t="s">
        <v>701</v>
      </c>
      <c r="H124" s="88">
        <v>47.340049999999998</v>
      </c>
      <c r="I124" s="88">
        <v>-122.82276666666667</v>
      </c>
      <c r="J124" s="88"/>
      <c r="K124" s="88"/>
      <c r="L124" s="73" t="s">
        <v>148</v>
      </c>
      <c r="M124" s="97">
        <v>-1.8897600000000001</v>
      </c>
      <c r="N124" s="98"/>
      <c r="O124" s="98" t="s">
        <v>268</v>
      </c>
      <c r="P124" s="98" t="s">
        <v>409</v>
      </c>
      <c r="Q124" s="98" t="s">
        <v>524</v>
      </c>
      <c r="R124" s="13" t="s">
        <v>1930</v>
      </c>
      <c r="S124" s="98" t="s">
        <v>1458</v>
      </c>
    </row>
    <row r="125" spans="1:19" ht="15" customHeight="1" x14ac:dyDescent="0.25">
      <c r="A125" s="35">
        <v>42073</v>
      </c>
      <c r="B125" t="s">
        <v>5</v>
      </c>
      <c r="C125" t="s">
        <v>37</v>
      </c>
      <c r="D125" t="s">
        <v>1501</v>
      </c>
      <c r="E125" s="146" t="s">
        <v>523</v>
      </c>
      <c r="F125" s="98" t="s">
        <v>412</v>
      </c>
      <c r="G125" s="98" t="s">
        <v>701</v>
      </c>
      <c r="H125" s="88">
        <v>47.324533333333335</v>
      </c>
      <c r="I125" s="88">
        <v>-122.81976666666667</v>
      </c>
      <c r="J125" s="88"/>
      <c r="K125" s="88"/>
      <c r="L125" s="73" t="s">
        <v>148</v>
      </c>
      <c r="M125" s="97">
        <v>-1.2192000000000001</v>
      </c>
      <c r="N125" s="98"/>
      <c r="O125" s="98" t="s">
        <v>89</v>
      </c>
      <c r="P125" s="98" t="s">
        <v>409</v>
      </c>
      <c r="Q125" s="98" t="s">
        <v>525</v>
      </c>
      <c r="R125" s="13" t="s">
        <v>1502</v>
      </c>
      <c r="S125" s="98" t="s">
        <v>1458</v>
      </c>
    </row>
    <row r="126" spans="1:19" ht="15" customHeight="1" x14ac:dyDescent="0.25">
      <c r="A126" s="35">
        <v>42073</v>
      </c>
      <c r="B126" t="s">
        <v>5</v>
      </c>
      <c r="C126" t="s">
        <v>37</v>
      </c>
      <c r="D126" t="s">
        <v>1503</v>
      </c>
      <c r="E126" s="146" t="s">
        <v>523</v>
      </c>
      <c r="F126" s="98" t="s">
        <v>412</v>
      </c>
      <c r="G126" s="98" t="s">
        <v>701</v>
      </c>
      <c r="H126" s="88">
        <v>47.320169999999997</v>
      </c>
      <c r="I126" s="88">
        <v>-122.83114999999999</v>
      </c>
      <c r="J126" s="88"/>
      <c r="K126" s="88"/>
      <c r="L126" s="73" t="s">
        <v>148</v>
      </c>
      <c r="M126" s="97"/>
      <c r="N126" s="98" t="s">
        <v>793</v>
      </c>
      <c r="O126" s="98" t="s">
        <v>89</v>
      </c>
      <c r="P126" s="98" t="s">
        <v>409</v>
      </c>
      <c r="Q126" s="98" t="s">
        <v>525</v>
      </c>
      <c r="R126" s="13" t="s">
        <v>1504</v>
      </c>
      <c r="S126" s="98" t="s">
        <v>1458</v>
      </c>
    </row>
    <row r="127" spans="1:19" ht="15" customHeight="1" x14ac:dyDescent="0.25">
      <c r="A127" s="35">
        <v>42073</v>
      </c>
      <c r="B127" t="s">
        <v>5</v>
      </c>
      <c r="C127" t="s">
        <v>37</v>
      </c>
      <c r="D127" t="s">
        <v>1483</v>
      </c>
      <c r="E127" s="146" t="s">
        <v>523</v>
      </c>
      <c r="F127" s="98" t="s">
        <v>412</v>
      </c>
      <c r="G127" s="98" t="s">
        <v>701</v>
      </c>
      <c r="H127" s="88">
        <v>47.279533333333333</v>
      </c>
      <c r="I127" s="88">
        <v>-122.81003333333334</v>
      </c>
      <c r="J127" s="88"/>
      <c r="K127" s="88"/>
      <c r="L127" s="73" t="s">
        <v>148</v>
      </c>
      <c r="M127" s="97">
        <v>-1.0972799999999998</v>
      </c>
      <c r="N127" s="98"/>
      <c r="O127" s="98" t="s">
        <v>89</v>
      </c>
      <c r="P127" s="98" t="s">
        <v>409</v>
      </c>
      <c r="Q127" s="98" t="s">
        <v>525</v>
      </c>
      <c r="R127" s="13" t="s">
        <v>1484</v>
      </c>
      <c r="S127" s="98" t="s">
        <v>1458</v>
      </c>
    </row>
    <row r="128" spans="1:19" ht="15" customHeight="1" x14ac:dyDescent="0.25">
      <c r="A128" s="35">
        <v>42073</v>
      </c>
      <c r="B128" t="s">
        <v>5</v>
      </c>
      <c r="C128" t="s">
        <v>37</v>
      </c>
      <c r="D128" t="s">
        <v>1485</v>
      </c>
      <c r="E128" s="146" t="s">
        <v>523</v>
      </c>
      <c r="F128" s="98" t="s">
        <v>412</v>
      </c>
      <c r="G128" s="98" t="s">
        <v>701</v>
      </c>
      <c r="H128" s="88">
        <v>47.290999999999997</v>
      </c>
      <c r="I128" s="88">
        <v>-122.7953</v>
      </c>
      <c r="J128" s="88"/>
      <c r="K128" s="88"/>
      <c r="L128" s="73" t="s">
        <v>148</v>
      </c>
      <c r="M128" s="97">
        <v>-0.39624000000000026</v>
      </c>
      <c r="N128" s="98"/>
      <c r="O128" s="98" t="s">
        <v>89</v>
      </c>
      <c r="P128" s="98" t="s">
        <v>409</v>
      </c>
      <c r="Q128" s="98" t="s">
        <v>525</v>
      </c>
      <c r="R128" s="13" t="s">
        <v>1486</v>
      </c>
      <c r="S128" s="98" t="s">
        <v>1458</v>
      </c>
    </row>
    <row r="129" spans="1:19" ht="15" customHeight="1" x14ac:dyDescent="0.25">
      <c r="A129" s="35">
        <v>42073</v>
      </c>
      <c r="B129" t="s">
        <v>5</v>
      </c>
      <c r="C129" t="s">
        <v>37</v>
      </c>
      <c r="D129" t="s">
        <v>1487</v>
      </c>
      <c r="E129" s="146" t="s">
        <v>523</v>
      </c>
      <c r="F129" s="98" t="s">
        <v>412</v>
      </c>
      <c r="G129" s="98" t="s">
        <v>701</v>
      </c>
      <c r="H129" s="88">
        <v>47.304783333333333</v>
      </c>
      <c r="I129" s="88">
        <v>-122.79186666666666</v>
      </c>
      <c r="J129" s="88"/>
      <c r="K129" s="88"/>
      <c r="L129" s="73" t="s">
        <v>148</v>
      </c>
      <c r="M129" s="97">
        <v>-1.6763999999999999</v>
      </c>
      <c r="N129" s="98"/>
      <c r="O129" s="98" t="s">
        <v>89</v>
      </c>
      <c r="P129" s="98" t="s">
        <v>409</v>
      </c>
      <c r="Q129" s="98" t="s">
        <v>525</v>
      </c>
      <c r="R129" s="13" t="s">
        <v>1488</v>
      </c>
      <c r="S129" s="98" t="s">
        <v>1458</v>
      </c>
    </row>
    <row r="130" spans="1:19" ht="15" customHeight="1" x14ac:dyDescent="0.25">
      <c r="A130" s="35">
        <v>42073</v>
      </c>
      <c r="B130" t="s">
        <v>5</v>
      </c>
      <c r="C130" t="s">
        <v>37</v>
      </c>
      <c r="D130" t="s">
        <v>1489</v>
      </c>
      <c r="E130" s="146" t="s">
        <v>523</v>
      </c>
      <c r="F130" s="98" t="s">
        <v>412</v>
      </c>
      <c r="G130" s="98" t="s">
        <v>701</v>
      </c>
      <c r="H130" s="88">
        <v>47.323466666666668</v>
      </c>
      <c r="I130" s="88">
        <v>-122.7942</v>
      </c>
      <c r="J130" s="88"/>
      <c r="K130" s="88"/>
      <c r="L130" s="73" t="s">
        <v>148</v>
      </c>
      <c r="M130" s="97">
        <v>-0.76200000000000001</v>
      </c>
      <c r="N130" s="98"/>
      <c r="O130" s="98"/>
      <c r="P130" s="98" t="s">
        <v>409</v>
      </c>
      <c r="Q130" s="98" t="s">
        <v>524</v>
      </c>
      <c r="R130" s="13" t="s">
        <v>1490</v>
      </c>
      <c r="S130" s="98" t="s">
        <v>1458</v>
      </c>
    </row>
    <row r="131" spans="1:19" ht="15" customHeight="1" x14ac:dyDescent="0.25">
      <c r="A131" s="35">
        <v>42073</v>
      </c>
      <c r="B131" t="s">
        <v>5</v>
      </c>
      <c r="C131" t="s">
        <v>37</v>
      </c>
      <c r="D131" t="s">
        <v>1491</v>
      </c>
      <c r="E131" s="146" t="s">
        <v>523</v>
      </c>
      <c r="F131" s="98" t="s">
        <v>412</v>
      </c>
      <c r="G131" s="98" t="s">
        <v>701</v>
      </c>
      <c r="H131" s="88">
        <v>47.344549999999998</v>
      </c>
      <c r="I131" s="88">
        <v>-122.79455</v>
      </c>
      <c r="J131" s="88"/>
      <c r="K131" s="88"/>
      <c r="L131" s="73" t="s">
        <v>148</v>
      </c>
      <c r="M131" s="97">
        <v>-2.1335999999999999</v>
      </c>
      <c r="N131" s="98"/>
      <c r="O131" s="98"/>
      <c r="P131" s="98" t="s">
        <v>291</v>
      </c>
      <c r="Q131" s="98" t="s">
        <v>372</v>
      </c>
      <c r="R131" s="13" t="s">
        <v>1492</v>
      </c>
      <c r="S131" s="98" t="s">
        <v>1458</v>
      </c>
    </row>
    <row r="132" spans="1:19" ht="15" customHeight="1" x14ac:dyDescent="0.25">
      <c r="A132" s="35">
        <v>42073</v>
      </c>
      <c r="B132" t="s">
        <v>5</v>
      </c>
      <c r="C132" t="s">
        <v>37</v>
      </c>
      <c r="D132" t="s">
        <v>1493</v>
      </c>
      <c r="E132" s="146" t="s">
        <v>523</v>
      </c>
      <c r="F132" s="98" t="s">
        <v>412</v>
      </c>
      <c r="G132" s="98" t="s">
        <v>701</v>
      </c>
      <c r="H132" s="88">
        <v>47.3523</v>
      </c>
      <c r="I132" s="88">
        <v>-122.79343333333334</v>
      </c>
      <c r="J132" s="88"/>
      <c r="K132" s="88"/>
      <c r="L132" s="73" t="s">
        <v>148</v>
      </c>
      <c r="M132" s="97">
        <v>-0.91439999999999999</v>
      </c>
      <c r="N132" s="98"/>
      <c r="O132" s="98" t="s">
        <v>886</v>
      </c>
      <c r="P132" s="98" t="s">
        <v>409</v>
      </c>
      <c r="Q132" s="98" t="s">
        <v>525</v>
      </c>
      <c r="R132" s="13" t="s">
        <v>1494</v>
      </c>
      <c r="S132" s="98" t="s">
        <v>1458</v>
      </c>
    </row>
    <row r="133" spans="1:19" ht="15" customHeight="1" x14ac:dyDescent="0.25">
      <c r="A133" s="35">
        <v>42073</v>
      </c>
      <c r="B133" t="s">
        <v>5</v>
      </c>
      <c r="C133" t="s">
        <v>37</v>
      </c>
      <c r="D133" t="s">
        <v>1495</v>
      </c>
      <c r="E133" s="146" t="s">
        <v>523</v>
      </c>
      <c r="F133" s="98" t="s">
        <v>412</v>
      </c>
      <c r="G133" s="98" t="s">
        <v>701</v>
      </c>
      <c r="H133" s="88">
        <v>47.35745</v>
      </c>
      <c r="I133" s="88">
        <v>-122.797</v>
      </c>
      <c r="J133" s="88"/>
      <c r="K133" s="88"/>
      <c r="L133" s="73" t="s">
        <v>148</v>
      </c>
      <c r="M133" s="97">
        <v>-1.0668</v>
      </c>
      <c r="N133" s="98"/>
      <c r="O133" s="98"/>
      <c r="P133" s="98" t="s">
        <v>291</v>
      </c>
      <c r="Q133" s="98" t="s">
        <v>372</v>
      </c>
      <c r="R133" s="13" t="s">
        <v>1496</v>
      </c>
      <c r="S133" s="98" t="s">
        <v>1458</v>
      </c>
    </row>
    <row r="134" spans="1:19" ht="15" customHeight="1" x14ac:dyDescent="0.25">
      <c r="A134" s="35">
        <v>42073</v>
      </c>
      <c r="B134" t="s">
        <v>5</v>
      </c>
      <c r="C134" t="s">
        <v>37</v>
      </c>
      <c r="D134" t="s">
        <v>1497</v>
      </c>
      <c r="E134" s="146" t="s">
        <v>523</v>
      </c>
      <c r="F134" s="98" t="s">
        <v>412</v>
      </c>
      <c r="G134" s="98" t="s">
        <v>701</v>
      </c>
      <c r="H134" s="88">
        <v>47.361400000000003</v>
      </c>
      <c r="I134" s="88">
        <v>-122.80768333333333</v>
      </c>
      <c r="J134" s="88"/>
      <c r="K134" s="88"/>
      <c r="L134" s="73" t="s">
        <v>148</v>
      </c>
      <c r="M134" s="97">
        <v>-1.2192000000000001</v>
      </c>
      <c r="N134" s="98"/>
      <c r="O134" s="98" t="s">
        <v>886</v>
      </c>
      <c r="P134" s="98" t="s">
        <v>409</v>
      </c>
      <c r="Q134" s="98" t="s">
        <v>524</v>
      </c>
      <c r="R134" s="13" t="s">
        <v>1498</v>
      </c>
      <c r="S134" s="98" t="s">
        <v>1458</v>
      </c>
    </row>
    <row r="135" spans="1:19" ht="15" customHeight="1" x14ac:dyDescent="0.25">
      <c r="A135" s="35">
        <v>42080</v>
      </c>
      <c r="B135" t="s">
        <v>5</v>
      </c>
      <c r="C135" t="s">
        <v>909</v>
      </c>
      <c r="D135" t="s">
        <v>1600</v>
      </c>
      <c r="E135" s="90" t="s">
        <v>523</v>
      </c>
      <c r="F135" s="90" t="s">
        <v>412</v>
      </c>
      <c r="G135" s="90" t="s">
        <v>701</v>
      </c>
      <c r="H135" s="88">
        <v>47.61696666666667</v>
      </c>
      <c r="I135" s="88">
        <v>-122.35826666666667</v>
      </c>
      <c r="J135" s="88"/>
      <c r="K135" s="88"/>
      <c r="L135" s="73" t="s">
        <v>148</v>
      </c>
      <c r="M135" s="97">
        <v>-2.37744</v>
      </c>
      <c r="N135" s="98"/>
      <c r="O135" s="90" t="s">
        <v>268</v>
      </c>
      <c r="P135" s="98" t="s">
        <v>409</v>
      </c>
      <c r="Q135" s="98" t="s">
        <v>524</v>
      </c>
      <c r="R135" s="101" t="s">
        <v>912</v>
      </c>
      <c r="S135" s="18" t="s">
        <v>919</v>
      </c>
    </row>
    <row r="136" spans="1:19" ht="15" customHeight="1" x14ac:dyDescent="0.25">
      <c r="A136" s="35">
        <v>42080</v>
      </c>
      <c r="B136" t="s">
        <v>5</v>
      </c>
      <c r="C136" t="s">
        <v>909</v>
      </c>
      <c r="D136" t="s">
        <v>1601</v>
      </c>
      <c r="E136" s="90" t="s">
        <v>523</v>
      </c>
      <c r="F136" s="90" t="s">
        <v>412</v>
      </c>
      <c r="G136" s="90" t="s">
        <v>701</v>
      </c>
      <c r="H136" s="88">
        <v>47.618433333333336</v>
      </c>
      <c r="I136" s="88">
        <v>-122.36075</v>
      </c>
      <c r="J136" s="88"/>
      <c r="K136" s="88"/>
      <c r="L136" s="73" t="s">
        <v>148</v>
      </c>
      <c r="M136" s="97">
        <v>-2.4384000000000001</v>
      </c>
      <c r="N136" s="98"/>
      <c r="O136" s="90" t="s">
        <v>268</v>
      </c>
      <c r="P136" s="98" t="s">
        <v>409</v>
      </c>
      <c r="Q136" s="98" t="s">
        <v>524</v>
      </c>
      <c r="R136" s="101" t="s">
        <v>911</v>
      </c>
      <c r="S136" s="18" t="s">
        <v>919</v>
      </c>
    </row>
    <row r="137" spans="1:19" ht="15" customHeight="1" x14ac:dyDescent="0.25">
      <c r="A137" s="35">
        <v>42080</v>
      </c>
      <c r="B137" t="s">
        <v>5</v>
      </c>
      <c r="C137" t="s">
        <v>909</v>
      </c>
      <c r="D137" t="s">
        <v>1602</v>
      </c>
      <c r="E137" s="90" t="s">
        <v>523</v>
      </c>
      <c r="F137" s="90" t="s">
        <v>412</v>
      </c>
      <c r="G137" s="90" t="s">
        <v>701</v>
      </c>
      <c r="H137" s="88">
        <v>47.619833333333332</v>
      </c>
      <c r="I137" s="88">
        <v>-122.36286666666666</v>
      </c>
      <c r="J137" s="88"/>
      <c r="K137" s="88"/>
      <c r="L137" s="73" t="s">
        <v>148</v>
      </c>
      <c r="M137" s="97">
        <v>-1.6763999999999999</v>
      </c>
      <c r="N137" s="98"/>
      <c r="O137" s="90" t="s">
        <v>268</v>
      </c>
      <c r="P137" s="98" t="s">
        <v>409</v>
      </c>
      <c r="Q137" s="98" t="s">
        <v>524</v>
      </c>
      <c r="R137" s="101" t="s">
        <v>910</v>
      </c>
      <c r="S137" s="18" t="s">
        <v>919</v>
      </c>
    </row>
    <row r="138" spans="1:19" ht="15" customHeight="1" x14ac:dyDescent="0.25">
      <c r="A138" s="35">
        <v>42080</v>
      </c>
      <c r="B138" t="s">
        <v>5</v>
      </c>
      <c r="C138" t="s">
        <v>909</v>
      </c>
      <c r="D138" t="s">
        <v>1603</v>
      </c>
      <c r="E138" s="90" t="s">
        <v>523</v>
      </c>
      <c r="F138" s="90" t="s">
        <v>412</v>
      </c>
      <c r="G138" s="90" t="s">
        <v>701</v>
      </c>
      <c r="H138" s="88">
        <v>47.632766666666669</v>
      </c>
      <c r="I138" s="88">
        <v>-122.40388333333334</v>
      </c>
      <c r="J138" s="88"/>
      <c r="K138" s="88"/>
      <c r="L138" s="73" t="s">
        <v>148</v>
      </c>
      <c r="M138" s="97">
        <v>-2.286</v>
      </c>
      <c r="N138" s="98"/>
      <c r="O138" s="98" t="s">
        <v>89</v>
      </c>
      <c r="P138" s="98" t="s">
        <v>291</v>
      </c>
      <c r="Q138" s="98" t="s">
        <v>372</v>
      </c>
      <c r="R138" s="101" t="s">
        <v>913</v>
      </c>
      <c r="S138" s="18" t="s">
        <v>919</v>
      </c>
    </row>
    <row r="139" spans="1:19" ht="15" customHeight="1" x14ac:dyDescent="0.25">
      <c r="A139" s="35">
        <v>42080</v>
      </c>
      <c r="B139" t="s">
        <v>5</v>
      </c>
      <c r="C139" t="s">
        <v>914</v>
      </c>
      <c r="D139" t="s">
        <v>1520</v>
      </c>
      <c r="E139" s="90" t="s">
        <v>523</v>
      </c>
      <c r="F139" s="90" t="s">
        <v>412</v>
      </c>
      <c r="G139" s="90" t="s">
        <v>701</v>
      </c>
      <c r="H139" s="88">
        <v>47.583199999999998</v>
      </c>
      <c r="I139" s="88">
        <v>-122.5711</v>
      </c>
      <c r="J139" s="88"/>
      <c r="K139" s="88"/>
      <c r="L139" s="73" t="s">
        <v>148</v>
      </c>
      <c r="M139" s="97">
        <v>-0.94487999999999983</v>
      </c>
      <c r="N139" s="98" t="s">
        <v>793</v>
      </c>
      <c r="O139" s="98" t="s">
        <v>89</v>
      </c>
      <c r="P139" s="98" t="s">
        <v>409</v>
      </c>
      <c r="Q139" s="98" t="s">
        <v>294</v>
      </c>
      <c r="R139" s="101" t="s">
        <v>915</v>
      </c>
      <c r="S139" s="18" t="s">
        <v>919</v>
      </c>
    </row>
    <row r="140" spans="1:19" s="1" customFormat="1" ht="15" customHeight="1" x14ac:dyDescent="0.25">
      <c r="A140" s="35">
        <v>42080</v>
      </c>
      <c r="B140" t="s">
        <v>5</v>
      </c>
      <c r="C140" t="s">
        <v>914</v>
      </c>
      <c r="D140" t="s">
        <v>1768</v>
      </c>
      <c r="E140" s="90" t="s">
        <v>523</v>
      </c>
      <c r="F140" s="90" t="s">
        <v>412</v>
      </c>
      <c r="G140" s="90" t="s">
        <v>701</v>
      </c>
      <c r="H140" s="88">
        <v>47.562283333333333</v>
      </c>
      <c r="I140" s="88">
        <v>-122.59484999999999</v>
      </c>
      <c r="J140" s="88"/>
      <c r="K140" s="88"/>
      <c r="L140" s="73" t="s">
        <v>148</v>
      </c>
      <c r="M140" s="97">
        <v>-1.0058400000000003</v>
      </c>
      <c r="N140" s="98" t="s">
        <v>793</v>
      </c>
      <c r="O140" s="98" t="s">
        <v>89</v>
      </c>
      <c r="P140" s="98" t="s">
        <v>291</v>
      </c>
      <c r="Q140" s="98" t="s">
        <v>372</v>
      </c>
      <c r="R140" s="101" t="s">
        <v>917</v>
      </c>
      <c r="S140" s="18" t="s">
        <v>919</v>
      </c>
    </row>
    <row r="141" spans="1:19" s="1" customFormat="1" ht="15" customHeight="1" x14ac:dyDescent="0.25">
      <c r="A141" s="35">
        <v>42080</v>
      </c>
      <c r="B141" t="s">
        <v>5</v>
      </c>
      <c r="C141" t="s">
        <v>914</v>
      </c>
      <c r="D141" t="s">
        <v>1769</v>
      </c>
      <c r="E141" s="90" t="s">
        <v>523</v>
      </c>
      <c r="F141" s="90" t="s">
        <v>412</v>
      </c>
      <c r="G141" s="90" t="s">
        <v>701</v>
      </c>
      <c r="H141" s="88">
        <v>47.580750000000002</v>
      </c>
      <c r="I141" s="88">
        <v>-122.5737</v>
      </c>
      <c r="J141" s="88"/>
      <c r="K141" s="88"/>
      <c r="L141" s="73" t="s">
        <v>148</v>
      </c>
      <c r="M141" s="97">
        <v>-1.0972799999999998</v>
      </c>
      <c r="N141" s="98" t="s">
        <v>793</v>
      </c>
      <c r="O141" s="98" t="s">
        <v>89</v>
      </c>
      <c r="P141" s="98" t="s">
        <v>409</v>
      </c>
      <c r="Q141" s="98" t="s">
        <v>524</v>
      </c>
      <c r="R141" s="101" t="s">
        <v>916</v>
      </c>
      <c r="S141" s="18" t="s">
        <v>919</v>
      </c>
    </row>
    <row r="142" spans="1:19" s="1" customFormat="1" ht="15" customHeight="1" x14ac:dyDescent="0.25">
      <c r="A142" s="35">
        <v>42080</v>
      </c>
      <c r="B142" t="s">
        <v>5</v>
      </c>
      <c r="C142" t="s">
        <v>914</v>
      </c>
      <c r="D142" t="s">
        <v>1770</v>
      </c>
      <c r="E142" s="90" t="s">
        <v>523</v>
      </c>
      <c r="F142" s="90" t="s">
        <v>412</v>
      </c>
      <c r="G142" s="90" t="s">
        <v>701</v>
      </c>
      <c r="H142" s="88">
        <v>47.549533333333336</v>
      </c>
      <c r="I142" s="88">
        <v>-122.60931666666667</v>
      </c>
      <c r="J142" s="88"/>
      <c r="K142" s="88"/>
      <c r="L142" s="73" t="s">
        <v>148</v>
      </c>
      <c r="M142" s="97">
        <v>-1.2496799999999999</v>
      </c>
      <c r="N142" s="98" t="s">
        <v>785</v>
      </c>
      <c r="O142" s="98" t="s">
        <v>89</v>
      </c>
      <c r="P142" s="98" t="s">
        <v>409</v>
      </c>
      <c r="Q142" s="98" t="s">
        <v>524</v>
      </c>
      <c r="R142" s="101" t="s">
        <v>918</v>
      </c>
      <c r="S142" s="18" t="s">
        <v>919</v>
      </c>
    </row>
    <row r="143" spans="1:19" s="1" customFormat="1" ht="15" customHeight="1" x14ac:dyDescent="0.25">
      <c r="A143" s="35">
        <v>42296</v>
      </c>
      <c r="B143" s="1" t="s">
        <v>66</v>
      </c>
      <c r="C143" s="1" t="s">
        <v>1451</v>
      </c>
      <c r="D143" s="1" t="s">
        <v>1792</v>
      </c>
      <c r="E143" s="90" t="s">
        <v>523</v>
      </c>
      <c r="F143" s="64" t="s">
        <v>412</v>
      </c>
      <c r="G143" s="64" t="s">
        <v>701</v>
      </c>
      <c r="H143" s="89">
        <v>47.348649999999999</v>
      </c>
      <c r="I143" s="89">
        <v>-123.14746666666667</v>
      </c>
      <c r="J143" s="89"/>
      <c r="K143" s="89"/>
      <c r="L143" s="73" t="s">
        <v>148</v>
      </c>
      <c r="M143" s="69">
        <v>-0.70104000000000022</v>
      </c>
      <c r="N143" s="64" t="s">
        <v>793</v>
      </c>
      <c r="O143" s="64" t="s">
        <v>89</v>
      </c>
      <c r="P143" s="64" t="s">
        <v>291</v>
      </c>
      <c r="Q143" s="64" t="s">
        <v>372</v>
      </c>
      <c r="R143" s="100" t="s">
        <v>245</v>
      </c>
      <c r="S143" s="65" t="s">
        <v>882</v>
      </c>
    </row>
    <row r="144" spans="1:19" s="1" customFormat="1" ht="15" customHeight="1" x14ac:dyDescent="0.25">
      <c r="A144" s="35">
        <v>42296</v>
      </c>
      <c r="B144" s="1" t="s">
        <v>66</v>
      </c>
      <c r="C144" s="1" t="s">
        <v>1451</v>
      </c>
      <c r="D144" s="1" t="s">
        <v>1801</v>
      </c>
      <c r="E144" s="90" t="s">
        <v>523</v>
      </c>
      <c r="F144" s="64" t="s">
        <v>412</v>
      </c>
      <c r="G144" s="64" t="s">
        <v>701</v>
      </c>
      <c r="H144" s="89">
        <v>47.357999999999997</v>
      </c>
      <c r="I144" s="89">
        <v>-123.15774999999999</v>
      </c>
      <c r="J144" s="89"/>
      <c r="K144" s="89"/>
      <c r="L144" s="73" t="s">
        <v>148</v>
      </c>
      <c r="M144" s="69">
        <v>-0.8229599999999998</v>
      </c>
      <c r="N144" s="64" t="s">
        <v>793</v>
      </c>
      <c r="O144" s="64" t="s">
        <v>89</v>
      </c>
      <c r="P144" s="64" t="s">
        <v>291</v>
      </c>
      <c r="Q144" s="64" t="s">
        <v>372</v>
      </c>
      <c r="R144" s="100" t="s">
        <v>240</v>
      </c>
      <c r="S144" s="65" t="s">
        <v>882</v>
      </c>
    </row>
    <row r="145" spans="1:26" s="1" customFormat="1" ht="15" customHeight="1" x14ac:dyDescent="0.25">
      <c r="A145" s="35">
        <v>42296</v>
      </c>
      <c r="B145" s="1" t="s">
        <v>66</v>
      </c>
      <c r="C145" s="1" t="s">
        <v>1451</v>
      </c>
      <c r="D145" s="1" t="s">
        <v>1793</v>
      </c>
      <c r="E145" s="90" t="s">
        <v>523</v>
      </c>
      <c r="F145" s="64" t="s">
        <v>412</v>
      </c>
      <c r="G145" s="64" t="s">
        <v>701</v>
      </c>
      <c r="H145" s="89">
        <v>47.350033333333336</v>
      </c>
      <c r="I145" s="89">
        <v>-123.1504</v>
      </c>
      <c r="J145" s="89"/>
      <c r="K145" s="89"/>
      <c r="L145" s="73" t="s">
        <v>148</v>
      </c>
      <c r="M145" s="69">
        <v>-0.4572</v>
      </c>
      <c r="N145" s="64" t="s">
        <v>793</v>
      </c>
      <c r="O145" s="64" t="s">
        <v>89</v>
      </c>
      <c r="P145" s="64" t="s">
        <v>291</v>
      </c>
      <c r="Q145" s="64" t="s">
        <v>372</v>
      </c>
      <c r="R145" s="100" t="s">
        <v>244</v>
      </c>
      <c r="S145" s="65" t="s">
        <v>882</v>
      </c>
    </row>
    <row r="146" spans="1:26" s="1" customFormat="1" ht="15" customHeight="1" x14ac:dyDescent="0.25">
      <c r="A146" s="35">
        <v>42296</v>
      </c>
      <c r="B146" s="1" t="s">
        <v>66</v>
      </c>
      <c r="C146" s="1" t="s">
        <v>1451</v>
      </c>
      <c r="D146" s="1" t="s">
        <v>1794</v>
      </c>
      <c r="E146" s="90" t="s">
        <v>523</v>
      </c>
      <c r="F146" s="64" t="s">
        <v>412</v>
      </c>
      <c r="G146" s="64" t="s">
        <v>701</v>
      </c>
      <c r="H146" s="89">
        <v>47.351483333333334</v>
      </c>
      <c r="I146" s="89">
        <v>-123.15273333333333</v>
      </c>
      <c r="J146" s="89"/>
      <c r="K146" s="89"/>
      <c r="L146" s="73" t="s">
        <v>148</v>
      </c>
      <c r="M146" s="69">
        <v>-0.30480000000000002</v>
      </c>
      <c r="N146" s="64" t="s">
        <v>793</v>
      </c>
      <c r="O146" s="64" t="s">
        <v>89</v>
      </c>
      <c r="P146" s="64" t="s">
        <v>291</v>
      </c>
      <c r="Q146" s="64" t="s">
        <v>372</v>
      </c>
      <c r="R146" s="100" t="s">
        <v>243</v>
      </c>
      <c r="S146" s="65" t="s">
        <v>882</v>
      </c>
    </row>
    <row r="147" spans="1:26" s="1" customFormat="1" ht="15" customHeight="1" x14ac:dyDescent="0.25">
      <c r="A147" s="35">
        <v>42296</v>
      </c>
      <c r="B147" s="1" t="s">
        <v>66</v>
      </c>
      <c r="C147" s="1" t="s">
        <v>1451</v>
      </c>
      <c r="D147" s="1" t="s">
        <v>1795</v>
      </c>
      <c r="E147" s="90" t="s">
        <v>523</v>
      </c>
      <c r="F147" s="64" t="s">
        <v>412</v>
      </c>
      <c r="G147" s="64" t="s">
        <v>701</v>
      </c>
      <c r="H147" s="89">
        <v>47.352583333333335</v>
      </c>
      <c r="I147" s="89">
        <v>-123.13398333333333</v>
      </c>
      <c r="J147" s="89"/>
      <c r="K147" s="89"/>
      <c r="L147" s="73" t="s">
        <v>148</v>
      </c>
      <c r="M147" s="69">
        <v>-9.1440000000000216E-2</v>
      </c>
      <c r="N147" s="64" t="s">
        <v>793</v>
      </c>
      <c r="O147" s="64" t="s">
        <v>89</v>
      </c>
      <c r="P147" s="64" t="s">
        <v>291</v>
      </c>
      <c r="Q147" s="64" t="s">
        <v>372</v>
      </c>
      <c r="R147" s="100" t="s">
        <v>246</v>
      </c>
      <c r="S147" s="65" t="s">
        <v>882</v>
      </c>
    </row>
    <row r="148" spans="1:26" s="1" customFormat="1" ht="15" customHeight="1" x14ac:dyDescent="0.25">
      <c r="A148" s="35">
        <v>42296</v>
      </c>
      <c r="B148" s="1" t="s">
        <v>66</v>
      </c>
      <c r="C148" s="1" t="s">
        <v>1451</v>
      </c>
      <c r="D148" s="1" t="s">
        <v>1796</v>
      </c>
      <c r="E148" s="90" t="s">
        <v>523</v>
      </c>
      <c r="F148" s="64" t="s">
        <v>412</v>
      </c>
      <c r="G148" s="64" t="s">
        <v>701</v>
      </c>
      <c r="H148" s="89">
        <v>47.353816666666667</v>
      </c>
      <c r="I148" s="89">
        <v>-123.15536666666667</v>
      </c>
      <c r="J148" s="89"/>
      <c r="K148" s="89"/>
      <c r="L148" s="73" t="s">
        <v>148</v>
      </c>
      <c r="M148" s="69">
        <v>-0.54864000000000024</v>
      </c>
      <c r="N148" s="64" t="s">
        <v>793</v>
      </c>
      <c r="O148" s="64" t="s">
        <v>89</v>
      </c>
      <c r="P148" s="64" t="s">
        <v>291</v>
      </c>
      <c r="Q148" s="64" t="s">
        <v>372</v>
      </c>
      <c r="R148" s="100" t="s">
        <v>242</v>
      </c>
      <c r="S148" s="65" t="s">
        <v>882</v>
      </c>
    </row>
    <row r="149" spans="1:26" s="1" customFormat="1" ht="15" customHeight="1" x14ac:dyDescent="0.25">
      <c r="A149" s="35">
        <v>42296</v>
      </c>
      <c r="B149" s="1" t="s">
        <v>66</v>
      </c>
      <c r="C149" s="1" t="s">
        <v>1451</v>
      </c>
      <c r="D149" s="1" t="s">
        <v>1797</v>
      </c>
      <c r="E149" s="90" t="s">
        <v>523</v>
      </c>
      <c r="F149" s="64" t="s">
        <v>412</v>
      </c>
      <c r="G149" s="64" t="s">
        <v>701</v>
      </c>
      <c r="H149" s="89">
        <v>47.354816666666665</v>
      </c>
      <c r="I149" s="89">
        <v>-123.15688333333334</v>
      </c>
      <c r="J149" s="89"/>
      <c r="K149" s="89"/>
      <c r="L149" s="73" t="s">
        <v>148</v>
      </c>
      <c r="M149" s="69">
        <v>-0.4267200000000001</v>
      </c>
      <c r="N149" s="64" t="s">
        <v>793</v>
      </c>
      <c r="O149" s="64" t="s">
        <v>89</v>
      </c>
      <c r="P149" s="64" t="s">
        <v>291</v>
      </c>
      <c r="Q149" s="64" t="s">
        <v>372</v>
      </c>
      <c r="R149" s="100" t="s">
        <v>241</v>
      </c>
      <c r="S149" s="65" t="s">
        <v>882</v>
      </c>
      <c r="T149"/>
      <c r="U149"/>
      <c r="V149"/>
      <c r="W149"/>
      <c r="X149"/>
      <c r="Y149"/>
      <c r="Z149"/>
    </row>
    <row r="150" spans="1:26" ht="15" customHeight="1" x14ac:dyDescent="0.25">
      <c r="A150" s="35">
        <v>42296</v>
      </c>
      <c r="B150" s="1" t="s">
        <v>66</v>
      </c>
      <c r="C150" s="1" t="s">
        <v>1451</v>
      </c>
      <c r="D150" s="1" t="s">
        <v>1798</v>
      </c>
      <c r="E150" s="90" t="s">
        <v>523</v>
      </c>
      <c r="F150" s="64" t="s">
        <v>412</v>
      </c>
      <c r="G150" s="64" t="s">
        <v>701</v>
      </c>
      <c r="H150" s="89">
        <v>47.354883333333333</v>
      </c>
      <c r="I150" s="89">
        <v>-123.15706666666667</v>
      </c>
      <c r="J150" s="89"/>
      <c r="K150" s="89"/>
      <c r="L150" s="73" t="s">
        <v>148</v>
      </c>
      <c r="M150" s="69">
        <v>-0.18288000000000043</v>
      </c>
      <c r="N150" s="64" t="s">
        <v>793</v>
      </c>
      <c r="O150" s="64" t="s">
        <v>268</v>
      </c>
      <c r="P150" s="64" t="s">
        <v>409</v>
      </c>
      <c r="Q150" s="64" t="s">
        <v>524</v>
      </c>
      <c r="R150" s="100" t="s">
        <v>880</v>
      </c>
      <c r="S150" s="65" t="s">
        <v>882</v>
      </c>
    </row>
    <row r="151" spans="1:26" ht="15" customHeight="1" x14ac:dyDescent="0.25">
      <c r="A151" s="35">
        <v>42296</v>
      </c>
      <c r="B151" s="1" t="s">
        <v>66</v>
      </c>
      <c r="C151" s="1" t="s">
        <v>1451</v>
      </c>
      <c r="D151" s="1" t="s">
        <v>1799</v>
      </c>
      <c r="E151" s="90" t="s">
        <v>523</v>
      </c>
      <c r="F151" s="64" t="s">
        <v>412</v>
      </c>
      <c r="G151" s="64" t="s">
        <v>701</v>
      </c>
      <c r="H151" s="89">
        <v>47.354900000000001</v>
      </c>
      <c r="I151" s="89">
        <v>-123.13221666666666</v>
      </c>
      <c r="J151" s="89"/>
      <c r="K151" s="89"/>
      <c r="L151" s="73" t="s">
        <v>148</v>
      </c>
      <c r="M151" s="69">
        <v>-0.8534400000000002</v>
      </c>
      <c r="N151" s="64" t="s">
        <v>793</v>
      </c>
      <c r="O151" s="64" t="s">
        <v>89</v>
      </c>
      <c r="P151" s="64" t="s">
        <v>291</v>
      </c>
      <c r="Q151" s="64" t="s">
        <v>372</v>
      </c>
      <c r="R151" s="100" t="s">
        <v>246</v>
      </c>
      <c r="S151" s="65" t="s">
        <v>882</v>
      </c>
    </row>
    <row r="152" spans="1:26" ht="15" customHeight="1" x14ac:dyDescent="0.25">
      <c r="A152" s="35">
        <v>42296</v>
      </c>
      <c r="B152" s="1" t="s">
        <v>66</v>
      </c>
      <c r="C152" s="1" t="s">
        <v>1451</v>
      </c>
      <c r="D152" s="1" t="s">
        <v>1800</v>
      </c>
      <c r="E152" s="90" t="s">
        <v>523</v>
      </c>
      <c r="F152" s="64" t="s">
        <v>412</v>
      </c>
      <c r="G152" s="64" t="s">
        <v>701</v>
      </c>
      <c r="H152" s="89">
        <v>47.356833333333334</v>
      </c>
      <c r="I152" s="89">
        <v>-123.15796666666667</v>
      </c>
      <c r="J152" s="89"/>
      <c r="K152" s="89"/>
      <c r="L152" s="73" t="s">
        <v>148</v>
      </c>
      <c r="M152" s="69">
        <v>-0.4267200000000001</v>
      </c>
      <c r="N152" s="64" t="s">
        <v>793</v>
      </c>
      <c r="O152" s="64" t="s">
        <v>89</v>
      </c>
      <c r="P152" s="64" t="s">
        <v>291</v>
      </c>
      <c r="Q152" s="64" t="s">
        <v>372</v>
      </c>
      <c r="R152" s="100" t="s">
        <v>883</v>
      </c>
      <c r="S152" s="65" t="s">
        <v>882</v>
      </c>
    </row>
    <row r="153" spans="1:26" ht="15" customHeight="1" x14ac:dyDescent="0.25">
      <c r="A153" s="35">
        <v>42297</v>
      </c>
      <c r="B153" s="1" t="s">
        <v>66</v>
      </c>
      <c r="C153" t="s">
        <v>247</v>
      </c>
      <c r="D153" t="s">
        <v>1658</v>
      </c>
      <c r="E153" s="90" t="s">
        <v>523</v>
      </c>
      <c r="F153" s="98" t="s">
        <v>412</v>
      </c>
      <c r="G153" s="98" t="s">
        <v>701</v>
      </c>
      <c r="H153" s="88">
        <v>47.102766666666668</v>
      </c>
      <c r="I153" s="88">
        <v>-122.72685</v>
      </c>
      <c r="J153" s="88"/>
      <c r="K153" s="88"/>
      <c r="L153" s="73" t="s">
        <v>148</v>
      </c>
      <c r="M153" s="97">
        <v>0.27432000000000012</v>
      </c>
      <c r="N153" s="98"/>
      <c r="O153" s="98" t="s">
        <v>89</v>
      </c>
      <c r="P153" s="98" t="s">
        <v>522</v>
      </c>
      <c r="Q153" s="98" t="s">
        <v>372</v>
      </c>
      <c r="R153" s="100" t="s">
        <v>248</v>
      </c>
      <c r="S153" s="65" t="s">
        <v>882</v>
      </c>
    </row>
    <row r="154" spans="1:26" ht="15" customHeight="1" x14ac:dyDescent="0.25">
      <c r="A154" s="35">
        <v>42297</v>
      </c>
      <c r="B154" s="1" t="s">
        <v>66</v>
      </c>
      <c r="C154" t="s">
        <v>247</v>
      </c>
      <c r="D154" t="s">
        <v>1667</v>
      </c>
      <c r="E154" s="90" t="s">
        <v>523</v>
      </c>
      <c r="F154" s="98" t="s">
        <v>412</v>
      </c>
      <c r="G154" s="98" t="s">
        <v>701</v>
      </c>
      <c r="H154" s="88">
        <v>47.111383333333336</v>
      </c>
      <c r="I154" s="88">
        <v>-122.72085</v>
      </c>
      <c r="J154" s="88"/>
      <c r="K154" s="88"/>
      <c r="L154" s="73" t="s">
        <v>148</v>
      </c>
      <c r="M154" s="97">
        <v>3.0479999999999893E-2</v>
      </c>
      <c r="N154" s="98"/>
      <c r="O154" s="98" t="s">
        <v>89</v>
      </c>
      <c r="P154" s="98" t="s">
        <v>521</v>
      </c>
      <c r="Q154" s="98" t="s">
        <v>372</v>
      </c>
      <c r="R154" s="100" t="s">
        <v>254</v>
      </c>
      <c r="S154" s="65" t="s">
        <v>882</v>
      </c>
    </row>
    <row r="155" spans="1:26" ht="15" customHeight="1" x14ac:dyDescent="0.25">
      <c r="A155" s="35">
        <v>42297</v>
      </c>
      <c r="B155" s="1" t="s">
        <v>66</v>
      </c>
      <c r="C155" t="s">
        <v>247</v>
      </c>
      <c r="D155" t="s">
        <v>1668</v>
      </c>
      <c r="E155" s="90" t="s">
        <v>523</v>
      </c>
      <c r="F155" s="98" t="s">
        <v>412</v>
      </c>
      <c r="G155" s="98" t="s">
        <v>701</v>
      </c>
      <c r="H155" s="88">
        <v>47.111449999999998</v>
      </c>
      <c r="I155" s="88">
        <v>-122.70803333333333</v>
      </c>
      <c r="J155" s="88"/>
      <c r="K155" s="88"/>
      <c r="L155" s="73" t="s">
        <v>148</v>
      </c>
      <c r="M155" s="97">
        <v>-3.0480000000000434E-2</v>
      </c>
      <c r="N155" s="98"/>
      <c r="O155" s="98" t="s">
        <v>89</v>
      </c>
      <c r="P155" s="98" t="s">
        <v>409</v>
      </c>
      <c r="Q155" s="98" t="s">
        <v>524</v>
      </c>
      <c r="R155" s="100" t="s">
        <v>259</v>
      </c>
      <c r="S155" s="65" t="s">
        <v>882</v>
      </c>
    </row>
    <row r="156" spans="1:26" ht="15" customHeight="1" x14ac:dyDescent="0.25">
      <c r="A156" s="35">
        <v>42297</v>
      </c>
      <c r="B156" s="1" t="s">
        <v>66</v>
      </c>
      <c r="C156" t="s">
        <v>247</v>
      </c>
      <c r="D156" t="s">
        <v>1669</v>
      </c>
      <c r="E156" s="90" t="s">
        <v>523</v>
      </c>
      <c r="F156" s="98" t="s">
        <v>412</v>
      </c>
      <c r="G156" s="98" t="s">
        <v>701</v>
      </c>
      <c r="H156" s="88">
        <v>47.111499999999999</v>
      </c>
      <c r="I156" s="88">
        <v>-122.71841666666667</v>
      </c>
      <c r="J156" s="88"/>
      <c r="K156" s="88"/>
      <c r="L156" s="73" t="s">
        <v>148</v>
      </c>
      <c r="M156" s="97">
        <v>9.1439999999999674E-2</v>
      </c>
      <c r="N156" s="98"/>
      <c r="O156" s="98" t="s">
        <v>89</v>
      </c>
      <c r="P156" s="98" t="s">
        <v>409</v>
      </c>
      <c r="Q156" s="98" t="s">
        <v>524</v>
      </c>
      <c r="R156" s="100" t="s">
        <v>255</v>
      </c>
      <c r="S156" s="65" t="s">
        <v>882</v>
      </c>
    </row>
    <row r="157" spans="1:26" ht="15" customHeight="1" x14ac:dyDescent="0.25">
      <c r="A157" s="35">
        <v>42297</v>
      </c>
      <c r="B157" s="1" t="s">
        <v>66</v>
      </c>
      <c r="C157" t="s">
        <v>247</v>
      </c>
      <c r="D157" t="s">
        <v>1670</v>
      </c>
      <c r="E157" s="90" t="s">
        <v>523</v>
      </c>
      <c r="F157" s="98" t="s">
        <v>412</v>
      </c>
      <c r="G157" s="98" t="s">
        <v>701</v>
      </c>
      <c r="H157" s="88">
        <v>47.111716666666666</v>
      </c>
      <c r="I157" s="88">
        <v>-122.72243333333333</v>
      </c>
      <c r="J157" s="88"/>
      <c r="K157" s="88"/>
      <c r="L157" s="73" t="s">
        <v>148</v>
      </c>
      <c r="M157" s="97">
        <v>-0.15240000000000001</v>
      </c>
      <c r="N157" s="98"/>
      <c r="O157" s="98" t="s">
        <v>89</v>
      </c>
      <c r="P157" s="98" t="s">
        <v>291</v>
      </c>
      <c r="Q157" s="98" t="s">
        <v>372</v>
      </c>
      <c r="R157" s="100" t="s">
        <v>251</v>
      </c>
      <c r="S157" s="65" t="s">
        <v>882</v>
      </c>
    </row>
    <row r="158" spans="1:26" ht="15" customHeight="1" x14ac:dyDescent="0.25">
      <c r="A158" s="35">
        <v>42297</v>
      </c>
      <c r="B158" s="1" t="s">
        <v>66</v>
      </c>
      <c r="C158" t="s">
        <v>247</v>
      </c>
      <c r="D158" t="s">
        <v>1671</v>
      </c>
      <c r="E158" s="90" t="s">
        <v>523</v>
      </c>
      <c r="F158" s="98" t="s">
        <v>412</v>
      </c>
      <c r="G158" s="98" t="s">
        <v>701</v>
      </c>
      <c r="H158" s="88">
        <v>47.111716666666666</v>
      </c>
      <c r="I158" s="88">
        <v>-122.72588333333333</v>
      </c>
      <c r="J158" s="88"/>
      <c r="K158" s="88"/>
      <c r="L158" s="73" t="s">
        <v>148</v>
      </c>
      <c r="M158" s="97">
        <v>0.33527999999999991</v>
      </c>
      <c r="N158" s="98"/>
      <c r="O158" s="98" t="s">
        <v>89</v>
      </c>
      <c r="P158" s="98" t="s">
        <v>521</v>
      </c>
      <c r="Q158" s="98" t="s">
        <v>372</v>
      </c>
      <c r="R158" s="100" t="s">
        <v>253</v>
      </c>
      <c r="S158" s="65" t="s">
        <v>882</v>
      </c>
    </row>
    <row r="159" spans="1:26" ht="15" customHeight="1" x14ac:dyDescent="0.25">
      <c r="A159" s="35">
        <v>42297</v>
      </c>
      <c r="B159" s="1" t="s">
        <v>66</v>
      </c>
      <c r="C159" t="s">
        <v>247</v>
      </c>
      <c r="D159" t="s">
        <v>1672</v>
      </c>
      <c r="E159" s="90" t="s">
        <v>523</v>
      </c>
      <c r="F159" s="98" t="s">
        <v>412</v>
      </c>
      <c r="G159" s="98" t="s">
        <v>701</v>
      </c>
      <c r="H159" s="88">
        <v>47.111733333333333</v>
      </c>
      <c r="I159" s="88">
        <v>-122.7081</v>
      </c>
      <c r="J159" s="88"/>
      <c r="K159" s="88"/>
      <c r="L159" s="73" t="s">
        <v>148</v>
      </c>
      <c r="M159" s="97">
        <v>-1.4630400000000001</v>
      </c>
      <c r="N159" s="98"/>
      <c r="O159" s="98" t="s">
        <v>89</v>
      </c>
      <c r="P159" s="98" t="s">
        <v>409</v>
      </c>
      <c r="Q159" s="98" t="s">
        <v>524</v>
      </c>
      <c r="R159" s="100" t="s">
        <v>884</v>
      </c>
      <c r="S159" s="65" t="s">
        <v>882</v>
      </c>
    </row>
    <row r="160" spans="1:26" ht="15" customHeight="1" x14ac:dyDescent="0.25">
      <c r="A160" s="35">
        <v>42297</v>
      </c>
      <c r="B160" s="1" t="s">
        <v>66</v>
      </c>
      <c r="C160" t="s">
        <v>247</v>
      </c>
      <c r="D160" t="s">
        <v>1673</v>
      </c>
      <c r="E160" s="90" t="s">
        <v>523</v>
      </c>
      <c r="F160" s="98" t="s">
        <v>412</v>
      </c>
      <c r="G160" s="98" t="s">
        <v>701</v>
      </c>
      <c r="H160" s="88">
        <v>47.111866666666664</v>
      </c>
      <c r="I160" s="88">
        <v>-122.7248</v>
      </c>
      <c r="J160" s="88"/>
      <c r="K160" s="88"/>
      <c r="L160" s="73" t="s">
        <v>148</v>
      </c>
      <c r="M160" s="97">
        <v>0.21336000000000005</v>
      </c>
      <c r="N160" s="98"/>
      <c r="O160" s="98" t="s">
        <v>89</v>
      </c>
      <c r="P160" s="98" t="s">
        <v>409</v>
      </c>
      <c r="Q160" s="98" t="s">
        <v>525</v>
      </c>
      <c r="R160" s="100" t="s">
        <v>252</v>
      </c>
      <c r="S160" s="65" t="s">
        <v>882</v>
      </c>
    </row>
    <row r="161" spans="1:19" ht="15" customHeight="1" x14ac:dyDescent="0.25">
      <c r="A161" s="35">
        <v>42297</v>
      </c>
      <c r="B161" s="1" t="s">
        <v>66</v>
      </c>
      <c r="C161" t="s">
        <v>247</v>
      </c>
      <c r="D161" t="s">
        <v>1674</v>
      </c>
      <c r="E161" s="90" t="s">
        <v>523</v>
      </c>
      <c r="F161" s="98" t="s">
        <v>412</v>
      </c>
      <c r="G161" s="98" t="s">
        <v>701</v>
      </c>
      <c r="H161" s="88">
        <v>47.114716666666666</v>
      </c>
      <c r="I161" s="88">
        <v>-122.66985</v>
      </c>
      <c r="J161" s="88"/>
      <c r="K161" s="88"/>
      <c r="L161" s="73" t="s">
        <v>148</v>
      </c>
      <c r="M161" s="97">
        <v>-0.51816000000000029</v>
      </c>
      <c r="N161" s="98"/>
      <c r="O161" s="98"/>
      <c r="P161" s="98" t="s">
        <v>409</v>
      </c>
      <c r="Q161" s="98" t="s">
        <v>524</v>
      </c>
      <c r="R161" s="100" t="s">
        <v>908</v>
      </c>
      <c r="S161" s="65" t="s">
        <v>882</v>
      </c>
    </row>
    <row r="162" spans="1:19" ht="15" customHeight="1" x14ac:dyDescent="0.25">
      <c r="A162" s="35">
        <v>42297</v>
      </c>
      <c r="B162" s="1" t="s">
        <v>66</v>
      </c>
      <c r="C162" t="s">
        <v>247</v>
      </c>
      <c r="D162" t="s">
        <v>1675</v>
      </c>
      <c r="E162" s="90" t="s">
        <v>523</v>
      </c>
      <c r="F162" s="98" t="s">
        <v>412</v>
      </c>
      <c r="G162" s="98" t="s">
        <v>701</v>
      </c>
      <c r="H162" s="88">
        <v>47.114716666666666</v>
      </c>
      <c r="I162" s="88">
        <v>-122.66963333333334</v>
      </c>
      <c r="J162" s="88"/>
      <c r="K162" s="88"/>
      <c r="L162" s="73" t="s">
        <v>148</v>
      </c>
      <c r="M162" s="97">
        <v>0.36575999999999975</v>
      </c>
      <c r="N162" s="98"/>
      <c r="O162" s="98" t="s">
        <v>268</v>
      </c>
      <c r="P162" s="98" t="s">
        <v>409</v>
      </c>
      <c r="Q162" s="98" t="s">
        <v>524</v>
      </c>
      <c r="R162" s="100" t="s">
        <v>261</v>
      </c>
      <c r="S162" s="65" t="s">
        <v>882</v>
      </c>
    </row>
    <row r="163" spans="1:19" ht="15" customHeight="1" x14ac:dyDescent="0.25">
      <c r="A163" s="35">
        <v>42297</v>
      </c>
      <c r="B163" s="1" t="s">
        <v>66</v>
      </c>
      <c r="C163" t="s">
        <v>247</v>
      </c>
      <c r="D163" t="s">
        <v>1676</v>
      </c>
      <c r="E163" s="90" t="s">
        <v>523</v>
      </c>
      <c r="F163" s="98" t="s">
        <v>412</v>
      </c>
      <c r="G163" s="98" t="s">
        <v>701</v>
      </c>
      <c r="H163" s="88">
        <v>47.114783333333335</v>
      </c>
      <c r="I163" s="88">
        <v>-122.66985</v>
      </c>
      <c r="J163" s="88"/>
      <c r="K163" s="88"/>
      <c r="L163" s="73" t="s">
        <v>148</v>
      </c>
      <c r="M163" s="97">
        <v>-0.54864000000000024</v>
      </c>
      <c r="N163" s="98"/>
      <c r="O163" s="98"/>
      <c r="P163" s="98" t="s">
        <v>409</v>
      </c>
      <c r="Q163" s="98" t="s">
        <v>524</v>
      </c>
      <c r="R163" s="100" t="s">
        <v>260</v>
      </c>
      <c r="S163" s="65" t="s">
        <v>882</v>
      </c>
    </row>
    <row r="164" spans="1:19" ht="15" customHeight="1" x14ac:dyDescent="0.25">
      <c r="A164" s="35">
        <v>42297</v>
      </c>
      <c r="B164" s="1" t="s">
        <v>66</v>
      </c>
      <c r="C164" t="s">
        <v>247</v>
      </c>
      <c r="D164" t="s">
        <v>1659</v>
      </c>
      <c r="E164" s="90" t="s">
        <v>523</v>
      </c>
      <c r="F164" s="98" t="s">
        <v>412</v>
      </c>
      <c r="G164" s="98" t="s">
        <v>701</v>
      </c>
      <c r="H164" s="88">
        <v>47.103349999999999</v>
      </c>
      <c r="I164" s="88">
        <v>-122.72566666666667</v>
      </c>
      <c r="J164" s="88"/>
      <c r="K164" s="88"/>
      <c r="L164" s="73" t="s">
        <v>148</v>
      </c>
      <c r="M164" s="97">
        <v>-0.33527999999999991</v>
      </c>
      <c r="N164" s="98"/>
      <c r="O164" s="98" t="s">
        <v>89</v>
      </c>
      <c r="P164" s="98" t="s">
        <v>291</v>
      </c>
      <c r="Q164" s="98" t="s">
        <v>372</v>
      </c>
      <c r="R164" s="100" t="s">
        <v>246</v>
      </c>
      <c r="S164" s="65" t="s">
        <v>882</v>
      </c>
    </row>
    <row r="165" spans="1:19" ht="15" customHeight="1" x14ac:dyDescent="0.25">
      <c r="A165" s="35">
        <v>42297</v>
      </c>
      <c r="B165" s="1" t="s">
        <v>66</v>
      </c>
      <c r="C165" t="s">
        <v>247</v>
      </c>
      <c r="D165" t="s">
        <v>1677</v>
      </c>
      <c r="E165" s="90" t="s">
        <v>523</v>
      </c>
      <c r="F165" s="98" t="s">
        <v>412</v>
      </c>
      <c r="G165" s="98" t="s">
        <v>701</v>
      </c>
      <c r="H165" s="88">
        <v>47.117216666666664</v>
      </c>
      <c r="I165" s="88">
        <v>-122.66791666666667</v>
      </c>
      <c r="J165" s="88"/>
      <c r="K165" s="88"/>
      <c r="L165" s="73" t="s">
        <v>148</v>
      </c>
      <c r="M165" s="97">
        <v>-0.12192000000000013</v>
      </c>
      <c r="N165" s="98"/>
      <c r="O165" s="98"/>
      <c r="P165" s="98" t="s">
        <v>522</v>
      </c>
      <c r="Q165" s="98" t="s">
        <v>372</v>
      </c>
      <c r="R165" s="100" t="s">
        <v>262</v>
      </c>
      <c r="S165" s="65" t="s">
        <v>882</v>
      </c>
    </row>
    <row r="166" spans="1:19" ht="15" customHeight="1" x14ac:dyDescent="0.25">
      <c r="A166" s="35">
        <v>42297</v>
      </c>
      <c r="B166" s="1" t="s">
        <v>66</v>
      </c>
      <c r="C166" t="s">
        <v>247</v>
      </c>
      <c r="D166" t="s">
        <v>1678</v>
      </c>
      <c r="E166" s="90" t="s">
        <v>523</v>
      </c>
      <c r="F166" s="98" t="s">
        <v>412</v>
      </c>
      <c r="G166" s="98" t="s">
        <v>701</v>
      </c>
      <c r="H166" s="88">
        <v>47.117216666666664</v>
      </c>
      <c r="I166" s="88">
        <v>-122.66876666666667</v>
      </c>
      <c r="J166" s="88"/>
      <c r="K166" s="88"/>
      <c r="L166" s="73" t="s">
        <v>148</v>
      </c>
      <c r="M166" s="97">
        <v>-2.2860000000000005</v>
      </c>
      <c r="N166" s="98"/>
      <c r="O166" s="98"/>
      <c r="P166" s="98" t="s">
        <v>522</v>
      </c>
      <c r="Q166" s="98" t="s">
        <v>372</v>
      </c>
      <c r="R166" s="100" t="s">
        <v>263</v>
      </c>
      <c r="S166" s="65" t="s">
        <v>882</v>
      </c>
    </row>
    <row r="167" spans="1:19" ht="15" customHeight="1" x14ac:dyDescent="0.25">
      <c r="A167" s="35">
        <v>42297</v>
      </c>
      <c r="B167" s="1" t="s">
        <v>66</v>
      </c>
      <c r="C167" t="s">
        <v>247</v>
      </c>
      <c r="D167" t="s">
        <v>1679</v>
      </c>
      <c r="E167" s="90" t="s">
        <v>523</v>
      </c>
      <c r="F167" s="98" t="s">
        <v>412</v>
      </c>
      <c r="G167" s="98" t="s">
        <v>701</v>
      </c>
      <c r="H167" s="88">
        <v>47.117216666666664</v>
      </c>
      <c r="I167" s="88">
        <v>-122.66898333333333</v>
      </c>
      <c r="J167" s="88"/>
      <c r="K167" s="88"/>
      <c r="L167" s="73" t="s">
        <v>148</v>
      </c>
      <c r="M167" s="97">
        <v>-2.5603199999999999</v>
      </c>
      <c r="N167" s="98"/>
      <c r="O167" s="98"/>
      <c r="P167" s="98" t="s">
        <v>291</v>
      </c>
      <c r="Q167" s="98" t="s">
        <v>372</v>
      </c>
      <c r="R167" s="100" t="s">
        <v>885</v>
      </c>
      <c r="S167" s="65" t="s">
        <v>882</v>
      </c>
    </row>
    <row r="168" spans="1:19" ht="15" customHeight="1" x14ac:dyDescent="0.25">
      <c r="A168" s="35">
        <v>42297</v>
      </c>
      <c r="B168" s="1" t="s">
        <v>66</v>
      </c>
      <c r="C168" t="s">
        <v>247</v>
      </c>
      <c r="D168" t="s">
        <v>1660</v>
      </c>
      <c r="E168" s="90" t="s">
        <v>523</v>
      </c>
      <c r="F168" s="98" t="s">
        <v>412</v>
      </c>
      <c r="G168" s="98" t="s">
        <v>701</v>
      </c>
      <c r="H168" s="88">
        <v>47.104900000000001</v>
      </c>
      <c r="I168" s="88">
        <v>-122.7248</v>
      </c>
      <c r="J168" s="88"/>
      <c r="K168" s="88"/>
      <c r="L168" s="73" t="s">
        <v>148</v>
      </c>
      <c r="M168" s="97">
        <v>-1.0363200000000001</v>
      </c>
      <c r="N168" s="98"/>
      <c r="O168" s="98" t="s">
        <v>89</v>
      </c>
      <c r="P168" s="98" t="s">
        <v>409</v>
      </c>
      <c r="Q168" s="98" t="s">
        <v>525</v>
      </c>
      <c r="R168" s="100" t="s">
        <v>250</v>
      </c>
      <c r="S168" s="65" t="s">
        <v>882</v>
      </c>
    </row>
    <row r="169" spans="1:19" ht="15" customHeight="1" x14ac:dyDescent="0.25">
      <c r="A169" s="35">
        <v>42297</v>
      </c>
      <c r="B169" s="1" t="s">
        <v>66</v>
      </c>
      <c r="C169" t="s">
        <v>247</v>
      </c>
      <c r="D169" t="s">
        <v>1661</v>
      </c>
      <c r="E169" s="90" t="s">
        <v>523</v>
      </c>
      <c r="F169" s="98" t="s">
        <v>412</v>
      </c>
      <c r="G169" s="98" t="s">
        <v>701</v>
      </c>
      <c r="H169" s="88">
        <v>47.105049999999999</v>
      </c>
      <c r="I169" s="88">
        <v>-122.72395</v>
      </c>
      <c r="J169" s="88"/>
      <c r="K169" s="88"/>
      <c r="L169" s="73" t="s">
        <v>148</v>
      </c>
      <c r="M169" s="97">
        <v>0.27432000000000012</v>
      </c>
      <c r="N169" s="98"/>
      <c r="O169" s="98" t="s">
        <v>89</v>
      </c>
      <c r="P169" s="98" t="s">
        <v>409</v>
      </c>
      <c r="Q169" s="98" t="s">
        <v>525</v>
      </c>
      <c r="R169" s="100" t="s">
        <v>249</v>
      </c>
      <c r="S169" s="65" t="s">
        <v>882</v>
      </c>
    </row>
    <row r="170" spans="1:19" ht="15" customHeight="1" x14ac:dyDescent="0.25">
      <c r="A170" s="35">
        <v>42297</v>
      </c>
      <c r="B170" s="1" t="s">
        <v>66</v>
      </c>
      <c r="C170" t="s">
        <v>247</v>
      </c>
      <c r="D170" t="s">
        <v>1662</v>
      </c>
      <c r="E170" s="90" t="s">
        <v>523</v>
      </c>
      <c r="F170" s="98" t="s">
        <v>412</v>
      </c>
      <c r="G170" s="98" t="s">
        <v>701</v>
      </c>
      <c r="H170" s="88">
        <v>47.105049999999999</v>
      </c>
      <c r="I170" s="88">
        <v>-122.72448333333334</v>
      </c>
      <c r="J170" s="88"/>
      <c r="K170" s="88"/>
      <c r="L170" s="73" t="s">
        <v>148</v>
      </c>
      <c r="M170" s="97">
        <v>-3.0479999999999893E-2</v>
      </c>
      <c r="N170" s="98"/>
      <c r="O170" s="98" t="s">
        <v>89</v>
      </c>
      <c r="P170" s="98" t="s">
        <v>291</v>
      </c>
      <c r="Q170" s="98" t="s">
        <v>372</v>
      </c>
      <c r="R170" s="100" t="s">
        <v>246</v>
      </c>
      <c r="S170" s="65" t="s">
        <v>882</v>
      </c>
    </row>
    <row r="171" spans="1:19" ht="15" customHeight="1" x14ac:dyDescent="0.25">
      <c r="A171" s="35">
        <v>42297</v>
      </c>
      <c r="B171" s="1" t="s">
        <v>66</v>
      </c>
      <c r="C171" t="s">
        <v>247</v>
      </c>
      <c r="D171" t="s">
        <v>1663</v>
      </c>
      <c r="E171" s="90" t="s">
        <v>523</v>
      </c>
      <c r="F171" s="98" t="s">
        <v>412</v>
      </c>
      <c r="G171" s="98" t="s">
        <v>701</v>
      </c>
      <c r="H171" s="88">
        <v>47.109983333333332</v>
      </c>
      <c r="I171" s="88">
        <v>-122.70831666666666</v>
      </c>
      <c r="J171" s="88"/>
      <c r="K171" s="88"/>
      <c r="L171" s="73" t="s">
        <v>148</v>
      </c>
      <c r="M171" s="97">
        <v>0.42671999999999954</v>
      </c>
      <c r="N171" s="98"/>
      <c r="O171" s="98" t="s">
        <v>89</v>
      </c>
      <c r="P171" s="98" t="s">
        <v>409</v>
      </c>
      <c r="Q171" s="98" t="s">
        <v>524</v>
      </c>
      <c r="R171" s="100" t="s">
        <v>258</v>
      </c>
      <c r="S171" s="65" t="s">
        <v>882</v>
      </c>
    </row>
    <row r="172" spans="1:19" ht="15" customHeight="1" x14ac:dyDescent="0.25">
      <c r="A172" s="35">
        <v>42297</v>
      </c>
      <c r="B172" s="1" t="s">
        <v>66</v>
      </c>
      <c r="C172" t="s">
        <v>247</v>
      </c>
      <c r="D172" t="s">
        <v>1664</v>
      </c>
      <c r="E172" s="90" t="s">
        <v>523</v>
      </c>
      <c r="F172" s="98" t="s">
        <v>412</v>
      </c>
      <c r="G172" s="98" t="s">
        <v>701</v>
      </c>
      <c r="H172" s="88">
        <v>47.110166666666665</v>
      </c>
      <c r="I172" s="88">
        <v>-122.70816666666667</v>
      </c>
      <c r="J172" s="88"/>
      <c r="K172" s="88"/>
      <c r="L172" s="73" t="s">
        <v>148</v>
      </c>
      <c r="M172" s="97">
        <v>0.42671999999999954</v>
      </c>
      <c r="N172" s="98"/>
      <c r="O172" s="98" t="s">
        <v>89</v>
      </c>
      <c r="P172" s="98" t="s">
        <v>409</v>
      </c>
      <c r="Q172" s="98" t="s">
        <v>524</v>
      </c>
      <c r="R172" s="100" t="s">
        <v>258</v>
      </c>
      <c r="S172" s="65" t="s">
        <v>882</v>
      </c>
    </row>
    <row r="173" spans="1:19" ht="15" customHeight="1" x14ac:dyDescent="0.25">
      <c r="A173" s="35">
        <v>42297</v>
      </c>
      <c r="B173" s="1" t="s">
        <v>66</v>
      </c>
      <c r="C173" t="s">
        <v>247</v>
      </c>
      <c r="D173" t="s">
        <v>1665</v>
      </c>
      <c r="E173" s="90" t="s">
        <v>523</v>
      </c>
      <c r="F173" s="98" t="s">
        <v>412</v>
      </c>
      <c r="G173" s="98" t="s">
        <v>701</v>
      </c>
      <c r="H173" s="88">
        <v>47.111150000000002</v>
      </c>
      <c r="I173" s="88">
        <v>-122.71828333333333</v>
      </c>
      <c r="J173" s="88"/>
      <c r="K173" s="88"/>
      <c r="L173" s="73" t="s">
        <v>148</v>
      </c>
      <c r="M173" s="97">
        <v>0.18287999999999988</v>
      </c>
      <c r="N173" s="98"/>
      <c r="O173" s="98" t="s">
        <v>89</v>
      </c>
      <c r="P173" s="98" t="s">
        <v>409</v>
      </c>
      <c r="Q173" s="98" t="s">
        <v>524</v>
      </c>
      <c r="R173" s="100" t="s">
        <v>256</v>
      </c>
      <c r="S173" s="65" t="s">
        <v>882</v>
      </c>
    </row>
    <row r="174" spans="1:19" ht="15" customHeight="1" x14ac:dyDescent="0.25">
      <c r="A174" s="35">
        <v>42297</v>
      </c>
      <c r="B174" s="1" t="s">
        <v>66</v>
      </c>
      <c r="C174" t="s">
        <v>247</v>
      </c>
      <c r="D174" t="s">
        <v>1666</v>
      </c>
      <c r="E174" s="90" t="s">
        <v>523</v>
      </c>
      <c r="F174" s="98" t="s">
        <v>412</v>
      </c>
      <c r="G174" s="98" t="s">
        <v>701</v>
      </c>
      <c r="H174" s="88">
        <v>47.111150000000002</v>
      </c>
      <c r="I174" s="88">
        <v>-122.71806666666667</v>
      </c>
      <c r="J174" s="88"/>
      <c r="K174" s="88"/>
      <c r="L174" s="73" t="s">
        <v>148</v>
      </c>
      <c r="M174" s="97">
        <v>-0.15240000000000001</v>
      </c>
      <c r="N174" s="98"/>
      <c r="O174" s="98" t="s">
        <v>89</v>
      </c>
      <c r="P174" s="98" t="s">
        <v>409</v>
      </c>
      <c r="Q174" s="98" t="s">
        <v>524</v>
      </c>
      <c r="R174" s="100" t="s">
        <v>257</v>
      </c>
      <c r="S174" s="65" t="s">
        <v>882</v>
      </c>
    </row>
    <row r="175" spans="1:19" ht="15" customHeight="1" x14ac:dyDescent="0.25">
      <c r="A175" s="35">
        <v>42297</v>
      </c>
      <c r="B175" s="1" t="s">
        <v>66</v>
      </c>
      <c r="C175" t="s">
        <v>9</v>
      </c>
      <c r="D175" t="s">
        <v>1744</v>
      </c>
      <c r="E175" s="90" t="s">
        <v>523</v>
      </c>
      <c r="F175" s="98" t="s">
        <v>412</v>
      </c>
      <c r="G175" s="98" t="s">
        <v>701</v>
      </c>
      <c r="H175" s="88">
        <v>47.126916666666666</v>
      </c>
      <c r="I175" s="88">
        <v>-122.70926666666666</v>
      </c>
      <c r="J175" s="88"/>
      <c r="K175" s="88"/>
      <c r="L175" s="73" t="s">
        <v>148</v>
      </c>
      <c r="M175" s="97">
        <v>-9.1440000000000216E-2</v>
      </c>
      <c r="N175" s="98"/>
      <c r="O175" s="98"/>
      <c r="P175" s="98" t="s">
        <v>291</v>
      </c>
      <c r="Q175" s="98" t="s">
        <v>372</v>
      </c>
      <c r="R175" s="100" t="s">
        <v>278</v>
      </c>
      <c r="S175" s="65" t="s">
        <v>882</v>
      </c>
    </row>
    <row r="176" spans="1:19" ht="15" customHeight="1" x14ac:dyDescent="0.25">
      <c r="A176" s="35">
        <v>42297</v>
      </c>
      <c r="B176" s="1" t="s">
        <v>66</v>
      </c>
      <c r="C176" t="s">
        <v>9</v>
      </c>
      <c r="D176" t="s">
        <v>1753</v>
      </c>
      <c r="E176" s="90" t="s">
        <v>523</v>
      </c>
      <c r="F176" s="98" t="s">
        <v>412</v>
      </c>
      <c r="G176" s="98" t="s">
        <v>701</v>
      </c>
      <c r="H176" s="88">
        <v>47.127783333333333</v>
      </c>
      <c r="I176" s="88">
        <v>-122.71141666666666</v>
      </c>
      <c r="J176" s="88"/>
      <c r="K176" s="88"/>
      <c r="L176" s="73" t="s">
        <v>148</v>
      </c>
      <c r="M176" s="97">
        <v>0.48767999999999989</v>
      </c>
      <c r="N176" s="98"/>
      <c r="O176" s="98"/>
      <c r="P176" s="98" t="s">
        <v>409</v>
      </c>
      <c r="Q176" s="98" t="s">
        <v>524</v>
      </c>
      <c r="R176" s="100" t="s">
        <v>283</v>
      </c>
      <c r="S176" s="65" t="s">
        <v>882</v>
      </c>
    </row>
    <row r="177" spans="1:19" ht="15" customHeight="1" x14ac:dyDescent="0.25">
      <c r="A177" s="35">
        <v>42297</v>
      </c>
      <c r="B177" s="1" t="s">
        <v>66</v>
      </c>
      <c r="C177" t="s">
        <v>9</v>
      </c>
      <c r="D177" t="s">
        <v>1754</v>
      </c>
      <c r="E177" s="90" t="s">
        <v>523</v>
      </c>
      <c r="F177" s="98" t="s">
        <v>412</v>
      </c>
      <c r="G177" s="98" t="s">
        <v>701</v>
      </c>
      <c r="H177" s="88">
        <v>47.128816666666665</v>
      </c>
      <c r="I177" s="88">
        <v>-122.71386666666666</v>
      </c>
      <c r="J177" s="88"/>
      <c r="K177" s="88"/>
      <c r="L177" s="73" t="s">
        <v>148</v>
      </c>
      <c r="M177" s="97">
        <v>-0.39624000000000026</v>
      </c>
      <c r="N177" s="98"/>
      <c r="O177" s="98" t="s">
        <v>886</v>
      </c>
      <c r="P177" s="98" t="s">
        <v>409</v>
      </c>
      <c r="Q177" s="98" t="s">
        <v>525</v>
      </c>
      <c r="R177" s="100" t="s">
        <v>276</v>
      </c>
      <c r="S177" s="65" t="s">
        <v>882</v>
      </c>
    </row>
    <row r="178" spans="1:19" ht="15" customHeight="1" x14ac:dyDescent="0.25">
      <c r="A178" s="35">
        <v>42297</v>
      </c>
      <c r="B178" s="1" t="s">
        <v>66</v>
      </c>
      <c r="C178" t="s">
        <v>9</v>
      </c>
      <c r="D178" t="s">
        <v>1755</v>
      </c>
      <c r="E178" s="90" t="s">
        <v>523</v>
      </c>
      <c r="F178" s="98" t="s">
        <v>412</v>
      </c>
      <c r="G178" s="98" t="s">
        <v>701</v>
      </c>
      <c r="H178" s="88">
        <v>47.128966666666663</v>
      </c>
      <c r="I178" s="88">
        <v>-122.71381666666667</v>
      </c>
      <c r="J178" s="88"/>
      <c r="K178" s="88"/>
      <c r="L178" s="73" t="s">
        <v>148</v>
      </c>
      <c r="M178" s="97">
        <v>0</v>
      </c>
      <c r="N178" s="98"/>
      <c r="O178" s="98" t="s">
        <v>268</v>
      </c>
      <c r="P178" s="98" t="s">
        <v>409</v>
      </c>
      <c r="Q178" s="98" t="s">
        <v>524</v>
      </c>
      <c r="R178" s="100" t="s">
        <v>275</v>
      </c>
      <c r="S178" s="65" t="s">
        <v>882</v>
      </c>
    </row>
    <row r="179" spans="1:19" ht="15" customHeight="1" x14ac:dyDescent="0.25">
      <c r="A179" s="35">
        <v>42297</v>
      </c>
      <c r="B179" s="1" t="s">
        <v>66</v>
      </c>
      <c r="C179" t="s">
        <v>9</v>
      </c>
      <c r="D179" t="s">
        <v>1756</v>
      </c>
      <c r="E179" s="90" t="s">
        <v>523</v>
      </c>
      <c r="F179" s="98" t="s">
        <v>412</v>
      </c>
      <c r="G179" s="98" t="s">
        <v>701</v>
      </c>
      <c r="H179" s="88">
        <v>47.132550000000002</v>
      </c>
      <c r="I179" s="88">
        <v>-122.71776666666666</v>
      </c>
      <c r="J179" s="88"/>
      <c r="K179" s="88"/>
      <c r="L179" s="73" t="s">
        <v>148</v>
      </c>
      <c r="M179" s="97"/>
      <c r="N179" s="98"/>
      <c r="O179" s="98" t="s">
        <v>89</v>
      </c>
      <c r="P179" s="98" t="s">
        <v>409</v>
      </c>
      <c r="Q179" s="98" t="s">
        <v>294</v>
      </c>
      <c r="R179" s="100" t="s">
        <v>274</v>
      </c>
      <c r="S179" s="65" t="s">
        <v>882</v>
      </c>
    </row>
    <row r="180" spans="1:19" ht="15" customHeight="1" x14ac:dyDescent="0.25">
      <c r="A180" s="35">
        <v>42297</v>
      </c>
      <c r="B180" s="1" t="s">
        <v>66</v>
      </c>
      <c r="C180" t="s">
        <v>9</v>
      </c>
      <c r="D180" t="s">
        <v>1757</v>
      </c>
      <c r="E180" s="90" t="s">
        <v>523</v>
      </c>
      <c r="F180" s="98" t="s">
        <v>412</v>
      </c>
      <c r="G180" s="98" t="s">
        <v>701</v>
      </c>
      <c r="H180" s="88">
        <v>47.133299999999998</v>
      </c>
      <c r="I180" s="88">
        <v>-122.71858333333333</v>
      </c>
      <c r="J180" s="88"/>
      <c r="K180" s="88"/>
      <c r="L180" s="73" t="s">
        <v>148</v>
      </c>
      <c r="M180" s="97">
        <v>-0.94488000000000039</v>
      </c>
      <c r="N180" s="98"/>
      <c r="O180" s="98" t="s">
        <v>89</v>
      </c>
      <c r="P180" s="98" t="s">
        <v>409</v>
      </c>
      <c r="Q180" s="98" t="s">
        <v>294</v>
      </c>
      <c r="R180" s="100" t="s">
        <v>273</v>
      </c>
      <c r="S180" s="65" t="s">
        <v>882</v>
      </c>
    </row>
    <row r="181" spans="1:19" ht="15" customHeight="1" x14ac:dyDescent="0.25">
      <c r="A181" s="35">
        <v>42297</v>
      </c>
      <c r="B181" s="1" t="s">
        <v>66</v>
      </c>
      <c r="C181" t="s">
        <v>9</v>
      </c>
      <c r="D181" t="s">
        <v>1758</v>
      </c>
      <c r="E181" s="90" t="s">
        <v>523</v>
      </c>
      <c r="F181" s="98" t="s">
        <v>412</v>
      </c>
      <c r="G181" s="98" t="s">
        <v>701</v>
      </c>
      <c r="H181" s="88">
        <v>47.1374</v>
      </c>
      <c r="I181" s="88">
        <v>-122.72221666666667</v>
      </c>
      <c r="J181" s="88"/>
      <c r="K181" s="88"/>
      <c r="L181" s="73" t="s">
        <v>148</v>
      </c>
      <c r="M181" s="97">
        <v>-1.8897599999999997</v>
      </c>
      <c r="N181" s="98"/>
      <c r="O181" s="98" t="s">
        <v>89</v>
      </c>
      <c r="P181" s="98" t="s">
        <v>409</v>
      </c>
      <c r="Q181" s="98" t="s">
        <v>294</v>
      </c>
      <c r="R181" s="100" t="s">
        <v>272</v>
      </c>
      <c r="S181" s="65" t="s">
        <v>882</v>
      </c>
    </row>
    <row r="182" spans="1:19" ht="15" customHeight="1" x14ac:dyDescent="0.25">
      <c r="A182" s="35">
        <v>42297</v>
      </c>
      <c r="B182" s="1" t="s">
        <v>66</v>
      </c>
      <c r="C182" t="s">
        <v>9</v>
      </c>
      <c r="D182" t="s">
        <v>1759</v>
      </c>
      <c r="E182" s="90" t="s">
        <v>523</v>
      </c>
      <c r="F182" s="98" t="s">
        <v>412</v>
      </c>
      <c r="G182" s="98" t="s">
        <v>701</v>
      </c>
      <c r="H182" s="88">
        <v>47.137749999999997</v>
      </c>
      <c r="I182" s="88">
        <v>-122.72268333333334</v>
      </c>
      <c r="J182" s="88"/>
      <c r="K182" s="88"/>
      <c r="L182" s="73" t="s">
        <v>148</v>
      </c>
      <c r="M182" s="97">
        <v>-0.4267200000000001</v>
      </c>
      <c r="N182" s="98"/>
      <c r="O182" s="98" t="s">
        <v>89</v>
      </c>
      <c r="P182" s="98" t="s">
        <v>409</v>
      </c>
      <c r="Q182" s="98" t="s">
        <v>524</v>
      </c>
      <c r="R182" s="100" t="s">
        <v>271</v>
      </c>
      <c r="S182" s="65" t="s">
        <v>882</v>
      </c>
    </row>
    <row r="183" spans="1:19" ht="15" customHeight="1" x14ac:dyDescent="0.25">
      <c r="A183" s="35">
        <v>42297</v>
      </c>
      <c r="B183" s="1" t="s">
        <v>66</v>
      </c>
      <c r="C183" t="s">
        <v>9</v>
      </c>
      <c r="D183" t="s">
        <v>1760</v>
      </c>
      <c r="E183" s="90" t="s">
        <v>523</v>
      </c>
      <c r="F183" s="98" t="s">
        <v>412</v>
      </c>
      <c r="G183" s="98" t="s">
        <v>701</v>
      </c>
      <c r="H183" s="88">
        <v>47.138083333333334</v>
      </c>
      <c r="I183" s="88">
        <v>-122.72331666666666</v>
      </c>
      <c r="J183" s="88"/>
      <c r="K183" s="88"/>
      <c r="L183" s="73" t="s">
        <v>148</v>
      </c>
      <c r="M183" s="97">
        <v>-0.88392000000000015</v>
      </c>
      <c r="N183" s="98"/>
      <c r="O183" s="98" t="s">
        <v>89</v>
      </c>
      <c r="P183" s="98" t="s">
        <v>409</v>
      </c>
      <c r="Q183" s="98" t="s">
        <v>294</v>
      </c>
      <c r="R183" s="100" t="s">
        <v>1534</v>
      </c>
      <c r="S183" s="65" t="s">
        <v>882</v>
      </c>
    </row>
    <row r="184" spans="1:19" ht="15" customHeight="1" x14ac:dyDescent="0.25">
      <c r="A184" s="35">
        <v>42297</v>
      </c>
      <c r="B184" s="1" t="s">
        <v>66</v>
      </c>
      <c r="C184" t="s">
        <v>9</v>
      </c>
      <c r="D184" t="s">
        <v>1761</v>
      </c>
      <c r="E184" s="90" t="s">
        <v>523</v>
      </c>
      <c r="F184" s="98" t="s">
        <v>412</v>
      </c>
      <c r="G184" s="98" t="s">
        <v>701</v>
      </c>
      <c r="H184" s="88">
        <v>47.142150000000001</v>
      </c>
      <c r="I184" s="88">
        <v>-122.7315</v>
      </c>
      <c r="J184" s="88"/>
      <c r="K184" s="88"/>
      <c r="L184" s="73" t="s">
        <v>148</v>
      </c>
      <c r="M184" s="97">
        <v>-0.4267200000000001</v>
      </c>
      <c r="N184" s="98"/>
      <c r="O184" s="98" t="s">
        <v>89</v>
      </c>
      <c r="P184" s="98" t="s">
        <v>409</v>
      </c>
      <c r="Q184" s="98" t="s">
        <v>525</v>
      </c>
      <c r="R184" s="100" t="s">
        <v>270</v>
      </c>
      <c r="S184" s="65" t="s">
        <v>882</v>
      </c>
    </row>
    <row r="185" spans="1:19" ht="15" customHeight="1" x14ac:dyDescent="0.25">
      <c r="A185" s="35">
        <v>42297</v>
      </c>
      <c r="B185" s="1" t="s">
        <v>66</v>
      </c>
      <c r="C185" t="s">
        <v>9</v>
      </c>
      <c r="D185" t="s">
        <v>1762</v>
      </c>
      <c r="E185" s="90" t="s">
        <v>523</v>
      </c>
      <c r="F185" s="98" t="s">
        <v>412</v>
      </c>
      <c r="G185" s="98" t="s">
        <v>701</v>
      </c>
      <c r="H185" s="88">
        <v>47.142366666666668</v>
      </c>
      <c r="I185" s="88">
        <v>-122.7306</v>
      </c>
      <c r="J185" s="88"/>
      <c r="K185" s="88"/>
      <c r="L185" s="73" t="s">
        <v>148</v>
      </c>
      <c r="M185" s="97">
        <v>-0.12192000000000013</v>
      </c>
      <c r="N185" s="98"/>
      <c r="O185" s="98" t="s">
        <v>89</v>
      </c>
      <c r="P185" s="98" t="s">
        <v>409</v>
      </c>
      <c r="Q185" s="98" t="s">
        <v>525</v>
      </c>
      <c r="R185" s="100" t="s">
        <v>269</v>
      </c>
      <c r="S185" s="65" t="s">
        <v>882</v>
      </c>
    </row>
    <row r="186" spans="1:19" ht="15" customHeight="1" x14ac:dyDescent="0.25">
      <c r="A186" s="35">
        <v>42297</v>
      </c>
      <c r="B186" s="1" t="s">
        <v>66</v>
      </c>
      <c r="C186" t="s">
        <v>9</v>
      </c>
      <c r="D186" t="s">
        <v>1745</v>
      </c>
      <c r="E186" s="90" t="s">
        <v>523</v>
      </c>
      <c r="F186" s="98" t="s">
        <v>412</v>
      </c>
      <c r="G186" s="98" t="s">
        <v>701</v>
      </c>
      <c r="H186" s="88">
        <v>47.126916666666666</v>
      </c>
      <c r="I186" s="88">
        <v>-122.7097</v>
      </c>
      <c r="J186" s="88"/>
      <c r="K186" s="88"/>
      <c r="L186" s="73" t="s">
        <v>148</v>
      </c>
      <c r="M186" s="97">
        <v>-0.39624000000000026</v>
      </c>
      <c r="N186" s="98"/>
      <c r="O186" s="98"/>
      <c r="P186" s="98" t="s">
        <v>291</v>
      </c>
      <c r="Q186" s="98" t="s">
        <v>372</v>
      </c>
      <c r="R186" s="100" t="s">
        <v>280</v>
      </c>
      <c r="S186" s="65" t="s">
        <v>882</v>
      </c>
    </row>
    <row r="187" spans="1:19" ht="15" customHeight="1" x14ac:dyDescent="0.25">
      <c r="A187" s="35">
        <v>42297</v>
      </c>
      <c r="B187" s="1" t="s">
        <v>66</v>
      </c>
      <c r="C187" t="s">
        <v>9</v>
      </c>
      <c r="D187" t="s">
        <v>1763</v>
      </c>
      <c r="E187" s="90" t="s">
        <v>523</v>
      </c>
      <c r="F187" s="98" t="s">
        <v>412</v>
      </c>
      <c r="G187" s="98" t="s">
        <v>701</v>
      </c>
      <c r="H187" s="88">
        <v>47.144416666666665</v>
      </c>
      <c r="I187" s="88">
        <v>-122.73205</v>
      </c>
      <c r="J187" s="88"/>
      <c r="K187" s="88"/>
      <c r="L187" s="73" t="s">
        <v>148</v>
      </c>
      <c r="M187" s="97">
        <v>0.4267200000000001</v>
      </c>
      <c r="N187" s="98"/>
      <c r="O187" s="98" t="s">
        <v>268</v>
      </c>
      <c r="P187" s="98" t="s">
        <v>409</v>
      </c>
      <c r="Q187" s="98" t="s">
        <v>524</v>
      </c>
      <c r="R187" s="100" t="s">
        <v>268</v>
      </c>
      <c r="S187" s="65" t="s">
        <v>882</v>
      </c>
    </row>
    <row r="188" spans="1:19" ht="15" customHeight="1" x14ac:dyDescent="0.25">
      <c r="A188" s="35">
        <v>42297</v>
      </c>
      <c r="B188" s="1" t="s">
        <v>66</v>
      </c>
      <c r="C188" t="s">
        <v>9</v>
      </c>
      <c r="D188" t="s">
        <v>1764</v>
      </c>
      <c r="E188" s="90" t="s">
        <v>523</v>
      </c>
      <c r="F188" s="98" t="s">
        <v>412</v>
      </c>
      <c r="G188" s="98" t="s">
        <v>701</v>
      </c>
      <c r="H188" s="88">
        <v>47.144633333333331</v>
      </c>
      <c r="I188" s="88">
        <v>-122.73271666666666</v>
      </c>
      <c r="J188" s="88"/>
      <c r="K188" s="88"/>
      <c r="L188" s="73" t="s">
        <v>148</v>
      </c>
      <c r="M188" s="97">
        <v>-0.70103999999999966</v>
      </c>
      <c r="N188" s="98"/>
      <c r="O188" s="98" t="s">
        <v>89</v>
      </c>
      <c r="P188" s="98" t="s">
        <v>409</v>
      </c>
      <c r="Q188" s="98" t="s">
        <v>525</v>
      </c>
      <c r="R188" s="100" t="s">
        <v>267</v>
      </c>
      <c r="S188" s="65" t="s">
        <v>882</v>
      </c>
    </row>
    <row r="189" spans="1:19" ht="15" customHeight="1" x14ac:dyDescent="0.25">
      <c r="A189" s="35">
        <v>42297</v>
      </c>
      <c r="B189" s="1" t="s">
        <v>66</v>
      </c>
      <c r="C189" t="s">
        <v>9</v>
      </c>
      <c r="D189" t="s">
        <v>1746</v>
      </c>
      <c r="E189" s="90" t="s">
        <v>523</v>
      </c>
      <c r="F189" s="98" t="s">
        <v>412</v>
      </c>
      <c r="G189" s="98" t="s">
        <v>701</v>
      </c>
      <c r="H189" s="88">
        <v>47.12703333333333</v>
      </c>
      <c r="I189" s="88">
        <v>-122.70925</v>
      </c>
      <c r="J189" s="88"/>
      <c r="K189" s="88"/>
      <c r="L189" s="73" t="s">
        <v>148</v>
      </c>
      <c r="M189" s="97">
        <v>0.4572</v>
      </c>
      <c r="N189" s="98"/>
      <c r="O189" s="98"/>
      <c r="P189" s="98" t="s">
        <v>291</v>
      </c>
      <c r="Q189" s="98" t="s">
        <v>372</v>
      </c>
      <c r="R189" s="100" t="s">
        <v>277</v>
      </c>
      <c r="S189" s="65" t="s">
        <v>882</v>
      </c>
    </row>
    <row r="190" spans="1:19" ht="15" customHeight="1" x14ac:dyDescent="0.25">
      <c r="A190" s="35">
        <v>42297</v>
      </c>
      <c r="B190" s="1" t="s">
        <v>66</v>
      </c>
      <c r="C190" t="s">
        <v>9</v>
      </c>
      <c r="D190" t="s">
        <v>1747</v>
      </c>
      <c r="E190" s="90" t="s">
        <v>523</v>
      </c>
      <c r="F190" s="98" t="s">
        <v>412</v>
      </c>
      <c r="G190" s="98" t="s">
        <v>701</v>
      </c>
      <c r="H190" s="88">
        <v>47.127266666666664</v>
      </c>
      <c r="I190" s="88">
        <v>-122.71013333333333</v>
      </c>
      <c r="J190" s="88"/>
      <c r="K190" s="88"/>
      <c r="L190" s="73" t="s">
        <v>148</v>
      </c>
      <c r="M190" s="97">
        <v>0.30480000000000002</v>
      </c>
      <c r="N190" s="98"/>
      <c r="O190" s="98"/>
      <c r="P190" s="98" t="s">
        <v>521</v>
      </c>
      <c r="Q190" s="98" t="s">
        <v>372</v>
      </c>
      <c r="R190" s="100" t="s">
        <v>281</v>
      </c>
      <c r="S190" s="65" t="s">
        <v>882</v>
      </c>
    </row>
    <row r="191" spans="1:19" ht="15" customHeight="1" x14ac:dyDescent="0.25">
      <c r="A191" s="35">
        <v>42297</v>
      </c>
      <c r="B191" s="1" t="s">
        <v>66</v>
      </c>
      <c r="C191" t="s">
        <v>9</v>
      </c>
      <c r="D191" t="s">
        <v>1748</v>
      </c>
      <c r="E191" s="90" t="s">
        <v>523</v>
      </c>
      <c r="F191" s="98" t="s">
        <v>412</v>
      </c>
      <c r="G191" s="98" t="s">
        <v>701</v>
      </c>
      <c r="H191" s="88">
        <v>47.127333333333333</v>
      </c>
      <c r="I191" s="88">
        <v>-122.71068333333334</v>
      </c>
      <c r="J191" s="88"/>
      <c r="K191" s="88"/>
      <c r="L191" s="73" t="s">
        <v>148</v>
      </c>
      <c r="M191" s="97">
        <v>-0.36576000000000031</v>
      </c>
      <c r="N191" s="98"/>
      <c r="O191" s="98"/>
      <c r="P191" s="98" t="s">
        <v>291</v>
      </c>
      <c r="Q191" s="98" t="s">
        <v>372</v>
      </c>
      <c r="R191" s="100" t="s">
        <v>282</v>
      </c>
      <c r="S191" s="65" t="s">
        <v>882</v>
      </c>
    </row>
    <row r="192" spans="1:19" ht="15" customHeight="1" x14ac:dyDescent="0.25">
      <c r="A192" s="35">
        <v>42297</v>
      </c>
      <c r="B192" s="1" t="s">
        <v>66</v>
      </c>
      <c r="C192" t="s">
        <v>9</v>
      </c>
      <c r="D192" t="s">
        <v>1749</v>
      </c>
      <c r="E192" s="90" t="s">
        <v>523</v>
      </c>
      <c r="F192" s="98" t="s">
        <v>412</v>
      </c>
      <c r="G192" s="98" t="s">
        <v>701</v>
      </c>
      <c r="H192" s="88">
        <v>47.127383333333334</v>
      </c>
      <c r="I192" s="88">
        <v>-122.71071666666667</v>
      </c>
      <c r="J192" s="88"/>
      <c r="K192" s="88"/>
      <c r="L192" s="73" t="s">
        <v>148</v>
      </c>
      <c r="M192" s="97">
        <v>-0.24384000000000025</v>
      </c>
      <c r="N192" s="98"/>
      <c r="O192" s="98"/>
      <c r="P192" s="98" t="s">
        <v>291</v>
      </c>
      <c r="Q192" s="98" t="s">
        <v>372</v>
      </c>
      <c r="R192" s="100" t="s">
        <v>282</v>
      </c>
      <c r="S192" s="65" t="s">
        <v>882</v>
      </c>
    </row>
    <row r="193" spans="1:26" ht="15" customHeight="1" x14ac:dyDescent="0.25">
      <c r="A193" s="35">
        <v>42297</v>
      </c>
      <c r="B193" s="1" t="s">
        <v>66</v>
      </c>
      <c r="C193" t="s">
        <v>9</v>
      </c>
      <c r="D193" t="s">
        <v>1750</v>
      </c>
      <c r="E193" s="90" t="s">
        <v>523</v>
      </c>
      <c r="F193" s="98" t="s">
        <v>412</v>
      </c>
      <c r="G193" s="98" t="s">
        <v>701</v>
      </c>
      <c r="H193" s="88">
        <v>47.127416666666669</v>
      </c>
      <c r="I193" s="88">
        <v>-122.7103</v>
      </c>
      <c r="J193" s="88"/>
      <c r="K193" s="88"/>
      <c r="L193" s="73" t="s">
        <v>148</v>
      </c>
      <c r="M193" s="97">
        <v>0.60960000000000003</v>
      </c>
      <c r="N193" s="98"/>
      <c r="O193" s="98"/>
      <c r="P193" s="98" t="s">
        <v>409</v>
      </c>
      <c r="Q193" s="98" t="s">
        <v>524</v>
      </c>
      <c r="R193" s="100" t="s">
        <v>279</v>
      </c>
      <c r="S193" s="65" t="s">
        <v>882</v>
      </c>
    </row>
    <row r="194" spans="1:26" ht="15" customHeight="1" x14ac:dyDescent="0.25">
      <c r="A194" s="35">
        <v>42297</v>
      </c>
      <c r="B194" s="1" t="s">
        <v>66</v>
      </c>
      <c r="C194" t="s">
        <v>9</v>
      </c>
      <c r="D194" t="s">
        <v>1751</v>
      </c>
      <c r="E194" s="90" t="s">
        <v>523</v>
      </c>
      <c r="F194" s="98" t="s">
        <v>412</v>
      </c>
      <c r="G194" s="98" t="s">
        <v>701</v>
      </c>
      <c r="H194" s="88">
        <v>47.127450000000003</v>
      </c>
      <c r="I194" s="88">
        <v>-122.71086666666666</v>
      </c>
      <c r="J194" s="88"/>
      <c r="K194" s="88"/>
      <c r="L194" s="73" t="s">
        <v>148</v>
      </c>
      <c r="M194" s="97">
        <v>-0.18288000000000043</v>
      </c>
      <c r="N194" s="98"/>
      <c r="O194" s="98"/>
      <c r="P194" s="98" t="s">
        <v>291</v>
      </c>
      <c r="Q194" s="98" t="s">
        <v>372</v>
      </c>
      <c r="R194" s="100" t="s">
        <v>282</v>
      </c>
      <c r="S194" s="65" t="s">
        <v>882</v>
      </c>
    </row>
    <row r="195" spans="1:26" ht="15" customHeight="1" x14ac:dyDescent="0.25">
      <c r="A195" s="35">
        <v>42297</v>
      </c>
      <c r="B195" s="1" t="s">
        <v>66</v>
      </c>
      <c r="C195" t="s">
        <v>9</v>
      </c>
      <c r="D195" t="s">
        <v>1752</v>
      </c>
      <c r="E195" s="90" t="s">
        <v>523</v>
      </c>
      <c r="F195" s="98" t="s">
        <v>412</v>
      </c>
      <c r="G195" s="98" t="s">
        <v>701</v>
      </c>
      <c r="H195" s="88">
        <v>47.127549999999999</v>
      </c>
      <c r="I195" s="88">
        <v>-122.71091666666666</v>
      </c>
      <c r="J195" s="88"/>
      <c r="K195" s="88"/>
      <c r="L195" s="73" t="s">
        <v>148</v>
      </c>
      <c r="M195" s="97">
        <v>3.0479999999999893E-2</v>
      </c>
      <c r="N195" s="98"/>
      <c r="O195" s="98"/>
      <c r="P195" s="98" t="s">
        <v>291</v>
      </c>
      <c r="Q195" s="98" t="s">
        <v>372</v>
      </c>
      <c r="R195" s="100" t="s">
        <v>1533</v>
      </c>
      <c r="S195" s="65" t="s">
        <v>882</v>
      </c>
    </row>
    <row r="196" spans="1:26" ht="15" customHeight="1" x14ac:dyDescent="0.25">
      <c r="A196" s="35">
        <v>42297</v>
      </c>
      <c r="B196" s="1" t="s">
        <v>66</v>
      </c>
      <c r="C196" t="s">
        <v>648</v>
      </c>
      <c r="D196" t="s">
        <v>1802</v>
      </c>
      <c r="E196" s="90" t="s">
        <v>523</v>
      </c>
      <c r="F196" s="98" t="s">
        <v>412</v>
      </c>
      <c r="G196" s="98" t="s">
        <v>701</v>
      </c>
      <c r="H196" s="88">
        <v>47.121033333333337</v>
      </c>
      <c r="I196" s="88">
        <v>-122.77323333333334</v>
      </c>
      <c r="J196" s="88"/>
      <c r="K196" s="88"/>
      <c r="L196" s="73" t="s">
        <v>148</v>
      </c>
      <c r="M196" s="97">
        <v>1.6763999999999999</v>
      </c>
      <c r="N196" s="98"/>
      <c r="O196" s="98" t="s">
        <v>89</v>
      </c>
      <c r="P196" s="98" t="s">
        <v>409</v>
      </c>
      <c r="Q196" s="98" t="s">
        <v>524</v>
      </c>
      <c r="R196" s="100" t="s">
        <v>1531</v>
      </c>
      <c r="S196" s="65" t="s">
        <v>882</v>
      </c>
    </row>
    <row r="197" spans="1:26" ht="15" customHeight="1" x14ac:dyDescent="0.25">
      <c r="A197" s="35">
        <v>42297</v>
      </c>
      <c r="B197" s="1" t="s">
        <v>66</v>
      </c>
      <c r="C197" t="s">
        <v>648</v>
      </c>
      <c r="D197" t="s">
        <v>1803</v>
      </c>
      <c r="E197" s="90" t="s">
        <v>523</v>
      </c>
      <c r="F197" s="98" t="s">
        <v>412</v>
      </c>
      <c r="G197" s="98" t="s">
        <v>701</v>
      </c>
      <c r="H197" s="88">
        <v>47.121400000000001</v>
      </c>
      <c r="I197" s="88">
        <v>-122.77298333333333</v>
      </c>
      <c r="J197" s="88"/>
      <c r="K197" s="88"/>
      <c r="L197" s="73" t="s">
        <v>148</v>
      </c>
      <c r="M197" s="97">
        <v>1.1582399999999997</v>
      </c>
      <c r="N197" s="98"/>
      <c r="O197" s="98" t="s">
        <v>89</v>
      </c>
      <c r="P197" s="98" t="s">
        <v>409</v>
      </c>
      <c r="Q197" s="98" t="s">
        <v>524</v>
      </c>
      <c r="R197" s="100" t="s">
        <v>266</v>
      </c>
      <c r="S197" s="65" t="s">
        <v>882</v>
      </c>
    </row>
    <row r="198" spans="1:26" ht="15" customHeight="1" x14ac:dyDescent="0.25">
      <c r="A198" s="35">
        <v>42297</v>
      </c>
      <c r="B198" s="1" t="s">
        <v>66</v>
      </c>
      <c r="C198" t="s">
        <v>648</v>
      </c>
      <c r="D198" t="s">
        <v>1804</v>
      </c>
      <c r="E198" s="90" t="s">
        <v>523</v>
      </c>
      <c r="F198" s="98" t="s">
        <v>412</v>
      </c>
      <c r="G198" s="98" t="s">
        <v>701</v>
      </c>
      <c r="H198" s="88">
        <v>47.122166666666665</v>
      </c>
      <c r="I198" s="88">
        <v>-122.77249999999999</v>
      </c>
      <c r="J198" s="88"/>
      <c r="K198" s="88"/>
      <c r="L198" s="73" t="s">
        <v>148</v>
      </c>
      <c r="M198" s="97">
        <v>0.24383999999999967</v>
      </c>
      <c r="N198" s="98"/>
      <c r="O198" s="98" t="s">
        <v>89</v>
      </c>
      <c r="P198" s="98" t="s">
        <v>409</v>
      </c>
      <c r="Q198" s="98" t="s">
        <v>525</v>
      </c>
      <c r="R198" s="100" t="s">
        <v>265</v>
      </c>
      <c r="S198" s="65" t="s">
        <v>882</v>
      </c>
    </row>
    <row r="199" spans="1:26" ht="15" customHeight="1" x14ac:dyDescent="0.25">
      <c r="A199" s="35">
        <v>42297</v>
      </c>
      <c r="B199" s="1" t="s">
        <v>66</v>
      </c>
      <c r="C199" t="s">
        <v>648</v>
      </c>
      <c r="D199" t="s">
        <v>1805</v>
      </c>
      <c r="E199" s="90" t="s">
        <v>523</v>
      </c>
      <c r="F199" s="98" t="s">
        <v>412</v>
      </c>
      <c r="G199" s="98" t="s">
        <v>701</v>
      </c>
      <c r="H199" s="88">
        <v>47.122683333333335</v>
      </c>
      <c r="I199" s="88">
        <v>-122.77106666666667</v>
      </c>
      <c r="J199" s="88"/>
      <c r="K199" s="88"/>
      <c r="L199" s="73" t="s">
        <v>148</v>
      </c>
      <c r="M199" s="97">
        <v>6.0960000000000319E-2</v>
      </c>
      <c r="N199" s="98"/>
      <c r="O199" s="98" t="s">
        <v>89</v>
      </c>
      <c r="P199" s="98" t="s">
        <v>409</v>
      </c>
      <c r="Q199" s="98" t="s">
        <v>524</v>
      </c>
      <c r="R199" s="100" t="s">
        <v>264</v>
      </c>
      <c r="S199" s="65" t="s">
        <v>882</v>
      </c>
    </row>
    <row r="200" spans="1:26" ht="15" customHeight="1" x14ac:dyDescent="0.25">
      <c r="A200" s="35">
        <v>42297</v>
      </c>
      <c r="B200" s="1" t="s">
        <v>66</v>
      </c>
      <c r="C200" t="s">
        <v>648</v>
      </c>
      <c r="D200" t="s">
        <v>1806</v>
      </c>
      <c r="E200" s="90" t="s">
        <v>523</v>
      </c>
      <c r="F200" s="98" t="s">
        <v>412</v>
      </c>
      <c r="G200" s="98" t="s">
        <v>701</v>
      </c>
      <c r="H200" s="88">
        <v>47.123150000000003</v>
      </c>
      <c r="I200" s="88">
        <v>-122.77070000000001</v>
      </c>
      <c r="J200" s="88"/>
      <c r="K200" s="88"/>
      <c r="L200" s="73" t="s">
        <v>148</v>
      </c>
      <c r="M200" s="97">
        <v>-0.67056000000000027</v>
      </c>
      <c r="N200" s="98"/>
      <c r="O200" s="98" t="s">
        <v>89</v>
      </c>
      <c r="P200" s="98" t="s">
        <v>409</v>
      </c>
      <c r="Q200" s="98" t="s">
        <v>525</v>
      </c>
      <c r="R200" s="100" t="s">
        <v>1532</v>
      </c>
      <c r="S200" s="65" t="s">
        <v>882</v>
      </c>
    </row>
    <row r="201" spans="1:26" ht="15" customHeight="1" x14ac:dyDescent="0.25">
      <c r="A201" s="35">
        <v>42299</v>
      </c>
      <c r="B201" s="1" t="s">
        <v>66</v>
      </c>
      <c r="C201" s="1" t="s">
        <v>78</v>
      </c>
      <c r="D201" s="1" t="s">
        <v>1612</v>
      </c>
      <c r="E201" s="90" t="s">
        <v>523</v>
      </c>
      <c r="F201" s="64" t="s">
        <v>691</v>
      </c>
      <c r="G201" s="64" t="s">
        <v>701</v>
      </c>
      <c r="H201" s="89">
        <v>48.133949999999999</v>
      </c>
      <c r="I201" s="89">
        <v>-123.50393333333334</v>
      </c>
      <c r="J201" s="89">
        <v>48.132416666666664</v>
      </c>
      <c r="K201" s="89">
        <v>-123.50478333333334</v>
      </c>
      <c r="L201" s="73" t="s">
        <v>148</v>
      </c>
      <c r="M201" s="69">
        <v>-3</v>
      </c>
      <c r="N201" s="64" t="s">
        <v>793</v>
      </c>
      <c r="O201" s="64" t="s">
        <v>89</v>
      </c>
      <c r="P201" s="64" t="s">
        <v>409</v>
      </c>
      <c r="Q201" s="64" t="s">
        <v>525</v>
      </c>
      <c r="R201" s="100" t="s">
        <v>865</v>
      </c>
      <c r="S201" s="64"/>
    </row>
    <row r="202" spans="1:26" ht="15" customHeight="1" x14ac:dyDescent="0.25">
      <c r="A202" s="35">
        <v>42299</v>
      </c>
      <c r="B202" s="1" t="s">
        <v>66</v>
      </c>
      <c r="C202" s="1" t="s">
        <v>78</v>
      </c>
      <c r="D202" s="1" t="s">
        <v>1613</v>
      </c>
      <c r="E202" s="90" t="s">
        <v>523</v>
      </c>
      <c r="F202" s="64" t="s">
        <v>691</v>
      </c>
      <c r="G202" s="64" t="s">
        <v>701</v>
      </c>
      <c r="H202" s="89">
        <v>48.134099999999997</v>
      </c>
      <c r="I202" s="89">
        <v>-123.5097</v>
      </c>
      <c r="J202" s="89">
        <v>48.132566666666669</v>
      </c>
      <c r="K202" s="89">
        <v>-123.50873333333334</v>
      </c>
      <c r="L202" s="73" t="s">
        <v>148</v>
      </c>
      <c r="M202" s="69">
        <v>-3</v>
      </c>
      <c r="N202" s="64" t="s">
        <v>793</v>
      </c>
      <c r="O202" s="64" t="s">
        <v>866</v>
      </c>
      <c r="P202" s="64" t="s">
        <v>409</v>
      </c>
      <c r="Q202" s="64" t="s">
        <v>525</v>
      </c>
      <c r="R202" s="100" t="s">
        <v>867</v>
      </c>
      <c r="S202" s="64"/>
      <c r="T202" s="1"/>
      <c r="U202" s="1"/>
      <c r="V202" s="1"/>
      <c r="W202" s="1"/>
      <c r="X202" s="1"/>
      <c r="Y202" s="1"/>
      <c r="Z202" s="1"/>
    </row>
    <row r="203" spans="1:26" s="1" customFormat="1" ht="15" customHeight="1" x14ac:dyDescent="0.25">
      <c r="A203" s="35">
        <v>42299</v>
      </c>
      <c r="B203" s="1" t="s">
        <v>66</v>
      </c>
      <c r="C203" s="1" t="s">
        <v>78</v>
      </c>
      <c r="D203" s="1" t="s">
        <v>1614</v>
      </c>
      <c r="E203" s="90" t="s">
        <v>523</v>
      </c>
      <c r="F203" s="64" t="s">
        <v>691</v>
      </c>
      <c r="G203" s="64" t="s">
        <v>701</v>
      </c>
      <c r="H203" s="89">
        <v>48.137633333333333</v>
      </c>
      <c r="I203" s="89">
        <v>-123.52101666666667</v>
      </c>
      <c r="J203" s="89">
        <v>48.134983333333331</v>
      </c>
      <c r="K203" s="89">
        <v>-123.52086666666666</v>
      </c>
      <c r="L203" s="73" t="s">
        <v>148</v>
      </c>
      <c r="M203" s="69">
        <v>-3</v>
      </c>
      <c r="N203" s="64" t="s">
        <v>793</v>
      </c>
      <c r="O203" s="64" t="s">
        <v>866</v>
      </c>
      <c r="P203" s="64" t="s">
        <v>409</v>
      </c>
      <c r="Q203" s="64" t="s">
        <v>524</v>
      </c>
      <c r="R203" s="100" t="s">
        <v>868</v>
      </c>
      <c r="S203" s="64"/>
    </row>
    <row r="204" spans="1:26" s="1" customFormat="1" ht="15" customHeight="1" x14ac:dyDescent="0.25">
      <c r="A204" s="35">
        <v>42299</v>
      </c>
      <c r="B204" s="1" t="s">
        <v>66</v>
      </c>
      <c r="C204" s="1" t="s">
        <v>78</v>
      </c>
      <c r="D204" s="1" t="s">
        <v>1615</v>
      </c>
      <c r="E204" s="90" t="s">
        <v>523</v>
      </c>
      <c r="F204" s="64" t="s">
        <v>691</v>
      </c>
      <c r="G204" s="64" t="s">
        <v>701</v>
      </c>
      <c r="H204" s="89">
        <v>48.1404</v>
      </c>
      <c r="I204" s="89">
        <v>-123.52476666666666</v>
      </c>
      <c r="J204" s="89">
        <v>48.138283333333334</v>
      </c>
      <c r="K204" s="89">
        <v>-123.52616666666667</v>
      </c>
      <c r="L204" s="73" t="s">
        <v>148</v>
      </c>
      <c r="M204" s="69">
        <v>-3</v>
      </c>
      <c r="N204" s="64" t="s">
        <v>793</v>
      </c>
      <c r="O204" s="64" t="s">
        <v>866</v>
      </c>
      <c r="P204" s="64" t="s">
        <v>409</v>
      </c>
      <c r="Q204" s="64" t="s">
        <v>525</v>
      </c>
      <c r="R204" s="100" t="s">
        <v>869</v>
      </c>
      <c r="S204" s="64"/>
    </row>
    <row r="205" spans="1:26" s="1" customFormat="1" ht="15" customHeight="1" x14ac:dyDescent="0.25">
      <c r="A205" s="35">
        <v>42299</v>
      </c>
      <c r="B205" s="1" t="s">
        <v>66</v>
      </c>
      <c r="C205" s="1" t="s">
        <v>78</v>
      </c>
      <c r="D205" s="1" t="s">
        <v>1616</v>
      </c>
      <c r="E205" s="90" t="s">
        <v>523</v>
      </c>
      <c r="F205" s="64" t="s">
        <v>691</v>
      </c>
      <c r="G205" s="64" t="s">
        <v>701</v>
      </c>
      <c r="H205" s="89">
        <v>48.143883333333335</v>
      </c>
      <c r="I205" s="89">
        <v>-123.5294</v>
      </c>
      <c r="J205" s="89">
        <v>48.142383333333335</v>
      </c>
      <c r="K205" s="89">
        <v>-123.53128333333333</v>
      </c>
      <c r="L205" s="73" t="s">
        <v>148</v>
      </c>
      <c r="M205" s="69">
        <v>-3</v>
      </c>
      <c r="N205" s="64" t="s">
        <v>793</v>
      </c>
      <c r="O205" s="64" t="s">
        <v>866</v>
      </c>
      <c r="P205" s="64" t="s">
        <v>409</v>
      </c>
      <c r="Q205" s="64" t="s">
        <v>524</v>
      </c>
      <c r="R205" s="100" t="s">
        <v>870</v>
      </c>
      <c r="S205" s="64"/>
    </row>
    <row r="206" spans="1:26" s="1" customFormat="1" ht="15" customHeight="1" x14ac:dyDescent="0.25">
      <c r="A206" s="35">
        <v>42299</v>
      </c>
      <c r="B206" s="1" t="s">
        <v>66</v>
      </c>
      <c r="C206" s="1" t="s">
        <v>78</v>
      </c>
      <c r="D206" s="1" t="s">
        <v>1617</v>
      </c>
      <c r="E206" s="90" t="s">
        <v>523</v>
      </c>
      <c r="F206" s="64" t="s">
        <v>691</v>
      </c>
      <c r="G206" s="64" t="s">
        <v>701</v>
      </c>
      <c r="H206" s="89">
        <v>48.144599999999997</v>
      </c>
      <c r="I206" s="89">
        <v>-123.43383333333334</v>
      </c>
      <c r="J206" s="89">
        <v>48.142733333333332</v>
      </c>
      <c r="K206" s="89">
        <v>-123.43428333333334</v>
      </c>
      <c r="L206" s="73" t="s">
        <v>148</v>
      </c>
      <c r="M206" s="69">
        <v>-3</v>
      </c>
      <c r="N206" s="64" t="s">
        <v>793</v>
      </c>
      <c r="O206" s="64" t="s">
        <v>89</v>
      </c>
      <c r="P206" s="64" t="s">
        <v>291</v>
      </c>
      <c r="Q206" s="64" t="s">
        <v>372</v>
      </c>
      <c r="R206" s="100" t="s">
        <v>864</v>
      </c>
      <c r="S206" s="64"/>
    </row>
    <row r="207" spans="1:26" s="1" customFormat="1" ht="15" customHeight="1" x14ac:dyDescent="0.25">
      <c r="A207" s="35">
        <v>42299</v>
      </c>
      <c r="B207" s="1" t="s">
        <v>66</v>
      </c>
      <c r="C207" s="1" t="s">
        <v>78</v>
      </c>
      <c r="D207" s="1" t="s">
        <v>1618</v>
      </c>
      <c r="E207" s="90" t="s">
        <v>523</v>
      </c>
      <c r="F207" s="64" t="s">
        <v>691</v>
      </c>
      <c r="G207" s="64" t="s">
        <v>701</v>
      </c>
      <c r="H207" s="89">
        <v>48.147433333333332</v>
      </c>
      <c r="I207" s="89">
        <v>-123.53328333333333</v>
      </c>
      <c r="J207" s="89">
        <v>48.145583333333335</v>
      </c>
      <c r="K207" s="89">
        <v>-123.53481666666667</v>
      </c>
      <c r="L207" s="73" t="s">
        <v>148</v>
      </c>
      <c r="M207" s="69">
        <v>-3</v>
      </c>
      <c r="N207" s="64" t="s">
        <v>793</v>
      </c>
      <c r="O207" s="64" t="s">
        <v>866</v>
      </c>
      <c r="P207" s="64" t="s">
        <v>409</v>
      </c>
      <c r="Q207" s="64" t="s">
        <v>525</v>
      </c>
      <c r="R207" s="100" t="s">
        <v>872</v>
      </c>
      <c r="S207" s="64"/>
    </row>
    <row r="208" spans="1:26" s="1" customFormat="1" ht="15" customHeight="1" x14ac:dyDescent="0.25">
      <c r="A208" s="35">
        <v>42299</v>
      </c>
      <c r="B208" s="1" t="s">
        <v>66</v>
      </c>
      <c r="C208" s="1" t="s">
        <v>78</v>
      </c>
      <c r="D208" s="1" t="s">
        <v>1619</v>
      </c>
      <c r="E208" s="90" t="s">
        <v>523</v>
      </c>
      <c r="F208" s="64" t="s">
        <v>691</v>
      </c>
      <c r="G208" s="64" t="s">
        <v>701</v>
      </c>
      <c r="H208" s="89">
        <v>48.147966666666669</v>
      </c>
      <c r="I208" s="89">
        <v>-123.53776666666667</v>
      </c>
      <c r="J208" s="89">
        <v>48.147116666666669</v>
      </c>
      <c r="K208" s="89">
        <v>-123.53806666666667</v>
      </c>
      <c r="L208" s="73" t="s">
        <v>148</v>
      </c>
      <c r="M208" s="69">
        <v>-3</v>
      </c>
      <c r="N208" s="64" t="s">
        <v>785</v>
      </c>
      <c r="O208" s="64" t="s">
        <v>89</v>
      </c>
      <c r="P208" s="64" t="s">
        <v>409</v>
      </c>
      <c r="Q208" s="64" t="s">
        <v>525</v>
      </c>
      <c r="R208" s="100" t="s">
        <v>871</v>
      </c>
      <c r="S208" s="64"/>
    </row>
    <row r="209" spans="1:19" s="1" customFormat="1" ht="15" customHeight="1" x14ac:dyDescent="0.25">
      <c r="A209" s="35">
        <v>42457</v>
      </c>
      <c r="B209" s="1" t="s">
        <v>66</v>
      </c>
      <c r="C209" s="1" t="s">
        <v>78</v>
      </c>
      <c r="D209" s="1" t="s">
        <v>1604</v>
      </c>
      <c r="E209" s="90" t="s">
        <v>523</v>
      </c>
      <c r="F209" s="64" t="s">
        <v>691</v>
      </c>
      <c r="G209" s="64" t="s">
        <v>701</v>
      </c>
      <c r="H209" s="89">
        <v>48.138733333333334</v>
      </c>
      <c r="I209" s="89">
        <v>-123.58603333333333</v>
      </c>
      <c r="J209" s="89">
        <v>48.137433333333334</v>
      </c>
      <c r="K209" s="89">
        <v>-123.58895</v>
      </c>
      <c r="L209" s="73" t="s">
        <v>148</v>
      </c>
      <c r="M209" s="63">
        <v>-7.4980799999999999</v>
      </c>
      <c r="N209" s="64" t="s">
        <v>785</v>
      </c>
      <c r="O209" s="64"/>
      <c r="P209" s="64" t="s">
        <v>409</v>
      </c>
      <c r="Q209" s="64" t="s">
        <v>525</v>
      </c>
      <c r="R209" s="102" t="s">
        <v>857</v>
      </c>
      <c r="S209" s="65" t="s">
        <v>863</v>
      </c>
    </row>
    <row r="210" spans="1:19" s="1" customFormat="1" ht="15" customHeight="1" x14ac:dyDescent="0.25">
      <c r="A210" s="35">
        <v>42457</v>
      </c>
      <c r="B210" s="1" t="s">
        <v>66</v>
      </c>
      <c r="C210" s="1" t="s">
        <v>78</v>
      </c>
      <c r="D210" s="1" t="s">
        <v>1605</v>
      </c>
      <c r="E210" s="90" t="s">
        <v>523</v>
      </c>
      <c r="F210" s="64" t="s">
        <v>412</v>
      </c>
      <c r="G210" s="64" t="s">
        <v>701</v>
      </c>
      <c r="H210" s="89">
        <v>48.135166666666663</v>
      </c>
      <c r="I210" s="89">
        <v>-123.47233333333334</v>
      </c>
      <c r="J210" s="89"/>
      <c r="K210" s="89"/>
      <c r="L210" s="73" t="s">
        <v>148</v>
      </c>
      <c r="M210" s="63">
        <v>-7.2938640000000001</v>
      </c>
      <c r="N210" s="64"/>
      <c r="O210" s="64"/>
      <c r="P210" s="64" t="s">
        <v>409</v>
      </c>
      <c r="Q210" s="64" t="s">
        <v>525</v>
      </c>
      <c r="R210" s="100" t="s">
        <v>860</v>
      </c>
      <c r="S210" s="64"/>
    </row>
    <row r="211" spans="1:19" s="1" customFormat="1" ht="15" customHeight="1" x14ac:dyDescent="0.25">
      <c r="A211" s="35">
        <v>42457</v>
      </c>
      <c r="B211" s="1" t="s">
        <v>66</v>
      </c>
      <c r="C211" s="1" t="s">
        <v>78</v>
      </c>
      <c r="D211" s="1" t="s">
        <v>1606</v>
      </c>
      <c r="E211" s="90" t="s">
        <v>523</v>
      </c>
      <c r="F211" s="64" t="s">
        <v>412</v>
      </c>
      <c r="G211" s="64" t="s">
        <v>701</v>
      </c>
      <c r="H211" s="89">
        <v>48.137566666666665</v>
      </c>
      <c r="I211" s="89">
        <v>-123.58696666666667</v>
      </c>
      <c r="J211" s="89"/>
      <c r="K211" s="89"/>
      <c r="L211" s="73" t="s">
        <v>148</v>
      </c>
      <c r="M211" s="63">
        <v>-3.9624000000000001</v>
      </c>
      <c r="N211" s="64" t="s">
        <v>785</v>
      </c>
      <c r="O211" s="64"/>
      <c r="P211" s="64" t="s">
        <v>409</v>
      </c>
      <c r="Q211" s="64" t="s">
        <v>525</v>
      </c>
      <c r="R211" s="100" t="s">
        <v>858</v>
      </c>
      <c r="S211" s="65" t="s">
        <v>863</v>
      </c>
    </row>
    <row r="212" spans="1:19" s="1" customFormat="1" ht="15" customHeight="1" x14ac:dyDescent="0.25">
      <c r="A212" s="35">
        <v>42457</v>
      </c>
      <c r="B212" s="1" t="s">
        <v>66</v>
      </c>
      <c r="C212" s="1" t="s">
        <v>78</v>
      </c>
      <c r="D212" s="1" t="s">
        <v>1607</v>
      </c>
      <c r="E212" s="90" t="s">
        <v>523</v>
      </c>
      <c r="F212" s="64" t="s">
        <v>412</v>
      </c>
      <c r="G212" s="64" t="s">
        <v>701</v>
      </c>
      <c r="H212" s="89">
        <v>48.137833333333333</v>
      </c>
      <c r="I212" s="89">
        <v>-123.58491666666667</v>
      </c>
      <c r="J212" s="89"/>
      <c r="K212" s="89"/>
      <c r="L212" s="73" t="s">
        <v>148</v>
      </c>
      <c r="M212" s="63">
        <v>-4.1452799999999996</v>
      </c>
      <c r="N212" s="64"/>
      <c r="O212" s="64"/>
      <c r="P212" s="64" t="s">
        <v>291</v>
      </c>
      <c r="Q212" s="64" t="s">
        <v>372</v>
      </c>
      <c r="R212" s="100" t="s">
        <v>856</v>
      </c>
      <c r="S212" s="65" t="s">
        <v>863</v>
      </c>
    </row>
    <row r="213" spans="1:19" s="1" customFormat="1" ht="15" customHeight="1" x14ac:dyDescent="0.25">
      <c r="A213" s="35">
        <v>42457</v>
      </c>
      <c r="B213" s="1" t="s">
        <v>66</v>
      </c>
      <c r="C213" s="1" t="s">
        <v>78</v>
      </c>
      <c r="D213" s="1" t="s">
        <v>1608</v>
      </c>
      <c r="E213" s="90" t="s">
        <v>523</v>
      </c>
      <c r="F213" s="64" t="s">
        <v>412</v>
      </c>
      <c r="G213" s="64" t="s">
        <v>701</v>
      </c>
      <c r="H213" s="89">
        <v>48.137916666666669</v>
      </c>
      <c r="I213" s="89">
        <v>-123.58448333333334</v>
      </c>
      <c r="J213" s="89"/>
      <c r="K213" s="89"/>
      <c r="L213" s="73" t="s">
        <v>148</v>
      </c>
      <c r="M213" s="63">
        <v>-4.4378880000000001</v>
      </c>
      <c r="N213" s="64" t="s">
        <v>785</v>
      </c>
      <c r="O213" s="64"/>
      <c r="P213" s="64" t="s">
        <v>409</v>
      </c>
      <c r="Q213" s="64" t="s">
        <v>525</v>
      </c>
      <c r="R213" s="100" t="s">
        <v>862</v>
      </c>
      <c r="S213" s="65" t="s">
        <v>863</v>
      </c>
    </row>
    <row r="214" spans="1:19" s="1" customFormat="1" ht="15" customHeight="1" x14ac:dyDescent="0.25">
      <c r="A214" s="35">
        <v>42457</v>
      </c>
      <c r="B214" s="1" t="s">
        <v>66</v>
      </c>
      <c r="C214" s="1" t="s">
        <v>78</v>
      </c>
      <c r="D214" s="1" t="s">
        <v>1609</v>
      </c>
      <c r="E214" s="90" t="s">
        <v>523</v>
      </c>
      <c r="F214" s="64" t="s">
        <v>412</v>
      </c>
      <c r="G214" s="64" t="s">
        <v>701</v>
      </c>
      <c r="H214" s="89">
        <v>48.140066666666669</v>
      </c>
      <c r="I214" s="89">
        <v>-123.57825</v>
      </c>
      <c r="J214" s="89"/>
      <c r="K214" s="89"/>
      <c r="L214" s="73" t="s">
        <v>148</v>
      </c>
      <c r="M214" s="63">
        <v>-4.0233600000000003</v>
      </c>
      <c r="N214" s="64" t="s">
        <v>861</v>
      </c>
      <c r="O214" s="64"/>
      <c r="P214" s="64" t="s">
        <v>409</v>
      </c>
      <c r="Q214" s="64" t="s">
        <v>524</v>
      </c>
      <c r="R214" s="100" t="s">
        <v>854</v>
      </c>
      <c r="S214" s="65" t="s">
        <v>863</v>
      </c>
    </row>
    <row r="215" spans="1:19" s="1" customFormat="1" ht="15" customHeight="1" x14ac:dyDescent="0.25">
      <c r="A215" s="35">
        <v>42457</v>
      </c>
      <c r="B215" s="1" t="s">
        <v>66</v>
      </c>
      <c r="C215" s="1" t="s">
        <v>78</v>
      </c>
      <c r="D215" s="1" t="s">
        <v>1610</v>
      </c>
      <c r="E215" s="90" t="s">
        <v>523</v>
      </c>
      <c r="F215" s="64" t="s">
        <v>412</v>
      </c>
      <c r="G215" s="64" t="s">
        <v>701</v>
      </c>
      <c r="H215" s="89">
        <v>48.140300000000003</v>
      </c>
      <c r="I215" s="89">
        <v>-123.57911666666666</v>
      </c>
      <c r="J215" s="89"/>
      <c r="K215" s="89"/>
      <c r="L215" s="73" t="s">
        <v>148</v>
      </c>
      <c r="M215" s="63">
        <v>-5.6083199999999991</v>
      </c>
      <c r="N215" s="64" t="s">
        <v>785</v>
      </c>
      <c r="O215" s="64"/>
      <c r="P215" s="64" t="s">
        <v>409</v>
      </c>
      <c r="Q215" s="64" t="s">
        <v>524</v>
      </c>
      <c r="R215" s="100" t="s">
        <v>855</v>
      </c>
      <c r="S215" s="65" t="s">
        <v>863</v>
      </c>
    </row>
    <row r="216" spans="1:19" s="1" customFormat="1" ht="15" customHeight="1" x14ac:dyDescent="0.25">
      <c r="A216" s="35">
        <v>42457</v>
      </c>
      <c r="B216" s="1" t="s">
        <v>66</v>
      </c>
      <c r="C216" s="1" t="s">
        <v>78</v>
      </c>
      <c r="D216" s="1" t="s">
        <v>1611</v>
      </c>
      <c r="E216" s="90" t="s">
        <v>523</v>
      </c>
      <c r="F216" s="64" t="s">
        <v>412</v>
      </c>
      <c r="G216" s="64" t="s">
        <v>701</v>
      </c>
      <c r="H216" s="89">
        <v>48.147649999999999</v>
      </c>
      <c r="I216" s="89">
        <v>-123.53506666666667</v>
      </c>
      <c r="J216" s="89"/>
      <c r="K216" s="89"/>
      <c r="L216" s="73" t="s">
        <v>148</v>
      </c>
      <c r="M216" s="63">
        <v>-3.7795200000000002</v>
      </c>
      <c r="N216" s="64"/>
      <c r="O216" s="64"/>
      <c r="P216" s="64" t="s">
        <v>409</v>
      </c>
      <c r="Q216" s="64" t="s">
        <v>525</v>
      </c>
      <c r="R216" s="100" t="s">
        <v>859</v>
      </c>
      <c r="S216" s="65" t="s">
        <v>863</v>
      </c>
    </row>
    <row r="217" spans="1:19" s="1" customFormat="1" ht="15" customHeight="1" x14ac:dyDescent="0.25">
      <c r="A217" s="35">
        <v>42493</v>
      </c>
      <c r="B217" s="1" t="s">
        <v>66</v>
      </c>
      <c r="C217" s="1" t="s">
        <v>79</v>
      </c>
      <c r="D217" s="1" t="s">
        <v>1771</v>
      </c>
      <c r="E217" s="90" t="s">
        <v>523</v>
      </c>
      <c r="F217" s="64" t="s">
        <v>691</v>
      </c>
      <c r="G217" s="64" t="s">
        <v>701</v>
      </c>
      <c r="H217" s="89">
        <v>48.32855</v>
      </c>
      <c r="I217" s="89">
        <v>-122.50796666666666</v>
      </c>
      <c r="J217" s="89">
        <v>48.328183333333335</v>
      </c>
      <c r="K217" s="89">
        <v>-122.50656666666667</v>
      </c>
      <c r="L217" s="73" t="s">
        <v>148</v>
      </c>
      <c r="M217" s="63">
        <v>-1.0363199999999997</v>
      </c>
      <c r="N217" s="64"/>
      <c r="O217" s="64"/>
      <c r="P217" s="64" t="s">
        <v>291</v>
      </c>
      <c r="Q217" s="64" t="s">
        <v>372</v>
      </c>
      <c r="R217" s="100" t="s">
        <v>847</v>
      </c>
      <c r="S217" s="65" t="s">
        <v>853</v>
      </c>
    </row>
    <row r="218" spans="1:19" s="1" customFormat="1" ht="15" customHeight="1" x14ac:dyDescent="0.25">
      <c r="A218" s="35">
        <v>42493</v>
      </c>
      <c r="B218" s="1" t="s">
        <v>66</v>
      </c>
      <c r="C218" s="1" t="s">
        <v>79</v>
      </c>
      <c r="D218" s="1" t="s">
        <v>1780</v>
      </c>
      <c r="E218" s="90" t="s">
        <v>523</v>
      </c>
      <c r="F218" s="64" t="s">
        <v>412</v>
      </c>
      <c r="G218" s="64" t="s">
        <v>701</v>
      </c>
      <c r="H218" s="89">
        <v>48.3429</v>
      </c>
      <c r="I218" s="89">
        <v>-122.53716666666666</v>
      </c>
      <c r="J218" s="89"/>
      <c r="K218" s="89"/>
      <c r="L218" s="73" t="s">
        <v>148</v>
      </c>
      <c r="M218" s="69">
        <v>-0.94488000000000005</v>
      </c>
      <c r="N218" s="64"/>
      <c r="O218" s="64"/>
      <c r="P218" s="64" t="s">
        <v>291</v>
      </c>
      <c r="Q218" s="64" t="s">
        <v>372</v>
      </c>
      <c r="R218" s="100" t="s">
        <v>850</v>
      </c>
      <c r="S218" s="65" t="s">
        <v>853</v>
      </c>
    </row>
    <row r="219" spans="1:19" s="1" customFormat="1" ht="15" customHeight="1" x14ac:dyDescent="0.25">
      <c r="A219" s="35">
        <v>42493</v>
      </c>
      <c r="B219" s="1" t="s">
        <v>66</v>
      </c>
      <c r="C219" s="1" t="s">
        <v>79</v>
      </c>
      <c r="D219" s="1" t="s">
        <v>1781</v>
      </c>
      <c r="E219" s="90" t="s">
        <v>523</v>
      </c>
      <c r="F219" s="64" t="s">
        <v>412</v>
      </c>
      <c r="G219" s="64" t="s">
        <v>701</v>
      </c>
      <c r="H219" s="89">
        <v>48.344050000000003</v>
      </c>
      <c r="I219" s="89">
        <v>-122.53873333333334</v>
      </c>
      <c r="J219" s="89"/>
      <c r="K219" s="89"/>
      <c r="L219" s="73" t="s">
        <v>148</v>
      </c>
      <c r="M219" s="69">
        <v>-0.64007999999999998</v>
      </c>
      <c r="N219" s="64"/>
      <c r="O219" s="64"/>
      <c r="P219" s="64" t="s">
        <v>291</v>
      </c>
      <c r="Q219" s="64" t="s">
        <v>372</v>
      </c>
      <c r="R219" s="100" t="s">
        <v>849</v>
      </c>
      <c r="S219" s="65" t="s">
        <v>853</v>
      </c>
    </row>
    <row r="220" spans="1:19" s="1" customFormat="1" ht="15" customHeight="1" x14ac:dyDescent="0.25">
      <c r="A220" s="35">
        <v>42493</v>
      </c>
      <c r="B220" s="1" t="s">
        <v>66</v>
      </c>
      <c r="C220" s="1" t="s">
        <v>79</v>
      </c>
      <c r="D220" s="1" t="s">
        <v>1782</v>
      </c>
      <c r="E220" s="90" t="s">
        <v>523</v>
      </c>
      <c r="F220" s="64" t="s">
        <v>412</v>
      </c>
      <c r="G220" s="64" t="s">
        <v>701</v>
      </c>
      <c r="H220" s="89">
        <v>48.344666666666669</v>
      </c>
      <c r="I220" s="89">
        <v>-122.5384</v>
      </c>
      <c r="J220" s="89"/>
      <c r="K220" s="89"/>
      <c r="L220" s="73" t="s">
        <v>148</v>
      </c>
      <c r="M220" s="69">
        <v>-0.57911999999999986</v>
      </c>
      <c r="N220" s="64"/>
      <c r="O220" s="64"/>
      <c r="P220" s="64" t="s">
        <v>291</v>
      </c>
      <c r="Q220" s="64" t="s">
        <v>372</v>
      </c>
      <c r="R220" s="100" t="s">
        <v>285</v>
      </c>
      <c r="S220" s="65" t="s">
        <v>853</v>
      </c>
    </row>
    <row r="221" spans="1:19" s="1" customFormat="1" ht="15" customHeight="1" x14ac:dyDescent="0.25">
      <c r="A221" s="35">
        <v>42493</v>
      </c>
      <c r="B221" s="1" t="s">
        <v>66</v>
      </c>
      <c r="C221" s="1" t="s">
        <v>79</v>
      </c>
      <c r="D221" s="1" t="s">
        <v>1783</v>
      </c>
      <c r="E221" s="90" t="s">
        <v>523</v>
      </c>
      <c r="F221" s="64" t="s">
        <v>412</v>
      </c>
      <c r="G221" s="64" t="s">
        <v>701</v>
      </c>
      <c r="H221" s="89">
        <v>48.34525</v>
      </c>
      <c r="I221" s="89">
        <v>-122.54025</v>
      </c>
      <c r="J221" s="89"/>
      <c r="K221" s="89"/>
      <c r="L221" s="73" t="s">
        <v>148</v>
      </c>
      <c r="M221" s="69"/>
      <c r="N221" s="64"/>
      <c r="O221" s="64"/>
      <c r="P221" s="64" t="s">
        <v>291</v>
      </c>
      <c r="Q221" s="64" t="s">
        <v>372</v>
      </c>
      <c r="R221" s="100" t="s">
        <v>845</v>
      </c>
      <c r="S221" s="65" t="s">
        <v>853</v>
      </c>
    </row>
    <row r="222" spans="1:19" s="1" customFormat="1" ht="15" customHeight="1" x14ac:dyDescent="0.25">
      <c r="A222" s="35">
        <v>42493</v>
      </c>
      <c r="B222" s="1" t="s">
        <v>66</v>
      </c>
      <c r="C222" s="1" t="s">
        <v>79</v>
      </c>
      <c r="D222" s="1" t="s">
        <v>1784</v>
      </c>
      <c r="E222" s="90" t="s">
        <v>523</v>
      </c>
      <c r="F222" s="64" t="s">
        <v>412</v>
      </c>
      <c r="G222" s="64" t="s">
        <v>701</v>
      </c>
      <c r="H222" s="89">
        <v>48.345366666666663</v>
      </c>
      <c r="I222" s="89">
        <v>-122.54133333333333</v>
      </c>
      <c r="J222" s="89"/>
      <c r="K222" s="89"/>
      <c r="L222" s="73" t="s">
        <v>148</v>
      </c>
      <c r="M222" s="69">
        <v>-0.76200000000000001</v>
      </c>
      <c r="N222" s="64"/>
      <c r="O222" s="64"/>
      <c r="P222" s="64" t="s">
        <v>291</v>
      </c>
      <c r="Q222" s="64" t="s">
        <v>372</v>
      </c>
      <c r="R222" s="100" t="s">
        <v>844</v>
      </c>
      <c r="S222" s="65" t="s">
        <v>853</v>
      </c>
    </row>
    <row r="223" spans="1:19" s="1" customFormat="1" ht="15" customHeight="1" x14ac:dyDescent="0.25">
      <c r="A223" s="35">
        <v>42493</v>
      </c>
      <c r="B223" s="1" t="s">
        <v>66</v>
      </c>
      <c r="C223" s="1" t="s">
        <v>79</v>
      </c>
      <c r="D223" s="1" t="s">
        <v>1785</v>
      </c>
      <c r="E223" s="90" t="s">
        <v>523</v>
      </c>
      <c r="F223" s="64" t="s">
        <v>412</v>
      </c>
      <c r="G223" s="64" t="s">
        <v>701</v>
      </c>
      <c r="H223" s="89">
        <v>48.347183333333334</v>
      </c>
      <c r="I223" s="89">
        <v>-122.54228333333333</v>
      </c>
      <c r="J223" s="89"/>
      <c r="K223" s="89"/>
      <c r="L223" s="73" t="s">
        <v>148</v>
      </c>
      <c r="M223" s="69"/>
      <c r="N223" s="64"/>
      <c r="O223" s="64"/>
      <c r="P223" s="64" t="s">
        <v>409</v>
      </c>
      <c r="Q223" s="64" t="s">
        <v>525</v>
      </c>
      <c r="R223" s="100" t="s">
        <v>286</v>
      </c>
      <c r="S223" s="65" t="s">
        <v>853</v>
      </c>
    </row>
    <row r="224" spans="1:19" s="1" customFormat="1" ht="15" customHeight="1" x14ac:dyDescent="0.25">
      <c r="A224" s="35">
        <v>42493</v>
      </c>
      <c r="B224" s="1" t="s">
        <v>66</v>
      </c>
      <c r="C224" s="1" t="s">
        <v>79</v>
      </c>
      <c r="D224" s="1" t="s">
        <v>1786</v>
      </c>
      <c r="E224" s="90" t="s">
        <v>523</v>
      </c>
      <c r="F224" s="64" t="s">
        <v>412</v>
      </c>
      <c r="G224" s="64" t="s">
        <v>701</v>
      </c>
      <c r="H224" s="89">
        <v>48.34811666666667</v>
      </c>
      <c r="I224" s="89">
        <v>-122.54281666666667</v>
      </c>
      <c r="J224" s="89"/>
      <c r="K224" s="89"/>
      <c r="L224" s="73" t="s">
        <v>148</v>
      </c>
      <c r="M224" s="69"/>
      <c r="N224" s="64"/>
      <c r="O224" s="64"/>
      <c r="P224" s="64" t="s">
        <v>291</v>
      </c>
      <c r="Q224" s="64" t="s">
        <v>372</v>
      </c>
      <c r="R224" s="100" t="s">
        <v>287</v>
      </c>
      <c r="S224" s="65" t="s">
        <v>853</v>
      </c>
    </row>
    <row r="225" spans="1:26" s="1" customFormat="1" ht="15" customHeight="1" x14ac:dyDescent="0.25">
      <c r="A225" s="35">
        <v>42493</v>
      </c>
      <c r="B225" s="1" t="s">
        <v>66</v>
      </c>
      <c r="C225" s="1" t="s">
        <v>79</v>
      </c>
      <c r="D225" s="1" t="s">
        <v>1787</v>
      </c>
      <c r="E225" s="90" t="s">
        <v>523</v>
      </c>
      <c r="F225" s="64" t="s">
        <v>412</v>
      </c>
      <c r="G225" s="64" t="s">
        <v>701</v>
      </c>
      <c r="H225" s="89">
        <v>48.348616666666665</v>
      </c>
      <c r="I225" s="89">
        <v>-122.54461666666667</v>
      </c>
      <c r="J225" s="89"/>
      <c r="K225" s="89"/>
      <c r="L225" s="73" t="s">
        <v>148</v>
      </c>
      <c r="M225" s="69">
        <v>-0.73152000000000006</v>
      </c>
      <c r="N225" s="64"/>
      <c r="O225" s="64"/>
      <c r="P225" s="64" t="s">
        <v>291</v>
      </c>
      <c r="Q225" s="64" t="s">
        <v>372</v>
      </c>
      <c r="R225" s="100" t="s">
        <v>288</v>
      </c>
      <c r="S225" s="65" t="s">
        <v>853</v>
      </c>
    </row>
    <row r="226" spans="1:26" s="1" customFormat="1" ht="15" customHeight="1" x14ac:dyDescent="0.25">
      <c r="A226" s="35">
        <v>42493</v>
      </c>
      <c r="B226" s="1" t="s">
        <v>66</v>
      </c>
      <c r="C226" s="1" t="s">
        <v>79</v>
      </c>
      <c r="D226" s="1" t="s">
        <v>1788</v>
      </c>
      <c r="E226" s="90" t="s">
        <v>523</v>
      </c>
      <c r="F226" s="64" t="s">
        <v>412</v>
      </c>
      <c r="G226" s="64" t="s">
        <v>701</v>
      </c>
      <c r="H226" s="89">
        <v>48.349649999999997</v>
      </c>
      <c r="I226" s="89">
        <v>-122.54604999999999</v>
      </c>
      <c r="J226" s="89"/>
      <c r="K226" s="89"/>
      <c r="L226" s="73" t="s">
        <v>148</v>
      </c>
      <c r="M226" s="69">
        <v>-0.57912000000000008</v>
      </c>
      <c r="N226" s="64"/>
      <c r="O226" s="64"/>
      <c r="P226" s="64" t="s">
        <v>291</v>
      </c>
      <c r="Q226" s="64" t="s">
        <v>372</v>
      </c>
      <c r="R226" s="100" t="s">
        <v>842</v>
      </c>
      <c r="S226" s="65" t="s">
        <v>853</v>
      </c>
    </row>
    <row r="227" spans="1:26" s="1" customFormat="1" ht="15" customHeight="1" x14ac:dyDescent="0.25">
      <c r="A227" s="35">
        <v>42493</v>
      </c>
      <c r="B227" s="1" t="s">
        <v>66</v>
      </c>
      <c r="C227" s="1" t="s">
        <v>79</v>
      </c>
      <c r="D227" s="1" t="s">
        <v>1789</v>
      </c>
      <c r="E227" s="90" t="s">
        <v>523</v>
      </c>
      <c r="F227" s="64" t="s">
        <v>412</v>
      </c>
      <c r="G227" s="64" t="s">
        <v>701</v>
      </c>
      <c r="H227" s="89">
        <v>48.353549999999998</v>
      </c>
      <c r="I227" s="89">
        <v>-122.54665</v>
      </c>
      <c r="J227" s="89"/>
      <c r="K227" s="89"/>
      <c r="L227" s="73" t="s">
        <v>148</v>
      </c>
      <c r="M227" s="69">
        <v>-0.48767999999999989</v>
      </c>
      <c r="N227" s="64"/>
      <c r="O227" s="64"/>
      <c r="P227" s="64" t="s">
        <v>291</v>
      </c>
      <c r="Q227" s="64" t="s">
        <v>372</v>
      </c>
      <c r="R227" s="100" t="s">
        <v>289</v>
      </c>
      <c r="S227" s="65" t="s">
        <v>853</v>
      </c>
    </row>
    <row r="228" spans="1:26" s="1" customFormat="1" ht="15" customHeight="1" x14ac:dyDescent="0.25">
      <c r="A228" s="35">
        <v>42493</v>
      </c>
      <c r="B228" s="1" t="s">
        <v>66</v>
      </c>
      <c r="C228" s="1" t="s">
        <v>79</v>
      </c>
      <c r="D228" s="1" t="s">
        <v>1772</v>
      </c>
      <c r="E228" s="90" t="s">
        <v>523</v>
      </c>
      <c r="F228" s="64" t="s">
        <v>691</v>
      </c>
      <c r="G228" s="64" t="s">
        <v>701</v>
      </c>
      <c r="H228" s="89">
        <v>48.329616666666666</v>
      </c>
      <c r="I228" s="89">
        <v>-122.50960000000001</v>
      </c>
      <c r="J228" s="89">
        <v>48.329116666666664</v>
      </c>
      <c r="K228" s="89">
        <v>-122.50846666666666</v>
      </c>
      <c r="L228" s="73" t="s">
        <v>148</v>
      </c>
      <c r="M228" s="63">
        <v>-0.91439999999999999</v>
      </c>
      <c r="N228" s="64"/>
      <c r="O228" s="64"/>
      <c r="P228" s="64" t="s">
        <v>291</v>
      </c>
      <c r="Q228" s="64" t="s">
        <v>372</v>
      </c>
      <c r="R228" s="100" t="s">
        <v>846</v>
      </c>
      <c r="S228" s="65" t="s">
        <v>853</v>
      </c>
    </row>
    <row r="229" spans="1:26" s="1" customFormat="1" ht="15" customHeight="1" x14ac:dyDescent="0.25">
      <c r="A229" s="35">
        <v>42493</v>
      </c>
      <c r="B229" s="1" t="s">
        <v>66</v>
      </c>
      <c r="C229" s="1" t="s">
        <v>79</v>
      </c>
      <c r="D229" s="1" t="s">
        <v>1790</v>
      </c>
      <c r="E229" s="90" t="s">
        <v>523</v>
      </c>
      <c r="F229" s="64" t="s">
        <v>412</v>
      </c>
      <c r="G229" s="64" t="s">
        <v>701</v>
      </c>
      <c r="H229" s="89">
        <v>48.354316666666669</v>
      </c>
      <c r="I229" s="89">
        <v>-122.5498</v>
      </c>
      <c r="J229" s="89"/>
      <c r="K229" s="89"/>
      <c r="L229" s="73" t="s">
        <v>148</v>
      </c>
      <c r="M229" s="69">
        <v>-9.1439999999999938E-2</v>
      </c>
      <c r="N229" s="64"/>
      <c r="O229" s="64"/>
      <c r="P229" s="64" t="s">
        <v>291</v>
      </c>
      <c r="Q229" s="64" t="s">
        <v>372</v>
      </c>
      <c r="R229" s="100" t="s">
        <v>290</v>
      </c>
      <c r="S229" s="65" t="s">
        <v>853</v>
      </c>
    </row>
    <row r="230" spans="1:26" s="1" customFormat="1" ht="15" customHeight="1" x14ac:dyDescent="0.25">
      <c r="A230" s="35">
        <v>42493</v>
      </c>
      <c r="B230" s="1" t="s">
        <v>66</v>
      </c>
      <c r="C230" s="1" t="s">
        <v>79</v>
      </c>
      <c r="D230" s="1" t="s">
        <v>1791</v>
      </c>
      <c r="E230" s="90" t="s">
        <v>523</v>
      </c>
      <c r="F230" s="64" t="s">
        <v>412</v>
      </c>
      <c r="G230" s="64" t="s">
        <v>701</v>
      </c>
      <c r="H230" s="89">
        <v>48.360766666666663</v>
      </c>
      <c r="I230" s="89">
        <v>-122.55070000000001</v>
      </c>
      <c r="J230" s="89"/>
      <c r="K230" s="89"/>
      <c r="L230" s="73" t="s">
        <v>148</v>
      </c>
      <c r="M230" s="69">
        <v>-6.0959999999999785E-2</v>
      </c>
      <c r="N230" s="64"/>
      <c r="O230" s="64"/>
      <c r="P230" s="64" t="s">
        <v>291</v>
      </c>
      <c r="Q230" s="64" t="s">
        <v>372</v>
      </c>
      <c r="R230" s="100" t="s">
        <v>292</v>
      </c>
      <c r="S230" s="65" t="s">
        <v>853</v>
      </c>
    </row>
    <row r="231" spans="1:26" s="1" customFormat="1" ht="15" customHeight="1" x14ac:dyDescent="0.25">
      <c r="A231" s="35">
        <v>42493</v>
      </c>
      <c r="B231" s="1" t="s">
        <v>66</v>
      </c>
      <c r="C231" s="1" t="s">
        <v>79</v>
      </c>
      <c r="D231" s="1" t="s">
        <v>1773</v>
      </c>
      <c r="E231" s="90" t="s">
        <v>523</v>
      </c>
      <c r="F231" s="64" t="s">
        <v>412</v>
      </c>
      <c r="G231" s="64" t="s">
        <v>701</v>
      </c>
      <c r="H231" s="89">
        <v>48.332749999999997</v>
      </c>
      <c r="I231" s="89">
        <v>-122.49886666666667</v>
      </c>
      <c r="J231" s="89"/>
      <c r="K231" s="89"/>
      <c r="L231" s="73" t="s">
        <v>148</v>
      </c>
      <c r="M231" s="69">
        <v>-0.4572</v>
      </c>
      <c r="N231" s="64" t="s">
        <v>785</v>
      </c>
      <c r="O231" s="64"/>
      <c r="P231" s="64" t="s">
        <v>409</v>
      </c>
      <c r="Q231" s="64" t="s">
        <v>524</v>
      </c>
      <c r="R231" s="100" t="s">
        <v>852</v>
      </c>
      <c r="S231" s="65" t="s">
        <v>853</v>
      </c>
    </row>
    <row r="232" spans="1:26" s="1" customFormat="1" ht="15" customHeight="1" x14ac:dyDescent="0.25">
      <c r="A232" s="35">
        <v>42493</v>
      </c>
      <c r="B232" s="1" t="s">
        <v>66</v>
      </c>
      <c r="C232" s="1" t="s">
        <v>79</v>
      </c>
      <c r="D232" s="1" t="s">
        <v>1774</v>
      </c>
      <c r="E232" s="90" t="s">
        <v>523</v>
      </c>
      <c r="F232" s="64" t="s">
        <v>412</v>
      </c>
      <c r="G232" s="64" t="s">
        <v>701</v>
      </c>
      <c r="H232" s="89">
        <v>48.335216666666668</v>
      </c>
      <c r="I232" s="89">
        <v>-122.5073</v>
      </c>
      <c r="J232" s="89"/>
      <c r="K232" s="89"/>
      <c r="L232" s="73" t="s">
        <v>148</v>
      </c>
      <c r="M232" s="69">
        <v>-0.48768000000000017</v>
      </c>
      <c r="N232" s="64"/>
      <c r="O232" s="64"/>
      <c r="P232" s="64" t="s">
        <v>521</v>
      </c>
      <c r="Q232" s="64" t="s">
        <v>372</v>
      </c>
      <c r="R232" s="100" t="s">
        <v>293</v>
      </c>
      <c r="S232" s="65" t="s">
        <v>853</v>
      </c>
    </row>
    <row r="233" spans="1:26" s="1" customFormat="1" ht="15" customHeight="1" x14ac:dyDescent="0.25">
      <c r="A233" s="35">
        <v>42493</v>
      </c>
      <c r="B233" s="1" t="s">
        <v>66</v>
      </c>
      <c r="C233" s="1" t="s">
        <v>79</v>
      </c>
      <c r="D233" s="1" t="s">
        <v>1775</v>
      </c>
      <c r="E233" s="90" t="s">
        <v>523</v>
      </c>
      <c r="F233" s="64" t="s">
        <v>412</v>
      </c>
      <c r="G233" s="64" t="s">
        <v>701</v>
      </c>
      <c r="H233" s="89">
        <v>48.3354</v>
      </c>
      <c r="I233" s="89">
        <v>-122.52135</v>
      </c>
      <c r="J233" s="89"/>
      <c r="K233" s="89"/>
      <c r="L233" s="73" t="s">
        <v>148</v>
      </c>
      <c r="M233" s="69">
        <v>-0.64007999999999987</v>
      </c>
      <c r="N233" s="64" t="s">
        <v>785</v>
      </c>
      <c r="O233" s="64"/>
      <c r="P233" s="64" t="s">
        <v>291</v>
      </c>
      <c r="Q233" s="64" t="s">
        <v>372</v>
      </c>
      <c r="R233" s="100" t="s">
        <v>843</v>
      </c>
      <c r="S233" s="65" t="s">
        <v>853</v>
      </c>
    </row>
    <row r="234" spans="1:26" s="1" customFormat="1" ht="15" customHeight="1" x14ac:dyDescent="0.25">
      <c r="A234" s="35">
        <v>42493</v>
      </c>
      <c r="B234" s="1" t="s">
        <v>66</v>
      </c>
      <c r="C234" s="1" t="s">
        <v>79</v>
      </c>
      <c r="D234" s="1" t="s">
        <v>1776</v>
      </c>
      <c r="E234" s="90" t="s">
        <v>523</v>
      </c>
      <c r="F234" s="64" t="s">
        <v>412</v>
      </c>
      <c r="G234" s="64" t="s">
        <v>701</v>
      </c>
      <c r="H234" s="89">
        <v>48.335416666666667</v>
      </c>
      <c r="I234" s="89">
        <v>-122.52226666666667</v>
      </c>
      <c r="J234" s="89"/>
      <c r="K234" s="89"/>
      <c r="L234" s="73" t="s">
        <v>148</v>
      </c>
      <c r="M234" s="69">
        <v>-0.88392000000000015</v>
      </c>
      <c r="N234" s="64"/>
      <c r="O234" s="64"/>
      <c r="P234" s="64" t="s">
        <v>409</v>
      </c>
      <c r="Q234" s="64" t="s">
        <v>524</v>
      </c>
      <c r="R234" s="100" t="s">
        <v>89</v>
      </c>
      <c r="S234" s="65" t="s">
        <v>853</v>
      </c>
    </row>
    <row r="235" spans="1:26" s="1" customFormat="1" ht="15" customHeight="1" x14ac:dyDescent="0.25">
      <c r="A235" s="35">
        <v>42493</v>
      </c>
      <c r="B235" s="1" t="s">
        <v>66</v>
      </c>
      <c r="C235" s="1" t="s">
        <v>79</v>
      </c>
      <c r="D235" s="1" t="s">
        <v>1777</v>
      </c>
      <c r="E235" s="90" t="s">
        <v>523</v>
      </c>
      <c r="F235" s="64" t="s">
        <v>412</v>
      </c>
      <c r="G235" s="64" t="s">
        <v>701</v>
      </c>
      <c r="H235" s="89">
        <v>48.338533333333331</v>
      </c>
      <c r="I235" s="89">
        <v>-122.52998333333333</v>
      </c>
      <c r="J235" s="89"/>
      <c r="K235" s="89"/>
      <c r="L235" s="73" t="s">
        <v>148</v>
      </c>
      <c r="M235" s="69">
        <v>-0.97536</v>
      </c>
      <c r="N235" s="64"/>
      <c r="O235" s="64"/>
      <c r="P235" s="64" t="s">
        <v>291</v>
      </c>
      <c r="Q235" s="64" t="s">
        <v>372</v>
      </c>
      <c r="R235" s="100" t="s">
        <v>851</v>
      </c>
      <c r="S235" s="65" t="s">
        <v>853</v>
      </c>
    </row>
    <row r="236" spans="1:26" s="1" customFormat="1" ht="15" customHeight="1" x14ac:dyDescent="0.25">
      <c r="A236" s="35">
        <v>42493</v>
      </c>
      <c r="B236" s="1" t="s">
        <v>66</v>
      </c>
      <c r="C236" s="1" t="s">
        <v>79</v>
      </c>
      <c r="D236" s="1" t="s">
        <v>1778</v>
      </c>
      <c r="E236" s="90" t="s">
        <v>523</v>
      </c>
      <c r="F236" s="64" t="s">
        <v>412</v>
      </c>
      <c r="G236" s="64" t="s">
        <v>701</v>
      </c>
      <c r="H236" s="89">
        <v>48.34075</v>
      </c>
      <c r="I236" s="89">
        <v>-122.53286666666666</v>
      </c>
      <c r="J236" s="89"/>
      <c r="K236" s="89"/>
      <c r="L236" s="73" t="s">
        <v>148</v>
      </c>
      <c r="M236" s="69">
        <v>-0.48768</v>
      </c>
      <c r="N236" s="64"/>
      <c r="O236" s="64"/>
      <c r="P236" s="64" t="s">
        <v>291</v>
      </c>
      <c r="Q236" s="64" t="s">
        <v>372</v>
      </c>
      <c r="R236" s="100" t="s">
        <v>848</v>
      </c>
      <c r="S236" s="65" t="s">
        <v>853</v>
      </c>
    </row>
    <row r="237" spans="1:26" s="1" customFormat="1" ht="15" customHeight="1" x14ac:dyDescent="0.25">
      <c r="A237" s="35">
        <v>42493</v>
      </c>
      <c r="B237" s="1" t="s">
        <v>66</v>
      </c>
      <c r="C237" s="1" t="s">
        <v>79</v>
      </c>
      <c r="D237" s="1" t="s">
        <v>1779</v>
      </c>
      <c r="E237" s="90" t="s">
        <v>523</v>
      </c>
      <c r="F237" s="64" t="s">
        <v>412</v>
      </c>
      <c r="G237" s="64" t="s">
        <v>701</v>
      </c>
      <c r="H237" s="89">
        <v>48.340783333333334</v>
      </c>
      <c r="I237" s="89">
        <v>-122.5322</v>
      </c>
      <c r="J237" s="89"/>
      <c r="K237" s="89"/>
      <c r="L237" s="73" t="s">
        <v>148</v>
      </c>
      <c r="M237" s="69">
        <v>-0.60960000000000003</v>
      </c>
      <c r="N237" s="64"/>
      <c r="O237" s="64"/>
      <c r="P237" s="64" t="s">
        <v>521</v>
      </c>
      <c r="Q237" s="64" t="s">
        <v>372</v>
      </c>
      <c r="R237" s="100" t="s">
        <v>284</v>
      </c>
      <c r="S237" s="65" t="s">
        <v>853</v>
      </c>
    </row>
    <row r="238" spans="1:26" s="1" customFormat="1" ht="15" customHeight="1" x14ac:dyDescent="0.25">
      <c r="A238" s="35">
        <v>42550</v>
      </c>
      <c r="B238" s="1" t="s">
        <v>66</v>
      </c>
      <c r="C238" s="1" t="s">
        <v>145</v>
      </c>
      <c r="D238" s="1" t="s">
        <v>1725</v>
      </c>
      <c r="E238" s="90" t="s">
        <v>523</v>
      </c>
      <c r="F238" s="73" t="s">
        <v>691</v>
      </c>
      <c r="G238" s="90" t="s">
        <v>701</v>
      </c>
      <c r="H238" s="92">
        <v>47.793033333333334</v>
      </c>
      <c r="I238" s="92">
        <v>-122.85051666666666</v>
      </c>
      <c r="J238" s="95">
        <v>47.800600000000003</v>
      </c>
      <c r="K238" s="95">
        <v>-122.8481</v>
      </c>
      <c r="L238" s="73" t="s">
        <v>148</v>
      </c>
      <c r="M238" s="63">
        <v>-2.2555200000000002</v>
      </c>
      <c r="N238" s="90"/>
      <c r="O238" s="90" t="s">
        <v>781</v>
      </c>
      <c r="P238" s="90" t="s">
        <v>409</v>
      </c>
      <c r="Q238" s="90" t="s">
        <v>525</v>
      </c>
      <c r="R238" s="103" t="s">
        <v>765</v>
      </c>
      <c r="S238" s="131" t="s">
        <v>769</v>
      </c>
    </row>
    <row r="239" spans="1:26" s="1" customFormat="1" ht="15" customHeight="1" x14ac:dyDescent="0.25">
      <c r="A239" s="35">
        <v>42550</v>
      </c>
      <c r="B239" s="1" t="s">
        <v>66</v>
      </c>
      <c r="C239" s="1" t="s">
        <v>145</v>
      </c>
      <c r="D239" s="1" t="s">
        <v>1734</v>
      </c>
      <c r="E239" s="90" t="s">
        <v>523</v>
      </c>
      <c r="F239" s="73" t="s">
        <v>412</v>
      </c>
      <c r="G239" s="90" t="s">
        <v>701</v>
      </c>
      <c r="H239" s="92">
        <v>47.802433333333333</v>
      </c>
      <c r="I239" s="92">
        <v>-122.85243333333334</v>
      </c>
      <c r="J239" s="95"/>
      <c r="K239" s="95"/>
      <c r="L239" s="73" t="s">
        <v>148</v>
      </c>
      <c r="M239" s="63">
        <v>-2.1335999999999999</v>
      </c>
      <c r="N239" s="90"/>
      <c r="O239" s="90"/>
      <c r="P239" s="90" t="s">
        <v>521</v>
      </c>
      <c r="Q239" s="90" t="s">
        <v>372</v>
      </c>
      <c r="R239" s="103" t="s">
        <v>764</v>
      </c>
      <c r="S239" s="131" t="s">
        <v>769</v>
      </c>
    </row>
    <row r="240" spans="1:26" ht="15" customHeight="1" x14ac:dyDescent="0.25">
      <c r="A240" s="35">
        <v>42550</v>
      </c>
      <c r="B240" s="1" t="s">
        <v>66</v>
      </c>
      <c r="C240" s="1" t="s">
        <v>145</v>
      </c>
      <c r="D240" s="1" t="s">
        <v>1726</v>
      </c>
      <c r="E240" s="90" t="s">
        <v>523</v>
      </c>
      <c r="F240" s="73" t="s">
        <v>412</v>
      </c>
      <c r="G240" s="90" t="s">
        <v>701</v>
      </c>
      <c r="H240" s="92">
        <v>47.779816666666669</v>
      </c>
      <c r="I240" s="92">
        <v>-122.85096666666666</v>
      </c>
      <c r="J240" s="95"/>
      <c r="K240" s="95"/>
      <c r="L240" s="73" t="s">
        <v>148</v>
      </c>
      <c r="M240" s="63">
        <v>-1.85928</v>
      </c>
      <c r="N240" s="90"/>
      <c r="O240" s="90"/>
      <c r="P240" s="90" t="s">
        <v>522</v>
      </c>
      <c r="Q240" s="90" t="s">
        <v>372</v>
      </c>
      <c r="R240" s="104" t="s">
        <v>80</v>
      </c>
      <c r="S240" s="131" t="s">
        <v>769</v>
      </c>
      <c r="T240" s="1"/>
      <c r="U240" s="1"/>
      <c r="V240" s="1"/>
      <c r="W240" s="1"/>
      <c r="X240" s="1"/>
      <c r="Y240" s="1"/>
      <c r="Z240" s="1"/>
    </row>
    <row r="241" spans="1:19" s="1" customFormat="1" ht="15" customHeight="1" x14ac:dyDescent="0.25">
      <c r="A241" s="35">
        <v>42550</v>
      </c>
      <c r="B241" s="1" t="s">
        <v>66</v>
      </c>
      <c r="C241" s="1" t="s">
        <v>145</v>
      </c>
      <c r="D241" s="1" t="s">
        <v>1727</v>
      </c>
      <c r="E241" s="90" t="s">
        <v>523</v>
      </c>
      <c r="F241" s="73" t="s">
        <v>412</v>
      </c>
      <c r="G241" s="90" t="s">
        <v>701</v>
      </c>
      <c r="H241" s="92">
        <v>47.795349999999999</v>
      </c>
      <c r="I241" s="92">
        <v>-122.85033333333334</v>
      </c>
      <c r="J241" s="95"/>
      <c r="K241" s="95"/>
      <c r="L241" s="73" t="s">
        <v>148</v>
      </c>
      <c r="M241" s="63">
        <v>-0.88392000000000004</v>
      </c>
      <c r="N241" s="90"/>
      <c r="O241" s="90"/>
      <c r="P241" s="90" t="s">
        <v>521</v>
      </c>
      <c r="Q241" s="90" t="s">
        <v>372</v>
      </c>
      <c r="R241" s="103" t="s">
        <v>766</v>
      </c>
      <c r="S241" s="131" t="s">
        <v>769</v>
      </c>
    </row>
    <row r="242" spans="1:19" s="1" customFormat="1" ht="15" customHeight="1" x14ac:dyDescent="0.25">
      <c r="A242" s="35">
        <v>42550</v>
      </c>
      <c r="B242" s="1" t="s">
        <v>66</v>
      </c>
      <c r="C242" s="1" t="s">
        <v>145</v>
      </c>
      <c r="D242" s="1" t="s">
        <v>1728</v>
      </c>
      <c r="E242" s="90" t="s">
        <v>523</v>
      </c>
      <c r="F242" s="73" t="s">
        <v>412</v>
      </c>
      <c r="G242" s="90" t="s">
        <v>701</v>
      </c>
      <c r="H242" s="91">
        <v>47.801450000000003</v>
      </c>
      <c r="I242" s="92">
        <v>-122.84756666666667</v>
      </c>
      <c r="J242" s="95"/>
      <c r="K242" s="95"/>
      <c r="L242" s="73" t="s">
        <v>148</v>
      </c>
      <c r="M242" s="63">
        <v>-0.15240000000000001</v>
      </c>
      <c r="N242" s="90"/>
      <c r="O242" s="90"/>
      <c r="P242" s="90" t="s">
        <v>521</v>
      </c>
      <c r="Q242" s="90" t="s">
        <v>372</v>
      </c>
      <c r="R242" s="103" t="s">
        <v>761</v>
      </c>
      <c r="S242" s="131" t="s">
        <v>769</v>
      </c>
    </row>
    <row r="243" spans="1:19" s="1" customFormat="1" ht="15" customHeight="1" x14ac:dyDescent="0.25">
      <c r="A243" s="35">
        <v>42550</v>
      </c>
      <c r="B243" s="1" t="s">
        <v>66</v>
      </c>
      <c r="C243" s="1" t="s">
        <v>145</v>
      </c>
      <c r="D243" s="1" t="s">
        <v>1729</v>
      </c>
      <c r="E243" s="90" t="s">
        <v>523</v>
      </c>
      <c r="F243" s="73" t="s">
        <v>412</v>
      </c>
      <c r="G243" s="90" t="s">
        <v>701</v>
      </c>
      <c r="H243" s="92">
        <v>47.801666666666669</v>
      </c>
      <c r="I243" s="92">
        <v>-122.84828333333333</v>
      </c>
      <c r="J243" s="95"/>
      <c r="K243" s="95"/>
      <c r="L243" s="73" t="s">
        <v>148</v>
      </c>
      <c r="M243" s="63">
        <v>-1.0058400000000001</v>
      </c>
      <c r="N243" s="90"/>
      <c r="O243" s="90"/>
      <c r="P243" s="90" t="s">
        <v>291</v>
      </c>
      <c r="Q243" s="90" t="s">
        <v>372</v>
      </c>
      <c r="R243" s="103" t="s">
        <v>767</v>
      </c>
      <c r="S243" s="131" t="s">
        <v>769</v>
      </c>
    </row>
    <row r="244" spans="1:19" s="1" customFormat="1" ht="15" customHeight="1" x14ac:dyDescent="0.25">
      <c r="A244" s="35">
        <v>42550</v>
      </c>
      <c r="B244" s="1" t="s">
        <v>66</v>
      </c>
      <c r="C244" s="1" t="s">
        <v>145</v>
      </c>
      <c r="D244" s="1" t="s">
        <v>1730</v>
      </c>
      <c r="E244" s="90" t="s">
        <v>523</v>
      </c>
      <c r="F244" s="73" t="s">
        <v>412</v>
      </c>
      <c r="G244" s="90" t="s">
        <v>701</v>
      </c>
      <c r="H244" s="92">
        <v>47.801733333333331</v>
      </c>
      <c r="I244" s="92">
        <v>-122.84851666666667</v>
      </c>
      <c r="J244" s="95"/>
      <c r="K244" s="95"/>
      <c r="L244" s="73" t="s">
        <v>148</v>
      </c>
      <c r="M244" s="63">
        <v>-1.8288</v>
      </c>
      <c r="N244" s="90"/>
      <c r="O244" s="90"/>
      <c r="P244" s="90" t="s">
        <v>291</v>
      </c>
      <c r="Q244" s="90" t="s">
        <v>372</v>
      </c>
      <c r="R244" s="103" t="s">
        <v>768</v>
      </c>
      <c r="S244" s="131" t="s">
        <v>769</v>
      </c>
    </row>
    <row r="245" spans="1:19" s="1" customFormat="1" ht="15" customHeight="1" x14ac:dyDescent="0.25">
      <c r="A245" s="35">
        <v>42550</v>
      </c>
      <c r="B245" s="1" t="s">
        <v>66</v>
      </c>
      <c r="C245" s="1" t="s">
        <v>145</v>
      </c>
      <c r="D245" s="1" t="s">
        <v>1731</v>
      </c>
      <c r="E245" s="90" t="s">
        <v>523</v>
      </c>
      <c r="F245" s="73" t="s">
        <v>412</v>
      </c>
      <c r="G245" s="90" t="s">
        <v>701</v>
      </c>
      <c r="H245" s="92">
        <v>47.801916666666664</v>
      </c>
      <c r="I245" s="92">
        <v>-122.85235</v>
      </c>
      <c r="J245" s="95"/>
      <c r="K245" s="95"/>
      <c r="L245" s="73" t="s">
        <v>148</v>
      </c>
      <c r="M245" s="63">
        <v>-2.9260799999999998</v>
      </c>
      <c r="N245" s="90"/>
      <c r="O245" s="90"/>
      <c r="P245" s="90" t="s">
        <v>409</v>
      </c>
      <c r="Q245" s="90" t="s">
        <v>524</v>
      </c>
      <c r="R245" s="103" t="s">
        <v>763</v>
      </c>
      <c r="S245" s="131" t="s">
        <v>769</v>
      </c>
    </row>
    <row r="246" spans="1:19" s="1" customFormat="1" ht="15" customHeight="1" x14ac:dyDescent="0.25">
      <c r="A246" s="35">
        <v>42550</v>
      </c>
      <c r="B246" s="1" t="s">
        <v>66</v>
      </c>
      <c r="C246" s="1" t="s">
        <v>145</v>
      </c>
      <c r="D246" s="1" t="s">
        <v>1732</v>
      </c>
      <c r="E246" s="90" t="s">
        <v>523</v>
      </c>
      <c r="F246" s="73" t="s">
        <v>412</v>
      </c>
      <c r="G246" s="90" t="s">
        <v>701</v>
      </c>
      <c r="H246" s="92">
        <v>47.802066666666668</v>
      </c>
      <c r="I246" s="92">
        <v>-122.8493</v>
      </c>
      <c r="J246" s="95"/>
      <c r="K246" s="95"/>
      <c r="L246" s="73" t="s">
        <v>148</v>
      </c>
      <c r="M246" s="63">
        <v>-1.18872</v>
      </c>
      <c r="N246" s="90"/>
      <c r="O246" s="90"/>
      <c r="P246" s="90" t="s">
        <v>521</v>
      </c>
      <c r="Q246" s="90" t="s">
        <v>372</v>
      </c>
      <c r="R246" s="103" t="s">
        <v>295</v>
      </c>
      <c r="S246" s="131" t="s">
        <v>769</v>
      </c>
    </row>
    <row r="247" spans="1:19" s="1" customFormat="1" ht="15" customHeight="1" x14ac:dyDescent="0.25">
      <c r="A247" s="35">
        <v>42550</v>
      </c>
      <c r="B247" s="1" t="s">
        <v>66</v>
      </c>
      <c r="C247" s="1" t="s">
        <v>145</v>
      </c>
      <c r="D247" s="1" t="s">
        <v>1733</v>
      </c>
      <c r="E247" s="90" t="s">
        <v>523</v>
      </c>
      <c r="F247" s="73" t="s">
        <v>412</v>
      </c>
      <c r="G247" s="90" t="s">
        <v>701</v>
      </c>
      <c r="H247" s="92">
        <v>47.802283333333335</v>
      </c>
      <c r="I247" s="92">
        <v>-122.86683333333333</v>
      </c>
      <c r="J247" s="95"/>
      <c r="K247" s="95"/>
      <c r="L247" s="73" t="s">
        <v>148</v>
      </c>
      <c r="M247" s="63">
        <v>-1.31064</v>
      </c>
      <c r="N247" s="90"/>
      <c r="O247" s="90"/>
      <c r="P247" s="90" t="s">
        <v>291</v>
      </c>
      <c r="Q247" s="90" t="s">
        <v>372</v>
      </c>
      <c r="R247" s="103" t="s">
        <v>762</v>
      </c>
      <c r="S247" s="131" t="s">
        <v>769</v>
      </c>
    </row>
    <row r="248" spans="1:19" s="1" customFormat="1" ht="15" customHeight="1" x14ac:dyDescent="0.25">
      <c r="A248" s="35">
        <v>42626</v>
      </c>
      <c r="B248" s="1" t="s">
        <v>58</v>
      </c>
      <c r="C248" s="1" t="s">
        <v>296</v>
      </c>
      <c r="D248" s="1" t="s">
        <v>1620</v>
      </c>
      <c r="E248" s="90" t="s">
        <v>523</v>
      </c>
      <c r="F248" s="73" t="s">
        <v>412</v>
      </c>
      <c r="G248" s="90" t="s">
        <v>701</v>
      </c>
      <c r="H248" s="91">
        <v>47.269367000000003</v>
      </c>
      <c r="I248" s="91">
        <v>-122.6431</v>
      </c>
      <c r="J248" s="95"/>
      <c r="K248" s="95"/>
      <c r="L248" s="73" t="s">
        <v>148</v>
      </c>
      <c r="M248" s="71"/>
      <c r="N248" s="90"/>
      <c r="O248" s="90" t="s">
        <v>89</v>
      </c>
      <c r="P248" s="90" t="s">
        <v>409</v>
      </c>
      <c r="Q248" s="96" t="s">
        <v>294</v>
      </c>
      <c r="R248" s="100" t="s">
        <v>304</v>
      </c>
      <c r="S248" s="131" t="s">
        <v>840</v>
      </c>
    </row>
    <row r="249" spans="1:19" s="1" customFormat="1" ht="15" customHeight="1" x14ac:dyDescent="0.25">
      <c r="A249" s="35">
        <v>42626</v>
      </c>
      <c r="B249" s="1" t="s">
        <v>58</v>
      </c>
      <c r="C249" s="1" t="s">
        <v>296</v>
      </c>
      <c r="D249" s="1" t="s">
        <v>1630</v>
      </c>
      <c r="E249" s="90" t="s">
        <v>523</v>
      </c>
      <c r="F249" s="73" t="s">
        <v>412</v>
      </c>
      <c r="G249" s="90" t="s">
        <v>701</v>
      </c>
      <c r="H249" s="91">
        <v>47.266117000000001</v>
      </c>
      <c r="I249" s="91">
        <v>-122.63330000000001</v>
      </c>
      <c r="J249" s="95"/>
      <c r="K249" s="95"/>
      <c r="L249" s="73" t="s">
        <v>148</v>
      </c>
      <c r="M249" s="71"/>
      <c r="N249" s="90"/>
      <c r="O249" s="90"/>
      <c r="P249" s="90" t="s">
        <v>409</v>
      </c>
      <c r="Q249" s="96" t="s">
        <v>524</v>
      </c>
      <c r="R249" s="100" t="s">
        <v>302</v>
      </c>
      <c r="S249" s="131" t="s">
        <v>840</v>
      </c>
    </row>
    <row r="250" spans="1:19" s="1" customFormat="1" ht="15" customHeight="1" x14ac:dyDescent="0.25">
      <c r="A250" s="35">
        <v>42626</v>
      </c>
      <c r="B250" s="1" t="s">
        <v>58</v>
      </c>
      <c r="C250" s="1" t="s">
        <v>296</v>
      </c>
      <c r="D250" s="1" t="s">
        <v>1631</v>
      </c>
      <c r="E250" s="90" t="s">
        <v>523</v>
      </c>
      <c r="F250" s="73" t="s">
        <v>412</v>
      </c>
      <c r="G250" s="90" t="s">
        <v>701</v>
      </c>
      <c r="H250" s="91">
        <v>47.266533000000003</v>
      </c>
      <c r="I250" s="91">
        <v>-122.6388</v>
      </c>
      <c r="J250" s="95"/>
      <c r="K250" s="95"/>
      <c r="L250" s="73" t="s">
        <v>148</v>
      </c>
      <c r="M250" s="71"/>
      <c r="N250" s="90"/>
      <c r="O250" s="90"/>
      <c r="P250" s="90" t="s">
        <v>409</v>
      </c>
      <c r="Q250" s="96" t="s">
        <v>524</v>
      </c>
      <c r="R250" s="100" t="s">
        <v>303</v>
      </c>
      <c r="S250" s="131" t="s">
        <v>840</v>
      </c>
    </row>
    <row r="251" spans="1:19" s="1" customFormat="1" ht="15" customHeight="1" x14ac:dyDescent="0.25">
      <c r="A251" s="35">
        <v>42626</v>
      </c>
      <c r="B251" s="1" t="s">
        <v>58</v>
      </c>
      <c r="C251" s="1" t="s">
        <v>296</v>
      </c>
      <c r="D251" s="1" t="s">
        <v>1632</v>
      </c>
      <c r="E251" s="90" t="s">
        <v>523</v>
      </c>
      <c r="F251" s="73" t="s">
        <v>412</v>
      </c>
      <c r="G251" s="90" t="s">
        <v>701</v>
      </c>
      <c r="H251" s="91">
        <v>47.268050000000002</v>
      </c>
      <c r="I251" s="91">
        <v>-122.62908299999999</v>
      </c>
      <c r="J251" s="95"/>
      <c r="K251" s="95"/>
      <c r="L251" s="73" t="s">
        <v>148</v>
      </c>
      <c r="M251" s="71"/>
      <c r="N251" s="90"/>
      <c r="O251" s="90" t="s">
        <v>89</v>
      </c>
      <c r="P251" s="90" t="s">
        <v>409</v>
      </c>
      <c r="Q251" s="96" t="s">
        <v>525</v>
      </c>
      <c r="R251" s="100" t="s">
        <v>301</v>
      </c>
      <c r="S251" s="131" t="s">
        <v>840</v>
      </c>
    </row>
    <row r="252" spans="1:19" s="1" customFormat="1" ht="15" customHeight="1" x14ac:dyDescent="0.25">
      <c r="A252" s="35">
        <v>42626</v>
      </c>
      <c r="B252" s="1" t="s">
        <v>58</v>
      </c>
      <c r="C252" s="1" t="s">
        <v>296</v>
      </c>
      <c r="D252" s="1" t="s">
        <v>1633</v>
      </c>
      <c r="E252" s="90" t="s">
        <v>523</v>
      </c>
      <c r="F252" s="73" t="s">
        <v>412</v>
      </c>
      <c r="G252" s="90" t="s">
        <v>701</v>
      </c>
      <c r="H252" s="91">
        <v>47.273183000000003</v>
      </c>
      <c r="I252" s="91">
        <v>-122.650683</v>
      </c>
      <c r="J252" s="95"/>
      <c r="K252" s="95"/>
      <c r="L252" s="73" t="s">
        <v>148</v>
      </c>
      <c r="M252" s="71"/>
      <c r="N252" s="90"/>
      <c r="O252" s="90"/>
      <c r="P252" s="90" t="s">
        <v>409</v>
      </c>
      <c r="Q252" s="96" t="s">
        <v>524</v>
      </c>
      <c r="R252" s="100" t="s">
        <v>305</v>
      </c>
      <c r="S252" s="131" t="s">
        <v>840</v>
      </c>
    </row>
    <row r="253" spans="1:19" s="1" customFormat="1" ht="15" customHeight="1" x14ac:dyDescent="0.25">
      <c r="A253" s="35">
        <v>42626</v>
      </c>
      <c r="B253" s="1" t="s">
        <v>58</v>
      </c>
      <c r="C253" s="1" t="s">
        <v>296</v>
      </c>
      <c r="D253" s="1" t="s">
        <v>1634</v>
      </c>
      <c r="E253" s="90" t="s">
        <v>523</v>
      </c>
      <c r="F253" s="73" t="s">
        <v>412</v>
      </c>
      <c r="G253" s="90" t="s">
        <v>701</v>
      </c>
      <c r="H253" s="91">
        <v>47.27355</v>
      </c>
      <c r="I253" s="91">
        <v>-122.649517</v>
      </c>
      <c r="J253" s="95"/>
      <c r="K253" s="95"/>
      <c r="L253" s="73" t="s">
        <v>148</v>
      </c>
      <c r="M253" s="71">
        <v>-1.6763999999999999</v>
      </c>
      <c r="N253" s="90"/>
      <c r="O253" s="90"/>
      <c r="P253" s="96" t="s">
        <v>291</v>
      </c>
      <c r="Q253" s="73" t="s">
        <v>372</v>
      </c>
      <c r="R253" s="100" t="s">
        <v>306</v>
      </c>
      <c r="S253" s="131" t="s">
        <v>840</v>
      </c>
    </row>
    <row r="254" spans="1:19" s="1" customFormat="1" ht="15" customHeight="1" x14ac:dyDescent="0.25">
      <c r="A254" s="35">
        <v>42626</v>
      </c>
      <c r="B254" s="1" t="s">
        <v>58</v>
      </c>
      <c r="C254" s="1" t="s">
        <v>296</v>
      </c>
      <c r="D254" s="1" t="s">
        <v>1635</v>
      </c>
      <c r="E254" s="90" t="s">
        <v>523</v>
      </c>
      <c r="F254" s="73" t="s">
        <v>412</v>
      </c>
      <c r="G254" s="90" t="s">
        <v>701</v>
      </c>
      <c r="H254" s="91">
        <v>47.274299999999997</v>
      </c>
      <c r="I254" s="91">
        <v>-122.65263299999999</v>
      </c>
      <c r="J254" s="95"/>
      <c r="K254" s="95"/>
      <c r="L254" s="73" t="s">
        <v>148</v>
      </c>
      <c r="M254" s="71"/>
      <c r="N254" s="90"/>
      <c r="O254" s="90"/>
      <c r="P254" s="90" t="s">
        <v>409</v>
      </c>
      <c r="Q254" s="96" t="s">
        <v>524</v>
      </c>
      <c r="R254" s="100" t="s">
        <v>308</v>
      </c>
      <c r="S254" s="131" t="s">
        <v>840</v>
      </c>
    </row>
    <row r="255" spans="1:19" s="1" customFormat="1" ht="15" customHeight="1" x14ac:dyDescent="0.25">
      <c r="A255" s="35">
        <v>42626</v>
      </c>
      <c r="B255" s="1" t="s">
        <v>58</v>
      </c>
      <c r="C255" s="1" t="s">
        <v>296</v>
      </c>
      <c r="D255" s="1" t="s">
        <v>1636</v>
      </c>
      <c r="E255" s="90" t="s">
        <v>523</v>
      </c>
      <c r="F255" s="73" t="s">
        <v>412</v>
      </c>
      <c r="G255" s="90" t="s">
        <v>701</v>
      </c>
      <c r="H255" s="91">
        <v>47.274867</v>
      </c>
      <c r="I255" s="91">
        <v>-122.65325</v>
      </c>
      <c r="J255" s="95"/>
      <c r="K255" s="95"/>
      <c r="L255" s="73" t="s">
        <v>148</v>
      </c>
      <c r="M255" s="71">
        <v>-1.6459200000000005</v>
      </c>
      <c r="N255" s="90"/>
      <c r="O255" s="90"/>
      <c r="P255" s="90" t="s">
        <v>409</v>
      </c>
      <c r="Q255" s="96" t="s">
        <v>525</v>
      </c>
      <c r="R255" s="100" t="s">
        <v>309</v>
      </c>
      <c r="S255" s="131" t="s">
        <v>840</v>
      </c>
    </row>
    <row r="256" spans="1:19" s="1" customFormat="1" ht="15" customHeight="1" x14ac:dyDescent="0.25">
      <c r="A256" s="35">
        <v>42626</v>
      </c>
      <c r="B256" s="1" t="s">
        <v>58</v>
      </c>
      <c r="C256" s="1" t="s">
        <v>296</v>
      </c>
      <c r="D256" s="1" t="s">
        <v>1637</v>
      </c>
      <c r="E256" s="90" t="s">
        <v>523</v>
      </c>
      <c r="F256" s="73" t="s">
        <v>412</v>
      </c>
      <c r="G256" s="90" t="s">
        <v>701</v>
      </c>
      <c r="H256" s="91">
        <v>47.275016999999998</v>
      </c>
      <c r="I256" s="91">
        <v>-122.65091700000001</v>
      </c>
      <c r="J256" s="95"/>
      <c r="K256" s="95"/>
      <c r="L256" s="73" t="s">
        <v>148</v>
      </c>
      <c r="M256" s="71"/>
      <c r="N256" s="90"/>
      <c r="O256" s="90" t="s">
        <v>89</v>
      </c>
      <c r="P256" s="90" t="s">
        <v>409</v>
      </c>
      <c r="Q256" s="96" t="s">
        <v>524</v>
      </c>
      <c r="R256" s="100" t="s">
        <v>307</v>
      </c>
      <c r="S256" s="131" t="s">
        <v>840</v>
      </c>
    </row>
    <row r="257" spans="1:19" s="1" customFormat="1" ht="15" customHeight="1" x14ac:dyDescent="0.25">
      <c r="A257" s="35">
        <v>42626</v>
      </c>
      <c r="B257" s="1" t="s">
        <v>58</v>
      </c>
      <c r="C257" s="1" t="s">
        <v>296</v>
      </c>
      <c r="D257" s="1" t="s">
        <v>1638</v>
      </c>
      <c r="E257" s="90" t="s">
        <v>523</v>
      </c>
      <c r="F257" s="73" t="s">
        <v>412</v>
      </c>
      <c r="G257" s="90" t="s">
        <v>701</v>
      </c>
      <c r="H257" s="91">
        <v>47.277482999999997</v>
      </c>
      <c r="I257" s="91">
        <v>-122.665083</v>
      </c>
      <c r="J257" s="95"/>
      <c r="K257" s="95"/>
      <c r="L257" s="73" t="s">
        <v>148</v>
      </c>
      <c r="M257" s="71"/>
      <c r="N257" s="90"/>
      <c r="O257" s="90"/>
      <c r="P257" s="90" t="s">
        <v>409</v>
      </c>
      <c r="Q257" s="96" t="s">
        <v>524</v>
      </c>
      <c r="R257" s="100" t="s">
        <v>310</v>
      </c>
      <c r="S257" s="131" t="s">
        <v>840</v>
      </c>
    </row>
    <row r="258" spans="1:19" s="1" customFormat="1" ht="15" customHeight="1" x14ac:dyDescent="0.25">
      <c r="A258" s="35">
        <v>42626</v>
      </c>
      <c r="B258" s="1" t="s">
        <v>58</v>
      </c>
      <c r="C258" s="1" t="s">
        <v>296</v>
      </c>
      <c r="D258" s="1" t="s">
        <v>1639</v>
      </c>
      <c r="E258" s="90" t="s">
        <v>523</v>
      </c>
      <c r="F258" s="73" t="s">
        <v>412</v>
      </c>
      <c r="G258" s="90" t="s">
        <v>701</v>
      </c>
      <c r="H258" s="91">
        <v>47.278216999999998</v>
      </c>
      <c r="I258" s="91">
        <v>-122.6664</v>
      </c>
      <c r="J258" s="95"/>
      <c r="K258" s="95"/>
      <c r="L258" s="73" t="s">
        <v>148</v>
      </c>
      <c r="M258" s="71"/>
      <c r="N258" s="90"/>
      <c r="O258" s="90" t="s">
        <v>89</v>
      </c>
      <c r="P258" s="90" t="s">
        <v>409</v>
      </c>
      <c r="Q258" s="96" t="s">
        <v>524</v>
      </c>
      <c r="R258" s="100" t="s">
        <v>312</v>
      </c>
      <c r="S258" s="131" t="s">
        <v>840</v>
      </c>
    </row>
    <row r="259" spans="1:19" s="1" customFormat="1" ht="15" customHeight="1" x14ac:dyDescent="0.25">
      <c r="A259" s="35">
        <v>42626</v>
      </c>
      <c r="B259" s="1" t="s">
        <v>58</v>
      </c>
      <c r="C259" s="1" t="s">
        <v>296</v>
      </c>
      <c r="D259" s="1" t="s">
        <v>1640</v>
      </c>
      <c r="E259" s="90" t="s">
        <v>523</v>
      </c>
      <c r="F259" s="73" t="s">
        <v>412</v>
      </c>
      <c r="G259" s="90" t="s">
        <v>701</v>
      </c>
      <c r="H259" s="91">
        <v>47.278767000000002</v>
      </c>
      <c r="I259" s="91">
        <v>-122.664767</v>
      </c>
      <c r="J259" s="95"/>
      <c r="K259" s="95"/>
      <c r="L259" s="73" t="s">
        <v>148</v>
      </c>
      <c r="M259" s="71"/>
      <c r="N259" s="90"/>
      <c r="O259" s="90" t="s">
        <v>268</v>
      </c>
      <c r="P259" s="90" t="s">
        <v>409</v>
      </c>
      <c r="Q259" s="96" t="s">
        <v>524</v>
      </c>
      <c r="R259" s="100" t="s">
        <v>311</v>
      </c>
      <c r="S259" s="131" t="s">
        <v>840</v>
      </c>
    </row>
    <row r="260" spans="1:19" s="1" customFormat="1" ht="15" customHeight="1" x14ac:dyDescent="0.25">
      <c r="A260" s="35">
        <v>42626</v>
      </c>
      <c r="B260" s="1" t="s">
        <v>58</v>
      </c>
      <c r="C260" s="1" t="s">
        <v>296</v>
      </c>
      <c r="D260" s="1" t="s">
        <v>1623</v>
      </c>
      <c r="E260" s="90" t="s">
        <v>523</v>
      </c>
      <c r="F260" s="73" t="s">
        <v>412</v>
      </c>
      <c r="G260" s="90" t="s">
        <v>701</v>
      </c>
      <c r="H260" s="91">
        <v>47.234282999999998</v>
      </c>
      <c r="I260" s="91">
        <v>-122.58880000000001</v>
      </c>
      <c r="J260" s="95"/>
      <c r="K260" s="95"/>
      <c r="L260" s="73" t="s">
        <v>148</v>
      </c>
      <c r="M260" s="63"/>
      <c r="N260" s="90"/>
      <c r="O260" s="90"/>
      <c r="P260" s="90" t="s">
        <v>409</v>
      </c>
      <c r="Q260" s="90" t="s">
        <v>524</v>
      </c>
      <c r="R260" s="100" t="s">
        <v>297</v>
      </c>
      <c r="S260" s="131" t="s">
        <v>840</v>
      </c>
    </row>
    <row r="261" spans="1:19" s="1" customFormat="1" ht="15" customHeight="1" x14ac:dyDescent="0.25">
      <c r="A261" s="35">
        <v>42626</v>
      </c>
      <c r="B261" s="1" t="s">
        <v>58</v>
      </c>
      <c r="C261" s="1" t="s">
        <v>296</v>
      </c>
      <c r="D261" s="1" t="s">
        <v>1625</v>
      </c>
      <c r="E261" s="90" t="s">
        <v>523</v>
      </c>
      <c r="F261" s="73" t="s">
        <v>412</v>
      </c>
      <c r="G261" s="90" t="s">
        <v>701</v>
      </c>
      <c r="H261" s="91">
        <v>47.242550000000001</v>
      </c>
      <c r="I261" s="91">
        <v>-122.601383</v>
      </c>
      <c r="J261" s="95"/>
      <c r="K261" s="95"/>
      <c r="L261" s="73" t="s">
        <v>148</v>
      </c>
      <c r="M261" s="63"/>
      <c r="N261" s="90"/>
      <c r="O261" s="90" t="s">
        <v>89</v>
      </c>
      <c r="P261" s="90" t="s">
        <v>409</v>
      </c>
      <c r="Q261" s="90" t="s">
        <v>524</v>
      </c>
      <c r="R261" s="101" t="s">
        <v>298</v>
      </c>
      <c r="S261" s="131" t="s">
        <v>840</v>
      </c>
    </row>
    <row r="262" spans="1:19" s="1" customFormat="1" ht="15" customHeight="1" x14ac:dyDescent="0.25">
      <c r="A262" s="35">
        <v>42626</v>
      </c>
      <c r="B262" s="1" t="s">
        <v>58</v>
      </c>
      <c r="C262" s="1" t="s">
        <v>296</v>
      </c>
      <c r="D262" s="1" t="s">
        <v>1627</v>
      </c>
      <c r="E262" s="90" t="s">
        <v>523</v>
      </c>
      <c r="F262" s="73" t="s">
        <v>412</v>
      </c>
      <c r="G262" s="90" t="s">
        <v>701</v>
      </c>
      <c r="H262" s="91">
        <v>47.247999999999998</v>
      </c>
      <c r="I262" s="91">
        <v>-122.60550000000001</v>
      </c>
      <c r="J262" s="95"/>
      <c r="K262" s="95"/>
      <c r="L262" s="73" t="s">
        <v>148</v>
      </c>
      <c r="M262" s="71"/>
      <c r="N262" s="90"/>
      <c r="O262" s="90"/>
      <c r="P262" s="90" t="s">
        <v>409</v>
      </c>
      <c r="Q262" s="96" t="s">
        <v>524</v>
      </c>
      <c r="R262" s="100" t="s">
        <v>299</v>
      </c>
      <c r="S262" s="131" t="s">
        <v>840</v>
      </c>
    </row>
    <row r="263" spans="1:19" s="1" customFormat="1" ht="15" customHeight="1" x14ac:dyDescent="0.25">
      <c r="A263" s="35">
        <v>42626</v>
      </c>
      <c r="B263" s="1" t="s">
        <v>58</v>
      </c>
      <c r="C263" s="1" t="s">
        <v>296</v>
      </c>
      <c r="D263" s="1" t="s">
        <v>1628</v>
      </c>
      <c r="E263" s="90" t="s">
        <v>523</v>
      </c>
      <c r="F263" s="73" t="s">
        <v>412</v>
      </c>
      <c r="G263" s="90" t="s">
        <v>701</v>
      </c>
      <c r="H263" s="91">
        <v>47.255282999999999</v>
      </c>
      <c r="I263" s="91">
        <v>-122.615033</v>
      </c>
      <c r="J263" s="95"/>
      <c r="K263" s="95"/>
      <c r="L263" s="73" t="s">
        <v>148</v>
      </c>
      <c r="M263" s="71">
        <v>-1.0058400000000001</v>
      </c>
      <c r="N263" s="90"/>
      <c r="O263" s="90"/>
      <c r="P263" s="90" t="s">
        <v>409</v>
      </c>
      <c r="Q263" s="96" t="s">
        <v>525</v>
      </c>
      <c r="R263" s="100" t="s">
        <v>300</v>
      </c>
      <c r="S263" s="131" t="s">
        <v>840</v>
      </c>
    </row>
    <row r="264" spans="1:19" s="1" customFormat="1" ht="15" customHeight="1" x14ac:dyDescent="0.25">
      <c r="A264" s="35">
        <v>42626</v>
      </c>
      <c r="B264" s="1" t="s">
        <v>58</v>
      </c>
      <c r="C264" s="1" t="s">
        <v>296</v>
      </c>
      <c r="D264" s="1" t="s">
        <v>1629</v>
      </c>
      <c r="E264" s="90" t="s">
        <v>523</v>
      </c>
      <c r="F264" s="73" t="s">
        <v>412</v>
      </c>
      <c r="G264" s="90" t="s">
        <v>701</v>
      </c>
      <c r="H264" s="91">
        <v>47.262250000000002</v>
      </c>
      <c r="I264" s="91">
        <v>-122.627083</v>
      </c>
      <c r="J264" s="95"/>
      <c r="K264" s="95"/>
      <c r="L264" s="73" t="s">
        <v>148</v>
      </c>
      <c r="M264" s="71"/>
      <c r="N264" s="90"/>
      <c r="O264" s="90"/>
      <c r="P264" s="90" t="s">
        <v>409</v>
      </c>
      <c r="Q264" s="96" t="s">
        <v>524</v>
      </c>
      <c r="R264" s="100" t="s">
        <v>839</v>
      </c>
      <c r="S264" s="131" t="s">
        <v>840</v>
      </c>
    </row>
    <row r="265" spans="1:19" s="1" customFormat="1" ht="15" customHeight="1" x14ac:dyDescent="0.25">
      <c r="A265" s="35">
        <v>42626</v>
      </c>
      <c r="B265" s="1" t="s">
        <v>58</v>
      </c>
      <c r="C265" s="1" t="s">
        <v>313</v>
      </c>
      <c r="D265" s="1" t="s">
        <v>1645</v>
      </c>
      <c r="E265" s="90" t="s">
        <v>523</v>
      </c>
      <c r="F265" s="73" t="s">
        <v>412</v>
      </c>
      <c r="G265" s="90" t="s">
        <v>701</v>
      </c>
      <c r="H265" s="91">
        <v>47.280217</v>
      </c>
      <c r="I265" s="91">
        <v>-122.680533</v>
      </c>
      <c r="J265" s="95"/>
      <c r="K265" s="95"/>
      <c r="L265" s="73" t="s">
        <v>148</v>
      </c>
      <c r="M265" s="71">
        <v>-1.85928</v>
      </c>
      <c r="N265" s="90"/>
      <c r="O265" s="90" t="s">
        <v>89</v>
      </c>
      <c r="P265" s="96" t="s">
        <v>522</v>
      </c>
      <c r="Q265" s="73" t="s">
        <v>372</v>
      </c>
      <c r="R265" s="100" t="s">
        <v>314</v>
      </c>
      <c r="S265" s="131" t="s">
        <v>840</v>
      </c>
    </row>
    <row r="266" spans="1:19" s="1" customFormat="1" ht="15" customHeight="1" x14ac:dyDescent="0.25">
      <c r="A266" s="35">
        <v>42626</v>
      </c>
      <c r="B266" s="1" t="s">
        <v>58</v>
      </c>
      <c r="C266" s="1" t="s">
        <v>313</v>
      </c>
      <c r="D266" s="1" t="s">
        <v>1646</v>
      </c>
      <c r="E266" s="90" t="s">
        <v>523</v>
      </c>
      <c r="F266" s="73" t="s">
        <v>412</v>
      </c>
      <c r="G266" s="90" t="s">
        <v>701</v>
      </c>
      <c r="H266" s="91">
        <v>47.282533000000001</v>
      </c>
      <c r="I266" s="91">
        <v>-122.68208300000001</v>
      </c>
      <c r="J266" s="95"/>
      <c r="K266" s="95"/>
      <c r="L266" s="73" t="s">
        <v>148</v>
      </c>
      <c r="M266" s="71"/>
      <c r="N266" s="90"/>
      <c r="O266" s="90"/>
      <c r="P266" s="90" t="s">
        <v>409</v>
      </c>
      <c r="Q266" s="96" t="s">
        <v>524</v>
      </c>
      <c r="R266" s="100" t="s">
        <v>838</v>
      </c>
      <c r="S266" s="131" t="s">
        <v>840</v>
      </c>
    </row>
    <row r="267" spans="1:19" s="1" customFormat="1" ht="15" customHeight="1" x14ac:dyDescent="0.25">
      <c r="A267" s="35">
        <v>42627</v>
      </c>
      <c r="B267" s="1" t="s">
        <v>58</v>
      </c>
      <c r="C267" s="1" t="s">
        <v>68</v>
      </c>
      <c r="D267" s="1" t="s">
        <v>1556</v>
      </c>
      <c r="E267" s="90" t="s">
        <v>523</v>
      </c>
      <c r="F267" s="73" t="s">
        <v>412</v>
      </c>
      <c r="G267" s="90" t="s">
        <v>701</v>
      </c>
      <c r="H267" s="91">
        <v>47.297153000000002</v>
      </c>
      <c r="I267" s="91">
        <v>-122.68532</v>
      </c>
      <c r="J267" s="95"/>
      <c r="K267" s="95"/>
      <c r="L267" s="73" t="s">
        <v>148</v>
      </c>
      <c r="M267" s="71"/>
      <c r="N267" s="90"/>
      <c r="O267" s="90" t="s">
        <v>89</v>
      </c>
      <c r="P267" s="90" t="s">
        <v>409</v>
      </c>
      <c r="Q267" s="96" t="s">
        <v>525</v>
      </c>
      <c r="R267" s="100" t="s">
        <v>325</v>
      </c>
      <c r="S267" s="131" t="s">
        <v>840</v>
      </c>
    </row>
    <row r="268" spans="1:19" s="1" customFormat="1" ht="15" customHeight="1" x14ac:dyDescent="0.25">
      <c r="A268" s="35">
        <v>42627</v>
      </c>
      <c r="B268" s="1" t="s">
        <v>58</v>
      </c>
      <c r="C268" s="1" t="s">
        <v>68</v>
      </c>
      <c r="D268" s="1" t="s">
        <v>1557</v>
      </c>
      <c r="E268" s="90" t="s">
        <v>523</v>
      </c>
      <c r="F268" s="73" t="s">
        <v>412</v>
      </c>
      <c r="G268" s="90" t="s">
        <v>701</v>
      </c>
      <c r="H268" s="91">
        <v>47.297533000000001</v>
      </c>
      <c r="I268" s="91">
        <v>-122.69108300000001</v>
      </c>
      <c r="J268" s="95"/>
      <c r="K268" s="95"/>
      <c r="L268" s="73" t="s">
        <v>148</v>
      </c>
      <c r="M268" s="71"/>
      <c r="N268" s="90"/>
      <c r="O268" s="90" t="s">
        <v>89</v>
      </c>
      <c r="P268" s="90" t="s">
        <v>521</v>
      </c>
      <c r="Q268" s="96" t="s">
        <v>372</v>
      </c>
      <c r="R268" s="100" t="s">
        <v>326</v>
      </c>
      <c r="S268" s="131" t="s">
        <v>840</v>
      </c>
    </row>
    <row r="269" spans="1:19" s="1" customFormat="1" ht="15" customHeight="1" x14ac:dyDescent="0.25">
      <c r="A269" s="35">
        <v>42627</v>
      </c>
      <c r="B269" s="1" t="s">
        <v>58</v>
      </c>
      <c r="C269" s="1" t="s">
        <v>68</v>
      </c>
      <c r="D269" s="1" t="s">
        <v>1558</v>
      </c>
      <c r="E269" s="90" t="s">
        <v>523</v>
      </c>
      <c r="F269" s="73" t="s">
        <v>412</v>
      </c>
      <c r="G269" s="90" t="s">
        <v>701</v>
      </c>
      <c r="H269" s="91">
        <v>47.310282999999998</v>
      </c>
      <c r="I269" s="91">
        <v>-122.737533</v>
      </c>
      <c r="J269" s="95"/>
      <c r="K269" s="95"/>
      <c r="L269" s="73" t="s">
        <v>148</v>
      </c>
      <c r="M269" s="71"/>
      <c r="N269" s="90"/>
      <c r="O269" s="90"/>
      <c r="P269" s="90" t="s">
        <v>521</v>
      </c>
      <c r="Q269" s="96" t="s">
        <v>372</v>
      </c>
      <c r="R269" s="100" t="s">
        <v>315</v>
      </c>
      <c r="S269" s="131" t="s">
        <v>840</v>
      </c>
    </row>
    <row r="270" spans="1:19" s="1" customFormat="1" ht="15" customHeight="1" x14ac:dyDescent="0.25">
      <c r="A270" s="35">
        <v>42627</v>
      </c>
      <c r="B270" s="1" t="s">
        <v>58</v>
      </c>
      <c r="C270" s="1" t="s">
        <v>68</v>
      </c>
      <c r="D270" s="1" t="s">
        <v>1559</v>
      </c>
      <c r="E270" s="90" t="s">
        <v>523</v>
      </c>
      <c r="F270" s="73" t="s">
        <v>412</v>
      </c>
      <c r="G270" s="90" t="s">
        <v>701</v>
      </c>
      <c r="H270" s="91">
        <v>47.321114000000001</v>
      </c>
      <c r="I270" s="91">
        <v>-122.730361</v>
      </c>
      <c r="J270" s="95"/>
      <c r="K270" s="95"/>
      <c r="L270" s="73" t="s">
        <v>148</v>
      </c>
      <c r="M270" s="71"/>
      <c r="N270" s="90"/>
      <c r="O270" s="90" t="s">
        <v>89</v>
      </c>
      <c r="P270" s="90" t="s">
        <v>409</v>
      </c>
      <c r="Q270" s="96" t="s">
        <v>525</v>
      </c>
      <c r="R270" s="100" t="s">
        <v>316</v>
      </c>
      <c r="S270" s="131" t="s">
        <v>840</v>
      </c>
    </row>
    <row r="271" spans="1:19" s="1" customFormat="1" ht="15" customHeight="1" x14ac:dyDescent="0.25">
      <c r="A271" s="35">
        <v>42627</v>
      </c>
      <c r="B271" s="1" t="s">
        <v>58</v>
      </c>
      <c r="C271" s="1" t="s">
        <v>68</v>
      </c>
      <c r="D271" s="1" t="s">
        <v>1560</v>
      </c>
      <c r="E271" s="90" t="s">
        <v>523</v>
      </c>
      <c r="F271" s="73" t="s">
        <v>412</v>
      </c>
      <c r="G271" s="90" t="s">
        <v>701</v>
      </c>
      <c r="H271" s="91">
        <v>47.329732999999997</v>
      </c>
      <c r="I271" s="91">
        <v>-122.659783</v>
      </c>
      <c r="J271" s="95"/>
      <c r="K271" s="95"/>
      <c r="L271" s="73" t="s">
        <v>148</v>
      </c>
      <c r="M271" s="71"/>
      <c r="N271" s="90"/>
      <c r="O271" s="90"/>
      <c r="P271" s="90" t="s">
        <v>291</v>
      </c>
      <c r="Q271" s="96" t="s">
        <v>372</v>
      </c>
      <c r="R271" s="100" t="s">
        <v>323</v>
      </c>
      <c r="S271" s="131" t="s">
        <v>840</v>
      </c>
    </row>
    <row r="272" spans="1:19" s="1" customFormat="1" ht="15" customHeight="1" x14ac:dyDescent="0.25">
      <c r="A272" s="35">
        <v>42627</v>
      </c>
      <c r="B272" s="1" t="s">
        <v>58</v>
      </c>
      <c r="C272" s="1" t="s">
        <v>68</v>
      </c>
      <c r="D272" s="1" t="s">
        <v>1561</v>
      </c>
      <c r="E272" s="90" t="s">
        <v>523</v>
      </c>
      <c r="F272" s="73" t="s">
        <v>412</v>
      </c>
      <c r="G272" s="90" t="s">
        <v>701</v>
      </c>
      <c r="H272" s="91">
        <v>47.329967000000003</v>
      </c>
      <c r="I272" s="91">
        <v>-122.678567</v>
      </c>
      <c r="J272" s="95"/>
      <c r="K272" s="95"/>
      <c r="L272" s="73" t="s">
        <v>148</v>
      </c>
      <c r="M272" s="71"/>
      <c r="N272" s="90"/>
      <c r="O272" s="90"/>
      <c r="P272" s="90" t="s">
        <v>522</v>
      </c>
      <c r="Q272" s="96" t="s">
        <v>372</v>
      </c>
      <c r="R272" s="100" t="s">
        <v>324</v>
      </c>
      <c r="S272" s="131" t="s">
        <v>840</v>
      </c>
    </row>
    <row r="273" spans="1:19" s="1" customFormat="1" ht="15" customHeight="1" x14ac:dyDescent="0.25">
      <c r="A273" s="35">
        <v>42627</v>
      </c>
      <c r="B273" s="1" t="s">
        <v>58</v>
      </c>
      <c r="C273" s="1" t="s">
        <v>68</v>
      </c>
      <c r="D273" s="1" t="s">
        <v>1562</v>
      </c>
      <c r="E273" s="90" t="s">
        <v>523</v>
      </c>
      <c r="F273" s="73" t="s">
        <v>412</v>
      </c>
      <c r="G273" s="90" t="s">
        <v>701</v>
      </c>
      <c r="H273" s="91">
        <v>47.340533000000001</v>
      </c>
      <c r="I273" s="91">
        <v>-122.66985</v>
      </c>
      <c r="J273" s="95"/>
      <c r="K273" s="95"/>
      <c r="L273" s="73" t="s">
        <v>148</v>
      </c>
      <c r="M273" s="71"/>
      <c r="N273" s="90"/>
      <c r="O273" s="90"/>
      <c r="P273" s="90" t="s">
        <v>291</v>
      </c>
      <c r="Q273" s="96" t="s">
        <v>372</v>
      </c>
      <c r="R273" s="100" t="s">
        <v>322</v>
      </c>
      <c r="S273" s="131" t="s">
        <v>840</v>
      </c>
    </row>
    <row r="274" spans="1:19" s="1" customFormat="1" ht="15" customHeight="1" x14ac:dyDescent="0.25">
      <c r="A274" s="35">
        <v>42627</v>
      </c>
      <c r="B274" s="1" t="s">
        <v>58</v>
      </c>
      <c r="C274" s="1" t="s">
        <v>68</v>
      </c>
      <c r="D274" s="1" t="s">
        <v>1563</v>
      </c>
      <c r="E274" s="90" t="s">
        <v>523</v>
      </c>
      <c r="F274" s="73" t="s">
        <v>412</v>
      </c>
      <c r="G274" s="90" t="s">
        <v>701</v>
      </c>
      <c r="H274" s="91">
        <v>47.341650000000001</v>
      </c>
      <c r="I274" s="91">
        <v>-122.714883</v>
      </c>
      <c r="J274" s="95"/>
      <c r="K274" s="95"/>
      <c r="L274" s="73" t="s">
        <v>148</v>
      </c>
      <c r="M274" s="71"/>
      <c r="N274" s="90"/>
      <c r="O274" s="90" t="s">
        <v>89</v>
      </c>
      <c r="P274" s="90" t="s">
        <v>409</v>
      </c>
      <c r="Q274" s="96" t="s">
        <v>525</v>
      </c>
      <c r="R274" s="100" t="s">
        <v>320</v>
      </c>
      <c r="S274" s="131" t="s">
        <v>840</v>
      </c>
    </row>
    <row r="275" spans="1:19" s="1" customFormat="1" ht="15" customHeight="1" x14ac:dyDescent="0.25">
      <c r="A275" s="35">
        <v>42627</v>
      </c>
      <c r="B275" s="1" t="s">
        <v>58</v>
      </c>
      <c r="C275" s="1" t="s">
        <v>68</v>
      </c>
      <c r="D275" s="1" t="s">
        <v>1564</v>
      </c>
      <c r="E275" s="90" t="s">
        <v>523</v>
      </c>
      <c r="F275" s="73" t="s">
        <v>412</v>
      </c>
      <c r="G275" s="90" t="s">
        <v>701</v>
      </c>
      <c r="H275" s="91">
        <v>47.346699999999998</v>
      </c>
      <c r="I275" s="91">
        <v>-122.707233</v>
      </c>
      <c r="J275" s="95"/>
      <c r="K275" s="95"/>
      <c r="L275" s="73" t="s">
        <v>148</v>
      </c>
      <c r="M275" s="71"/>
      <c r="N275" s="90"/>
      <c r="O275" s="90"/>
      <c r="P275" s="90" t="s">
        <v>521</v>
      </c>
      <c r="Q275" s="96" t="s">
        <v>372</v>
      </c>
      <c r="R275" s="100" t="s">
        <v>321</v>
      </c>
      <c r="S275" s="131" t="s">
        <v>840</v>
      </c>
    </row>
    <row r="276" spans="1:19" s="1" customFormat="1" ht="15" customHeight="1" x14ac:dyDescent="0.25">
      <c r="A276" s="35">
        <v>42627</v>
      </c>
      <c r="B276" s="1" t="s">
        <v>58</v>
      </c>
      <c r="C276" s="1" t="s">
        <v>296</v>
      </c>
      <c r="D276" s="1" t="s">
        <v>1621</v>
      </c>
      <c r="E276" s="90" t="s">
        <v>523</v>
      </c>
      <c r="F276" s="73" t="s">
        <v>412</v>
      </c>
      <c r="G276" s="90" t="s">
        <v>701</v>
      </c>
      <c r="H276" s="91">
        <v>47.222917000000002</v>
      </c>
      <c r="I276" s="91">
        <v>-122.596571</v>
      </c>
      <c r="J276" s="95"/>
      <c r="K276" s="95"/>
      <c r="L276" s="73" t="s">
        <v>148</v>
      </c>
      <c r="M276" s="71"/>
      <c r="N276" s="90"/>
      <c r="O276" s="90" t="s">
        <v>89</v>
      </c>
      <c r="P276" s="90" t="s">
        <v>409</v>
      </c>
      <c r="Q276" s="96" t="s">
        <v>524</v>
      </c>
      <c r="R276" s="100" t="s">
        <v>334</v>
      </c>
      <c r="S276" s="131" t="s">
        <v>840</v>
      </c>
    </row>
    <row r="277" spans="1:19" s="1" customFormat="1" ht="15" customHeight="1" x14ac:dyDescent="0.25">
      <c r="A277" s="35">
        <v>42627</v>
      </c>
      <c r="B277" s="1" t="s">
        <v>58</v>
      </c>
      <c r="C277" s="1" t="s">
        <v>296</v>
      </c>
      <c r="D277" s="1" t="s">
        <v>1622</v>
      </c>
      <c r="E277" s="90" t="s">
        <v>523</v>
      </c>
      <c r="F277" s="73" t="s">
        <v>412</v>
      </c>
      <c r="G277" s="90" t="s">
        <v>701</v>
      </c>
      <c r="H277" s="91">
        <v>47.227381999999999</v>
      </c>
      <c r="I277" s="91">
        <v>-122.62112999999999</v>
      </c>
      <c r="J277" s="95"/>
      <c r="K277" s="95"/>
      <c r="L277" s="73" t="s">
        <v>148</v>
      </c>
      <c r="M277" s="71"/>
      <c r="N277" s="90"/>
      <c r="O277" s="90" t="s">
        <v>89</v>
      </c>
      <c r="P277" s="90" t="s">
        <v>291</v>
      </c>
      <c r="Q277" s="96" t="s">
        <v>372</v>
      </c>
      <c r="R277" s="100" t="s">
        <v>337</v>
      </c>
      <c r="S277" s="131" t="s">
        <v>840</v>
      </c>
    </row>
    <row r="278" spans="1:19" s="1" customFormat="1" ht="15" customHeight="1" x14ac:dyDescent="0.25">
      <c r="A278" s="35">
        <v>42627</v>
      </c>
      <c r="B278" s="1" t="s">
        <v>58</v>
      </c>
      <c r="C278" s="1" t="s">
        <v>296</v>
      </c>
      <c r="D278" s="1" t="s">
        <v>1624</v>
      </c>
      <c r="E278" s="90" t="s">
        <v>523</v>
      </c>
      <c r="F278" s="73" t="s">
        <v>412</v>
      </c>
      <c r="G278" s="90" t="s">
        <v>701</v>
      </c>
      <c r="H278" s="91">
        <v>47.236832999999997</v>
      </c>
      <c r="I278" s="91">
        <v>-122.62996699999999</v>
      </c>
      <c r="J278" s="95"/>
      <c r="K278" s="95"/>
      <c r="L278" s="73" t="s">
        <v>148</v>
      </c>
      <c r="M278" s="71"/>
      <c r="N278" s="90"/>
      <c r="O278" s="90"/>
      <c r="P278" s="90" t="s">
        <v>521</v>
      </c>
      <c r="Q278" s="96" t="s">
        <v>372</v>
      </c>
      <c r="R278" s="100" t="s">
        <v>336</v>
      </c>
      <c r="S278" s="131" t="s">
        <v>840</v>
      </c>
    </row>
    <row r="279" spans="1:19" s="1" customFormat="1" ht="15" customHeight="1" x14ac:dyDescent="0.25">
      <c r="A279" s="35">
        <v>42627</v>
      </c>
      <c r="B279" s="1" t="s">
        <v>58</v>
      </c>
      <c r="C279" s="1" t="s">
        <v>296</v>
      </c>
      <c r="D279" s="1" t="s">
        <v>1626</v>
      </c>
      <c r="E279" s="90" t="s">
        <v>523</v>
      </c>
      <c r="F279" s="73" t="s">
        <v>412</v>
      </c>
      <c r="G279" s="90" t="s">
        <v>701</v>
      </c>
      <c r="H279" s="91">
        <v>47.247149999999998</v>
      </c>
      <c r="I279" s="91">
        <v>-122.64146700000001</v>
      </c>
      <c r="J279" s="95"/>
      <c r="K279" s="95"/>
      <c r="L279" s="73" t="s">
        <v>148</v>
      </c>
      <c r="M279" s="71"/>
      <c r="N279" s="90"/>
      <c r="O279" s="90"/>
      <c r="P279" s="90" t="s">
        <v>521</v>
      </c>
      <c r="Q279" s="96" t="s">
        <v>372</v>
      </c>
      <c r="R279" s="100" t="s">
        <v>335</v>
      </c>
      <c r="S279" s="131" t="s">
        <v>840</v>
      </c>
    </row>
    <row r="280" spans="1:19" s="1" customFormat="1" ht="15" customHeight="1" x14ac:dyDescent="0.25">
      <c r="A280" s="35">
        <v>42627</v>
      </c>
      <c r="B280" s="1" t="s">
        <v>58</v>
      </c>
      <c r="C280" s="1" t="s">
        <v>317</v>
      </c>
      <c r="D280" s="1" t="s">
        <v>1641</v>
      </c>
      <c r="E280" s="90" t="s">
        <v>523</v>
      </c>
      <c r="F280" s="73" t="s">
        <v>412</v>
      </c>
      <c r="G280" s="90" t="s">
        <v>701</v>
      </c>
      <c r="H280" s="91">
        <v>47.337133000000001</v>
      </c>
      <c r="I280" s="91">
        <v>-122.72935</v>
      </c>
      <c r="J280" s="95"/>
      <c r="K280" s="95"/>
      <c r="L280" s="73" t="s">
        <v>148</v>
      </c>
      <c r="M280" s="71"/>
      <c r="N280" s="90"/>
      <c r="O280" s="90" t="s">
        <v>89</v>
      </c>
      <c r="P280" s="90" t="s">
        <v>409</v>
      </c>
      <c r="Q280" s="96" t="s">
        <v>294</v>
      </c>
      <c r="R280" s="100" t="s">
        <v>318</v>
      </c>
      <c r="S280" s="131" t="s">
        <v>840</v>
      </c>
    </row>
    <row r="281" spans="1:19" s="1" customFormat="1" ht="15" customHeight="1" x14ac:dyDescent="0.25">
      <c r="A281" s="35">
        <v>42627</v>
      </c>
      <c r="B281" s="1" t="s">
        <v>58</v>
      </c>
      <c r="C281" s="1" t="s">
        <v>317</v>
      </c>
      <c r="D281" s="1" t="s">
        <v>1642</v>
      </c>
      <c r="E281" s="90" t="s">
        <v>523</v>
      </c>
      <c r="F281" s="73" t="s">
        <v>412</v>
      </c>
      <c r="G281" s="90" t="s">
        <v>701</v>
      </c>
      <c r="H281" s="91">
        <v>47.337466999999997</v>
      </c>
      <c r="I281" s="91">
        <v>-122.729817</v>
      </c>
      <c r="J281" s="95"/>
      <c r="K281" s="95"/>
      <c r="L281" s="73" t="s">
        <v>148</v>
      </c>
      <c r="M281" s="71"/>
      <c r="N281" s="90"/>
      <c r="O281" s="90"/>
      <c r="P281" s="90" t="s">
        <v>291</v>
      </c>
      <c r="Q281" s="96" t="s">
        <v>372</v>
      </c>
      <c r="R281" s="100" t="s">
        <v>319</v>
      </c>
      <c r="S281" s="131" t="s">
        <v>840</v>
      </c>
    </row>
    <row r="282" spans="1:19" s="1" customFormat="1" ht="15" customHeight="1" x14ac:dyDescent="0.25">
      <c r="A282" s="35">
        <v>42627</v>
      </c>
      <c r="B282" s="1" t="s">
        <v>58</v>
      </c>
      <c r="C282" s="1" t="s">
        <v>313</v>
      </c>
      <c r="D282" s="1" t="s">
        <v>1643</v>
      </c>
      <c r="E282" s="90" t="s">
        <v>523</v>
      </c>
      <c r="F282" s="73" t="s">
        <v>412</v>
      </c>
      <c r="G282" s="90" t="s">
        <v>701</v>
      </c>
      <c r="H282" s="91">
        <v>47.273409999999998</v>
      </c>
      <c r="I282" s="91">
        <v>-122.62338</v>
      </c>
      <c r="J282" s="95"/>
      <c r="K282" s="95"/>
      <c r="L282" s="73" t="s">
        <v>148</v>
      </c>
      <c r="M282" s="71"/>
      <c r="N282" s="90"/>
      <c r="O282" s="90"/>
      <c r="P282" s="90" t="s">
        <v>409</v>
      </c>
      <c r="Q282" s="96" t="s">
        <v>525</v>
      </c>
      <c r="R282" s="100" t="s">
        <v>329</v>
      </c>
      <c r="S282" s="131" t="s">
        <v>840</v>
      </c>
    </row>
    <row r="283" spans="1:19" s="1" customFormat="1" ht="15" customHeight="1" x14ac:dyDescent="0.25">
      <c r="A283" s="35">
        <v>42627</v>
      </c>
      <c r="B283" s="1" t="s">
        <v>58</v>
      </c>
      <c r="C283" s="1" t="s">
        <v>313</v>
      </c>
      <c r="D283" s="1" t="s">
        <v>1644</v>
      </c>
      <c r="E283" s="90" t="s">
        <v>523</v>
      </c>
      <c r="F283" s="73" t="s">
        <v>412</v>
      </c>
      <c r="G283" s="90" t="s">
        <v>701</v>
      </c>
      <c r="H283" s="91">
        <v>47.277616999999999</v>
      </c>
      <c r="I283" s="91">
        <v>-122.629503</v>
      </c>
      <c r="J283" s="95"/>
      <c r="K283" s="95"/>
      <c r="L283" s="73" t="s">
        <v>148</v>
      </c>
      <c r="M283" s="71"/>
      <c r="N283" s="90"/>
      <c r="O283" s="90" t="s">
        <v>89</v>
      </c>
      <c r="P283" s="90" t="s">
        <v>291</v>
      </c>
      <c r="Q283" s="96" t="s">
        <v>372</v>
      </c>
      <c r="R283" s="100" t="s">
        <v>328</v>
      </c>
      <c r="S283" s="131" t="s">
        <v>840</v>
      </c>
    </row>
    <row r="284" spans="1:19" s="1" customFormat="1" ht="15" customHeight="1" x14ac:dyDescent="0.25">
      <c r="A284" s="35">
        <v>42627</v>
      </c>
      <c r="B284" s="1" t="s">
        <v>58</v>
      </c>
      <c r="C284" s="1" t="s">
        <v>313</v>
      </c>
      <c r="D284" s="1" t="s">
        <v>1647</v>
      </c>
      <c r="E284" s="90" t="s">
        <v>523</v>
      </c>
      <c r="F284" s="73" t="s">
        <v>412</v>
      </c>
      <c r="G284" s="90" t="s">
        <v>701</v>
      </c>
      <c r="H284" s="91">
        <v>47.283850000000001</v>
      </c>
      <c r="I284" s="91">
        <v>-122.66235</v>
      </c>
      <c r="J284" s="95"/>
      <c r="K284" s="95"/>
      <c r="L284" s="73" t="s">
        <v>148</v>
      </c>
      <c r="M284" s="71"/>
      <c r="N284" s="90" t="s">
        <v>793</v>
      </c>
      <c r="O284" s="90" t="s">
        <v>89</v>
      </c>
      <c r="P284" s="90" t="s">
        <v>409</v>
      </c>
      <c r="Q284" s="96" t="s">
        <v>525</v>
      </c>
      <c r="R284" s="100" t="s">
        <v>327</v>
      </c>
      <c r="S284" s="131" t="s">
        <v>840</v>
      </c>
    </row>
    <row r="285" spans="1:19" s="1" customFormat="1" ht="15" customHeight="1" x14ac:dyDescent="0.25">
      <c r="A285" s="35">
        <v>42627</v>
      </c>
      <c r="B285" s="1" t="s">
        <v>58</v>
      </c>
      <c r="C285" s="1" t="s">
        <v>330</v>
      </c>
      <c r="D285" s="1" t="s">
        <v>1821</v>
      </c>
      <c r="E285" s="90" t="s">
        <v>523</v>
      </c>
      <c r="F285" s="73" t="s">
        <v>412</v>
      </c>
      <c r="G285" s="90" t="s">
        <v>701</v>
      </c>
      <c r="H285" s="91">
        <v>47.270916999999997</v>
      </c>
      <c r="I285" s="91">
        <v>-122.592417</v>
      </c>
      <c r="J285" s="95"/>
      <c r="K285" s="95"/>
      <c r="L285" s="73" t="s">
        <v>148</v>
      </c>
      <c r="M285" s="71"/>
      <c r="N285" s="90"/>
      <c r="O285" s="90" t="s">
        <v>89</v>
      </c>
      <c r="P285" s="90" t="s">
        <v>409</v>
      </c>
      <c r="Q285" s="96" t="s">
        <v>294</v>
      </c>
      <c r="R285" s="100" t="s">
        <v>331</v>
      </c>
      <c r="S285" s="131" t="s">
        <v>840</v>
      </c>
    </row>
    <row r="286" spans="1:19" s="1" customFormat="1" ht="15" customHeight="1" x14ac:dyDescent="0.25">
      <c r="A286" s="35">
        <v>42627</v>
      </c>
      <c r="B286" s="1" t="s">
        <v>58</v>
      </c>
      <c r="C286" s="1" t="s">
        <v>330</v>
      </c>
      <c r="D286" s="1" t="s">
        <v>1822</v>
      </c>
      <c r="E286" s="90" t="s">
        <v>523</v>
      </c>
      <c r="F286" s="73" t="s">
        <v>412</v>
      </c>
      <c r="G286" s="90" t="s">
        <v>701</v>
      </c>
      <c r="H286" s="91">
        <v>47.279933</v>
      </c>
      <c r="I286" s="91">
        <v>-122.59985</v>
      </c>
      <c r="J286" s="95"/>
      <c r="K286" s="95"/>
      <c r="L286" s="73" t="s">
        <v>148</v>
      </c>
      <c r="M286" s="71"/>
      <c r="N286" s="90"/>
      <c r="O286" s="90" t="s">
        <v>89</v>
      </c>
      <c r="P286" s="90" t="s">
        <v>409</v>
      </c>
      <c r="Q286" s="96" t="s">
        <v>524</v>
      </c>
      <c r="R286" s="100" t="s">
        <v>333</v>
      </c>
      <c r="S286" s="131" t="s">
        <v>840</v>
      </c>
    </row>
    <row r="287" spans="1:19" s="1" customFormat="1" ht="15" customHeight="1" x14ac:dyDescent="0.25">
      <c r="A287" s="35">
        <v>42627</v>
      </c>
      <c r="B287" s="1" t="s">
        <v>58</v>
      </c>
      <c r="C287" s="1" t="s">
        <v>330</v>
      </c>
      <c r="D287" s="1" t="s">
        <v>1823</v>
      </c>
      <c r="E287" s="90" t="s">
        <v>523</v>
      </c>
      <c r="F287" s="73" t="s">
        <v>412</v>
      </c>
      <c r="G287" s="90" t="s">
        <v>701</v>
      </c>
      <c r="H287" s="91">
        <v>47.290689999999998</v>
      </c>
      <c r="I287" s="91">
        <v>-122.60673</v>
      </c>
      <c r="J287" s="95"/>
      <c r="K287" s="95"/>
      <c r="L287" s="73" t="s">
        <v>148</v>
      </c>
      <c r="M287" s="71"/>
      <c r="N287" s="90"/>
      <c r="O287" s="90" t="s">
        <v>89</v>
      </c>
      <c r="P287" s="90" t="s">
        <v>409</v>
      </c>
      <c r="Q287" s="96" t="s">
        <v>524</v>
      </c>
      <c r="R287" s="100" t="s">
        <v>332</v>
      </c>
      <c r="S287" s="131" t="s">
        <v>840</v>
      </c>
    </row>
    <row r="288" spans="1:19" s="1" customFormat="1" ht="15" customHeight="1" x14ac:dyDescent="0.25">
      <c r="A288" s="35">
        <v>42628</v>
      </c>
      <c r="B288" s="1" t="s">
        <v>58</v>
      </c>
      <c r="C288" s="1" t="s">
        <v>9</v>
      </c>
      <c r="D288" s="1" t="s">
        <v>835</v>
      </c>
      <c r="E288" s="90" t="s">
        <v>523</v>
      </c>
      <c r="F288" s="73" t="s">
        <v>412</v>
      </c>
      <c r="G288" s="90" t="s">
        <v>701</v>
      </c>
      <c r="H288" s="91">
        <v>47.138083000000002</v>
      </c>
      <c r="I288" s="91">
        <v>-122.72331699999999</v>
      </c>
      <c r="J288" s="95"/>
      <c r="K288" s="95"/>
      <c r="L288" s="73" t="s">
        <v>148</v>
      </c>
      <c r="M288" s="71"/>
      <c r="N288" s="90" t="s">
        <v>793</v>
      </c>
      <c r="O288" s="90" t="s">
        <v>89</v>
      </c>
      <c r="P288" s="90" t="s">
        <v>409</v>
      </c>
      <c r="Q288" s="96" t="s">
        <v>525</v>
      </c>
      <c r="R288" s="100" t="s">
        <v>351</v>
      </c>
      <c r="S288" s="131" t="s">
        <v>841</v>
      </c>
    </row>
    <row r="289" spans="1:19" s="1" customFormat="1" ht="15" customHeight="1" x14ac:dyDescent="0.25">
      <c r="A289" s="35">
        <v>42628</v>
      </c>
      <c r="B289" s="1" t="s">
        <v>58</v>
      </c>
      <c r="C289" s="1" t="s">
        <v>9</v>
      </c>
      <c r="D289" s="1" t="s">
        <v>834</v>
      </c>
      <c r="E289" s="90" t="s">
        <v>523</v>
      </c>
      <c r="F289" s="73" t="s">
        <v>412</v>
      </c>
      <c r="G289" s="90" t="s">
        <v>701</v>
      </c>
      <c r="H289" s="91">
        <v>47.1374</v>
      </c>
      <c r="I289" s="91">
        <v>-122.722217</v>
      </c>
      <c r="J289" s="95"/>
      <c r="K289" s="95"/>
      <c r="L289" s="73" t="s">
        <v>148</v>
      </c>
      <c r="M289" s="71"/>
      <c r="N289" s="90" t="s">
        <v>793</v>
      </c>
      <c r="O289" s="90" t="s">
        <v>89</v>
      </c>
      <c r="P289" s="90" t="s">
        <v>409</v>
      </c>
      <c r="Q289" s="96" t="s">
        <v>525</v>
      </c>
      <c r="R289" s="100" t="s">
        <v>350</v>
      </c>
      <c r="S289" s="131" t="s">
        <v>841</v>
      </c>
    </row>
    <row r="290" spans="1:19" s="1" customFormat="1" ht="15" customHeight="1" x14ac:dyDescent="0.25">
      <c r="A290" s="35">
        <v>42628</v>
      </c>
      <c r="B290" s="1" t="s">
        <v>58</v>
      </c>
      <c r="C290" s="1" t="s">
        <v>9</v>
      </c>
      <c r="D290" s="1" t="s">
        <v>833</v>
      </c>
      <c r="E290" s="90" t="s">
        <v>523</v>
      </c>
      <c r="F290" s="73" t="s">
        <v>412</v>
      </c>
      <c r="G290" s="90" t="s">
        <v>701</v>
      </c>
      <c r="H290" s="91">
        <v>47.132550000000002</v>
      </c>
      <c r="I290" s="91">
        <v>-122.71776699999999</v>
      </c>
      <c r="J290" s="95"/>
      <c r="K290" s="95"/>
      <c r="L290" s="73" t="s">
        <v>148</v>
      </c>
      <c r="M290" s="71"/>
      <c r="N290" s="90"/>
      <c r="O290" s="90" t="s">
        <v>89</v>
      </c>
      <c r="P290" s="90" t="s">
        <v>409</v>
      </c>
      <c r="Q290" s="96" t="s">
        <v>525</v>
      </c>
      <c r="R290" s="100" t="s">
        <v>349</v>
      </c>
      <c r="S290" s="131" t="s">
        <v>841</v>
      </c>
    </row>
    <row r="291" spans="1:19" s="1" customFormat="1" ht="15" customHeight="1" x14ac:dyDescent="0.25">
      <c r="A291" s="35">
        <v>42628</v>
      </c>
      <c r="B291" s="1" t="s">
        <v>58</v>
      </c>
      <c r="C291" s="1" t="s">
        <v>9</v>
      </c>
      <c r="D291" s="1" t="s">
        <v>1536</v>
      </c>
      <c r="E291" s="90" t="s">
        <v>523</v>
      </c>
      <c r="F291" s="73" t="s">
        <v>412</v>
      </c>
      <c r="G291" s="90" t="s">
        <v>701</v>
      </c>
      <c r="H291" s="91">
        <v>47.140307999999997</v>
      </c>
      <c r="I291" s="91">
        <v>-122.683087</v>
      </c>
      <c r="J291" s="95"/>
      <c r="K291" s="95"/>
      <c r="L291" s="73" t="s">
        <v>148</v>
      </c>
      <c r="M291" s="71"/>
      <c r="N291" s="90"/>
      <c r="O291" s="90" t="s">
        <v>89</v>
      </c>
      <c r="P291" s="90" t="s">
        <v>409</v>
      </c>
      <c r="Q291" s="96" t="s">
        <v>524</v>
      </c>
      <c r="R291" s="100" t="s">
        <v>343</v>
      </c>
      <c r="S291" s="131" t="s">
        <v>840</v>
      </c>
    </row>
    <row r="292" spans="1:19" s="1" customFormat="1" ht="15" customHeight="1" x14ac:dyDescent="0.25">
      <c r="A292" s="35">
        <v>42628</v>
      </c>
      <c r="B292" s="1" t="s">
        <v>58</v>
      </c>
      <c r="C292" s="1" t="s">
        <v>9</v>
      </c>
      <c r="D292" s="1" t="s">
        <v>1537</v>
      </c>
      <c r="E292" s="90" t="s">
        <v>523</v>
      </c>
      <c r="F292" s="73" t="s">
        <v>412</v>
      </c>
      <c r="G292" s="90" t="s">
        <v>701</v>
      </c>
      <c r="H292" s="91">
        <v>47.144016999999998</v>
      </c>
      <c r="I292" s="91">
        <v>-122.675967</v>
      </c>
      <c r="J292" s="95"/>
      <c r="K292" s="95"/>
      <c r="L292" s="73" t="s">
        <v>148</v>
      </c>
      <c r="M292" s="71"/>
      <c r="N292" s="90" t="s">
        <v>793</v>
      </c>
      <c r="O292" s="90"/>
      <c r="P292" s="90" t="s">
        <v>522</v>
      </c>
      <c r="Q292" s="96" t="s">
        <v>372</v>
      </c>
      <c r="R292" s="100" t="s">
        <v>344</v>
      </c>
      <c r="S292" s="131" t="s">
        <v>840</v>
      </c>
    </row>
    <row r="293" spans="1:19" s="1" customFormat="1" ht="15" customHeight="1" x14ac:dyDescent="0.25">
      <c r="A293" s="35">
        <v>42628</v>
      </c>
      <c r="B293" s="1" t="s">
        <v>58</v>
      </c>
      <c r="C293" s="1" t="s">
        <v>9</v>
      </c>
      <c r="D293" s="1" t="s">
        <v>1538</v>
      </c>
      <c r="E293" s="90" t="s">
        <v>523</v>
      </c>
      <c r="F293" s="73" t="s">
        <v>412</v>
      </c>
      <c r="G293" s="90" t="s">
        <v>701</v>
      </c>
      <c r="H293" s="91">
        <v>47.135283999999999</v>
      </c>
      <c r="I293" s="91">
        <v>-122.697599</v>
      </c>
      <c r="J293" s="95"/>
      <c r="K293" s="95"/>
      <c r="L293" s="73" t="s">
        <v>148</v>
      </c>
      <c r="M293" s="71"/>
      <c r="N293" s="90"/>
      <c r="O293" s="90"/>
      <c r="P293" s="90" t="s">
        <v>409</v>
      </c>
      <c r="Q293" s="96" t="s">
        <v>524</v>
      </c>
      <c r="R293" s="100" t="s">
        <v>348</v>
      </c>
      <c r="S293" s="131" t="s">
        <v>841</v>
      </c>
    </row>
    <row r="294" spans="1:19" s="1" customFormat="1" ht="15" customHeight="1" x14ac:dyDescent="0.25">
      <c r="A294" s="35">
        <v>42628</v>
      </c>
      <c r="B294" s="1" t="s">
        <v>58</v>
      </c>
      <c r="C294" s="1" t="s">
        <v>9</v>
      </c>
      <c r="D294" s="1" t="s">
        <v>1539</v>
      </c>
      <c r="E294" s="90" t="s">
        <v>523</v>
      </c>
      <c r="F294" s="73" t="s">
        <v>412</v>
      </c>
      <c r="G294" s="90" t="s">
        <v>701</v>
      </c>
      <c r="H294" s="91">
        <v>47.138632999999999</v>
      </c>
      <c r="I294" s="91">
        <v>-122.70653</v>
      </c>
      <c r="J294" s="95"/>
      <c r="K294" s="95"/>
      <c r="L294" s="73" t="s">
        <v>148</v>
      </c>
      <c r="M294" s="71"/>
      <c r="N294" s="90" t="s">
        <v>785</v>
      </c>
      <c r="O294" s="90" t="s">
        <v>89</v>
      </c>
      <c r="P294" s="90" t="s">
        <v>409</v>
      </c>
      <c r="Q294" s="96" t="s">
        <v>524</v>
      </c>
      <c r="R294" s="100" t="s">
        <v>347</v>
      </c>
      <c r="S294" s="131" t="s">
        <v>841</v>
      </c>
    </row>
    <row r="295" spans="1:19" s="1" customFormat="1" ht="15" customHeight="1" x14ac:dyDescent="0.25">
      <c r="A295" s="35">
        <v>42628</v>
      </c>
      <c r="B295" s="1" t="s">
        <v>58</v>
      </c>
      <c r="C295" s="1" t="s">
        <v>9</v>
      </c>
      <c r="D295" s="1" t="s">
        <v>1540</v>
      </c>
      <c r="E295" s="90" t="s">
        <v>523</v>
      </c>
      <c r="F295" s="73" t="s">
        <v>412</v>
      </c>
      <c r="G295" s="90" t="s">
        <v>701</v>
      </c>
      <c r="H295" s="91">
        <v>47.143656999999997</v>
      </c>
      <c r="I295" s="91">
        <v>-122.686994</v>
      </c>
      <c r="J295" s="95"/>
      <c r="K295" s="95"/>
      <c r="L295" s="73" t="s">
        <v>148</v>
      </c>
      <c r="M295" s="71"/>
      <c r="N295" s="90"/>
      <c r="O295" s="90" t="s">
        <v>89</v>
      </c>
      <c r="P295" s="90" t="s">
        <v>409</v>
      </c>
      <c r="Q295" s="96" t="s">
        <v>524</v>
      </c>
      <c r="R295" s="100" t="s">
        <v>345</v>
      </c>
      <c r="S295" s="131" t="s">
        <v>841</v>
      </c>
    </row>
    <row r="296" spans="1:19" s="1" customFormat="1" ht="15" customHeight="1" x14ac:dyDescent="0.25">
      <c r="A296" s="35">
        <v>42628</v>
      </c>
      <c r="B296" s="1" t="s">
        <v>58</v>
      </c>
      <c r="C296" s="1" t="s">
        <v>9</v>
      </c>
      <c r="D296" s="1" t="s">
        <v>1541</v>
      </c>
      <c r="E296" s="90" t="s">
        <v>523</v>
      </c>
      <c r="F296" s="73" t="s">
        <v>412</v>
      </c>
      <c r="G296" s="90" t="s">
        <v>701</v>
      </c>
      <c r="H296" s="91">
        <v>47.144215000000003</v>
      </c>
      <c r="I296" s="91">
        <v>-122.695925</v>
      </c>
      <c r="J296" s="95"/>
      <c r="K296" s="95"/>
      <c r="L296" s="73" t="s">
        <v>148</v>
      </c>
      <c r="M296" s="71"/>
      <c r="N296" s="90"/>
      <c r="O296" s="90" t="s">
        <v>89</v>
      </c>
      <c r="P296" s="90" t="s">
        <v>409</v>
      </c>
      <c r="Q296" s="96" t="s">
        <v>525</v>
      </c>
      <c r="R296" s="100" t="s">
        <v>346</v>
      </c>
      <c r="S296" s="131" t="s">
        <v>841</v>
      </c>
    </row>
    <row r="297" spans="1:19" s="1" customFormat="1" ht="15" customHeight="1" x14ac:dyDescent="0.25">
      <c r="A297" s="35">
        <v>42628</v>
      </c>
      <c r="B297" s="1" t="s">
        <v>58</v>
      </c>
      <c r="C297" s="1" t="s">
        <v>9</v>
      </c>
      <c r="D297" s="1" t="s">
        <v>1542</v>
      </c>
      <c r="E297" s="90" t="s">
        <v>523</v>
      </c>
      <c r="F297" s="73" t="s">
        <v>412</v>
      </c>
      <c r="G297" s="90" t="s">
        <v>701</v>
      </c>
      <c r="H297" s="91">
        <v>47.170783</v>
      </c>
      <c r="I297" s="91">
        <v>-122.728883</v>
      </c>
      <c r="J297" s="95"/>
      <c r="K297" s="95"/>
      <c r="L297" s="73" t="s">
        <v>148</v>
      </c>
      <c r="M297" s="71"/>
      <c r="N297" s="90"/>
      <c r="O297" s="90"/>
      <c r="P297" s="90" t="s">
        <v>409</v>
      </c>
      <c r="Q297" s="96" t="s">
        <v>524</v>
      </c>
      <c r="R297" s="100" t="s">
        <v>352</v>
      </c>
      <c r="S297" s="131" t="s">
        <v>841</v>
      </c>
    </row>
    <row r="298" spans="1:19" s="1" customFormat="1" ht="15" customHeight="1" x14ac:dyDescent="0.25">
      <c r="A298" s="35">
        <v>42628</v>
      </c>
      <c r="B298" s="1" t="s">
        <v>58</v>
      </c>
      <c r="C298" s="1" t="s">
        <v>71</v>
      </c>
      <c r="D298" s="1" t="s">
        <v>1576</v>
      </c>
      <c r="E298" s="90" t="s">
        <v>523</v>
      </c>
      <c r="F298" s="73" t="s">
        <v>412</v>
      </c>
      <c r="G298" s="90" t="s">
        <v>701</v>
      </c>
      <c r="H298" s="91">
        <v>47.174914000000001</v>
      </c>
      <c r="I298" s="91">
        <v>-122.749509</v>
      </c>
      <c r="J298" s="95"/>
      <c r="K298" s="95"/>
      <c r="L298" s="73" t="s">
        <v>148</v>
      </c>
      <c r="M298" s="71"/>
      <c r="N298" s="90" t="s">
        <v>785</v>
      </c>
      <c r="O298" s="90"/>
      <c r="P298" s="90" t="s">
        <v>409</v>
      </c>
      <c r="Q298" s="96" t="s">
        <v>525</v>
      </c>
      <c r="R298" s="100" t="s">
        <v>353</v>
      </c>
      <c r="S298" s="131" t="s">
        <v>841</v>
      </c>
    </row>
    <row r="299" spans="1:19" s="1" customFormat="1" ht="15" customHeight="1" x14ac:dyDescent="0.25">
      <c r="A299" s="35">
        <v>42628</v>
      </c>
      <c r="B299" s="1" t="s">
        <v>58</v>
      </c>
      <c r="C299" s="1" t="s">
        <v>71</v>
      </c>
      <c r="D299" s="1" t="s">
        <v>1577</v>
      </c>
      <c r="E299" s="90" t="s">
        <v>523</v>
      </c>
      <c r="F299" s="73" t="s">
        <v>412</v>
      </c>
      <c r="G299" s="90" t="s">
        <v>701</v>
      </c>
      <c r="H299" s="91">
        <v>47.178821999999997</v>
      </c>
      <c r="I299" s="91">
        <v>-122.747276</v>
      </c>
      <c r="J299" s="95"/>
      <c r="K299" s="95"/>
      <c r="L299" s="73" t="s">
        <v>148</v>
      </c>
      <c r="M299" s="71"/>
      <c r="N299" s="90" t="s">
        <v>793</v>
      </c>
      <c r="O299" s="90"/>
      <c r="P299" s="90" t="s">
        <v>409</v>
      </c>
      <c r="Q299" s="96" t="s">
        <v>294</v>
      </c>
      <c r="R299" s="100" t="s">
        <v>354</v>
      </c>
      <c r="S299" s="131" t="s">
        <v>841</v>
      </c>
    </row>
    <row r="300" spans="1:19" s="1" customFormat="1" ht="15" customHeight="1" x14ac:dyDescent="0.25">
      <c r="A300" s="35">
        <v>42628</v>
      </c>
      <c r="B300" s="1" t="s">
        <v>58</v>
      </c>
      <c r="C300" s="1" t="s">
        <v>71</v>
      </c>
      <c r="D300" s="1" t="s">
        <v>1578</v>
      </c>
      <c r="E300" s="90" t="s">
        <v>523</v>
      </c>
      <c r="F300" s="73" t="s">
        <v>412</v>
      </c>
      <c r="G300" s="90" t="s">
        <v>701</v>
      </c>
      <c r="H300" s="91">
        <v>47.181612000000001</v>
      </c>
      <c r="I300" s="91">
        <v>-122.74839299999999</v>
      </c>
      <c r="J300" s="95"/>
      <c r="K300" s="95"/>
      <c r="L300" s="73" t="s">
        <v>148</v>
      </c>
      <c r="M300" s="71"/>
      <c r="N300" s="90" t="s">
        <v>785</v>
      </c>
      <c r="O300" s="90"/>
      <c r="P300" s="90" t="s">
        <v>409</v>
      </c>
      <c r="Q300" s="96" t="s">
        <v>524</v>
      </c>
      <c r="R300" s="100" t="s">
        <v>355</v>
      </c>
      <c r="S300" s="131" t="s">
        <v>841</v>
      </c>
    </row>
    <row r="301" spans="1:19" s="1" customFormat="1" ht="15" customHeight="1" x14ac:dyDescent="0.25">
      <c r="A301" s="35">
        <v>42628</v>
      </c>
      <c r="B301" s="1" t="s">
        <v>58</v>
      </c>
      <c r="C301" s="1" t="s">
        <v>71</v>
      </c>
      <c r="D301" s="1" t="s">
        <v>1579</v>
      </c>
      <c r="E301" s="90" t="s">
        <v>523</v>
      </c>
      <c r="F301" s="73" t="s">
        <v>412</v>
      </c>
      <c r="G301" s="90" t="s">
        <v>701</v>
      </c>
      <c r="H301" s="91">
        <v>47.195008000000001</v>
      </c>
      <c r="I301" s="91">
        <v>-122.740578</v>
      </c>
      <c r="J301" s="95"/>
      <c r="K301" s="95"/>
      <c r="L301" s="73" t="s">
        <v>148</v>
      </c>
      <c r="M301" s="71"/>
      <c r="N301" s="90"/>
      <c r="O301" s="90" t="s">
        <v>89</v>
      </c>
      <c r="P301" s="90" t="s">
        <v>409</v>
      </c>
      <c r="Q301" s="96" t="s">
        <v>524</v>
      </c>
      <c r="R301" s="100" t="s">
        <v>356</v>
      </c>
      <c r="S301" s="131" t="s">
        <v>841</v>
      </c>
    </row>
    <row r="302" spans="1:19" s="1" customFormat="1" ht="15" customHeight="1" x14ac:dyDescent="0.25">
      <c r="A302" s="35">
        <v>42628</v>
      </c>
      <c r="B302" s="1" t="s">
        <v>58</v>
      </c>
      <c r="C302" s="1" t="s">
        <v>71</v>
      </c>
      <c r="D302" s="1" t="s">
        <v>1580</v>
      </c>
      <c r="E302" s="90" t="s">
        <v>523</v>
      </c>
      <c r="F302" s="73" t="s">
        <v>412</v>
      </c>
      <c r="G302" s="90" t="s">
        <v>701</v>
      </c>
      <c r="H302" s="91">
        <v>47.200032</v>
      </c>
      <c r="I302" s="91">
        <v>-122.743927</v>
      </c>
      <c r="J302" s="95"/>
      <c r="K302" s="95"/>
      <c r="L302" s="73" t="s">
        <v>148</v>
      </c>
      <c r="M302" s="71"/>
      <c r="N302" s="90"/>
      <c r="O302" s="90" t="s">
        <v>781</v>
      </c>
      <c r="P302" s="90" t="s">
        <v>409</v>
      </c>
      <c r="Q302" s="96" t="s">
        <v>524</v>
      </c>
      <c r="R302" s="100" t="s">
        <v>357</v>
      </c>
      <c r="S302" s="131" t="s">
        <v>841</v>
      </c>
    </row>
    <row r="303" spans="1:19" s="1" customFormat="1" ht="15" customHeight="1" x14ac:dyDescent="0.25">
      <c r="A303" s="35">
        <v>42628</v>
      </c>
      <c r="B303" s="1" t="s">
        <v>58</v>
      </c>
      <c r="C303" s="1" t="s">
        <v>358</v>
      </c>
      <c r="D303" s="1" t="s">
        <v>836</v>
      </c>
      <c r="E303" s="90" t="s">
        <v>523</v>
      </c>
      <c r="F303" s="73" t="s">
        <v>412</v>
      </c>
      <c r="G303" s="90" t="s">
        <v>701</v>
      </c>
      <c r="H303" s="91">
        <v>47.213456999999998</v>
      </c>
      <c r="I303" s="91">
        <v>-122.748115</v>
      </c>
      <c r="J303" s="95"/>
      <c r="K303" s="95"/>
      <c r="L303" s="73" t="s">
        <v>148</v>
      </c>
      <c r="M303" s="71"/>
      <c r="N303" s="90" t="s">
        <v>785</v>
      </c>
      <c r="O303" s="90"/>
      <c r="P303" s="90" t="s">
        <v>409</v>
      </c>
      <c r="Q303" s="96" t="s">
        <v>525</v>
      </c>
      <c r="R303" s="100" t="s">
        <v>359</v>
      </c>
      <c r="S303" s="131" t="s">
        <v>841</v>
      </c>
    </row>
    <row r="304" spans="1:19" s="1" customFormat="1" ht="15" customHeight="1" x14ac:dyDescent="0.25">
      <c r="A304" s="35">
        <v>42628</v>
      </c>
      <c r="B304" s="1" t="s">
        <v>58</v>
      </c>
      <c r="C304" s="1" t="s">
        <v>33</v>
      </c>
      <c r="D304" s="1" t="s">
        <v>837</v>
      </c>
      <c r="E304" s="90" t="s">
        <v>523</v>
      </c>
      <c r="F304" s="73" t="s">
        <v>412</v>
      </c>
      <c r="G304" s="90" t="s">
        <v>701</v>
      </c>
      <c r="H304" s="91">
        <v>47.205275999999998</v>
      </c>
      <c r="I304" s="91">
        <v>-122.727816</v>
      </c>
      <c r="J304" s="95"/>
      <c r="K304" s="95"/>
      <c r="L304" s="73" t="s">
        <v>148</v>
      </c>
      <c r="M304" s="71"/>
      <c r="N304" s="90"/>
      <c r="O304" s="90" t="s">
        <v>89</v>
      </c>
      <c r="P304" s="90" t="s">
        <v>409</v>
      </c>
      <c r="Q304" s="96" t="s">
        <v>294</v>
      </c>
      <c r="R304" s="100" t="s">
        <v>360</v>
      </c>
      <c r="S304" s="131" t="s">
        <v>841</v>
      </c>
    </row>
    <row r="305" spans="1:19" s="1" customFormat="1" ht="15" customHeight="1" x14ac:dyDescent="0.25">
      <c r="A305" s="35">
        <v>42628</v>
      </c>
      <c r="B305" s="1" t="s">
        <v>58</v>
      </c>
      <c r="C305" s="1" t="s">
        <v>33</v>
      </c>
      <c r="D305" s="1" t="s">
        <v>1649</v>
      </c>
      <c r="E305" s="90" t="s">
        <v>523</v>
      </c>
      <c r="F305" s="73" t="s">
        <v>412</v>
      </c>
      <c r="G305" s="90" t="s">
        <v>701</v>
      </c>
      <c r="H305" s="91">
        <v>47.213985999999998</v>
      </c>
      <c r="I305" s="91">
        <v>-122.662993</v>
      </c>
      <c r="J305" s="95"/>
      <c r="K305" s="95"/>
      <c r="L305" s="73" t="s">
        <v>148</v>
      </c>
      <c r="M305" s="71"/>
      <c r="N305" s="90"/>
      <c r="O305" s="90" t="s">
        <v>89</v>
      </c>
      <c r="P305" s="90" t="s">
        <v>409</v>
      </c>
      <c r="Q305" s="96" t="s">
        <v>524</v>
      </c>
      <c r="R305" s="100" t="s">
        <v>341</v>
      </c>
      <c r="S305" s="131" t="s">
        <v>840</v>
      </c>
    </row>
    <row r="306" spans="1:19" s="1" customFormat="1" ht="15" customHeight="1" x14ac:dyDescent="0.25">
      <c r="A306" s="35">
        <v>42628</v>
      </c>
      <c r="B306" s="1" t="s">
        <v>58</v>
      </c>
      <c r="C306" s="1" t="s">
        <v>33</v>
      </c>
      <c r="D306" s="1" t="s">
        <v>1650</v>
      </c>
      <c r="E306" s="90" t="s">
        <v>523</v>
      </c>
      <c r="F306" s="73" t="s">
        <v>412</v>
      </c>
      <c r="G306" s="90" t="s">
        <v>701</v>
      </c>
      <c r="H306" s="91">
        <v>47.217892999999997</v>
      </c>
      <c r="I306" s="91">
        <v>-122.667458</v>
      </c>
      <c r="J306" s="95"/>
      <c r="K306" s="95"/>
      <c r="L306" s="73" t="s">
        <v>148</v>
      </c>
      <c r="M306" s="71"/>
      <c r="N306" s="90"/>
      <c r="O306" s="90"/>
      <c r="P306" s="90" t="s">
        <v>409</v>
      </c>
      <c r="Q306" s="96" t="s">
        <v>524</v>
      </c>
      <c r="R306" s="100" t="s">
        <v>340</v>
      </c>
      <c r="S306" s="131" t="s">
        <v>840</v>
      </c>
    </row>
    <row r="307" spans="1:19" s="1" customFormat="1" ht="15" customHeight="1" x14ac:dyDescent="0.25">
      <c r="A307" s="35">
        <v>42628</v>
      </c>
      <c r="B307" s="1" t="s">
        <v>58</v>
      </c>
      <c r="C307" s="1" t="s">
        <v>33</v>
      </c>
      <c r="D307" s="1" t="s">
        <v>1651</v>
      </c>
      <c r="E307" s="90" t="s">
        <v>523</v>
      </c>
      <c r="F307" s="73" t="s">
        <v>412</v>
      </c>
      <c r="G307" s="90" t="s">
        <v>701</v>
      </c>
      <c r="H307" s="91">
        <v>47.223475000000001</v>
      </c>
      <c r="I307" s="91">
        <v>-122.669133</v>
      </c>
      <c r="J307" s="95"/>
      <c r="K307" s="95"/>
      <c r="L307" s="73" t="s">
        <v>148</v>
      </c>
      <c r="M307" s="71"/>
      <c r="N307" s="90"/>
      <c r="O307" s="90"/>
      <c r="P307" s="90" t="s">
        <v>409</v>
      </c>
      <c r="Q307" s="96" t="s">
        <v>524</v>
      </c>
      <c r="R307" s="100" t="s">
        <v>339</v>
      </c>
      <c r="S307" s="131" t="s">
        <v>840</v>
      </c>
    </row>
    <row r="308" spans="1:19" s="1" customFormat="1" ht="15" customHeight="1" x14ac:dyDescent="0.25">
      <c r="A308" s="35">
        <v>42628</v>
      </c>
      <c r="B308" s="1" t="s">
        <v>58</v>
      </c>
      <c r="C308" s="1" t="s">
        <v>33</v>
      </c>
      <c r="D308" s="1" t="s">
        <v>1828</v>
      </c>
      <c r="E308" s="90" t="s">
        <v>523</v>
      </c>
      <c r="F308" s="73" t="s">
        <v>412</v>
      </c>
      <c r="G308" s="90" t="s">
        <v>701</v>
      </c>
      <c r="H308" s="91">
        <v>47.191617000000001</v>
      </c>
      <c r="I308" s="91">
        <v>-122.671733</v>
      </c>
      <c r="J308" s="95"/>
      <c r="K308" s="95"/>
      <c r="L308" s="73" t="s">
        <v>148</v>
      </c>
      <c r="M308" s="71"/>
      <c r="N308" s="90"/>
      <c r="O308" s="90" t="s">
        <v>89</v>
      </c>
      <c r="P308" s="90" t="s">
        <v>409</v>
      </c>
      <c r="Q308" s="96" t="s">
        <v>525</v>
      </c>
      <c r="R308" s="100" t="s">
        <v>338</v>
      </c>
      <c r="S308" s="131" t="s">
        <v>840</v>
      </c>
    </row>
    <row r="309" spans="1:19" s="1" customFormat="1" ht="15" customHeight="1" x14ac:dyDescent="0.25">
      <c r="A309" s="35">
        <v>42628</v>
      </c>
      <c r="B309" s="1" t="s">
        <v>58</v>
      </c>
      <c r="C309" s="1" t="s">
        <v>33</v>
      </c>
      <c r="D309" s="1" t="s">
        <v>1829</v>
      </c>
      <c r="E309" s="90" t="s">
        <v>523</v>
      </c>
      <c r="F309" s="73" t="s">
        <v>412</v>
      </c>
      <c r="G309" s="90" t="s">
        <v>701</v>
      </c>
      <c r="H309" s="91">
        <v>47.191633000000003</v>
      </c>
      <c r="I309" s="91">
        <v>-122.671567</v>
      </c>
      <c r="J309" s="95"/>
      <c r="K309" s="95"/>
      <c r="L309" s="73" t="s">
        <v>148</v>
      </c>
      <c r="M309" s="71"/>
      <c r="N309" s="90" t="s">
        <v>793</v>
      </c>
      <c r="O309" s="90"/>
      <c r="P309" s="90" t="s">
        <v>521</v>
      </c>
      <c r="Q309" s="96" t="s">
        <v>372</v>
      </c>
      <c r="R309" s="100" t="s">
        <v>342</v>
      </c>
      <c r="S309" s="131" t="s">
        <v>840</v>
      </c>
    </row>
    <row r="310" spans="1:19" s="1" customFormat="1" ht="15" customHeight="1" x14ac:dyDescent="0.25">
      <c r="A310" s="35">
        <v>42640</v>
      </c>
      <c r="B310" s="1" t="s">
        <v>58</v>
      </c>
      <c r="C310" s="1" t="s">
        <v>1691</v>
      </c>
      <c r="D310" s="1" t="s">
        <v>1688</v>
      </c>
      <c r="E310" s="90" t="s">
        <v>523</v>
      </c>
      <c r="F310" s="73" t="s">
        <v>691</v>
      </c>
      <c r="G310" s="90" t="s">
        <v>701</v>
      </c>
      <c r="H310" s="91">
        <v>48.356516666666664</v>
      </c>
      <c r="I310" s="91">
        <v>-122.67965</v>
      </c>
      <c r="J310" s="91">
        <v>48.356666666666669</v>
      </c>
      <c r="K310" s="91">
        <v>-122.67795</v>
      </c>
      <c r="L310" s="73" t="s">
        <v>148</v>
      </c>
      <c r="M310" s="63">
        <v>-3.5051999999999999</v>
      </c>
      <c r="N310" s="90" t="s">
        <v>793</v>
      </c>
      <c r="O310" s="90" t="s">
        <v>89</v>
      </c>
      <c r="P310" s="90" t="s">
        <v>409</v>
      </c>
      <c r="Q310" s="96" t="s">
        <v>525</v>
      </c>
      <c r="R310" s="100" t="s">
        <v>807</v>
      </c>
      <c r="S310" s="131" t="s">
        <v>797</v>
      </c>
    </row>
    <row r="311" spans="1:19" s="1" customFormat="1" ht="15" customHeight="1" x14ac:dyDescent="0.25">
      <c r="A311" s="35">
        <v>42640</v>
      </c>
      <c r="B311" s="1" t="s">
        <v>58</v>
      </c>
      <c r="C311" s="1" t="s">
        <v>1691</v>
      </c>
      <c r="D311" s="1" t="s">
        <v>1689</v>
      </c>
      <c r="E311" s="90" t="s">
        <v>523</v>
      </c>
      <c r="F311" s="73" t="s">
        <v>412</v>
      </c>
      <c r="G311" s="90" t="s">
        <v>701</v>
      </c>
      <c r="H311" s="91">
        <v>48.359949999999998</v>
      </c>
      <c r="I311" s="91">
        <v>-122.6747</v>
      </c>
      <c r="J311" s="95"/>
      <c r="K311" s="95"/>
      <c r="L311" s="73" t="s">
        <v>148</v>
      </c>
      <c r="M311" s="63">
        <v>-2.9565599999999996</v>
      </c>
      <c r="N311" s="90" t="s">
        <v>793</v>
      </c>
      <c r="O311" s="90" t="s">
        <v>89</v>
      </c>
      <c r="P311" s="90" t="s">
        <v>409</v>
      </c>
      <c r="Q311" s="96" t="s">
        <v>525</v>
      </c>
      <c r="R311" s="100" t="s">
        <v>806</v>
      </c>
      <c r="S311" s="131" t="s">
        <v>797</v>
      </c>
    </row>
    <row r="312" spans="1:19" s="1" customFormat="1" ht="15" customHeight="1" x14ac:dyDescent="0.25">
      <c r="A312" s="35">
        <v>42640</v>
      </c>
      <c r="B312" s="1" t="s">
        <v>58</v>
      </c>
      <c r="C312" s="1" t="s">
        <v>1691</v>
      </c>
      <c r="D312" s="1" t="s">
        <v>1690</v>
      </c>
      <c r="E312" s="90" t="s">
        <v>523</v>
      </c>
      <c r="F312" s="73" t="s">
        <v>412</v>
      </c>
      <c r="G312" s="90" t="s">
        <v>701</v>
      </c>
      <c r="H312" s="91">
        <v>48.385683333333333</v>
      </c>
      <c r="I312" s="91">
        <v>-122.66803333333333</v>
      </c>
      <c r="J312" s="95"/>
      <c r="K312" s="95"/>
      <c r="L312" s="73" t="s">
        <v>148</v>
      </c>
      <c r="M312" s="63">
        <v>-5.5778400000000001</v>
      </c>
      <c r="N312" s="90" t="s">
        <v>793</v>
      </c>
      <c r="O312" s="90" t="s">
        <v>89</v>
      </c>
      <c r="P312" s="90" t="s">
        <v>409</v>
      </c>
      <c r="Q312" s="96" t="s">
        <v>525</v>
      </c>
      <c r="R312" s="100" t="s">
        <v>805</v>
      </c>
      <c r="S312" s="131" t="s">
        <v>797</v>
      </c>
    </row>
    <row r="313" spans="1:19" s="1" customFormat="1" ht="15" customHeight="1" x14ac:dyDescent="0.25">
      <c r="A313" s="35">
        <v>42640</v>
      </c>
      <c r="B313" s="1" t="s">
        <v>58</v>
      </c>
      <c r="C313" s="1" t="s">
        <v>1691</v>
      </c>
      <c r="D313" s="1" t="s">
        <v>1683</v>
      </c>
      <c r="E313" s="90" t="s">
        <v>523</v>
      </c>
      <c r="F313" s="73" t="s">
        <v>412</v>
      </c>
      <c r="G313" s="90" t="s">
        <v>701</v>
      </c>
      <c r="H313" s="93">
        <v>48.257433333333331</v>
      </c>
      <c r="I313" s="93">
        <v>-122.75605</v>
      </c>
      <c r="J313" s="95"/>
      <c r="K313" s="95"/>
      <c r="L313" s="73" t="s">
        <v>148</v>
      </c>
      <c r="M313" s="63">
        <v>-4.2062400000000002</v>
      </c>
      <c r="N313" s="90" t="s">
        <v>793</v>
      </c>
      <c r="O313" s="90" t="s">
        <v>89</v>
      </c>
      <c r="P313" s="90" t="s">
        <v>521</v>
      </c>
      <c r="Q313" s="96" t="s">
        <v>372</v>
      </c>
      <c r="R313" s="100" t="s">
        <v>802</v>
      </c>
      <c r="S313" s="131" t="s">
        <v>797</v>
      </c>
    </row>
    <row r="314" spans="1:19" s="1" customFormat="1" ht="15" customHeight="1" x14ac:dyDescent="0.25">
      <c r="A314" s="35">
        <v>42640</v>
      </c>
      <c r="B314" s="1" t="s">
        <v>58</v>
      </c>
      <c r="C314" s="1" t="s">
        <v>1691</v>
      </c>
      <c r="D314" s="1" t="s">
        <v>1684</v>
      </c>
      <c r="E314" s="90" t="s">
        <v>523</v>
      </c>
      <c r="F314" s="73" t="s">
        <v>412</v>
      </c>
      <c r="G314" s="90" t="s">
        <v>701</v>
      </c>
      <c r="H314" s="93">
        <v>48.265300000000003</v>
      </c>
      <c r="I314" s="93">
        <v>-122.74871666666667</v>
      </c>
      <c r="J314" s="95"/>
      <c r="K314" s="95"/>
      <c r="L314" s="73" t="s">
        <v>148</v>
      </c>
      <c r="M314" s="63">
        <v>-4.9987199999999996</v>
      </c>
      <c r="N314" s="90" t="s">
        <v>793</v>
      </c>
      <c r="O314" s="90" t="s">
        <v>782</v>
      </c>
      <c r="P314" s="90" t="s">
        <v>521</v>
      </c>
      <c r="Q314" s="96" t="s">
        <v>372</v>
      </c>
      <c r="R314" s="100" t="s">
        <v>801</v>
      </c>
      <c r="S314" s="131" t="s">
        <v>797</v>
      </c>
    </row>
    <row r="315" spans="1:19" s="1" customFormat="1" ht="15" customHeight="1" x14ac:dyDescent="0.25">
      <c r="A315" s="35">
        <v>42640</v>
      </c>
      <c r="B315" s="1" t="s">
        <v>58</v>
      </c>
      <c r="C315" s="1" t="s">
        <v>1691</v>
      </c>
      <c r="D315" s="1" t="s">
        <v>1685</v>
      </c>
      <c r="E315" s="90" t="s">
        <v>523</v>
      </c>
      <c r="F315" s="73" t="s">
        <v>412</v>
      </c>
      <c r="G315" s="90" t="s">
        <v>701</v>
      </c>
      <c r="H315" s="93">
        <v>48.265500000000003</v>
      </c>
      <c r="I315" s="93">
        <v>-122.7499</v>
      </c>
      <c r="J315" s="95"/>
      <c r="K315" s="95"/>
      <c r="L315" s="73" t="s">
        <v>148</v>
      </c>
      <c r="M315" s="63">
        <v>-3.81</v>
      </c>
      <c r="N315" s="90" t="s">
        <v>793</v>
      </c>
      <c r="O315" s="90" t="s">
        <v>89</v>
      </c>
      <c r="P315" s="90" t="s">
        <v>409</v>
      </c>
      <c r="Q315" s="96" t="s">
        <v>524</v>
      </c>
      <c r="R315" s="100" t="s">
        <v>800</v>
      </c>
      <c r="S315" s="131" t="s">
        <v>797</v>
      </c>
    </row>
    <row r="316" spans="1:19" s="1" customFormat="1" ht="15" customHeight="1" x14ac:dyDescent="0.25">
      <c r="A316" s="35">
        <v>42640</v>
      </c>
      <c r="B316" s="1" t="s">
        <v>58</v>
      </c>
      <c r="C316" s="1" t="s">
        <v>1691</v>
      </c>
      <c r="D316" s="1" t="s">
        <v>1686</v>
      </c>
      <c r="E316" s="90" t="s">
        <v>523</v>
      </c>
      <c r="F316" s="73" t="s">
        <v>412</v>
      </c>
      <c r="G316" s="90" t="s">
        <v>701</v>
      </c>
      <c r="H316" s="91">
        <v>48.305116666666663</v>
      </c>
      <c r="I316" s="91">
        <v>-122.72533333333334</v>
      </c>
      <c r="J316" s="95"/>
      <c r="K316" s="95"/>
      <c r="L316" s="73" t="s">
        <v>148</v>
      </c>
      <c r="M316" s="71">
        <v>5</v>
      </c>
      <c r="N316" s="90" t="s">
        <v>793</v>
      </c>
      <c r="O316" s="90" t="s">
        <v>89</v>
      </c>
      <c r="P316" s="90" t="s">
        <v>521</v>
      </c>
      <c r="Q316" s="96" t="s">
        <v>372</v>
      </c>
      <c r="R316" s="100" t="s">
        <v>803</v>
      </c>
      <c r="S316" s="131" t="s">
        <v>797</v>
      </c>
    </row>
    <row r="317" spans="1:19" s="1" customFormat="1" ht="15" customHeight="1" x14ac:dyDescent="0.25">
      <c r="A317" s="35">
        <v>42640</v>
      </c>
      <c r="B317" s="1" t="s">
        <v>58</v>
      </c>
      <c r="C317" s="1" t="s">
        <v>1691</v>
      </c>
      <c r="D317" s="1" t="s">
        <v>1687</v>
      </c>
      <c r="E317" s="90" t="s">
        <v>523</v>
      </c>
      <c r="F317" s="73" t="s">
        <v>412</v>
      </c>
      <c r="G317" s="90" t="s">
        <v>701</v>
      </c>
      <c r="H317" s="91">
        <v>48.316283333333331</v>
      </c>
      <c r="I317" s="91">
        <v>-122.71451666666667</v>
      </c>
      <c r="J317" s="95"/>
      <c r="K317" s="95"/>
      <c r="L317" s="73" t="s">
        <v>148</v>
      </c>
      <c r="M317" s="71"/>
      <c r="N317" s="90" t="s">
        <v>793</v>
      </c>
      <c r="O317" s="90" t="s">
        <v>89</v>
      </c>
      <c r="P317" s="90" t="s">
        <v>521</v>
      </c>
      <c r="Q317" s="96" t="s">
        <v>372</v>
      </c>
      <c r="R317" s="100" t="s">
        <v>804</v>
      </c>
      <c r="S317" s="131" t="s">
        <v>797</v>
      </c>
    </row>
    <row r="318" spans="1:19" s="1" customFormat="1" ht="15" customHeight="1" x14ac:dyDescent="0.25">
      <c r="A318" s="35">
        <v>42640</v>
      </c>
      <c r="B318" s="1" t="s">
        <v>58</v>
      </c>
      <c r="C318" s="1" t="s">
        <v>798</v>
      </c>
      <c r="D318" s="1" t="s">
        <v>1765</v>
      </c>
      <c r="E318" s="90" t="s">
        <v>523</v>
      </c>
      <c r="F318" s="73" t="s">
        <v>412</v>
      </c>
      <c r="G318" s="90" t="s">
        <v>701</v>
      </c>
      <c r="H318" s="91">
        <v>48.422350000000002</v>
      </c>
      <c r="I318" s="91">
        <v>-122.5655</v>
      </c>
      <c r="J318" s="95"/>
      <c r="K318" s="95"/>
      <c r="L318" s="73" t="s">
        <v>148</v>
      </c>
      <c r="M318" s="63">
        <v>-1.4630399999999997</v>
      </c>
      <c r="N318" s="90" t="s">
        <v>785</v>
      </c>
      <c r="O318" s="90" t="s">
        <v>808</v>
      </c>
      <c r="P318" s="90" t="s">
        <v>291</v>
      </c>
      <c r="Q318" s="96" t="s">
        <v>372</v>
      </c>
      <c r="R318" s="105" t="s">
        <v>809</v>
      </c>
      <c r="S318" s="131" t="s">
        <v>797</v>
      </c>
    </row>
    <row r="319" spans="1:19" s="1" customFormat="1" ht="15" customHeight="1" x14ac:dyDescent="0.25">
      <c r="A319" s="35">
        <v>42640</v>
      </c>
      <c r="B319" s="1" t="s">
        <v>58</v>
      </c>
      <c r="C319" s="1" t="s">
        <v>798</v>
      </c>
      <c r="D319" s="1" t="s">
        <v>1766</v>
      </c>
      <c r="E319" s="90" t="s">
        <v>523</v>
      </c>
      <c r="F319" s="73" t="s">
        <v>412</v>
      </c>
      <c r="G319" s="90" t="s">
        <v>701</v>
      </c>
      <c r="H319" s="91">
        <v>48.424366666666664</v>
      </c>
      <c r="I319" s="91">
        <v>-122.58358333333334</v>
      </c>
      <c r="J319" s="95"/>
      <c r="K319" s="95"/>
      <c r="L319" s="73" t="s">
        <v>148</v>
      </c>
      <c r="M319" s="63">
        <v>-1.5849599999999999</v>
      </c>
      <c r="N319" s="90" t="s">
        <v>785</v>
      </c>
      <c r="O319" s="90" t="s">
        <v>808</v>
      </c>
      <c r="P319" s="90" t="s">
        <v>291</v>
      </c>
      <c r="Q319" s="96" t="s">
        <v>372</v>
      </c>
      <c r="R319" s="105" t="s">
        <v>810</v>
      </c>
      <c r="S319" s="131" t="s">
        <v>797</v>
      </c>
    </row>
    <row r="320" spans="1:19" s="1" customFormat="1" ht="15" customHeight="1" x14ac:dyDescent="0.25">
      <c r="A320" s="35">
        <v>42640</v>
      </c>
      <c r="B320" s="1" t="s">
        <v>58</v>
      </c>
      <c r="C320" s="1" t="s">
        <v>798</v>
      </c>
      <c r="D320" s="1" t="s">
        <v>1767</v>
      </c>
      <c r="E320" s="90" t="s">
        <v>523</v>
      </c>
      <c r="F320" s="73" t="s">
        <v>412</v>
      </c>
      <c r="G320" s="90" t="s">
        <v>701</v>
      </c>
      <c r="H320" s="91">
        <v>48.443716666666667</v>
      </c>
      <c r="I320" s="91">
        <v>-122.57248333333334</v>
      </c>
      <c r="J320" s="95"/>
      <c r="K320" s="95"/>
      <c r="L320" s="73" t="s">
        <v>148</v>
      </c>
      <c r="M320" s="63">
        <v>-1.1277600000000001</v>
      </c>
      <c r="N320" s="90" t="s">
        <v>785</v>
      </c>
      <c r="O320" s="90" t="s">
        <v>808</v>
      </c>
      <c r="P320" s="90" t="s">
        <v>291</v>
      </c>
      <c r="Q320" s="96" t="s">
        <v>372</v>
      </c>
      <c r="R320" s="105" t="s">
        <v>811</v>
      </c>
      <c r="S320" s="131" t="s">
        <v>797</v>
      </c>
    </row>
    <row r="321" spans="1:19" s="1" customFormat="1" ht="15" customHeight="1" x14ac:dyDescent="0.25">
      <c r="A321" s="35">
        <v>42641</v>
      </c>
      <c r="B321" s="1" t="s">
        <v>58</v>
      </c>
      <c r="C321" s="1" t="s">
        <v>57</v>
      </c>
      <c r="D321" s="1" t="s">
        <v>799</v>
      </c>
      <c r="E321" s="90" t="s">
        <v>523</v>
      </c>
      <c r="F321" s="73" t="s">
        <v>691</v>
      </c>
      <c r="G321" s="90" t="s">
        <v>701</v>
      </c>
      <c r="H321" s="91">
        <v>48.588116666666664</v>
      </c>
      <c r="I321" s="91">
        <v>-122.80934999999999</v>
      </c>
      <c r="J321" s="91">
        <v>48.588349999999998</v>
      </c>
      <c r="K321" s="91">
        <v>-122.80948333333333</v>
      </c>
      <c r="L321" s="73" t="s">
        <v>148</v>
      </c>
      <c r="M321" s="63">
        <v>-2.2250399999999999</v>
      </c>
      <c r="N321" s="90"/>
      <c r="O321" s="90"/>
      <c r="P321" s="90" t="s">
        <v>522</v>
      </c>
      <c r="Q321" s="96" t="s">
        <v>372</v>
      </c>
      <c r="R321" s="105" t="s">
        <v>816</v>
      </c>
      <c r="S321" s="131" t="s">
        <v>797</v>
      </c>
    </row>
    <row r="322" spans="1:19" s="1" customFormat="1" ht="15" customHeight="1" x14ac:dyDescent="0.25">
      <c r="A322" s="35">
        <v>42641</v>
      </c>
      <c r="B322" s="1" t="s">
        <v>58</v>
      </c>
      <c r="C322" s="1" t="s">
        <v>57</v>
      </c>
      <c r="D322" s="1" t="s">
        <v>799</v>
      </c>
      <c r="E322" s="90" t="s">
        <v>523</v>
      </c>
      <c r="F322" s="73" t="s">
        <v>412</v>
      </c>
      <c r="G322" s="90" t="s">
        <v>701</v>
      </c>
      <c r="H322" s="91">
        <v>48.585866666666668</v>
      </c>
      <c r="I322" s="91">
        <v>-122.80215</v>
      </c>
      <c r="J322" s="95"/>
      <c r="K322" s="95"/>
      <c r="L322" s="73" t="s">
        <v>148</v>
      </c>
      <c r="M322" s="63">
        <v>-3.2918400000000005</v>
      </c>
      <c r="N322" s="90"/>
      <c r="O322" s="90"/>
      <c r="P322" s="90" t="s">
        <v>291</v>
      </c>
      <c r="Q322" s="96" t="s">
        <v>372</v>
      </c>
      <c r="R322" s="105" t="s">
        <v>817</v>
      </c>
      <c r="S322" s="131" t="s">
        <v>797</v>
      </c>
    </row>
    <row r="323" spans="1:19" s="1" customFormat="1" ht="15" customHeight="1" x14ac:dyDescent="0.25">
      <c r="A323" s="35">
        <v>42641</v>
      </c>
      <c r="B323" s="1" t="s">
        <v>58</v>
      </c>
      <c r="C323" s="1" t="s">
        <v>56</v>
      </c>
      <c r="D323" s="1" t="s">
        <v>1680</v>
      </c>
      <c r="E323" s="90" t="s">
        <v>523</v>
      </c>
      <c r="F323" s="73" t="s">
        <v>691</v>
      </c>
      <c r="G323" s="90" t="s">
        <v>701</v>
      </c>
      <c r="H323" s="93">
        <v>48.750100000000003</v>
      </c>
      <c r="I323" s="93">
        <v>-122.58055</v>
      </c>
      <c r="J323" s="95">
        <v>48.749516666666665</v>
      </c>
      <c r="K323" s="95">
        <v>-122.58533333333334</v>
      </c>
      <c r="L323" s="73" t="s">
        <v>148</v>
      </c>
      <c r="M323" s="71">
        <v>-1.2</v>
      </c>
      <c r="N323" s="90" t="s">
        <v>793</v>
      </c>
      <c r="O323" s="90" t="s">
        <v>89</v>
      </c>
      <c r="P323" s="90" t="s">
        <v>409</v>
      </c>
      <c r="Q323" s="96" t="s">
        <v>294</v>
      </c>
      <c r="R323" s="105" t="s">
        <v>796</v>
      </c>
      <c r="S323" s="131" t="s">
        <v>797</v>
      </c>
    </row>
    <row r="324" spans="1:19" s="1" customFormat="1" ht="15" customHeight="1" x14ac:dyDescent="0.25">
      <c r="A324" s="35">
        <v>42641</v>
      </c>
      <c r="B324" s="1" t="s">
        <v>58</v>
      </c>
      <c r="C324" s="1" t="s">
        <v>56</v>
      </c>
      <c r="D324" s="1" t="s">
        <v>1681</v>
      </c>
      <c r="E324" s="90" t="s">
        <v>523</v>
      </c>
      <c r="F324" s="73" t="s">
        <v>691</v>
      </c>
      <c r="G324" s="90" t="s">
        <v>701</v>
      </c>
      <c r="H324" s="93">
        <v>48.758116666666666</v>
      </c>
      <c r="I324" s="93">
        <v>-122.53693333333334</v>
      </c>
      <c r="J324" s="95">
        <v>48.758416666666669</v>
      </c>
      <c r="K324" s="95">
        <v>-122.54693333333333</v>
      </c>
      <c r="L324" s="73" t="s">
        <v>148</v>
      </c>
      <c r="M324" s="71">
        <v>-1.2</v>
      </c>
      <c r="N324" s="90" t="s">
        <v>793</v>
      </c>
      <c r="O324" s="90" t="s">
        <v>89</v>
      </c>
      <c r="P324" s="90" t="s">
        <v>521</v>
      </c>
      <c r="Q324" s="96" t="s">
        <v>372</v>
      </c>
      <c r="R324" s="105" t="s">
        <v>794</v>
      </c>
      <c r="S324" s="131" t="s">
        <v>797</v>
      </c>
    </row>
    <row r="325" spans="1:19" s="1" customFormat="1" ht="15" customHeight="1" x14ac:dyDescent="0.25">
      <c r="A325" s="35">
        <v>42641</v>
      </c>
      <c r="B325" s="1" t="s">
        <v>58</v>
      </c>
      <c r="C325" s="1" t="s">
        <v>56</v>
      </c>
      <c r="D325" s="1" t="s">
        <v>1682</v>
      </c>
      <c r="E325" s="90" t="s">
        <v>523</v>
      </c>
      <c r="F325" s="73" t="s">
        <v>412</v>
      </c>
      <c r="G325" s="90" t="s">
        <v>701</v>
      </c>
      <c r="H325" s="93">
        <v>48.755583333333334</v>
      </c>
      <c r="I325" s="93">
        <v>-122.55848333333333</v>
      </c>
      <c r="J325" s="95"/>
      <c r="K325" s="95"/>
      <c r="L325" s="73" t="s">
        <v>148</v>
      </c>
      <c r="M325" s="71">
        <v>-1.2</v>
      </c>
      <c r="N325" s="90" t="s">
        <v>793</v>
      </c>
      <c r="O325" s="90" t="s">
        <v>89</v>
      </c>
      <c r="P325" s="90" t="s">
        <v>409</v>
      </c>
      <c r="Q325" s="96" t="s">
        <v>294</v>
      </c>
      <c r="R325" s="105" t="s">
        <v>795</v>
      </c>
      <c r="S325" s="131" t="s">
        <v>797</v>
      </c>
    </row>
    <row r="326" spans="1:19" s="1" customFormat="1" ht="15" customHeight="1" x14ac:dyDescent="0.25">
      <c r="A326" s="35">
        <v>42641</v>
      </c>
      <c r="B326" s="1" t="s">
        <v>58</v>
      </c>
      <c r="C326" s="1" t="s">
        <v>364</v>
      </c>
      <c r="D326" s="1" t="s">
        <v>1692</v>
      </c>
      <c r="E326" s="90" t="s">
        <v>523</v>
      </c>
      <c r="F326" s="73" t="s">
        <v>412</v>
      </c>
      <c r="G326" s="90" t="s">
        <v>701</v>
      </c>
      <c r="H326" s="91">
        <v>48.609333333333332</v>
      </c>
      <c r="I326" s="91">
        <v>-122.97928333333333</v>
      </c>
      <c r="J326" s="95"/>
      <c r="K326" s="95"/>
      <c r="L326" s="73" t="s">
        <v>148</v>
      </c>
      <c r="M326" s="71">
        <v>-4.0999999999999996</v>
      </c>
      <c r="N326" s="90" t="s">
        <v>793</v>
      </c>
      <c r="O326" s="90" t="s">
        <v>268</v>
      </c>
      <c r="P326" s="90" t="s">
        <v>409</v>
      </c>
      <c r="Q326" s="96" t="s">
        <v>524</v>
      </c>
      <c r="R326" s="100" t="s">
        <v>818</v>
      </c>
      <c r="S326" s="131" t="s">
        <v>797</v>
      </c>
    </row>
    <row r="327" spans="1:19" s="1" customFormat="1" ht="15" customHeight="1" x14ac:dyDescent="0.25">
      <c r="A327" s="35">
        <v>42641</v>
      </c>
      <c r="B327" s="1" t="s">
        <v>58</v>
      </c>
      <c r="C327" s="1" t="s">
        <v>364</v>
      </c>
      <c r="D327" s="1" t="s">
        <v>1693</v>
      </c>
      <c r="E327" s="90" t="s">
        <v>523</v>
      </c>
      <c r="F327" s="73" t="s">
        <v>412</v>
      </c>
      <c r="G327" s="90" t="s">
        <v>701</v>
      </c>
      <c r="H327" s="91">
        <v>48.613533333333336</v>
      </c>
      <c r="I327" s="91">
        <v>-122.97714999999999</v>
      </c>
      <c r="J327" s="95"/>
      <c r="K327" s="95"/>
      <c r="L327" s="73" t="s">
        <v>148</v>
      </c>
      <c r="M327" s="63">
        <v>-1.0972799999999998</v>
      </c>
      <c r="N327" s="90" t="s">
        <v>793</v>
      </c>
      <c r="O327" s="90" t="s">
        <v>268</v>
      </c>
      <c r="P327" s="90" t="s">
        <v>409</v>
      </c>
      <c r="Q327" s="96" t="s">
        <v>524</v>
      </c>
      <c r="R327" s="100" t="s">
        <v>365</v>
      </c>
      <c r="S327" s="131" t="s">
        <v>797</v>
      </c>
    </row>
    <row r="328" spans="1:19" s="1" customFormat="1" ht="15" customHeight="1" x14ac:dyDescent="0.25">
      <c r="A328" s="35">
        <v>42641</v>
      </c>
      <c r="B328" s="1" t="s">
        <v>58</v>
      </c>
      <c r="C328" s="1" t="s">
        <v>364</v>
      </c>
      <c r="D328" s="1" t="s">
        <v>1694</v>
      </c>
      <c r="E328" s="90" t="s">
        <v>523</v>
      </c>
      <c r="F328" s="73" t="s">
        <v>412</v>
      </c>
      <c r="G328" s="90" t="s">
        <v>701</v>
      </c>
      <c r="H328" s="91">
        <v>48.615549999999999</v>
      </c>
      <c r="I328" s="91">
        <v>-122.97866666666667</v>
      </c>
      <c r="J328" s="95"/>
      <c r="K328" s="95"/>
      <c r="L328" s="73" t="s">
        <v>148</v>
      </c>
      <c r="M328" s="63">
        <v>-5.2425600000000001</v>
      </c>
      <c r="N328" s="90" t="s">
        <v>793</v>
      </c>
      <c r="O328" s="90" t="s">
        <v>268</v>
      </c>
      <c r="P328" s="90" t="s">
        <v>409</v>
      </c>
      <c r="Q328" s="96" t="s">
        <v>524</v>
      </c>
      <c r="R328" s="100" t="s">
        <v>824</v>
      </c>
      <c r="S328" s="131" t="s">
        <v>797</v>
      </c>
    </row>
    <row r="329" spans="1:19" s="1" customFormat="1" ht="15" customHeight="1" x14ac:dyDescent="0.25">
      <c r="A329" s="35">
        <v>42641</v>
      </c>
      <c r="B329" s="1" t="s">
        <v>58</v>
      </c>
      <c r="C329" s="1" t="s">
        <v>364</v>
      </c>
      <c r="D329" s="1" t="s">
        <v>1695</v>
      </c>
      <c r="E329" s="90" t="s">
        <v>523</v>
      </c>
      <c r="F329" s="73" t="s">
        <v>412</v>
      </c>
      <c r="G329" s="90" t="s">
        <v>701</v>
      </c>
      <c r="H329" s="91">
        <v>48.621633333333335</v>
      </c>
      <c r="I329" s="91">
        <v>-122.98746666666666</v>
      </c>
      <c r="J329" s="95"/>
      <c r="K329" s="95"/>
      <c r="L329" s="73" t="s">
        <v>148</v>
      </c>
      <c r="M329" s="63">
        <v>-2.71272</v>
      </c>
      <c r="N329" s="90" t="s">
        <v>793</v>
      </c>
      <c r="O329" s="90" t="s">
        <v>268</v>
      </c>
      <c r="P329" s="90" t="s">
        <v>409</v>
      </c>
      <c r="Q329" s="96" t="s">
        <v>524</v>
      </c>
      <c r="R329" s="100" t="s">
        <v>825</v>
      </c>
      <c r="S329" s="131" t="s">
        <v>797</v>
      </c>
    </row>
    <row r="330" spans="1:19" s="1" customFormat="1" ht="15" customHeight="1" x14ac:dyDescent="0.25">
      <c r="A330" s="35">
        <v>42641</v>
      </c>
      <c r="B330" s="1" t="s">
        <v>58</v>
      </c>
      <c r="C330" s="1" t="s">
        <v>364</v>
      </c>
      <c r="D330" s="1" t="s">
        <v>1696</v>
      </c>
      <c r="E330" s="90" t="s">
        <v>523</v>
      </c>
      <c r="F330" s="73" t="s">
        <v>412</v>
      </c>
      <c r="G330" s="90" t="s">
        <v>701</v>
      </c>
      <c r="H330" s="91">
        <v>48.625999999999998</v>
      </c>
      <c r="I330" s="91">
        <v>-122.9876</v>
      </c>
      <c r="J330" s="95"/>
      <c r="K330" s="95"/>
      <c r="L330" s="73" t="s">
        <v>148</v>
      </c>
      <c r="M330" s="63">
        <v>-3.9319199999999999</v>
      </c>
      <c r="N330" s="90" t="s">
        <v>793</v>
      </c>
      <c r="O330" s="90" t="s">
        <v>783</v>
      </c>
      <c r="P330" s="90" t="s">
        <v>409</v>
      </c>
      <c r="Q330" s="96" t="s">
        <v>524</v>
      </c>
      <c r="R330" s="100" t="s">
        <v>366</v>
      </c>
      <c r="S330" s="131" t="s">
        <v>797</v>
      </c>
    </row>
    <row r="331" spans="1:19" s="1" customFormat="1" ht="15" customHeight="1" x14ac:dyDescent="0.25">
      <c r="A331" s="35">
        <v>42641</v>
      </c>
      <c r="B331" s="1" t="s">
        <v>58</v>
      </c>
      <c r="C331" s="1" t="s">
        <v>364</v>
      </c>
      <c r="D331" s="1" t="s">
        <v>1697</v>
      </c>
      <c r="E331" s="90" t="s">
        <v>523</v>
      </c>
      <c r="F331" s="73" t="s">
        <v>412</v>
      </c>
      <c r="G331" s="90" t="s">
        <v>701</v>
      </c>
      <c r="H331" s="91">
        <v>48.636899999999997</v>
      </c>
      <c r="I331" s="91">
        <v>-122.97826666666667</v>
      </c>
      <c r="J331" s="95"/>
      <c r="K331" s="95"/>
      <c r="L331" s="73" t="s">
        <v>148</v>
      </c>
      <c r="M331" s="63"/>
      <c r="N331" s="90"/>
      <c r="O331" s="90"/>
      <c r="P331" s="90" t="s">
        <v>410</v>
      </c>
      <c r="Q331" s="96" t="s">
        <v>524</v>
      </c>
      <c r="R331" s="100" t="s">
        <v>367</v>
      </c>
      <c r="S331" s="131" t="s">
        <v>797</v>
      </c>
    </row>
    <row r="332" spans="1:19" s="1" customFormat="1" ht="15" customHeight="1" x14ac:dyDescent="0.25">
      <c r="A332" s="35">
        <v>42641</v>
      </c>
      <c r="B332" s="1" t="s">
        <v>58</v>
      </c>
      <c r="C332" s="1" t="s">
        <v>364</v>
      </c>
      <c r="D332" s="1" t="s">
        <v>1698</v>
      </c>
      <c r="E332" s="90" t="s">
        <v>523</v>
      </c>
      <c r="F332" s="73" t="s">
        <v>412</v>
      </c>
      <c r="G332" s="90" t="s">
        <v>701</v>
      </c>
      <c r="H332" s="91">
        <v>48.642049999999998</v>
      </c>
      <c r="I332" s="91">
        <v>-122.9845</v>
      </c>
      <c r="J332" s="95"/>
      <c r="K332" s="95"/>
      <c r="L332" s="73" t="s">
        <v>148</v>
      </c>
      <c r="M332" s="63">
        <v>-3.7185600000000001</v>
      </c>
      <c r="N332" s="90" t="s">
        <v>793</v>
      </c>
      <c r="O332" s="90" t="s">
        <v>827</v>
      </c>
      <c r="P332" s="90" t="s">
        <v>409</v>
      </c>
      <c r="Q332" s="96" t="s">
        <v>525</v>
      </c>
      <c r="R332" s="100" t="s">
        <v>826</v>
      </c>
      <c r="S332" s="131" t="s">
        <v>797</v>
      </c>
    </row>
    <row r="333" spans="1:19" s="1" customFormat="1" ht="15" customHeight="1" x14ac:dyDescent="0.25">
      <c r="A333" s="35">
        <v>42641</v>
      </c>
      <c r="B333" s="1" t="s">
        <v>58</v>
      </c>
      <c r="C333" s="1" t="s">
        <v>362</v>
      </c>
      <c r="D333" s="1" t="s">
        <v>1700</v>
      </c>
      <c r="E333" s="90" t="s">
        <v>1528</v>
      </c>
      <c r="F333" s="73" t="s">
        <v>412</v>
      </c>
      <c r="G333" s="90" t="s">
        <v>701</v>
      </c>
      <c r="H333" s="91">
        <v>48.73265</v>
      </c>
      <c r="I333" s="91">
        <v>-122.62715</v>
      </c>
      <c r="J333" s="95"/>
      <c r="K333" s="95"/>
      <c r="L333" s="73" t="s">
        <v>148</v>
      </c>
      <c r="M333" s="71">
        <v>-3.56616</v>
      </c>
      <c r="N333" s="90" t="s">
        <v>793</v>
      </c>
      <c r="O333" s="90" t="s">
        <v>89</v>
      </c>
      <c r="P333" s="90" t="s">
        <v>409</v>
      </c>
      <c r="Q333" s="145" t="s">
        <v>524</v>
      </c>
      <c r="R333" s="100" t="s">
        <v>812</v>
      </c>
      <c r="S333" s="131" t="s">
        <v>797</v>
      </c>
    </row>
    <row r="334" spans="1:19" s="1" customFormat="1" ht="15" customHeight="1" x14ac:dyDescent="0.25">
      <c r="A334" s="35">
        <v>42641</v>
      </c>
      <c r="B334" s="1" t="s">
        <v>58</v>
      </c>
      <c r="C334" s="1" t="s">
        <v>362</v>
      </c>
      <c r="D334" s="1" t="s">
        <v>1701</v>
      </c>
      <c r="E334" s="90" t="s">
        <v>1528</v>
      </c>
      <c r="F334" s="73" t="s">
        <v>412</v>
      </c>
      <c r="G334" s="90" t="s">
        <v>701</v>
      </c>
      <c r="H334" s="91">
        <v>48.733600000000003</v>
      </c>
      <c r="I334" s="91">
        <v>-122.62895</v>
      </c>
      <c r="J334" s="95"/>
      <c r="K334" s="95"/>
      <c r="L334" s="73" t="s">
        <v>148</v>
      </c>
      <c r="M334" s="71">
        <v>-2.6212800000000001</v>
      </c>
      <c r="N334" s="90" t="s">
        <v>793</v>
      </c>
      <c r="O334" s="90" t="s">
        <v>268</v>
      </c>
      <c r="P334" s="90" t="s">
        <v>409</v>
      </c>
      <c r="Q334" s="145" t="s">
        <v>524</v>
      </c>
      <c r="R334" s="100" t="s">
        <v>813</v>
      </c>
      <c r="S334" s="131" t="s">
        <v>797</v>
      </c>
    </row>
    <row r="335" spans="1:19" s="1" customFormat="1" ht="15" customHeight="1" x14ac:dyDescent="0.25">
      <c r="A335" s="35">
        <v>42641</v>
      </c>
      <c r="B335" s="1" t="s">
        <v>58</v>
      </c>
      <c r="C335" s="1" t="s">
        <v>362</v>
      </c>
      <c r="D335" s="1" t="s">
        <v>1702</v>
      </c>
      <c r="E335" s="90" t="s">
        <v>1528</v>
      </c>
      <c r="F335" s="73" t="s">
        <v>412</v>
      </c>
      <c r="G335" s="90" t="s">
        <v>701</v>
      </c>
      <c r="H335" s="91">
        <v>48.73428333333333</v>
      </c>
      <c r="I335" s="91">
        <v>-122.61501666666666</v>
      </c>
      <c r="J335" s="95"/>
      <c r="K335" s="95"/>
      <c r="L335" s="73" t="s">
        <v>148</v>
      </c>
      <c r="M335" s="71">
        <v>-1.6459200000000003</v>
      </c>
      <c r="N335" s="90" t="s">
        <v>793</v>
      </c>
      <c r="O335" s="90"/>
      <c r="P335" s="90" t="s">
        <v>291</v>
      </c>
      <c r="Q335" s="96" t="s">
        <v>372</v>
      </c>
      <c r="R335" s="100" t="s">
        <v>1921</v>
      </c>
      <c r="S335" s="131" t="s">
        <v>797</v>
      </c>
    </row>
    <row r="336" spans="1:19" s="1" customFormat="1" ht="15" customHeight="1" x14ac:dyDescent="0.25">
      <c r="A336" s="35">
        <v>42641</v>
      </c>
      <c r="B336" s="1" t="s">
        <v>58</v>
      </c>
      <c r="C336" s="1" t="s">
        <v>362</v>
      </c>
      <c r="D336" s="1" t="s">
        <v>1703</v>
      </c>
      <c r="E336" s="90" t="s">
        <v>1528</v>
      </c>
      <c r="F336" s="73" t="s">
        <v>412</v>
      </c>
      <c r="G336" s="90" t="s">
        <v>701</v>
      </c>
      <c r="H336" s="91">
        <v>48.735433333333333</v>
      </c>
      <c r="I336" s="91">
        <v>-122.63071666666667</v>
      </c>
      <c r="J336" s="95"/>
      <c r="K336" s="95"/>
      <c r="L336" s="73" t="s">
        <v>148</v>
      </c>
      <c r="M336" s="71">
        <v>-1.95072</v>
      </c>
      <c r="N336" s="90" t="s">
        <v>793</v>
      </c>
      <c r="O336" s="90" t="s">
        <v>268</v>
      </c>
      <c r="P336" s="146" t="s">
        <v>291</v>
      </c>
      <c r="Q336" s="96" t="s">
        <v>372</v>
      </c>
      <c r="R336" s="100" t="s">
        <v>363</v>
      </c>
      <c r="S336" s="131" t="s">
        <v>797</v>
      </c>
    </row>
    <row r="337" spans="1:19" s="1" customFormat="1" ht="15" customHeight="1" x14ac:dyDescent="0.25">
      <c r="A337" s="35">
        <v>42641</v>
      </c>
      <c r="B337" s="1" t="s">
        <v>58</v>
      </c>
      <c r="C337" s="1" t="s">
        <v>362</v>
      </c>
      <c r="D337" s="1" t="s">
        <v>1704</v>
      </c>
      <c r="E337" s="90" t="s">
        <v>1528</v>
      </c>
      <c r="F337" s="73" t="s">
        <v>412</v>
      </c>
      <c r="G337" s="90" t="s">
        <v>701</v>
      </c>
      <c r="H337" s="91">
        <v>48.735666666666667</v>
      </c>
      <c r="I337" s="91">
        <v>-122.6301</v>
      </c>
      <c r="J337" s="95"/>
      <c r="K337" s="95"/>
      <c r="L337" s="73" t="s">
        <v>148</v>
      </c>
      <c r="M337" s="71">
        <v>-1.95072</v>
      </c>
      <c r="N337" s="90" t="s">
        <v>793</v>
      </c>
      <c r="O337" s="90" t="s">
        <v>89</v>
      </c>
      <c r="P337" s="90" t="s">
        <v>409</v>
      </c>
      <c r="Q337" s="145" t="s">
        <v>524</v>
      </c>
      <c r="R337" s="100" t="s">
        <v>814</v>
      </c>
      <c r="S337" s="131" t="s">
        <v>797</v>
      </c>
    </row>
    <row r="338" spans="1:19" s="1" customFormat="1" ht="15" customHeight="1" x14ac:dyDescent="0.25">
      <c r="A338" s="35">
        <v>42641</v>
      </c>
      <c r="B338" s="1" t="s">
        <v>58</v>
      </c>
      <c r="C338" s="1" t="s">
        <v>24</v>
      </c>
      <c r="D338" s="1" t="s">
        <v>1813</v>
      </c>
      <c r="E338" s="90" t="s">
        <v>523</v>
      </c>
      <c r="F338" s="73" t="s">
        <v>412</v>
      </c>
      <c r="G338" s="90" t="s">
        <v>701</v>
      </c>
      <c r="H338" s="91">
        <v>48.587866666666663</v>
      </c>
      <c r="I338" s="91">
        <v>-123.15615</v>
      </c>
      <c r="J338" s="95"/>
      <c r="K338" s="95"/>
      <c r="L338" s="73" t="s">
        <v>148</v>
      </c>
      <c r="M338" s="71">
        <v>0.4</v>
      </c>
      <c r="N338" s="90" t="s">
        <v>785</v>
      </c>
      <c r="O338" s="90" t="s">
        <v>808</v>
      </c>
      <c r="P338" s="90" t="s">
        <v>409</v>
      </c>
      <c r="Q338" s="96" t="s">
        <v>524</v>
      </c>
      <c r="R338" s="100" t="s">
        <v>831</v>
      </c>
      <c r="S338" s="131" t="s">
        <v>797</v>
      </c>
    </row>
    <row r="339" spans="1:19" s="1" customFormat="1" ht="15" customHeight="1" x14ac:dyDescent="0.25">
      <c r="A339" s="35">
        <v>42641</v>
      </c>
      <c r="B339" s="1" t="s">
        <v>58</v>
      </c>
      <c r="C339" s="1" t="s">
        <v>24</v>
      </c>
      <c r="D339" s="1" t="s">
        <v>1814</v>
      </c>
      <c r="E339" s="90" t="s">
        <v>523</v>
      </c>
      <c r="F339" s="73" t="s">
        <v>412</v>
      </c>
      <c r="G339" s="90" t="s">
        <v>701</v>
      </c>
      <c r="H339" s="91">
        <v>48.589199999999998</v>
      </c>
      <c r="I339" s="91">
        <v>-123.16781666666667</v>
      </c>
      <c r="J339" s="95"/>
      <c r="K339" s="95"/>
      <c r="L339" s="73" t="s">
        <v>148</v>
      </c>
      <c r="M339" s="63">
        <v>-2.3164799999999999</v>
      </c>
      <c r="N339" s="90" t="s">
        <v>793</v>
      </c>
      <c r="O339" s="90"/>
      <c r="P339" s="90" t="s">
        <v>521</v>
      </c>
      <c r="Q339" s="96" t="s">
        <v>372</v>
      </c>
      <c r="R339" s="100" t="s">
        <v>829</v>
      </c>
      <c r="S339" s="131" t="s">
        <v>797</v>
      </c>
    </row>
    <row r="340" spans="1:19" s="1" customFormat="1" ht="15" customHeight="1" x14ac:dyDescent="0.25">
      <c r="A340" s="35">
        <v>42641</v>
      </c>
      <c r="B340" s="1" t="s">
        <v>58</v>
      </c>
      <c r="C340" s="1" t="s">
        <v>24</v>
      </c>
      <c r="D340" s="1" t="s">
        <v>1815</v>
      </c>
      <c r="E340" s="90" t="s">
        <v>523</v>
      </c>
      <c r="F340" s="73" t="s">
        <v>412</v>
      </c>
      <c r="G340" s="90" t="s">
        <v>701</v>
      </c>
      <c r="H340" s="91">
        <v>48.590299999999999</v>
      </c>
      <c r="I340" s="91">
        <v>-123.15770000000001</v>
      </c>
      <c r="J340" s="95"/>
      <c r="K340" s="95"/>
      <c r="L340" s="73" t="s">
        <v>148</v>
      </c>
      <c r="M340" s="71">
        <v>-1</v>
      </c>
      <c r="N340" s="90" t="s">
        <v>793</v>
      </c>
      <c r="O340" s="90" t="s">
        <v>89</v>
      </c>
      <c r="P340" s="90" t="s">
        <v>409</v>
      </c>
      <c r="Q340" s="96" t="s">
        <v>525</v>
      </c>
      <c r="R340" s="105" t="s">
        <v>832</v>
      </c>
      <c r="S340" s="131" t="s">
        <v>797</v>
      </c>
    </row>
    <row r="341" spans="1:19" s="1" customFormat="1" ht="15" customHeight="1" x14ac:dyDescent="0.25">
      <c r="A341" s="35">
        <v>42641</v>
      </c>
      <c r="B341" s="1" t="s">
        <v>58</v>
      </c>
      <c r="C341" s="1" t="s">
        <v>24</v>
      </c>
      <c r="D341" s="1" t="s">
        <v>1816</v>
      </c>
      <c r="E341" s="90" t="s">
        <v>523</v>
      </c>
      <c r="F341" s="73" t="s">
        <v>412</v>
      </c>
      <c r="G341" s="90" t="s">
        <v>701</v>
      </c>
      <c r="H341" s="91">
        <v>48.590883333333331</v>
      </c>
      <c r="I341" s="91">
        <v>-123.16426666666666</v>
      </c>
      <c r="J341" s="95"/>
      <c r="K341" s="95"/>
      <c r="L341" s="73" t="s">
        <v>148</v>
      </c>
      <c r="M341" s="63">
        <v>-2.3164799999999999</v>
      </c>
      <c r="N341" s="90" t="s">
        <v>793</v>
      </c>
      <c r="O341" s="90"/>
      <c r="P341" s="90" t="s">
        <v>409</v>
      </c>
      <c r="Q341" s="96" t="s">
        <v>524</v>
      </c>
      <c r="R341" s="105" t="s">
        <v>830</v>
      </c>
      <c r="S341" s="131" t="s">
        <v>797</v>
      </c>
    </row>
    <row r="342" spans="1:19" s="1" customFormat="1" ht="15" customHeight="1" x14ac:dyDescent="0.25">
      <c r="A342" s="35">
        <v>42641</v>
      </c>
      <c r="B342" s="1" t="s">
        <v>58</v>
      </c>
      <c r="C342" s="1" t="s">
        <v>24</v>
      </c>
      <c r="D342" s="1" t="s">
        <v>1817</v>
      </c>
      <c r="E342" s="90" t="s">
        <v>523</v>
      </c>
      <c r="F342" s="73" t="s">
        <v>412</v>
      </c>
      <c r="G342" s="90" t="s">
        <v>701</v>
      </c>
      <c r="H342" s="91">
        <v>48.590966666666667</v>
      </c>
      <c r="I342" s="91">
        <v>-123.16328333333334</v>
      </c>
      <c r="J342" s="95"/>
      <c r="K342" s="95"/>
      <c r="L342" s="73" t="s">
        <v>148</v>
      </c>
      <c r="M342" s="71">
        <v>-2.3164799999999999</v>
      </c>
      <c r="N342" s="90" t="s">
        <v>793</v>
      </c>
      <c r="O342" s="90" t="s">
        <v>89</v>
      </c>
      <c r="P342" s="90" t="s">
        <v>521</v>
      </c>
      <c r="Q342" s="96" t="s">
        <v>372</v>
      </c>
      <c r="R342" s="100" t="s">
        <v>368</v>
      </c>
      <c r="S342" s="131" t="s">
        <v>797</v>
      </c>
    </row>
    <row r="343" spans="1:19" s="1" customFormat="1" ht="15" customHeight="1" x14ac:dyDescent="0.25">
      <c r="A343" s="35">
        <v>42641</v>
      </c>
      <c r="B343" s="1" t="s">
        <v>58</v>
      </c>
      <c r="C343" s="1" t="s">
        <v>24</v>
      </c>
      <c r="D343" s="1" t="s">
        <v>1818</v>
      </c>
      <c r="E343" s="90" t="s">
        <v>523</v>
      </c>
      <c r="F343" s="73" t="s">
        <v>412</v>
      </c>
      <c r="G343" s="90" t="s">
        <v>701</v>
      </c>
      <c r="H343" s="91">
        <v>48.593800000000002</v>
      </c>
      <c r="I343" s="91">
        <v>-123.16226666666667</v>
      </c>
      <c r="J343" s="95"/>
      <c r="K343" s="95"/>
      <c r="L343" s="73" t="s">
        <v>148</v>
      </c>
      <c r="M343" s="71">
        <v>-1.0058400000000001</v>
      </c>
      <c r="N343" s="90" t="s">
        <v>793</v>
      </c>
      <c r="O343" s="90"/>
      <c r="P343" s="90" t="s">
        <v>521</v>
      </c>
      <c r="Q343" s="96" t="s">
        <v>372</v>
      </c>
      <c r="R343" s="100" t="s">
        <v>370</v>
      </c>
      <c r="S343" s="131" t="s">
        <v>797</v>
      </c>
    </row>
    <row r="344" spans="1:19" s="1" customFormat="1" ht="15" customHeight="1" x14ac:dyDescent="0.25">
      <c r="A344" s="35">
        <v>42641</v>
      </c>
      <c r="B344" s="1" t="s">
        <v>58</v>
      </c>
      <c r="C344" s="1" t="s">
        <v>24</v>
      </c>
      <c r="D344" s="1" t="s">
        <v>1819</v>
      </c>
      <c r="E344" s="90" t="s">
        <v>523</v>
      </c>
      <c r="F344" s="73" t="s">
        <v>412</v>
      </c>
      <c r="G344" s="90" t="s">
        <v>701</v>
      </c>
      <c r="H344" s="91">
        <v>48.594149999999999</v>
      </c>
      <c r="I344" s="91">
        <v>-123.15723333333334</v>
      </c>
      <c r="J344" s="95"/>
      <c r="K344" s="95"/>
      <c r="L344" s="73" t="s">
        <v>148</v>
      </c>
      <c r="M344" s="71">
        <v>-0.8</v>
      </c>
      <c r="N344" s="90" t="s">
        <v>793</v>
      </c>
      <c r="O344" s="90" t="s">
        <v>89</v>
      </c>
      <c r="P344" s="90" t="s">
        <v>522</v>
      </c>
      <c r="Q344" s="96" t="s">
        <v>372</v>
      </c>
      <c r="R344" s="105" t="s">
        <v>828</v>
      </c>
      <c r="S344" s="131" t="s">
        <v>797</v>
      </c>
    </row>
    <row r="345" spans="1:19" s="1" customFormat="1" ht="15" customHeight="1" x14ac:dyDescent="0.25">
      <c r="A345" s="35">
        <v>42641</v>
      </c>
      <c r="B345" s="1" t="s">
        <v>58</v>
      </c>
      <c r="C345" s="1" t="s">
        <v>24</v>
      </c>
      <c r="D345" s="1" t="s">
        <v>1820</v>
      </c>
      <c r="E345" s="90" t="s">
        <v>523</v>
      </c>
      <c r="F345" s="73" t="s">
        <v>412</v>
      </c>
      <c r="G345" s="90" t="s">
        <v>701</v>
      </c>
      <c r="H345" s="91">
        <v>48.596716666666666</v>
      </c>
      <c r="I345" s="91">
        <v>-123.15971666666667</v>
      </c>
      <c r="J345" s="95"/>
      <c r="K345" s="95"/>
      <c r="L345" s="73" t="s">
        <v>148</v>
      </c>
      <c r="M345" s="71">
        <v>-2.1335999999999999</v>
      </c>
      <c r="N345" s="90" t="s">
        <v>793</v>
      </c>
      <c r="O345" s="90" t="s">
        <v>89</v>
      </c>
      <c r="P345" s="90" t="s">
        <v>409</v>
      </c>
      <c r="Q345" s="96" t="s">
        <v>525</v>
      </c>
      <c r="R345" s="100" t="s">
        <v>369</v>
      </c>
      <c r="S345" s="131" t="s">
        <v>797</v>
      </c>
    </row>
    <row r="346" spans="1:19" s="1" customFormat="1" ht="15" customHeight="1" x14ac:dyDescent="0.25">
      <c r="A346" s="35">
        <v>42779</v>
      </c>
      <c r="B346" s="1" t="s">
        <v>58</v>
      </c>
      <c r="C346" s="1" t="s">
        <v>371</v>
      </c>
      <c r="D346" s="1" t="s">
        <v>1735</v>
      </c>
      <c r="E346" s="90" t="s">
        <v>523</v>
      </c>
      <c r="F346" s="73" t="s">
        <v>412</v>
      </c>
      <c r="G346" s="90" t="s">
        <v>701</v>
      </c>
      <c r="H346" s="93">
        <v>48.114033333333332</v>
      </c>
      <c r="I346" s="93">
        <v>-122.87135000000001</v>
      </c>
      <c r="J346" s="95"/>
      <c r="K346" s="95"/>
      <c r="L346" s="73" t="s">
        <v>148</v>
      </c>
      <c r="M346" s="71">
        <v>-2.6212800000000001</v>
      </c>
      <c r="N346" s="90"/>
      <c r="O346" s="90"/>
      <c r="P346" s="73" t="s">
        <v>521</v>
      </c>
      <c r="Q346" s="96" t="s">
        <v>372</v>
      </c>
      <c r="R346" s="100" t="s">
        <v>790</v>
      </c>
      <c r="S346" s="131" t="s">
        <v>791</v>
      </c>
    </row>
    <row r="347" spans="1:19" s="1" customFormat="1" ht="15" customHeight="1" x14ac:dyDescent="0.25">
      <c r="A347" s="35">
        <v>42779</v>
      </c>
      <c r="B347" s="1" t="s">
        <v>58</v>
      </c>
      <c r="C347" s="1" t="s">
        <v>371</v>
      </c>
      <c r="D347" s="1" t="s">
        <v>1736</v>
      </c>
      <c r="E347" s="90" t="s">
        <v>523</v>
      </c>
      <c r="F347" s="73" t="s">
        <v>412</v>
      </c>
      <c r="G347" s="90" t="s">
        <v>701</v>
      </c>
      <c r="H347" s="93">
        <v>48.127899999999997</v>
      </c>
      <c r="I347" s="93">
        <v>-122.84918333333333</v>
      </c>
      <c r="J347" s="95"/>
      <c r="K347" s="95"/>
      <c r="L347" s="73" t="s">
        <v>148</v>
      </c>
      <c r="M347" s="71">
        <v>-4.4500799999999998</v>
      </c>
      <c r="N347" s="90"/>
      <c r="O347" s="90"/>
      <c r="P347" s="73" t="s">
        <v>521</v>
      </c>
      <c r="Q347" s="96" t="s">
        <v>372</v>
      </c>
      <c r="R347" s="100" t="s">
        <v>789</v>
      </c>
      <c r="S347" s="131" t="s">
        <v>791</v>
      </c>
    </row>
    <row r="348" spans="1:19" s="1" customFormat="1" ht="15" customHeight="1" x14ac:dyDescent="0.25">
      <c r="A348" s="35">
        <v>42779</v>
      </c>
      <c r="B348" s="1" t="s">
        <v>58</v>
      </c>
      <c r="C348" s="1" t="s">
        <v>371</v>
      </c>
      <c r="D348" s="1" t="s">
        <v>1737</v>
      </c>
      <c r="E348" s="90" t="s">
        <v>523</v>
      </c>
      <c r="F348" s="73" t="s">
        <v>412</v>
      </c>
      <c r="G348" s="90" t="s">
        <v>701</v>
      </c>
      <c r="H348" s="93">
        <v>48.136716666666665</v>
      </c>
      <c r="I348" s="93">
        <v>-122.8282</v>
      </c>
      <c r="J348" s="95"/>
      <c r="K348" s="95"/>
      <c r="L348" s="73" t="s">
        <v>148</v>
      </c>
      <c r="M348" s="71">
        <v>-4.2062400000000002</v>
      </c>
      <c r="N348" s="90"/>
      <c r="O348" s="90"/>
      <c r="P348" s="99" t="s">
        <v>409</v>
      </c>
      <c r="Q348" s="96" t="s">
        <v>525</v>
      </c>
      <c r="R348" s="100" t="s">
        <v>792</v>
      </c>
      <c r="S348" s="131" t="s">
        <v>791</v>
      </c>
    </row>
    <row r="349" spans="1:19" s="1" customFormat="1" ht="15" customHeight="1" x14ac:dyDescent="0.25">
      <c r="A349" s="35">
        <v>42779</v>
      </c>
      <c r="B349" s="1" t="s">
        <v>58</v>
      </c>
      <c r="C349" s="1" t="s">
        <v>371</v>
      </c>
      <c r="D349" s="1" t="s">
        <v>1738</v>
      </c>
      <c r="E349" s="90" t="s">
        <v>523</v>
      </c>
      <c r="F349" s="73" t="s">
        <v>412</v>
      </c>
      <c r="G349" s="90" t="s">
        <v>701</v>
      </c>
      <c r="H349" s="93">
        <v>48.138100000000001</v>
      </c>
      <c r="I349" s="93">
        <v>-122.81328333333333</v>
      </c>
      <c r="J349" s="95"/>
      <c r="K349" s="95"/>
      <c r="L349" s="73" t="s">
        <v>148</v>
      </c>
      <c r="M349" s="71">
        <v>-2.71272</v>
      </c>
      <c r="N349" s="90" t="s">
        <v>785</v>
      </c>
      <c r="O349" s="90" t="s">
        <v>268</v>
      </c>
      <c r="P349" s="99" t="s">
        <v>291</v>
      </c>
      <c r="Q349" s="96" t="s">
        <v>372</v>
      </c>
      <c r="R349" s="100" t="s">
        <v>788</v>
      </c>
      <c r="S349" s="131" t="s">
        <v>791</v>
      </c>
    </row>
    <row r="350" spans="1:19" s="1" customFormat="1" ht="15" customHeight="1" x14ac:dyDescent="0.25">
      <c r="A350" s="35">
        <v>42779</v>
      </c>
      <c r="B350" s="1" t="s">
        <v>58</v>
      </c>
      <c r="C350" s="1" t="s">
        <v>371</v>
      </c>
      <c r="D350" s="1" t="s">
        <v>1739</v>
      </c>
      <c r="E350" s="90" t="s">
        <v>523</v>
      </c>
      <c r="F350" s="73" t="s">
        <v>412</v>
      </c>
      <c r="G350" s="90" t="s">
        <v>701</v>
      </c>
      <c r="H350" s="93">
        <v>48.141666666666666</v>
      </c>
      <c r="I350" s="93">
        <v>-122.79423333333334</v>
      </c>
      <c r="J350" s="95"/>
      <c r="K350" s="95"/>
      <c r="L350" s="73" t="s">
        <v>148</v>
      </c>
      <c r="M350" s="71">
        <v>-1.0363200000000001</v>
      </c>
      <c r="N350" s="90" t="s">
        <v>785</v>
      </c>
      <c r="O350" s="90" t="s">
        <v>268</v>
      </c>
      <c r="P350" s="99" t="s">
        <v>291</v>
      </c>
      <c r="Q350" s="96" t="s">
        <v>372</v>
      </c>
      <c r="R350" s="100" t="s">
        <v>938</v>
      </c>
      <c r="S350" s="131" t="s">
        <v>791</v>
      </c>
    </row>
    <row r="351" spans="1:19" s="1" customFormat="1" ht="15" customHeight="1" x14ac:dyDescent="0.25">
      <c r="A351" s="35">
        <v>42779</v>
      </c>
      <c r="B351" s="1" t="s">
        <v>58</v>
      </c>
      <c r="C351" s="1" t="s">
        <v>371</v>
      </c>
      <c r="D351" s="1" t="s">
        <v>1740</v>
      </c>
      <c r="E351" s="90" t="s">
        <v>523</v>
      </c>
      <c r="F351" s="73" t="s">
        <v>412</v>
      </c>
      <c r="G351" s="90" t="s">
        <v>701</v>
      </c>
      <c r="H351" s="93">
        <v>48.14353333333333</v>
      </c>
      <c r="I351" s="93">
        <v>-122.78196666666666</v>
      </c>
      <c r="J351" s="95"/>
      <c r="K351" s="95"/>
      <c r="L351" s="73" t="s">
        <v>148</v>
      </c>
      <c r="M351" s="71">
        <v>-2.5298400000000005</v>
      </c>
      <c r="N351" s="90"/>
      <c r="O351" s="90"/>
      <c r="P351" s="73" t="s">
        <v>521</v>
      </c>
      <c r="Q351" s="96" t="s">
        <v>372</v>
      </c>
      <c r="R351" s="100" t="s">
        <v>786</v>
      </c>
      <c r="S351" s="131" t="s">
        <v>791</v>
      </c>
    </row>
    <row r="352" spans="1:19" s="1" customFormat="1" ht="15" customHeight="1" x14ac:dyDescent="0.25">
      <c r="A352" s="35">
        <v>42779</v>
      </c>
      <c r="B352" s="1" t="s">
        <v>58</v>
      </c>
      <c r="C352" s="1" t="s">
        <v>371</v>
      </c>
      <c r="D352" s="1" t="s">
        <v>1741</v>
      </c>
      <c r="E352" s="90" t="s">
        <v>523</v>
      </c>
      <c r="F352" s="73" t="s">
        <v>412</v>
      </c>
      <c r="G352" s="90" t="s">
        <v>701</v>
      </c>
      <c r="H352" s="93">
        <v>48.144233333333332</v>
      </c>
      <c r="I352" s="93">
        <v>-122.77218333333333</v>
      </c>
      <c r="J352" s="95"/>
      <c r="K352" s="95"/>
      <c r="L352" s="73" t="s">
        <v>148</v>
      </c>
      <c r="M352" s="71">
        <v>-4.23672</v>
      </c>
      <c r="N352" s="90" t="s">
        <v>785</v>
      </c>
      <c r="O352" s="90"/>
      <c r="P352" s="99" t="s">
        <v>521</v>
      </c>
      <c r="Q352" s="96" t="s">
        <v>372</v>
      </c>
      <c r="R352" s="100" t="s">
        <v>784</v>
      </c>
      <c r="S352" s="131" t="s">
        <v>791</v>
      </c>
    </row>
    <row r="353" spans="1:19" s="1" customFormat="1" ht="15" customHeight="1" x14ac:dyDescent="0.25">
      <c r="A353" s="35">
        <v>42779</v>
      </c>
      <c r="B353" s="1" t="s">
        <v>58</v>
      </c>
      <c r="C353" s="1" t="s">
        <v>371</v>
      </c>
      <c r="D353" s="1" t="s">
        <v>1742</v>
      </c>
      <c r="E353" s="90" t="s">
        <v>523</v>
      </c>
      <c r="F353" s="73" t="s">
        <v>412</v>
      </c>
      <c r="G353" s="90" t="s">
        <v>701</v>
      </c>
      <c r="H353" s="93">
        <v>48.144966666666669</v>
      </c>
      <c r="I353" s="93">
        <v>-122.75641666666667</v>
      </c>
      <c r="J353" s="95"/>
      <c r="K353" s="95"/>
      <c r="L353" s="73" t="s">
        <v>148</v>
      </c>
      <c r="M353" s="71">
        <v>-2.4079199999999998</v>
      </c>
      <c r="N353" s="90" t="s">
        <v>785</v>
      </c>
      <c r="O353" s="90"/>
      <c r="P353" s="73" t="s">
        <v>521</v>
      </c>
      <c r="Q353" s="96" t="s">
        <v>372</v>
      </c>
      <c r="R353" s="100" t="s">
        <v>374</v>
      </c>
      <c r="S353" s="131" t="s">
        <v>791</v>
      </c>
    </row>
    <row r="354" spans="1:19" s="1" customFormat="1" ht="15" customHeight="1" x14ac:dyDescent="0.25">
      <c r="A354" s="35">
        <v>42779</v>
      </c>
      <c r="B354" s="1" t="s">
        <v>58</v>
      </c>
      <c r="C354" s="1" t="s">
        <v>371</v>
      </c>
      <c r="D354" s="1" t="s">
        <v>1743</v>
      </c>
      <c r="E354" s="90" t="s">
        <v>523</v>
      </c>
      <c r="F354" s="73" t="s">
        <v>412</v>
      </c>
      <c r="G354" s="90" t="s">
        <v>701</v>
      </c>
      <c r="H354" s="93">
        <v>48.148000000000003</v>
      </c>
      <c r="I354" s="93">
        <v>-122.7585</v>
      </c>
      <c r="J354" s="95"/>
      <c r="K354" s="95"/>
      <c r="L354" s="73" t="s">
        <v>148</v>
      </c>
      <c r="M354" s="71">
        <v>-4.5110400000000004</v>
      </c>
      <c r="N354" s="90"/>
      <c r="O354" s="90" t="s">
        <v>268</v>
      </c>
      <c r="P354" s="73" t="s">
        <v>409</v>
      </c>
      <c r="Q354" s="96" t="s">
        <v>524</v>
      </c>
      <c r="R354" s="100" t="s">
        <v>373</v>
      </c>
      <c r="S354" s="131" t="s">
        <v>791</v>
      </c>
    </row>
    <row r="355" spans="1:19" s="1" customFormat="1" ht="15" customHeight="1" x14ac:dyDescent="0.25">
      <c r="A355" s="35">
        <v>42779</v>
      </c>
      <c r="B355" s="1" t="s">
        <v>58</v>
      </c>
      <c r="C355" s="1" t="s">
        <v>1812</v>
      </c>
      <c r="D355" s="1" t="s">
        <v>1807</v>
      </c>
      <c r="E355" s="90" t="s">
        <v>523</v>
      </c>
      <c r="F355" s="73" t="s">
        <v>412</v>
      </c>
      <c r="G355" s="90" t="s">
        <v>701</v>
      </c>
      <c r="H355" s="93">
        <v>48.119066666666669</v>
      </c>
      <c r="I355" s="93">
        <v>-123.24948333333333</v>
      </c>
      <c r="J355" s="95"/>
      <c r="K355" s="95"/>
      <c r="L355" s="73" t="s">
        <v>148</v>
      </c>
      <c r="M355" s="71">
        <v>-3.8709600000000002</v>
      </c>
      <c r="N355" s="90" t="s">
        <v>785</v>
      </c>
      <c r="O355" s="90"/>
      <c r="P355" s="73" t="s">
        <v>291</v>
      </c>
      <c r="Q355" s="96" t="s">
        <v>372</v>
      </c>
      <c r="R355" s="100" t="s">
        <v>378</v>
      </c>
      <c r="S355" s="131" t="s">
        <v>791</v>
      </c>
    </row>
    <row r="356" spans="1:19" s="1" customFormat="1" ht="15" customHeight="1" x14ac:dyDescent="0.25">
      <c r="A356" s="35">
        <v>42779</v>
      </c>
      <c r="B356" s="1" t="s">
        <v>58</v>
      </c>
      <c r="C356" s="1" t="s">
        <v>1812</v>
      </c>
      <c r="D356" s="1" t="s">
        <v>1808</v>
      </c>
      <c r="E356" s="90" t="s">
        <v>523</v>
      </c>
      <c r="F356" s="73" t="s">
        <v>412</v>
      </c>
      <c r="G356" s="90" t="s">
        <v>701</v>
      </c>
      <c r="H356" s="93">
        <v>48.119450000000001</v>
      </c>
      <c r="I356" s="93">
        <v>-123.28263333333334</v>
      </c>
      <c r="J356" s="95"/>
      <c r="K356" s="95"/>
      <c r="L356" s="73" t="s">
        <v>148</v>
      </c>
      <c r="M356" s="71">
        <v>-2.1335999999999999</v>
      </c>
      <c r="N356" s="90"/>
      <c r="O356" s="90"/>
      <c r="P356" s="73" t="s">
        <v>291</v>
      </c>
      <c r="Q356" s="96" t="s">
        <v>372</v>
      </c>
      <c r="R356" s="100" t="s">
        <v>376</v>
      </c>
      <c r="S356" s="131" t="s">
        <v>791</v>
      </c>
    </row>
    <row r="357" spans="1:19" s="1" customFormat="1" ht="15" customHeight="1" x14ac:dyDescent="0.25">
      <c r="A357" s="35">
        <v>42779</v>
      </c>
      <c r="B357" s="1" t="s">
        <v>58</v>
      </c>
      <c r="C357" s="1" t="s">
        <v>1812</v>
      </c>
      <c r="D357" s="1" t="s">
        <v>1809</v>
      </c>
      <c r="E357" s="90" t="s">
        <v>523</v>
      </c>
      <c r="F357" s="73" t="s">
        <v>412</v>
      </c>
      <c r="G357" s="90" t="s">
        <v>701</v>
      </c>
      <c r="H357" s="93">
        <v>48.120283333333333</v>
      </c>
      <c r="I357" s="93">
        <v>-123.28335</v>
      </c>
      <c r="J357" s="95"/>
      <c r="K357" s="95"/>
      <c r="L357" s="73" t="s">
        <v>148</v>
      </c>
      <c r="M357" s="71">
        <v>-3.3527999999999998</v>
      </c>
      <c r="N357" s="90" t="s">
        <v>785</v>
      </c>
      <c r="O357" s="90"/>
      <c r="P357" s="73" t="s">
        <v>410</v>
      </c>
      <c r="Q357" s="96" t="s">
        <v>524</v>
      </c>
      <c r="R357" s="100" t="s">
        <v>375</v>
      </c>
      <c r="S357" s="131" t="s">
        <v>791</v>
      </c>
    </row>
    <row r="358" spans="1:19" s="1" customFormat="1" ht="15" customHeight="1" x14ac:dyDescent="0.25">
      <c r="A358" s="35">
        <v>42779</v>
      </c>
      <c r="B358" s="1" t="s">
        <v>58</v>
      </c>
      <c r="C358" s="1" t="s">
        <v>1812</v>
      </c>
      <c r="D358" s="1" t="s">
        <v>1810</v>
      </c>
      <c r="E358" s="90" t="s">
        <v>523</v>
      </c>
      <c r="F358" s="73" t="s">
        <v>412</v>
      </c>
      <c r="G358" s="90" t="s">
        <v>701</v>
      </c>
      <c r="H358" s="93">
        <v>48.120716666666667</v>
      </c>
      <c r="I358" s="93">
        <v>-123.28181666666667</v>
      </c>
      <c r="J358" s="95"/>
      <c r="K358" s="95"/>
      <c r="L358" s="73" t="s">
        <v>148</v>
      </c>
      <c r="M358" s="71">
        <v>-4.2062400000000002</v>
      </c>
      <c r="N358" s="90" t="s">
        <v>785</v>
      </c>
      <c r="O358" s="90"/>
      <c r="P358" s="73" t="s">
        <v>409</v>
      </c>
      <c r="Q358" s="96" t="s">
        <v>524</v>
      </c>
      <c r="R358" s="100" t="s">
        <v>377</v>
      </c>
      <c r="S358" s="131" t="s">
        <v>791</v>
      </c>
    </row>
    <row r="359" spans="1:19" s="1" customFormat="1" ht="15" customHeight="1" x14ac:dyDescent="0.25">
      <c r="A359" s="35">
        <v>42779</v>
      </c>
      <c r="B359" s="1" t="s">
        <v>58</v>
      </c>
      <c r="C359" s="1" t="s">
        <v>1812</v>
      </c>
      <c r="D359" s="1" t="s">
        <v>1811</v>
      </c>
      <c r="E359" s="90" t="s">
        <v>523</v>
      </c>
      <c r="F359" s="73" t="s">
        <v>412</v>
      </c>
      <c r="G359" s="90" t="s">
        <v>701</v>
      </c>
      <c r="H359" s="93">
        <v>48.121616666666668</v>
      </c>
      <c r="I359" s="93">
        <v>-123.23645</v>
      </c>
      <c r="J359" s="95"/>
      <c r="K359" s="95"/>
      <c r="L359" s="73" t="s">
        <v>148</v>
      </c>
      <c r="M359" s="71">
        <v>-3.81</v>
      </c>
      <c r="N359" s="73"/>
      <c r="O359" s="73"/>
      <c r="P359" s="73" t="s">
        <v>521</v>
      </c>
      <c r="Q359" s="96" t="s">
        <v>372</v>
      </c>
      <c r="R359" s="100" t="s">
        <v>787</v>
      </c>
      <c r="S359" s="131" t="s">
        <v>791</v>
      </c>
    </row>
    <row r="360" spans="1:19" s="1" customFormat="1" ht="15" customHeight="1" x14ac:dyDescent="0.25">
      <c r="A360" s="35">
        <v>42807</v>
      </c>
      <c r="B360" s="1" t="s">
        <v>58</v>
      </c>
      <c r="C360" s="1" t="s">
        <v>29</v>
      </c>
      <c r="D360" s="1" t="s">
        <v>1581</v>
      </c>
      <c r="E360" s="90" t="s">
        <v>523</v>
      </c>
      <c r="F360" s="73" t="s">
        <v>412</v>
      </c>
      <c r="G360" s="90" t="s">
        <v>701</v>
      </c>
      <c r="H360" s="93">
        <v>47.581650000000003</v>
      </c>
      <c r="I360" s="93">
        <v>-122.66306666666667</v>
      </c>
      <c r="J360" s="95"/>
      <c r="K360" s="95"/>
      <c r="L360" s="73" t="s">
        <v>148</v>
      </c>
      <c r="M360" s="71">
        <v>-1.2192000000000001</v>
      </c>
      <c r="N360" s="90"/>
      <c r="O360" s="90"/>
      <c r="P360" s="90" t="s">
        <v>409</v>
      </c>
      <c r="Q360" s="73" t="s">
        <v>524</v>
      </c>
      <c r="R360" s="100" t="s">
        <v>942</v>
      </c>
      <c r="S360" s="131"/>
    </row>
    <row r="361" spans="1:19" s="1" customFormat="1" ht="15" customHeight="1" x14ac:dyDescent="0.25">
      <c r="A361" s="35">
        <v>42807</v>
      </c>
      <c r="B361" s="1" t="s">
        <v>58</v>
      </c>
      <c r="C361" s="1" t="s">
        <v>29</v>
      </c>
      <c r="D361" s="1" t="s">
        <v>1590</v>
      </c>
      <c r="E361" s="90" t="s">
        <v>523</v>
      </c>
      <c r="F361" s="73" t="s">
        <v>412</v>
      </c>
      <c r="G361" s="90" t="s">
        <v>701</v>
      </c>
      <c r="H361" s="93">
        <v>47.601166666666664</v>
      </c>
      <c r="I361" s="93">
        <v>-122.65928333333333</v>
      </c>
      <c r="J361" s="95"/>
      <c r="K361" s="95"/>
      <c r="L361" s="73" t="s">
        <v>148</v>
      </c>
      <c r="M361" s="71">
        <v>-1.3715999999999999</v>
      </c>
      <c r="N361" s="90"/>
      <c r="O361" s="90" t="s">
        <v>268</v>
      </c>
      <c r="P361" s="90" t="s">
        <v>409</v>
      </c>
      <c r="Q361" s="73" t="s">
        <v>524</v>
      </c>
      <c r="R361" s="100" t="s">
        <v>949</v>
      </c>
      <c r="S361" s="131"/>
    </row>
    <row r="362" spans="1:19" s="1" customFormat="1" ht="15" customHeight="1" x14ac:dyDescent="0.25">
      <c r="A362" s="35">
        <v>42807</v>
      </c>
      <c r="B362" s="1" t="s">
        <v>58</v>
      </c>
      <c r="C362" s="1" t="s">
        <v>29</v>
      </c>
      <c r="D362" s="1" t="s">
        <v>1591</v>
      </c>
      <c r="E362" s="90" t="s">
        <v>523</v>
      </c>
      <c r="F362" s="73" t="s">
        <v>412</v>
      </c>
      <c r="G362" s="90" t="s">
        <v>701</v>
      </c>
      <c r="H362" s="93">
        <v>47.602683333333331</v>
      </c>
      <c r="I362" s="93">
        <v>-122.66535</v>
      </c>
      <c r="J362" s="95"/>
      <c r="K362" s="95"/>
      <c r="L362" s="73" t="s">
        <v>148</v>
      </c>
      <c r="M362" s="71">
        <v>-1.28016</v>
      </c>
      <c r="N362" s="90"/>
      <c r="O362" s="90" t="s">
        <v>268</v>
      </c>
      <c r="P362" s="90" t="s">
        <v>409</v>
      </c>
      <c r="Q362" s="73" t="s">
        <v>524</v>
      </c>
      <c r="R362" s="100" t="s">
        <v>946</v>
      </c>
      <c r="S362" s="131"/>
    </row>
    <row r="363" spans="1:19" s="1" customFormat="1" ht="15" customHeight="1" x14ac:dyDescent="0.25">
      <c r="A363" s="35">
        <v>42807</v>
      </c>
      <c r="B363" s="1" t="s">
        <v>58</v>
      </c>
      <c r="C363" s="1" t="s">
        <v>29</v>
      </c>
      <c r="D363" s="1" t="s">
        <v>1592</v>
      </c>
      <c r="E363" s="90" t="s">
        <v>523</v>
      </c>
      <c r="F363" s="73" t="s">
        <v>412</v>
      </c>
      <c r="G363" s="90" t="s">
        <v>701</v>
      </c>
      <c r="H363" s="93">
        <v>47.604050000000001</v>
      </c>
      <c r="I363" s="93">
        <v>-122.66143333333333</v>
      </c>
      <c r="J363" s="95"/>
      <c r="K363" s="95"/>
      <c r="L363" s="73" t="s">
        <v>148</v>
      </c>
      <c r="M363" s="71">
        <v>-1.28016</v>
      </c>
      <c r="N363" s="90"/>
      <c r="O363" s="90" t="s">
        <v>268</v>
      </c>
      <c r="P363" s="90" t="s">
        <v>409</v>
      </c>
      <c r="Q363" s="73" t="s">
        <v>524</v>
      </c>
      <c r="R363" s="100" t="s">
        <v>948</v>
      </c>
      <c r="S363" s="131"/>
    </row>
    <row r="364" spans="1:19" s="1" customFormat="1" ht="15" customHeight="1" x14ac:dyDescent="0.25">
      <c r="A364" s="35">
        <v>42807</v>
      </c>
      <c r="B364" s="1" t="s">
        <v>58</v>
      </c>
      <c r="C364" s="1" t="s">
        <v>29</v>
      </c>
      <c r="D364" s="1" t="s">
        <v>1593</v>
      </c>
      <c r="E364" s="90" t="s">
        <v>523</v>
      </c>
      <c r="F364" s="73" t="s">
        <v>412</v>
      </c>
      <c r="G364" s="90" t="s">
        <v>701</v>
      </c>
      <c r="H364" s="93">
        <v>47.606516666666664</v>
      </c>
      <c r="I364" s="93">
        <v>-122.66138333333333</v>
      </c>
      <c r="J364" s="95"/>
      <c r="K364" s="95"/>
      <c r="L364" s="73" t="s">
        <v>148</v>
      </c>
      <c r="M364" s="71">
        <v>-1.3715999999999997</v>
      </c>
      <c r="N364" s="90"/>
      <c r="O364" s="90" t="s">
        <v>268</v>
      </c>
      <c r="P364" s="90" t="s">
        <v>409</v>
      </c>
      <c r="Q364" s="73" t="s">
        <v>524</v>
      </c>
      <c r="R364" s="100" t="s">
        <v>947</v>
      </c>
      <c r="S364" s="131"/>
    </row>
    <row r="365" spans="1:19" s="1" customFormat="1" ht="15" customHeight="1" x14ac:dyDescent="0.25">
      <c r="A365" s="35">
        <v>42807</v>
      </c>
      <c r="B365" s="1" t="s">
        <v>58</v>
      </c>
      <c r="C365" s="1" t="s">
        <v>29</v>
      </c>
      <c r="D365" s="1" t="s">
        <v>1582</v>
      </c>
      <c r="E365" s="90" t="s">
        <v>523</v>
      </c>
      <c r="F365" s="73" t="s">
        <v>412</v>
      </c>
      <c r="G365" s="90" t="s">
        <v>701</v>
      </c>
      <c r="H365" s="93">
        <v>47.581833333333336</v>
      </c>
      <c r="I365" s="93">
        <v>-122.66033333333333</v>
      </c>
      <c r="J365" s="95"/>
      <c r="K365" s="95"/>
      <c r="L365" s="73" t="s">
        <v>148</v>
      </c>
      <c r="M365" s="71">
        <v>-1.28016</v>
      </c>
      <c r="N365" s="90"/>
      <c r="O365" s="90"/>
      <c r="P365" s="90" t="s">
        <v>409</v>
      </c>
      <c r="Q365" s="73" t="s">
        <v>524</v>
      </c>
      <c r="R365" s="100" t="s">
        <v>941</v>
      </c>
      <c r="S365" s="131"/>
    </row>
    <row r="366" spans="1:19" s="1" customFormat="1" ht="15" customHeight="1" x14ac:dyDescent="0.25">
      <c r="A366" s="35">
        <v>42807</v>
      </c>
      <c r="B366" s="1" t="s">
        <v>58</v>
      </c>
      <c r="C366" s="1" t="s">
        <v>29</v>
      </c>
      <c r="D366" s="1" t="s">
        <v>1583</v>
      </c>
      <c r="E366" s="90" t="s">
        <v>523</v>
      </c>
      <c r="F366" s="73" t="s">
        <v>412</v>
      </c>
      <c r="G366" s="90" t="s">
        <v>701</v>
      </c>
      <c r="H366" s="93">
        <v>47.587283333333332</v>
      </c>
      <c r="I366" s="93">
        <v>-122.65825</v>
      </c>
      <c r="J366" s="95"/>
      <c r="K366" s="95"/>
      <c r="L366" s="73" t="s">
        <v>148</v>
      </c>
      <c r="M366" s="71">
        <v>-1.1582399999999999</v>
      </c>
      <c r="N366" s="90"/>
      <c r="O366" s="90" t="s">
        <v>89</v>
      </c>
      <c r="P366" s="90" t="s">
        <v>409</v>
      </c>
      <c r="Q366" s="73" t="s">
        <v>294</v>
      </c>
      <c r="R366" s="100" t="s">
        <v>940</v>
      </c>
      <c r="S366" s="131"/>
    </row>
    <row r="367" spans="1:19" s="1" customFormat="1" ht="15" customHeight="1" x14ac:dyDescent="0.25">
      <c r="A367" s="35">
        <v>42807</v>
      </c>
      <c r="B367" s="1" t="s">
        <v>58</v>
      </c>
      <c r="C367" s="1" t="s">
        <v>29</v>
      </c>
      <c r="D367" s="1" t="s">
        <v>1584</v>
      </c>
      <c r="E367" s="90" t="s">
        <v>523</v>
      </c>
      <c r="F367" s="73" t="s">
        <v>412</v>
      </c>
      <c r="G367" s="90" t="s">
        <v>701</v>
      </c>
      <c r="H367" s="93">
        <v>47.587933333333332</v>
      </c>
      <c r="I367" s="93">
        <v>-122.6579</v>
      </c>
      <c r="J367" s="95"/>
      <c r="K367" s="95"/>
      <c r="L367" s="73" t="s">
        <v>148</v>
      </c>
      <c r="M367" s="71"/>
      <c r="N367" s="90"/>
      <c r="O367" s="90" t="s">
        <v>268</v>
      </c>
      <c r="P367" s="90" t="s">
        <v>409</v>
      </c>
      <c r="Q367" s="73" t="s">
        <v>524</v>
      </c>
      <c r="R367" s="100" t="s">
        <v>379</v>
      </c>
      <c r="S367" s="131"/>
    </row>
    <row r="368" spans="1:19" s="1" customFormat="1" ht="15" customHeight="1" x14ac:dyDescent="0.25">
      <c r="A368" s="35">
        <v>42807</v>
      </c>
      <c r="B368" s="1" t="s">
        <v>58</v>
      </c>
      <c r="C368" s="1" t="s">
        <v>29</v>
      </c>
      <c r="D368" s="1" t="s">
        <v>1585</v>
      </c>
      <c r="E368" s="90" t="s">
        <v>523</v>
      </c>
      <c r="F368" s="73" t="s">
        <v>412</v>
      </c>
      <c r="G368" s="90" t="s">
        <v>701</v>
      </c>
      <c r="H368" s="93">
        <v>47.588500000000003</v>
      </c>
      <c r="I368" s="93">
        <v>-122.65796666666667</v>
      </c>
      <c r="J368" s="95"/>
      <c r="K368" s="95"/>
      <c r="L368" s="73" t="s">
        <v>148</v>
      </c>
      <c r="M368" s="71">
        <v>-1.3715999999999999</v>
      </c>
      <c r="N368" s="90"/>
      <c r="O368" s="90" t="s">
        <v>268</v>
      </c>
      <c r="P368" s="90" t="s">
        <v>409</v>
      </c>
      <c r="Q368" s="73" t="s">
        <v>524</v>
      </c>
      <c r="R368" s="100" t="s">
        <v>939</v>
      </c>
      <c r="S368" s="131"/>
    </row>
    <row r="369" spans="1:19" s="1" customFormat="1" ht="15" customHeight="1" x14ac:dyDescent="0.25">
      <c r="A369" s="35">
        <v>42807</v>
      </c>
      <c r="B369" s="1" t="s">
        <v>58</v>
      </c>
      <c r="C369" s="1" t="s">
        <v>29</v>
      </c>
      <c r="D369" s="1" t="s">
        <v>1586</v>
      </c>
      <c r="E369" s="90" t="s">
        <v>523</v>
      </c>
      <c r="F369" s="73" t="s">
        <v>412</v>
      </c>
      <c r="G369" s="90" t="s">
        <v>701</v>
      </c>
      <c r="H369" s="93">
        <v>47.589733333333335</v>
      </c>
      <c r="I369" s="93">
        <v>-122.66475</v>
      </c>
      <c r="J369" s="95"/>
      <c r="K369" s="95"/>
      <c r="L369" s="73" t="s">
        <v>148</v>
      </c>
      <c r="M369" s="71">
        <v>-1.3411200000000001</v>
      </c>
      <c r="N369" s="90"/>
      <c r="O369" s="90" t="s">
        <v>268</v>
      </c>
      <c r="P369" s="90" t="s">
        <v>409</v>
      </c>
      <c r="Q369" s="73" t="s">
        <v>524</v>
      </c>
      <c r="R369" s="100" t="s">
        <v>943</v>
      </c>
      <c r="S369" s="131"/>
    </row>
    <row r="370" spans="1:19" s="1" customFormat="1" ht="15" customHeight="1" x14ac:dyDescent="0.25">
      <c r="A370" s="35">
        <v>42807</v>
      </c>
      <c r="B370" s="1" t="s">
        <v>58</v>
      </c>
      <c r="C370" s="1" t="s">
        <v>29</v>
      </c>
      <c r="D370" s="1" t="s">
        <v>1587</v>
      </c>
      <c r="E370" s="90" t="s">
        <v>523</v>
      </c>
      <c r="F370" s="73" t="s">
        <v>412</v>
      </c>
      <c r="G370" s="90" t="s">
        <v>701</v>
      </c>
      <c r="H370" s="93">
        <v>47.59191666666667</v>
      </c>
      <c r="I370" s="93">
        <v>-122.66291666666666</v>
      </c>
      <c r="J370" s="95"/>
      <c r="K370" s="95"/>
      <c r="L370" s="73" t="s">
        <v>148</v>
      </c>
      <c r="M370" s="71">
        <v>-1.2192000000000001</v>
      </c>
      <c r="N370" s="90"/>
      <c r="O370" s="90" t="s">
        <v>89</v>
      </c>
      <c r="P370" s="90" t="s">
        <v>409</v>
      </c>
      <c r="Q370" s="73" t="s">
        <v>294</v>
      </c>
      <c r="R370" s="100" t="s">
        <v>944</v>
      </c>
      <c r="S370" s="131"/>
    </row>
    <row r="371" spans="1:19" s="1" customFormat="1" ht="15" customHeight="1" x14ac:dyDescent="0.25">
      <c r="A371" s="35">
        <v>42807</v>
      </c>
      <c r="B371" s="1" t="s">
        <v>58</v>
      </c>
      <c r="C371" s="1" t="s">
        <v>29</v>
      </c>
      <c r="D371" s="1" t="s">
        <v>1588</v>
      </c>
      <c r="E371" s="90" t="s">
        <v>523</v>
      </c>
      <c r="F371" s="73" t="s">
        <v>412</v>
      </c>
      <c r="G371" s="90" t="s">
        <v>701</v>
      </c>
      <c r="H371" s="93">
        <v>47.595616666666665</v>
      </c>
      <c r="I371" s="93">
        <v>-122.6562</v>
      </c>
      <c r="J371" s="95"/>
      <c r="K371" s="95"/>
      <c r="L371" s="73" t="s">
        <v>148</v>
      </c>
      <c r="M371" s="71">
        <v>-1.4630399999999999</v>
      </c>
      <c r="N371" s="90"/>
      <c r="O371" s="90" t="s">
        <v>783</v>
      </c>
      <c r="P371" s="90" t="s">
        <v>409</v>
      </c>
      <c r="Q371" s="73" t="s">
        <v>524</v>
      </c>
      <c r="R371" s="100" t="s">
        <v>950</v>
      </c>
      <c r="S371" s="131"/>
    </row>
    <row r="372" spans="1:19" s="1" customFormat="1" ht="15" customHeight="1" x14ac:dyDescent="0.25">
      <c r="A372" s="35">
        <v>42807</v>
      </c>
      <c r="B372" s="1" t="s">
        <v>58</v>
      </c>
      <c r="C372" s="1" t="s">
        <v>29</v>
      </c>
      <c r="D372" s="1" t="s">
        <v>1589</v>
      </c>
      <c r="E372" s="90" t="s">
        <v>523</v>
      </c>
      <c r="F372" s="73" t="s">
        <v>412</v>
      </c>
      <c r="G372" s="90" t="s">
        <v>701</v>
      </c>
      <c r="H372" s="93">
        <v>47.600349999999999</v>
      </c>
      <c r="I372" s="93">
        <v>-122.66295</v>
      </c>
      <c r="J372" s="95"/>
      <c r="K372" s="95"/>
      <c r="L372" s="73" t="s">
        <v>148</v>
      </c>
      <c r="M372" s="71">
        <v>-1.0058400000000001</v>
      </c>
      <c r="N372" s="90"/>
      <c r="O372" s="90" t="s">
        <v>89</v>
      </c>
      <c r="P372" s="90" t="s">
        <v>409</v>
      </c>
      <c r="Q372" s="73" t="s">
        <v>524</v>
      </c>
      <c r="R372" s="100" t="s">
        <v>945</v>
      </c>
      <c r="S372" s="131"/>
    </row>
    <row r="373" spans="1:19" s="1" customFormat="1" ht="15" customHeight="1" x14ac:dyDescent="0.25">
      <c r="A373" s="35">
        <v>42808</v>
      </c>
      <c r="B373" s="1" t="s">
        <v>58</v>
      </c>
      <c r="C373" s="1" t="s">
        <v>391</v>
      </c>
      <c r="D373" s="1" t="s">
        <v>1565</v>
      </c>
      <c r="E373" s="90" t="s">
        <v>523</v>
      </c>
      <c r="F373" s="73" t="s">
        <v>412</v>
      </c>
      <c r="G373" s="90" t="s">
        <v>701</v>
      </c>
      <c r="H373" s="93">
        <v>47.26253333333333</v>
      </c>
      <c r="I373" s="93">
        <v>-122.4362</v>
      </c>
      <c r="J373" s="95"/>
      <c r="K373" s="95"/>
      <c r="L373" s="73" t="s">
        <v>148</v>
      </c>
      <c r="M373" s="71">
        <v>-1.6764000000000001</v>
      </c>
      <c r="N373" s="90"/>
      <c r="O373" s="90"/>
      <c r="P373" s="73" t="s">
        <v>291</v>
      </c>
      <c r="Q373" s="96" t="s">
        <v>372</v>
      </c>
      <c r="R373" s="100" t="s">
        <v>772</v>
      </c>
      <c r="S373" s="131" t="s">
        <v>778</v>
      </c>
    </row>
    <row r="374" spans="1:19" s="1" customFormat="1" ht="15" customHeight="1" x14ac:dyDescent="0.25">
      <c r="A374" s="35">
        <v>42808</v>
      </c>
      <c r="B374" s="1" t="s">
        <v>58</v>
      </c>
      <c r="C374" s="1" t="s">
        <v>391</v>
      </c>
      <c r="D374" s="1" t="s">
        <v>1574</v>
      </c>
      <c r="E374" s="90" t="s">
        <v>523</v>
      </c>
      <c r="F374" s="73" t="s">
        <v>412</v>
      </c>
      <c r="G374" s="90" t="s">
        <v>701</v>
      </c>
      <c r="H374" s="93">
        <v>47.310166666666667</v>
      </c>
      <c r="I374" s="93">
        <v>-122.52328333333334</v>
      </c>
      <c r="J374" s="95"/>
      <c r="K374" s="95"/>
      <c r="L374" s="73" t="s">
        <v>148</v>
      </c>
      <c r="M374" s="71"/>
      <c r="N374" s="90"/>
      <c r="O374" s="90"/>
      <c r="P374" s="73" t="s">
        <v>409</v>
      </c>
      <c r="Q374" s="96" t="s">
        <v>524</v>
      </c>
      <c r="R374" s="100" t="s">
        <v>393</v>
      </c>
      <c r="S374" s="131" t="s">
        <v>778</v>
      </c>
    </row>
    <row r="375" spans="1:19" s="1" customFormat="1" ht="15" customHeight="1" x14ac:dyDescent="0.25">
      <c r="A375" s="35">
        <v>42808</v>
      </c>
      <c r="B375" s="1" t="s">
        <v>58</v>
      </c>
      <c r="C375" s="1" t="s">
        <v>391</v>
      </c>
      <c r="D375" s="1" t="s">
        <v>1575</v>
      </c>
      <c r="E375" s="90" t="s">
        <v>523</v>
      </c>
      <c r="F375" s="73" t="s">
        <v>412</v>
      </c>
      <c r="G375" s="90" t="s">
        <v>701</v>
      </c>
      <c r="H375" s="93">
        <v>47.316216666666669</v>
      </c>
      <c r="I375" s="93">
        <v>-122.53185000000001</v>
      </c>
      <c r="J375" s="95"/>
      <c r="K375" s="95"/>
      <c r="L375" s="73" t="s">
        <v>148</v>
      </c>
      <c r="M375" s="71">
        <v>-4.5110400000000004</v>
      </c>
      <c r="N375" s="90"/>
      <c r="O375" s="90"/>
      <c r="P375" s="73" t="s">
        <v>409</v>
      </c>
      <c r="Q375" s="96" t="s">
        <v>524</v>
      </c>
      <c r="R375" s="100" t="s">
        <v>392</v>
      </c>
      <c r="S375" s="131" t="s">
        <v>778</v>
      </c>
    </row>
    <row r="376" spans="1:19" s="1" customFormat="1" ht="15" customHeight="1" x14ac:dyDescent="0.25">
      <c r="A376" s="35">
        <v>42808</v>
      </c>
      <c r="B376" s="1" t="s">
        <v>58</v>
      </c>
      <c r="C376" s="1" t="s">
        <v>391</v>
      </c>
      <c r="D376" s="1" t="s">
        <v>1566</v>
      </c>
      <c r="E376" s="90" t="s">
        <v>523</v>
      </c>
      <c r="F376" s="73" t="s">
        <v>412</v>
      </c>
      <c r="G376" s="90" t="s">
        <v>701</v>
      </c>
      <c r="H376" s="93">
        <v>47.276049999999998</v>
      </c>
      <c r="I376" s="93">
        <v>-122.46398333333333</v>
      </c>
      <c r="J376" s="95"/>
      <c r="K376" s="95"/>
      <c r="L376" s="73" t="s">
        <v>148</v>
      </c>
      <c r="M376" s="71">
        <v>-1.2192000000000001</v>
      </c>
      <c r="N376" s="90"/>
      <c r="O376" s="90"/>
      <c r="P376" s="73" t="s">
        <v>409</v>
      </c>
      <c r="Q376" s="96" t="s">
        <v>294</v>
      </c>
      <c r="R376" s="100" t="s">
        <v>775</v>
      </c>
      <c r="S376" s="131" t="s">
        <v>778</v>
      </c>
    </row>
    <row r="377" spans="1:19" s="1" customFormat="1" ht="15" customHeight="1" x14ac:dyDescent="0.25">
      <c r="A377" s="35">
        <v>42808</v>
      </c>
      <c r="B377" s="1" t="s">
        <v>58</v>
      </c>
      <c r="C377" s="1" t="s">
        <v>391</v>
      </c>
      <c r="D377" s="1" t="s">
        <v>1567</v>
      </c>
      <c r="E377" s="90" t="s">
        <v>523</v>
      </c>
      <c r="F377" s="73" t="s">
        <v>412</v>
      </c>
      <c r="G377" s="90" t="s">
        <v>701</v>
      </c>
      <c r="H377" s="93">
        <v>47.280683333333336</v>
      </c>
      <c r="I377" s="93">
        <v>-122.47621666666667</v>
      </c>
      <c r="J377" s="95"/>
      <c r="K377" s="95"/>
      <c r="L377" s="73" t="s">
        <v>148</v>
      </c>
      <c r="M377" s="71">
        <v>-2.2250399999999995</v>
      </c>
      <c r="N377" s="90"/>
      <c r="O377" s="90"/>
      <c r="P377" s="73" t="s">
        <v>291</v>
      </c>
      <c r="Q377" s="96" t="s">
        <v>372</v>
      </c>
      <c r="R377" s="100" t="s">
        <v>774</v>
      </c>
      <c r="S377" s="131" t="s">
        <v>778</v>
      </c>
    </row>
    <row r="378" spans="1:19" s="1" customFormat="1" ht="15" customHeight="1" x14ac:dyDescent="0.25">
      <c r="A378" s="35">
        <v>42808</v>
      </c>
      <c r="B378" s="1" t="s">
        <v>58</v>
      </c>
      <c r="C378" s="1" t="s">
        <v>391</v>
      </c>
      <c r="D378" s="1" t="s">
        <v>1568</v>
      </c>
      <c r="E378" s="90" t="s">
        <v>523</v>
      </c>
      <c r="F378" s="73" t="s">
        <v>412</v>
      </c>
      <c r="G378" s="90" t="s">
        <v>701</v>
      </c>
      <c r="H378" s="93">
        <v>47.285516666666666</v>
      </c>
      <c r="I378" s="93">
        <v>-122.48526666666666</v>
      </c>
      <c r="J378" s="95"/>
      <c r="K378" s="95"/>
      <c r="L378" s="73" t="s">
        <v>148</v>
      </c>
      <c r="M378" s="71">
        <v>-2.1640799999999998</v>
      </c>
      <c r="N378" s="90"/>
      <c r="O378" s="90"/>
      <c r="P378" s="73" t="s">
        <v>291</v>
      </c>
      <c r="Q378" s="96" t="s">
        <v>372</v>
      </c>
      <c r="R378" s="100" t="s">
        <v>773</v>
      </c>
      <c r="S378" s="131" t="s">
        <v>778</v>
      </c>
    </row>
    <row r="379" spans="1:19" s="1" customFormat="1" ht="15" customHeight="1" x14ac:dyDescent="0.25">
      <c r="A379" s="35">
        <v>42808</v>
      </c>
      <c r="B379" s="1" t="s">
        <v>58</v>
      </c>
      <c r="C379" s="1" t="s">
        <v>391</v>
      </c>
      <c r="D379" s="1" t="s">
        <v>1569</v>
      </c>
      <c r="E379" s="90" t="s">
        <v>523</v>
      </c>
      <c r="F379" s="73" t="s">
        <v>412</v>
      </c>
      <c r="G379" s="90" t="s">
        <v>701</v>
      </c>
      <c r="H379" s="93">
        <v>47.287300000000002</v>
      </c>
      <c r="I379" s="93">
        <v>-122.41164999999999</v>
      </c>
      <c r="J379" s="95"/>
      <c r="K379" s="95"/>
      <c r="L379" s="73" t="s">
        <v>148</v>
      </c>
      <c r="M379" s="71">
        <v>-2.1031200000000001</v>
      </c>
      <c r="N379" s="90"/>
      <c r="O379" s="90"/>
      <c r="P379" s="73" t="s">
        <v>291</v>
      </c>
      <c r="Q379" s="96" t="s">
        <v>372</v>
      </c>
      <c r="R379" s="100" t="s">
        <v>1529</v>
      </c>
      <c r="S379" s="131" t="s">
        <v>778</v>
      </c>
    </row>
    <row r="380" spans="1:19" s="1" customFormat="1" ht="15" customHeight="1" x14ac:dyDescent="0.25">
      <c r="A380" s="35">
        <v>42808</v>
      </c>
      <c r="B380" s="1" t="s">
        <v>58</v>
      </c>
      <c r="C380" s="1" t="s">
        <v>391</v>
      </c>
      <c r="D380" s="1" t="s">
        <v>1570</v>
      </c>
      <c r="E380" s="90" t="s">
        <v>523</v>
      </c>
      <c r="F380" s="73" t="s">
        <v>412</v>
      </c>
      <c r="G380" s="90" t="s">
        <v>701</v>
      </c>
      <c r="H380" s="93">
        <v>47.295250000000003</v>
      </c>
      <c r="I380" s="93">
        <v>-122.49731666666666</v>
      </c>
      <c r="J380" s="95"/>
      <c r="K380" s="95"/>
      <c r="L380" s="73" t="s">
        <v>148</v>
      </c>
      <c r="M380" s="71">
        <v>-2.9565599999999996</v>
      </c>
      <c r="N380" s="90"/>
      <c r="O380" s="90"/>
      <c r="P380" s="73" t="s">
        <v>409</v>
      </c>
      <c r="Q380" s="96" t="s">
        <v>525</v>
      </c>
      <c r="R380" s="100" t="s">
        <v>776</v>
      </c>
      <c r="S380" s="131" t="s">
        <v>778</v>
      </c>
    </row>
    <row r="381" spans="1:19" s="1" customFormat="1" ht="15" customHeight="1" x14ac:dyDescent="0.25">
      <c r="A381" s="35">
        <v>42808</v>
      </c>
      <c r="B381" s="1" t="s">
        <v>58</v>
      </c>
      <c r="C381" s="1" t="s">
        <v>391</v>
      </c>
      <c r="D381" s="1" t="s">
        <v>1571</v>
      </c>
      <c r="E381" s="90" t="s">
        <v>523</v>
      </c>
      <c r="F381" s="73" t="s">
        <v>412</v>
      </c>
      <c r="G381" s="90" t="s">
        <v>701</v>
      </c>
      <c r="H381" s="93">
        <v>47.295316666666665</v>
      </c>
      <c r="I381" s="93">
        <v>-122.4986</v>
      </c>
      <c r="J381" s="95"/>
      <c r="K381" s="95"/>
      <c r="L381" s="73" t="s">
        <v>148</v>
      </c>
      <c r="M381" s="71">
        <v>-1.73736</v>
      </c>
      <c r="N381" s="90"/>
      <c r="O381" s="90"/>
      <c r="P381" s="73" t="s">
        <v>409</v>
      </c>
      <c r="Q381" s="96" t="s">
        <v>525</v>
      </c>
      <c r="R381" s="100" t="s">
        <v>777</v>
      </c>
      <c r="S381" s="131" t="s">
        <v>778</v>
      </c>
    </row>
    <row r="382" spans="1:19" s="1" customFormat="1" ht="15" customHeight="1" x14ac:dyDescent="0.25">
      <c r="A382" s="35">
        <v>42808</v>
      </c>
      <c r="B382" s="1" t="s">
        <v>58</v>
      </c>
      <c r="C382" s="1" t="s">
        <v>391</v>
      </c>
      <c r="D382" s="1" t="s">
        <v>1572</v>
      </c>
      <c r="E382" s="90" t="s">
        <v>523</v>
      </c>
      <c r="F382" s="73" t="s">
        <v>412</v>
      </c>
      <c r="G382" s="90" t="s">
        <v>701</v>
      </c>
      <c r="H382" s="93">
        <v>47.295366666666666</v>
      </c>
      <c r="I382" s="93">
        <v>-122.49816666666666</v>
      </c>
      <c r="J382" s="95"/>
      <c r="K382" s="95"/>
      <c r="L382" s="73" t="s">
        <v>148</v>
      </c>
      <c r="M382" s="71">
        <v>-2.9565599999999996</v>
      </c>
      <c r="N382" s="90"/>
      <c r="O382" s="90"/>
      <c r="P382" s="73" t="s">
        <v>291</v>
      </c>
      <c r="Q382" s="96" t="s">
        <v>372</v>
      </c>
      <c r="R382" s="100" t="s">
        <v>395</v>
      </c>
      <c r="S382" s="131" t="s">
        <v>778</v>
      </c>
    </row>
    <row r="383" spans="1:19" s="1" customFormat="1" ht="15" customHeight="1" x14ac:dyDescent="0.25">
      <c r="A383" s="35">
        <v>42808</v>
      </c>
      <c r="B383" s="1" t="s">
        <v>58</v>
      </c>
      <c r="C383" s="1" t="s">
        <v>391</v>
      </c>
      <c r="D383" s="1" t="s">
        <v>1573</v>
      </c>
      <c r="E383" s="90" t="s">
        <v>523</v>
      </c>
      <c r="F383" s="73" t="s">
        <v>412</v>
      </c>
      <c r="G383" s="90" t="s">
        <v>701</v>
      </c>
      <c r="H383" s="93">
        <v>47.306699999999999</v>
      </c>
      <c r="I383" s="93">
        <v>-122.51545</v>
      </c>
      <c r="J383" s="95"/>
      <c r="K383" s="95"/>
      <c r="L383" s="73" t="s">
        <v>148</v>
      </c>
      <c r="M383" s="71">
        <v>-2.6822400000000002</v>
      </c>
      <c r="N383" s="90"/>
      <c r="O383" s="90"/>
      <c r="P383" s="73" t="s">
        <v>409</v>
      </c>
      <c r="Q383" s="96" t="s">
        <v>524</v>
      </c>
      <c r="R383" s="100" t="s">
        <v>394</v>
      </c>
      <c r="S383" s="131" t="s">
        <v>778</v>
      </c>
    </row>
    <row r="384" spans="1:19" s="1" customFormat="1" ht="15" customHeight="1" x14ac:dyDescent="0.25">
      <c r="A384" s="35">
        <v>42808</v>
      </c>
      <c r="B384" s="1" t="s">
        <v>58</v>
      </c>
      <c r="C384" s="1" t="s">
        <v>380</v>
      </c>
      <c r="D384" s="1" t="s">
        <v>1705</v>
      </c>
      <c r="E384" s="90" t="s">
        <v>523</v>
      </c>
      <c r="F384" s="73" t="s">
        <v>691</v>
      </c>
      <c r="G384" s="90" t="s">
        <v>701</v>
      </c>
      <c r="H384" s="93">
        <v>47.367216666666664</v>
      </c>
      <c r="I384" s="93">
        <v>-122.46803333333334</v>
      </c>
      <c r="J384" s="93">
        <v>47.367150000000002</v>
      </c>
      <c r="K384" s="93">
        <v>-122.4675</v>
      </c>
      <c r="L384" s="73" t="s">
        <v>148</v>
      </c>
      <c r="M384" s="63">
        <v>-1.6</v>
      </c>
      <c r="N384" s="90"/>
      <c r="O384" s="90" t="s">
        <v>89</v>
      </c>
      <c r="P384" s="73" t="s">
        <v>409</v>
      </c>
      <c r="Q384" s="96" t="s">
        <v>294</v>
      </c>
      <c r="R384" s="100" t="s">
        <v>954</v>
      </c>
      <c r="S384" s="131"/>
    </row>
    <row r="385" spans="1:19" s="1" customFormat="1" ht="15" customHeight="1" x14ac:dyDescent="0.25">
      <c r="A385" s="35">
        <v>42808</v>
      </c>
      <c r="B385" s="1" t="s">
        <v>58</v>
      </c>
      <c r="C385" s="1" t="s">
        <v>380</v>
      </c>
      <c r="D385" s="1" t="s">
        <v>1714</v>
      </c>
      <c r="E385" s="90" t="s">
        <v>523</v>
      </c>
      <c r="F385" s="73" t="s">
        <v>412</v>
      </c>
      <c r="G385" s="90" t="s">
        <v>701</v>
      </c>
      <c r="H385" s="93">
        <v>47.380733333333332</v>
      </c>
      <c r="I385" s="93">
        <v>-122.44628333333333</v>
      </c>
      <c r="J385" s="95"/>
      <c r="K385" s="95"/>
      <c r="L385" s="73" t="s">
        <v>148</v>
      </c>
      <c r="M385" s="63">
        <v>-1.6763999999999999</v>
      </c>
      <c r="N385" s="90"/>
      <c r="O385" s="90"/>
      <c r="P385" s="73" t="s">
        <v>291</v>
      </c>
      <c r="Q385" s="96" t="s">
        <v>372</v>
      </c>
      <c r="R385" s="100" t="s">
        <v>384</v>
      </c>
      <c r="S385" s="131"/>
    </row>
    <row r="386" spans="1:19" s="1" customFormat="1" ht="15" customHeight="1" x14ac:dyDescent="0.25">
      <c r="A386" s="35">
        <v>42808</v>
      </c>
      <c r="B386" s="1" t="s">
        <v>58</v>
      </c>
      <c r="C386" s="1" t="s">
        <v>380</v>
      </c>
      <c r="D386" s="1" t="s">
        <v>1715</v>
      </c>
      <c r="E386" s="90" t="s">
        <v>523</v>
      </c>
      <c r="F386" s="73" t="s">
        <v>412</v>
      </c>
      <c r="G386" s="90" t="s">
        <v>701</v>
      </c>
      <c r="H386" s="93">
        <v>47.383200000000002</v>
      </c>
      <c r="I386" s="93">
        <v>-122.4522</v>
      </c>
      <c r="J386" s="95"/>
      <c r="K386" s="95"/>
      <c r="L386" s="73" t="s">
        <v>148</v>
      </c>
      <c r="M386" s="63">
        <v>-2.2250399999999999</v>
      </c>
      <c r="N386" s="90"/>
      <c r="O386" s="90" t="s">
        <v>89</v>
      </c>
      <c r="P386" s="73" t="s">
        <v>409</v>
      </c>
      <c r="Q386" s="96" t="s">
        <v>294</v>
      </c>
      <c r="R386" s="100" t="s">
        <v>381</v>
      </c>
      <c r="S386" s="131"/>
    </row>
    <row r="387" spans="1:19" s="1" customFormat="1" ht="15" customHeight="1" x14ac:dyDescent="0.25">
      <c r="A387" s="35">
        <v>42808</v>
      </c>
      <c r="B387" s="1" t="s">
        <v>58</v>
      </c>
      <c r="C387" s="1" t="s">
        <v>380</v>
      </c>
      <c r="D387" s="1" t="s">
        <v>1716</v>
      </c>
      <c r="E387" s="90" t="s">
        <v>523</v>
      </c>
      <c r="F387" s="73" t="s">
        <v>412</v>
      </c>
      <c r="G387" s="90" t="s">
        <v>701</v>
      </c>
      <c r="H387" s="93">
        <v>47.383783333333334</v>
      </c>
      <c r="I387" s="93">
        <v>-122.45033333333333</v>
      </c>
      <c r="J387" s="95"/>
      <c r="K387" s="95"/>
      <c r="L387" s="73" t="s">
        <v>148</v>
      </c>
      <c r="M387" s="63">
        <v>-0.70103999999999989</v>
      </c>
      <c r="N387" s="90"/>
      <c r="O387" s="90" t="s">
        <v>89</v>
      </c>
      <c r="P387" s="73" t="s">
        <v>409</v>
      </c>
      <c r="Q387" s="96" t="s">
        <v>524</v>
      </c>
      <c r="R387" s="100" t="s">
        <v>780</v>
      </c>
      <c r="S387" s="131"/>
    </row>
    <row r="388" spans="1:19" s="1" customFormat="1" ht="15" customHeight="1" x14ac:dyDescent="0.25">
      <c r="A388" s="35">
        <v>42808</v>
      </c>
      <c r="B388" s="1" t="s">
        <v>58</v>
      </c>
      <c r="C388" s="1" t="s">
        <v>380</v>
      </c>
      <c r="D388" s="1" t="s">
        <v>1717</v>
      </c>
      <c r="E388" s="90" t="s">
        <v>523</v>
      </c>
      <c r="F388" s="73" t="s">
        <v>412</v>
      </c>
      <c r="G388" s="90" t="s">
        <v>701</v>
      </c>
      <c r="H388" s="93">
        <v>47.383916666666664</v>
      </c>
      <c r="I388" s="93">
        <v>-122.4439</v>
      </c>
      <c r="J388" s="95"/>
      <c r="K388" s="95"/>
      <c r="L388" s="73" t="s">
        <v>148</v>
      </c>
      <c r="M388" s="63">
        <v>-1.8288</v>
      </c>
      <c r="N388" s="90"/>
      <c r="O388" s="90" t="s">
        <v>89</v>
      </c>
      <c r="P388" s="73" t="s">
        <v>291</v>
      </c>
      <c r="Q388" s="96" t="s">
        <v>372</v>
      </c>
      <c r="R388" s="100" t="s">
        <v>386</v>
      </c>
      <c r="S388" s="131"/>
    </row>
    <row r="389" spans="1:19" s="1" customFormat="1" ht="15" customHeight="1" x14ac:dyDescent="0.25">
      <c r="A389" s="35">
        <v>42808</v>
      </c>
      <c r="B389" s="1" t="s">
        <v>58</v>
      </c>
      <c r="C389" s="1" t="s">
        <v>380</v>
      </c>
      <c r="D389" s="1" t="s">
        <v>1718</v>
      </c>
      <c r="E389" s="90" t="s">
        <v>523</v>
      </c>
      <c r="F389" s="73" t="s">
        <v>412</v>
      </c>
      <c r="G389" s="90" t="s">
        <v>701</v>
      </c>
      <c r="H389" s="93">
        <v>47.384383333333332</v>
      </c>
      <c r="I389" s="93">
        <v>-122.44943333333333</v>
      </c>
      <c r="J389" s="95"/>
      <c r="K389" s="95"/>
      <c r="L389" s="73" t="s">
        <v>148</v>
      </c>
      <c r="M389" s="63">
        <v>-2.2250399999999999</v>
      </c>
      <c r="N389" s="90"/>
      <c r="O389" s="90" t="s">
        <v>89</v>
      </c>
      <c r="P389" s="73" t="s">
        <v>409</v>
      </c>
      <c r="Q389" s="96" t="s">
        <v>294</v>
      </c>
      <c r="R389" s="100" t="s">
        <v>951</v>
      </c>
      <c r="S389" s="131"/>
    </row>
    <row r="390" spans="1:19" s="1" customFormat="1" ht="15" customHeight="1" x14ac:dyDescent="0.25">
      <c r="A390" s="35">
        <v>42808</v>
      </c>
      <c r="B390" s="1" t="s">
        <v>58</v>
      </c>
      <c r="C390" s="1" t="s">
        <v>380</v>
      </c>
      <c r="D390" s="1" t="s">
        <v>1719</v>
      </c>
      <c r="E390" s="90" t="s">
        <v>523</v>
      </c>
      <c r="F390" s="73" t="s">
        <v>412</v>
      </c>
      <c r="G390" s="90" t="s">
        <v>701</v>
      </c>
      <c r="H390" s="93">
        <v>47.384399999999999</v>
      </c>
      <c r="I390" s="93">
        <v>-122.44296666666666</v>
      </c>
      <c r="J390" s="95"/>
      <c r="K390" s="95"/>
      <c r="L390" s="73" t="s">
        <v>148</v>
      </c>
      <c r="M390" s="63">
        <v>-1.8288</v>
      </c>
      <c r="N390" s="90"/>
      <c r="O390" s="90"/>
      <c r="P390" s="73" t="s">
        <v>291</v>
      </c>
      <c r="Q390" s="96" t="s">
        <v>372</v>
      </c>
      <c r="R390" s="100" t="s">
        <v>387</v>
      </c>
      <c r="S390" s="131"/>
    </row>
    <row r="391" spans="1:19" s="1" customFormat="1" ht="15" customHeight="1" x14ac:dyDescent="0.25">
      <c r="A391" s="35">
        <v>42808</v>
      </c>
      <c r="B391" s="1" t="s">
        <v>58</v>
      </c>
      <c r="C391" s="1" t="s">
        <v>380</v>
      </c>
      <c r="D391" s="1" t="s">
        <v>1720</v>
      </c>
      <c r="E391" s="90" t="s">
        <v>523</v>
      </c>
      <c r="F391" s="73" t="s">
        <v>412</v>
      </c>
      <c r="G391" s="90" t="s">
        <v>701</v>
      </c>
      <c r="H391" s="93">
        <v>47.38485</v>
      </c>
      <c r="I391" s="93">
        <v>-122.44235</v>
      </c>
      <c r="J391" s="95"/>
      <c r="K391" s="95"/>
      <c r="L391" s="73" t="s">
        <v>148</v>
      </c>
      <c r="M391" s="63">
        <v>-2.1640799999999998</v>
      </c>
      <c r="N391" s="90"/>
      <c r="O391" s="90"/>
      <c r="P391" s="73" t="s">
        <v>291</v>
      </c>
      <c r="Q391" s="96" t="s">
        <v>372</v>
      </c>
      <c r="R391" s="100" t="s">
        <v>385</v>
      </c>
      <c r="S391" s="131"/>
    </row>
    <row r="392" spans="1:19" s="1" customFormat="1" ht="15" customHeight="1" x14ac:dyDescent="0.25">
      <c r="A392" s="35">
        <v>42808</v>
      </c>
      <c r="B392" s="1" t="s">
        <v>58</v>
      </c>
      <c r="C392" s="1" t="s">
        <v>380</v>
      </c>
      <c r="D392" s="1" t="s">
        <v>1721</v>
      </c>
      <c r="E392" s="90" t="s">
        <v>523</v>
      </c>
      <c r="F392" s="73" t="s">
        <v>412</v>
      </c>
      <c r="G392" s="90" t="s">
        <v>701</v>
      </c>
      <c r="H392" s="93">
        <v>47.386833333333335</v>
      </c>
      <c r="I392" s="93">
        <v>-122.46941666666666</v>
      </c>
      <c r="J392" s="95"/>
      <c r="K392" s="95"/>
      <c r="L392" s="73" t="s">
        <v>148</v>
      </c>
      <c r="M392" s="63">
        <v>-1.0668</v>
      </c>
      <c r="N392" s="90"/>
      <c r="O392" s="90"/>
      <c r="P392" s="73" t="s">
        <v>291</v>
      </c>
      <c r="Q392" s="96" t="s">
        <v>372</v>
      </c>
      <c r="R392" s="100" t="s">
        <v>823</v>
      </c>
      <c r="S392" s="131"/>
    </row>
    <row r="393" spans="1:19" s="1" customFormat="1" ht="15" customHeight="1" x14ac:dyDescent="0.25">
      <c r="A393" s="35">
        <v>42808</v>
      </c>
      <c r="B393" s="1" t="s">
        <v>58</v>
      </c>
      <c r="C393" s="1" t="s">
        <v>380</v>
      </c>
      <c r="D393" s="1" t="s">
        <v>1722</v>
      </c>
      <c r="E393" s="90" t="s">
        <v>523</v>
      </c>
      <c r="F393" s="73" t="s">
        <v>412</v>
      </c>
      <c r="G393" s="90" t="s">
        <v>701</v>
      </c>
      <c r="H393" s="93">
        <v>47.393683333333335</v>
      </c>
      <c r="I393" s="93">
        <v>-122.44843333333333</v>
      </c>
      <c r="J393" s="95"/>
      <c r="K393" s="95"/>
      <c r="L393" s="73" t="s">
        <v>148</v>
      </c>
      <c r="M393" s="63">
        <v>-1.73736</v>
      </c>
      <c r="N393" s="90"/>
      <c r="O393" s="90"/>
      <c r="P393" s="73" t="s">
        <v>409</v>
      </c>
      <c r="Q393" s="96" t="s">
        <v>294</v>
      </c>
      <c r="R393" s="100" t="s">
        <v>388</v>
      </c>
      <c r="S393" s="131"/>
    </row>
    <row r="394" spans="1:19" s="1" customFormat="1" ht="15" customHeight="1" x14ac:dyDescent="0.25">
      <c r="A394" s="35">
        <v>42808</v>
      </c>
      <c r="B394" s="1" t="s">
        <v>58</v>
      </c>
      <c r="C394" s="1" t="s">
        <v>380</v>
      </c>
      <c r="D394" s="1" t="s">
        <v>1723</v>
      </c>
      <c r="E394" s="90" t="s">
        <v>523</v>
      </c>
      <c r="F394" s="73" t="s">
        <v>412</v>
      </c>
      <c r="G394" s="90" t="s">
        <v>701</v>
      </c>
      <c r="H394" s="93">
        <v>47.398850000000003</v>
      </c>
      <c r="I394" s="93">
        <v>-122.43976666666667</v>
      </c>
      <c r="J394" s="95"/>
      <c r="K394" s="95"/>
      <c r="L394" s="73" t="s">
        <v>148</v>
      </c>
      <c r="M394" s="63"/>
      <c r="N394" s="90"/>
      <c r="O394" s="90" t="s">
        <v>268</v>
      </c>
      <c r="P394" s="73" t="s">
        <v>409</v>
      </c>
      <c r="Q394" s="96" t="s">
        <v>524</v>
      </c>
      <c r="R394" s="100" t="s">
        <v>389</v>
      </c>
      <c r="S394" s="131"/>
    </row>
    <row r="395" spans="1:19" s="1" customFormat="1" ht="15" customHeight="1" x14ac:dyDescent="0.25">
      <c r="A395" s="35">
        <v>42808</v>
      </c>
      <c r="B395" s="1" t="s">
        <v>58</v>
      </c>
      <c r="C395" s="1" t="s">
        <v>380</v>
      </c>
      <c r="D395" s="1" t="s">
        <v>1706</v>
      </c>
      <c r="E395" s="90" t="s">
        <v>523</v>
      </c>
      <c r="F395" s="73" t="s">
        <v>691</v>
      </c>
      <c r="G395" s="90" t="s">
        <v>701</v>
      </c>
      <c r="H395" s="93">
        <v>47.386583333333334</v>
      </c>
      <c r="I395" s="93">
        <v>-122.46963333333333</v>
      </c>
      <c r="J395" s="93">
        <v>47.386933333333332</v>
      </c>
      <c r="K395" s="93">
        <v>-122.46956666666667</v>
      </c>
      <c r="L395" s="73" t="s">
        <v>148</v>
      </c>
      <c r="M395" s="63">
        <v>-1.6</v>
      </c>
      <c r="N395" s="90"/>
      <c r="O395" s="90" t="s">
        <v>89</v>
      </c>
      <c r="P395" s="73" t="s">
        <v>409</v>
      </c>
      <c r="Q395" s="96" t="s">
        <v>294</v>
      </c>
      <c r="R395" s="100" t="s">
        <v>822</v>
      </c>
      <c r="S395" s="131"/>
    </row>
    <row r="396" spans="1:19" s="1" customFormat="1" ht="15" customHeight="1" x14ac:dyDescent="0.25">
      <c r="A396" s="35">
        <v>42808</v>
      </c>
      <c r="B396" s="1" t="s">
        <v>58</v>
      </c>
      <c r="C396" s="1" t="s">
        <v>380</v>
      </c>
      <c r="D396" s="1" t="s">
        <v>1724</v>
      </c>
      <c r="E396" s="90" t="s">
        <v>523</v>
      </c>
      <c r="F396" s="73" t="s">
        <v>412</v>
      </c>
      <c r="G396" s="90" t="s">
        <v>701</v>
      </c>
      <c r="H396" s="93">
        <v>47.40423333333333</v>
      </c>
      <c r="I396" s="93">
        <v>-122.44428333333333</v>
      </c>
      <c r="J396" s="95"/>
      <c r="K396" s="95"/>
      <c r="L396" s="73" t="s">
        <v>148</v>
      </c>
      <c r="M396" s="63">
        <v>-1.4630399999999999</v>
      </c>
      <c r="N396" s="90" t="s">
        <v>785</v>
      </c>
      <c r="O396" s="90" t="s">
        <v>781</v>
      </c>
      <c r="P396" s="73" t="s">
        <v>409</v>
      </c>
      <c r="Q396" s="96" t="s">
        <v>525</v>
      </c>
      <c r="R396" s="100" t="s">
        <v>952</v>
      </c>
      <c r="S396" s="131"/>
    </row>
    <row r="397" spans="1:19" s="1" customFormat="1" ht="15" customHeight="1" x14ac:dyDescent="0.25">
      <c r="A397" s="35">
        <v>42808</v>
      </c>
      <c r="B397" s="1" t="s">
        <v>58</v>
      </c>
      <c r="C397" s="1" t="s">
        <v>380</v>
      </c>
      <c r="D397" s="1" t="s">
        <v>1707</v>
      </c>
      <c r="E397" s="90" t="s">
        <v>523</v>
      </c>
      <c r="F397" s="73" t="s">
        <v>691</v>
      </c>
      <c r="G397" s="90" t="s">
        <v>701</v>
      </c>
      <c r="H397" s="93">
        <v>47.390416666666667</v>
      </c>
      <c r="I397" s="93">
        <v>-122.43631666666667</v>
      </c>
      <c r="J397" s="93">
        <v>47.390933333333336</v>
      </c>
      <c r="K397" s="93">
        <v>-122.43525</v>
      </c>
      <c r="L397" s="73" t="s">
        <v>148</v>
      </c>
      <c r="M397" s="63">
        <v>-1.6</v>
      </c>
      <c r="N397" s="90"/>
      <c r="O397" s="90" t="s">
        <v>89</v>
      </c>
      <c r="P397" s="73" t="s">
        <v>409</v>
      </c>
      <c r="Q397" s="96" t="s">
        <v>294</v>
      </c>
      <c r="R397" s="100" t="s">
        <v>953</v>
      </c>
      <c r="S397" s="131"/>
    </row>
    <row r="398" spans="1:19" s="1" customFormat="1" ht="15" customHeight="1" x14ac:dyDescent="0.25">
      <c r="A398" s="35">
        <v>42808</v>
      </c>
      <c r="B398" s="1" t="s">
        <v>58</v>
      </c>
      <c r="C398" s="1" t="s">
        <v>380</v>
      </c>
      <c r="D398" s="1" t="s">
        <v>1708</v>
      </c>
      <c r="E398" s="90" t="s">
        <v>523</v>
      </c>
      <c r="F398" s="73" t="s">
        <v>691</v>
      </c>
      <c r="G398" s="90" t="s">
        <v>701</v>
      </c>
      <c r="H398" s="93">
        <v>47.394483333333334</v>
      </c>
      <c r="I398" s="93">
        <v>-122.4579</v>
      </c>
      <c r="J398" s="93">
        <v>47.394199999999998</v>
      </c>
      <c r="K398" s="93">
        <v>-122.45773333333334</v>
      </c>
      <c r="L398" s="73" t="s">
        <v>148</v>
      </c>
      <c r="M398" s="63">
        <v>-1.6</v>
      </c>
      <c r="N398" s="90"/>
      <c r="O398" s="90" t="s">
        <v>89</v>
      </c>
      <c r="P398" s="73" t="s">
        <v>409</v>
      </c>
      <c r="Q398" s="96" t="s">
        <v>525</v>
      </c>
      <c r="R398" s="100" t="s">
        <v>820</v>
      </c>
      <c r="S398" s="131"/>
    </row>
    <row r="399" spans="1:19" s="1" customFormat="1" ht="15" customHeight="1" x14ac:dyDescent="0.25">
      <c r="A399" s="35">
        <v>42808</v>
      </c>
      <c r="B399" s="1" t="s">
        <v>58</v>
      </c>
      <c r="C399" s="1" t="s">
        <v>380</v>
      </c>
      <c r="D399" s="1" t="s">
        <v>1709</v>
      </c>
      <c r="E399" s="90" t="s">
        <v>523</v>
      </c>
      <c r="F399" s="73" t="s">
        <v>691</v>
      </c>
      <c r="G399" s="90" t="s">
        <v>701</v>
      </c>
      <c r="H399" s="93">
        <v>47.394966666666669</v>
      </c>
      <c r="I399" s="93">
        <v>-122.45028333333333</v>
      </c>
      <c r="J399" s="93">
        <v>47.394816666666664</v>
      </c>
      <c r="K399" s="93">
        <v>-122.45061666666666</v>
      </c>
      <c r="L399" s="73" t="s">
        <v>148</v>
      </c>
      <c r="M399" s="63">
        <v>-1.6</v>
      </c>
      <c r="N399" s="90" t="s">
        <v>793</v>
      </c>
      <c r="O399" s="90" t="s">
        <v>89</v>
      </c>
      <c r="P399" s="73" t="s">
        <v>409</v>
      </c>
      <c r="Q399" s="96" t="s">
        <v>294</v>
      </c>
      <c r="R399" s="100" t="s">
        <v>819</v>
      </c>
      <c r="S399" s="131"/>
    </row>
    <row r="400" spans="1:19" s="1" customFormat="1" ht="15" customHeight="1" x14ac:dyDescent="0.25">
      <c r="A400" s="35">
        <v>42808</v>
      </c>
      <c r="B400" s="1" t="s">
        <v>58</v>
      </c>
      <c r="C400" s="1" t="s">
        <v>380</v>
      </c>
      <c r="D400" s="1" t="s">
        <v>1710</v>
      </c>
      <c r="E400" s="90" t="s">
        <v>523</v>
      </c>
      <c r="F400" s="73" t="s">
        <v>691</v>
      </c>
      <c r="G400" s="90" t="s">
        <v>701</v>
      </c>
      <c r="H400" s="93">
        <v>47.402233333333335</v>
      </c>
      <c r="I400" s="93">
        <v>-122.45591666666667</v>
      </c>
      <c r="J400" s="93">
        <v>47.402466666666669</v>
      </c>
      <c r="K400" s="93">
        <v>-122.45583333333333</v>
      </c>
      <c r="L400" s="73" t="s">
        <v>148</v>
      </c>
      <c r="M400" s="63">
        <v>-1.6</v>
      </c>
      <c r="N400" s="90"/>
      <c r="O400" s="90" t="s">
        <v>268</v>
      </c>
      <c r="P400" s="73" t="s">
        <v>409</v>
      </c>
      <c r="Q400" s="96" t="s">
        <v>524</v>
      </c>
      <c r="R400" s="100" t="s">
        <v>821</v>
      </c>
      <c r="S400" s="131"/>
    </row>
    <row r="401" spans="1:26" s="1" customFormat="1" ht="15" customHeight="1" x14ac:dyDescent="0.25">
      <c r="A401" s="35">
        <v>42808</v>
      </c>
      <c r="B401" s="1" t="s">
        <v>58</v>
      </c>
      <c r="C401" s="1" t="s">
        <v>380</v>
      </c>
      <c r="D401" s="1" t="s">
        <v>1711</v>
      </c>
      <c r="E401" s="90" t="s">
        <v>523</v>
      </c>
      <c r="F401" s="73" t="s">
        <v>412</v>
      </c>
      <c r="G401" s="90" t="s">
        <v>701</v>
      </c>
      <c r="H401" s="93">
        <v>47.377966666666666</v>
      </c>
      <c r="I401" s="93">
        <v>-122.44841666666667</v>
      </c>
      <c r="J401" s="95"/>
      <c r="K401" s="95"/>
      <c r="L401" s="73" t="s">
        <v>148</v>
      </c>
      <c r="M401" s="63">
        <v>-1.8288</v>
      </c>
      <c r="N401" s="90"/>
      <c r="O401" s="90"/>
      <c r="P401" s="73" t="s">
        <v>291</v>
      </c>
      <c r="Q401" s="96" t="s">
        <v>372</v>
      </c>
      <c r="R401" s="100" t="s">
        <v>382</v>
      </c>
      <c r="S401" s="131"/>
    </row>
    <row r="402" spans="1:26" s="1" customFormat="1" ht="15" customHeight="1" x14ac:dyDescent="0.25">
      <c r="A402" s="35">
        <v>42808</v>
      </c>
      <c r="B402" s="1" t="s">
        <v>58</v>
      </c>
      <c r="C402" s="1" t="s">
        <v>380</v>
      </c>
      <c r="D402" s="1" t="s">
        <v>1712</v>
      </c>
      <c r="E402" s="90" t="s">
        <v>523</v>
      </c>
      <c r="F402" s="73" t="s">
        <v>412</v>
      </c>
      <c r="G402" s="90" t="s">
        <v>701</v>
      </c>
      <c r="H402" s="93">
        <v>47.378733333333336</v>
      </c>
      <c r="I402" s="93">
        <v>-122.4479</v>
      </c>
      <c r="J402" s="95"/>
      <c r="K402" s="95"/>
      <c r="L402" s="73" t="s">
        <v>148</v>
      </c>
      <c r="M402" s="63">
        <v>-1.8288</v>
      </c>
      <c r="N402" s="90"/>
      <c r="O402" s="90"/>
      <c r="P402" s="73" t="s">
        <v>291</v>
      </c>
      <c r="Q402" s="96" t="s">
        <v>372</v>
      </c>
      <c r="R402" s="100" t="s">
        <v>383</v>
      </c>
      <c r="S402" s="131"/>
    </row>
    <row r="403" spans="1:26" s="1" customFormat="1" ht="15" customHeight="1" x14ac:dyDescent="0.25">
      <c r="A403" s="35">
        <v>42808</v>
      </c>
      <c r="B403" s="1" t="s">
        <v>58</v>
      </c>
      <c r="C403" s="1" t="s">
        <v>380</v>
      </c>
      <c r="D403" s="1" t="s">
        <v>1713</v>
      </c>
      <c r="E403" s="90" t="s">
        <v>523</v>
      </c>
      <c r="F403" s="73" t="s">
        <v>412</v>
      </c>
      <c r="G403" s="90" t="s">
        <v>701</v>
      </c>
      <c r="H403" s="93">
        <v>47.379049999999999</v>
      </c>
      <c r="I403" s="93">
        <v>-122.48353333333333</v>
      </c>
      <c r="J403" s="95"/>
      <c r="K403" s="95"/>
      <c r="L403" s="73" t="s">
        <v>148</v>
      </c>
      <c r="M403" s="63">
        <v>-5.8826400000000003</v>
      </c>
      <c r="N403" s="90"/>
      <c r="O403" s="90" t="s">
        <v>268</v>
      </c>
      <c r="P403" s="73" t="s">
        <v>409</v>
      </c>
      <c r="Q403" s="96" t="s">
        <v>524</v>
      </c>
      <c r="R403" s="100" t="s">
        <v>390</v>
      </c>
      <c r="S403" s="131"/>
    </row>
    <row r="404" spans="1:26" s="1" customFormat="1" ht="15" customHeight="1" x14ac:dyDescent="0.25">
      <c r="A404" s="35">
        <v>42842</v>
      </c>
      <c r="B404" s="1" t="s">
        <v>66</v>
      </c>
      <c r="C404" t="s">
        <v>681</v>
      </c>
      <c r="D404" s="1" t="s">
        <v>1594</v>
      </c>
      <c r="E404" s="90" t="s">
        <v>523</v>
      </c>
      <c r="F404" s="12" t="s">
        <v>412</v>
      </c>
      <c r="G404" s="12" t="s">
        <v>682</v>
      </c>
      <c r="H404" s="94">
        <f>48+8.17/60</f>
        <v>48.136166666666668</v>
      </c>
      <c r="I404" s="94">
        <f>-123-28.05/60</f>
        <v>-123.4675</v>
      </c>
      <c r="J404" s="94"/>
      <c r="K404" s="94"/>
      <c r="L404" s="12" t="s">
        <v>148</v>
      </c>
      <c r="M404" s="72">
        <v>5.2730399999999999</v>
      </c>
      <c r="N404" s="12"/>
      <c r="O404" s="12"/>
      <c r="P404" s="12" t="s">
        <v>409</v>
      </c>
      <c r="Q404" s="12" t="s">
        <v>524</v>
      </c>
      <c r="R404" s="106" t="s">
        <v>683</v>
      </c>
      <c r="S404" s="131" t="s">
        <v>779</v>
      </c>
    </row>
    <row r="405" spans="1:26" s="1" customFormat="1" ht="15" customHeight="1" x14ac:dyDescent="0.25">
      <c r="A405" s="35">
        <v>42842</v>
      </c>
      <c r="B405" s="1" t="s">
        <v>66</v>
      </c>
      <c r="C405" t="s">
        <v>681</v>
      </c>
      <c r="D405" s="1" t="s">
        <v>1595</v>
      </c>
      <c r="E405" s="90" t="s">
        <v>523</v>
      </c>
      <c r="F405" s="12" t="s">
        <v>412</v>
      </c>
      <c r="G405" s="12" t="s">
        <v>682</v>
      </c>
      <c r="H405" s="94">
        <f>48+8.271/60</f>
        <v>48.13785</v>
      </c>
      <c r="I405" s="94">
        <f>-123-27.818/60</f>
        <v>-123.46363333333333</v>
      </c>
      <c r="J405" s="94"/>
      <c r="K405" s="94"/>
      <c r="L405" s="12" t="s">
        <v>148</v>
      </c>
      <c r="M405" s="72"/>
      <c r="N405" s="12"/>
      <c r="O405" s="12"/>
      <c r="P405" s="12" t="s">
        <v>409</v>
      </c>
      <c r="Q405" s="12" t="s">
        <v>524</v>
      </c>
      <c r="R405" s="106" t="s">
        <v>684</v>
      </c>
      <c r="S405" s="131" t="s">
        <v>779</v>
      </c>
      <c r="T405"/>
      <c r="U405"/>
      <c r="V405"/>
      <c r="W405"/>
      <c r="X405"/>
      <c r="Y405"/>
      <c r="Z405"/>
    </row>
    <row r="406" spans="1:26" ht="15" customHeight="1" x14ac:dyDescent="0.25">
      <c r="A406" s="35">
        <v>42842</v>
      </c>
      <c r="B406" s="1" t="s">
        <v>66</v>
      </c>
      <c r="C406" t="s">
        <v>681</v>
      </c>
      <c r="D406" s="1" t="s">
        <v>1596</v>
      </c>
      <c r="E406" s="90" t="s">
        <v>523</v>
      </c>
      <c r="F406" s="12" t="s">
        <v>412</v>
      </c>
      <c r="G406" s="12" t="s">
        <v>682</v>
      </c>
      <c r="H406" s="94">
        <f>48+8.299/60</f>
        <v>48.138316666666668</v>
      </c>
      <c r="I406" s="94">
        <f>-123-27.7/60</f>
        <v>-123.46166666666667</v>
      </c>
      <c r="L406" s="12" t="s">
        <v>148</v>
      </c>
      <c r="M406" s="72">
        <v>4.3891200000000001</v>
      </c>
      <c r="P406" s="12" t="s">
        <v>409</v>
      </c>
      <c r="Q406" s="12" t="s">
        <v>524</v>
      </c>
      <c r="R406" s="106" t="s">
        <v>685</v>
      </c>
      <c r="S406" s="131" t="s">
        <v>779</v>
      </c>
    </row>
    <row r="407" spans="1:26" ht="15" customHeight="1" x14ac:dyDescent="0.25">
      <c r="A407" s="35">
        <v>42842</v>
      </c>
      <c r="B407" s="1" t="s">
        <v>66</v>
      </c>
      <c r="C407" t="s">
        <v>681</v>
      </c>
      <c r="D407" s="1" t="s">
        <v>1597</v>
      </c>
      <c r="E407" s="90" t="s">
        <v>523</v>
      </c>
      <c r="F407" s="12" t="s">
        <v>412</v>
      </c>
      <c r="G407" s="12" t="s">
        <v>682</v>
      </c>
      <c r="H407" s="94">
        <f>48+8.391/60</f>
        <v>48.139850000000003</v>
      </c>
      <c r="I407" s="94">
        <f>-123-27.492/60</f>
        <v>-123.45820000000001</v>
      </c>
      <c r="L407" s="12" t="s">
        <v>148</v>
      </c>
      <c r="M407" s="72">
        <v>4.9987199999999996</v>
      </c>
      <c r="P407" s="12" t="s">
        <v>409</v>
      </c>
      <c r="Q407" s="12" t="s">
        <v>525</v>
      </c>
      <c r="R407" s="106" t="s">
        <v>686</v>
      </c>
      <c r="S407" s="131" t="s">
        <v>779</v>
      </c>
    </row>
    <row r="408" spans="1:26" ht="15" customHeight="1" x14ac:dyDescent="0.25">
      <c r="A408" s="35">
        <v>42842</v>
      </c>
      <c r="B408" s="1" t="s">
        <v>66</v>
      </c>
      <c r="C408" t="s">
        <v>681</v>
      </c>
      <c r="D408" s="1" t="s">
        <v>1598</v>
      </c>
      <c r="E408" s="90" t="s">
        <v>523</v>
      </c>
      <c r="F408" s="12" t="s">
        <v>412</v>
      </c>
      <c r="G408" s="12" t="s">
        <v>682</v>
      </c>
      <c r="H408" s="94">
        <f>48+8.408/60</f>
        <v>48.140133333333331</v>
      </c>
      <c r="I408" s="94">
        <f>-123-27.368/60</f>
        <v>-123.45613333333333</v>
      </c>
      <c r="L408" s="12" t="s">
        <v>148</v>
      </c>
      <c r="M408" s="72">
        <v>4.08432</v>
      </c>
      <c r="O408" s="12" t="s">
        <v>1429</v>
      </c>
      <c r="P408" s="12" t="s">
        <v>409</v>
      </c>
      <c r="Q408" s="12" t="s">
        <v>525</v>
      </c>
      <c r="R408" s="106" t="s">
        <v>687</v>
      </c>
      <c r="S408" s="131" t="s">
        <v>779</v>
      </c>
    </row>
    <row r="409" spans="1:26" ht="15" customHeight="1" x14ac:dyDescent="0.25">
      <c r="A409" s="35">
        <v>42842</v>
      </c>
      <c r="B409" s="1" t="s">
        <v>66</v>
      </c>
      <c r="C409" t="s">
        <v>681</v>
      </c>
      <c r="D409" s="1" t="s">
        <v>1599</v>
      </c>
      <c r="E409" s="90" t="s">
        <v>523</v>
      </c>
      <c r="F409" s="12" t="s">
        <v>412</v>
      </c>
      <c r="G409" s="12" t="s">
        <v>682</v>
      </c>
      <c r="H409" s="94">
        <f>48+8.429/60</f>
        <v>48.140483333333336</v>
      </c>
      <c r="I409" s="94">
        <f>-123-27.382/60</f>
        <v>-123.45636666666667</v>
      </c>
      <c r="L409" s="12" t="s">
        <v>148</v>
      </c>
      <c r="M409" s="72">
        <v>5.2425600000000001</v>
      </c>
      <c r="P409" s="12" t="s">
        <v>409</v>
      </c>
      <c r="Q409" s="12" t="s">
        <v>525</v>
      </c>
      <c r="S409" s="131" t="s">
        <v>779</v>
      </c>
    </row>
    <row r="410" spans="1:26" ht="15" customHeight="1" x14ac:dyDescent="0.25">
      <c r="A410" s="35">
        <v>42881</v>
      </c>
      <c r="B410" s="1" t="s">
        <v>58</v>
      </c>
      <c r="C410" t="s">
        <v>502</v>
      </c>
      <c r="D410" s="1" t="s">
        <v>708</v>
      </c>
      <c r="E410" s="90" t="s">
        <v>523</v>
      </c>
      <c r="F410" s="12" t="s">
        <v>412</v>
      </c>
      <c r="G410" s="12" t="s">
        <v>709</v>
      </c>
      <c r="H410" s="94">
        <v>48.664700000000003</v>
      </c>
      <c r="I410" s="94">
        <v>-123.15649999999999</v>
      </c>
      <c r="L410" s="12" t="s">
        <v>148</v>
      </c>
      <c r="M410" s="72">
        <v>-7.3</v>
      </c>
      <c r="P410" s="12" t="s">
        <v>522</v>
      </c>
      <c r="Q410" s="145" t="s">
        <v>372</v>
      </c>
      <c r="R410" s="106" t="s">
        <v>713</v>
      </c>
      <c r="S410" t="s">
        <v>692</v>
      </c>
    </row>
    <row r="411" spans="1:26" ht="15" customHeight="1" x14ac:dyDescent="0.25">
      <c r="A411" s="35">
        <v>42881</v>
      </c>
      <c r="B411" s="1" t="s">
        <v>58</v>
      </c>
      <c r="C411" t="s">
        <v>502</v>
      </c>
      <c r="D411" s="1" t="s">
        <v>705</v>
      </c>
      <c r="E411" s="90" t="s">
        <v>523</v>
      </c>
      <c r="F411" s="12" t="s">
        <v>412</v>
      </c>
      <c r="G411" s="12" t="s">
        <v>709</v>
      </c>
      <c r="H411" s="94">
        <f>48+39.9177/60</f>
        <v>48.665295</v>
      </c>
      <c r="I411" s="94">
        <f>-123-8.85/60</f>
        <v>-123.14749999999999</v>
      </c>
      <c r="L411" s="12" t="s">
        <v>148</v>
      </c>
      <c r="M411" s="72">
        <v>-3.8</v>
      </c>
      <c r="O411" s="12" t="s">
        <v>886</v>
      </c>
      <c r="P411" s="12" t="s">
        <v>522</v>
      </c>
      <c r="Q411" s="145" t="s">
        <v>372</v>
      </c>
      <c r="R411" s="106" t="s">
        <v>710</v>
      </c>
      <c r="S411" t="s">
        <v>692</v>
      </c>
    </row>
    <row r="412" spans="1:26" ht="15" customHeight="1" x14ac:dyDescent="0.25">
      <c r="A412" s="35">
        <v>42881</v>
      </c>
      <c r="B412" s="1" t="s">
        <v>58</v>
      </c>
      <c r="C412" t="s">
        <v>502</v>
      </c>
      <c r="D412" s="1" t="s">
        <v>706</v>
      </c>
      <c r="E412" s="90" t="s">
        <v>523</v>
      </c>
      <c r="F412" s="12" t="s">
        <v>412</v>
      </c>
      <c r="G412" s="12" t="s">
        <v>709</v>
      </c>
      <c r="H412" s="94">
        <f>48+39.6302/60</f>
        <v>48.660503333333331</v>
      </c>
      <c r="I412" s="94">
        <f>-123-8.3533/60</f>
        <v>-123.13922166666667</v>
      </c>
      <c r="L412" s="12" t="s">
        <v>148</v>
      </c>
      <c r="M412" s="72">
        <v>-3</v>
      </c>
      <c r="O412" s="12" t="s">
        <v>886</v>
      </c>
      <c r="P412" s="12" t="s">
        <v>521</v>
      </c>
      <c r="Q412" s="145" t="s">
        <v>372</v>
      </c>
      <c r="R412" s="106" t="s">
        <v>711</v>
      </c>
      <c r="S412" t="s">
        <v>692</v>
      </c>
    </row>
    <row r="413" spans="1:26" ht="15" customHeight="1" x14ac:dyDescent="0.25">
      <c r="A413" s="35">
        <v>42881</v>
      </c>
      <c r="B413" s="1" t="s">
        <v>58</v>
      </c>
      <c r="C413" t="s">
        <v>502</v>
      </c>
      <c r="D413" s="1" t="s">
        <v>707</v>
      </c>
      <c r="E413" s="90" t="s">
        <v>523</v>
      </c>
      <c r="F413" s="12" t="s">
        <v>412</v>
      </c>
      <c r="G413" s="12" t="s">
        <v>709</v>
      </c>
      <c r="H413" s="94">
        <v>48.662500000000001</v>
      </c>
      <c r="I413" s="94">
        <v>-123.15049999999999</v>
      </c>
      <c r="L413" s="12" t="s">
        <v>148</v>
      </c>
      <c r="M413" s="72">
        <v>-4.5</v>
      </c>
      <c r="O413" s="12" t="s">
        <v>886</v>
      </c>
      <c r="P413" s="12" t="s">
        <v>522</v>
      </c>
      <c r="Q413" s="145" t="s">
        <v>372</v>
      </c>
      <c r="R413" s="106" t="s">
        <v>712</v>
      </c>
      <c r="S413" t="s">
        <v>692</v>
      </c>
    </row>
    <row r="414" spans="1:26" ht="15" customHeight="1" x14ac:dyDescent="0.25">
      <c r="A414" s="35">
        <v>42881</v>
      </c>
      <c r="B414" s="1" t="s">
        <v>58</v>
      </c>
      <c r="C414" t="s">
        <v>502</v>
      </c>
      <c r="D414" s="1" t="s">
        <v>690</v>
      </c>
      <c r="E414" s="90" t="s">
        <v>523</v>
      </c>
      <c r="F414" s="12" t="s">
        <v>691</v>
      </c>
      <c r="G414" s="12" t="s">
        <v>682</v>
      </c>
      <c r="H414" s="94">
        <v>48.679600000000001</v>
      </c>
      <c r="I414" s="94">
        <v>-123.2071</v>
      </c>
      <c r="J414" s="94">
        <f>48+40.866/60</f>
        <v>48.681100000000001</v>
      </c>
      <c r="K414" s="94">
        <f>-123-12.281/60</f>
        <v>-123.20468333333334</v>
      </c>
      <c r="L414" s="12" t="s">
        <v>148</v>
      </c>
      <c r="M414" s="72">
        <v>-4.0538400000000001</v>
      </c>
      <c r="O414" s="12" t="s">
        <v>886</v>
      </c>
      <c r="P414" s="12" t="s">
        <v>522</v>
      </c>
      <c r="Q414" s="12" t="s">
        <v>372</v>
      </c>
      <c r="R414" s="106" t="s">
        <v>693</v>
      </c>
      <c r="S414" t="s">
        <v>692</v>
      </c>
    </row>
    <row r="415" spans="1:26" ht="15" customHeight="1" x14ac:dyDescent="0.25">
      <c r="A415" s="35">
        <v>42881</v>
      </c>
      <c r="B415" s="1" t="s">
        <v>58</v>
      </c>
      <c r="C415" t="s">
        <v>502</v>
      </c>
      <c r="D415" s="1" t="s">
        <v>694</v>
      </c>
      <c r="E415" s="90" t="s">
        <v>523</v>
      </c>
      <c r="F415" s="12" t="s">
        <v>412</v>
      </c>
      <c r="G415" s="12" t="s">
        <v>682</v>
      </c>
      <c r="H415" s="94">
        <v>48.684199999999997</v>
      </c>
      <c r="I415" s="94">
        <v>-123.20829999999999</v>
      </c>
      <c r="L415" s="12" t="s">
        <v>148</v>
      </c>
      <c r="P415" s="12" t="s">
        <v>410</v>
      </c>
      <c r="Q415" s="12" t="s">
        <v>524</v>
      </c>
      <c r="R415" s="106" t="s">
        <v>695</v>
      </c>
      <c r="S415" t="s">
        <v>692</v>
      </c>
    </row>
    <row r="416" spans="1:26" ht="15" customHeight="1" x14ac:dyDescent="0.25">
      <c r="A416" s="35">
        <v>42881</v>
      </c>
      <c r="B416" s="1" t="s">
        <v>58</v>
      </c>
      <c r="C416" t="s">
        <v>502</v>
      </c>
      <c r="D416" s="1" t="s">
        <v>696</v>
      </c>
      <c r="E416" s="90" t="s">
        <v>523</v>
      </c>
      <c r="F416" s="12" t="s">
        <v>412</v>
      </c>
      <c r="G416" s="12" t="s">
        <v>682</v>
      </c>
      <c r="H416" s="94">
        <v>48.678800000000003</v>
      </c>
      <c r="I416" s="94">
        <v>-123.2038</v>
      </c>
      <c r="L416" s="12" t="s">
        <v>148</v>
      </c>
      <c r="P416" s="12" t="s">
        <v>410</v>
      </c>
      <c r="Q416" s="12" t="s">
        <v>524</v>
      </c>
      <c r="R416" s="106" t="s">
        <v>697</v>
      </c>
      <c r="S416" t="s">
        <v>692</v>
      </c>
    </row>
    <row r="417" spans="1:19" ht="15" customHeight="1" x14ac:dyDescent="0.25">
      <c r="A417" s="35">
        <v>42881</v>
      </c>
      <c r="B417" s="1" t="s">
        <v>58</v>
      </c>
      <c r="C417" t="s">
        <v>502</v>
      </c>
      <c r="D417" s="1" t="s">
        <v>698</v>
      </c>
      <c r="E417" s="90" t="s">
        <v>523</v>
      </c>
      <c r="F417" s="12" t="s">
        <v>412</v>
      </c>
      <c r="G417" s="12" t="s">
        <v>682</v>
      </c>
      <c r="H417" s="94">
        <v>48.680700000000002</v>
      </c>
      <c r="I417" s="94">
        <v>-123.1969</v>
      </c>
      <c r="L417" s="12" t="s">
        <v>148</v>
      </c>
      <c r="P417" s="12" t="s">
        <v>410</v>
      </c>
      <c r="Q417" s="12" t="s">
        <v>524</v>
      </c>
      <c r="R417" s="106" t="s">
        <v>699</v>
      </c>
      <c r="S417" t="s">
        <v>692</v>
      </c>
    </row>
    <row r="418" spans="1:19" ht="15" customHeight="1" x14ac:dyDescent="0.25">
      <c r="A418" s="35">
        <v>42881</v>
      </c>
      <c r="B418" s="1" t="s">
        <v>58</v>
      </c>
      <c r="C418" t="s">
        <v>502</v>
      </c>
      <c r="D418" s="1" t="s">
        <v>700</v>
      </c>
      <c r="E418" s="90" t="s">
        <v>523</v>
      </c>
      <c r="F418" s="12" t="s">
        <v>412</v>
      </c>
      <c r="G418" s="12" t="s">
        <v>701</v>
      </c>
      <c r="H418" s="94">
        <f>48+40.866/60</f>
        <v>48.681100000000001</v>
      </c>
      <c r="I418" s="94">
        <f>-123-11.232/60</f>
        <v>-123.1872</v>
      </c>
      <c r="L418" s="12" t="s">
        <v>148</v>
      </c>
      <c r="M418" s="72">
        <v>-3.7</v>
      </c>
      <c r="O418" s="12" t="s">
        <v>268</v>
      </c>
      <c r="P418" s="12" t="s">
        <v>409</v>
      </c>
      <c r="Q418" s="12" t="s">
        <v>524</v>
      </c>
      <c r="R418" s="106" t="s">
        <v>702</v>
      </c>
      <c r="S418" t="s">
        <v>692</v>
      </c>
    </row>
    <row r="419" spans="1:19" ht="15" customHeight="1" x14ac:dyDescent="0.25">
      <c r="A419" s="35">
        <v>42881</v>
      </c>
      <c r="B419" s="1" t="s">
        <v>58</v>
      </c>
      <c r="C419" t="s">
        <v>502</v>
      </c>
      <c r="D419" s="1" t="s">
        <v>703</v>
      </c>
      <c r="E419" s="90" t="s">
        <v>523</v>
      </c>
      <c r="F419" s="12" t="s">
        <v>412</v>
      </c>
      <c r="G419" s="12" t="s">
        <v>682</v>
      </c>
      <c r="H419" s="94">
        <v>48.679000000000002</v>
      </c>
      <c r="I419" s="94">
        <v>-123.1712</v>
      </c>
      <c r="L419" s="12" t="s">
        <v>148</v>
      </c>
      <c r="P419" s="12" t="s">
        <v>410</v>
      </c>
      <c r="Q419" s="12" t="s">
        <v>524</v>
      </c>
      <c r="R419" s="106" t="s">
        <v>704</v>
      </c>
      <c r="S419" t="s">
        <v>692</v>
      </c>
    </row>
    <row r="420" spans="1:19" ht="15" customHeight="1" x14ac:dyDescent="0.25">
      <c r="A420" s="35">
        <v>43987</v>
      </c>
      <c r="B420" s="1" t="s">
        <v>1853</v>
      </c>
      <c r="C420" t="s">
        <v>1859</v>
      </c>
      <c r="D420" t="s">
        <v>1859</v>
      </c>
      <c r="E420" s="98" t="s">
        <v>523</v>
      </c>
      <c r="F420" s="98" t="s">
        <v>691</v>
      </c>
      <c r="G420" s="98" t="s">
        <v>1855</v>
      </c>
      <c r="H420" s="88">
        <v>47.588439999999999</v>
      </c>
      <c r="I420" s="88">
        <v>-122.37906</v>
      </c>
      <c r="J420" s="88">
        <v>47.586930000000002</v>
      </c>
      <c r="K420" s="88">
        <v>-122.37667</v>
      </c>
      <c r="L420" s="98" t="s">
        <v>148</v>
      </c>
      <c r="M420" s="97">
        <v>-1.6</v>
      </c>
      <c r="N420" s="98"/>
      <c r="O420" s="98" t="s">
        <v>886</v>
      </c>
      <c r="P420" s="98" t="s">
        <v>409</v>
      </c>
      <c r="Q420" s="98" t="s">
        <v>524</v>
      </c>
      <c r="R420" s="106" t="s">
        <v>1858</v>
      </c>
      <c r="S420" s="98"/>
    </row>
    <row r="421" spans="1:19" ht="15" customHeight="1" x14ac:dyDescent="0.25">
      <c r="A421" s="35">
        <v>43986</v>
      </c>
      <c r="B421" s="1" t="s">
        <v>1853</v>
      </c>
      <c r="C421" t="s">
        <v>540</v>
      </c>
      <c r="D421" s="1" t="s">
        <v>540</v>
      </c>
      <c r="E421" s="98" t="s">
        <v>523</v>
      </c>
      <c r="F421" s="98" t="s">
        <v>412</v>
      </c>
      <c r="G421" s="98" t="s">
        <v>1855</v>
      </c>
      <c r="H421" s="88">
        <v>47.329329999999999</v>
      </c>
      <c r="I421" s="88">
        <v>-122.38615</v>
      </c>
      <c r="J421" s="94">
        <v>47.329329999999999</v>
      </c>
      <c r="K421" s="94">
        <v>-122.38615</v>
      </c>
      <c r="L421" s="98" t="s">
        <v>148</v>
      </c>
      <c r="M421" s="97">
        <v>-1.6</v>
      </c>
      <c r="N421" s="98"/>
      <c r="O421" s="98" t="s">
        <v>89</v>
      </c>
      <c r="P421" s="98" t="s">
        <v>409</v>
      </c>
      <c r="Q421" s="98" t="s">
        <v>294</v>
      </c>
      <c r="R421" s="106" t="s">
        <v>1857</v>
      </c>
      <c r="S421" s="98"/>
    </row>
    <row r="422" spans="1:19" ht="15" customHeight="1" x14ac:dyDescent="0.25">
      <c r="A422" s="35">
        <v>44004</v>
      </c>
      <c r="B422" s="1" t="s">
        <v>1853</v>
      </c>
      <c r="C422" t="s">
        <v>1854</v>
      </c>
      <c r="D422" s="1" t="s">
        <v>1854</v>
      </c>
      <c r="E422" s="98" t="s">
        <v>523</v>
      </c>
      <c r="F422" s="98" t="s">
        <v>691</v>
      </c>
      <c r="G422" s="98" t="s">
        <v>1855</v>
      </c>
      <c r="H422" s="88">
        <v>47.620370000000001</v>
      </c>
      <c r="I422" s="88">
        <v>-122.36365000000001</v>
      </c>
      <c r="J422" s="88">
        <v>47.620539999999998</v>
      </c>
      <c r="K422" s="88">
        <v>-122.36382999999999</v>
      </c>
      <c r="L422" s="98" t="s">
        <v>148</v>
      </c>
      <c r="M422" s="97">
        <v>-2</v>
      </c>
      <c r="N422" s="98"/>
      <c r="O422" s="98" t="s">
        <v>886</v>
      </c>
      <c r="P422" s="98" t="s">
        <v>409</v>
      </c>
      <c r="Q422" s="98" t="s">
        <v>525</v>
      </c>
      <c r="R422" s="106" t="s">
        <v>1856</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7"/>
  <sheetViews>
    <sheetView zoomScale="85" zoomScaleNormal="85" workbookViewId="0">
      <pane xSplit="5" ySplit="2" topLeftCell="N58" activePane="bottomRight" state="frozen"/>
      <selection pane="topRight" activeCell="D1" sqref="D1"/>
      <selection pane="bottomLeft" activeCell="A3" sqref="A3"/>
      <selection pane="bottomRight" activeCell="AB64" sqref="AB64"/>
    </sheetView>
  </sheetViews>
  <sheetFormatPr defaultRowHeight="15" x14ac:dyDescent="0.25"/>
  <cols>
    <col min="1" max="1" width="26.42578125" bestFit="1" customWidth="1"/>
    <col min="2" max="2" width="69.85546875" bestFit="1" customWidth="1"/>
    <col min="3" max="3" width="19" style="252" customWidth="1"/>
    <col min="4" max="4" width="24.5703125" style="252" customWidth="1"/>
    <col min="6" max="6" width="24.7109375" customWidth="1"/>
    <col min="7" max="7" width="11.28515625" bestFit="1" customWidth="1"/>
    <col min="8" max="8" width="19.28515625" bestFit="1" customWidth="1"/>
    <col min="9" max="9" width="7.42578125" customWidth="1"/>
    <col min="10" max="10" width="18.5703125" customWidth="1"/>
    <col min="11" max="11" width="11.5703125" bestFit="1" customWidth="1"/>
    <col min="12" max="12" width="14.85546875" customWidth="1"/>
    <col min="13" max="13" width="29.28515625" bestFit="1" customWidth="1"/>
    <col min="14" max="14" width="14" customWidth="1"/>
    <col min="15" max="15" width="19.85546875" customWidth="1"/>
    <col min="16" max="16" width="14" customWidth="1"/>
    <col min="17" max="17" width="11" customWidth="1"/>
    <col min="18" max="18" width="13" customWidth="1"/>
    <col min="19" max="19" width="11.28515625" customWidth="1"/>
    <col min="20" max="20" width="13" bestFit="1" customWidth="1"/>
    <col min="21" max="21" width="10.5703125" bestFit="1" customWidth="1"/>
    <col min="22" max="22" width="12.7109375" bestFit="1" customWidth="1"/>
    <col min="23" max="24" width="12.7109375" style="252" customWidth="1"/>
    <col min="25" max="25" width="14.42578125" bestFit="1" customWidth="1"/>
    <col min="26" max="26" width="11.42578125" bestFit="1" customWidth="1"/>
    <col min="27" max="27" width="15" customWidth="1"/>
    <col min="28" max="28" width="10.28515625" customWidth="1"/>
    <col min="29" max="29" width="16.28515625" customWidth="1"/>
    <col min="30" max="30" width="14.5703125" bestFit="1" customWidth="1"/>
    <col min="31" max="31" width="9.42578125" customWidth="1"/>
    <col min="32" max="32" width="10.28515625" customWidth="1"/>
    <col min="33" max="33" width="11.28515625" customWidth="1"/>
    <col min="34" max="34" width="11" bestFit="1" customWidth="1"/>
    <col min="35" max="35" width="9.42578125" customWidth="1"/>
    <col min="36" max="36" width="12" customWidth="1"/>
    <col min="37" max="37" width="27" bestFit="1" customWidth="1"/>
    <col min="38" max="38" width="255.5703125" style="13" customWidth="1"/>
    <col min="40" max="40" width="12.28515625" customWidth="1"/>
  </cols>
  <sheetData>
    <row r="1" spans="1:38" ht="45" x14ac:dyDescent="0.25">
      <c r="A1" s="21" t="s">
        <v>136</v>
      </c>
      <c r="B1" s="21" t="s">
        <v>0</v>
      </c>
      <c r="C1" s="255" t="s">
        <v>2216</v>
      </c>
      <c r="D1" s="255" t="s">
        <v>2217</v>
      </c>
      <c r="E1" s="21" t="s">
        <v>147</v>
      </c>
      <c r="F1" s="22" t="s">
        <v>457</v>
      </c>
      <c r="G1" s="21" t="s">
        <v>433</v>
      </c>
      <c r="H1" s="21" t="s">
        <v>142</v>
      </c>
      <c r="I1" s="22" t="s">
        <v>403</v>
      </c>
      <c r="J1" s="21" t="s">
        <v>1</v>
      </c>
      <c r="K1" s="22" t="s">
        <v>2</v>
      </c>
      <c r="L1" s="22" t="s">
        <v>228</v>
      </c>
      <c r="M1" s="22" t="s">
        <v>452</v>
      </c>
      <c r="N1" s="22" t="s">
        <v>452</v>
      </c>
      <c r="O1" s="22" t="s">
        <v>453</v>
      </c>
      <c r="P1" s="22" t="s">
        <v>453</v>
      </c>
      <c r="Q1" s="22" t="s">
        <v>422</v>
      </c>
      <c r="R1" s="22" t="s">
        <v>517</v>
      </c>
      <c r="S1" s="22" t="s">
        <v>518</v>
      </c>
      <c r="T1" s="22" t="s">
        <v>532</v>
      </c>
      <c r="U1" s="21" t="s">
        <v>96</v>
      </c>
      <c r="V1" s="21" t="s">
        <v>97</v>
      </c>
      <c r="W1" s="256" t="s">
        <v>2162</v>
      </c>
      <c r="X1" s="256" t="s">
        <v>2391</v>
      </c>
      <c r="Y1" s="21" t="s">
        <v>81</v>
      </c>
      <c r="Z1" s="21" t="s">
        <v>589</v>
      </c>
      <c r="AA1" s="22" t="s">
        <v>490</v>
      </c>
      <c r="AB1" s="22" t="s">
        <v>42</v>
      </c>
      <c r="AC1" s="22" t="s">
        <v>43</v>
      </c>
      <c r="AD1" s="22" t="s">
        <v>511</v>
      </c>
      <c r="AE1" s="22" t="s">
        <v>637</v>
      </c>
      <c r="AF1" s="22" t="s">
        <v>424</v>
      </c>
      <c r="AG1" s="22" t="s">
        <v>558</v>
      </c>
      <c r="AH1" s="22" t="s">
        <v>519</v>
      </c>
      <c r="AI1" s="22" t="s">
        <v>513</v>
      </c>
      <c r="AJ1" s="22" t="s">
        <v>1275</v>
      </c>
      <c r="AK1" s="22" t="s">
        <v>961</v>
      </c>
      <c r="AL1" s="24" t="s">
        <v>438</v>
      </c>
    </row>
    <row r="2" spans="1:38" ht="51" x14ac:dyDescent="0.25">
      <c r="A2" s="80"/>
      <c r="B2" s="80"/>
      <c r="C2" s="250"/>
      <c r="D2" s="250"/>
      <c r="E2" s="80"/>
      <c r="F2" s="10" t="s">
        <v>456</v>
      </c>
      <c r="G2" s="17" t="s">
        <v>492</v>
      </c>
      <c r="H2" s="80"/>
      <c r="I2" s="80"/>
      <c r="J2" s="80"/>
      <c r="K2" s="80"/>
      <c r="L2" s="80"/>
      <c r="M2" s="10" t="s">
        <v>443</v>
      </c>
      <c r="N2" s="10" t="s">
        <v>444</v>
      </c>
      <c r="O2" s="10" t="s">
        <v>445</v>
      </c>
      <c r="P2" s="10" t="s">
        <v>444</v>
      </c>
      <c r="Q2" s="80"/>
      <c r="R2" s="17" t="s">
        <v>536</v>
      </c>
      <c r="S2" s="17" t="s">
        <v>536</v>
      </c>
      <c r="T2" s="10" t="s">
        <v>569</v>
      </c>
      <c r="U2" s="10" t="s">
        <v>449</v>
      </c>
      <c r="V2" s="10" t="s">
        <v>449</v>
      </c>
      <c r="W2" s="253"/>
      <c r="X2" s="253"/>
      <c r="Y2" s="10" t="s">
        <v>82</v>
      </c>
      <c r="Z2" s="10" t="s">
        <v>491</v>
      </c>
      <c r="AA2" s="126" t="s">
        <v>1103</v>
      </c>
      <c r="AB2" s="10" t="s">
        <v>44</v>
      </c>
      <c r="AC2" s="10" t="s">
        <v>44</v>
      </c>
      <c r="AD2" s="10" t="s">
        <v>45</v>
      </c>
      <c r="AE2" s="10" t="s">
        <v>45</v>
      </c>
      <c r="AF2" s="10" t="s">
        <v>45</v>
      </c>
      <c r="AG2" s="17" t="s">
        <v>557</v>
      </c>
      <c r="AH2" s="17" t="s">
        <v>639</v>
      </c>
      <c r="AI2" s="17" t="s">
        <v>1276</v>
      </c>
      <c r="AJ2" s="17" t="s">
        <v>1277</v>
      </c>
      <c r="AK2" s="80"/>
      <c r="AL2" s="159"/>
    </row>
    <row r="3" spans="1:38" ht="38.65" customHeight="1" x14ac:dyDescent="0.25">
      <c r="A3" t="s">
        <v>9</v>
      </c>
      <c r="B3" t="s">
        <v>187</v>
      </c>
      <c r="C3" s="252" t="str">
        <f>VLOOKUP(B3,Plantings!$A$2:$C$285,2,FALSE)</f>
        <v>AMS_shallow</v>
      </c>
      <c r="D3" s="252" t="str">
        <f>VLOOKUP(B3,Plantings!$A$2:$C$285,3,FALSE)</f>
        <v>single</v>
      </c>
      <c r="E3">
        <v>2013</v>
      </c>
      <c r="F3" t="s">
        <v>459</v>
      </c>
      <c r="G3" t="s">
        <v>412</v>
      </c>
      <c r="H3" t="s">
        <v>71</v>
      </c>
      <c r="I3" t="s">
        <v>405</v>
      </c>
      <c r="J3" t="s">
        <v>10</v>
      </c>
      <c r="K3" t="s">
        <v>176</v>
      </c>
      <c r="L3" t="s">
        <v>11</v>
      </c>
      <c r="M3" t="s">
        <v>177</v>
      </c>
      <c r="N3" t="s">
        <v>137</v>
      </c>
      <c r="O3" t="s">
        <v>49</v>
      </c>
      <c r="P3" t="s">
        <v>61</v>
      </c>
      <c r="Q3" t="s">
        <v>76</v>
      </c>
      <c r="R3" t="s">
        <v>22</v>
      </c>
      <c r="S3" t="s">
        <v>22</v>
      </c>
      <c r="T3" s="27">
        <v>41431</v>
      </c>
      <c r="U3" s="4">
        <v>47.160600000000002</v>
      </c>
      <c r="V3" s="4">
        <v>-122.72776666666667</v>
      </c>
      <c r="W3" s="252" t="str">
        <f>VLOOKUP(B3,Plantings!$A$2:$E$285,4,FALSE)</f>
        <v>point</v>
      </c>
      <c r="X3" s="251" t="str">
        <f>VLOOKUP(B3,Plantings!$A$2:$E$285,5,FALSE)</f>
        <v>retain</v>
      </c>
      <c r="Y3" s="13" t="s">
        <v>148</v>
      </c>
      <c r="Z3" s="20">
        <v>-0.91439999999999999</v>
      </c>
      <c r="AA3" s="5" t="s">
        <v>168</v>
      </c>
      <c r="AB3">
        <v>6</v>
      </c>
      <c r="AC3">
        <v>6</v>
      </c>
      <c r="AD3">
        <f t="shared" ref="AD3:AD8" si="0">AB3*AC3</f>
        <v>36</v>
      </c>
      <c r="AE3">
        <v>36</v>
      </c>
      <c r="AF3" s="109">
        <f t="shared" ref="AF3:AF23" si="1">IF(AA3="staple",AG3*0.005,IF(AA3="rebar",AG3*0.025,IF(AA3="burlap",AG3*0.0625,IF(AA3="washer",AG3*0.0025,IF(AA3="pucks",AG3*0.00785,IF(AA3="turf",AG3*0.01,IF(AA3="","")))))))</f>
        <v>0.9</v>
      </c>
      <c r="AG3" s="38">
        <f>AH3/4</f>
        <v>180</v>
      </c>
      <c r="AH3" s="38">
        <v>720</v>
      </c>
      <c r="AI3" s="5">
        <f t="shared" ref="AI3:AI34" si="2">IFERROR(AH3/AD3, "")</f>
        <v>20</v>
      </c>
      <c r="AJ3" s="5">
        <f t="shared" ref="AJ3:AJ34" si="3">IFERROR(AH3/AE3, "")</f>
        <v>20</v>
      </c>
      <c r="AK3" t="s">
        <v>8</v>
      </c>
    </row>
    <row r="4" spans="1:38" ht="15.95" customHeight="1" x14ac:dyDescent="0.25">
      <c r="A4" t="s">
        <v>9</v>
      </c>
      <c r="B4" t="s">
        <v>188</v>
      </c>
      <c r="C4" s="252" t="str">
        <f>VLOOKUP(B4,Plantings!$A$2:$C$285,2,FALSE)</f>
        <v>AMS_deep</v>
      </c>
      <c r="D4" s="252" t="str">
        <f>VLOOKUP(B4,Plantings!$A$2:$C$285,3,FALSE)</f>
        <v>single</v>
      </c>
      <c r="E4">
        <v>2013</v>
      </c>
      <c r="F4" t="s">
        <v>459</v>
      </c>
      <c r="G4" t="s">
        <v>412</v>
      </c>
      <c r="H4" t="s">
        <v>71</v>
      </c>
      <c r="I4" t="s">
        <v>405</v>
      </c>
      <c r="J4" t="s">
        <v>10</v>
      </c>
      <c r="K4" t="s">
        <v>176</v>
      </c>
      <c r="L4" t="s">
        <v>11</v>
      </c>
      <c r="M4" t="s">
        <v>177</v>
      </c>
      <c r="N4" t="s">
        <v>137</v>
      </c>
      <c r="O4" t="s">
        <v>49</v>
      </c>
      <c r="P4" t="s">
        <v>61</v>
      </c>
      <c r="Q4" t="s">
        <v>76</v>
      </c>
      <c r="R4" t="s">
        <v>22</v>
      </c>
      <c r="S4" t="s">
        <v>22</v>
      </c>
      <c r="T4" s="27">
        <v>41431</v>
      </c>
      <c r="U4" s="4">
        <v>47.160683333333331</v>
      </c>
      <c r="V4" s="4">
        <v>-122.72781666666667</v>
      </c>
      <c r="W4" s="252" t="str">
        <f>VLOOKUP(B4,Plantings!$A$2:$E$285,4,FALSE)</f>
        <v>point</v>
      </c>
      <c r="X4" s="251" t="str">
        <f>VLOOKUP(B4,Plantings!$A$2:$E$285,5,FALSE)</f>
        <v>retain</v>
      </c>
      <c r="Y4" s="7" t="s">
        <v>148</v>
      </c>
      <c r="Z4" s="20">
        <v>-1.524</v>
      </c>
      <c r="AA4" s="5" t="s">
        <v>168</v>
      </c>
      <c r="AB4">
        <v>6</v>
      </c>
      <c r="AC4">
        <v>6</v>
      </c>
      <c r="AD4">
        <f t="shared" si="0"/>
        <v>36</v>
      </c>
      <c r="AE4">
        <v>36</v>
      </c>
      <c r="AF4" s="109">
        <f t="shared" si="1"/>
        <v>0.9</v>
      </c>
      <c r="AG4" s="38">
        <f>AH4/4</f>
        <v>180</v>
      </c>
      <c r="AH4" s="38">
        <v>720</v>
      </c>
      <c r="AI4" s="5">
        <f t="shared" si="2"/>
        <v>20</v>
      </c>
      <c r="AJ4" s="5">
        <f t="shared" si="3"/>
        <v>20</v>
      </c>
      <c r="AK4" t="s">
        <v>8</v>
      </c>
    </row>
    <row r="5" spans="1:38" s="81" customFormat="1" ht="17.25" customHeight="1" x14ac:dyDescent="0.25">
      <c r="A5" t="s">
        <v>9</v>
      </c>
      <c r="B5" t="s">
        <v>200</v>
      </c>
      <c r="C5" s="252" t="str">
        <f>VLOOKUP(B5,Plantings!$A$2:$C$285,2,FALSE)</f>
        <v>AND_west1</v>
      </c>
      <c r="D5" s="252" t="str">
        <f>VLOOKUP(B5,Plantings!$A$2:$C$285,3,FALSE)</f>
        <v>single</v>
      </c>
      <c r="E5">
        <v>2015</v>
      </c>
      <c r="F5" t="s">
        <v>459</v>
      </c>
      <c r="G5" t="s">
        <v>412</v>
      </c>
      <c r="H5" t="s">
        <v>71</v>
      </c>
      <c r="I5" t="s">
        <v>405</v>
      </c>
      <c r="J5" t="s">
        <v>5</v>
      </c>
      <c r="K5" t="s">
        <v>165</v>
      </c>
      <c r="L5" t="s">
        <v>230</v>
      </c>
      <c r="M5"/>
      <c r="N5"/>
      <c r="O5" t="s">
        <v>49</v>
      </c>
      <c r="P5" t="s">
        <v>62</v>
      </c>
      <c r="Q5" t="s">
        <v>75</v>
      </c>
      <c r="R5" t="s">
        <v>22</v>
      </c>
      <c r="S5" t="s">
        <v>22</v>
      </c>
      <c r="T5" s="27">
        <v>42062</v>
      </c>
      <c r="U5" s="28">
        <v>47.170783333333333</v>
      </c>
      <c r="V5" s="28">
        <v>-122.72888333333333</v>
      </c>
      <c r="W5" s="252" t="str">
        <f>VLOOKUP(B5,Plantings!$A$2:$E$285,4,FALSE)</f>
        <v>point</v>
      </c>
      <c r="X5" s="251" t="str">
        <f>VLOOKUP(B5,Plantings!$A$2:$E$285,5,FALSE)</f>
        <v>retain</v>
      </c>
      <c r="Y5" s="7" t="s">
        <v>148</v>
      </c>
      <c r="Z5" s="20">
        <v>-0.8</v>
      </c>
      <c r="AA5" s="5" t="s">
        <v>168</v>
      </c>
      <c r="AB5">
        <v>5</v>
      </c>
      <c r="AC5">
        <v>5</v>
      </c>
      <c r="AD5">
        <f t="shared" si="0"/>
        <v>25</v>
      </c>
      <c r="AE5" s="5">
        <v>25</v>
      </c>
      <c r="AF5" s="109">
        <f t="shared" si="1"/>
        <v>0.625</v>
      </c>
      <c r="AG5" s="38">
        <f>AH5/4</f>
        <v>125</v>
      </c>
      <c r="AH5" s="38">
        <v>500</v>
      </c>
      <c r="AI5" s="5">
        <f t="shared" si="2"/>
        <v>20</v>
      </c>
      <c r="AJ5" s="5">
        <f t="shared" si="3"/>
        <v>20</v>
      </c>
      <c r="AK5" t="s">
        <v>4</v>
      </c>
      <c r="AL5" s="13"/>
    </row>
    <row r="6" spans="1:38" x14ac:dyDescent="0.25">
      <c r="A6" t="s">
        <v>9</v>
      </c>
      <c r="B6" s="1" t="s">
        <v>396</v>
      </c>
      <c r="C6" s="252" t="str">
        <f>VLOOKUP(B6,Plantings!$A$2:$C$285,2,FALSE)</f>
        <v>AND_west2</v>
      </c>
      <c r="D6" s="252" t="str">
        <f>VLOOKUP(B6,Plantings!$A$2:$C$285,3,FALSE)</f>
        <v>single</v>
      </c>
      <c r="E6" s="1">
        <v>2016</v>
      </c>
      <c r="F6" t="s">
        <v>459</v>
      </c>
      <c r="G6" s="1" t="s">
        <v>412</v>
      </c>
      <c r="H6" s="1" t="s">
        <v>144</v>
      </c>
      <c r="I6" t="s">
        <v>405</v>
      </c>
      <c r="J6" s="1" t="s">
        <v>66</v>
      </c>
      <c r="K6" s="1" t="s">
        <v>69</v>
      </c>
      <c r="L6" s="1" t="s">
        <v>69</v>
      </c>
      <c r="M6" s="131" t="s">
        <v>1119</v>
      </c>
      <c r="N6" s="1" t="s">
        <v>67</v>
      </c>
      <c r="O6" s="1" t="s">
        <v>49</v>
      </c>
      <c r="P6" s="1" t="s">
        <v>1120</v>
      </c>
      <c r="R6" s="1" t="s">
        <v>22</v>
      </c>
      <c r="S6" s="1" t="s">
        <v>22</v>
      </c>
      <c r="T6" s="27">
        <v>42633</v>
      </c>
      <c r="U6" s="16">
        <v>47.17093333333333</v>
      </c>
      <c r="V6" s="16">
        <v>-122.72905</v>
      </c>
      <c r="W6" s="252" t="str">
        <f>VLOOKUP(B6,Plantings!$A$2:$E$285,4,FALSE)</f>
        <v>point</v>
      </c>
      <c r="X6" s="251" t="str">
        <f>VLOOKUP(B6,Plantings!$A$2:$E$285,5,FALSE)</f>
        <v>retain</v>
      </c>
      <c r="Y6" s="7" t="s">
        <v>148</v>
      </c>
      <c r="Z6" s="20">
        <v>-1.7</v>
      </c>
      <c r="AA6" t="s">
        <v>169</v>
      </c>
      <c r="AB6">
        <v>2.5</v>
      </c>
      <c r="AC6">
        <v>2.5</v>
      </c>
      <c r="AD6">
        <f t="shared" si="0"/>
        <v>6.25</v>
      </c>
      <c r="AE6">
        <f>AG6*0.25</f>
        <v>5</v>
      </c>
      <c r="AF6" s="109">
        <f t="shared" si="1"/>
        <v>0.5</v>
      </c>
      <c r="AG6" s="38">
        <v>20</v>
      </c>
      <c r="AH6" s="38">
        <v>500</v>
      </c>
      <c r="AI6" s="5">
        <f t="shared" si="2"/>
        <v>80</v>
      </c>
      <c r="AJ6" s="5">
        <f t="shared" si="3"/>
        <v>100</v>
      </c>
      <c r="AK6" t="s">
        <v>361</v>
      </c>
      <c r="AL6" s="160"/>
    </row>
    <row r="7" spans="1:38" x14ac:dyDescent="0.25">
      <c r="A7" t="s">
        <v>9</v>
      </c>
      <c r="B7" s="1" t="s">
        <v>217</v>
      </c>
      <c r="C7" s="252" t="str">
        <f>VLOOKUP(B7,Plantings!$A$2:$C$285,2,FALSE)</f>
        <v>AND_south1</v>
      </c>
      <c r="D7" s="252" t="str">
        <f>VLOOKUP(B7,Plantings!$A$2:$C$285,3,FALSE)</f>
        <v>single</v>
      </c>
      <c r="E7" s="1">
        <v>2016</v>
      </c>
      <c r="F7" t="s">
        <v>459</v>
      </c>
      <c r="G7" s="1" t="s">
        <v>412</v>
      </c>
      <c r="H7" s="1" t="s">
        <v>144</v>
      </c>
      <c r="I7" t="s">
        <v>405</v>
      </c>
      <c r="J7" s="1" t="s">
        <v>66</v>
      </c>
      <c r="K7" s="1" t="s">
        <v>69</v>
      </c>
      <c r="L7" s="1" t="s">
        <v>69</v>
      </c>
      <c r="M7" s="131" t="s">
        <v>1119</v>
      </c>
      <c r="N7" s="1" t="s">
        <v>67</v>
      </c>
      <c r="O7" s="1" t="s">
        <v>49</v>
      </c>
      <c r="P7" s="1" t="s">
        <v>1120</v>
      </c>
      <c r="Q7" s="1"/>
      <c r="R7" s="1" t="s">
        <v>22</v>
      </c>
      <c r="S7" s="1" t="s">
        <v>22</v>
      </c>
      <c r="T7" s="27">
        <v>42633</v>
      </c>
      <c r="U7" s="30">
        <v>47.132633329999997</v>
      </c>
      <c r="V7" s="30">
        <v>-122.7181167</v>
      </c>
      <c r="W7" s="252" t="str">
        <f>VLOOKUP(B7,Plantings!$A$2:$E$285,4,FALSE)</f>
        <v>point</v>
      </c>
      <c r="X7" s="251" t="str">
        <f>VLOOKUP(B7,Plantings!$A$2:$E$285,5,FALSE)</f>
        <v>retain</v>
      </c>
      <c r="Y7" s="7" t="s">
        <v>148</v>
      </c>
      <c r="Z7" s="20">
        <v>-1.9</v>
      </c>
      <c r="AA7" t="s">
        <v>169</v>
      </c>
      <c r="AB7">
        <v>2.5</v>
      </c>
      <c r="AC7">
        <v>2.5</v>
      </c>
      <c r="AD7">
        <f t="shared" si="0"/>
        <v>6.25</v>
      </c>
      <c r="AE7">
        <f>AG7*0.25</f>
        <v>5</v>
      </c>
      <c r="AF7" s="109">
        <f t="shared" si="1"/>
        <v>0.5</v>
      </c>
      <c r="AG7" s="38">
        <v>20</v>
      </c>
      <c r="AH7" s="38">
        <v>500</v>
      </c>
      <c r="AI7" s="5">
        <f t="shared" si="2"/>
        <v>80</v>
      </c>
      <c r="AJ7" s="5">
        <f t="shared" si="3"/>
        <v>100</v>
      </c>
      <c r="AK7" t="s">
        <v>361</v>
      </c>
      <c r="AL7" s="160" t="s">
        <v>966</v>
      </c>
    </row>
    <row r="8" spans="1:38" x14ac:dyDescent="0.25">
      <c r="A8" t="s">
        <v>9</v>
      </c>
      <c r="B8" t="s">
        <v>174</v>
      </c>
      <c r="C8" s="252" t="str">
        <f>VLOOKUP(B8,Plantings!$A$2:$C$285,2,FALSE)</f>
        <v>AND_west_L1</v>
      </c>
      <c r="D8" s="252" t="str">
        <f>VLOOKUP(B8,Plantings!$A$2:$C$285,3,FALSE)</f>
        <v>single</v>
      </c>
      <c r="E8">
        <v>2017</v>
      </c>
      <c r="F8" t="s">
        <v>459</v>
      </c>
      <c r="G8" s="1" t="s">
        <v>493</v>
      </c>
      <c r="H8" t="s">
        <v>71</v>
      </c>
      <c r="I8" t="s">
        <v>405</v>
      </c>
      <c r="J8" t="s">
        <v>59</v>
      </c>
      <c r="K8" t="s">
        <v>176</v>
      </c>
      <c r="L8" t="s">
        <v>11</v>
      </c>
      <c r="M8" t="s">
        <v>179</v>
      </c>
      <c r="N8" t="s">
        <v>77</v>
      </c>
      <c r="O8" t="s">
        <v>52</v>
      </c>
      <c r="P8" t="s">
        <v>60</v>
      </c>
      <c r="Q8" t="s">
        <v>1105</v>
      </c>
      <c r="R8" t="s">
        <v>22</v>
      </c>
      <c r="S8" t="s">
        <v>22</v>
      </c>
      <c r="T8" s="27">
        <v>42860</v>
      </c>
      <c r="U8" s="16">
        <v>47.181829999999998</v>
      </c>
      <c r="V8" s="16">
        <v>-122.71405</v>
      </c>
      <c r="W8" s="252" t="str">
        <f>VLOOKUP(B8,Plantings!$A$2:$E$285,4,FALSE)</f>
        <v>line</v>
      </c>
      <c r="X8" s="251" t="str">
        <f>VLOOKUP(B8,Plantings!$A$2:$E$285,5,FALSE)</f>
        <v>retain</v>
      </c>
      <c r="Y8" s="7" t="s">
        <v>148</v>
      </c>
      <c r="Z8" s="20">
        <v>-1.6</v>
      </c>
      <c r="AA8" t="s">
        <v>1104</v>
      </c>
      <c r="AB8">
        <v>10</v>
      </c>
      <c r="AC8">
        <v>1</v>
      </c>
      <c r="AD8">
        <f t="shared" si="0"/>
        <v>10</v>
      </c>
      <c r="AE8">
        <v>6</v>
      </c>
      <c r="AF8" s="109">
        <f t="shared" si="1"/>
        <v>0.87</v>
      </c>
      <c r="AG8" s="38">
        <v>87</v>
      </c>
      <c r="AH8" s="38">
        <v>869</v>
      </c>
      <c r="AI8" s="5">
        <f t="shared" si="2"/>
        <v>86.9</v>
      </c>
      <c r="AJ8" s="5">
        <f t="shared" si="3"/>
        <v>144.83333333333334</v>
      </c>
      <c r="AK8" t="s">
        <v>54</v>
      </c>
      <c r="AL8" s="160" t="s">
        <v>1176</v>
      </c>
    </row>
    <row r="9" spans="1:38" x14ac:dyDescent="0.25">
      <c r="A9" t="s">
        <v>9</v>
      </c>
      <c r="B9" t="s">
        <v>172</v>
      </c>
      <c r="C9" s="252" t="str">
        <f>VLOOKUP(B9,Plantings!$A$2:$C$285,2,FALSE)</f>
        <v>AND_west_L1</v>
      </c>
      <c r="D9" s="252" t="str">
        <f>VLOOKUP(B9,Plantings!$A$2:$C$285,3,FALSE)</f>
        <v>single</v>
      </c>
      <c r="E9">
        <v>2017</v>
      </c>
      <c r="F9" t="s">
        <v>459</v>
      </c>
      <c r="G9" s="1" t="s">
        <v>493</v>
      </c>
      <c r="H9" t="s">
        <v>71</v>
      </c>
      <c r="I9" t="s">
        <v>405</v>
      </c>
      <c r="J9" t="s">
        <v>59</v>
      </c>
      <c r="K9" t="s">
        <v>176</v>
      </c>
      <c r="L9" t="s">
        <v>11</v>
      </c>
      <c r="M9" t="s">
        <v>179</v>
      </c>
      <c r="N9" t="s">
        <v>77</v>
      </c>
      <c r="O9" t="s">
        <v>52</v>
      </c>
      <c r="P9" t="s">
        <v>60</v>
      </c>
      <c r="Q9" t="s">
        <v>1105</v>
      </c>
      <c r="R9" t="s">
        <v>22</v>
      </c>
      <c r="S9" s="25" t="s">
        <v>520</v>
      </c>
      <c r="T9" s="27">
        <v>42860</v>
      </c>
      <c r="U9" s="16">
        <v>47.18186</v>
      </c>
      <c r="V9" s="16">
        <v>-122.71402999999999</v>
      </c>
      <c r="W9" s="252" t="str">
        <f>VLOOKUP(B9,Plantings!$A$2:$E$285,4,FALSE)</f>
        <v>line</v>
      </c>
      <c r="X9" s="251" t="str">
        <f>VLOOKUP(B9,Plantings!$A$2:$E$285,5,FALSE)</f>
        <v>retain</v>
      </c>
      <c r="Y9" s="7" t="s">
        <v>148</v>
      </c>
      <c r="AF9" s="109" t="str">
        <f t="shared" si="1"/>
        <v/>
      </c>
      <c r="AG9" s="38"/>
      <c r="AH9" s="38"/>
      <c r="AI9" s="5" t="str">
        <f t="shared" si="2"/>
        <v/>
      </c>
      <c r="AJ9" s="5" t="str">
        <f t="shared" si="3"/>
        <v/>
      </c>
      <c r="AL9" s="160"/>
    </row>
    <row r="10" spans="1:38" x14ac:dyDescent="0.25">
      <c r="A10" t="s">
        <v>9</v>
      </c>
      <c r="B10" t="s">
        <v>173</v>
      </c>
      <c r="C10" s="252" t="str">
        <f>VLOOKUP(B10,Plantings!$A$2:$C$285,2,FALSE)</f>
        <v>AND_south_L1</v>
      </c>
      <c r="D10" s="252" t="str">
        <f>VLOOKUP(B10,Plantings!$A$2:$C$285,3,FALSE)</f>
        <v>single</v>
      </c>
      <c r="E10">
        <v>2017</v>
      </c>
      <c r="F10" t="s">
        <v>459</v>
      </c>
      <c r="G10" s="1" t="s">
        <v>493</v>
      </c>
      <c r="H10" t="s">
        <v>71</v>
      </c>
      <c r="I10" t="s">
        <v>405</v>
      </c>
      <c r="J10" t="s">
        <v>59</v>
      </c>
      <c r="K10" t="s">
        <v>176</v>
      </c>
      <c r="L10" t="s">
        <v>11</v>
      </c>
      <c r="M10" t="s">
        <v>179</v>
      </c>
      <c r="N10" t="s">
        <v>77</v>
      </c>
      <c r="O10" t="s">
        <v>52</v>
      </c>
      <c r="P10" t="s">
        <v>60</v>
      </c>
      <c r="Q10" t="s">
        <v>1105</v>
      </c>
      <c r="R10" t="s">
        <v>22</v>
      </c>
      <c r="S10" t="s">
        <v>22</v>
      </c>
      <c r="T10" s="27">
        <v>42860</v>
      </c>
      <c r="U10" s="16">
        <v>47.176900000000003</v>
      </c>
      <c r="V10" s="16">
        <v>-122.7251</v>
      </c>
      <c r="W10" s="252" t="str">
        <f>VLOOKUP(B10,Plantings!$A$2:$E$285,4,FALSE)</f>
        <v>line</v>
      </c>
      <c r="X10" s="251" t="str">
        <f>VLOOKUP(B10,Plantings!$A$2:$E$285,5,FALSE)</f>
        <v>retain</v>
      </c>
      <c r="Y10" s="7" t="s">
        <v>148</v>
      </c>
      <c r="Z10">
        <v>-1.6</v>
      </c>
      <c r="AA10" t="s">
        <v>1104</v>
      </c>
      <c r="AB10">
        <v>10</v>
      </c>
      <c r="AC10">
        <v>1</v>
      </c>
      <c r="AD10">
        <f>AB10*AC10</f>
        <v>10</v>
      </c>
      <c r="AE10">
        <v>6</v>
      </c>
      <c r="AF10" s="109">
        <f t="shared" si="1"/>
        <v>0.87</v>
      </c>
      <c r="AG10" s="38">
        <v>87</v>
      </c>
      <c r="AH10" s="38">
        <v>869</v>
      </c>
      <c r="AI10" s="5">
        <f t="shared" si="2"/>
        <v>86.9</v>
      </c>
      <c r="AJ10" s="5">
        <f t="shared" si="3"/>
        <v>144.83333333333334</v>
      </c>
      <c r="AK10" t="s">
        <v>54</v>
      </c>
      <c r="AL10" s="160" t="s">
        <v>1177</v>
      </c>
    </row>
    <row r="11" spans="1:38" x14ac:dyDescent="0.25">
      <c r="A11" t="s">
        <v>9</v>
      </c>
      <c r="B11" t="s">
        <v>175</v>
      </c>
      <c r="C11" s="252" t="str">
        <f>VLOOKUP(B11,Plantings!$A$2:$C$285,2,FALSE)</f>
        <v>AND_south_L1</v>
      </c>
      <c r="D11" s="252" t="str">
        <f>VLOOKUP(B11,Plantings!$A$2:$C$285,3,FALSE)</f>
        <v>single</v>
      </c>
      <c r="E11">
        <v>2017</v>
      </c>
      <c r="F11" t="s">
        <v>459</v>
      </c>
      <c r="G11" s="1" t="s">
        <v>493</v>
      </c>
      <c r="H11" t="s">
        <v>71</v>
      </c>
      <c r="I11" t="s">
        <v>405</v>
      </c>
      <c r="J11" t="s">
        <v>59</v>
      </c>
      <c r="K11" t="s">
        <v>176</v>
      </c>
      <c r="L11" t="s">
        <v>11</v>
      </c>
      <c r="M11" t="s">
        <v>179</v>
      </c>
      <c r="N11" t="s">
        <v>77</v>
      </c>
      <c r="O11" t="s">
        <v>52</v>
      </c>
      <c r="P11" t="s">
        <v>60</v>
      </c>
      <c r="Q11" t="s">
        <v>1105</v>
      </c>
      <c r="R11" t="s">
        <v>22</v>
      </c>
      <c r="S11" s="25" t="s">
        <v>520</v>
      </c>
      <c r="T11" s="27">
        <v>42860</v>
      </c>
      <c r="U11" s="16">
        <v>47.176929999999999</v>
      </c>
      <c r="V11" s="16">
        <v>-122.72505</v>
      </c>
      <c r="W11" s="252" t="str">
        <f>VLOOKUP(B11,Plantings!$A$2:$E$285,4,FALSE)</f>
        <v>line</v>
      </c>
      <c r="X11" s="251" t="str">
        <f>VLOOKUP(B11,Plantings!$A$2:$E$285,5,FALSE)</f>
        <v>retain</v>
      </c>
      <c r="Y11" s="7" t="s">
        <v>148</v>
      </c>
      <c r="AF11" s="109" t="str">
        <f t="shared" si="1"/>
        <v/>
      </c>
      <c r="AG11" s="38"/>
      <c r="AH11" s="38"/>
      <c r="AI11" s="5" t="str">
        <f t="shared" si="2"/>
        <v/>
      </c>
      <c r="AJ11" s="5" t="str">
        <f t="shared" si="3"/>
        <v/>
      </c>
      <c r="AL11" s="160"/>
    </row>
    <row r="12" spans="1:38" x14ac:dyDescent="0.25">
      <c r="A12" t="s">
        <v>9</v>
      </c>
      <c r="B12" s="1" t="s">
        <v>180</v>
      </c>
      <c r="C12" s="252" t="str">
        <f>VLOOKUP(B12,Plantings!$A$2:$C$285,2,FALSE)</f>
        <v>AND_south_L2</v>
      </c>
      <c r="D12" s="252" t="str">
        <f>VLOOKUP(B12,Plantings!$A$2:$C$285,3,FALSE)</f>
        <v>single</v>
      </c>
      <c r="E12" s="1">
        <v>2017</v>
      </c>
      <c r="F12" t="s">
        <v>459</v>
      </c>
      <c r="G12" t="s">
        <v>413</v>
      </c>
      <c r="H12" s="1" t="s">
        <v>144</v>
      </c>
      <c r="I12" t="s">
        <v>405</v>
      </c>
      <c r="J12" t="s">
        <v>59</v>
      </c>
      <c r="K12" t="s">
        <v>176</v>
      </c>
      <c r="L12" t="s">
        <v>11</v>
      </c>
      <c r="M12" t="s">
        <v>179</v>
      </c>
      <c r="N12" t="s">
        <v>77</v>
      </c>
      <c r="O12" t="s">
        <v>52</v>
      </c>
      <c r="P12" t="s">
        <v>60</v>
      </c>
      <c r="Q12" t="s">
        <v>1105</v>
      </c>
      <c r="R12" s="1" t="s">
        <v>13</v>
      </c>
      <c r="S12" s="1" t="s">
        <v>13</v>
      </c>
      <c r="T12" s="27">
        <v>42888</v>
      </c>
      <c r="U12" s="4">
        <v>47.138750000000002</v>
      </c>
      <c r="V12" s="30">
        <v>-122.725111</v>
      </c>
      <c r="W12" s="252" t="str">
        <f>VLOOKUP(B12,Plantings!$A$2:$E$285,4,FALSE)</f>
        <v>line</v>
      </c>
      <c r="X12" s="251" t="str">
        <f>VLOOKUP(B12,Plantings!$A$2:$E$285,5,FALSE)</f>
        <v>retain</v>
      </c>
      <c r="Y12" s="7" t="s">
        <v>148</v>
      </c>
      <c r="Z12">
        <v>-1.6</v>
      </c>
      <c r="AA12" t="s">
        <v>1104</v>
      </c>
      <c r="AB12">
        <v>40</v>
      </c>
      <c r="AC12">
        <v>4</v>
      </c>
      <c r="AD12">
        <f>AB12*AC12</f>
        <v>160</v>
      </c>
      <c r="AE12">
        <v>155</v>
      </c>
      <c r="AF12" s="109">
        <f t="shared" si="1"/>
        <v>20.5</v>
      </c>
      <c r="AG12" s="38">
        <v>2050</v>
      </c>
      <c r="AH12" s="118">
        <v>20500</v>
      </c>
      <c r="AI12" s="5">
        <f t="shared" si="2"/>
        <v>128.125</v>
      </c>
      <c r="AJ12" s="5">
        <f t="shared" si="3"/>
        <v>132.25806451612902</v>
      </c>
      <c r="AK12" t="s">
        <v>54</v>
      </c>
      <c r="AL12" s="160" t="s">
        <v>1174</v>
      </c>
    </row>
    <row r="13" spans="1:38" x14ac:dyDescent="0.25">
      <c r="A13" t="s">
        <v>9</v>
      </c>
      <c r="B13" s="1" t="s">
        <v>1191</v>
      </c>
      <c r="C13" s="252" t="str">
        <f>VLOOKUP(B13,Plantings!$A$2:$C$285,2,FALSE)</f>
        <v>AND_south_L2</v>
      </c>
      <c r="D13" s="252" t="str">
        <f>VLOOKUP(B13,Plantings!$A$2:$C$285,3,FALSE)</f>
        <v>single</v>
      </c>
      <c r="E13" s="1">
        <v>2017</v>
      </c>
      <c r="F13" t="s">
        <v>459</v>
      </c>
      <c r="G13" t="s">
        <v>413</v>
      </c>
      <c r="H13" s="1" t="s">
        <v>144</v>
      </c>
      <c r="I13" t="s">
        <v>405</v>
      </c>
      <c r="J13" t="s">
        <v>59</v>
      </c>
      <c r="K13" t="s">
        <v>176</v>
      </c>
      <c r="L13" t="s">
        <v>11</v>
      </c>
      <c r="M13" t="s">
        <v>179</v>
      </c>
      <c r="N13" t="s">
        <v>77</v>
      </c>
      <c r="O13" t="s">
        <v>52</v>
      </c>
      <c r="P13" t="s">
        <v>60</v>
      </c>
      <c r="Q13" t="s">
        <v>1105</v>
      </c>
      <c r="R13" s="1" t="s">
        <v>13</v>
      </c>
      <c r="S13" s="25" t="s">
        <v>520</v>
      </c>
      <c r="T13" s="27">
        <v>42888</v>
      </c>
      <c r="U13" s="4">
        <v>47.138916999999999</v>
      </c>
      <c r="V13" s="30">
        <v>-122.725556</v>
      </c>
      <c r="W13" s="252" t="str">
        <f>VLOOKUP(B13,Plantings!$A$2:$E$285,4,FALSE)</f>
        <v>line</v>
      </c>
      <c r="X13" s="251" t="str">
        <f>VLOOKUP(B13,Plantings!$A$2:$E$285,5,FALSE)</f>
        <v>retain</v>
      </c>
      <c r="Y13" s="7" t="s">
        <v>148</v>
      </c>
      <c r="AF13" s="109" t="str">
        <f t="shared" si="1"/>
        <v/>
      </c>
      <c r="AG13" s="38"/>
      <c r="AH13" s="38"/>
      <c r="AI13" s="5" t="str">
        <f t="shared" si="2"/>
        <v/>
      </c>
      <c r="AJ13" s="5" t="str">
        <f t="shared" si="3"/>
        <v/>
      </c>
      <c r="AL13" s="160"/>
    </row>
    <row r="14" spans="1:38" x14ac:dyDescent="0.25">
      <c r="A14" t="s">
        <v>9</v>
      </c>
      <c r="B14" s="1" t="s">
        <v>182</v>
      </c>
      <c r="C14" s="252" t="str">
        <f>VLOOKUP(B14,Plantings!$A$2:$C$285,2,FALSE)</f>
        <v>AND_south_L3</v>
      </c>
      <c r="D14" s="252" t="str">
        <f>VLOOKUP(B14,Plantings!$A$2:$C$285,3,FALSE)</f>
        <v>single</v>
      </c>
      <c r="E14" s="1">
        <v>2017</v>
      </c>
      <c r="F14" t="s">
        <v>459</v>
      </c>
      <c r="G14" t="s">
        <v>413</v>
      </c>
      <c r="H14" s="1" t="s">
        <v>144</v>
      </c>
      <c r="I14" t="s">
        <v>405</v>
      </c>
      <c r="J14" t="s">
        <v>59</v>
      </c>
      <c r="K14" t="s">
        <v>176</v>
      </c>
      <c r="L14" t="s">
        <v>11</v>
      </c>
      <c r="M14" t="s">
        <v>179</v>
      </c>
      <c r="N14" t="s">
        <v>77</v>
      </c>
      <c r="O14" t="s">
        <v>52</v>
      </c>
      <c r="P14" t="s">
        <v>60</v>
      </c>
      <c r="Q14" t="s">
        <v>1105</v>
      </c>
      <c r="R14" s="1" t="s">
        <v>13</v>
      </c>
      <c r="S14" s="1" t="s">
        <v>13</v>
      </c>
      <c r="T14" s="27">
        <v>42890</v>
      </c>
      <c r="U14" s="4">
        <v>47.138249999999999</v>
      </c>
      <c r="V14" s="30">
        <v>-122.72369399999999</v>
      </c>
      <c r="W14" s="252" t="str">
        <f>VLOOKUP(B14,Plantings!$A$2:$E$285,4,FALSE)</f>
        <v>line</v>
      </c>
      <c r="X14" s="251" t="str">
        <f>VLOOKUP(B14,Plantings!$A$2:$E$285,5,FALSE)</f>
        <v>retain</v>
      </c>
      <c r="Y14" s="7" t="s">
        <v>148</v>
      </c>
      <c r="Z14">
        <v>-1.6</v>
      </c>
      <c r="AA14" t="s">
        <v>1104</v>
      </c>
      <c r="AB14">
        <v>40</v>
      </c>
      <c r="AC14">
        <v>4</v>
      </c>
      <c r="AD14">
        <f>AB14*AC14</f>
        <v>160</v>
      </c>
      <c r="AE14">
        <v>160</v>
      </c>
      <c r="AF14" s="109">
        <f t="shared" si="1"/>
        <v>24.830000000000002</v>
      </c>
      <c r="AG14" s="38">
        <v>2483</v>
      </c>
      <c r="AH14" s="118">
        <v>24830</v>
      </c>
      <c r="AI14" s="5">
        <f t="shared" si="2"/>
        <v>155.1875</v>
      </c>
      <c r="AJ14" s="5">
        <f t="shared" si="3"/>
        <v>155.1875</v>
      </c>
      <c r="AK14" t="s">
        <v>54</v>
      </c>
      <c r="AL14" s="160" t="s">
        <v>1175</v>
      </c>
    </row>
    <row r="15" spans="1:38" x14ac:dyDescent="0.25">
      <c r="A15" t="s">
        <v>9</v>
      </c>
      <c r="B15" s="1" t="s">
        <v>181</v>
      </c>
      <c r="C15" s="252" t="str">
        <f>VLOOKUP(B15,Plantings!$A$2:$C$285,2,FALSE)</f>
        <v>AND_south_L3</v>
      </c>
      <c r="D15" s="252" t="str">
        <f>VLOOKUP(B15,Plantings!$A$2:$C$285,3,FALSE)</f>
        <v>single</v>
      </c>
      <c r="E15" s="1">
        <v>2017</v>
      </c>
      <c r="F15" t="s">
        <v>459</v>
      </c>
      <c r="G15" t="s">
        <v>413</v>
      </c>
      <c r="H15" s="1" t="s">
        <v>144</v>
      </c>
      <c r="I15" t="s">
        <v>405</v>
      </c>
      <c r="J15" t="s">
        <v>59</v>
      </c>
      <c r="K15" t="s">
        <v>176</v>
      </c>
      <c r="L15" t="s">
        <v>11</v>
      </c>
      <c r="M15" t="s">
        <v>179</v>
      </c>
      <c r="N15" t="s">
        <v>77</v>
      </c>
      <c r="O15" t="s">
        <v>52</v>
      </c>
      <c r="P15" t="s">
        <v>60</v>
      </c>
      <c r="Q15" t="s">
        <v>1105</v>
      </c>
      <c r="R15" s="1" t="s">
        <v>13</v>
      </c>
      <c r="S15" s="25" t="s">
        <v>520</v>
      </c>
      <c r="T15" s="27">
        <v>42890</v>
      </c>
      <c r="U15" s="4">
        <v>47.138444</v>
      </c>
      <c r="V15" s="30">
        <v>-122.72416699999999</v>
      </c>
      <c r="W15" s="252" t="str">
        <f>VLOOKUP(B15,Plantings!$A$2:$E$285,4,FALSE)</f>
        <v>line</v>
      </c>
      <c r="X15" s="251" t="str">
        <f>VLOOKUP(B15,Plantings!$A$2:$E$285,5,FALSE)</f>
        <v>retain</v>
      </c>
      <c r="Y15" s="7" t="s">
        <v>148</v>
      </c>
      <c r="AF15" s="109" t="str">
        <f t="shared" si="1"/>
        <v/>
      </c>
      <c r="AG15" s="38"/>
      <c r="AH15" s="38"/>
      <c r="AI15" s="5" t="str">
        <f t="shared" si="2"/>
        <v/>
      </c>
      <c r="AJ15" s="5" t="str">
        <f t="shared" si="3"/>
        <v/>
      </c>
      <c r="AL15" s="160"/>
    </row>
    <row r="16" spans="1:38" x14ac:dyDescent="0.25">
      <c r="A16" s="1" t="s">
        <v>9</v>
      </c>
      <c r="B16" s="1" t="s">
        <v>183</v>
      </c>
      <c r="C16" s="252" t="str">
        <f>VLOOKUP(B16,Plantings!$A$2:$C$285,2,FALSE)</f>
        <v>AND_south_L4</v>
      </c>
      <c r="D16" s="252" t="str">
        <f>VLOOKUP(B16,Plantings!$A$2:$C$285,3,FALSE)</f>
        <v>single</v>
      </c>
      <c r="E16" s="1">
        <v>2017</v>
      </c>
      <c r="F16" s="1" t="s">
        <v>459</v>
      </c>
      <c r="G16" s="1" t="s">
        <v>493</v>
      </c>
      <c r="H16" s="1" t="s">
        <v>144</v>
      </c>
      <c r="I16" t="s">
        <v>405</v>
      </c>
      <c r="J16" s="1" t="s">
        <v>66</v>
      </c>
      <c r="K16" s="1" t="s">
        <v>69</v>
      </c>
      <c r="L16" s="1" t="s">
        <v>69</v>
      </c>
      <c r="M16" s="131" t="s">
        <v>1119</v>
      </c>
      <c r="N16" s="1" t="s">
        <v>67</v>
      </c>
      <c r="O16" s="1" t="s">
        <v>49</v>
      </c>
      <c r="P16" s="1" t="s">
        <v>65</v>
      </c>
      <c r="Q16" s="1"/>
      <c r="R16" s="1" t="s">
        <v>13</v>
      </c>
      <c r="S16" s="1" t="s">
        <v>13</v>
      </c>
      <c r="T16" s="35">
        <v>42955</v>
      </c>
      <c r="U16" s="28">
        <v>47.132633329999997</v>
      </c>
      <c r="V16" s="28">
        <v>-122.7181167</v>
      </c>
      <c r="W16" s="252" t="str">
        <f>VLOOKUP(B16,Plantings!$A$2:$E$285,4,FALSE)</f>
        <v>line</v>
      </c>
      <c r="X16" s="251" t="str">
        <f>VLOOKUP(B16,Plantings!$A$2:$E$285,5,FALSE)</f>
        <v>retain</v>
      </c>
      <c r="Y16" s="37" t="s">
        <v>148</v>
      </c>
      <c r="Z16" s="36">
        <v>-1.31064</v>
      </c>
      <c r="AA16" s="1" t="s">
        <v>169</v>
      </c>
      <c r="AB16" s="1">
        <v>30</v>
      </c>
      <c r="AC16" s="1">
        <v>5</v>
      </c>
      <c r="AD16">
        <f>AB16*AC16</f>
        <v>150</v>
      </c>
      <c r="AE16">
        <f>AG16*0.25</f>
        <v>105.25</v>
      </c>
      <c r="AF16" s="109">
        <f t="shared" si="1"/>
        <v>10.525</v>
      </c>
      <c r="AG16" s="133">
        <v>421</v>
      </c>
      <c r="AH16" s="120">
        <v>10525</v>
      </c>
      <c r="AI16" s="5">
        <f t="shared" si="2"/>
        <v>70.166666666666671</v>
      </c>
      <c r="AJ16" s="5">
        <f t="shared" si="3"/>
        <v>100</v>
      </c>
      <c r="AK16" s="1" t="s">
        <v>8</v>
      </c>
      <c r="AL16" s="161" t="s">
        <v>965</v>
      </c>
    </row>
    <row r="17" spans="1:38" x14ac:dyDescent="0.25">
      <c r="A17" s="1" t="s">
        <v>9</v>
      </c>
      <c r="B17" s="1" t="s">
        <v>183</v>
      </c>
      <c r="C17" s="252" t="str">
        <f>VLOOKUP(B17,Plantings!$A$2:$C$285,2,FALSE)</f>
        <v>AND_south_L4</v>
      </c>
      <c r="D17" s="252" t="str">
        <f>VLOOKUP(B17,Plantings!$A$2:$C$285,3,FALSE)</f>
        <v>single</v>
      </c>
      <c r="E17" s="1">
        <v>2017</v>
      </c>
      <c r="F17" s="1" t="s">
        <v>459</v>
      </c>
      <c r="G17" s="1" t="s">
        <v>493</v>
      </c>
      <c r="H17" s="1" t="s">
        <v>144</v>
      </c>
      <c r="I17" t="s">
        <v>405</v>
      </c>
      <c r="J17" s="1" t="s">
        <v>66</v>
      </c>
      <c r="K17" s="1" t="s">
        <v>69</v>
      </c>
      <c r="L17" s="1" t="s">
        <v>69</v>
      </c>
      <c r="M17" s="131" t="s">
        <v>1119</v>
      </c>
      <c r="N17" s="1" t="s">
        <v>67</v>
      </c>
      <c r="O17" s="1" t="s">
        <v>49</v>
      </c>
      <c r="P17" s="1" t="s">
        <v>65</v>
      </c>
      <c r="Q17" s="1"/>
      <c r="R17" s="1" t="s">
        <v>13</v>
      </c>
      <c r="S17" s="25" t="s">
        <v>520</v>
      </c>
      <c r="T17" s="35">
        <v>42955</v>
      </c>
      <c r="U17" s="28">
        <v>47.132379999999998</v>
      </c>
      <c r="V17" s="28">
        <v>-122.71795</v>
      </c>
      <c r="W17" s="252" t="str">
        <f>VLOOKUP(B17,Plantings!$A$2:$E$285,4,FALSE)</f>
        <v>line</v>
      </c>
      <c r="X17" s="251" t="str">
        <f>VLOOKUP(B17,Plantings!$A$2:$E$285,5,FALSE)</f>
        <v>retain</v>
      </c>
      <c r="Y17" s="37" t="s">
        <v>148</v>
      </c>
      <c r="Z17" s="36"/>
      <c r="AA17" s="1"/>
      <c r="AB17" s="1"/>
      <c r="AC17" s="1"/>
      <c r="AE17" s="1"/>
      <c r="AF17" s="109" t="str">
        <f t="shared" si="1"/>
        <v/>
      </c>
      <c r="AG17" s="133"/>
      <c r="AH17" s="120"/>
      <c r="AI17" s="5" t="str">
        <f t="shared" si="2"/>
        <v/>
      </c>
      <c r="AJ17" s="5" t="str">
        <f t="shared" si="3"/>
        <v/>
      </c>
      <c r="AK17" s="1"/>
      <c r="AL17" s="161"/>
    </row>
    <row r="18" spans="1:38" x14ac:dyDescent="0.25">
      <c r="A18" t="s">
        <v>9</v>
      </c>
      <c r="B18" t="s">
        <v>2005</v>
      </c>
      <c r="C18" s="252" t="str">
        <f>VLOOKUP(B18,Plantings!$A$2:$C$285,2,FALSE)</f>
        <v>AMS_deeper</v>
      </c>
      <c r="D18" s="252" t="str">
        <f>VLOOKUP(B18,Plantings!$A$2:$C$285,3,FALSE)</f>
        <v>single</v>
      </c>
      <c r="E18" s="131">
        <v>2020</v>
      </c>
      <c r="F18" s="1" t="s">
        <v>459</v>
      </c>
      <c r="G18" t="s">
        <v>412</v>
      </c>
      <c r="H18" t="s">
        <v>71</v>
      </c>
      <c r="I18" t="s">
        <v>405</v>
      </c>
      <c r="J18" s="1" t="s">
        <v>72</v>
      </c>
      <c r="K18" s="1" t="s">
        <v>69</v>
      </c>
      <c r="L18" s="1" t="s">
        <v>69</v>
      </c>
      <c r="M18" s="131" t="s">
        <v>1119</v>
      </c>
      <c r="N18" s="1" t="s">
        <v>67</v>
      </c>
      <c r="O18" s="1" t="s">
        <v>49</v>
      </c>
      <c r="R18" s="1" t="s">
        <v>22</v>
      </c>
      <c r="S18" s="1" t="s">
        <v>22</v>
      </c>
      <c r="T18" s="134">
        <v>44012</v>
      </c>
      <c r="U18" s="4">
        <v>47.160375999999999</v>
      </c>
      <c r="V18" s="4">
        <v>-122.72771659999999</v>
      </c>
      <c r="W18" s="252" t="str">
        <f>VLOOKUP(B18,Plantings!$A$2:$E$285,4,FALSE)</f>
        <v>point</v>
      </c>
      <c r="X18" s="251" t="str">
        <f>VLOOKUP(B18,Plantings!$A$2:$E$285,5,FALSE)</f>
        <v>retain</v>
      </c>
      <c r="Y18" s="37" t="s">
        <v>148</v>
      </c>
      <c r="Z18" s="20">
        <v>-1.1000000000000001</v>
      </c>
      <c r="AA18" s="5" t="s">
        <v>169</v>
      </c>
      <c r="AB18">
        <v>2.5</v>
      </c>
      <c r="AC18">
        <v>2.5</v>
      </c>
      <c r="AD18">
        <f t="shared" ref="AD18:AD33" si="4">AB18*AC18</f>
        <v>6.25</v>
      </c>
      <c r="AE18">
        <f t="shared" ref="AE18:AE29" si="5">AG18*0.25</f>
        <v>4.75</v>
      </c>
      <c r="AF18" s="109">
        <f t="shared" si="1"/>
        <v>0.47500000000000003</v>
      </c>
      <c r="AG18">
        <v>19</v>
      </c>
      <c r="AH18">
        <v>475</v>
      </c>
      <c r="AI18" s="5">
        <f t="shared" si="2"/>
        <v>76</v>
      </c>
      <c r="AJ18" s="5">
        <f t="shared" si="3"/>
        <v>100</v>
      </c>
      <c r="AK18" t="s">
        <v>9</v>
      </c>
      <c r="AL18" s="13" t="s">
        <v>1986</v>
      </c>
    </row>
    <row r="19" spans="1:38" x14ac:dyDescent="0.25">
      <c r="A19" t="s">
        <v>9</v>
      </c>
      <c r="B19" t="s">
        <v>2019</v>
      </c>
      <c r="C19" s="252" t="str">
        <f>VLOOKUP(B19,Plantings!$A$2:$C$285,2,FALSE)</f>
        <v>AND_west3</v>
      </c>
      <c r="D19" s="252" t="str">
        <f>VLOOKUP(B19,Plantings!$A$2:$C$285,3,FALSE)</f>
        <v>single</v>
      </c>
      <c r="E19" s="131">
        <v>2020</v>
      </c>
      <c r="F19" s="1" t="s">
        <v>459</v>
      </c>
      <c r="G19" t="s">
        <v>412</v>
      </c>
      <c r="H19" t="s">
        <v>71</v>
      </c>
      <c r="I19" t="s">
        <v>405</v>
      </c>
      <c r="J19" s="1" t="s">
        <v>72</v>
      </c>
      <c r="K19" s="1" t="s">
        <v>69</v>
      </c>
      <c r="L19" s="1" t="s">
        <v>69</v>
      </c>
      <c r="M19" s="131" t="s">
        <v>1119</v>
      </c>
      <c r="N19" s="1" t="s">
        <v>67</v>
      </c>
      <c r="O19" s="1" t="s">
        <v>49</v>
      </c>
      <c r="R19" s="1" t="s">
        <v>22</v>
      </c>
      <c r="S19" s="1" t="s">
        <v>22</v>
      </c>
      <c r="T19" s="134">
        <v>44013</v>
      </c>
      <c r="U19" s="4">
        <v>47.172138166000003</v>
      </c>
      <c r="V19" s="4">
        <v>-122.7279458</v>
      </c>
      <c r="W19" s="252" t="str">
        <f>VLOOKUP(B19,Plantings!$A$2:$E$285,4,FALSE)</f>
        <v>point</v>
      </c>
      <c r="X19" s="251" t="str">
        <f>VLOOKUP(B19,Plantings!$A$2:$E$285,5,FALSE)</f>
        <v>retain</v>
      </c>
      <c r="Y19" s="37" t="s">
        <v>148</v>
      </c>
      <c r="Z19" s="20">
        <v>-1.2</v>
      </c>
      <c r="AA19" s="5" t="s">
        <v>169</v>
      </c>
      <c r="AB19">
        <v>3</v>
      </c>
      <c r="AC19">
        <v>2.5</v>
      </c>
      <c r="AD19">
        <f t="shared" si="4"/>
        <v>7.5</v>
      </c>
      <c r="AE19">
        <f t="shared" si="5"/>
        <v>6.25</v>
      </c>
      <c r="AF19" s="109">
        <f t="shared" si="1"/>
        <v>0.625</v>
      </c>
      <c r="AG19">
        <v>25</v>
      </c>
      <c r="AH19">
        <v>625</v>
      </c>
      <c r="AI19" s="5">
        <f t="shared" si="2"/>
        <v>83.333333333333329</v>
      </c>
      <c r="AJ19" s="5">
        <f t="shared" si="3"/>
        <v>100</v>
      </c>
      <c r="AK19" t="s">
        <v>9</v>
      </c>
      <c r="AL19" s="13" t="s">
        <v>1987</v>
      </c>
    </row>
    <row r="20" spans="1:38" x14ac:dyDescent="0.25">
      <c r="A20" t="s">
        <v>9</v>
      </c>
      <c r="B20" t="s">
        <v>2020</v>
      </c>
      <c r="C20" s="252" t="str">
        <f>VLOOKUP(B20,Plantings!$A$2:$C$285,2,FALSE)</f>
        <v>AND_nw1</v>
      </c>
      <c r="D20" s="252" t="str">
        <f>VLOOKUP(B20,Plantings!$A$2:$C$285,3,FALSE)</f>
        <v>single</v>
      </c>
      <c r="E20" s="131">
        <v>2020</v>
      </c>
      <c r="F20" s="1" t="s">
        <v>459</v>
      </c>
      <c r="G20" t="s">
        <v>412</v>
      </c>
      <c r="H20" t="s">
        <v>71</v>
      </c>
      <c r="I20" t="s">
        <v>405</v>
      </c>
      <c r="J20" s="1" t="s">
        <v>72</v>
      </c>
      <c r="K20" s="1" t="s">
        <v>69</v>
      </c>
      <c r="L20" s="1" t="s">
        <v>69</v>
      </c>
      <c r="M20" s="131" t="s">
        <v>1119</v>
      </c>
      <c r="N20" s="1" t="s">
        <v>67</v>
      </c>
      <c r="O20" s="1" t="s">
        <v>49</v>
      </c>
      <c r="R20" s="1" t="s">
        <v>22</v>
      </c>
      <c r="S20" s="1" t="s">
        <v>22</v>
      </c>
      <c r="T20" s="134">
        <v>44012</v>
      </c>
      <c r="U20" s="4">
        <v>47.182099999999998</v>
      </c>
      <c r="V20" s="4">
        <v>-122.71379159999999</v>
      </c>
      <c r="W20" s="252" t="str">
        <f>VLOOKUP(B20,Plantings!$A$2:$E$285,4,FALSE)</f>
        <v>point</v>
      </c>
      <c r="X20" s="251" t="str">
        <f>VLOOKUP(B20,Plantings!$A$2:$E$285,5,FALSE)</f>
        <v>retain</v>
      </c>
      <c r="Y20" s="37" t="s">
        <v>148</v>
      </c>
      <c r="Z20" s="20">
        <v>-1.3</v>
      </c>
      <c r="AA20" s="5" t="s">
        <v>169</v>
      </c>
      <c r="AB20">
        <v>2.5</v>
      </c>
      <c r="AC20">
        <v>2.5</v>
      </c>
      <c r="AD20">
        <f t="shared" si="4"/>
        <v>6.25</v>
      </c>
      <c r="AE20">
        <f t="shared" si="5"/>
        <v>5</v>
      </c>
      <c r="AF20" s="109">
        <f t="shared" si="1"/>
        <v>0.5</v>
      </c>
      <c r="AG20">
        <v>20</v>
      </c>
      <c r="AH20">
        <v>500</v>
      </c>
      <c r="AI20" s="5">
        <f t="shared" si="2"/>
        <v>80</v>
      </c>
      <c r="AJ20" s="5">
        <f t="shared" si="3"/>
        <v>100</v>
      </c>
      <c r="AK20" t="s">
        <v>9</v>
      </c>
      <c r="AL20" s="13" t="s">
        <v>1988</v>
      </c>
    </row>
    <row r="21" spans="1:38" x14ac:dyDescent="0.25">
      <c r="A21" t="s">
        <v>9</v>
      </c>
      <c r="B21" s="1" t="s">
        <v>2057</v>
      </c>
      <c r="C21" s="252" t="str">
        <f>VLOOKUP(B21,Plantings!$A$2:$C$285,2,FALSE)</f>
        <v>AND_west4</v>
      </c>
      <c r="D21" s="252" t="str">
        <f>VLOOKUP(B21,Plantings!$A$2:$C$285,3,FALSE)</f>
        <v>single</v>
      </c>
      <c r="E21" s="131">
        <v>2021</v>
      </c>
      <c r="F21" s="1"/>
      <c r="J21" s="1"/>
      <c r="K21" s="1"/>
      <c r="L21" s="1"/>
      <c r="M21" s="131"/>
      <c r="N21" s="1"/>
      <c r="O21" s="1"/>
      <c r="R21" s="1" t="s">
        <v>22</v>
      </c>
      <c r="S21" s="1" t="s">
        <v>22</v>
      </c>
      <c r="T21" s="134">
        <v>44369</v>
      </c>
      <c r="U21" s="246"/>
      <c r="V21" s="246"/>
      <c r="W21" s="252" t="str">
        <f>VLOOKUP(B21,Plantings!$A$2:$E$285,4,FALSE)</f>
        <v>point</v>
      </c>
      <c r="X21" s="251" t="str">
        <f>VLOOKUP(B21,Plantings!$A$2:$E$285,5,FALSE)</f>
        <v>retain</v>
      </c>
      <c r="Y21" s="37" t="s">
        <v>148</v>
      </c>
      <c r="Z21" s="20">
        <v>-1.5</v>
      </c>
      <c r="AA21" s="5" t="s">
        <v>169</v>
      </c>
      <c r="AB21">
        <v>3.5</v>
      </c>
      <c r="AC21">
        <v>0.5</v>
      </c>
      <c r="AD21">
        <f t="shared" si="4"/>
        <v>1.75</v>
      </c>
      <c r="AE21">
        <f t="shared" si="5"/>
        <v>2.25</v>
      </c>
      <c r="AF21" s="109">
        <f t="shared" si="1"/>
        <v>0.22500000000000001</v>
      </c>
      <c r="AG21">
        <v>9</v>
      </c>
      <c r="AH21">
        <v>135</v>
      </c>
      <c r="AI21" s="5">
        <f t="shared" si="2"/>
        <v>77.142857142857139</v>
      </c>
      <c r="AJ21" s="5">
        <f t="shared" si="3"/>
        <v>60</v>
      </c>
      <c r="AK21" t="s">
        <v>119</v>
      </c>
    </row>
    <row r="22" spans="1:38" x14ac:dyDescent="0.25">
      <c r="A22" t="s">
        <v>9</v>
      </c>
      <c r="B22" s="1" t="s">
        <v>2058</v>
      </c>
      <c r="C22" s="252" t="str">
        <f>VLOOKUP(B22,Plantings!$A$2:$C$285,2,FALSE)</f>
        <v>AND_west5</v>
      </c>
      <c r="D22" s="252" t="str">
        <f>VLOOKUP(B22,Plantings!$A$2:$C$285,3,FALSE)</f>
        <v>single</v>
      </c>
      <c r="E22" s="131">
        <v>2021</v>
      </c>
      <c r="F22" s="1"/>
      <c r="J22" s="1"/>
      <c r="K22" s="1"/>
      <c r="L22" s="1"/>
      <c r="M22" s="131"/>
      <c r="N22" s="1"/>
      <c r="O22" s="1"/>
      <c r="R22" s="1" t="s">
        <v>22</v>
      </c>
      <c r="S22" s="1" t="s">
        <v>22</v>
      </c>
      <c r="T22" s="134">
        <v>44372</v>
      </c>
      <c r="U22" s="246"/>
      <c r="V22" s="246"/>
      <c r="W22" s="252" t="str">
        <f>VLOOKUP(B22,Plantings!$A$2:$E$285,4,FALSE)</f>
        <v>point</v>
      </c>
      <c r="X22" s="251" t="str">
        <f>VLOOKUP(B22,Plantings!$A$2:$E$285,5,FALSE)</f>
        <v>retain</v>
      </c>
      <c r="Y22" s="37" t="s">
        <v>148</v>
      </c>
      <c r="Z22" s="20">
        <v>-1.5</v>
      </c>
      <c r="AA22" s="5" t="s">
        <v>169</v>
      </c>
      <c r="AB22">
        <v>3.5</v>
      </c>
      <c r="AC22">
        <v>0.5</v>
      </c>
      <c r="AD22">
        <f t="shared" si="4"/>
        <v>1.75</v>
      </c>
      <c r="AE22">
        <f t="shared" si="5"/>
        <v>2.25</v>
      </c>
      <c r="AF22" s="109">
        <f t="shared" si="1"/>
        <v>0.22500000000000001</v>
      </c>
      <c r="AG22">
        <v>9</v>
      </c>
      <c r="AH22">
        <v>135</v>
      </c>
      <c r="AI22" s="5">
        <f t="shared" si="2"/>
        <v>77.142857142857139</v>
      </c>
      <c r="AJ22" s="5">
        <f t="shared" si="3"/>
        <v>60</v>
      </c>
      <c r="AK22" t="s">
        <v>119</v>
      </c>
    </row>
    <row r="23" spans="1:38" x14ac:dyDescent="0.25">
      <c r="A23" t="s">
        <v>9</v>
      </c>
      <c r="B23" s="1" t="s">
        <v>2059</v>
      </c>
      <c r="C23" s="252" t="str">
        <f>VLOOKUP(B23,Plantings!$A$2:$C$285,2,FALSE)</f>
        <v>AND_west6</v>
      </c>
      <c r="D23" s="252" t="str">
        <f>VLOOKUP(B23,Plantings!$A$2:$C$285,3,FALSE)</f>
        <v>single</v>
      </c>
      <c r="E23" s="131">
        <v>2021</v>
      </c>
      <c r="F23" s="1"/>
      <c r="J23" s="1"/>
      <c r="K23" s="1"/>
      <c r="L23" s="1"/>
      <c r="M23" s="131"/>
      <c r="N23" s="1"/>
      <c r="O23" s="1"/>
      <c r="R23" s="1" t="s">
        <v>22</v>
      </c>
      <c r="S23" s="1" t="s">
        <v>22</v>
      </c>
      <c r="T23" s="134">
        <v>44372</v>
      </c>
      <c r="U23" s="246"/>
      <c r="V23" s="246"/>
      <c r="W23" s="252" t="str">
        <f>VLOOKUP(B23,Plantings!$A$2:$E$285,4,FALSE)</f>
        <v>point</v>
      </c>
      <c r="X23" s="251" t="str">
        <f>VLOOKUP(B23,Plantings!$A$2:$E$285,5,FALSE)</f>
        <v>retain</v>
      </c>
      <c r="Y23" s="37" t="s">
        <v>148</v>
      </c>
      <c r="Z23" s="20">
        <v>-1.5</v>
      </c>
      <c r="AA23" s="5" t="s">
        <v>169</v>
      </c>
      <c r="AB23">
        <v>3.5</v>
      </c>
      <c r="AC23">
        <v>0.5</v>
      </c>
      <c r="AD23">
        <f t="shared" si="4"/>
        <v>1.75</v>
      </c>
      <c r="AE23">
        <f t="shared" si="5"/>
        <v>2.25</v>
      </c>
      <c r="AF23" s="109">
        <f t="shared" si="1"/>
        <v>0.22500000000000001</v>
      </c>
      <c r="AG23">
        <v>9</v>
      </c>
      <c r="AH23">
        <v>135</v>
      </c>
      <c r="AI23" s="5">
        <f t="shared" si="2"/>
        <v>77.142857142857139</v>
      </c>
      <c r="AJ23" s="5">
        <f t="shared" si="3"/>
        <v>60</v>
      </c>
      <c r="AK23" t="s">
        <v>119</v>
      </c>
    </row>
    <row r="24" spans="1:38" x14ac:dyDescent="0.25">
      <c r="A24" t="s">
        <v>9</v>
      </c>
      <c r="B24" t="s">
        <v>2136</v>
      </c>
      <c r="C24" s="252" t="str">
        <f>VLOOKUP(B24,Plantings!$A$2:$C$285,2,FALSE)</f>
        <v>AND_se1</v>
      </c>
      <c r="D24" s="252" t="str">
        <f>VLOOKUP(B24,Plantings!$A$2:$C$285,3,FALSE)</f>
        <v>single</v>
      </c>
      <c r="E24">
        <v>2023</v>
      </c>
      <c r="G24" t="s">
        <v>412</v>
      </c>
      <c r="H24" t="s">
        <v>37</v>
      </c>
      <c r="I24" t="s">
        <v>405</v>
      </c>
      <c r="R24" t="s">
        <v>22</v>
      </c>
      <c r="S24" t="s">
        <v>22</v>
      </c>
      <c r="T24" s="134">
        <v>45082</v>
      </c>
      <c r="U24">
        <v>47.141539999999999</v>
      </c>
      <c r="V24">
        <v>-122.73026</v>
      </c>
      <c r="W24" s="252" t="str">
        <f>VLOOKUP(B24,Plantings!$A$2:$E$285,4,FALSE)</f>
        <v>point</v>
      </c>
      <c r="X24" s="251" t="str">
        <f>VLOOKUP(B24,Plantings!$A$2:$E$285,5,FALSE)</f>
        <v>retain</v>
      </c>
      <c r="Y24" s="7" t="s">
        <v>148</v>
      </c>
      <c r="Z24" s="20">
        <v>-1.5</v>
      </c>
      <c r="AA24" s="5" t="s">
        <v>169</v>
      </c>
      <c r="AB24">
        <v>1.5</v>
      </c>
      <c r="AC24">
        <v>0.5</v>
      </c>
      <c r="AD24">
        <f t="shared" si="4"/>
        <v>0.75</v>
      </c>
      <c r="AE24">
        <f t="shared" si="5"/>
        <v>2.25</v>
      </c>
      <c r="AF24" s="109">
        <f>IF(AA24="staple",AG24*0.005,IF(AA24="rebar",AG24*0.025,IF(AA24="burlap",AG24*0.0625,IF(AA24="washer",AG24*0.0025,IF(AA24="pucks",AG24*0.00785,IF(AA24="turf",AG24*0.01,IF(AA24="TERFS",AG24*0.25,IF(AA24="",""))))))))</f>
        <v>0.22500000000000001</v>
      </c>
      <c r="AG24" s="38">
        <v>9</v>
      </c>
      <c r="AH24" s="119">
        <v>150</v>
      </c>
      <c r="AI24" s="5">
        <f t="shared" si="2"/>
        <v>200</v>
      </c>
      <c r="AJ24" s="5">
        <f t="shared" si="3"/>
        <v>66.666666666666671</v>
      </c>
      <c r="AK24" t="s">
        <v>119</v>
      </c>
    </row>
    <row r="25" spans="1:38" x14ac:dyDescent="0.25">
      <c r="A25" t="s">
        <v>1869</v>
      </c>
      <c r="B25" t="s">
        <v>1871</v>
      </c>
      <c r="C25" s="252" t="str">
        <f>VLOOKUP(B25,Plantings!$A$2:$C$285,2,FALSE)</f>
        <v>BB_test_1</v>
      </c>
      <c r="D25" s="252" t="str">
        <f>VLOOKUP(B25,Plantings!$A$2:$C$285,3,FALSE)</f>
        <v>single</v>
      </c>
      <c r="E25" s="131">
        <v>2020</v>
      </c>
      <c r="F25" t="s">
        <v>1864</v>
      </c>
      <c r="G25" s="1" t="s">
        <v>493</v>
      </c>
      <c r="H25" s="1" t="s">
        <v>1869</v>
      </c>
      <c r="I25" s="1" t="s">
        <v>406</v>
      </c>
      <c r="J25" s="1" t="s">
        <v>1873</v>
      </c>
      <c r="K25" s="1" t="s">
        <v>165</v>
      </c>
      <c r="L25" s="1" t="s">
        <v>1872</v>
      </c>
      <c r="R25" s="1" t="s">
        <v>22</v>
      </c>
      <c r="S25" s="1" t="s">
        <v>22</v>
      </c>
      <c r="T25" s="134">
        <v>44045</v>
      </c>
      <c r="U25" s="28">
        <v>48.578159999999997</v>
      </c>
      <c r="V25" s="28">
        <v>-122.94099</v>
      </c>
      <c r="W25" s="252" t="str">
        <f>VLOOKUP(B25,Plantings!$A$2:$E$285,4,FALSE)</f>
        <v>line</v>
      </c>
      <c r="X25" s="251" t="str">
        <f>VLOOKUP(B25,Plantings!$A$2:$E$285,5,FALSE)</f>
        <v>retain</v>
      </c>
      <c r="Y25" s="7" t="s">
        <v>148</v>
      </c>
      <c r="Z25">
        <v>-1.7</v>
      </c>
      <c r="AA25" s="5" t="s">
        <v>169</v>
      </c>
      <c r="AB25">
        <v>14</v>
      </c>
      <c r="AC25">
        <v>1</v>
      </c>
      <c r="AD25">
        <f t="shared" si="4"/>
        <v>14</v>
      </c>
      <c r="AE25">
        <f t="shared" si="5"/>
        <v>4</v>
      </c>
      <c r="AF25" s="109">
        <v>0.4</v>
      </c>
      <c r="AG25">
        <v>16</v>
      </c>
      <c r="AH25" s="130">
        <v>320</v>
      </c>
      <c r="AI25" s="5">
        <f t="shared" si="2"/>
        <v>22.857142857142858</v>
      </c>
      <c r="AJ25" s="5">
        <f t="shared" si="3"/>
        <v>80</v>
      </c>
      <c r="AK25" t="s">
        <v>540</v>
      </c>
      <c r="AL25" s="13" t="s">
        <v>1883</v>
      </c>
    </row>
    <row r="26" spans="1:38" x14ac:dyDescent="0.25">
      <c r="A26" t="s">
        <v>1869</v>
      </c>
      <c r="B26" t="s">
        <v>1871</v>
      </c>
      <c r="C26" s="252" t="str">
        <f>VLOOKUP(B26,Plantings!$A$2:$C$285,2,FALSE)</f>
        <v>BB_test_1</v>
      </c>
      <c r="D26" s="252" t="str">
        <f>VLOOKUP(B26,Plantings!$A$2:$C$285,3,FALSE)</f>
        <v>single</v>
      </c>
      <c r="E26" s="131">
        <v>2020</v>
      </c>
      <c r="F26" t="s">
        <v>1864</v>
      </c>
      <c r="G26" s="1" t="s">
        <v>493</v>
      </c>
      <c r="H26" s="1" t="s">
        <v>1869</v>
      </c>
      <c r="I26" s="1" t="s">
        <v>406</v>
      </c>
      <c r="J26" s="1" t="s">
        <v>1873</v>
      </c>
      <c r="K26" s="1" t="s">
        <v>165</v>
      </c>
      <c r="L26" s="1" t="s">
        <v>1872</v>
      </c>
      <c r="R26" s="1" t="s">
        <v>22</v>
      </c>
      <c r="S26" s="1" t="s">
        <v>22</v>
      </c>
      <c r="T26" s="134">
        <v>44045</v>
      </c>
      <c r="U26" s="28">
        <v>48.578159999999997</v>
      </c>
      <c r="V26" s="28">
        <v>-122.94099</v>
      </c>
      <c r="W26" s="252" t="str">
        <f>VLOOKUP(B26,Plantings!$A$2:$E$285,4,FALSE)</f>
        <v>line</v>
      </c>
      <c r="X26" s="251" t="str">
        <f>VLOOKUP(B26,Plantings!$A$2:$E$285,5,FALSE)</f>
        <v>retain</v>
      </c>
      <c r="Y26" s="7" t="s">
        <v>148</v>
      </c>
      <c r="Z26">
        <v>-1.7</v>
      </c>
      <c r="AA26" s="5" t="s">
        <v>169</v>
      </c>
      <c r="AB26">
        <v>14</v>
      </c>
      <c r="AC26">
        <v>1</v>
      </c>
      <c r="AD26">
        <f t="shared" si="4"/>
        <v>14</v>
      </c>
      <c r="AE26">
        <f t="shared" si="5"/>
        <v>0.75</v>
      </c>
      <c r="AF26" s="109">
        <v>7.4999999999999997E-2</v>
      </c>
      <c r="AG26">
        <v>3</v>
      </c>
      <c r="AH26" s="130">
        <v>60</v>
      </c>
      <c r="AI26" s="5">
        <f t="shared" si="2"/>
        <v>4.2857142857142856</v>
      </c>
      <c r="AJ26" s="5">
        <f t="shared" si="3"/>
        <v>80</v>
      </c>
      <c r="AK26" t="s">
        <v>1874</v>
      </c>
      <c r="AL26" s="13" t="s">
        <v>1883</v>
      </c>
    </row>
    <row r="27" spans="1:38" x14ac:dyDescent="0.25">
      <c r="A27" t="s">
        <v>1869</v>
      </c>
      <c r="B27" t="s">
        <v>1871</v>
      </c>
      <c r="C27" s="252" t="str">
        <f>VLOOKUP(B27,Plantings!$A$2:$C$285,2,FALSE)</f>
        <v>BB_test_1</v>
      </c>
      <c r="D27" s="252" t="str">
        <f>VLOOKUP(B27,Plantings!$A$2:$C$285,3,FALSE)</f>
        <v>single</v>
      </c>
      <c r="E27" s="131">
        <v>2020</v>
      </c>
      <c r="F27" t="s">
        <v>1864</v>
      </c>
      <c r="G27" s="1" t="s">
        <v>493</v>
      </c>
      <c r="H27" s="1" t="s">
        <v>1869</v>
      </c>
      <c r="I27" s="1" t="s">
        <v>406</v>
      </c>
      <c r="J27" s="1" t="s">
        <v>1873</v>
      </c>
      <c r="K27" s="1" t="s">
        <v>165</v>
      </c>
      <c r="L27" s="1" t="s">
        <v>1872</v>
      </c>
      <c r="R27" s="1" t="s">
        <v>22</v>
      </c>
      <c r="S27" s="1" t="s">
        <v>22</v>
      </c>
      <c r="T27" s="134">
        <v>44045</v>
      </c>
      <c r="U27" s="28">
        <v>48.578159999999997</v>
      </c>
      <c r="V27" s="28">
        <v>-122.94099</v>
      </c>
      <c r="W27" s="252" t="str">
        <f>VLOOKUP(B27,Plantings!$A$2:$E$285,4,FALSE)</f>
        <v>line</v>
      </c>
      <c r="X27" s="251" t="str">
        <f>VLOOKUP(B27,Plantings!$A$2:$E$285,5,FALSE)</f>
        <v>retain</v>
      </c>
      <c r="Y27" s="7" t="s">
        <v>148</v>
      </c>
      <c r="Z27">
        <v>-1.7</v>
      </c>
      <c r="AA27" s="5" t="s">
        <v>169</v>
      </c>
      <c r="AB27">
        <v>14</v>
      </c>
      <c r="AC27">
        <v>1</v>
      </c>
      <c r="AD27">
        <f t="shared" si="4"/>
        <v>14</v>
      </c>
      <c r="AE27">
        <f t="shared" si="5"/>
        <v>2.25</v>
      </c>
      <c r="AF27" s="109">
        <v>0.22500000000000001</v>
      </c>
      <c r="AG27">
        <v>9</v>
      </c>
      <c r="AH27" s="130">
        <v>135</v>
      </c>
      <c r="AI27" s="5">
        <f t="shared" si="2"/>
        <v>9.6428571428571423</v>
      </c>
      <c r="AJ27" s="5">
        <f t="shared" si="3"/>
        <v>60</v>
      </c>
      <c r="AK27" t="s">
        <v>485</v>
      </c>
      <c r="AL27" s="13" t="s">
        <v>1880</v>
      </c>
    </row>
    <row r="28" spans="1:38" x14ac:dyDescent="0.25">
      <c r="A28" t="s">
        <v>1869</v>
      </c>
      <c r="B28" t="s">
        <v>1871</v>
      </c>
      <c r="C28" s="252" t="str">
        <f>VLOOKUP(B28,Plantings!$A$2:$C$285,2,FALSE)</f>
        <v>BB_test_1</v>
      </c>
      <c r="D28" s="252" t="str">
        <f>VLOOKUP(B28,Plantings!$A$2:$C$285,3,FALSE)</f>
        <v>single</v>
      </c>
      <c r="E28" s="131">
        <v>2020</v>
      </c>
      <c r="F28" t="s">
        <v>1864</v>
      </c>
      <c r="G28" s="1" t="s">
        <v>493</v>
      </c>
      <c r="H28" s="1" t="s">
        <v>1869</v>
      </c>
      <c r="I28" s="1" t="s">
        <v>406</v>
      </c>
      <c r="J28" s="1" t="s">
        <v>1873</v>
      </c>
      <c r="K28" s="1" t="s">
        <v>165</v>
      </c>
      <c r="L28" s="1" t="s">
        <v>1872</v>
      </c>
      <c r="R28" s="1" t="s">
        <v>22</v>
      </c>
      <c r="S28" s="1" t="s">
        <v>22</v>
      </c>
      <c r="T28" s="134">
        <v>44045</v>
      </c>
      <c r="U28" s="28">
        <v>48.578159999999997</v>
      </c>
      <c r="V28" s="28">
        <v>-122.94099</v>
      </c>
      <c r="W28" s="252" t="str">
        <f>VLOOKUP(B28,Plantings!$A$2:$E$285,4,FALSE)</f>
        <v>line</v>
      </c>
      <c r="X28" s="251" t="str">
        <f>VLOOKUP(B28,Plantings!$A$2:$E$285,5,FALSE)</f>
        <v>retain</v>
      </c>
      <c r="Y28" s="7" t="s">
        <v>148</v>
      </c>
      <c r="Z28">
        <v>-1.7</v>
      </c>
      <c r="AA28" s="5" t="s">
        <v>169</v>
      </c>
      <c r="AB28">
        <v>14</v>
      </c>
      <c r="AC28">
        <v>1</v>
      </c>
      <c r="AD28">
        <f t="shared" si="4"/>
        <v>14</v>
      </c>
      <c r="AE28">
        <f t="shared" si="5"/>
        <v>3.75</v>
      </c>
      <c r="AF28" s="109">
        <v>0.375</v>
      </c>
      <c r="AG28">
        <v>15</v>
      </c>
      <c r="AH28" s="130">
        <v>210</v>
      </c>
      <c r="AI28" s="5">
        <f t="shared" si="2"/>
        <v>15</v>
      </c>
      <c r="AJ28" s="5">
        <f t="shared" si="3"/>
        <v>56</v>
      </c>
      <c r="AK28" t="s">
        <v>1875</v>
      </c>
      <c r="AL28" s="13" t="s">
        <v>1883</v>
      </c>
    </row>
    <row r="29" spans="1:38" x14ac:dyDescent="0.25">
      <c r="A29" t="s">
        <v>1869</v>
      </c>
      <c r="B29" t="s">
        <v>1871</v>
      </c>
      <c r="C29" s="252" t="str">
        <f>VLOOKUP(B29,Plantings!$A$2:$C$285,2,FALSE)</f>
        <v>BB_test_1</v>
      </c>
      <c r="D29" s="252" t="str">
        <f>VLOOKUP(B29,Plantings!$A$2:$C$285,3,FALSE)</f>
        <v>single</v>
      </c>
      <c r="E29" s="131">
        <v>2020</v>
      </c>
      <c r="F29" t="s">
        <v>1864</v>
      </c>
      <c r="G29" s="1" t="s">
        <v>493</v>
      </c>
      <c r="H29" s="1" t="s">
        <v>1869</v>
      </c>
      <c r="I29" s="1" t="s">
        <v>406</v>
      </c>
      <c r="J29" s="1" t="s">
        <v>1873</v>
      </c>
      <c r="K29" s="1" t="s">
        <v>165</v>
      </c>
      <c r="L29" s="1" t="s">
        <v>1872</v>
      </c>
      <c r="R29" s="1" t="s">
        <v>22</v>
      </c>
      <c r="S29" s="1" t="s">
        <v>22</v>
      </c>
      <c r="T29" s="134">
        <v>44045</v>
      </c>
      <c r="U29" s="28">
        <v>48.578159999999997</v>
      </c>
      <c r="V29" s="28">
        <v>-122.94099</v>
      </c>
      <c r="W29" s="252" t="str">
        <f>VLOOKUP(B29,Plantings!$A$2:$E$285,4,FALSE)</f>
        <v>line</v>
      </c>
      <c r="X29" s="251" t="str">
        <f>VLOOKUP(B29,Plantings!$A$2:$E$285,5,FALSE)</f>
        <v>retain</v>
      </c>
      <c r="Y29" s="7" t="s">
        <v>148</v>
      </c>
      <c r="Z29">
        <v>-1.7</v>
      </c>
      <c r="AA29" s="5" t="s">
        <v>169</v>
      </c>
      <c r="AB29">
        <v>14</v>
      </c>
      <c r="AC29">
        <v>1</v>
      </c>
      <c r="AD29">
        <f t="shared" si="4"/>
        <v>14</v>
      </c>
      <c r="AE29">
        <f t="shared" si="5"/>
        <v>1.75</v>
      </c>
      <c r="AF29" s="109">
        <v>0.17499999999999999</v>
      </c>
      <c r="AG29">
        <v>7</v>
      </c>
      <c r="AH29" s="130">
        <v>175</v>
      </c>
      <c r="AI29" s="5">
        <f t="shared" si="2"/>
        <v>12.5</v>
      </c>
      <c r="AJ29" s="5">
        <f t="shared" si="3"/>
        <v>100</v>
      </c>
      <c r="AK29" t="s">
        <v>1876</v>
      </c>
      <c r="AL29" s="13" t="s">
        <v>1883</v>
      </c>
    </row>
    <row r="30" spans="1:38" x14ac:dyDescent="0.25">
      <c r="A30" t="s">
        <v>30</v>
      </c>
      <c r="B30" t="s">
        <v>198</v>
      </c>
      <c r="C30" s="252" t="str">
        <f>VLOOKUP(B30,Plantings!$A$2:$C$285,2,FALSE)</f>
        <v>CHC</v>
      </c>
      <c r="D30" s="252" t="str">
        <f>VLOOKUP(B30,Plantings!$A$2:$C$285,3,FALSE)</f>
        <v>single</v>
      </c>
      <c r="E30">
        <v>2015</v>
      </c>
      <c r="G30" t="s">
        <v>412</v>
      </c>
      <c r="H30" t="s">
        <v>29</v>
      </c>
      <c r="I30" t="s">
        <v>405</v>
      </c>
      <c r="J30" t="s">
        <v>5</v>
      </c>
      <c r="K30" t="s">
        <v>165</v>
      </c>
      <c r="L30" t="s">
        <v>230</v>
      </c>
      <c r="O30" t="s">
        <v>49</v>
      </c>
      <c r="P30" t="s">
        <v>62</v>
      </c>
      <c r="Q30" t="s">
        <v>75</v>
      </c>
      <c r="R30" t="s">
        <v>22</v>
      </c>
      <c r="S30" t="s">
        <v>22</v>
      </c>
      <c r="T30" s="27">
        <v>42053</v>
      </c>
      <c r="U30" s="4">
        <v>47.606483333333337</v>
      </c>
      <c r="V30" s="4">
        <v>-122.69918333333334</v>
      </c>
      <c r="W30" s="252" t="str">
        <f>VLOOKUP(B30,Plantings!$A$2:$E$285,4,FALSE)</f>
        <v>point</v>
      </c>
      <c r="X30" s="251" t="str">
        <f>VLOOKUP(B30,Plantings!$A$2:$E$285,5,FALSE)</f>
        <v>retain</v>
      </c>
      <c r="Y30" s="7" t="s">
        <v>148</v>
      </c>
      <c r="Z30" s="20">
        <v>-0.85343999999999987</v>
      </c>
      <c r="AA30" s="5" t="s">
        <v>168</v>
      </c>
      <c r="AB30">
        <v>5</v>
      </c>
      <c r="AC30">
        <v>5</v>
      </c>
      <c r="AD30">
        <f t="shared" si="4"/>
        <v>25</v>
      </c>
      <c r="AE30">
        <v>25</v>
      </c>
      <c r="AF30" s="109">
        <f t="shared" ref="AF30:AF35" si="6">IF(AA30="staple",AG30*0.005,IF(AA30="rebar",AG30*0.025,IF(AA30="burlap",AG30*0.0625,IF(AA30="washer",AG30*0.0025,IF(AA30="pucks",AG30*0.00785,IF(AA30="turf",AG30*0.01,IF(AA30="","")))))))</f>
        <v>0.625</v>
      </c>
      <c r="AG30" s="38">
        <f>AH30/4</f>
        <v>125</v>
      </c>
      <c r="AH30" s="118">
        <v>500</v>
      </c>
      <c r="AI30" s="5">
        <f t="shared" si="2"/>
        <v>20</v>
      </c>
      <c r="AJ30" s="5">
        <f t="shared" si="3"/>
        <v>20</v>
      </c>
      <c r="AK30" t="s">
        <v>567</v>
      </c>
    </row>
    <row r="31" spans="1:38" x14ac:dyDescent="0.25">
      <c r="A31" s="1" t="s">
        <v>391</v>
      </c>
      <c r="B31" s="1" t="s">
        <v>583</v>
      </c>
      <c r="C31" s="252" t="str">
        <f>VLOOKUP(B31,Plantings!$A$2:$C$285,2,FALSE)</f>
        <v>COM_shallow</v>
      </c>
      <c r="D31" s="252" t="str">
        <f>VLOOKUP(B31,Plantings!$A$2:$C$285,3,FALSE)</f>
        <v>single</v>
      </c>
      <c r="E31" s="1">
        <v>2017</v>
      </c>
      <c r="F31" s="1"/>
      <c r="G31" s="1" t="s">
        <v>412</v>
      </c>
      <c r="H31" s="1" t="s">
        <v>391</v>
      </c>
      <c r="I31" s="1" t="s">
        <v>405</v>
      </c>
      <c r="J31" s="131" t="s">
        <v>72</v>
      </c>
      <c r="K31" s="131" t="s">
        <v>58</v>
      </c>
      <c r="L31" s="131" t="s">
        <v>58</v>
      </c>
      <c r="M31" s="131" t="s">
        <v>64</v>
      </c>
      <c r="N31" s="1"/>
      <c r="O31" s="1" t="s">
        <v>49</v>
      </c>
      <c r="P31" s="1" t="s">
        <v>1121</v>
      </c>
      <c r="Q31" s="1"/>
      <c r="R31" s="1" t="s">
        <v>22</v>
      </c>
      <c r="S31" s="1" t="s">
        <v>22</v>
      </c>
      <c r="T31" s="35">
        <v>42978</v>
      </c>
      <c r="U31" s="28">
        <v>47.276260000000001</v>
      </c>
      <c r="V31" s="28">
        <v>-122.4636385</v>
      </c>
      <c r="W31" s="252" t="str">
        <f>VLOOKUP(B31,Plantings!$A$2:$E$285,4,FALSE)</f>
        <v>point</v>
      </c>
      <c r="X31" s="251" t="str">
        <f>VLOOKUP(B31,Plantings!$A$2:$E$285,5,FALSE)</f>
        <v>retain</v>
      </c>
      <c r="Y31" s="37" t="s">
        <v>148</v>
      </c>
      <c r="Z31" s="36">
        <v>-1.524</v>
      </c>
      <c r="AA31" s="1" t="s">
        <v>169</v>
      </c>
      <c r="AB31" s="1">
        <v>2.5</v>
      </c>
      <c r="AC31" s="1">
        <v>2.5</v>
      </c>
      <c r="AD31">
        <f t="shared" si="4"/>
        <v>6.25</v>
      </c>
      <c r="AE31">
        <f>AG31*0.25</f>
        <v>5</v>
      </c>
      <c r="AF31" s="109">
        <f t="shared" si="6"/>
        <v>0.5</v>
      </c>
      <c r="AG31" s="133">
        <v>20</v>
      </c>
      <c r="AH31" s="120">
        <v>500</v>
      </c>
      <c r="AI31" s="5">
        <f t="shared" si="2"/>
        <v>80</v>
      </c>
      <c r="AJ31" s="5">
        <f t="shared" si="3"/>
        <v>100</v>
      </c>
      <c r="AK31" s="1" t="s">
        <v>567</v>
      </c>
      <c r="AL31" s="161"/>
    </row>
    <row r="32" spans="1:38" x14ac:dyDescent="0.25">
      <c r="A32" s="1" t="s">
        <v>391</v>
      </c>
      <c r="B32" s="1" t="s">
        <v>582</v>
      </c>
      <c r="C32" s="252" t="str">
        <f>VLOOKUP(B32,Plantings!$A$2:$C$285,2,FALSE)</f>
        <v>COM_deep</v>
      </c>
      <c r="D32" s="252" t="str">
        <f>VLOOKUP(B32,Plantings!$A$2:$C$285,3,FALSE)</f>
        <v>single</v>
      </c>
      <c r="E32" s="1">
        <v>2017</v>
      </c>
      <c r="F32" s="1"/>
      <c r="G32" s="1" t="s">
        <v>412</v>
      </c>
      <c r="H32" s="1" t="s">
        <v>391</v>
      </c>
      <c r="I32" s="1" t="s">
        <v>405</v>
      </c>
      <c r="J32" s="131" t="s">
        <v>72</v>
      </c>
      <c r="K32" s="131" t="s">
        <v>58</v>
      </c>
      <c r="L32" s="131" t="s">
        <v>58</v>
      </c>
      <c r="M32" s="131" t="s">
        <v>64</v>
      </c>
      <c r="N32" s="1"/>
      <c r="O32" s="1" t="s">
        <v>49</v>
      </c>
      <c r="P32" s="1" t="s">
        <v>1121</v>
      </c>
      <c r="Q32" s="1"/>
      <c r="R32" s="1" t="s">
        <v>22</v>
      </c>
      <c r="S32" s="1" t="s">
        <v>22</v>
      </c>
      <c r="T32" s="35">
        <v>42978</v>
      </c>
      <c r="U32" s="28">
        <v>47.276316666666666</v>
      </c>
      <c r="V32" s="28">
        <v>-122.46373333333334</v>
      </c>
      <c r="W32" s="252" t="str">
        <f>VLOOKUP(B32,Plantings!$A$2:$E$285,4,FALSE)</f>
        <v>point</v>
      </c>
      <c r="X32" s="251" t="str">
        <f>VLOOKUP(B32,Plantings!$A$2:$E$285,5,FALSE)</f>
        <v>retain</v>
      </c>
      <c r="Y32" s="37" t="s">
        <v>148</v>
      </c>
      <c r="Z32" s="36">
        <v>-2.4384000000000001</v>
      </c>
      <c r="AA32" s="1" t="s">
        <v>169</v>
      </c>
      <c r="AB32" s="1">
        <v>2.5</v>
      </c>
      <c r="AC32" s="1">
        <v>2.5</v>
      </c>
      <c r="AD32">
        <f t="shared" si="4"/>
        <v>6.25</v>
      </c>
      <c r="AE32">
        <f>AG32*0.25</f>
        <v>5</v>
      </c>
      <c r="AF32" s="109">
        <f t="shared" si="6"/>
        <v>0.5</v>
      </c>
      <c r="AG32" s="133">
        <v>20</v>
      </c>
      <c r="AH32" s="120">
        <v>500</v>
      </c>
      <c r="AI32" s="5">
        <f t="shared" si="2"/>
        <v>80</v>
      </c>
      <c r="AJ32" s="5">
        <f t="shared" si="3"/>
        <v>100</v>
      </c>
      <c r="AK32" s="1" t="s">
        <v>567</v>
      </c>
      <c r="AL32" s="161"/>
    </row>
    <row r="33" spans="1:38" x14ac:dyDescent="0.25">
      <c r="A33" s="34" t="s">
        <v>391</v>
      </c>
      <c r="B33" s="131" t="s">
        <v>666</v>
      </c>
      <c r="C33" s="252" t="str">
        <f>VLOOKUP(B33,Plantings!$A$2:$C$285,2,FALSE)</f>
        <v>COM_L1</v>
      </c>
      <c r="D33" s="252" t="str">
        <f>VLOOKUP(B33,Plantings!$A$2:$C$285,3,FALSE)</f>
        <v>single</v>
      </c>
      <c r="E33" s="131">
        <v>2018</v>
      </c>
      <c r="F33" s="34"/>
      <c r="G33" s="34" t="s">
        <v>493</v>
      </c>
      <c r="H33" s="34" t="s">
        <v>391</v>
      </c>
      <c r="I33" s="1" t="s">
        <v>405</v>
      </c>
      <c r="J33" s="131" t="s">
        <v>72</v>
      </c>
      <c r="K33" s="131" t="s">
        <v>58</v>
      </c>
      <c r="L33" s="131" t="s">
        <v>58</v>
      </c>
      <c r="M33" s="131" t="s">
        <v>64</v>
      </c>
      <c r="N33" s="61"/>
      <c r="O33" s="34" t="s">
        <v>49</v>
      </c>
      <c r="P33" s="1" t="s">
        <v>1121</v>
      </c>
      <c r="Q33" s="34"/>
      <c r="R33" s="34" t="s">
        <v>13</v>
      </c>
      <c r="S33" s="34" t="s">
        <v>13</v>
      </c>
      <c r="T33" s="134">
        <v>43277</v>
      </c>
      <c r="U33" s="44">
        <v>47.276299999999999</v>
      </c>
      <c r="V33" s="44">
        <v>-122.4636</v>
      </c>
      <c r="W33" s="252" t="str">
        <f>VLOOKUP(B33,Plantings!$A$2:$E$285,4,FALSE)</f>
        <v>line</v>
      </c>
      <c r="X33" s="251" t="str">
        <f>VLOOKUP(B33,Plantings!$A$2:$E$285,5,FALSE)</f>
        <v>retain</v>
      </c>
      <c r="Y33" s="57" t="s">
        <v>148</v>
      </c>
      <c r="Z33" s="57">
        <v>-2.4384000000000001</v>
      </c>
      <c r="AA33" s="34" t="s">
        <v>169</v>
      </c>
      <c r="AB33" s="34">
        <v>19</v>
      </c>
      <c r="AC33" s="34">
        <v>10</v>
      </c>
      <c r="AD33">
        <f t="shared" si="4"/>
        <v>190</v>
      </c>
      <c r="AE33">
        <f>AG33*0.25</f>
        <v>108.25</v>
      </c>
      <c r="AF33" s="109">
        <f t="shared" si="6"/>
        <v>10.825000000000001</v>
      </c>
      <c r="AG33" s="135">
        <v>433</v>
      </c>
      <c r="AH33" s="121">
        <f>AG33*25</f>
        <v>10825</v>
      </c>
      <c r="AI33" s="5">
        <f t="shared" si="2"/>
        <v>56.973684210526315</v>
      </c>
      <c r="AJ33" s="5">
        <f t="shared" si="3"/>
        <v>100</v>
      </c>
      <c r="AK33" s="34" t="s">
        <v>540</v>
      </c>
      <c r="AL33" s="46" t="s">
        <v>665</v>
      </c>
    </row>
    <row r="34" spans="1:38" x14ac:dyDescent="0.25">
      <c r="A34" s="34" t="s">
        <v>391</v>
      </c>
      <c r="B34" s="131" t="s">
        <v>666</v>
      </c>
      <c r="C34" s="252" t="str">
        <f>VLOOKUP(B34,Plantings!$A$2:$C$285,2,FALSE)</f>
        <v>COM_L1</v>
      </c>
      <c r="D34" s="252" t="str">
        <f>VLOOKUP(B34,Plantings!$A$2:$C$285,3,FALSE)</f>
        <v>single</v>
      </c>
      <c r="E34" s="131">
        <v>2018</v>
      </c>
      <c r="F34" s="34"/>
      <c r="G34" s="34" t="s">
        <v>493</v>
      </c>
      <c r="H34" s="34" t="s">
        <v>391</v>
      </c>
      <c r="I34" s="1" t="s">
        <v>405</v>
      </c>
      <c r="J34" s="131" t="s">
        <v>72</v>
      </c>
      <c r="K34" s="131" t="s">
        <v>58</v>
      </c>
      <c r="L34" s="131" t="s">
        <v>58</v>
      </c>
      <c r="M34" s="131" t="s">
        <v>64</v>
      </c>
      <c r="N34" s="61"/>
      <c r="O34" s="34" t="s">
        <v>49</v>
      </c>
      <c r="P34" s="1" t="s">
        <v>1121</v>
      </c>
      <c r="Q34" s="34"/>
      <c r="R34" s="34" t="s">
        <v>13</v>
      </c>
      <c r="S34" s="45" t="s">
        <v>520</v>
      </c>
      <c r="T34" s="134">
        <v>43277</v>
      </c>
      <c r="U34" s="44">
        <v>47.276319999999998</v>
      </c>
      <c r="V34" s="44">
        <v>-122.46381</v>
      </c>
      <c r="W34" s="252" t="str">
        <f>VLOOKUP(B34,Plantings!$A$2:$E$285,4,FALSE)</f>
        <v>line</v>
      </c>
      <c r="X34" s="251" t="str">
        <f>VLOOKUP(B34,Plantings!$A$2:$E$285,5,FALSE)</f>
        <v>retain</v>
      </c>
      <c r="Y34" s="57" t="s">
        <v>148</v>
      </c>
      <c r="Z34" s="57"/>
      <c r="AA34" s="34"/>
      <c r="AB34" s="34"/>
      <c r="AC34" s="34"/>
      <c r="AE34" s="1"/>
      <c r="AF34" s="109" t="str">
        <f t="shared" si="6"/>
        <v/>
      </c>
      <c r="AG34" s="135"/>
      <c r="AH34" s="121"/>
      <c r="AI34" s="5" t="str">
        <f t="shared" si="2"/>
        <v/>
      </c>
      <c r="AJ34" s="5" t="str">
        <f t="shared" si="3"/>
        <v/>
      </c>
      <c r="AK34" s="34"/>
      <c r="AL34" s="46"/>
    </row>
    <row r="35" spans="1:38" x14ac:dyDescent="0.25">
      <c r="A35" t="s">
        <v>391</v>
      </c>
      <c r="B35" t="s">
        <v>1514</v>
      </c>
      <c r="C35" s="252" t="str">
        <f>VLOOKUP(B35,Plantings!$A$2:$C$285,2,FALSE)</f>
        <v>COM_L2</v>
      </c>
      <c r="D35" s="252" t="str">
        <f>VLOOKUP(B35,Plantings!$A$2:$C$285,3,FALSE)</f>
        <v>single</v>
      </c>
      <c r="E35">
        <v>2019</v>
      </c>
      <c r="G35" t="s">
        <v>493</v>
      </c>
      <c r="H35" t="s">
        <v>391</v>
      </c>
      <c r="I35" t="s">
        <v>405</v>
      </c>
      <c r="J35" s="1" t="s">
        <v>72</v>
      </c>
      <c r="K35" s="1" t="s">
        <v>69</v>
      </c>
      <c r="L35" s="1" t="s">
        <v>69</v>
      </c>
      <c r="M35" s="131" t="s">
        <v>1119</v>
      </c>
      <c r="N35" s="1" t="s">
        <v>67</v>
      </c>
      <c r="O35" s="1" t="s">
        <v>49</v>
      </c>
      <c r="P35" s="1" t="s">
        <v>1120</v>
      </c>
      <c r="R35" t="s">
        <v>13</v>
      </c>
      <c r="S35" t="s">
        <v>13</v>
      </c>
      <c r="T35" s="27">
        <v>43625</v>
      </c>
      <c r="U35" s="28">
        <v>47.276290000000003</v>
      </c>
      <c r="V35" s="28">
        <v>-122.46335999999999</v>
      </c>
      <c r="W35" s="252" t="str">
        <f>VLOOKUP(B35,Plantings!$A$2:$E$285,4,FALSE)</f>
        <v>line</v>
      </c>
      <c r="X35" s="251" t="str">
        <f>VLOOKUP(B35,Plantings!$A$2:$E$285,5,FALSE)</f>
        <v>retain</v>
      </c>
      <c r="Y35" s="7" t="s">
        <v>148</v>
      </c>
      <c r="Z35" s="7">
        <v>-2.4</v>
      </c>
      <c r="AA35" s="5" t="s">
        <v>169</v>
      </c>
      <c r="AB35">
        <v>27</v>
      </c>
      <c r="AC35">
        <v>10</v>
      </c>
      <c r="AD35">
        <f>AB35*AC35</f>
        <v>270</v>
      </c>
      <c r="AE35">
        <f>AG35*0.25</f>
        <v>164</v>
      </c>
      <c r="AF35" s="109">
        <f t="shared" si="6"/>
        <v>16.400000000000002</v>
      </c>
      <c r="AG35" s="38">
        <v>656</v>
      </c>
      <c r="AH35" s="38">
        <v>16400</v>
      </c>
      <c r="AI35" s="5">
        <f t="shared" ref="AI35:AI66" si="7">IFERROR(AH35/AD35, "")</f>
        <v>60.74074074074074</v>
      </c>
      <c r="AJ35" s="5">
        <f t="shared" ref="AJ35:AJ66" si="8">IFERROR(AH35/AE35, "")</f>
        <v>100</v>
      </c>
      <c r="AK35" t="s">
        <v>540</v>
      </c>
      <c r="AL35" s="13" t="s">
        <v>1516</v>
      </c>
    </row>
    <row r="36" spans="1:38" x14ac:dyDescent="0.25">
      <c r="A36" t="s">
        <v>391</v>
      </c>
      <c r="B36" t="s">
        <v>1514</v>
      </c>
      <c r="C36" s="252" t="str">
        <f>VLOOKUP(B36,Plantings!$A$2:$C$285,2,FALSE)</f>
        <v>COM_L2</v>
      </c>
      <c r="D36" s="252" t="str">
        <f>VLOOKUP(B36,Plantings!$A$2:$C$285,3,FALSE)</f>
        <v>single</v>
      </c>
      <c r="E36">
        <v>2019</v>
      </c>
      <c r="G36" t="s">
        <v>493</v>
      </c>
      <c r="H36" t="s">
        <v>391</v>
      </c>
      <c r="I36" t="s">
        <v>405</v>
      </c>
      <c r="J36" s="1" t="s">
        <v>72</v>
      </c>
      <c r="K36" s="1" t="s">
        <v>69</v>
      </c>
      <c r="L36" s="1" t="s">
        <v>69</v>
      </c>
      <c r="M36" s="131" t="s">
        <v>1119</v>
      </c>
      <c r="N36" s="1" t="s">
        <v>67</v>
      </c>
      <c r="O36" s="1" t="s">
        <v>49</v>
      </c>
      <c r="P36" s="1" t="s">
        <v>1120</v>
      </c>
      <c r="R36" t="s">
        <v>13</v>
      </c>
      <c r="S36" s="25" t="s">
        <v>520</v>
      </c>
      <c r="T36" s="27">
        <v>43625</v>
      </c>
      <c r="U36" s="28">
        <v>47.276294999999998</v>
      </c>
      <c r="V36" s="28">
        <v>-122.463595</v>
      </c>
      <c r="W36" s="252" t="str">
        <f>VLOOKUP(B36,Plantings!$A$2:$E$285,4,FALSE)</f>
        <v>line</v>
      </c>
      <c r="X36" s="251" t="str">
        <f>VLOOKUP(B36,Plantings!$A$2:$E$285,5,FALSE)</f>
        <v>retain</v>
      </c>
      <c r="Y36" s="7" t="s">
        <v>148</v>
      </c>
      <c r="Z36">
        <v>-2.6</v>
      </c>
      <c r="AA36" s="5"/>
      <c r="AI36" s="5" t="str">
        <f t="shared" si="7"/>
        <v/>
      </c>
      <c r="AJ36" s="5" t="str">
        <f t="shared" si="8"/>
        <v/>
      </c>
    </row>
    <row r="37" spans="1:38" x14ac:dyDescent="0.25">
      <c r="A37" t="s">
        <v>31</v>
      </c>
      <c r="B37" t="s">
        <v>224</v>
      </c>
      <c r="C37" s="252" t="str">
        <f>VLOOKUP(B37,Plantings!$A$2:$C$285,2,FALSE)</f>
        <v>DEL_1</v>
      </c>
      <c r="D37" s="252" t="str">
        <f>VLOOKUP(B37,Plantings!$A$2:$C$285,3,FALSE)</f>
        <v>initial</v>
      </c>
      <c r="E37">
        <v>2015</v>
      </c>
      <c r="F37" t="s">
        <v>459</v>
      </c>
      <c r="G37" t="s">
        <v>412</v>
      </c>
      <c r="H37" t="s">
        <v>68</v>
      </c>
      <c r="I37" t="s">
        <v>405</v>
      </c>
      <c r="J37" t="s">
        <v>5</v>
      </c>
      <c r="K37" t="s">
        <v>165</v>
      </c>
      <c r="L37" t="s">
        <v>230</v>
      </c>
      <c r="O37" t="s">
        <v>49</v>
      </c>
      <c r="P37" t="s">
        <v>62</v>
      </c>
      <c r="Q37" t="s">
        <v>75</v>
      </c>
      <c r="R37" t="s">
        <v>22</v>
      </c>
      <c r="S37" t="s">
        <v>22</v>
      </c>
      <c r="T37" s="27">
        <v>42061</v>
      </c>
      <c r="U37" s="4">
        <v>47.254983333333335</v>
      </c>
      <c r="V37" s="4">
        <v>-122.73711666666667</v>
      </c>
      <c r="W37" s="252" t="str">
        <f>VLOOKUP(B37,Plantings!$A$2:$E$285,4,FALSE)</f>
        <v>point</v>
      </c>
      <c r="X37" s="251" t="str">
        <f>VLOOKUP(B37,Plantings!$A$2:$E$285,5,FALSE)</f>
        <v>retain</v>
      </c>
      <c r="Y37" s="7" t="s">
        <v>148</v>
      </c>
      <c r="Z37" s="20">
        <v>-2.3469600000000002</v>
      </c>
      <c r="AA37" s="5" t="s">
        <v>168</v>
      </c>
      <c r="AB37">
        <v>5</v>
      </c>
      <c r="AC37">
        <v>5</v>
      </c>
      <c r="AD37">
        <f>AB37*AC37</f>
        <v>25</v>
      </c>
      <c r="AE37">
        <v>25</v>
      </c>
      <c r="AF37" s="109">
        <f>IF(AA37="staple",AG37*0.005,IF(AA37="rebar",AG37*0.025,IF(AA37="burlap",AG37*0.0625,IF(AA37="washer",AG37*0.0025,IF(AA37="pucks",AG37*0.00785,IF(AA37="turf",AG37*0.01,IF(AA37="","")))))))</f>
        <v>0.625</v>
      </c>
      <c r="AG37" s="38">
        <f>AH37/4</f>
        <v>125</v>
      </c>
      <c r="AH37" s="118">
        <v>500</v>
      </c>
      <c r="AI37" s="5">
        <f t="shared" si="7"/>
        <v>20</v>
      </c>
      <c r="AJ37" s="5">
        <f t="shared" si="8"/>
        <v>20</v>
      </c>
      <c r="AK37" t="s">
        <v>4</v>
      </c>
      <c r="AL37" s="13" t="s">
        <v>571</v>
      </c>
    </row>
    <row r="38" spans="1:38" x14ac:dyDescent="0.25">
      <c r="A38" t="s">
        <v>31</v>
      </c>
      <c r="B38" t="s">
        <v>1171</v>
      </c>
      <c r="C38" s="252" t="str">
        <f>VLOOKUP(B38,Plantings!$A$2:$C$285,2,FALSE)</f>
        <v>DEL_L1</v>
      </c>
      <c r="D38" s="252" t="str">
        <f>VLOOKUP(B38,Plantings!$A$2:$C$285,3,FALSE)</f>
        <v>single</v>
      </c>
      <c r="E38">
        <v>2016</v>
      </c>
      <c r="F38" t="s">
        <v>459</v>
      </c>
      <c r="G38" t="s">
        <v>493</v>
      </c>
      <c r="H38" t="s">
        <v>68</v>
      </c>
      <c r="I38" t="s">
        <v>405</v>
      </c>
      <c r="J38" t="s">
        <v>59</v>
      </c>
      <c r="K38" t="s">
        <v>176</v>
      </c>
      <c r="L38" t="s">
        <v>11</v>
      </c>
      <c r="M38" t="s">
        <v>179</v>
      </c>
      <c r="N38" t="s">
        <v>140</v>
      </c>
      <c r="O38" t="s">
        <v>52</v>
      </c>
      <c r="P38" t="s">
        <v>60</v>
      </c>
      <c r="Q38" t="s">
        <v>1105</v>
      </c>
      <c r="R38" t="s">
        <v>22</v>
      </c>
      <c r="S38" t="s">
        <v>22</v>
      </c>
      <c r="T38" s="27">
        <v>42481</v>
      </c>
      <c r="U38" s="16">
        <v>47.258040352777776</v>
      </c>
      <c r="V38" s="4">
        <v>-122.73927132222222</v>
      </c>
      <c r="W38" s="252" t="str">
        <f>VLOOKUP(B38,Plantings!$A$2:$E$285,4,FALSE)</f>
        <v>line</v>
      </c>
      <c r="X38" s="251" t="str">
        <f>VLOOKUP(B38,Plantings!$A$2:$E$285,5,FALSE)</f>
        <v>retain</v>
      </c>
      <c r="Y38" s="7" t="s">
        <v>148</v>
      </c>
      <c r="Z38" s="20">
        <v>-2</v>
      </c>
      <c r="AA38" s="5" t="s">
        <v>171</v>
      </c>
      <c r="AB38">
        <v>25</v>
      </c>
      <c r="AC38">
        <v>5</v>
      </c>
      <c r="AD38">
        <f>AB38*AC38</f>
        <v>125</v>
      </c>
      <c r="AE38">
        <v>75</v>
      </c>
      <c r="AF38" s="109">
        <f>IF(AA38="staple",AG38*0.005,IF(AA38="rebar",AG38*0.025,IF(AA38="burlap",AG38*0.0625,IF(AA38="washer",AG38*0.0025,IF(AA38="pucks",AG38*0.00785,IF(AA38="turf",AG38*0.01,IF(AA38="","")))))))</f>
        <v>9.75</v>
      </c>
      <c r="AG38" s="38">
        <v>156</v>
      </c>
      <c r="AH38" s="119">
        <v>780</v>
      </c>
      <c r="AI38" s="5">
        <f t="shared" si="7"/>
        <v>6.24</v>
      </c>
      <c r="AJ38" s="5">
        <f t="shared" si="8"/>
        <v>10.4</v>
      </c>
      <c r="AK38" t="s">
        <v>55</v>
      </c>
      <c r="AL38" s="160" t="s">
        <v>53</v>
      </c>
    </row>
    <row r="39" spans="1:38" x14ac:dyDescent="0.25">
      <c r="A39" t="s">
        <v>31</v>
      </c>
      <c r="B39" t="s">
        <v>1172</v>
      </c>
      <c r="C39" s="252" t="str">
        <f>VLOOKUP(B39,Plantings!$A$2:$C$285,2,FALSE)</f>
        <v>DEL_L1</v>
      </c>
      <c r="D39" s="252" t="str">
        <f>VLOOKUP(B39,Plantings!$A$2:$C$285,3,FALSE)</f>
        <v>single</v>
      </c>
      <c r="E39">
        <v>2016</v>
      </c>
      <c r="F39" t="s">
        <v>459</v>
      </c>
      <c r="G39" t="s">
        <v>493</v>
      </c>
      <c r="H39" t="s">
        <v>68</v>
      </c>
      <c r="I39" t="s">
        <v>405</v>
      </c>
      <c r="J39" t="s">
        <v>59</v>
      </c>
      <c r="K39" t="s">
        <v>176</v>
      </c>
      <c r="L39" t="s">
        <v>11</v>
      </c>
      <c r="M39" t="s">
        <v>179</v>
      </c>
      <c r="N39" t="s">
        <v>140</v>
      </c>
      <c r="O39" t="s">
        <v>52</v>
      </c>
      <c r="P39" t="s">
        <v>60</v>
      </c>
      <c r="Q39" t="s">
        <v>1105</v>
      </c>
      <c r="R39" t="s">
        <v>22</v>
      </c>
      <c r="S39" s="25" t="s">
        <v>520</v>
      </c>
      <c r="T39" s="27">
        <v>42481</v>
      </c>
      <c r="U39" s="16">
        <v>47.258279688888891</v>
      </c>
      <c r="V39" s="4">
        <v>-122.7380948</v>
      </c>
      <c r="W39" s="252" t="str">
        <f>VLOOKUP(B39,Plantings!$A$2:$E$285,4,FALSE)</f>
        <v>line</v>
      </c>
      <c r="X39" s="251" t="str">
        <f>VLOOKUP(B39,Plantings!$A$2:$E$285,5,FALSE)</f>
        <v>retain</v>
      </c>
      <c r="Y39" s="7" t="s">
        <v>148</v>
      </c>
      <c r="Z39" s="20">
        <v>-2</v>
      </c>
      <c r="AA39" s="5" t="s">
        <v>171</v>
      </c>
      <c r="AF39" s="109"/>
      <c r="AG39" s="38"/>
      <c r="AH39" s="38"/>
      <c r="AI39" s="5" t="str">
        <f t="shared" si="7"/>
        <v/>
      </c>
      <c r="AJ39" s="5" t="str">
        <f t="shared" si="8"/>
        <v/>
      </c>
      <c r="AL39" s="160"/>
    </row>
    <row r="40" spans="1:38" x14ac:dyDescent="0.25">
      <c r="A40" t="s">
        <v>31</v>
      </c>
      <c r="B40" t="s">
        <v>214</v>
      </c>
      <c r="C40" s="252" t="str">
        <f>VLOOKUP(B40,Plantings!$A$2:$C$285,2,FALSE)</f>
        <v>DEL_P1</v>
      </c>
      <c r="D40" s="252" t="str">
        <f>VLOOKUP(B40,Plantings!$A$2:$C$285,3,FALSE)</f>
        <v>single</v>
      </c>
      <c r="E40">
        <v>2016</v>
      </c>
      <c r="F40" t="s">
        <v>459</v>
      </c>
      <c r="G40" t="s">
        <v>413</v>
      </c>
      <c r="H40" t="s">
        <v>68</v>
      </c>
      <c r="I40" t="s">
        <v>405</v>
      </c>
      <c r="J40" t="s">
        <v>59</v>
      </c>
      <c r="K40" t="s">
        <v>176</v>
      </c>
      <c r="L40" t="s">
        <v>11</v>
      </c>
      <c r="M40" t="s">
        <v>179</v>
      </c>
      <c r="N40" t="s">
        <v>140</v>
      </c>
      <c r="O40" t="s">
        <v>52</v>
      </c>
      <c r="P40" t="s">
        <v>60</v>
      </c>
      <c r="Q40" t="s">
        <v>1105</v>
      </c>
      <c r="R40" t="s">
        <v>13</v>
      </c>
      <c r="S40" t="s">
        <v>13</v>
      </c>
      <c r="T40" s="27">
        <v>42535</v>
      </c>
      <c r="U40" s="4">
        <v>47.257533000000002</v>
      </c>
      <c r="V40" s="4">
        <v>-122.73820383333333</v>
      </c>
      <c r="W40" s="252" t="str">
        <f>VLOOKUP(B40,Plantings!$A$2:$E$285,4,FALSE)</f>
        <v>polygon</v>
      </c>
      <c r="X40" s="251" t="str">
        <f>VLOOKUP(B40,Plantings!$A$2:$E$285,5,FALSE)</f>
        <v>retain</v>
      </c>
      <c r="Y40" s="7" t="s">
        <v>148</v>
      </c>
      <c r="Z40" s="20">
        <v>-2</v>
      </c>
      <c r="AA40" s="6" t="s">
        <v>171</v>
      </c>
      <c r="AB40">
        <v>35</v>
      </c>
      <c r="AC40">
        <v>6</v>
      </c>
      <c r="AD40">
        <f>AB40*AC40</f>
        <v>210</v>
      </c>
      <c r="AE40">
        <v>50.4</v>
      </c>
      <c r="AF40" s="109">
        <f t="shared" ref="AF40:AF58" si="9">IF(AA40="staple",AG40*0.005,IF(AA40="rebar",AG40*0.025,IF(AA40="burlap",AG40*0.0625,IF(AA40="washer",AG40*0.0025,IF(AA40="pucks",AG40*0.00785,IF(AA40="turf",AG40*0.01,IF(AA40="","")))))))</f>
        <v>78.75</v>
      </c>
      <c r="AG40" s="38">
        <v>1260</v>
      </c>
      <c r="AH40" s="118">
        <v>20850</v>
      </c>
      <c r="AI40" s="5">
        <f t="shared" si="7"/>
        <v>99.285714285714292</v>
      </c>
      <c r="AJ40" s="5">
        <f t="shared" si="8"/>
        <v>413.6904761904762</v>
      </c>
      <c r="AK40" t="s">
        <v>55</v>
      </c>
      <c r="AL40" s="160"/>
    </row>
    <row r="41" spans="1:38" x14ac:dyDescent="0.25">
      <c r="A41" t="s">
        <v>31</v>
      </c>
      <c r="B41" t="s">
        <v>215</v>
      </c>
      <c r="C41" s="252" t="str">
        <f>VLOOKUP(B41,Plantings!$A$2:$C$285,2,FALSE)</f>
        <v>DEL_P1</v>
      </c>
      <c r="D41" s="252" t="str">
        <f>VLOOKUP(B41,Plantings!$A$2:$C$285,3,FALSE)</f>
        <v>single</v>
      </c>
      <c r="E41">
        <v>2016</v>
      </c>
      <c r="F41" t="s">
        <v>459</v>
      </c>
      <c r="G41" t="s">
        <v>413</v>
      </c>
      <c r="H41" t="s">
        <v>68</v>
      </c>
      <c r="I41" t="s">
        <v>405</v>
      </c>
      <c r="J41" t="s">
        <v>59</v>
      </c>
      <c r="K41" t="s">
        <v>176</v>
      </c>
      <c r="L41" t="s">
        <v>11</v>
      </c>
      <c r="M41" t="s">
        <v>179</v>
      </c>
      <c r="N41" t="s">
        <v>140</v>
      </c>
      <c r="O41" t="s">
        <v>52</v>
      </c>
      <c r="P41" t="s">
        <v>60</v>
      </c>
      <c r="Q41" t="s">
        <v>1105</v>
      </c>
      <c r="R41" t="s">
        <v>13</v>
      </c>
      <c r="S41" s="25" t="s">
        <v>520</v>
      </c>
      <c r="T41" s="27">
        <v>42535</v>
      </c>
      <c r="U41" s="4">
        <v>47.257536833333333</v>
      </c>
      <c r="V41" s="4">
        <v>-122.73813800000001</v>
      </c>
      <c r="W41" s="252" t="str">
        <f>VLOOKUP(B41,Plantings!$A$2:$E$285,4,FALSE)</f>
        <v>polygon</v>
      </c>
      <c r="X41" s="251" t="str">
        <f>VLOOKUP(B41,Plantings!$A$2:$E$285,5,FALSE)</f>
        <v>retain</v>
      </c>
      <c r="Y41" s="7" t="s">
        <v>148</v>
      </c>
      <c r="Z41" s="20"/>
      <c r="AA41" s="5"/>
      <c r="AF41" s="109" t="str">
        <f t="shared" si="9"/>
        <v/>
      </c>
      <c r="AG41" s="38"/>
      <c r="AH41" s="38"/>
      <c r="AI41" s="5" t="str">
        <f t="shared" si="7"/>
        <v/>
      </c>
      <c r="AJ41" s="5" t="str">
        <f t="shared" si="8"/>
        <v/>
      </c>
      <c r="AL41" s="160"/>
    </row>
    <row r="42" spans="1:38" x14ac:dyDescent="0.25">
      <c r="A42" t="s">
        <v>31</v>
      </c>
      <c r="B42" t="s">
        <v>216</v>
      </c>
      <c r="C42" s="252" t="str">
        <f>VLOOKUP(B42,Plantings!$A$2:$C$285,2,FALSE)</f>
        <v>DEL_P1</v>
      </c>
      <c r="D42" s="252" t="str">
        <f>VLOOKUP(B42,Plantings!$A$2:$C$285,3,FALSE)</f>
        <v>single</v>
      </c>
      <c r="E42">
        <v>2016</v>
      </c>
      <c r="F42" t="s">
        <v>459</v>
      </c>
      <c r="G42" t="s">
        <v>413</v>
      </c>
      <c r="H42" t="s">
        <v>68</v>
      </c>
      <c r="I42" t="s">
        <v>405</v>
      </c>
      <c r="J42" t="s">
        <v>59</v>
      </c>
      <c r="K42" t="s">
        <v>176</v>
      </c>
      <c r="L42" t="s">
        <v>11</v>
      </c>
      <c r="M42" t="s">
        <v>179</v>
      </c>
      <c r="N42" t="s">
        <v>140</v>
      </c>
      <c r="O42" t="s">
        <v>52</v>
      </c>
      <c r="P42" t="s">
        <v>60</v>
      </c>
      <c r="Q42" t="s">
        <v>1105</v>
      </c>
      <c r="R42" t="s">
        <v>13</v>
      </c>
      <c r="S42" s="25" t="s">
        <v>520</v>
      </c>
      <c r="T42" s="27">
        <v>42535</v>
      </c>
      <c r="U42" s="4">
        <v>47.25784183333333</v>
      </c>
      <c r="V42" s="4">
        <v>-122.73817200000001</v>
      </c>
      <c r="W42" s="252" t="str">
        <f>VLOOKUP(B42,Plantings!$A$2:$E$285,4,FALSE)</f>
        <v>polygon</v>
      </c>
      <c r="X42" s="251" t="str">
        <f>VLOOKUP(B42,Plantings!$A$2:$E$285,5,FALSE)</f>
        <v>retain</v>
      </c>
      <c r="Y42" s="7" t="s">
        <v>148</v>
      </c>
      <c r="Z42" s="20"/>
      <c r="AA42" s="5"/>
      <c r="AF42" s="109" t="str">
        <f t="shared" si="9"/>
        <v/>
      </c>
      <c r="AG42" s="38"/>
      <c r="AH42" s="38"/>
      <c r="AI42" s="5" t="str">
        <f t="shared" si="7"/>
        <v/>
      </c>
      <c r="AJ42" s="5" t="str">
        <f t="shared" si="8"/>
        <v/>
      </c>
      <c r="AL42" s="160"/>
    </row>
    <row r="43" spans="1:38" x14ac:dyDescent="0.25">
      <c r="A43" t="s">
        <v>31</v>
      </c>
      <c r="B43" t="s">
        <v>400</v>
      </c>
      <c r="C43" s="252" t="str">
        <f>VLOOKUP(B43,Plantings!$A$2:$C$285,2,FALSE)</f>
        <v>DEL_P1</v>
      </c>
      <c r="D43" s="252" t="str">
        <f>VLOOKUP(B43,Plantings!$A$2:$C$285,3,FALSE)</f>
        <v>single</v>
      </c>
      <c r="E43">
        <v>2016</v>
      </c>
      <c r="F43" t="s">
        <v>459</v>
      </c>
      <c r="G43" t="s">
        <v>413</v>
      </c>
      <c r="H43" t="s">
        <v>68</v>
      </c>
      <c r="I43" t="s">
        <v>405</v>
      </c>
      <c r="J43" t="s">
        <v>59</v>
      </c>
      <c r="K43" t="s">
        <v>176</v>
      </c>
      <c r="L43" t="s">
        <v>11</v>
      </c>
      <c r="M43" t="s">
        <v>179</v>
      </c>
      <c r="N43" t="s">
        <v>140</v>
      </c>
      <c r="O43" t="s">
        <v>52</v>
      </c>
      <c r="P43" t="s">
        <v>60</v>
      </c>
      <c r="Q43" t="s">
        <v>1105</v>
      </c>
      <c r="R43" t="s">
        <v>13</v>
      </c>
      <c r="S43" s="25" t="s">
        <v>520</v>
      </c>
      <c r="T43" s="27">
        <v>42535</v>
      </c>
      <c r="U43" s="4">
        <v>47.257838833333331</v>
      </c>
      <c r="V43" s="4">
        <v>-122.73823783333333</v>
      </c>
      <c r="W43" s="252" t="str">
        <f>VLOOKUP(B43,Plantings!$A$2:$E$285,4,FALSE)</f>
        <v>polygon</v>
      </c>
      <c r="X43" s="251" t="str">
        <f>VLOOKUP(B43,Plantings!$A$2:$E$285,5,FALSE)</f>
        <v>retain</v>
      </c>
      <c r="Y43" s="7" t="s">
        <v>148</v>
      </c>
      <c r="Z43" s="20"/>
      <c r="AA43" s="5"/>
      <c r="AF43" s="109" t="str">
        <f t="shared" si="9"/>
        <v/>
      </c>
      <c r="AG43" s="38"/>
      <c r="AH43" s="38"/>
      <c r="AI43" s="5" t="str">
        <f t="shared" si="7"/>
        <v/>
      </c>
      <c r="AJ43" s="5" t="str">
        <f t="shared" si="8"/>
        <v/>
      </c>
      <c r="AL43" s="160"/>
    </row>
    <row r="44" spans="1:38" x14ac:dyDescent="0.25">
      <c r="A44" t="s">
        <v>31</v>
      </c>
      <c r="B44" s="1" t="s">
        <v>160</v>
      </c>
      <c r="C44" s="252" t="str">
        <f>VLOOKUP(B44,Plantings!$A$2:$C$285,2,FALSE)</f>
        <v>DEL_3</v>
      </c>
      <c r="D44" s="252" t="str">
        <f>VLOOKUP(B44,Plantings!$A$2:$C$285,3,FALSE)</f>
        <v>initial</v>
      </c>
      <c r="E44" s="1">
        <v>2017</v>
      </c>
      <c r="F44" t="s">
        <v>459</v>
      </c>
      <c r="G44" s="1" t="s">
        <v>412</v>
      </c>
      <c r="H44" s="1" t="s">
        <v>68</v>
      </c>
      <c r="I44" t="s">
        <v>405</v>
      </c>
      <c r="J44" t="s">
        <v>59</v>
      </c>
      <c r="K44" t="s">
        <v>176</v>
      </c>
      <c r="L44" t="s">
        <v>11</v>
      </c>
      <c r="M44" t="s">
        <v>179</v>
      </c>
      <c r="N44" t="s">
        <v>77</v>
      </c>
      <c r="O44" t="s">
        <v>52</v>
      </c>
      <c r="P44" t="s">
        <v>60</v>
      </c>
      <c r="Q44" t="s">
        <v>1105</v>
      </c>
      <c r="R44" s="1" t="s">
        <v>22</v>
      </c>
      <c r="S44" s="1" t="s">
        <v>22</v>
      </c>
      <c r="T44" s="27">
        <v>42933</v>
      </c>
      <c r="U44" s="30">
        <v>47.249850000000002</v>
      </c>
      <c r="V44" s="30">
        <v>-122.72317</v>
      </c>
      <c r="W44" s="252" t="str">
        <f>VLOOKUP(B44,Plantings!$A$2:$E$285,4,FALSE)</f>
        <v>point</v>
      </c>
      <c r="X44" s="251" t="str">
        <f>VLOOKUP(B44,Plantings!$A$2:$E$285,5,FALSE)</f>
        <v>retain</v>
      </c>
      <c r="Y44" s="7" t="s">
        <v>148</v>
      </c>
      <c r="Z44" s="36">
        <v>-1.6</v>
      </c>
      <c r="AA44" t="s">
        <v>1104</v>
      </c>
      <c r="AB44" s="1">
        <v>10</v>
      </c>
      <c r="AC44" s="1">
        <v>1</v>
      </c>
      <c r="AD44">
        <f t="shared" ref="AD44:AD66" si="10">AB44*AC44</f>
        <v>10</v>
      </c>
      <c r="AE44" s="1">
        <v>6</v>
      </c>
      <c r="AF44" s="109">
        <f t="shared" si="9"/>
        <v>1.67</v>
      </c>
      <c r="AG44" s="133">
        <v>167</v>
      </c>
      <c r="AH44" s="119">
        <v>1172</v>
      </c>
      <c r="AI44" s="5">
        <f t="shared" si="7"/>
        <v>117.2</v>
      </c>
      <c r="AJ44" s="5">
        <f t="shared" si="8"/>
        <v>195.33333333333334</v>
      </c>
      <c r="AK44" t="s">
        <v>55</v>
      </c>
      <c r="AL44" s="160" t="s">
        <v>1178</v>
      </c>
    </row>
    <row r="45" spans="1:38" x14ac:dyDescent="0.25">
      <c r="A45" t="s">
        <v>31</v>
      </c>
      <c r="B45" s="1" t="s">
        <v>161</v>
      </c>
      <c r="C45" s="252" t="str">
        <f>VLOOKUP(B45,Plantings!$A$2:$C$285,2,FALSE)</f>
        <v>DEL_2</v>
      </c>
      <c r="D45" s="252" t="str">
        <f>VLOOKUP(B45,Plantings!$A$2:$C$285,3,FALSE)</f>
        <v>single</v>
      </c>
      <c r="E45" s="1">
        <v>2017</v>
      </c>
      <c r="F45" t="s">
        <v>459</v>
      </c>
      <c r="G45" s="1" t="s">
        <v>412</v>
      </c>
      <c r="H45" s="1" t="s">
        <v>68</v>
      </c>
      <c r="I45" t="s">
        <v>405</v>
      </c>
      <c r="J45" t="s">
        <v>59</v>
      </c>
      <c r="K45" t="s">
        <v>176</v>
      </c>
      <c r="L45" t="s">
        <v>11</v>
      </c>
      <c r="M45" t="s">
        <v>179</v>
      </c>
      <c r="N45" t="s">
        <v>77</v>
      </c>
      <c r="O45" t="s">
        <v>52</v>
      </c>
      <c r="P45" t="s">
        <v>60</v>
      </c>
      <c r="Q45" t="s">
        <v>1105</v>
      </c>
      <c r="R45" s="1" t="s">
        <v>22</v>
      </c>
      <c r="S45" s="1" t="s">
        <v>22</v>
      </c>
      <c r="T45" s="27">
        <v>42933</v>
      </c>
      <c r="U45" s="30">
        <v>47.249630000000003</v>
      </c>
      <c r="V45" s="30">
        <v>-122.72338000000001</v>
      </c>
      <c r="W45" s="252" t="str">
        <f>VLOOKUP(B45,Plantings!$A$2:$E$285,4,FALSE)</f>
        <v>point</v>
      </c>
      <c r="X45" s="251" t="str">
        <f>VLOOKUP(B45,Plantings!$A$2:$E$285,5,FALSE)</f>
        <v>retain</v>
      </c>
      <c r="Y45" s="7" t="s">
        <v>148</v>
      </c>
      <c r="Z45" s="36">
        <v>-1.6</v>
      </c>
      <c r="AA45" t="s">
        <v>1104</v>
      </c>
      <c r="AB45" s="1">
        <v>10</v>
      </c>
      <c r="AC45" s="1">
        <v>1</v>
      </c>
      <c r="AD45">
        <f t="shared" si="10"/>
        <v>10</v>
      </c>
      <c r="AE45" s="1">
        <v>6</v>
      </c>
      <c r="AF45" s="109">
        <f t="shared" si="9"/>
        <v>1.45</v>
      </c>
      <c r="AG45" s="133">
        <v>145</v>
      </c>
      <c r="AH45" s="119">
        <v>1015</v>
      </c>
      <c r="AI45" s="5">
        <f t="shared" si="7"/>
        <v>101.5</v>
      </c>
      <c r="AJ45" s="5">
        <f t="shared" si="8"/>
        <v>169.16666666666666</v>
      </c>
      <c r="AK45" t="s">
        <v>55</v>
      </c>
      <c r="AL45" s="160" t="s">
        <v>1179</v>
      </c>
    </row>
    <row r="46" spans="1:38" x14ac:dyDescent="0.25">
      <c r="A46" t="s">
        <v>31</v>
      </c>
      <c r="B46" t="s">
        <v>967</v>
      </c>
      <c r="C46" s="252" t="str">
        <f>VLOOKUP(B46,Plantings!$A$2:$C$285,2,FALSE)</f>
        <v>DEL_1</v>
      </c>
      <c r="D46" s="252" t="str">
        <f>VLOOKUP(B46,Plantings!$A$2:$C$285,3,FALSE)</f>
        <v>repeat</v>
      </c>
      <c r="E46" s="131">
        <v>2018</v>
      </c>
      <c r="F46" t="s">
        <v>459</v>
      </c>
      <c r="G46" s="1" t="s">
        <v>412</v>
      </c>
      <c r="H46" s="34" t="s">
        <v>68</v>
      </c>
      <c r="I46" s="34" t="s">
        <v>405</v>
      </c>
      <c r="J46" s="1" t="s">
        <v>165</v>
      </c>
      <c r="K46" s="1" t="s">
        <v>165</v>
      </c>
      <c r="L46" s="1" t="s">
        <v>229</v>
      </c>
      <c r="R46" s="1" t="s">
        <v>22</v>
      </c>
      <c r="S46" t="s">
        <v>22</v>
      </c>
      <c r="T46" s="134">
        <v>43279</v>
      </c>
      <c r="U46" s="4">
        <v>47.254983333333335</v>
      </c>
      <c r="V46" s="4">
        <v>-122.73711666666667</v>
      </c>
      <c r="W46" s="252" t="str">
        <f>VLOOKUP(B46,Plantings!$A$2:$E$285,4,FALSE)</f>
        <v>point</v>
      </c>
      <c r="X46" s="251" t="str">
        <f>VLOOKUP(B46,Plantings!$A$2:$E$285,5,FALSE)</f>
        <v>retain</v>
      </c>
      <c r="Y46" s="7" t="s">
        <v>148</v>
      </c>
      <c r="Z46" s="20">
        <v>-2.3469600000000002</v>
      </c>
      <c r="AA46" t="s">
        <v>169</v>
      </c>
      <c r="AB46">
        <v>5</v>
      </c>
      <c r="AC46">
        <v>0.5</v>
      </c>
      <c r="AD46">
        <f t="shared" si="10"/>
        <v>2.5</v>
      </c>
      <c r="AE46">
        <f t="shared" ref="AE46:AE52" si="11">AG46*0.25</f>
        <v>2.75</v>
      </c>
      <c r="AF46" s="109">
        <f t="shared" si="9"/>
        <v>0.27500000000000002</v>
      </c>
      <c r="AG46" s="38">
        <v>11</v>
      </c>
      <c r="AH46" s="121">
        <f>AG46*25</f>
        <v>275</v>
      </c>
      <c r="AI46" s="5">
        <f t="shared" si="7"/>
        <v>110</v>
      </c>
      <c r="AJ46" s="5">
        <f t="shared" si="8"/>
        <v>100</v>
      </c>
      <c r="AK46" t="s">
        <v>119</v>
      </c>
      <c r="AL46" s="13" t="s">
        <v>969</v>
      </c>
    </row>
    <row r="47" spans="1:38" x14ac:dyDescent="0.25">
      <c r="A47" t="s">
        <v>31</v>
      </c>
      <c r="B47" s="1" t="s">
        <v>1188</v>
      </c>
      <c r="C47" s="252" t="str">
        <f>VLOOKUP(B47,Plantings!$A$2:$C$285,2,FALSE)</f>
        <v>DEL_3</v>
      </c>
      <c r="D47" s="252" t="str">
        <f>VLOOKUP(B47,Plantings!$A$2:$C$285,3,FALSE)</f>
        <v>repeat</v>
      </c>
      <c r="E47" s="131">
        <v>2018</v>
      </c>
      <c r="F47" t="s">
        <v>459</v>
      </c>
      <c r="G47" s="1" t="s">
        <v>412</v>
      </c>
      <c r="H47" s="34" t="s">
        <v>68</v>
      </c>
      <c r="I47" s="34" t="s">
        <v>405</v>
      </c>
      <c r="J47" s="1" t="s">
        <v>165</v>
      </c>
      <c r="K47" s="1" t="s">
        <v>165</v>
      </c>
      <c r="L47" s="1" t="s">
        <v>229</v>
      </c>
      <c r="R47" s="1" t="s">
        <v>22</v>
      </c>
      <c r="S47" t="s">
        <v>22</v>
      </c>
      <c r="T47" s="134">
        <v>43279</v>
      </c>
      <c r="U47" s="30">
        <v>47.249850000000002</v>
      </c>
      <c r="V47" s="30">
        <v>-122.72317</v>
      </c>
      <c r="W47" s="252" t="str">
        <f>VLOOKUP(B47,Plantings!$A$2:$E$285,4,FALSE)</f>
        <v>point</v>
      </c>
      <c r="X47" s="251" t="str">
        <f>VLOOKUP(B47,Plantings!$A$2:$E$285,5,FALSE)</f>
        <v>retain</v>
      </c>
      <c r="Y47" s="7" t="s">
        <v>148</v>
      </c>
      <c r="Z47" s="20">
        <v>-1.6</v>
      </c>
      <c r="AA47" t="s">
        <v>169</v>
      </c>
      <c r="AB47">
        <v>5</v>
      </c>
      <c r="AC47">
        <v>0.5</v>
      </c>
      <c r="AD47">
        <f t="shared" si="10"/>
        <v>2.5</v>
      </c>
      <c r="AE47">
        <f t="shared" si="11"/>
        <v>2.25</v>
      </c>
      <c r="AF47" s="109">
        <f t="shared" si="9"/>
        <v>0.22500000000000001</v>
      </c>
      <c r="AG47" s="38">
        <v>9</v>
      </c>
      <c r="AH47" s="121">
        <f>AG47*25</f>
        <v>225</v>
      </c>
      <c r="AI47" s="5">
        <f t="shared" si="7"/>
        <v>90</v>
      </c>
      <c r="AJ47" s="5">
        <f t="shared" si="8"/>
        <v>100</v>
      </c>
      <c r="AK47" t="s">
        <v>119</v>
      </c>
      <c r="AL47" s="13" t="s">
        <v>968</v>
      </c>
    </row>
    <row r="48" spans="1:38" x14ac:dyDescent="0.25">
      <c r="A48" t="s">
        <v>31</v>
      </c>
      <c r="B48" t="s">
        <v>2017</v>
      </c>
      <c r="C48" s="252" t="str">
        <f>VLOOKUP(B48,Plantings!$A$2:$C$285,2,FALSE)</f>
        <v>DEL_east_1</v>
      </c>
      <c r="D48" s="252" t="str">
        <f>VLOOKUP(B48,Plantings!$A$2:$C$285,3,FALSE)</f>
        <v>single</v>
      </c>
      <c r="E48" s="131">
        <v>2020</v>
      </c>
      <c r="F48" t="s">
        <v>459</v>
      </c>
      <c r="G48" t="s">
        <v>412</v>
      </c>
      <c r="H48" s="34" t="s">
        <v>68</v>
      </c>
      <c r="I48" s="34" t="s">
        <v>405</v>
      </c>
      <c r="J48" s="1" t="s">
        <v>72</v>
      </c>
      <c r="K48" s="1" t="s">
        <v>69</v>
      </c>
      <c r="L48" s="1" t="s">
        <v>69</v>
      </c>
      <c r="M48" s="131" t="s">
        <v>1119</v>
      </c>
      <c r="N48" s="1" t="s">
        <v>67</v>
      </c>
      <c r="O48" s="1" t="s">
        <v>49</v>
      </c>
      <c r="R48" s="1" t="s">
        <v>22</v>
      </c>
      <c r="S48" s="1" t="s">
        <v>22</v>
      </c>
      <c r="T48" s="134">
        <v>44013</v>
      </c>
      <c r="U48" s="4">
        <v>47.249993000000003</v>
      </c>
      <c r="V48" s="4">
        <v>-122.7228933</v>
      </c>
      <c r="W48" s="252" t="str">
        <f>VLOOKUP(B48,Plantings!$A$2:$E$285,4,FALSE)</f>
        <v>point</v>
      </c>
      <c r="X48" s="251" t="str">
        <f>VLOOKUP(B48,Plantings!$A$2:$E$285,5,FALSE)</f>
        <v>retain</v>
      </c>
      <c r="Y48" s="37" t="s">
        <v>148</v>
      </c>
      <c r="Z48" s="20">
        <v>-1.2</v>
      </c>
      <c r="AA48" s="5" t="s">
        <v>169</v>
      </c>
      <c r="AB48">
        <v>2.5</v>
      </c>
      <c r="AC48">
        <v>2.5</v>
      </c>
      <c r="AD48">
        <f t="shared" si="10"/>
        <v>6.25</v>
      </c>
      <c r="AE48">
        <f t="shared" si="11"/>
        <v>6.25</v>
      </c>
      <c r="AF48" s="109">
        <f t="shared" si="9"/>
        <v>0.625</v>
      </c>
      <c r="AG48">
        <v>25</v>
      </c>
      <c r="AH48">
        <v>625</v>
      </c>
      <c r="AI48" s="5">
        <f t="shared" si="7"/>
        <v>100</v>
      </c>
      <c r="AJ48" s="5">
        <f t="shared" si="8"/>
        <v>100</v>
      </c>
      <c r="AK48" t="s">
        <v>9</v>
      </c>
      <c r="AL48" s="13" t="s">
        <v>1991</v>
      </c>
    </row>
    <row r="49" spans="1:38" x14ac:dyDescent="0.25">
      <c r="A49" t="s">
        <v>31</v>
      </c>
      <c r="B49" t="s">
        <v>2018</v>
      </c>
      <c r="C49" s="252" t="str">
        <f>VLOOKUP(B49,Plantings!$A$2:$C$285,2,FALSE)</f>
        <v>DEL_west_1</v>
      </c>
      <c r="D49" s="252" t="str">
        <f>VLOOKUP(B49,Plantings!$A$2:$C$285,3,FALSE)</f>
        <v>single</v>
      </c>
      <c r="E49" s="131">
        <v>2020</v>
      </c>
      <c r="F49" t="s">
        <v>459</v>
      </c>
      <c r="G49" t="s">
        <v>412</v>
      </c>
      <c r="H49" s="34" t="s">
        <v>68</v>
      </c>
      <c r="I49" s="34" t="s">
        <v>405</v>
      </c>
      <c r="J49" s="1" t="s">
        <v>72</v>
      </c>
      <c r="K49" s="1" t="s">
        <v>69</v>
      </c>
      <c r="L49" s="1" t="s">
        <v>69</v>
      </c>
      <c r="M49" s="131" t="s">
        <v>1119</v>
      </c>
      <c r="N49" s="1" t="s">
        <v>67</v>
      </c>
      <c r="O49" s="1" t="s">
        <v>49</v>
      </c>
      <c r="R49" s="1" t="s">
        <v>22</v>
      </c>
      <c r="S49" s="1" t="s">
        <v>22</v>
      </c>
      <c r="T49" s="134">
        <v>44013</v>
      </c>
      <c r="U49" s="157">
        <v>47.252598300000002</v>
      </c>
      <c r="V49" s="157">
        <v>-122.73546829999999</v>
      </c>
      <c r="W49" s="252" t="str">
        <f>VLOOKUP(B49,Plantings!$A$2:$E$285,4,FALSE)</f>
        <v>point</v>
      </c>
      <c r="X49" s="251" t="str">
        <f>VLOOKUP(B49,Plantings!$A$2:$E$285,5,FALSE)</f>
        <v>retain</v>
      </c>
      <c r="Y49" s="37" t="s">
        <v>148</v>
      </c>
      <c r="Z49" s="20">
        <v>-1.6</v>
      </c>
      <c r="AA49" s="5" t="s">
        <v>169</v>
      </c>
      <c r="AB49">
        <v>3</v>
      </c>
      <c r="AC49">
        <v>2.5</v>
      </c>
      <c r="AD49">
        <f t="shared" si="10"/>
        <v>7.5</v>
      </c>
      <c r="AE49">
        <f t="shared" si="11"/>
        <v>6.75</v>
      </c>
      <c r="AF49" s="109">
        <f t="shared" si="9"/>
        <v>0.67500000000000004</v>
      </c>
      <c r="AG49">
        <v>27</v>
      </c>
      <c r="AH49" s="156">
        <v>692</v>
      </c>
      <c r="AI49" s="5">
        <f t="shared" si="7"/>
        <v>92.266666666666666</v>
      </c>
      <c r="AJ49" s="5">
        <f t="shared" si="8"/>
        <v>102.51851851851852</v>
      </c>
      <c r="AK49" t="s">
        <v>9</v>
      </c>
      <c r="AL49" s="162" t="s">
        <v>1992</v>
      </c>
    </row>
    <row r="50" spans="1:38" x14ac:dyDescent="0.25">
      <c r="A50" s="1" t="s">
        <v>31</v>
      </c>
      <c r="B50" s="1" t="s">
        <v>2060</v>
      </c>
      <c r="C50" s="252" t="str">
        <f>VLOOKUP(B50,Plantings!$A$2:$C$285,2,FALSE)</f>
        <v>DEL_L</v>
      </c>
      <c r="D50" s="252" t="str">
        <f>VLOOKUP(B50,Plantings!$A$2:$C$285,3,FALSE)</f>
        <v>single</v>
      </c>
      <c r="E50" s="131">
        <v>2021</v>
      </c>
      <c r="F50" t="s">
        <v>459</v>
      </c>
      <c r="G50" t="s">
        <v>412</v>
      </c>
      <c r="H50" s="34" t="s">
        <v>68</v>
      </c>
      <c r="I50" s="34" t="s">
        <v>405</v>
      </c>
      <c r="J50" s="1" t="s">
        <v>72</v>
      </c>
      <c r="K50" s="1" t="s">
        <v>69</v>
      </c>
      <c r="L50" s="1" t="s">
        <v>69</v>
      </c>
      <c r="M50" s="131" t="s">
        <v>1119</v>
      </c>
      <c r="N50" s="1" t="s">
        <v>67</v>
      </c>
      <c r="O50" s="1" t="s">
        <v>49</v>
      </c>
      <c r="R50" s="1" t="s">
        <v>13</v>
      </c>
      <c r="S50" s="1" t="s">
        <v>13</v>
      </c>
      <c r="T50" s="134">
        <v>44350</v>
      </c>
      <c r="U50" s="157">
        <v>47.252598300000002</v>
      </c>
      <c r="V50" s="157">
        <v>-122.73546829999999</v>
      </c>
      <c r="W50" s="252" t="str">
        <f>VLOOKUP(B50,Plantings!$A$2:$E$285,4,FALSE)</f>
        <v>point</v>
      </c>
      <c r="X50" s="251" t="str">
        <f>VLOOKUP(B50,Plantings!$A$2:$E$285,5,FALSE)</f>
        <v>retain</v>
      </c>
      <c r="Y50" s="37" t="s">
        <v>148</v>
      </c>
      <c r="Z50" s="20">
        <v>-1.3</v>
      </c>
      <c r="AA50" s="5" t="s">
        <v>169</v>
      </c>
      <c r="AB50">
        <v>50</v>
      </c>
      <c r="AC50">
        <v>5</v>
      </c>
      <c r="AD50">
        <f t="shared" si="10"/>
        <v>250</v>
      </c>
      <c r="AE50">
        <f t="shared" si="11"/>
        <v>149.25</v>
      </c>
      <c r="AF50" s="109">
        <f t="shared" si="9"/>
        <v>14.925000000000001</v>
      </c>
      <c r="AG50">
        <v>597</v>
      </c>
      <c r="AH50" s="156">
        <v>12305</v>
      </c>
      <c r="AI50" s="5">
        <f t="shared" si="7"/>
        <v>49.22</v>
      </c>
      <c r="AJ50" s="5">
        <f t="shared" si="8"/>
        <v>82.44556113902847</v>
      </c>
      <c r="AK50" t="s">
        <v>2091</v>
      </c>
      <c r="AL50" s="162"/>
    </row>
    <row r="51" spans="1:38" x14ac:dyDescent="0.25">
      <c r="A51" t="s">
        <v>31</v>
      </c>
      <c r="B51" t="s">
        <v>2061</v>
      </c>
      <c r="C51" s="252" t="str">
        <f>VLOOKUP(B51,Plantings!$A$2:$C$285,2,FALSE)</f>
        <v>DEL_west_shallow_1</v>
      </c>
      <c r="D51" s="252" t="str">
        <f>VLOOKUP(B51,Plantings!$A$2:$C$285,3,FALSE)</f>
        <v>single</v>
      </c>
      <c r="E51" s="131">
        <v>2021</v>
      </c>
      <c r="H51" s="34"/>
      <c r="I51" s="34"/>
      <c r="J51" s="1" t="s">
        <v>165</v>
      </c>
      <c r="K51" s="1" t="s">
        <v>165</v>
      </c>
      <c r="L51" s="1"/>
      <c r="M51" s="131"/>
      <c r="N51" s="1"/>
      <c r="O51" s="1"/>
      <c r="R51" s="1" t="s">
        <v>22</v>
      </c>
      <c r="S51" s="1" t="s">
        <v>22</v>
      </c>
      <c r="T51" s="134">
        <v>44370</v>
      </c>
      <c r="U51" s="245"/>
      <c r="V51" s="245"/>
      <c r="W51" s="252" t="str">
        <f>VLOOKUP(B51,Plantings!$A$2:$E$285,4,FALSE)</f>
        <v>point</v>
      </c>
      <c r="X51" s="251" t="str">
        <f>VLOOKUP(B51,Plantings!$A$2:$E$285,5,FALSE)</f>
        <v>retain</v>
      </c>
      <c r="Y51" s="37" t="s">
        <v>148</v>
      </c>
      <c r="Z51" s="36">
        <v>-1.524</v>
      </c>
      <c r="AA51" s="1" t="s">
        <v>169</v>
      </c>
      <c r="AB51">
        <v>1.5</v>
      </c>
      <c r="AC51">
        <v>1</v>
      </c>
      <c r="AD51">
        <f t="shared" si="10"/>
        <v>1.5</v>
      </c>
      <c r="AE51">
        <f t="shared" si="11"/>
        <v>4.5</v>
      </c>
      <c r="AF51" s="109">
        <f t="shared" si="9"/>
        <v>0.45</v>
      </c>
      <c r="AG51">
        <v>18</v>
      </c>
      <c r="AH51" s="156">
        <v>270</v>
      </c>
      <c r="AI51" s="5">
        <f t="shared" si="7"/>
        <v>180</v>
      </c>
      <c r="AJ51" s="5">
        <f t="shared" si="8"/>
        <v>60</v>
      </c>
      <c r="AK51" t="s">
        <v>119</v>
      </c>
      <c r="AL51" s="162"/>
    </row>
    <row r="52" spans="1:38" x14ac:dyDescent="0.25">
      <c r="A52" t="s">
        <v>31</v>
      </c>
      <c r="B52" t="s">
        <v>2062</v>
      </c>
      <c r="C52" s="252" t="str">
        <f>VLOOKUP(B52,Plantings!$A$2:$C$285,2,FALSE)</f>
        <v>DEL_west_deep_1</v>
      </c>
      <c r="D52" s="252" t="str">
        <f>VLOOKUP(B52,Plantings!$A$2:$C$285,3,FALSE)</f>
        <v>single</v>
      </c>
      <c r="E52" s="131">
        <v>2021</v>
      </c>
      <c r="H52" s="34"/>
      <c r="I52" s="34"/>
      <c r="J52" s="1" t="s">
        <v>165</v>
      </c>
      <c r="K52" s="1" t="s">
        <v>165</v>
      </c>
      <c r="L52" s="1"/>
      <c r="M52" s="131"/>
      <c r="N52" s="1"/>
      <c r="O52" s="1"/>
      <c r="R52" s="1" t="s">
        <v>22</v>
      </c>
      <c r="S52" s="1" t="s">
        <v>22</v>
      </c>
      <c r="T52" s="134">
        <v>44370</v>
      </c>
      <c r="U52" s="245"/>
      <c r="V52" s="245"/>
      <c r="W52" s="252" t="str">
        <f>VLOOKUP(B52,Plantings!$A$2:$E$285,4,FALSE)</f>
        <v>point</v>
      </c>
      <c r="X52" s="251" t="str">
        <f>VLOOKUP(B52,Plantings!$A$2:$E$285,5,FALSE)</f>
        <v>retain</v>
      </c>
      <c r="Y52" s="37" t="s">
        <v>148</v>
      </c>
      <c r="Z52" s="36">
        <v>-1.524</v>
      </c>
      <c r="AA52" s="1" t="s">
        <v>169</v>
      </c>
      <c r="AB52">
        <v>1</v>
      </c>
      <c r="AC52">
        <v>1</v>
      </c>
      <c r="AD52">
        <f t="shared" si="10"/>
        <v>1</v>
      </c>
      <c r="AE52">
        <f t="shared" si="11"/>
        <v>3</v>
      </c>
      <c r="AF52" s="109">
        <f t="shared" si="9"/>
        <v>0.30000000000000004</v>
      </c>
      <c r="AG52">
        <v>12</v>
      </c>
      <c r="AH52" s="156">
        <v>180</v>
      </c>
      <c r="AI52" s="5">
        <f t="shared" si="7"/>
        <v>180</v>
      </c>
      <c r="AJ52" s="5">
        <f t="shared" si="8"/>
        <v>60</v>
      </c>
      <c r="AK52" t="s">
        <v>119</v>
      </c>
      <c r="AL52" s="162"/>
    </row>
    <row r="53" spans="1:38" x14ac:dyDescent="0.25">
      <c r="A53" t="s">
        <v>540</v>
      </c>
      <c r="B53" t="s">
        <v>1878</v>
      </c>
      <c r="C53" s="252" t="str">
        <f>VLOOKUP(B53,Plantings!$A$2:$C$285,2,FALSE)</f>
        <v>DB_test_1</v>
      </c>
      <c r="D53" s="252" t="str">
        <f>VLOOKUP(B53,Plantings!$A$2:$C$285,3,FALSE)</f>
        <v>single</v>
      </c>
      <c r="E53">
        <v>2020</v>
      </c>
      <c r="F53" t="s">
        <v>1864</v>
      </c>
      <c r="G53" t="s">
        <v>412</v>
      </c>
      <c r="H53" t="s">
        <v>1865</v>
      </c>
      <c r="I53" t="s">
        <v>405</v>
      </c>
      <c r="J53" t="s">
        <v>1853</v>
      </c>
      <c r="K53" s="1" t="s">
        <v>1853</v>
      </c>
      <c r="L53" s="1" t="s">
        <v>1866</v>
      </c>
      <c r="N53" t="s">
        <v>1867</v>
      </c>
      <c r="R53" t="s">
        <v>22</v>
      </c>
      <c r="S53" t="s">
        <v>22</v>
      </c>
      <c r="T53" s="134">
        <v>44018</v>
      </c>
      <c r="U53" s="28">
        <v>47.329329999999999</v>
      </c>
      <c r="V53" s="28">
        <v>-122.38615</v>
      </c>
      <c r="W53" s="252" t="str">
        <f>VLOOKUP(B53,Plantings!$A$2:$E$285,4,FALSE)</f>
        <v>point</v>
      </c>
      <c r="X53" s="251" t="str">
        <f>VLOOKUP(B53,Plantings!$A$2:$E$285,5,FALSE)</f>
        <v>retain</v>
      </c>
      <c r="Y53" s="7" t="s">
        <v>148</v>
      </c>
      <c r="Z53" s="20">
        <v>-1.6</v>
      </c>
      <c r="AA53" s="5" t="s">
        <v>169</v>
      </c>
      <c r="AB53">
        <v>3.5</v>
      </c>
      <c r="AC53">
        <v>3.5</v>
      </c>
      <c r="AD53">
        <f t="shared" si="10"/>
        <v>12.25</v>
      </c>
      <c r="AE53">
        <v>1.5</v>
      </c>
      <c r="AF53" s="109">
        <f t="shared" si="9"/>
        <v>0.45</v>
      </c>
      <c r="AG53">
        <v>18</v>
      </c>
      <c r="AH53" s="38">
        <v>300</v>
      </c>
      <c r="AI53" s="5">
        <f t="shared" si="7"/>
        <v>24.489795918367346</v>
      </c>
      <c r="AJ53" s="5">
        <f t="shared" si="8"/>
        <v>200</v>
      </c>
      <c r="AK53" t="s">
        <v>540</v>
      </c>
      <c r="AL53" s="13" t="s">
        <v>1884</v>
      </c>
    </row>
    <row r="54" spans="1:38" x14ac:dyDescent="0.25">
      <c r="A54" t="s">
        <v>540</v>
      </c>
      <c r="B54" t="s">
        <v>2029</v>
      </c>
      <c r="C54" s="252" t="str">
        <f>VLOOKUP(B54,Plantings!$A$2:$C$285,2,FALSE)</f>
        <v>DB_test_2</v>
      </c>
      <c r="D54" s="252" t="str">
        <f>VLOOKUP(B54,Plantings!$A$2:$C$285,3,FALSE)</f>
        <v>single</v>
      </c>
      <c r="E54">
        <v>2021</v>
      </c>
      <c r="F54" t="s">
        <v>1864</v>
      </c>
      <c r="G54" t="s">
        <v>412</v>
      </c>
      <c r="H54" t="s">
        <v>1865</v>
      </c>
      <c r="I54" t="s">
        <v>405</v>
      </c>
      <c r="J54" t="s">
        <v>1853</v>
      </c>
      <c r="K54" s="1" t="s">
        <v>1853</v>
      </c>
      <c r="L54" s="1" t="s">
        <v>1866</v>
      </c>
      <c r="N54" t="s">
        <v>1867</v>
      </c>
      <c r="R54" t="s">
        <v>22</v>
      </c>
      <c r="S54" t="s">
        <v>22</v>
      </c>
      <c r="T54" s="134">
        <v>44314</v>
      </c>
      <c r="U54" s="28">
        <v>47.329329999999999</v>
      </c>
      <c r="V54" s="28">
        <v>-122.38615</v>
      </c>
      <c r="W54" s="252" t="str">
        <f>VLOOKUP(B54,Plantings!$A$2:$E$285,4,FALSE)</f>
        <v>point</v>
      </c>
      <c r="X54" s="251" t="str">
        <f>VLOOKUP(B54,Plantings!$A$2:$E$285,5,FALSE)</f>
        <v>retain</v>
      </c>
      <c r="Y54" s="7" t="s">
        <v>148</v>
      </c>
      <c r="Z54" s="20">
        <v>-1.6</v>
      </c>
      <c r="AA54" s="5" t="s">
        <v>169</v>
      </c>
      <c r="AB54">
        <v>3.5</v>
      </c>
      <c r="AC54">
        <v>3.5</v>
      </c>
      <c r="AD54">
        <f t="shared" si="10"/>
        <v>12.25</v>
      </c>
      <c r="AE54">
        <v>1</v>
      </c>
      <c r="AF54" s="109">
        <f t="shared" si="9"/>
        <v>0.30000000000000004</v>
      </c>
      <c r="AG54">
        <v>12</v>
      </c>
      <c r="AH54" s="38">
        <v>300</v>
      </c>
      <c r="AI54" s="5">
        <f t="shared" si="7"/>
        <v>24.489795918367346</v>
      </c>
      <c r="AJ54" s="5">
        <f t="shared" si="8"/>
        <v>300</v>
      </c>
      <c r="AK54" t="s">
        <v>540</v>
      </c>
      <c r="AL54" s="13" t="s">
        <v>2030</v>
      </c>
    </row>
    <row r="55" spans="1:38" x14ac:dyDescent="0.25">
      <c r="A55" t="s">
        <v>540</v>
      </c>
      <c r="B55" t="s">
        <v>2029</v>
      </c>
      <c r="C55" s="252" t="str">
        <f>VLOOKUP(B55,Plantings!$A$2:$C$285,2,FALSE)</f>
        <v>DB_test_2</v>
      </c>
      <c r="D55" s="252" t="str">
        <f>VLOOKUP(B55,Plantings!$A$2:$C$285,3,FALSE)</f>
        <v>single</v>
      </c>
      <c r="E55">
        <v>2021</v>
      </c>
      <c r="F55" t="s">
        <v>1864</v>
      </c>
      <c r="G55" t="s">
        <v>412</v>
      </c>
      <c r="H55" t="s">
        <v>1865</v>
      </c>
      <c r="I55" t="s">
        <v>405</v>
      </c>
      <c r="J55" t="s">
        <v>1853</v>
      </c>
      <c r="K55" s="1" t="s">
        <v>1853</v>
      </c>
      <c r="L55" s="1" t="s">
        <v>1866</v>
      </c>
      <c r="N55" t="s">
        <v>1867</v>
      </c>
      <c r="R55" t="s">
        <v>22</v>
      </c>
      <c r="S55" t="s">
        <v>22</v>
      </c>
      <c r="T55" s="134">
        <v>44329</v>
      </c>
      <c r="U55" s="28">
        <v>47.329329999999999</v>
      </c>
      <c r="V55" s="28">
        <v>-122.38615</v>
      </c>
      <c r="W55" s="252" t="str">
        <f>VLOOKUP(B55,Plantings!$A$2:$E$285,4,FALSE)</f>
        <v>point</v>
      </c>
      <c r="X55" s="251" t="str">
        <f>VLOOKUP(B55,Plantings!$A$2:$E$285,5,FALSE)</f>
        <v>retain</v>
      </c>
      <c r="Y55" s="7" t="s">
        <v>148</v>
      </c>
      <c r="Z55" s="20">
        <v>-1.6</v>
      </c>
      <c r="AA55" s="5" t="s">
        <v>169</v>
      </c>
      <c r="AB55">
        <v>3.5</v>
      </c>
      <c r="AC55">
        <v>0.5</v>
      </c>
      <c r="AD55">
        <f t="shared" si="10"/>
        <v>1.75</v>
      </c>
      <c r="AE55">
        <v>0.75</v>
      </c>
      <c r="AF55" s="109">
        <f t="shared" si="9"/>
        <v>0.22500000000000001</v>
      </c>
      <c r="AG55">
        <v>9</v>
      </c>
      <c r="AH55" s="38">
        <v>180</v>
      </c>
      <c r="AI55" s="5">
        <f t="shared" si="7"/>
        <v>102.85714285714286</v>
      </c>
      <c r="AJ55" s="5">
        <f t="shared" si="8"/>
        <v>240</v>
      </c>
      <c r="AK55" t="s">
        <v>119</v>
      </c>
      <c r="AL55" s="13" t="s">
        <v>2036</v>
      </c>
    </row>
    <row r="56" spans="1:38" x14ac:dyDescent="0.25">
      <c r="A56" t="s">
        <v>540</v>
      </c>
      <c r="B56" t="s">
        <v>2029</v>
      </c>
      <c r="C56" s="252" t="str">
        <f>VLOOKUP(B56,Plantings!$A$2:$C$285,2,FALSE)</f>
        <v>DB_test_2</v>
      </c>
      <c r="D56" s="252" t="str">
        <f>VLOOKUP(B56,Plantings!$A$2:$C$285,3,FALSE)</f>
        <v>single</v>
      </c>
      <c r="E56">
        <v>2021</v>
      </c>
      <c r="F56" t="s">
        <v>1864</v>
      </c>
      <c r="G56" t="s">
        <v>412</v>
      </c>
      <c r="H56" t="s">
        <v>1865</v>
      </c>
      <c r="I56" t="s">
        <v>405</v>
      </c>
      <c r="J56" t="s">
        <v>1853</v>
      </c>
      <c r="K56" s="1" t="s">
        <v>1853</v>
      </c>
      <c r="L56" s="1" t="s">
        <v>1866</v>
      </c>
      <c r="N56" t="s">
        <v>1867</v>
      </c>
      <c r="R56" t="s">
        <v>22</v>
      </c>
      <c r="S56" t="s">
        <v>22</v>
      </c>
      <c r="T56" s="134">
        <v>44342</v>
      </c>
      <c r="U56" s="28">
        <v>47.329329999999999</v>
      </c>
      <c r="V56" s="28">
        <v>-122.38615</v>
      </c>
      <c r="W56" s="252" t="str">
        <f>VLOOKUP(B56,Plantings!$A$2:$E$285,4,FALSE)</f>
        <v>point</v>
      </c>
      <c r="X56" s="251" t="str">
        <f>VLOOKUP(B56,Plantings!$A$2:$E$285,5,FALSE)</f>
        <v>retain</v>
      </c>
      <c r="Y56" s="7" t="s">
        <v>148</v>
      </c>
      <c r="Z56" s="20">
        <v>-1.6</v>
      </c>
      <c r="AA56" s="5" t="s">
        <v>169</v>
      </c>
      <c r="AB56">
        <v>3.5</v>
      </c>
      <c r="AC56">
        <v>0.5</v>
      </c>
      <c r="AD56">
        <f t="shared" si="10"/>
        <v>1.75</v>
      </c>
      <c r="AE56">
        <v>0.75</v>
      </c>
      <c r="AF56" s="109">
        <f t="shared" si="9"/>
        <v>0.22500000000000001</v>
      </c>
      <c r="AG56">
        <v>9</v>
      </c>
      <c r="AH56" s="38">
        <v>180</v>
      </c>
      <c r="AI56" s="5">
        <f t="shared" si="7"/>
        <v>102.85714285714286</v>
      </c>
      <c r="AJ56" s="5">
        <f t="shared" si="8"/>
        <v>240</v>
      </c>
      <c r="AK56" t="s">
        <v>119</v>
      </c>
      <c r="AL56" s="13" t="s">
        <v>2050</v>
      </c>
    </row>
    <row r="57" spans="1:38" x14ac:dyDescent="0.25">
      <c r="A57" t="s">
        <v>540</v>
      </c>
      <c r="B57" t="s">
        <v>2029</v>
      </c>
      <c r="C57" s="252" t="str">
        <f>VLOOKUP(B57,Plantings!$A$2:$C$285,2,FALSE)</f>
        <v>DB_test_2</v>
      </c>
      <c r="D57" s="252" t="str">
        <f>VLOOKUP(B57,Plantings!$A$2:$C$285,3,FALSE)</f>
        <v>single</v>
      </c>
      <c r="E57">
        <v>2021</v>
      </c>
      <c r="F57" t="s">
        <v>1864</v>
      </c>
      <c r="G57" t="s">
        <v>412</v>
      </c>
      <c r="H57" t="s">
        <v>1865</v>
      </c>
      <c r="I57" t="s">
        <v>405</v>
      </c>
      <c r="J57" t="s">
        <v>1853</v>
      </c>
      <c r="K57" s="1" t="s">
        <v>1853</v>
      </c>
      <c r="L57" s="1" t="s">
        <v>1866</v>
      </c>
      <c r="N57" t="s">
        <v>1867</v>
      </c>
      <c r="R57" t="s">
        <v>22</v>
      </c>
      <c r="S57" t="s">
        <v>22</v>
      </c>
      <c r="T57" s="134">
        <v>44373</v>
      </c>
      <c r="U57" s="28">
        <v>47.329329999999999</v>
      </c>
      <c r="V57" s="28">
        <v>-122.38615</v>
      </c>
      <c r="W57" s="252" t="str">
        <f>VLOOKUP(B57,Plantings!$A$2:$E$285,4,FALSE)</f>
        <v>point</v>
      </c>
      <c r="X57" s="251" t="str">
        <f>VLOOKUP(B57,Plantings!$A$2:$E$285,5,FALSE)</f>
        <v>retain</v>
      </c>
      <c r="Y57" s="7" t="s">
        <v>148</v>
      </c>
      <c r="Z57" s="20">
        <v>-1.6</v>
      </c>
      <c r="AA57" s="5" t="s">
        <v>169</v>
      </c>
      <c r="AB57">
        <v>3.5</v>
      </c>
      <c r="AC57">
        <v>2</v>
      </c>
      <c r="AD57">
        <f t="shared" si="10"/>
        <v>7</v>
      </c>
      <c r="AE57">
        <v>1.5</v>
      </c>
      <c r="AF57" s="109">
        <f t="shared" si="9"/>
        <v>0.45</v>
      </c>
      <c r="AG57">
        <v>18</v>
      </c>
      <c r="AH57" s="38">
        <v>270</v>
      </c>
      <c r="AI57" s="5">
        <f t="shared" si="7"/>
        <v>38.571428571428569</v>
      </c>
      <c r="AJ57" s="5">
        <f t="shared" si="8"/>
        <v>180</v>
      </c>
      <c r="AK57" t="s">
        <v>119</v>
      </c>
      <c r="AL57" s="13" t="s">
        <v>2055</v>
      </c>
    </row>
    <row r="58" spans="1:38" x14ac:dyDescent="0.25">
      <c r="A58" t="s">
        <v>540</v>
      </c>
      <c r="B58" t="s">
        <v>2106</v>
      </c>
      <c r="C58" s="252" t="str">
        <f>VLOOKUP(B58,Plantings!$A$2:$C$285,2,FALSE)</f>
        <v>DB_test_6</v>
      </c>
      <c r="D58" s="252" t="str">
        <f>VLOOKUP(B58,Plantings!$A$2:$C$285,3,FALSE)</f>
        <v>single</v>
      </c>
      <c r="E58">
        <v>2022</v>
      </c>
      <c r="F58" t="s">
        <v>1864</v>
      </c>
      <c r="G58" t="s">
        <v>412</v>
      </c>
      <c r="H58" t="s">
        <v>1865</v>
      </c>
      <c r="I58" t="s">
        <v>405</v>
      </c>
      <c r="J58" t="s">
        <v>1853</v>
      </c>
      <c r="K58" s="1" t="s">
        <v>1853</v>
      </c>
      <c r="L58" s="1" t="s">
        <v>1866</v>
      </c>
      <c r="N58" t="s">
        <v>1867</v>
      </c>
      <c r="R58" t="s">
        <v>22</v>
      </c>
      <c r="S58" t="s">
        <v>22</v>
      </c>
      <c r="T58" s="134">
        <v>44728</v>
      </c>
      <c r="U58" s="28">
        <v>47.329329999999999</v>
      </c>
      <c r="V58" s="28">
        <v>-122.38615</v>
      </c>
      <c r="W58" s="252" t="str">
        <f>VLOOKUP(B58,Plantings!$A$2:$E$285,4,FALSE)</f>
        <v>point</v>
      </c>
      <c r="X58" s="251" t="str">
        <f>VLOOKUP(B58,Plantings!$A$2:$E$285,5,FALSE)</f>
        <v>retain</v>
      </c>
      <c r="Y58" s="7" t="s">
        <v>148</v>
      </c>
      <c r="Z58" s="20">
        <v>-1.6</v>
      </c>
      <c r="AA58" s="5" t="s">
        <v>169</v>
      </c>
      <c r="AB58">
        <v>10</v>
      </c>
      <c r="AC58">
        <v>1</v>
      </c>
      <c r="AD58">
        <f t="shared" si="10"/>
        <v>10</v>
      </c>
      <c r="AE58">
        <v>5</v>
      </c>
      <c r="AF58" s="109">
        <f t="shared" si="9"/>
        <v>1.5</v>
      </c>
      <c r="AG58">
        <v>60</v>
      </c>
      <c r="AH58" s="38">
        <v>720</v>
      </c>
      <c r="AI58" s="5">
        <f t="shared" si="7"/>
        <v>72</v>
      </c>
      <c r="AJ58" s="5">
        <f t="shared" si="8"/>
        <v>144</v>
      </c>
      <c r="AK58" t="s">
        <v>119</v>
      </c>
      <c r="AL58" s="13" t="s">
        <v>2104</v>
      </c>
    </row>
    <row r="59" spans="1:38" x14ac:dyDescent="0.25">
      <c r="A59" t="s">
        <v>540</v>
      </c>
      <c r="B59" t="s">
        <v>2107</v>
      </c>
      <c r="C59" s="252" t="str">
        <f>VLOOKUP(B59,Plantings!$A$2:$C$285,2,FALSE)</f>
        <v>DB_test_7</v>
      </c>
      <c r="D59" s="252" t="str">
        <f>VLOOKUP(B59,Plantings!$A$2:$C$285,3,FALSE)</f>
        <v>single</v>
      </c>
      <c r="E59">
        <v>2022</v>
      </c>
      <c r="F59" t="s">
        <v>1864</v>
      </c>
      <c r="G59" t="s">
        <v>412</v>
      </c>
      <c r="H59" t="s">
        <v>1865</v>
      </c>
      <c r="I59" t="s">
        <v>405</v>
      </c>
      <c r="J59" t="s">
        <v>1853</v>
      </c>
      <c r="K59" s="1" t="s">
        <v>1853</v>
      </c>
      <c r="L59" s="1" t="s">
        <v>1866</v>
      </c>
      <c r="N59" t="s">
        <v>1867</v>
      </c>
      <c r="R59" t="s">
        <v>22</v>
      </c>
      <c r="S59" t="s">
        <v>22</v>
      </c>
      <c r="T59" s="134">
        <v>44700</v>
      </c>
      <c r="U59" s="28">
        <v>47.329329999999999</v>
      </c>
      <c r="V59" s="28">
        <v>-122.38615</v>
      </c>
      <c r="W59" s="252" t="str">
        <f>VLOOKUP(B59,Plantings!$A$2:$E$285,4,FALSE)</f>
        <v>point</v>
      </c>
      <c r="X59" s="251" t="str">
        <f>VLOOKUP(B59,Plantings!$A$2:$E$285,5,FALSE)</f>
        <v>retain</v>
      </c>
      <c r="Y59" s="7" t="s">
        <v>148</v>
      </c>
      <c r="Z59" s="20">
        <v>-1.6</v>
      </c>
      <c r="AA59" s="5" t="s">
        <v>169</v>
      </c>
      <c r="AB59">
        <v>3</v>
      </c>
      <c r="AC59">
        <v>0.5</v>
      </c>
      <c r="AD59">
        <f t="shared" si="10"/>
        <v>1.5</v>
      </c>
      <c r="AE59">
        <f>AG59*0.25</f>
        <v>5</v>
      </c>
      <c r="AF59" s="109">
        <f>IF(AA59="staple",AG59*0.005,IF(AA59="rebar",AG59*0.025,IF(AA59="burlap",AG59*0.0625,IF(AA59="washer",AG59*0.0025,IF(AA59="pucks",AG59*0.00785,IF(AA59="turf",AG59*0.01,IF(AA59="TERFS",AG59*0.25,IF(AA59="",""))))))))</f>
        <v>0.5</v>
      </c>
      <c r="AG59" s="38">
        <v>20</v>
      </c>
      <c r="AH59" s="119">
        <v>400</v>
      </c>
      <c r="AI59" s="5">
        <f t="shared" si="7"/>
        <v>266.66666666666669</v>
      </c>
      <c r="AJ59" s="5">
        <f t="shared" si="8"/>
        <v>80</v>
      </c>
      <c r="AK59" t="s">
        <v>119</v>
      </c>
      <c r="AL59" s="13" t="s">
        <v>2105</v>
      </c>
    </row>
    <row r="60" spans="1:38" x14ac:dyDescent="0.25">
      <c r="A60" t="s">
        <v>39</v>
      </c>
      <c r="B60" t="s">
        <v>208</v>
      </c>
      <c r="C60" s="252" t="str">
        <f>VLOOKUP(B60,Plantings!$A$2:$C$285,2,FALSE)</f>
        <v>ELD_shallow</v>
      </c>
      <c r="D60" s="252" t="str">
        <f>VLOOKUP(B60,Plantings!$A$2:$C$285,3,FALSE)</f>
        <v>single</v>
      </c>
      <c r="E60">
        <v>2015</v>
      </c>
      <c r="G60" t="s">
        <v>412</v>
      </c>
      <c r="H60" t="s">
        <v>39</v>
      </c>
      <c r="I60" t="s">
        <v>404</v>
      </c>
      <c r="J60" t="s">
        <v>5</v>
      </c>
      <c r="K60" t="s">
        <v>165</v>
      </c>
      <c r="L60" t="s">
        <v>230</v>
      </c>
      <c r="O60" t="s">
        <v>49</v>
      </c>
      <c r="P60" t="s">
        <v>62</v>
      </c>
      <c r="Q60" t="s">
        <v>75</v>
      </c>
      <c r="R60" t="s">
        <v>22</v>
      </c>
      <c r="S60" t="s">
        <v>22</v>
      </c>
      <c r="T60" s="134">
        <v>42075</v>
      </c>
      <c r="U60" s="4">
        <v>47.0974</v>
      </c>
      <c r="V60" s="4">
        <v>-122.95525000000001</v>
      </c>
      <c r="W60" s="252" t="str">
        <f>VLOOKUP(B60,Plantings!$A$2:$E$285,4,FALSE)</f>
        <v>point</v>
      </c>
      <c r="X60" s="251" t="str">
        <f>VLOOKUP(B60,Plantings!$A$2:$E$285,5,FALSE)</f>
        <v>retain</v>
      </c>
      <c r="Y60" s="7" t="s">
        <v>148</v>
      </c>
      <c r="Z60" s="20">
        <v>-1.0668</v>
      </c>
      <c r="AA60" s="5" t="s">
        <v>168</v>
      </c>
      <c r="AB60">
        <v>5</v>
      </c>
      <c r="AC60">
        <v>5</v>
      </c>
      <c r="AD60">
        <f t="shared" si="10"/>
        <v>25</v>
      </c>
      <c r="AE60">
        <v>25</v>
      </c>
      <c r="AF60" s="109">
        <f t="shared" ref="AF60:AF85" si="12">IF(AA60="staple",AG60*0.005,IF(AA60="rebar",AG60*0.025,IF(AA60="burlap",AG60*0.0625,IF(AA60="washer",AG60*0.0025,IF(AA60="pucks",AG60*0.00785,IF(AA60="turf",AG60*0.01,IF(AA60="","")))))))</f>
        <v>0.625</v>
      </c>
      <c r="AG60" s="38">
        <f>AH60/4</f>
        <v>125</v>
      </c>
      <c r="AH60" s="118">
        <v>500</v>
      </c>
      <c r="AI60" s="5">
        <f t="shared" si="7"/>
        <v>20</v>
      </c>
      <c r="AJ60" s="5">
        <f t="shared" si="8"/>
        <v>20</v>
      </c>
      <c r="AK60" t="s">
        <v>549</v>
      </c>
      <c r="AL60" s="13" t="s">
        <v>574</v>
      </c>
    </row>
    <row r="61" spans="1:38" x14ac:dyDescent="0.25">
      <c r="A61" t="s">
        <v>39</v>
      </c>
      <c r="B61" t="s">
        <v>209</v>
      </c>
      <c r="C61" s="252" t="str">
        <f>VLOOKUP(B61,Plantings!$A$2:$C$285,2,FALSE)</f>
        <v>ELD_deep</v>
      </c>
      <c r="D61" s="252" t="str">
        <f>VLOOKUP(B61,Plantings!$A$2:$C$285,3,FALSE)</f>
        <v>single</v>
      </c>
      <c r="E61">
        <v>2015</v>
      </c>
      <c r="G61" t="s">
        <v>412</v>
      </c>
      <c r="H61" t="s">
        <v>39</v>
      </c>
      <c r="I61" t="s">
        <v>404</v>
      </c>
      <c r="J61" t="s">
        <v>5</v>
      </c>
      <c r="K61" t="s">
        <v>165</v>
      </c>
      <c r="L61" t="s">
        <v>230</v>
      </c>
      <c r="O61" t="s">
        <v>49</v>
      </c>
      <c r="P61" t="s">
        <v>62</v>
      </c>
      <c r="Q61" t="s">
        <v>75</v>
      </c>
      <c r="R61" t="s">
        <v>22</v>
      </c>
      <c r="S61" t="s">
        <v>22</v>
      </c>
      <c r="T61" s="134">
        <v>42075</v>
      </c>
      <c r="U61" s="4">
        <v>47.097516666666664</v>
      </c>
      <c r="V61" s="4">
        <v>-122.95535</v>
      </c>
      <c r="W61" s="252" t="str">
        <f>VLOOKUP(B61,Plantings!$A$2:$E$285,4,FALSE)</f>
        <v>point</v>
      </c>
      <c r="X61" s="251" t="str">
        <f>VLOOKUP(B61,Plantings!$A$2:$E$285,5,FALSE)</f>
        <v>retain</v>
      </c>
      <c r="Y61" s="7" t="s">
        <v>148</v>
      </c>
      <c r="Z61" s="20">
        <v>-2.1335999999999999</v>
      </c>
      <c r="AA61" s="6" t="s">
        <v>168</v>
      </c>
      <c r="AB61">
        <v>5</v>
      </c>
      <c r="AC61">
        <v>5</v>
      </c>
      <c r="AD61">
        <f t="shared" si="10"/>
        <v>25</v>
      </c>
      <c r="AE61">
        <v>25</v>
      </c>
      <c r="AF61" s="109">
        <f t="shared" si="12"/>
        <v>0.625</v>
      </c>
      <c r="AG61" s="38">
        <f>AH61/4</f>
        <v>125</v>
      </c>
      <c r="AH61" s="118">
        <v>500</v>
      </c>
      <c r="AI61" s="5">
        <f t="shared" si="7"/>
        <v>20</v>
      </c>
      <c r="AJ61" s="5">
        <f t="shared" si="8"/>
        <v>20</v>
      </c>
      <c r="AK61" t="s">
        <v>549</v>
      </c>
      <c r="AL61" s="13" t="s">
        <v>575</v>
      </c>
    </row>
    <row r="62" spans="1:38" x14ac:dyDescent="0.25">
      <c r="A62" t="s">
        <v>39</v>
      </c>
      <c r="B62" t="s">
        <v>2003</v>
      </c>
      <c r="C62" s="252" t="str">
        <f>VLOOKUP(B62,Plantings!$A$2:$C$285,2,FALSE)</f>
        <v>ELD</v>
      </c>
      <c r="D62" s="252" t="str">
        <f>VLOOKUP(B62,Plantings!$A$2:$C$285,3,FALSE)</f>
        <v>single</v>
      </c>
      <c r="E62" s="131">
        <v>2020</v>
      </c>
      <c r="G62" t="s">
        <v>412</v>
      </c>
      <c r="H62" t="s">
        <v>39</v>
      </c>
      <c r="I62" t="s">
        <v>404</v>
      </c>
      <c r="J62" s="1" t="s">
        <v>72</v>
      </c>
      <c r="K62" s="1" t="s">
        <v>69</v>
      </c>
      <c r="L62" s="1" t="s">
        <v>69</v>
      </c>
      <c r="M62" s="131" t="s">
        <v>1119</v>
      </c>
      <c r="N62" s="1" t="s">
        <v>67</v>
      </c>
      <c r="O62" s="1" t="s">
        <v>49</v>
      </c>
      <c r="R62" t="s">
        <v>22</v>
      </c>
      <c r="S62" t="s">
        <v>22</v>
      </c>
      <c r="T62" s="134">
        <v>44013</v>
      </c>
      <c r="U62" s="157">
        <v>47.121210165999997</v>
      </c>
      <c r="V62" s="158">
        <v>-122.9437588</v>
      </c>
      <c r="W62" s="252" t="str">
        <f>VLOOKUP(B62,Plantings!$A$2:$E$285,4,FALSE)</f>
        <v>point</v>
      </c>
      <c r="X62" s="251" t="str">
        <f>VLOOKUP(B62,Plantings!$A$2:$E$285,5,FALSE)</f>
        <v>retain</v>
      </c>
      <c r="Y62" s="37" t="s">
        <v>148</v>
      </c>
      <c r="Z62" s="20">
        <v>-1.6</v>
      </c>
      <c r="AA62" s="5" t="s">
        <v>169</v>
      </c>
      <c r="AB62">
        <v>3</v>
      </c>
      <c r="AC62">
        <v>2.5</v>
      </c>
      <c r="AD62">
        <f t="shared" si="10"/>
        <v>7.5</v>
      </c>
      <c r="AE62">
        <f>AG62*0.25</f>
        <v>6.25</v>
      </c>
      <c r="AF62" s="109">
        <f t="shared" si="12"/>
        <v>0.625</v>
      </c>
      <c r="AG62">
        <v>25</v>
      </c>
      <c r="AH62" s="156">
        <v>625</v>
      </c>
      <c r="AI62" s="5">
        <f t="shared" si="7"/>
        <v>83.333333333333329</v>
      </c>
      <c r="AJ62" s="5">
        <f t="shared" si="8"/>
        <v>100</v>
      </c>
      <c r="AK62" t="s">
        <v>9</v>
      </c>
      <c r="AL62" s="162" t="s">
        <v>1993</v>
      </c>
    </row>
    <row r="63" spans="1:38" x14ac:dyDescent="0.25">
      <c r="A63" s="1" t="s">
        <v>78</v>
      </c>
      <c r="B63" s="1" t="s">
        <v>494</v>
      </c>
      <c r="C63" s="252" t="str">
        <f>VLOOKUP(B63,Plantings!$A$2:$C$285,2,FALSE)</f>
        <v>ELW_deep_west</v>
      </c>
      <c r="D63" s="252" t="str">
        <f>VLOOKUP(B63,Plantings!$A$2:$C$285,3,FALSE)</f>
        <v>single</v>
      </c>
      <c r="E63" s="1">
        <v>2016</v>
      </c>
      <c r="F63" s="1"/>
      <c r="G63" s="1" t="s">
        <v>412</v>
      </c>
      <c r="H63" s="1" t="s">
        <v>78</v>
      </c>
      <c r="I63" t="s">
        <v>406</v>
      </c>
      <c r="J63" s="1" t="s">
        <v>66</v>
      </c>
      <c r="K63" s="1" t="s">
        <v>69</v>
      </c>
      <c r="L63" s="1" t="s">
        <v>69</v>
      </c>
      <c r="M63" s="131" t="s">
        <v>1119</v>
      </c>
      <c r="N63" s="1" t="s">
        <v>67</v>
      </c>
      <c r="O63" s="1" t="s">
        <v>49</v>
      </c>
      <c r="P63" s="1" t="s">
        <v>1120</v>
      </c>
      <c r="Q63" s="1"/>
      <c r="R63" s="1" t="s">
        <v>22</v>
      </c>
      <c r="S63" s="1" t="s">
        <v>22</v>
      </c>
      <c r="T63" s="134">
        <v>42593</v>
      </c>
      <c r="U63" s="32">
        <v>48.137500000000003</v>
      </c>
      <c r="V63" s="32">
        <v>-123.587</v>
      </c>
      <c r="W63" s="252" t="str">
        <f>VLOOKUP(B63,Plantings!$A$2:$E$285,4,FALSE)</f>
        <v>point</v>
      </c>
      <c r="X63" s="251" t="str">
        <f>VLOOKUP(B63,Plantings!$A$2:$E$285,5,FALSE)</f>
        <v>retain</v>
      </c>
      <c r="Y63" s="7" t="s">
        <v>148</v>
      </c>
      <c r="Z63" s="48">
        <v>-4.7</v>
      </c>
      <c r="AA63" t="s">
        <v>169</v>
      </c>
      <c r="AB63">
        <v>2</v>
      </c>
      <c r="AC63">
        <v>2</v>
      </c>
      <c r="AD63">
        <f t="shared" si="10"/>
        <v>4</v>
      </c>
      <c r="AE63">
        <f>AG63*0.25</f>
        <v>5</v>
      </c>
      <c r="AF63" s="109">
        <f t="shared" si="12"/>
        <v>0.5</v>
      </c>
      <c r="AG63" s="38">
        <v>20</v>
      </c>
      <c r="AH63" s="119">
        <v>500</v>
      </c>
      <c r="AI63" s="5">
        <f t="shared" si="7"/>
        <v>125</v>
      </c>
      <c r="AJ63" s="5">
        <f t="shared" si="8"/>
        <v>100</v>
      </c>
      <c r="AK63" t="s">
        <v>1166</v>
      </c>
      <c r="AL63" s="160"/>
    </row>
    <row r="64" spans="1:38" x14ac:dyDescent="0.25">
      <c r="A64" s="1" t="s">
        <v>78</v>
      </c>
      <c r="B64" s="1" t="s">
        <v>1506</v>
      </c>
      <c r="C64" s="252" t="str">
        <f>VLOOKUP(B64,Plantings!$A$2:$C$285,2,FALSE)</f>
        <v>ELW_shallow_west</v>
      </c>
      <c r="D64" s="252" t="str">
        <f>VLOOKUP(B64,Plantings!$A$2:$C$285,3,FALSE)</f>
        <v>single</v>
      </c>
      <c r="E64" s="1">
        <v>2016</v>
      </c>
      <c r="F64" s="1"/>
      <c r="G64" s="1" t="s">
        <v>412</v>
      </c>
      <c r="H64" s="1" t="s">
        <v>78</v>
      </c>
      <c r="I64" t="s">
        <v>406</v>
      </c>
      <c r="J64" s="1" t="s">
        <v>66</v>
      </c>
      <c r="K64" s="1" t="s">
        <v>69</v>
      </c>
      <c r="L64" s="1" t="s">
        <v>69</v>
      </c>
      <c r="M64" s="131" t="s">
        <v>1119</v>
      </c>
      <c r="N64" s="1" t="s">
        <v>67</v>
      </c>
      <c r="O64" s="1" t="s">
        <v>49</v>
      </c>
      <c r="P64" s="1" t="s">
        <v>1120</v>
      </c>
      <c r="Q64" s="1"/>
      <c r="R64" s="1" t="s">
        <v>22</v>
      </c>
      <c r="S64" s="1" t="s">
        <v>22</v>
      </c>
      <c r="T64" s="134">
        <v>42593</v>
      </c>
      <c r="U64" s="32">
        <v>48.1372</v>
      </c>
      <c r="V64" s="32">
        <v>-123.5869</v>
      </c>
      <c r="W64" s="252" t="str">
        <f>VLOOKUP(B64,Plantings!$A$2:$E$285,4,FALSE)</f>
        <v>point</v>
      </c>
      <c r="X64" s="251" t="str">
        <f>VLOOKUP(B64,Plantings!$A$2:$E$285,5,FALSE)</f>
        <v>retain</v>
      </c>
      <c r="Y64" s="7" t="s">
        <v>148</v>
      </c>
      <c r="Z64" s="48">
        <v>-3.9</v>
      </c>
      <c r="AA64" t="s">
        <v>169</v>
      </c>
      <c r="AB64">
        <v>2</v>
      </c>
      <c r="AC64">
        <v>2</v>
      </c>
      <c r="AD64">
        <f t="shared" si="10"/>
        <v>4</v>
      </c>
      <c r="AE64">
        <f>AG64*0.25</f>
        <v>5.5</v>
      </c>
      <c r="AF64" s="109">
        <f t="shared" si="12"/>
        <v>0.55000000000000004</v>
      </c>
      <c r="AG64" s="38">
        <v>22</v>
      </c>
      <c r="AH64" s="119">
        <v>550</v>
      </c>
      <c r="AI64" s="5">
        <f t="shared" si="7"/>
        <v>137.5</v>
      </c>
      <c r="AJ64" s="5">
        <f t="shared" si="8"/>
        <v>100</v>
      </c>
      <c r="AK64" t="s">
        <v>1166</v>
      </c>
      <c r="AL64" s="160"/>
    </row>
    <row r="65" spans="1:38" x14ac:dyDescent="0.25">
      <c r="A65" t="s">
        <v>164</v>
      </c>
      <c r="B65" s="1" t="s">
        <v>225</v>
      </c>
      <c r="C65" s="252" t="str">
        <f>VLOOKUP(B65,Plantings!$A$2:$C$285,2,FALSE)</f>
        <v>FDG_1</v>
      </c>
      <c r="D65" s="252" t="str">
        <f>VLOOKUP(B65,Plantings!$A$2:$C$285,3,FALSE)</f>
        <v>single</v>
      </c>
      <c r="E65" s="1">
        <v>2017</v>
      </c>
      <c r="F65" t="s">
        <v>459</v>
      </c>
      <c r="G65" s="1" t="s">
        <v>412</v>
      </c>
      <c r="H65" s="1" t="s">
        <v>37</v>
      </c>
      <c r="I65" t="s">
        <v>405</v>
      </c>
      <c r="J65" t="s">
        <v>165</v>
      </c>
      <c r="K65" t="s">
        <v>165</v>
      </c>
      <c r="L65" s="1" t="s">
        <v>229</v>
      </c>
      <c r="Q65" s="1"/>
      <c r="R65" s="1" t="s">
        <v>22</v>
      </c>
      <c r="S65" s="1" t="s">
        <v>22</v>
      </c>
      <c r="T65" s="134">
        <v>42935</v>
      </c>
      <c r="U65" s="30">
        <v>47.237259999999999</v>
      </c>
      <c r="V65" s="30">
        <v>-122.86145</v>
      </c>
      <c r="W65" s="252" t="str">
        <f>VLOOKUP(B65,Plantings!$A$2:$E$285,4,FALSE)</f>
        <v>point</v>
      </c>
      <c r="X65" s="251" t="str">
        <f>VLOOKUP(B65,Plantings!$A$2:$E$285,5,FALSE)</f>
        <v>retain</v>
      </c>
      <c r="Y65" s="7" t="s">
        <v>148</v>
      </c>
      <c r="Z65" s="36">
        <v>-1.95</v>
      </c>
      <c r="AA65" t="s">
        <v>169</v>
      </c>
      <c r="AB65" s="1">
        <v>1</v>
      </c>
      <c r="AC65" s="1">
        <v>1</v>
      </c>
      <c r="AD65">
        <f t="shared" si="10"/>
        <v>1</v>
      </c>
      <c r="AE65">
        <f>AG65*0.25</f>
        <v>1.25</v>
      </c>
      <c r="AF65" s="109">
        <f t="shared" si="12"/>
        <v>0.125</v>
      </c>
      <c r="AG65" s="133">
        <v>5</v>
      </c>
      <c r="AH65" s="118">
        <v>250</v>
      </c>
      <c r="AI65" s="5">
        <f t="shared" si="7"/>
        <v>250</v>
      </c>
      <c r="AJ65" s="5">
        <f t="shared" si="8"/>
        <v>200</v>
      </c>
      <c r="AK65" t="s">
        <v>54</v>
      </c>
      <c r="AL65" s="160"/>
    </row>
    <row r="66" spans="1:38" x14ac:dyDescent="0.25">
      <c r="A66" t="s">
        <v>164</v>
      </c>
      <c r="B66" s="1" t="s">
        <v>156</v>
      </c>
      <c r="C66" s="252" t="str">
        <f>VLOOKUP(B66,Plantings!$A$2:$C$285,2,FALSE)</f>
        <v>FDG_L1</v>
      </c>
      <c r="D66" s="252" t="str">
        <f>VLOOKUP(B66,Plantings!$A$2:$C$285,3,FALSE)</f>
        <v>initial</v>
      </c>
      <c r="E66" s="1">
        <v>2017</v>
      </c>
      <c r="F66" t="s">
        <v>459</v>
      </c>
      <c r="G66" s="1" t="s">
        <v>493</v>
      </c>
      <c r="H66" s="1" t="s">
        <v>37</v>
      </c>
      <c r="I66" t="s">
        <v>405</v>
      </c>
      <c r="J66" t="s">
        <v>59</v>
      </c>
      <c r="K66" s="1" t="s">
        <v>176</v>
      </c>
      <c r="L66" t="s">
        <v>11</v>
      </c>
      <c r="M66" t="s">
        <v>179</v>
      </c>
      <c r="N66" t="s">
        <v>77</v>
      </c>
      <c r="O66" t="s">
        <v>52</v>
      </c>
      <c r="P66" t="s">
        <v>60</v>
      </c>
      <c r="Q66" t="s">
        <v>1105</v>
      </c>
      <c r="R66" s="1" t="s">
        <v>22</v>
      </c>
      <c r="S66" s="1" t="s">
        <v>22</v>
      </c>
      <c r="T66" s="134">
        <v>42935</v>
      </c>
      <c r="U66" s="30">
        <v>47.237250000000003</v>
      </c>
      <c r="V66" s="30">
        <v>-122.86138</v>
      </c>
      <c r="W66" s="252" t="str">
        <f>VLOOKUP(B66,Plantings!$A$2:$E$285,4,FALSE)</f>
        <v>line</v>
      </c>
      <c r="X66" s="251" t="str">
        <f>VLOOKUP(B66,Plantings!$A$2:$E$285,5,FALSE)</f>
        <v>retain</v>
      </c>
      <c r="Y66" s="7" t="s">
        <v>148</v>
      </c>
      <c r="Z66" s="36">
        <v>-1.95</v>
      </c>
      <c r="AA66" t="s">
        <v>1104</v>
      </c>
      <c r="AB66" s="1">
        <v>10</v>
      </c>
      <c r="AC66" s="1">
        <v>1</v>
      </c>
      <c r="AD66">
        <f t="shared" si="10"/>
        <v>10</v>
      </c>
      <c r="AE66" s="1">
        <v>6</v>
      </c>
      <c r="AF66" s="109">
        <f t="shared" si="12"/>
        <v>1.06</v>
      </c>
      <c r="AG66" s="133">
        <v>106</v>
      </c>
      <c r="AH66" s="118">
        <v>1056</v>
      </c>
      <c r="AI66" s="5">
        <f t="shared" si="7"/>
        <v>105.6</v>
      </c>
      <c r="AJ66" s="5">
        <f t="shared" si="8"/>
        <v>176</v>
      </c>
      <c r="AK66" t="s">
        <v>54</v>
      </c>
      <c r="AL66" s="160" t="s">
        <v>1180</v>
      </c>
    </row>
    <row r="67" spans="1:38" x14ac:dyDescent="0.25">
      <c r="A67" t="s">
        <v>164</v>
      </c>
      <c r="B67" s="1" t="s">
        <v>157</v>
      </c>
      <c r="C67" s="252" t="str">
        <f>VLOOKUP(B67,Plantings!$A$2:$C$285,2,FALSE)</f>
        <v>FDG_L1</v>
      </c>
      <c r="D67" s="252" t="str">
        <f>VLOOKUP(B67,Plantings!$A$2:$C$285,3,FALSE)</f>
        <v>initial</v>
      </c>
      <c r="E67" s="1">
        <v>2017</v>
      </c>
      <c r="F67" t="s">
        <v>459</v>
      </c>
      <c r="G67" s="1" t="s">
        <v>493</v>
      </c>
      <c r="H67" s="1" t="s">
        <v>37</v>
      </c>
      <c r="I67" t="s">
        <v>405</v>
      </c>
      <c r="J67" t="s">
        <v>59</v>
      </c>
      <c r="K67" s="1" t="s">
        <v>176</v>
      </c>
      <c r="L67" t="s">
        <v>11</v>
      </c>
      <c r="M67" t="s">
        <v>179</v>
      </c>
      <c r="N67" t="s">
        <v>77</v>
      </c>
      <c r="O67" t="s">
        <v>52</v>
      </c>
      <c r="P67" t="s">
        <v>60</v>
      </c>
      <c r="Q67" t="s">
        <v>1105</v>
      </c>
      <c r="R67" s="1" t="s">
        <v>22</v>
      </c>
      <c r="S67" s="25" t="s">
        <v>520</v>
      </c>
      <c r="T67" s="134">
        <v>42935</v>
      </c>
      <c r="U67" s="30">
        <v>47.237259999999999</v>
      </c>
      <c r="V67" s="30">
        <v>-122.86145</v>
      </c>
      <c r="W67" s="252" t="str">
        <f>VLOOKUP(B67,Plantings!$A$2:$E$285,4,FALSE)</f>
        <v>line</v>
      </c>
      <c r="X67" s="251" t="str">
        <f>VLOOKUP(B67,Plantings!$A$2:$E$285,5,FALSE)</f>
        <v>retain</v>
      </c>
      <c r="Y67" s="7" t="s">
        <v>148</v>
      </c>
      <c r="AF67" s="109" t="str">
        <f t="shared" si="12"/>
        <v/>
      </c>
      <c r="AG67" s="38"/>
      <c r="AH67" s="38"/>
      <c r="AI67" s="5" t="str">
        <f t="shared" ref="AI67:AI85" si="13">IFERROR(AH67/AD67, "")</f>
        <v/>
      </c>
      <c r="AJ67" s="5" t="str">
        <f t="shared" ref="AJ67:AJ85" si="14">IFERROR(AH67/AE67, "")</f>
        <v/>
      </c>
      <c r="AL67" s="160"/>
    </row>
    <row r="68" spans="1:38" x14ac:dyDescent="0.25">
      <c r="A68" t="s">
        <v>164</v>
      </c>
      <c r="B68" s="1" t="s">
        <v>158</v>
      </c>
      <c r="C68" s="252" t="str">
        <f>VLOOKUP(B68,Plantings!$A$2:$C$285,2,FALSE)</f>
        <v>FDG_L2</v>
      </c>
      <c r="D68" s="252" t="str">
        <f>VLOOKUP(B68,Plantings!$A$2:$C$285,3,FALSE)</f>
        <v>initial</v>
      </c>
      <c r="E68" s="1">
        <v>2017</v>
      </c>
      <c r="F68" t="s">
        <v>459</v>
      </c>
      <c r="G68" s="1" t="s">
        <v>493</v>
      </c>
      <c r="H68" s="1" t="s">
        <v>37</v>
      </c>
      <c r="I68" t="s">
        <v>405</v>
      </c>
      <c r="J68" t="s">
        <v>59</v>
      </c>
      <c r="K68" s="1" t="s">
        <v>176</v>
      </c>
      <c r="L68" t="s">
        <v>11</v>
      </c>
      <c r="M68" t="s">
        <v>179</v>
      </c>
      <c r="N68" t="s">
        <v>77</v>
      </c>
      <c r="O68" t="s">
        <v>52</v>
      </c>
      <c r="P68" t="s">
        <v>60</v>
      </c>
      <c r="Q68" t="s">
        <v>1105</v>
      </c>
      <c r="R68" s="1" t="s">
        <v>22</v>
      </c>
      <c r="S68" s="1" t="s">
        <v>22</v>
      </c>
      <c r="T68" s="134">
        <v>42935</v>
      </c>
      <c r="U68" s="30">
        <v>47.237659999999998</v>
      </c>
      <c r="V68" s="30">
        <v>-122.86239999999999</v>
      </c>
      <c r="W68" s="252" t="str">
        <f>VLOOKUP(B68,Plantings!$A$2:$E$285,4,FALSE)</f>
        <v>line</v>
      </c>
      <c r="X68" s="251" t="str">
        <f>VLOOKUP(B68,Plantings!$A$2:$E$285,5,FALSE)</f>
        <v>retain</v>
      </c>
      <c r="Y68" s="7" t="s">
        <v>148</v>
      </c>
      <c r="Z68" s="36">
        <v>-1.95</v>
      </c>
      <c r="AA68" t="s">
        <v>1104</v>
      </c>
      <c r="AB68" s="1">
        <v>10</v>
      </c>
      <c r="AC68" s="1">
        <v>1</v>
      </c>
      <c r="AD68">
        <f>AB68*AC68</f>
        <v>10</v>
      </c>
      <c r="AE68" s="1">
        <v>6</v>
      </c>
      <c r="AF68" s="109">
        <f t="shared" si="12"/>
        <v>1.1599999999999999</v>
      </c>
      <c r="AG68" s="133">
        <v>116</v>
      </c>
      <c r="AH68" s="38">
        <v>1160</v>
      </c>
      <c r="AI68" s="5">
        <f t="shared" si="13"/>
        <v>116</v>
      </c>
      <c r="AJ68" s="5">
        <f t="shared" si="14"/>
        <v>193.33333333333334</v>
      </c>
      <c r="AK68" t="s">
        <v>54</v>
      </c>
      <c r="AL68" s="160" t="s">
        <v>1181</v>
      </c>
    </row>
    <row r="69" spans="1:38" x14ac:dyDescent="0.25">
      <c r="A69" t="s">
        <v>164</v>
      </c>
      <c r="B69" s="1" t="s">
        <v>159</v>
      </c>
      <c r="C69" s="252" t="str">
        <f>VLOOKUP(B69,Plantings!$A$2:$C$285,2,FALSE)</f>
        <v>FDG_L2</v>
      </c>
      <c r="D69" s="252" t="str">
        <f>VLOOKUP(B69,Plantings!$A$2:$C$285,3,FALSE)</f>
        <v>initial</v>
      </c>
      <c r="E69" s="1">
        <v>2017</v>
      </c>
      <c r="F69" t="s">
        <v>459</v>
      </c>
      <c r="G69" s="1" t="s">
        <v>493</v>
      </c>
      <c r="H69" s="1" t="s">
        <v>37</v>
      </c>
      <c r="I69" t="s">
        <v>405</v>
      </c>
      <c r="J69" t="s">
        <v>59</v>
      </c>
      <c r="K69" s="1" t="s">
        <v>176</v>
      </c>
      <c r="L69" t="s">
        <v>11</v>
      </c>
      <c r="M69" t="s">
        <v>179</v>
      </c>
      <c r="N69" t="s">
        <v>77</v>
      </c>
      <c r="O69" t="s">
        <v>52</v>
      </c>
      <c r="P69" t="s">
        <v>60</v>
      </c>
      <c r="Q69" t="s">
        <v>1105</v>
      </c>
      <c r="R69" s="1" t="s">
        <v>22</v>
      </c>
      <c r="S69" s="25" t="s">
        <v>520</v>
      </c>
      <c r="T69" s="134">
        <v>42935</v>
      </c>
      <c r="U69" s="30">
        <v>47.237740000000002</v>
      </c>
      <c r="V69" s="30">
        <v>-122.86269</v>
      </c>
      <c r="W69" s="252" t="str">
        <f>VLOOKUP(B69,Plantings!$A$2:$E$285,4,FALSE)</f>
        <v>line</v>
      </c>
      <c r="X69" s="251" t="str">
        <f>VLOOKUP(B69,Plantings!$A$2:$E$285,5,FALSE)</f>
        <v>retain</v>
      </c>
      <c r="Y69" s="7" t="s">
        <v>148</v>
      </c>
      <c r="AF69" s="109" t="str">
        <f t="shared" si="12"/>
        <v/>
      </c>
      <c r="AG69" s="38"/>
      <c r="AH69" s="38"/>
      <c r="AI69" s="5" t="str">
        <f t="shared" si="13"/>
        <v/>
      </c>
      <c r="AJ69" s="5" t="str">
        <f t="shared" si="14"/>
        <v/>
      </c>
      <c r="AL69" s="160"/>
    </row>
    <row r="70" spans="1:38" x14ac:dyDescent="0.25">
      <c r="A70" s="34" t="s">
        <v>164</v>
      </c>
      <c r="B70" s="1" t="s">
        <v>1009</v>
      </c>
      <c r="C70" s="252" t="str">
        <f>VLOOKUP(B70,Plantings!$A$2:$C$285,2,FALSE)</f>
        <v>FDG_L1</v>
      </c>
      <c r="D70" s="252" t="str">
        <f>VLOOKUP(B70,Plantings!$A$2:$C$285,3,FALSE)</f>
        <v>repeat</v>
      </c>
      <c r="E70" s="131">
        <v>2018</v>
      </c>
      <c r="F70" t="s">
        <v>459</v>
      </c>
      <c r="G70" s="1" t="s">
        <v>493</v>
      </c>
      <c r="H70" s="1" t="s">
        <v>37</v>
      </c>
      <c r="I70" t="s">
        <v>405</v>
      </c>
      <c r="J70" s="1" t="s">
        <v>165</v>
      </c>
      <c r="K70" s="1" t="s">
        <v>165</v>
      </c>
      <c r="L70" s="1" t="s">
        <v>229</v>
      </c>
      <c r="R70" s="1" t="s">
        <v>22</v>
      </c>
      <c r="S70" s="1" t="s">
        <v>22</v>
      </c>
      <c r="T70" s="134">
        <v>43263</v>
      </c>
      <c r="U70" s="30">
        <v>47.237250000000003</v>
      </c>
      <c r="V70" s="30">
        <v>-122.86138</v>
      </c>
      <c r="W70" s="252" t="str">
        <f>VLOOKUP(B70,Plantings!$A$2:$E$285,4,FALSE)</f>
        <v>line</v>
      </c>
      <c r="X70" s="251" t="str">
        <f>VLOOKUP(B70,Plantings!$A$2:$E$285,5,FALSE)</f>
        <v>retain</v>
      </c>
      <c r="Y70" s="7" t="s">
        <v>148</v>
      </c>
      <c r="Z70" s="20">
        <v>-1.95</v>
      </c>
      <c r="AA70" t="s">
        <v>169</v>
      </c>
      <c r="AB70">
        <v>10</v>
      </c>
      <c r="AC70">
        <v>0.5</v>
      </c>
      <c r="AD70">
        <f>AB70*AC70</f>
        <v>5</v>
      </c>
      <c r="AE70">
        <f>AG70*0.25</f>
        <v>2.25</v>
      </c>
      <c r="AF70" s="109">
        <f t="shared" si="12"/>
        <v>0.22500000000000001</v>
      </c>
      <c r="AG70" s="38">
        <v>9</v>
      </c>
      <c r="AH70" s="135">
        <f>AG70*25</f>
        <v>225</v>
      </c>
      <c r="AI70" s="5">
        <f t="shared" si="13"/>
        <v>45</v>
      </c>
      <c r="AJ70" s="5">
        <f t="shared" si="14"/>
        <v>100</v>
      </c>
      <c r="AK70" t="s">
        <v>119</v>
      </c>
      <c r="AL70" s="13" t="s">
        <v>1189</v>
      </c>
    </row>
    <row r="71" spans="1:38" x14ac:dyDescent="0.25">
      <c r="A71" s="34" t="s">
        <v>164</v>
      </c>
      <c r="B71" s="1" t="s">
        <v>1011</v>
      </c>
      <c r="C71" s="252" t="str">
        <f>VLOOKUP(B71,Plantings!$A$2:$C$285,2,FALSE)</f>
        <v>FDG_L1</v>
      </c>
      <c r="D71" s="252" t="str">
        <f>VLOOKUP(B71,Plantings!$A$2:$C$285,3,FALSE)</f>
        <v>repeat</v>
      </c>
      <c r="E71" s="131">
        <v>2018</v>
      </c>
      <c r="F71" t="s">
        <v>459</v>
      </c>
      <c r="G71" s="1" t="s">
        <v>493</v>
      </c>
      <c r="H71" s="1" t="s">
        <v>37</v>
      </c>
      <c r="I71" t="s">
        <v>405</v>
      </c>
      <c r="J71" s="1" t="s">
        <v>165</v>
      </c>
      <c r="K71" s="1" t="s">
        <v>165</v>
      </c>
      <c r="L71" s="1" t="s">
        <v>229</v>
      </c>
      <c r="R71" s="1" t="s">
        <v>22</v>
      </c>
      <c r="S71" s="25" t="s">
        <v>520</v>
      </c>
      <c r="T71" s="134">
        <v>43263</v>
      </c>
      <c r="U71" s="30">
        <v>47.237259999999999</v>
      </c>
      <c r="V71" s="30">
        <v>-122.86145</v>
      </c>
      <c r="W71" s="252" t="str">
        <f>VLOOKUP(B71,Plantings!$A$2:$E$285,4,FALSE)</f>
        <v>line</v>
      </c>
      <c r="X71" s="251" t="str">
        <f>VLOOKUP(B71,Plantings!$A$2:$E$285,5,FALSE)</f>
        <v>retain</v>
      </c>
      <c r="Y71" s="7" t="s">
        <v>148</v>
      </c>
      <c r="Z71" s="20"/>
      <c r="AF71" s="109" t="str">
        <f t="shared" si="12"/>
        <v/>
      </c>
      <c r="AG71" s="38"/>
      <c r="AH71" s="135"/>
      <c r="AI71" s="5" t="str">
        <f t="shared" si="13"/>
        <v/>
      </c>
      <c r="AJ71" s="5" t="str">
        <f t="shared" si="14"/>
        <v/>
      </c>
    </row>
    <row r="72" spans="1:38" x14ac:dyDescent="0.25">
      <c r="A72" s="34" t="s">
        <v>164</v>
      </c>
      <c r="B72" s="1" t="s">
        <v>1012</v>
      </c>
      <c r="C72" s="252" t="str">
        <f>VLOOKUP(B72,Plantings!$A$2:$C$285,2,FALSE)</f>
        <v>FDG_L2</v>
      </c>
      <c r="D72" s="252" t="str">
        <f>VLOOKUP(B72,Plantings!$A$2:$C$285,3,FALSE)</f>
        <v>repeat</v>
      </c>
      <c r="E72" s="131">
        <v>2018</v>
      </c>
      <c r="F72" t="s">
        <v>459</v>
      </c>
      <c r="G72" s="1" t="s">
        <v>493</v>
      </c>
      <c r="H72" s="1" t="s">
        <v>37</v>
      </c>
      <c r="I72" t="s">
        <v>405</v>
      </c>
      <c r="J72" s="1" t="s">
        <v>165</v>
      </c>
      <c r="K72" s="1" t="s">
        <v>165</v>
      </c>
      <c r="L72" s="1" t="s">
        <v>229</v>
      </c>
      <c r="R72" s="1" t="s">
        <v>22</v>
      </c>
      <c r="S72" s="1" t="s">
        <v>22</v>
      </c>
      <c r="T72" s="134">
        <v>43263</v>
      </c>
      <c r="U72" s="30">
        <v>47.237659999999998</v>
      </c>
      <c r="V72" s="30">
        <v>-122.86239999999999</v>
      </c>
      <c r="W72" s="252" t="str">
        <f>VLOOKUP(B72,Plantings!$A$2:$E$285,4,FALSE)</f>
        <v>line</v>
      </c>
      <c r="X72" s="251" t="str">
        <f>VLOOKUP(B72,Plantings!$A$2:$E$285,5,FALSE)</f>
        <v>retain</v>
      </c>
      <c r="Y72" s="7" t="s">
        <v>148</v>
      </c>
      <c r="Z72" s="20">
        <v>-1.95</v>
      </c>
      <c r="AA72" t="s">
        <v>169</v>
      </c>
      <c r="AB72">
        <v>10</v>
      </c>
      <c r="AC72">
        <v>0.5</v>
      </c>
      <c r="AD72">
        <f>AB72*AC72</f>
        <v>5</v>
      </c>
      <c r="AE72">
        <f>AG72*0.25</f>
        <v>2.25</v>
      </c>
      <c r="AF72" s="109">
        <f t="shared" si="12"/>
        <v>0.22500000000000001</v>
      </c>
      <c r="AG72" s="38">
        <v>9</v>
      </c>
      <c r="AH72" s="135">
        <f>AG72*25</f>
        <v>225</v>
      </c>
      <c r="AI72" s="5">
        <f t="shared" si="13"/>
        <v>45</v>
      </c>
      <c r="AJ72" s="5">
        <f t="shared" si="14"/>
        <v>100</v>
      </c>
      <c r="AK72" t="s">
        <v>119</v>
      </c>
      <c r="AL72" s="13" t="s">
        <v>1189</v>
      </c>
    </row>
    <row r="73" spans="1:38" x14ac:dyDescent="0.25">
      <c r="A73" s="34" t="s">
        <v>164</v>
      </c>
      <c r="B73" s="1" t="s">
        <v>1013</v>
      </c>
      <c r="C73" s="252" t="str">
        <f>VLOOKUP(B73,Plantings!$A$2:$C$285,2,FALSE)</f>
        <v>FDG_L2</v>
      </c>
      <c r="D73" s="252" t="str">
        <f>VLOOKUP(B73,Plantings!$A$2:$C$285,3,FALSE)</f>
        <v>repeat</v>
      </c>
      <c r="E73" s="131">
        <v>2018</v>
      </c>
      <c r="F73" t="s">
        <v>459</v>
      </c>
      <c r="G73" s="1" t="s">
        <v>493</v>
      </c>
      <c r="H73" s="1" t="s">
        <v>37</v>
      </c>
      <c r="I73" t="s">
        <v>405</v>
      </c>
      <c r="J73" s="1" t="s">
        <v>165</v>
      </c>
      <c r="K73" s="1" t="s">
        <v>165</v>
      </c>
      <c r="L73" s="1" t="s">
        <v>229</v>
      </c>
      <c r="R73" s="1" t="s">
        <v>22</v>
      </c>
      <c r="S73" s="25" t="s">
        <v>520</v>
      </c>
      <c r="T73" s="134">
        <v>43263</v>
      </c>
      <c r="U73" s="30">
        <v>47.237740000000002</v>
      </c>
      <c r="V73" s="30">
        <v>-122.86269</v>
      </c>
      <c r="W73" s="252" t="str">
        <f>VLOOKUP(B73,Plantings!$A$2:$E$285,4,FALSE)</f>
        <v>line</v>
      </c>
      <c r="X73" s="251" t="str">
        <f>VLOOKUP(B73,Plantings!$A$2:$E$285,5,FALSE)</f>
        <v>retain</v>
      </c>
      <c r="Y73" s="7" t="s">
        <v>148</v>
      </c>
      <c r="AF73" s="109" t="str">
        <f t="shared" si="12"/>
        <v/>
      </c>
      <c r="AG73" s="38"/>
      <c r="AH73" s="135"/>
      <c r="AI73" s="5" t="str">
        <f t="shared" si="13"/>
        <v/>
      </c>
      <c r="AJ73" s="5" t="str">
        <f t="shared" si="14"/>
        <v/>
      </c>
    </row>
    <row r="74" spans="1:38" x14ac:dyDescent="0.25">
      <c r="A74" t="s">
        <v>34</v>
      </c>
      <c r="B74" t="s">
        <v>201</v>
      </c>
      <c r="C74" s="252" t="str">
        <f>VLOOKUP(B74,Plantings!$A$2:$C$285,2,FALSE)</f>
        <v>GRA_1</v>
      </c>
      <c r="D74" s="252" t="str">
        <f>VLOOKUP(B74,Plantings!$A$2:$C$285,3,FALSE)</f>
        <v>single</v>
      </c>
      <c r="E74">
        <v>2015</v>
      </c>
      <c r="G74" t="s">
        <v>412</v>
      </c>
      <c r="H74" t="s">
        <v>35</v>
      </c>
      <c r="I74" t="s">
        <v>404</v>
      </c>
      <c r="J74" t="s">
        <v>5</v>
      </c>
      <c r="K74" t="s">
        <v>165</v>
      </c>
      <c r="L74" t="s">
        <v>230</v>
      </c>
      <c r="O74" t="s">
        <v>49</v>
      </c>
      <c r="P74" t="s">
        <v>62</v>
      </c>
      <c r="Q74" t="s">
        <v>75</v>
      </c>
      <c r="R74" t="s">
        <v>22</v>
      </c>
      <c r="S74" t="s">
        <v>22</v>
      </c>
      <c r="T74" s="134">
        <v>42075</v>
      </c>
      <c r="U74" s="28">
        <v>47.251947999999999</v>
      </c>
      <c r="V74" s="28">
        <v>-122.92783300000001</v>
      </c>
      <c r="W74" s="252" t="str">
        <f>VLOOKUP(B74,Plantings!$A$2:$E$285,4,FALSE)</f>
        <v>point</v>
      </c>
      <c r="X74" s="251" t="str">
        <f>VLOOKUP(B74,Plantings!$A$2:$E$285,5,FALSE)</f>
        <v>retain</v>
      </c>
      <c r="Y74" s="7" t="s">
        <v>148</v>
      </c>
      <c r="Z74" s="20">
        <v>-1.2</v>
      </c>
      <c r="AA74" s="5" t="s">
        <v>168</v>
      </c>
      <c r="AB74">
        <v>5</v>
      </c>
      <c r="AC74">
        <v>5</v>
      </c>
      <c r="AD74">
        <f t="shared" ref="AD74:AD81" si="15">AB74*AC74</f>
        <v>25</v>
      </c>
      <c r="AE74" s="5">
        <v>25</v>
      </c>
      <c r="AF74" s="109">
        <f t="shared" si="12"/>
        <v>0.625</v>
      </c>
      <c r="AG74" s="38">
        <f>AH74/4</f>
        <v>125</v>
      </c>
      <c r="AH74" s="38">
        <v>500</v>
      </c>
      <c r="AI74" s="5">
        <f t="shared" si="13"/>
        <v>20</v>
      </c>
      <c r="AJ74" s="5">
        <f t="shared" si="14"/>
        <v>20</v>
      </c>
      <c r="AK74" t="s">
        <v>549</v>
      </c>
      <c r="AL74" s="160" t="s">
        <v>570</v>
      </c>
    </row>
    <row r="75" spans="1:38" x14ac:dyDescent="0.25">
      <c r="A75" t="s">
        <v>34</v>
      </c>
      <c r="B75" t="s">
        <v>983</v>
      </c>
      <c r="C75" s="252" t="str">
        <f>VLOOKUP(B75,Plantings!$A$2:$C$285,2,FALSE)</f>
        <v>GRA_2</v>
      </c>
      <c r="D75" s="252" t="str">
        <f>VLOOKUP(B75,Plantings!$A$2:$C$285,3,FALSE)</f>
        <v>single</v>
      </c>
      <c r="E75">
        <v>2016</v>
      </c>
      <c r="G75" t="s">
        <v>412</v>
      </c>
      <c r="H75" t="s">
        <v>35</v>
      </c>
      <c r="I75" t="s">
        <v>404</v>
      </c>
      <c r="K75" t="s">
        <v>165</v>
      </c>
      <c r="L75" s="1" t="s">
        <v>229</v>
      </c>
      <c r="R75" t="s">
        <v>22</v>
      </c>
      <c r="S75" t="s">
        <v>22</v>
      </c>
      <c r="T75" s="134">
        <v>42572</v>
      </c>
      <c r="U75" s="28">
        <v>47.251947999999999</v>
      </c>
      <c r="V75" s="28">
        <v>-122.92783300000001</v>
      </c>
      <c r="W75" s="252" t="str">
        <f>VLOOKUP(B75,Plantings!$A$2:$E$285,4,FALSE)</f>
        <v>point</v>
      </c>
      <c r="X75" s="251" t="str">
        <f>VLOOKUP(B75,Plantings!$A$2:$E$285,5,FALSE)</f>
        <v>drop</v>
      </c>
      <c r="Y75" s="7" t="s">
        <v>148</v>
      </c>
      <c r="Z75" s="20">
        <v>-0.2</v>
      </c>
      <c r="AA75" s="5" t="s">
        <v>169</v>
      </c>
      <c r="AB75">
        <v>0.25</v>
      </c>
      <c r="AC75">
        <v>9</v>
      </c>
      <c r="AD75">
        <f t="shared" si="15"/>
        <v>2.25</v>
      </c>
      <c r="AE75">
        <f>AG75*0.25</f>
        <v>12.5625</v>
      </c>
      <c r="AF75" s="109">
        <f t="shared" si="12"/>
        <v>1.2562500000000001</v>
      </c>
      <c r="AG75" s="38">
        <f>AH75/4</f>
        <v>50.25</v>
      </c>
      <c r="AH75" s="38">
        <v>201</v>
      </c>
      <c r="AI75" s="5">
        <f t="shared" si="13"/>
        <v>89.333333333333329</v>
      </c>
      <c r="AJ75" s="5">
        <f t="shared" si="14"/>
        <v>16</v>
      </c>
      <c r="AK75" t="s">
        <v>119</v>
      </c>
      <c r="AL75" s="160" t="s">
        <v>1917</v>
      </c>
    </row>
    <row r="76" spans="1:38" x14ac:dyDescent="0.25">
      <c r="A76" s="1" t="s">
        <v>167</v>
      </c>
      <c r="B76" s="1" t="s">
        <v>506</v>
      </c>
      <c r="C76" s="252" t="str">
        <f>VLOOKUP(B76,Plantings!$A$2:$C$285,2,FALSE)</f>
        <v>HAR_2</v>
      </c>
      <c r="D76" s="252" t="str">
        <f>VLOOKUP(B76,Plantings!$A$2:$C$285,3,FALSE)</f>
        <v>single</v>
      </c>
      <c r="E76" s="1">
        <v>2017</v>
      </c>
      <c r="F76" s="1"/>
      <c r="G76" s="1" t="s">
        <v>412</v>
      </c>
      <c r="H76" s="1" t="s">
        <v>37</v>
      </c>
      <c r="I76" t="s">
        <v>405</v>
      </c>
      <c r="J76" s="1" t="s">
        <v>72</v>
      </c>
      <c r="K76" s="1" t="s">
        <v>58</v>
      </c>
      <c r="L76" s="1" t="s">
        <v>58</v>
      </c>
      <c r="M76" s="1" t="s">
        <v>64</v>
      </c>
      <c r="N76" s="1"/>
      <c r="O76" s="1" t="s">
        <v>49</v>
      </c>
      <c r="P76" s="1" t="s">
        <v>1121</v>
      </c>
      <c r="Q76" s="1"/>
      <c r="R76" s="1" t="s">
        <v>22</v>
      </c>
      <c r="S76" s="1" t="s">
        <v>22</v>
      </c>
      <c r="T76" s="134">
        <v>42893</v>
      </c>
      <c r="U76" s="4">
        <v>47.294034213000003</v>
      </c>
      <c r="V76" s="4">
        <v>-122.85419904600001</v>
      </c>
      <c r="W76" s="252" t="str">
        <f>VLOOKUP(B76,Plantings!$A$2:$E$285,4,FALSE)</f>
        <v>point</v>
      </c>
      <c r="X76" s="251" t="str">
        <f>VLOOKUP(B76,Plantings!$A$2:$E$285,5,FALSE)</f>
        <v>retain</v>
      </c>
      <c r="Y76" t="s">
        <v>148</v>
      </c>
      <c r="Z76">
        <v>-0.9</v>
      </c>
      <c r="AA76" s="1" t="s">
        <v>169</v>
      </c>
      <c r="AB76" s="1">
        <v>3</v>
      </c>
      <c r="AC76" s="1">
        <v>2</v>
      </c>
      <c r="AD76">
        <f t="shared" si="15"/>
        <v>6</v>
      </c>
      <c r="AE76">
        <f>AG76*0.25</f>
        <v>5</v>
      </c>
      <c r="AF76" s="109">
        <f t="shared" si="12"/>
        <v>0.5</v>
      </c>
      <c r="AG76" s="133">
        <v>20</v>
      </c>
      <c r="AH76" s="133">
        <v>1000</v>
      </c>
      <c r="AI76" s="5">
        <f t="shared" si="13"/>
        <v>166.66666666666666</v>
      </c>
      <c r="AJ76" s="5">
        <f t="shared" si="14"/>
        <v>200</v>
      </c>
      <c r="AK76" s="1" t="s">
        <v>549</v>
      </c>
      <c r="AL76" s="161" t="s">
        <v>2023</v>
      </c>
    </row>
    <row r="77" spans="1:38" x14ac:dyDescent="0.25">
      <c r="A77" s="1" t="s">
        <v>167</v>
      </c>
      <c r="B77" s="1" t="s">
        <v>507</v>
      </c>
      <c r="C77" s="252" t="str">
        <f>VLOOKUP(B77,Plantings!$A$2:$C$285,2,FALSE)</f>
        <v>HAR_3</v>
      </c>
      <c r="D77" s="252" t="str">
        <f>VLOOKUP(B77,Plantings!$A$2:$C$285,3,FALSE)</f>
        <v>single</v>
      </c>
      <c r="E77" s="1">
        <v>2017</v>
      </c>
      <c r="F77" s="1"/>
      <c r="G77" s="1" t="s">
        <v>412</v>
      </c>
      <c r="H77" s="1" t="s">
        <v>37</v>
      </c>
      <c r="I77" t="s">
        <v>405</v>
      </c>
      <c r="J77" s="1" t="s">
        <v>72</v>
      </c>
      <c r="K77" s="1" t="s">
        <v>58</v>
      </c>
      <c r="L77" s="1" t="s">
        <v>58</v>
      </c>
      <c r="M77" s="1" t="s">
        <v>64</v>
      </c>
      <c r="N77" s="1"/>
      <c r="O77" s="1" t="s">
        <v>49</v>
      </c>
      <c r="P77" s="1" t="s">
        <v>1121</v>
      </c>
      <c r="Q77" s="1"/>
      <c r="R77" s="1" t="s">
        <v>22</v>
      </c>
      <c r="S77" s="1" t="s">
        <v>22</v>
      </c>
      <c r="T77" s="134">
        <v>42893</v>
      </c>
      <c r="U77" s="4">
        <v>47.293667186999997</v>
      </c>
      <c r="V77" s="4">
        <v>-122.85460205699999</v>
      </c>
      <c r="W77" s="252" t="str">
        <f>VLOOKUP(B77,Plantings!$A$2:$E$285,4,FALSE)</f>
        <v>point</v>
      </c>
      <c r="X77" s="251" t="str">
        <f>VLOOKUP(B77,Plantings!$A$2:$E$285,5,FALSE)</f>
        <v>retain</v>
      </c>
      <c r="Y77" t="s">
        <v>148</v>
      </c>
      <c r="Z77">
        <v>-1</v>
      </c>
      <c r="AA77" s="1" t="s">
        <v>169</v>
      </c>
      <c r="AB77" s="1">
        <v>3</v>
      </c>
      <c r="AC77" s="1">
        <v>2</v>
      </c>
      <c r="AD77">
        <f t="shared" si="15"/>
        <v>6</v>
      </c>
      <c r="AE77">
        <f>AG77*0.25</f>
        <v>5</v>
      </c>
      <c r="AF77" s="109">
        <f t="shared" si="12"/>
        <v>0.5</v>
      </c>
      <c r="AG77" s="133">
        <v>20</v>
      </c>
      <c r="AH77" s="133">
        <v>1000</v>
      </c>
      <c r="AI77" s="5">
        <f t="shared" si="13"/>
        <v>166.66666666666666</v>
      </c>
      <c r="AJ77" s="5">
        <f t="shared" si="14"/>
        <v>200</v>
      </c>
      <c r="AK77" s="1" t="s">
        <v>549</v>
      </c>
      <c r="AL77" s="161" t="s">
        <v>2023</v>
      </c>
    </row>
    <row r="78" spans="1:38" x14ac:dyDescent="0.25">
      <c r="A78" s="131" t="s">
        <v>167</v>
      </c>
      <c r="B78" s="131" t="s">
        <v>1899</v>
      </c>
      <c r="C78" s="252" t="str">
        <f>VLOOKUP(B78,Plantings!$A$2:$C$285,2,FALSE)</f>
        <v>HAR_4</v>
      </c>
      <c r="D78" s="252" t="str">
        <f>VLOOKUP(B78,Plantings!$A$2:$C$285,3,FALSE)</f>
        <v>single</v>
      </c>
      <c r="E78" s="131">
        <v>2017</v>
      </c>
      <c r="F78" s="131"/>
      <c r="G78" s="1" t="s">
        <v>412</v>
      </c>
      <c r="H78" s="131" t="s">
        <v>37</v>
      </c>
      <c r="I78" t="s">
        <v>405</v>
      </c>
      <c r="J78" s="131" t="s">
        <v>72</v>
      </c>
      <c r="K78" s="131" t="s">
        <v>58</v>
      </c>
      <c r="L78" s="131" t="s">
        <v>58</v>
      </c>
      <c r="M78" s="131" t="s">
        <v>64</v>
      </c>
      <c r="N78" s="131"/>
      <c r="O78" s="131" t="s">
        <v>49</v>
      </c>
      <c r="P78" s="1" t="s">
        <v>1121</v>
      </c>
      <c r="Q78" s="131"/>
      <c r="R78" s="131" t="s">
        <v>22</v>
      </c>
      <c r="S78" s="131" t="s">
        <v>22</v>
      </c>
      <c r="T78" s="134">
        <v>42893</v>
      </c>
      <c r="U78" s="4">
        <v>47.291899999999998</v>
      </c>
      <c r="V78" s="4">
        <v>-122.85523333333333</v>
      </c>
      <c r="W78" s="252" t="str">
        <f>VLOOKUP(B78,Plantings!$A$2:$E$285,4,FALSE)</f>
        <v>point</v>
      </c>
      <c r="X78" s="251" t="str">
        <f>VLOOKUP(B78,Plantings!$A$2:$E$285,5,FALSE)</f>
        <v>retain</v>
      </c>
      <c r="Y78" t="s">
        <v>148</v>
      </c>
      <c r="Z78" s="20">
        <v>-2.9778959999999999</v>
      </c>
      <c r="AA78" s="131" t="s">
        <v>168</v>
      </c>
      <c r="AB78" s="131">
        <v>2.5</v>
      </c>
      <c r="AC78" s="131">
        <v>2</v>
      </c>
      <c r="AD78">
        <f t="shared" si="15"/>
        <v>5</v>
      </c>
      <c r="AE78" s="131">
        <v>5</v>
      </c>
      <c r="AF78" s="109">
        <f t="shared" si="12"/>
        <v>0.5</v>
      </c>
      <c r="AG78" s="136">
        <v>100</v>
      </c>
      <c r="AH78" s="136">
        <v>800</v>
      </c>
      <c r="AI78" s="5">
        <f t="shared" si="13"/>
        <v>160</v>
      </c>
      <c r="AJ78" s="5">
        <f t="shared" si="14"/>
        <v>160</v>
      </c>
      <c r="AK78" s="34" t="s">
        <v>549</v>
      </c>
      <c r="AL78" s="46" t="s">
        <v>603</v>
      </c>
    </row>
    <row r="79" spans="1:38" x14ac:dyDescent="0.25">
      <c r="A79" s="131" t="s">
        <v>167</v>
      </c>
      <c r="B79" s="131" t="s">
        <v>1900</v>
      </c>
      <c r="C79" s="252" t="str">
        <f>VLOOKUP(B79,Plantings!$A$2:$C$285,2,FALSE)</f>
        <v>HAR_4</v>
      </c>
      <c r="D79" s="252" t="str">
        <f>VLOOKUP(B79,Plantings!$A$2:$C$285,3,FALSE)</f>
        <v>single</v>
      </c>
      <c r="E79" s="131">
        <v>2017</v>
      </c>
      <c r="F79" s="131"/>
      <c r="G79" s="1" t="s">
        <v>412</v>
      </c>
      <c r="H79" s="131" t="s">
        <v>37</v>
      </c>
      <c r="I79" t="s">
        <v>405</v>
      </c>
      <c r="J79" s="131" t="s">
        <v>72</v>
      </c>
      <c r="K79" s="131" t="s">
        <v>58</v>
      </c>
      <c r="L79" s="131" t="s">
        <v>58</v>
      </c>
      <c r="M79" s="131" t="s">
        <v>64</v>
      </c>
      <c r="N79" s="131"/>
      <c r="O79" s="131" t="s">
        <v>49</v>
      </c>
      <c r="P79" s="1" t="s">
        <v>1121</v>
      </c>
      <c r="Q79" s="131"/>
      <c r="R79" s="131" t="s">
        <v>22</v>
      </c>
      <c r="S79" s="131" t="s">
        <v>22</v>
      </c>
      <c r="T79" s="134">
        <v>42893</v>
      </c>
      <c r="U79" s="4">
        <v>47.291899999999998</v>
      </c>
      <c r="V79" s="4">
        <v>-122.85523333333333</v>
      </c>
      <c r="W79" s="252" t="str">
        <f>VLOOKUP(B79,Plantings!$A$2:$E$285,4,FALSE)</f>
        <v>point</v>
      </c>
      <c r="X79" s="251" t="str">
        <f>VLOOKUP(B79,Plantings!$A$2:$E$285,5,FALSE)</f>
        <v>retain</v>
      </c>
      <c r="Y79" t="s">
        <v>148</v>
      </c>
      <c r="Z79" s="20">
        <v>-2.9778959999999999</v>
      </c>
      <c r="AA79" s="131" t="s">
        <v>169</v>
      </c>
      <c r="AB79" s="131">
        <v>3</v>
      </c>
      <c r="AC79" s="131">
        <v>2</v>
      </c>
      <c r="AD79">
        <f t="shared" si="15"/>
        <v>6</v>
      </c>
      <c r="AE79">
        <f>AG79*0.25</f>
        <v>5</v>
      </c>
      <c r="AF79" s="109">
        <f t="shared" si="12"/>
        <v>0.5</v>
      </c>
      <c r="AG79" s="136">
        <v>20</v>
      </c>
      <c r="AH79" s="136">
        <v>1000</v>
      </c>
      <c r="AI79" s="5">
        <f t="shared" si="13"/>
        <v>166.66666666666666</v>
      </c>
      <c r="AJ79" s="5">
        <f t="shared" si="14"/>
        <v>200</v>
      </c>
      <c r="AK79" s="34" t="s">
        <v>549</v>
      </c>
      <c r="AL79" s="46" t="s">
        <v>603</v>
      </c>
    </row>
    <row r="80" spans="1:38" x14ac:dyDescent="0.25">
      <c r="A80" s="1" t="s">
        <v>167</v>
      </c>
      <c r="B80" s="1" t="s">
        <v>508</v>
      </c>
      <c r="C80" s="252" t="str">
        <f>VLOOKUP(B80,Plantings!$A$2:$C$285,2,FALSE)</f>
        <v>HAR_1</v>
      </c>
      <c r="D80" s="252" t="str">
        <f>VLOOKUP(B80,Plantings!$A$2:$C$285,3,FALSE)</f>
        <v>single</v>
      </c>
      <c r="E80" s="1">
        <v>2017</v>
      </c>
      <c r="F80" s="1"/>
      <c r="G80" s="1" t="s">
        <v>412</v>
      </c>
      <c r="H80" s="1" t="s">
        <v>37</v>
      </c>
      <c r="I80" t="s">
        <v>405</v>
      </c>
      <c r="J80" s="1" t="s">
        <v>72</v>
      </c>
      <c r="K80" s="1" t="s">
        <v>58</v>
      </c>
      <c r="L80" s="1" t="s">
        <v>58</v>
      </c>
      <c r="M80" s="1" t="s">
        <v>64</v>
      </c>
      <c r="N80" s="1"/>
      <c r="O80" s="1" t="s">
        <v>49</v>
      </c>
      <c r="P80" s="1" t="s">
        <v>1121</v>
      </c>
      <c r="Q80" s="1"/>
      <c r="R80" s="1" t="s">
        <v>22</v>
      </c>
      <c r="S80" s="1" t="s">
        <v>22</v>
      </c>
      <c r="T80" s="134">
        <v>42893</v>
      </c>
      <c r="U80" s="4">
        <v>47.295516666666664</v>
      </c>
      <c r="V80" s="4">
        <v>-122.8494</v>
      </c>
      <c r="W80" s="252" t="str">
        <f>VLOOKUP(B80,Plantings!$A$2:$E$285,4,FALSE)</f>
        <v>point</v>
      </c>
      <c r="X80" s="251" t="str">
        <f>VLOOKUP(B80,Plantings!$A$2:$E$285,5,FALSE)</f>
        <v>retain</v>
      </c>
      <c r="Y80" t="s">
        <v>148</v>
      </c>
      <c r="Z80" s="20">
        <v>-2.8041599999999995</v>
      </c>
      <c r="AA80" s="1" t="s">
        <v>169</v>
      </c>
      <c r="AB80" s="1">
        <v>3</v>
      </c>
      <c r="AC80" s="1">
        <v>2</v>
      </c>
      <c r="AD80">
        <f t="shared" si="15"/>
        <v>6</v>
      </c>
      <c r="AE80">
        <f>AG80*0.25</f>
        <v>5</v>
      </c>
      <c r="AF80" s="109">
        <f t="shared" si="12"/>
        <v>0.5</v>
      </c>
      <c r="AG80" s="133">
        <v>20</v>
      </c>
      <c r="AH80" s="133">
        <v>1000</v>
      </c>
      <c r="AI80" s="5">
        <f t="shared" si="13"/>
        <v>166.66666666666666</v>
      </c>
      <c r="AJ80" s="5">
        <f t="shared" si="14"/>
        <v>200</v>
      </c>
      <c r="AK80" s="1" t="s">
        <v>549</v>
      </c>
      <c r="AL80" s="161"/>
    </row>
    <row r="81" spans="1:38" x14ac:dyDescent="0.25">
      <c r="A81" t="s">
        <v>167</v>
      </c>
      <c r="B81" s="1" t="s">
        <v>1511</v>
      </c>
      <c r="C81" s="252" t="str">
        <f>VLOOKUP(B81,Plantings!$A$2:$C$285,2,FALSE)</f>
        <v>HAR_deep_L1</v>
      </c>
      <c r="D81" s="252" t="str">
        <f>VLOOKUP(B81,Plantings!$A$2:$C$285,3,FALSE)</f>
        <v>single</v>
      </c>
      <c r="E81" s="1">
        <v>2018</v>
      </c>
      <c r="F81" s="1"/>
      <c r="G81" s="34" t="s">
        <v>493</v>
      </c>
      <c r="H81" s="1" t="s">
        <v>37</v>
      </c>
      <c r="I81" t="s">
        <v>405</v>
      </c>
      <c r="J81" s="131" t="s">
        <v>72</v>
      </c>
      <c r="K81" s="131" t="s">
        <v>58</v>
      </c>
      <c r="L81" s="131" t="s">
        <v>58</v>
      </c>
      <c r="M81" s="131" t="s">
        <v>64</v>
      </c>
      <c r="N81" s="1"/>
      <c r="O81" s="1" t="s">
        <v>49</v>
      </c>
      <c r="P81" s="1" t="s">
        <v>1121</v>
      </c>
      <c r="Q81" s="1"/>
      <c r="R81" s="1" t="s">
        <v>13</v>
      </c>
      <c r="S81" s="1" t="s">
        <v>13</v>
      </c>
      <c r="T81" s="134">
        <v>43235</v>
      </c>
      <c r="U81" s="4">
        <v>47.293819999999997</v>
      </c>
      <c r="V81" s="4">
        <v>-122.85419</v>
      </c>
      <c r="W81" s="252" t="str">
        <f>VLOOKUP(B81,Plantings!$A$2:$E$285,4,FALSE)</f>
        <v>line</v>
      </c>
      <c r="X81" s="251" t="str">
        <f>VLOOKUP(B81,Plantings!$A$2:$E$285,5,FALSE)</f>
        <v>retain</v>
      </c>
      <c r="Y81" t="s">
        <v>148</v>
      </c>
      <c r="Z81" s="20">
        <v>-1.524</v>
      </c>
      <c r="AA81" s="53" t="s">
        <v>169</v>
      </c>
      <c r="AB81" s="54">
        <v>42</v>
      </c>
      <c r="AC81" s="19">
        <v>5</v>
      </c>
      <c r="AD81">
        <f t="shared" si="15"/>
        <v>210</v>
      </c>
      <c r="AE81">
        <f>AG81*0.25</f>
        <v>138</v>
      </c>
      <c r="AF81" s="109">
        <f t="shared" si="12"/>
        <v>13.8</v>
      </c>
      <c r="AG81" s="115">
        <v>552</v>
      </c>
      <c r="AH81" s="38">
        <v>13800</v>
      </c>
      <c r="AI81" s="5">
        <f t="shared" si="13"/>
        <v>65.714285714285708</v>
      </c>
      <c r="AJ81" s="5">
        <f t="shared" si="14"/>
        <v>100</v>
      </c>
      <c r="AK81" t="s">
        <v>547</v>
      </c>
      <c r="AL81" s="13" t="s">
        <v>1515</v>
      </c>
    </row>
    <row r="82" spans="1:38" x14ac:dyDescent="0.25">
      <c r="A82" t="s">
        <v>167</v>
      </c>
      <c r="B82" s="1" t="s">
        <v>1511</v>
      </c>
      <c r="C82" s="252" t="str">
        <f>VLOOKUP(B82,Plantings!$A$2:$C$285,2,FALSE)</f>
        <v>HAR_deep_L1</v>
      </c>
      <c r="D82" s="252" t="str">
        <f>VLOOKUP(B82,Plantings!$A$2:$C$285,3,FALSE)</f>
        <v>single</v>
      </c>
      <c r="E82" s="1">
        <v>2018</v>
      </c>
      <c r="F82" s="1"/>
      <c r="G82" s="34" t="s">
        <v>493</v>
      </c>
      <c r="H82" s="1" t="s">
        <v>37</v>
      </c>
      <c r="I82" t="s">
        <v>405</v>
      </c>
      <c r="J82" s="131" t="s">
        <v>72</v>
      </c>
      <c r="K82" s="131" t="s">
        <v>58</v>
      </c>
      <c r="L82" s="131" t="s">
        <v>58</v>
      </c>
      <c r="M82" s="131" t="s">
        <v>64</v>
      </c>
      <c r="N82" s="1"/>
      <c r="O82" s="1" t="s">
        <v>49</v>
      </c>
      <c r="P82" s="1" t="s">
        <v>1121</v>
      </c>
      <c r="Q82" s="1"/>
      <c r="R82" s="1" t="s">
        <v>13</v>
      </c>
      <c r="S82" s="56" t="s">
        <v>520</v>
      </c>
      <c r="T82" s="134">
        <v>43235</v>
      </c>
      <c r="U82" s="4">
        <v>47.294110000000003</v>
      </c>
      <c r="V82" s="4">
        <v>-122.85389000000001</v>
      </c>
      <c r="W82" s="252" t="str">
        <f>VLOOKUP(B82,Plantings!$A$2:$E$285,4,FALSE)</f>
        <v>line</v>
      </c>
      <c r="X82" s="251" t="str">
        <f>VLOOKUP(B82,Plantings!$A$2:$E$285,5,FALSE)</f>
        <v>retain</v>
      </c>
      <c r="Y82" t="s">
        <v>148</v>
      </c>
      <c r="Z82" s="20"/>
      <c r="AA82" s="53"/>
      <c r="AB82" s="54"/>
      <c r="AC82" s="19"/>
      <c r="AE82" s="131"/>
      <c r="AF82" s="109" t="str">
        <f t="shared" si="12"/>
        <v/>
      </c>
      <c r="AG82" s="115"/>
      <c r="AH82" s="38"/>
      <c r="AI82" s="5" t="str">
        <f t="shared" si="13"/>
        <v/>
      </c>
      <c r="AJ82" s="5" t="str">
        <f t="shared" si="14"/>
        <v/>
      </c>
    </row>
    <row r="83" spans="1:38" x14ac:dyDescent="0.25">
      <c r="A83" s="34" t="s">
        <v>167</v>
      </c>
      <c r="B83" s="1" t="s">
        <v>1512</v>
      </c>
      <c r="C83" s="252" t="str">
        <f>VLOOKUP(B83,Plantings!$A$2:$C$285,2,FALSE)</f>
        <v>HAR_shallow_L1</v>
      </c>
      <c r="D83" s="252" t="str">
        <f>VLOOKUP(B83,Plantings!$A$2:$C$285,3,FALSE)</f>
        <v>single</v>
      </c>
      <c r="E83" s="34">
        <v>2018</v>
      </c>
      <c r="G83" s="34" t="s">
        <v>493</v>
      </c>
      <c r="H83" s="34" t="s">
        <v>37</v>
      </c>
      <c r="I83" t="s">
        <v>405</v>
      </c>
      <c r="J83" s="1" t="s">
        <v>66</v>
      </c>
      <c r="K83" s="1" t="s">
        <v>69</v>
      </c>
      <c r="L83" s="1" t="s">
        <v>69</v>
      </c>
      <c r="M83" s="131" t="s">
        <v>1119</v>
      </c>
      <c r="N83" s="1" t="s">
        <v>67</v>
      </c>
      <c r="O83" s="34" t="s">
        <v>49</v>
      </c>
      <c r="P83" s="1" t="s">
        <v>1120</v>
      </c>
      <c r="R83" s="34" t="s">
        <v>13</v>
      </c>
      <c r="S83" t="s">
        <v>13</v>
      </c>
      <c r="T83" s="134">
        <v>43265</v>
      </c>
      <c r="U83" s="4">
        <v>47.293693353000002</v>
      </c>
      <c r="V83" s="4">
        <v>-122.854603497</v>
      </c>
      <c r="W83" s="252" t="str">
        <f>VLOOKUP(B83,Plantings!$A$2:$E$285,4,FALSE)</f>
        <v>line</v>
      </c>
      <c r="X83" s="251" t="str">
        <f>VLOOKUP(B83,Plantings!$A$2:$E$285,5,FALSE)</f>
        <v>retain</v>
      </c>
      <c r="Y83" t="s">
        <v>148</v>
      </c>
      <c r="Z83">
        <v>-1</v>
      </c>
      <c r="AA83" t="s">
        <v>169</v>
      </c>
      <c r="AB83">
        <v>31</v>
      </c>
      <c r="AC83">
        <v>5</v>
      </c>
      <c r="AD83">
        <f>AB83*AC83</f>
        <v>155</v>
      </c>
      <c r="AE83">
        <f>AG83*0.25</f>
        <v>97</v>
      </c>
      <c r="AF83" s="109">
        <f t="shared" si="12"/>
        <v>9.7000000000000011</v>
      </c>
      <c r="AG83" s="38">
        <v>388</v>
      </c>
      <c r="AH83" s="38">
        <v>9688</v>
      </c>
      <c r="AI83" s="5">
        <f t="shared" si="13"/>
        <v>62.50322580645161</v>
      </c>
      <c r="AJ83" s="5">
        <f t="shared" si="14"/>
        <v>99.876288659793815</v>
      </c>
      <c r="AK83" t="s">
        <v>549</v>
      </c>
      <c r="AL83" s="13" t="s">
        <v>2025</v>
      </c>
    </row>
    <row r="84" spans="1:38" x14ac:dyDescent="0.25">
      <c r="A84" s="34" t="s">
        <v>167</v>
      </c>
      <c r="B84" s="1" t="s">
        <v>1512</v>
      </c>
      <c r="C84" s="252" t="str">
        <f>VLOOKUP(B84,Plantings!$A$2:$C$285,2,FALSE)</f>
        <v>HAR_shallow_L1</v>
      </c>
      <c r="D84" s="252" t="str">
        <f>VLOOKUP(B84,Plantings!$A$2:$C$285,3,FALSE)</f>
        <v>single</v>
      </c>
      <c r="E84" s="34">
        <v>2018</v>
      </c>
      <c r="G84" s="34" t="s">
        <v>493</v>
      </c>
      <c r="H84" s="34" t="s">
        <v>37</v>
      </c>
      <c r="I84" t="s">
        <v>405</v>
      </c>
      <c r="J84" s="1" t="s">
        <v>66</v>
      </c>
      <c r="K84" s="1" t="s">
        <v>69</v>
      </c>
      <c r="L84" s="1" t="s">
        <v>69</v>
      </c>
      <c r="M84" s="131" t="s">
        <v>1119</v>
      </c>
      <c r="N84" s="1" t="s">
        <v>67</v>
      </c>
      <c r="O84" s="34" t="s">
        <v>49</v>
      </c>
      <c r="P84" s="1" t="s">
        <v>1120</v>
      </c>
      <c r="R84" s="34" t="s">
        <v>13</v>
      </c>
      <c r="S84" s="25" t="s">
        <v>520</v>
      </c>
      <c r="T84" s="134">
        <v>43265</v>
      </c>
      <c r="U84" s="4">
        <v>47.293960576000003</v>
      </c>
      <c r="V84" s="4">
        <v>-122.854260041</v>
      </c>
      <c r="W84" s="252" t="str">
        <f>VLOOKUP(B84,Plantings!$A$2:$E$285,4,FALSE)</f>
        <v>line</v>
      </c>
      <c r="X84" s="251" t="str">
        <f>VLOOKUP(B84,Plantings!$A$2:$E$285,5,FALSE)</f>
        <v>retain</v>
      </c>
      <c r="Y84" t="s">
        <v>148</v>
      </c>
      <c r="Z84">
        <v>-0.9</v>
      </c>
      <c r="AF84" s="109" t="str">
        <f t="shared" si="12"/>
        <v/>
      </c>
      <c r="AG84" s="38"/>
      <c r="AH84" s="38"/>
      <c r="AI84" s="5" t="str">
        <f t="shared" si="13"/>
        <v/>
      </c>
      <c r="AJ84" s="5" t="str">
        <f t="shared" si="14"/>
        <v/>
      </c>
      <c r="AL84" s="13" t="s">
        <v>2021</v>
      </c>
    </row>
    <row r="85" spans="1:38" x14ac:dyDescent="0.25">
      <c r="A85" t="s">
        <v>167</v>
      </c>
      <c r="B85" t="s">
        <v>1521</v>
      </c>
      <c r="C85" s="252" t="str">
        <f>VLOOKUP(B85,Plantings!$A$2:$C$285,2,FALSE)</f>
        <v>HAR_shallow_L2</v>
      </c>
      <c r="D85" s="252" t="str">
        <f>VLOOKUP(B85,Plantings!$A$2:$C$285,3,FALSE)</f>
        <v>single</v>
      </c>
      <c r="E85">
        <v>2019</v>
      </c>
      <c r="G85" t="s">
        <v>493</v>
      </c>
      <c r="H85" t="s">
        <v>37</v>
      </c>
      <c r="I85" t="s">
        <v>405</v>
      </c>
      <c r="J85" s="1" t="s">
        <v>72</v>
      </c>
      <c r="K85" s="1" t="s">
        <v>58</v>
      </c>
      <c r="L85" s="1" t="s">
        <v>58</v>
      </c>
      <c r="M85" s="1" t="s">
        <v>64</v>
      </c>
      <c r="N85" s="1"/>
      <c r="O85" s="1" t="s">
        <v>49</v>
      </c>
      <c r="P85" s="1" t="s">
        <v>1121</v>
      </c>
      <c r="R85" t="s">
        <v>13</v>
      </c>
      <c r="S85" s="25" t="s">
        <v>13</v>
      </c>
      <c r="T85" s="134">
        <v>43599</v>
      </c>
      <c r="U85" s="4">
        <v>47.294047956</v>
      </c>
      <c r="V85" s="4">
        <v>-122.854168074</v>
      </c>
      <c r="W85" s="252" t="str">
        <f>VLOOKUP(B85,Plantings!$A$2:$E$285,4,FALSE)</f>
        <v>line</v>
      </c>
      <c r="X85" s="251" t="str">
        <f>VLOOKUP(B85,Plantings!$A$2:$E$285,5,FALSE)</f>
        <v>retain</v>
      </c>
      <c r="Y85" t="s">
        <v>148</v>
      </c>
      <c r="Z85">
        <v>-0.9</v>
      </c>
      <c r="AA85" s="5" t="s">
        <v>169</v>
      </c>
      <c r="AB85">
        <v>39</v>
      </c>
      <c r="AC85">
        <v>6</v>
      </c>
      <c r="AD85">
        <f>AB85*AC85</f>
        <v>234</v>
      </c>
      <c r="AE85">
        <f>AG85*0.25</f>
        <v>136.75</v>
      </c>
      <c r="AF85" s="109">
        <f t="shared" si="12"/>
        <v>13.675000000000001</v>
      </c>
      <c r="AG85">
        <v>547</v>
      </c>
      <c r="AH85" s="119">
        <v>13320</v>
      </c>
      <c r="AI85" s="5">
        <f t="shared" si="13"/>
        <v>56.92307692307692</v>
      </c>
      <c r="AJ85" s="5">
        <f t="shared" si="14"/>
        <v>97.404021937842785</v>
      </c>
      <c r="AK85" t="s">
        <v>1517</v>
      </c>
      <c r="AL85" s="160" t="s">
        <v>2026</v>
      </c>
    </row>
    <row r="86" spans="1:38" x14ac:dyDescent="0.25">
      <c r="A86" s="1" t="s">
        <v>167</v>
      </c>
      <c r="B86" t="s">
        <v>1521</v>
      </c>
      <c r="C86" s="252" t="str">
        <f>VLOOKUP(B86,Plantings!$A$2:$C$285,2,FALSE)</f>
        <v>HAR_shallow_L2</v>
      </c>
      <c r="D86" s="252" t="str">
        <f>VLOOKUP(B86,Plantings!$A$2:$C$285,3,FALSE)</f>
        <v>single</v>
      </c>
      <c r="E86">
        <v>2019</v>
      </c>
      <c r="F86" s="1"/>
      <c r="G86" t="s">
        <v>493</v>
      </c>
      <c r="H86" t="s">
        <v>37</v>
      </c>
      <c r="I86" t="s">
        <v>405</v>
      </c>
      <c r="J86" s="1" t="s">
        <v>72</v>
      </c>
      <c r="K86" s="1" t="s">
        <v>58</v>
      </c>
      <c r="L86" s="1" t="s">
        <v>58</v>
      </c>
      <c r="M86" s="1" t="s">
        <v>64</v>
      </c>
      <c r="N86" s="1"/>
      <c r="O86" s="1" t="s">
        <v>49</v>
      </c>
      <c r="P86" s="1" t="s">
        <v>1121</v>
      </c>
      <c r="Q86" s="1"/>
      <c r="R86" t="s">
        <v>13</v>
      </c>
      <c r="S86" s="25" t="s">
        <v>520</v>
      </c>
      <c r="T86" s="134">
        <v>43599</v>
      </c>
      <c r="U86" s="4">
        <v>47.294176696000001</v>
      </c>
      <c r="V86" s="4">
        <v>-122.85368944299999</v>
      </c>
      <c r="W86" s="252" t="str">
        <f>VLOOKUP(B86,Plantings!$A$2:$E$285,4,FALSE)</f>
        <v>line</v>
      </c>
      <c r="X86" s="251" t="str">
        <f>VLOOKUP(B86,Plantings!$A$2:$E$285,5,FALSE)</f>
        <v>retain</v>
      </c>
      <c r="Y86" t="s">
        <v>148</v>
      </c>
      <c r="Z86">
        <v>-1.2</v>
      </c>
      <c r="AA86" s="5"/>
      <c r="AF86" s="109"/>
      <c r="AL86" s="13" t="s">
        <v>2022</v>
      </c>
    </row>
    <row r="87" spans="1:38" x14ac:dyDescent="0.25">
      <c r="A87" s="1" t="s">
        <v>167</v>
      </c>
      <c r="B87" t="s">
        <v>2000</v>
      </c>
      <c r="C87" s="252" t="str">
        <f>VLOOKUP(B87,Plantings!$A$2:$C$285,2,FALSE)</f>
        <v>HAR_shallow_L3</v>
      </c>
      <c r="D87" s="252" t="str">
        <f>VLOOKUP(B87,Plantings!$A$2:$C$285,3,FALSE)</f>
        <v>single</v>
      </c>
      <c r="E87" s="131">
        <v>2020</v>
      </c>
      <c r="G87" t="s">
        <v>493</v>
      </c>
      <c r="H87" t="s">
        <v>37</v>
      </c>
      <c r="I87" t="s">
        <v>405</v>
      </c>
      <c r="J87" s="131" t="s">
        <v>72</v>
      </c>
      <c r="K87" s="131" t="s">
        <v>58</v>
      </c>
      <c r="L87" s="131" t="s">
        <v>58</v>
      </c>
      <c r="M87" s="131" t="s">
        <v>64</v>
      </c>
      <c r="N87" s="1"/>
      <c r="O87" s="1" t="s">
        <v>49</v>
      </c>
      <c r="R87" t="s">
        <v>13</v>
      </c>
      <c r="S87" s="25" t="s">
        <v>13</v>
      </c>
      <c r="T87" s="134">
        <v>43983</v>
      </c>
      <c r="U87" s="4">
        <v>47.293015107999999</v>
      </c>
      <c r="V87" s="4">
        <v>-122.855246839</v>
      </c>
      <c r="W87" s="252" t="str">
        <f>VLOOKUP(B87,Plantings!$A$2:$E$285,4,FALSE)</f>
        <v>line</v>
      </c>
      <c r="X87" s="251" t="str">
        <f>VLOOKUP(B87,Plantings!$A$2:$E$285,5,FALSE)</f>
        <v>retain</v>
      </c>
      <c r="Y87" t="s">
        <v>148</v>
      </c>
      <c r="Z87">
        <v>-0.9</v>
      </c>
      <c r="AA87" s="5" t="s">
        <v>169</v>
      </c>
      <c r="AB87">
        <v>32</v>
      </c>
      <c r="AC87">
        <v>6</v>
      </c>
      <c r="AD87">
        <f>AB87*AC87</f>
        <v>192</v>
      </c>
      <c r="AE87">
        <f>AG87*0.25</f>
        <v>118.5</v>
      </c>
      <c r="AF87" s="109">
        <f>IF(AA87="staple",AG87*0.005,IF(AA87="rebar",AG87*0.025,IF(AA87="burlap",AG87*0.0625,IF(AA87="washer",AG87*0.0025,IF(AA87="pucks",AG87*0.00785,IF(AA87="turf",AG87*0.01,IF(AA87="","")))))))</f>
        <v>11.850000000000001</v>
      </c>
      <c r="AG87">
        <v>474</v>
      </c>
      <c r="AH87" s="130">
        <v>11390</v>
      </c>
      <c r="AI87" s="5">
        <f>IFERROR(AH87/AD87, "")</f>
        <v>59.322916666666664</v>
      </c>
      <c r="AJ87" s="5">
        <f>IFERROR(AH87/AE87, "")</f>
        <v>96.118143459915615</v>
      </c>
      <c r="AK87" t="s">
        <v>1517</v>
      </c>
      <c r="AL87" s="13" t="s">
        <v>2024</v>
      </c>
    </row>
    <row r="88" spans="1:38" x14ac:dyDescent="0.25">
      <c r="A88" s="1" t="s">
        <v>167</v>
      </c>
      <c r="B88" t="s">
        <v>2000</v>
      </c>
      <c r="C88" s="252" t="str">
        <f>VLOOKUP(B88,Plantings!$A$2:$C$285,2,FALSE)</f>
        <v>HAR_shallow_L3</v>
      </c>
      <c r="D88" s="252" t="str">
        <f>VLOOKUP(B88,Plantings!$A$2:$C$285,3,FALSE)</f>
        <v>single</v>
      </c>
      <c r="E88" s="131">
        <v>2020</v>
      </c>
      <c r="G88" t="s">
        <v>493</v>
      </c>
      <c r="H88" t="s">
        <v>37</v>
      </c>
      <c r="I88" t="s">
        <v>405</v>
      </c>
      <c r="J88" s="131" t="s">
        <v>72</v>
      </c>
      <c r="K88" s="131" t="s">
        <v>58</v>
      </c>
      <c r="L88" s="131" t="s">
        <v>58</v>
      </c>
      <c r="M88" s="131" t="s">
        <v>64</v>
      </c>
      <c r="N88" s="1"/>
      <c r="O88" s="1" t="s">
        <v>49</v>
      </c>
      <c r="R88" t="s">
        <v>13</v>
      </c>
      <c r="S88" s="25" t="s">
        <v>520</v>
      </c>
      <c r="T88" s="134">
        <v>43983</v>
      </c>
      <c r="U88" s="4">
        <v>47.293316236000003</v>
      </c>
      <c r="V88" s="4">
        <v>-122.854970201</v>
      </c>
      <c r="W88" s="252" t="str">
        <f>VLOOKUP(B88,Plantings!$A$2:$E$285,4,FALSE)</f>
        <v>line</v>
      </c>
      <c r="X88" s="251" t="str">
        <f>VLOOKUP(B88,Plantings!$A$2:$E$285,5,FALSE)</f>
        <v>retain</v>
      </c>
      <c r="Y88" t="s">
        <v>148</v>
      </c>
      <c r="Z88">
        <v>-1</v>
      </c>
      <c r="AA88" s="5"/>
      <c r="AF88" s="109"/>
      <c r="AH88" s="130"/>
      <c r="AI88" s="5"/>
      <c r="AJ88" s="5"/>
      <c r="AL88" s="13" t="s">
        <v>2016</v>
      </c>
    </row>
    <row r="89" spans="1:38" x14ac:dyDescent="0.25">
      <c r="A89" s="1" t="s">
        <v>167</v>
      </c>
      <c r="B89" s="1" t="s">
        <v>2002</v>
      </c>
      <c r="C89" s="252" t="str">
        <f>VLOOKUP(B89,Plantings!$A$2:$C$285,2,FALSE)</f>
        <v>HAR_5</v>
      </c>
      <c r="D89" s="252" t="str">
        <f>VLOOKUP(B89,Plantings!$A$2:$C$285,3,FALSE)</f>
        <v>single</v>
      </c>
      <c r="E89" s="131">
        <v>2020</v>
      </c>
      <c r="G89" t="s">
        <v>412</v>
      </c>
      <c r="H89" t="s">
        <v>37</v>
      </c>
      <c r="I89" t="s">
        <v>405</v>
      </c>
      <c r="J89" s="1" t="s">
        <v>72</v>
      </c>
      <c r="K89" s="1" t="s">
        <v>69</v>
      </c>
      <c r="L89" s="1" t="s">
        <v>69</v>
      </c>
      <c r="M89" s="131" t="s">
        <v>1119</v>
      </c>
      <c r="N89" s="1" t="s">
        <v>67</v>
      </c>
      <c r="O89" s="1" t="s">
        <v>49</v>
      </c>
      <c r="R89" t="s">
        <v>22</v>
      </c>
      <c r="S89" t="s">
        <v>22</v>
      </c>
      <c r="T89" s="134">
        <v>44011</v>
      </c>
      <c r="U89" s="4">
        <v>47.295769999999997</v>
      </c>
      <c r="V89" s="4">
        <v>-122.84945999999999</v>
      </c>
      <c r="W89" s="252" t="str">
        <f>VLOOKUP(B89,Plantings!$A$2:$E$285,4,FALSE)</f>
        <v>point</v>
      </c>
      <c r="X89" s="251" t="str">
        <f>VLOOKUP(B89,Plantings!$A$2:$E$285,5,FALSE)</f>
        <v>retain</v>
      </c>
      <c r="Y89" s="7" t="s">
        <v>148</v>
      </c>
      <c r="Z89" s="20">
        <v>-1.2</v>
      </c>
      <c r="AA89" s="5" t="s">
        <v>169</v>
      </c>
      <c r="AB89">
        <v>2.5</v>
      </c>
      <c r="AC89">
        <v>2.5</v>
      </c>
      <c r="AD89">
        <f t="shared" ref="AD89:AD98" si="16">AB89*AC89</f>
        <v>6.25</v>
      </c>
      <c r="AE89">
        <f>AG89*0.25</f>
        <v>5</v>
      </c>
      <c r="AF89" s="109">
        <f t="shared" ref="AF89:AF98" si="17">IF(AA89="staple",AG89*0.005,IF(AA89="rebar",AG89*0.025,IF(AA89="burlap",AG89*0.0625,IF(AA89="washer",AG89*0.0025,IF(AA89="pucks",AG89*0.00785,IF(AA89="turf",AG89*0.01,IF(AA89="","")))))))</f>
        <v>0.5</v>
      </c>
      <c r="AG89">
        <v>20</v>
      </c>
      <c r="AH89">
        <v>500</v>
      </c>
      <c r="AI89" s="5">
        <f t="shared" ref="AI89:AI120" si="18">IFERROR(AH89/AD89, "")</f>
        <v>80</v>
      </c>
      <c r="AJ89" s="5">
        <f t="shared" ref="AJ89:AJ120" si="19">IFERROR(AH89/AE89, "")</f>
        <v>100</v>
      </c>
      <c r="AK89" t="s">
        <v>54</v>
      </c>
      <c r="AL89" s="13" t="s">
        <v>1984</v>
      </c>
    </row>
    <row r="90" spans="1:38" x14ac:dyDescent="0.25">
      <c r="A90" s="1" t="s">
        <v>167</v>
      </c>
      <c r="B90" s="131" t="s">
        <v>2001</v>
      </c>
      <c r="C90" s="252" t="str">
        <f>VLOOKUP(B90,Plantings!$A$2:$C$285,2,FALSE)</f>
        <v>HAR_6</v>
      </c>
      <c r="D90" s="252" t="str">
        <f>VLOOKUP(B90,Plantings!$A$2:$C$285,3,FALSE)</f>
        <v>single</v>
      </c>
      <c r="E90" s="131">
        <v>2020</v>
      </c>
      <c r="G90" t="s">
        <v>412</v>
      </c>
      <c r="H90" t="s">
        <v>37</v>
      </c>
      <c r="I90" t="s">
        <v>405</v>
      </c>
      <c r="J90" s="1" t="s">
        <v>72</v>
      </c>
      <c r="K90" s="1" t="s">
        <v>69</v>
      </c>
      <c r="L90" s="1" t="s">
        <v>69</v>
      </c>
      <c r="M90" s="131" t="s">
        <v>1119</v>
      </c>
      <c r="N90" s="1" t="s">
        <v>67</v>
      </c>
      <c r="O90" s="1" t="s">
        <v>49</v>
      </c>
      <c r="R90" t="s">
        <v>22</v>
      </c>
      <c r="S90" t="s">
        <v>22</v>
      </c>
      <c r="T90" s="134">
        <v>44011</v>
      </c>
      <c r="U90" s="4">
        <v>47.292029999999997</v>
      </c>
      <c r="V90" s="4">
        <v>-122.8555666</v>
      </c>
      <c r="W90" s="252" t="str">
        <f>VLOOKUP(B90,Plantings!$A$2:$E$285,4,FALSE)</f>
        <v>point</v>
      </c>
      <c r="X90" s="251" t="str">
        <f>VLOOKUP(B90,Plantings!$A$2:$E$285,5,FALSE)</f>
        <v>retain</v>
      </c>
      <c r="Y90" s="7" t="s">
        <v>148</v>
      </c>
      <c r="Z90" s="20">
        <v>-1.1000000000000001</v>
      </c>
      <c r="AA90" s="5" t="s">
        <v>169</v>
      </c>
      <c r="AB90">
        <v>2.5</v>
      </c>
      <c r="AC90">
        <v>2.5</v>
      </c>
      <c r="AD90">
        <f t="shared" si="16"/>
        <v>6.25</v>
      </c>
      <c r="AE90">
        <f>AG90*0.25</f>
        <v>5</v>
      </c>
      <c r="AF90" s="109">
        <f t="shared" si="17"/>
        <v>0.5</v>
      </c>
      <c r="AG90">
        <v>20</v>
      </c>
      <c r="AH90">
        <v>500</v>
      </c>
      <c r="AI90" s="5">
        <f t="shared" si="18"/>
        <v>80</v>
      </c>
      <c r="AJ90" s="5">
        <f t="shared" si="19"/>
        <v>100</v>
      </c>
      <c r="AK90" t="s">
        <v>54</v>
      </c>
      <c r="AL90" s="13" t="s">
        <v>1985</v>
      </c>
    </row>
    <row r="91" spans="1:38" x14ac:dyDescent="0.25">
      <c r="A91" t="s">
        <v>38</v>
      </c>
      <c r="B91" t="s">
        <v>771</v>
      </c>
      <c r="C91" s="252" t="str">
        <f>VLOOKUP(B91,Plantings!$A$2:$C$285,2,FALSE)</f>
        <v>HRI</v>
      </c>
      <c r="D91" s="252" t="str">
        <f>VLOOKUP(B91,Plantings!$A$2:$C$285,3,FALSE)</f>
        <v>single</v>
      </c>
      <c r="E91">
        <v>2015</v>
      </c>
      <c r="G91" t="s">
        <v>412</v>
      </c>
      <c r="H91" t="s">
        <v>37</v>
      </c>
      <c r="I91" t="s">
        <v>405</v>
      </c>
      <c r="J91" t="s">
        <v>5</v>
      </c>
      <c r="K91" t="s">
        <v>165</v>
      </c>
      <c r="L91" t="s">
        <v>230</v>
      </c>
      <c r="O91" t="s">
        <v>49</v>
      </c>
      <c r="P91" t="s">
        <v>62</v>
      </c>
      <c r="Q91" t="s">
        <v>75</v>
      </c>
      <c r="R91" t="s">
        <v>22</v>
      </c>
      <c r="S91" t="s">
        <v>22</v>
      </c>
      <c r="T91" s="134">
        <v>42075</v>
      </c>
      <c r="U91" s="28">
        <v>47.279499000000001</v>
      </c>
      <c r="V91" s="29">
        <v>-122.809296</v>
      </c>
      <c r="W91" s="252" t="str">
        <f>VLOOKUP(B91,Plantings!$A$2:$E$285,4,FALSE)</f>
        <v>point</v>
      </c>
      <c r="X91" s="251" t="str">
        <f>VLOOKUP(B91,Plantings!$A$2:$E$285,5,FALSE)</f>
        <v>retain</v>
      </c>
      <c r="Y91" s="7" t="s">
        <v>148</v>
      </c>
      <c r="Z91" s="20">
        <v>-1.2</v>
      </c>
      <c r="AA91" s="5" t="s">
        <v>168</v>
      </c>
      <c r="AB91">
        <v>5</v>
      </c>
      <c r="AC91">
        <v>5</v>
      </c>
      <c r="AD91">
        <f t="shared" si="16"/>
        <v>25</v>
      </c>
      <c r="AE91">
        <v>25</v>
      </c>
      <c r="AF91" s="109">
        <f t="shared" si="17"/>
        <v>0.625</v>
      </c>
      <c r="AG91" s="38">
        <f>AH91/4</f>
        <v>125</v>
      </c>
      <c r="AH91" s="38">
        <v>500</v>
      </c>
      <c r="AI91" s="5">
        <f t="shared" si="18"/>
        <v>20</v>
      </c>
      <c r="AJ91" s="5">
        <f t="shared" si="19"/>
        <v>20</v>
      </c>
      <c r="AK91" t="s">
        <v>549</v>
      </c>
      <c r="AL91" s="13" t="s">
        <v>572</v>
      </c>
    </row>
    <row r="92" spans="1:38" x14ac:dyDescent="0.25">
      <c r="A92" t="s">
        <v>141</v>
      </c>
      <c r="B92" t="s">
        <v>401</v>
      </c>
      <c r="C92" s="252" t="str">
        <f>VLOOKUP(B92,Plantings!$A$2:$C$285,2,FALSE)</f>
        <v>HPT_south_1</v>
      </c>
      <c r="D92" s="252" t="str">
        <f>VLOOKUP(B92,Plantings!$A$2:$C$285,3,FALSE)</f>
        <v>single</v>
      </c>
      <c r="E92">
        <v>2015</v>
      </c>
      <c r="G92" t="s">
        <v>412</v>
      </c>
      <c r="H92" t="s">
        <v>39</v>
      </c>
      <c r="I92" t="s">
        <v>404</v>
      </c>
      <c r="J92" t="s">
        <v>5</v>
      </c>
      <c r="K92" t="s">
        <v>165</v>
      </c>
      <c r="L92" t="s">
        <v>230</v>
      </c>
      <c r="O92" t="s">
        <v>49</v>
      </c>
      <c r="P92" t="s">
        <v>62</v>
      </c>
      <c r="Q92" t="s">
        <v>75</v>
      </c>
      <c r="R92" t="s">
        <v>22</v>
      </c>
      <c r="S92" t="s">
        <v>22</v>
      </c>
      <c r="T92" s="134">
        <v>42142</v>
      </c>
      <c r="U92" s="4">
        <v>47.151866666666663</v>
      </c>
      <c r="V92" s="4">
        <v>-122.92978333333333</v>
      </c>
      <c r="W92" s="252" t="str">
        <f>VLOOKUP(B92,Plantings!$A$2:$E$285,4,FALSE)</f>
        <v>point</v>
      </c>
      <c r="X92" s="251" t="str">
        <f>VLOOKUP(B92,Plantings!$A$2:$E$285,5,FALSE)</f>
        <v>retain</v>
      </c>
      <c r="Y92" s="7" t="s">
        <v>148</v>
      </c>
      <c r="Z92" s="20">
        <v>-1.0668</v>
      </c>
      <c r="AA92" s="6" t="s">
        <v>168</v>
      </c>
      <c r="AB92">
        <v>5</v>
      </c>
      <c r="AC92">
        <v>5</v>
      </c>
      <c r="AD92">
        <f t="shared" si="16"/>
        <v>25</v>
      </c>
      <c r="AE92">
        <v>25</v>
      </c>
      <c r="AF92" s="109">
        <f t="shared" si="17"/>
        <v>0.625</v>
      </c>
      <c r="AG92" s="38">
        <f>AH92/4</f>
        <v>125</v>
      </c>
      <c r="AH92" s="38">
        <v>500</v>
      </c>
      <c r="AI92" s="5">
        <f t="shared" si="18"/>
        <v>20</v>
      </c>
      <c r="AJ92" s="5">
        <f t="shared" si="19"/>
        <v>20</v>
      </c>
      <c r="AK92" t="s">
        <v>8</v>
      </c>
      <c r="AL92" s="13" t="s">
        <v>585</v>
      </c>
    </row>
    <row r="93" spans="1:38" x14ac:dyDescent="0.25">
      <c r="A93" t="s">
        <v>141</v>
      </c>
      <c r="B93" t="s">
        <v>207</v>
      </c>
      <c r="C93" s="252" t="str">
        <f>VLOOKUP(B93,Plantings!$A$2:$C$285,2,FALSE)</f>
        <v>HPT_north_2</v>
      </c>
      <c r="D93" s="252" t="str">
        <f>VLOOKUP(B93,Plantings!$A$2:$C$285,3,FALSE)</f>
        <v>single</v>
      </c>
      <c r="E93">
        <v>2015</v>
      </c>
      <c r="G93" t="s">
        <v>412</v>
      </c>
      <c r="H93" t="s">
        <v>39</v>
      </c>
      <c r="I93" t="s">
        <v>404</v>
      </c>
      <c r="J93" t="s">
        <v>5</v>
      </c>
      <c r="K93" t="s">
        <v>165</v>
      </c>
      <c r="L93" t="s">
        <v>230</v>
      </c>
      <c r="O93" t="s">
        <v>49</v>
      </c>
      <c r="P93" t="s">
        <v>62</v>
      </c>
      <c r="Q93" t="s">
        <v>75</v>
      </c>
      <c r="R93" t="s">
        <v>22</v>
      </c>
      <c r="S93" t="s">
        <v>22</v>
      </c>
      <c r="T93" s="134">
        <v>42142</v>
      </c>
      <c r="U93" s="4">
        <v>47.155000000000001</v>
      </c>
      <c r="V93" s="4">
        <v>-122.92618333333333</v>
      </c>
      <c r="W93" s="252" t="str">
        <f>VLOOKUP(B93,Plantings!$A$2:$E$285,4,FALSE)</f>
        <v>point</v>
      </c>
      <c r="X93" s="251" t="str">
        <f>VLOOKUP(B93,Plantings!$A$2:$E$285,5,FALSE)</f>
        <v>retain</v>
      </c>
      <c r="Y93" s="7" t="s">
        <v>148</v>
      </c>
      <c r="Z93" s="20">
        <v>-1.3715999999999999</v>
      </c>
      <c r="AA93" s="5" t="s">
        <v>168</v>
      </c>
      <c r="AB93">
        <v>5</v>
      </c>
      <c r="AC93">
        <v>5</v>
      </c>
      <c r="AD93">
        <f t="shared" si="16"/>
        <v>25</v>
      </c>
      <c r="AE93">
        <v>25</v>
      </c>
      <c r="AF93" s="109">
        <f t="shared" si="17"/>
        <v>0.625</v>
      </c>
      <c r="AG93" s="38">
        <f>AH93/4</f>
        <v>125</v>
      </c>
      <c r="AH93" s="38">
        <v>500</v>
      </c>
      <c r="AI93" s="5">
        <f t="shared" si="18"/>
        <v>20</v>
      </c>
      <c r="AJ93" s="5">
        <f t="shared" si="19"/>
        <v>20</v>
      </c>
      <c r="AK93" t="s">
        <v>8</v>
      </c>
      <c r="AL93" s="13" t="s">
        <v>586</v>
      </c>
    </row>
    <row r="94" spans="1:38" x14ac:dyDescent="0.25">
      <c r="A94" t="s">
        <v>141</v>
      </c>
      <c r="B94" t="s">
        <v>2006</v>
      </c>
      <c r="C94" s="252" t="str">
        <f>VLOOKUP(B94,Plantings!$A$2:$C$285,2,FALSE)</f>
        <v>HPT_south_2</v>
      </c>
      <c r="D94" s="252" t="str">
        <f>VLOOKUP(B94,Plantings!$A$2:$C$285,3,FALSE)</f>
        <v>single</v>
      </c>
      <c r="E94" s="131">
        <v>2020</v>
      </c>
      <c r="G94" t="s">
        <v>412</v>
      </c>
      <c r="H94" t="s">
        <v>39</v>
      </c>
      <c r="I94" t="s">
        <v>404</v>
      </c>
      <c r="J94" s="1" t="s">
        <v>72</v>
      </c>
      <c r="K94" s="1" t="s">
        <v>69</v>
      </c>
      <c r="L94" s="1" t="s">
        <v>69</v>
      </c>
      <c r="M94" s="131" t="s">
        <v>1119</v>
      </c>
      <c r="N94" s="1" t="s">
        <v>67</v>
      </c>
      <c r="O94" s="1" t="s">
        <v>49</v>
      </c>
      <c r="R94" t="s">
        <v>22</v>
      </c>
      <c r="S94" t="s">
        <v>22</v>
      </c>
      <c r="T94" s="134">
        <v>44011</v>
      </c>
      <c r="U94" s="4">
        <v>47.151893000000001</v>
      </c>
      <c r="V94" s="4">
        <v>-122.92966</v>
      </c>
      <c r="W94" s="252" t="str">
        <f>VLOOKUP(B94,Plantings!$A$2:$E$285,4,FALSE)</f>
        <v>point</v>
      </c>
      <c r="X94" s="251" t="str">
        <f>VLOOKUP(B94,Plantings!$A$2:$E$285,5,FALSE)</f>
        <v>retain</v>
      </c>
      <c r="Y94" s="7" t="s">
        <v>148</v>
      </c>
      <c r="Z94" s="20">
        <v>-1.5</v>
      </c>
      <c r="AA94" s="5" t="s">
        <v>169</v>
      </c>
      <c r="AB94">
        <v>2.5</v>
      </c>
      <c r="AC94">
        <v>2.5</v>
      </c>
      <c r="AD94">
        <f t="shared" si="16"/>
        <v>6.25</v>
      </c>
      <c r="AE94">
        <f>AG94*0.25</f>
        <v>5</v>
      </c>
      <c r="AF94" s="109">
        <f t="shared" si="17"/>
        <v>0.5</v>
      </c>
      <c r="AG94">
        <v>20</v>
      </c>
      <c r="AH94">
        <v>500</v>
      </c>
      <c r="AI94" s="5">
        <f t="shared" si="18"/>
        <v>80</v>
      </c>
      <c r="AJ94" s="5">
        <f t="shared" si="19"/>
        <v>100</v>
      </c>
      <c r="AK94" t="s">
        <v>54</v>
      </c>
      <c r="AL94" s="13" t="s">
        <v>1982</v>
      </c>
    </row>
    <row r="95" spans="1:38" x14ac:dyDescent="0.25">
      <c r="A95" t="s">
        <v>141</v>
      </c>
      <c r="B95" t="s">
        <v>2007</v>
      </c>
      <c r="C95" s="252" t="str">
        <f>VLOOKUP(B95,Plantings!$A$2:$C$285,2,FALSE)</f>
        <v>HPT_north_2</v>
      </c>
      <c r="D95" s="252" t="str">
        <f>VLOOKUP(B95,Plantings!$A$2:$C$285,3,FALSE)</f>
        <v>single</v>
      </c>
      <c r="E95" s="131">
        <v>2020</v>
      </c>
      <c r="G95" t="s">
        <v>412</v>
      </c>
      <c r="H95" t="s">
        <v>39</v>
      </c>
      <c r="I95" t="s">
        <v>404</v>
      </c>
      <c r="J95" s="1" t="s">
        <v>72</v>
      </c>
      <c r="K95" s="1" t="s">
        <v>69</v>
      </c>
      <c r="L95" s="1" t="s">
        <v>69</v>
      </c>
      <c r="M95" s="131" t="s">
        <v>1119</v>
      </c>
      <c r="N95" s="1" t="s">
        <v>67</v>
      </c>
      <c r="O95" s="1" t="s">
        <v>49</v>
      </c>
      <c r="R95" t="s">
        <v>22</v>
      </c>
      <c r="S95" t="s">
        <v>22</v>
      </c>
      <c r="T95" s="134">
        <v>44011</v>
      </c>
      <c r="U95" s="4">
        <v>47.154924999999999</v>
      </c>
      <c r="V95" s="4">
        <v>-122.9261166</v>
      </c>
      <c r="W95" s="252" t="str">
        <f>VLOOKUP(B95,Plantings!$A$2:$E$285,4,FALSE)</f>
        <v>point</v>
      </c>
      <c r="X95" s="251" t="str">
        <f>VLOOKUP(B95,Plantings!$A$2:$E$285,5,FALSE)</f>
        <v>retain</v>
      </c>
      <c r="Y95" s="7" t="s">
        <v>148</v>
      </c>
      <c r="Z95" s="20">
        <v>-1.5</v>
      </c>
      <c r="AA95" s="5" t="s">
        <v>169</v>
      </c>
      <c r="AB95">
        <v>3</v>
      </c>
      <c r="AC95">
        <v>2.5</v>
      </c>
      <c r="AD95">
        <f t="shared" si="16"/>
        <v>7.5</v>
      </c>
      <c r="AE95">
        <f>AG95*0.25</f>
        <v>6</v>
      </c>
      <c r="AF95" s="109">
        <f t="shared" si="17"/>
        <v>0.60000000000000009</v>
      </c>
      <c r="AG95">
        <v>24</v>
      </c>
      <c r="AH95">
        <v>600</v>
      </c>
      <c r="AI95" s="5">
        <f t="shared" si="18"/>
        <v>80</v>
      </c>
      <c r="AJ95" s="5">
        <f t="shared" si="19"/>
        <v>100</v>
      </c>
      <c r="AK95" t="s">
        <v>54</v>
      </c>
      <c r="AL95" s="13" t="s">
        <v>1983</v>
      </c>
    </row>
    <row r="96" spans="1:38" x14ac:dyDescent="0.25">
      <c r="A96" t="s">
        <v>149</v>
      </c>
      <c r="B96" t="s">
        <v>1135</v>
      </c>
      <c r="C96" s="252" t="str">
        <f>VLOOKUP(B96,Plantings!$A$2:$C$285,2,FALSE)</f>
        <v>JSP_mid_shallow</v>
      </c>
      <c r="D96" s="252" t="str">
        <f>VLOOKUP(B96,Plantings!$A$2:$C$285,3,FALSE)</f>
        <v>single</v>
      </c>
      <c r="E96">
        <v>2013</v>
      </c>
      <c r="G96" t="s">
        <v>412</v>
      </c>
      <c r="H96" t="s">
        <v>37</v>
      </c>
      <c r="I96" t="s">
        <v>405</v>
      </c>
      <c r="J96" t="s">
        <v>10</v>
      </c>
      <c r="K96" t="s">
        <v>176</v>
      </c>
      <c r="L96" t="s">
        <v>11</v>
      </c>
      <c r="M96" t="s">
        <v>177</v>
      </c>
      <c r="N96" t="s">
        <v>137</v>
      </c>
      <c r="O96" t="s">
        <v>49</v>
      </c>
      <c r="P96" t="s">
        <v>61</v>
      </c>
      <c r="Q96" t="s">
        <v>76</v>
      </c>
      <c r="R96" t="s">
        <v>22</v>
      </c>
      <c r="S96" t="s">
        <v>22</v>
      </c>
      <c r="T96" s="134">
        <v>41430</v>
      </c>
      <c r="U96" s="4">
        <v>47.22228333333333</v>
      </c>
      <c r="V96" s="4">
        <v>-122.80965</v>
      </c>
      <c r="W96" s="252" t="str">
        <f>VLOOKUP(B96,Plantings!$A$2:$E$285,4,FALSE)</f>
        <v>point</v>
      </c>
      <c r="X96" s="251" t="str">
        <f>VLOOKUP(B96,Plantings!$A$2:$E$285,5,FALSE)</f>
        <v>retain</v>
      </c>
      <c r="Y96" s="7" t="s">
        <v>148</v>
      </c>
      <c r="Z96" s="20">
        <v>-0.91439999999999999</v>
      </c>
      <c r="AA96" s="5" t="s">
        <v>168</v>
      </c>
      <c r="AB96">
        <v>6</v>
      </c>
      <c r="AC96">
        <v>6</v>
      </c>
      <c r="AD96">
        <f t="shared" si="16"/>
        <v>36</v>
      </c>
      <c r="AE96">
        <v>36</v>
      </c>
      <c r="AF96" s="109">
        <f t="shared" si="17"/>
        <v>0.89</v>
      </c>
      <c r="AG96" s="38">
        <f>AH96/4</f>
        <v>178</v>
      </c>
      <c r="AH96" s="38">
        <v>712</v>
      </c>
      <c r="AI96" s="5">
        <f t="shared" si="18"/>
        <v>19.777777777777779</v>
      </c>
      <c r="AJ96" s="5">
        <f t="shared" si="19"/>
        <v>19.777777777777779</v>
      </c>
      <c r="AK96" t="s">
        <v>553</v>
      </c>
      <c r="AL96" s="13" t="s">
        <v>976</v>
      </c>
    </row>
    <row r="97" spans="1:38" x14ac:dyDescent="0.25">
      <c r="A97" t="s">
        <v>149</v>
      </c>
      <c r="B97" t="s">
        <v>1136</v>
      </c>
      <c r="C97" s="252" t="str">
        <f>VLOOKUP(B97,Plantings!$A$2:$C$285,2,FALSE)</f>
        <v>JSP_mid_deep</v>
      </c>
      <c r="D97" s="252" t="str">
        <f>VLOOKUP(B97,Plantings!$A$2:$C$285,3,FALSE)</f>
        <v>single</v>
      </c>
      <c r="E97">
        <v>2013</v>
      </c>
      <c r="G97" t="s">
        <v>412</v>
      </c>
      <c r="H97" t="s">
        <v>37</v>
      </c>
      <c r="I97" t="s">
        <v>405</v>
      </c>
      <c r="J97" t="s">
        <v>10</v>
      </c>
      <c r="K97" t="s">
        <v>176</v>
      </c>
      <c r="L97" t="s">
        <v>11</v>
      </c>
      <c r="M97" t="s">
        <v>177</v>
      </c>
      <c r="N97" t="s">
        <v>137</v>
      </c>
      <c r="O97" t="s">
        <v>49</v>
      </c>
      <c r="P97" t="s">
        <v>61</v>
      </c>
      <c r="Q97" t="s">
        <v>76</v>
      </c>
      <c r="R97" t="s">
        <v>22</v>
      </c>
      <c r="S97" t="s">
        <v>22</v>
      </c>
      <c r="T97" s="134">
        <v>41430</v>
      </c>
      <c r="U97" s="4">
        <v>47.222016666666669</v>
      </c>
      <c r="V97" s="4">
        <v>-122.81008333333334</v>
      </c>
      <c r="W97" s="252" t="str">
        <f>VLOOKUP(B97,Plantings!$A$2:$E$285,4,FALSE)</f>
        <v>point</v>
      </c>
      <c r="X97" s="251" t="str">
        <f>VLOOKUP(B97,Plantings!$A$2:$E$285,5,FALSE)</f>
        <v>retain</v>
      </c>
      <c r="Y97" s="7" t="s">
        <v>148</v>
      </c>
      <c r="Z97" s="20">
        <v>-1.524</v>
      </c>
      <c r="AA97" s="5" t="s">
        <v>168</v>
      </c>
      <c r="AB97">
        <v>6</v>
      </c>
      <c r="AC97">
        <v>6</v>
      </c>
      <c r="AD97">
        <f t="shared" si="16"/>
        <v>36</v>
      </c>
      <c r="AE97">
        <v>36</v>
      </c>
      <c r="AF97" s="109">
        <f t="shared" si="17"/>
        <v>0.89</v>
      </c>
      <c r="AG97" s="38">
        <f>AH97/4</f>
        <v>178</v>
      </c>
      <c r="AH97" s="38">
        <v>712</v>
      </c>
      <c r="AI97" s="5">
        <f t="shared" si="18"/>
        <v>19.777777777777779</v>
      </c>
      <c r="AJ97" s="5">
        <f t="shared" si="19"/>
        <v>19.777777777777779</v>
      </c>
      <c r="AK97" t="s">
        <v>553</v>
      </c>
      <c r="AL97" s="13" t="s">
        <v>554</v>
      </c>
    </row>
    <row r="98" spans="1:38" x14ac:dyDescent="0.25">
      <c r="A98" t="s">
        <v>149</v>
      </c>
      <c r="B98" t="s">
        <v>1137</v>
      </c>
      <c r="C98" s="252" t="str">
        <f>VLOOKUP(B98,Plantings!$A$2:$C$285,2,FALSE)</f>
        <v>JSP_mid_south_P1</v>
      </c>
      <c r="D98" s="252" t="str">
        <f>VLOOKUP(B98,Plantings!$A$2:$C$285,3,FALSE)</f>
        <v>single</v>
      </c>
      <c r="E98">
        <v>2015</v>
      </c>
      <c r="G98" t="s">
        <v>413</v>
      </c>
      <c r="H98" t="s">
        <v>37</v>
      </c>
      <c r="I98" t="s">
        <v>405</v>
      </c>
      <c r="J98" t="s">
        <v>5</v>
      </c>
      <c r="K98" t="s">
        <v>165</v>
      </c>
      <c r="L98" t="s">
        <v>230</v>
      </c>
      <c r="O98" t="s">
        <v>49</v>
      </c>
      <c r="P98" t="s">
        <v>62</v>
      </c>
      <c r="Q98" t="s">
        <v>75</v>
      </c>
      <c r="R98" t="s">
        <v>13</v>
      </c>
      <c r="S98" t="s">
        <v>13</v>
      </c>
      <c r="T98" s="134">
        <v>42141</v>
      </c>
      <c r="U98" s="4">
        <v>47.222349999999999</v>
      </c>
      <c r="V98" s="4">
        <v>-122.8105</v>
      </c>
      <c r="W98" s="252" t="str">
        <f>VLOOKUP(B98,Plantings!$A$2:$E$285,4,FALSE)</f>
        <v>polygon</v>
      </c>
      <c r="X98" s="251" t="str">
        <f>VLOOKUP(B98,Plantings!$A$2:$E$285,5,FALSE)</f>
        <v>retain</v>
      </c>
      <c r="Y98" t="s">
        <v>148</v>
      </c>
      <c r="Z98" s="20"/>
      <c r="AA98" s="130" t="s">
        <v>168</v>
      </c>
      <c r="AB98">
        <v>50</v>
      </c>
      <c r="AC98">
        <v>40</v>
      </c>
      <c r="AD98">
        <f t="shared" si="16"/>
        <v>2000</v>
      </c>
      <c r="AE98" s="130">
        <v>126.25</v>
      </c>
      <c r="AF98" s="109">
        <f t="shared" si="17"/>
        <v>12.75</v>
      </c>
      <c r="AG98" s="38">
        <f>AH98/4</f>
        <v>2550</v>
      </c>
      <c r="AH98" s="119">
        <v>10200</v>
      </c>
      <c r="AI98" s="5">
        <f t="shared" si="18"/>
        <v>5.0999999999999996</v>
      </c>
      <c r="AJ98" s="5">
        <f t="shared" si="19"/>
        <v>80.792079207920793</v>
      </c>
      <c r="AK98" t="s">
        <v>1168</v>
      </c>
      <c r="AL98" s="163" t="s">
        <v>587</v>
      </c>
    </row>
    <row r="99" spans="1:38" x14ac:dyDescent="0.25">
      <c r="A99" t="s">
        <v>149</v>
      </c>
      <c r="B99" t="s">
        <v>1138</v>
      </c>
      <c r="C99" s="252" t="str">
        <f>VLOOKUP(B99,Plantings!$A$2:$C$285,2,FALSE)</f>
        <v>JSP_mid_south_P1</v>
      </c>
      <c r="D99" s="252" t="str">
        <f>VLOOKUP(B99,Plantings!$A$2:$C$285,3,FALSE)</f>
        <v>single</v>
      </c>
      <c r="E99">
        <v>2015</v>
      </c>
      <c r="G99" t="s">
        <v>413</v>
      </c>
      <c r="H99" t="s">
        <v>37</v>
      </c>
      <c r="I99" t="s">
        <v>405</v>
      </c>
      <c r="J99" t="s">
        <v>5</v>
      </c>
      <c r="K99" t="s">
        <v>165</v>
      </c>
      <c r="L99" t="s">
        <v>230</v>
      </c>
      <c r="O99" t="s">
        <v>49</v>
      </c>
      <c r="P99" t="s">
        <v>62</v>
      </c>
      <c r="Q99" t="s">
        <v>75</v>
      </c>
      <c r="R99" t="s">
        <v>13</v>
      </c>
      <c r="S99" s="25" t="s">
        <v>520</v>
      </c>
      <c r="T99" s="134">
        <v>42141</v>
      </c>
      <c r="U99" s="4">
        <v>47.222516666666664</v>
      </c>
      <c r="V99" s="4">
        <v>-122.81003333333334</v>
      </c>
      <c r="W99" s="252" t="str">
        <f>VLOOKUP(B99,Plantings!$A$2:$E$285,4,FALSE)</f>
        <v>polygon</v>
      </c>
      <c r="X99" s="251" t="str">
        <f>VLOOKUP(B99,Plantings!$A$2:$E$285,5,FALSE)</f>
        <v>retain</v>
      </c>
      <c r="Y99" s="7" t="s">
        <v>148</v>
      </c>
      <c r="Z99" s="20"/>
      <c r="AA99" s="130" t="s">
        <v>168</v>
      </c>
      <c r="AE99" s="5"/>
      <c r="AF99" s="109"/>
      <c r="AG99" s="38"/>
      <c r="AH99" s="38"/>
      <c r="AI99" s="5" t="str">
        <f t="shared" si="18"/>
        <v/>
      </c>
      <c r="AJ99" s="5" t="str">
        <f t="shared" si="19"/>
        <v/>
      </c>
      <c r="AL99" s="160" t="s">
        <v>15</v>
      </c>
    </row>
    <row r="100" spans="1:38" x14ac:dyDescent="0.25">
      <c r="A100" t="s">
        <v>149</v>
      </c>
      <c r="B100" t="s">
        <v>1139</v>
      </c>
      <c r="C100" s="252" t="str">
        <f>VLOOKUP(B100,Plantings!$A$2:$C$285,2,FALSE)</f>
        <v>JSP_mid_south_P1</v>
      </c>
      <c r="D100" s="252" t="str">
        <f>VLOOKUP(B100,Plantings!$A$2:$C$285,3,FALSE)</f>
        <v>single</v>
      </c>
      <c r="E100">
        <v>2015</v>
      </c>
      <c r="G100" t="s">
        <v>413</v>
      </c>
      <c r="H100" t="s">
        <v>37</v>
      </c>
      <c r="I100" t="s">
        <v>405</v>
      </c>
      <c r="J100" t="s">
        <v>5</v>
      </c>
      <c r="K100" t="s">
        <v>165</v>
      </c>
      <c r="L100" t="s">
        <v>230</v>
      </c>
      <c r="O100" t="s">
        <v>49</v>
      </c>
      <c r="P100" t="s">
        <v>62</v>
      </c>
      <c r="Q100" t="s">
        <v>75</v>
      </c>
      <c r="R100" t="s">
        <v>13</v>
      </c>
      <c r="S100" s="25" t="s">
        <v>520</v>
      </c>
      <c r="T100" s="134">
        <v>42141</v>
      </c>
      <c r="U100" s="4">
        <v>47.222149999999999</v>
      </c>
      <c r="V100" s="4">
        <v>-122.80966666666667</v>
      </c>
      <c r="W100" s="252" t="str">
        <f>VLOOKUP(B100,Plantings!$A$2:$E$285,4,FALSE)</f>
        <v>polygon</v>
      </c>
      <c r="X100" s="251" t="str">
        <f>VLOOKUP(B100,Plantings!$A$2:$E$285,5,FALSE)</f>
        <v>retain</v>
      </c>
      <c r="Y100" s="7" t="s">
        <v>148</v>
      </c>
      <c r="Z100" s="20">
        <v>-0.91439999999999999</v>
      </c>
      <c r="AA100" s="130" t="s">
        <v>168</v>
      </c>
      <c r="AE100" s="5"/>
      <c r="AF100" s="109"/>
      <c r="AG100" s="38"/>
      <c r="AH100" s="38"/>
      <c r="AI100" s="5" t="str">
        <f t="shared" si="18"/>
        <v/>
      </c>
      <c r="AJ100" s="5" t="str">
        <f t="shared" si="19"/>
        <v/>
      </c>
      <c r="AL100" s="160" t="s">
        <v>16</v>
      </c>
    </row>
    <row r="101" spans="1:38" x14ac:dyDescent="0.25">
      <c r="A101" t="s">
        <v>149</v>
      </c>
      <c r="B101" t="s">
        <v>1140</v>
      </c>
      <c r="C101" s="252" t="str">
        <f>VLOOKUP(B101,Plantings!$A$2:$C$285,2,FALSE)</f>
        <v>JSP_mid_south_P1</v>
      </c>
      <c r="D101" s="252" t="str">
        <f>VLOOKUP(B101,Plantings!$A$2:$C$285,3,FALSE)</f>
        <v>single</v>
      </c>
      <c r="E101">
        <v>2015</v>
      </c>
      <c r="G101" t="s">
        <v>413</v>
      </c>
      <c r="H101" t="s">
        <v>37</v>
      </c>
      <c r="I101" t="s">
        <v>405</v>
      </c>
      <c r="J101" t="s">
        <v>5</v>
      </c>
      <c r="K101" t="s">
        <v>165</v>
      </c>
      <c r="L101" t="s">
        <v>230</v>
      </c>
      <c r="O101" t="s">
        <v>49</v>
      </c>
      <c r="P101" t="s">
        <v>62</v>
      </c>
      <c r="Q101" t="s">
        <v>75</v>
      </c>
      <c r="R101" t="s">
        <v>13</v>
      </c>
      <c r="S101" s="25" t="s">
        <v>520</v>
      </c>
      <c r="T101" s="134">
        <v>42141</v>
      </c>
      <c r="U101" s="4">
        <v>47.222000000000001</v>
      </c>
      <c r="V101" s="4">
        <v>-122.81008333333334</v>
      </c>
      <c r="W101" s="252" t="str">
        <f>VLOOKUP(B101,Plantings!$A$2:$E$285,4,FALSE)</f>
        <v>polygon</v>
      </c>
      <c r="X101" s="251" t="str">
        <f>VLOOKUP(B101,Plantings!$A$2:$E$285,5,FALSE)</f>
        <v>retain</v>
      </c>
      <c r="Y101" s="7" t="s">
        <v>148</v>
      </c>
      <c r="Z101" s="20">
        <v>-1.524</v>
      </c>
      <c r="AA101" s="130" t="s">
        <v>168</v>
      </c>
      <c r="AE101" s="5"/>
      <c r="AF101" s="109"/>
      <c r="AG101" s="38"/>
      <c r="AH101" s="38"/>
      <c r="AI101" s="5" t="str">
        <f t="shared" si="18"/>
        <v/>
      </c>
      <c r="AJ101" s="5" t="str">
        <f t="shared" si="19"/>
        <v/>
      </c>
      <c r="AL101" s="160" t="s">
        <v>50</v>
      </c>
    </row>
    <row r="102" spans="1:38" x14ac:dyDescent="0.25">
      <c r="A102" t="s">
        <v>149</v>
      </c>
      <c r="B102" t="s">
        <v>1141</v>
      </c>
      <c r="C102" s="252" t="str">
        <f>VLOOKUP(B102,Plantings!$A$2:$C$285,2,FALSE)</f>
        <v>JSP_mid_north_P1</v>
      </c>
      <c r="D102" s="252" t="str">
        <f>VLOOKUP(B102,Plantings!$A$2:$C$285,3,FALSE)</f>
        <v>single</v>
      </c>
      <c r="E102">
        <v>2015</v>
      </c>
      <c r="G102" t="s">
        <v>413</v>
      </c>
      <c r="H102" t="s">
        <v>37</v>
      </c>
      <c r="I102" t="s">
        <v>405</v>
      </c>
      <c r="J102" t="s">
        <v>5</v>
      </c>
      <c r="K102" t="s">
        <v>165</v>
      </c>
      <c r="L102" t="s">
        <v>230</v>
      </c>
      <c r="O102" t="s">
        <v>49</v>
      </c>
      <c r="P102" t="s">
        <v>62</v>
      </c>
      <c r="Q102" t="s">
        <v>73</v>
      </c>
      <c r="R102" t="s">
        <v>13</v>
      </c>
      <c r="S102" t="s">
        <v>13</v>
      </c>
      <c r="T102" s="134">
        <v>42162</v>
      </c>
      <c r="U102" s="4">
        <v>47.223383333333331</v>
      </c>
      <c r="V102" s="4">
        <v>-122.81066666666666</v>
      </c>
      <c r="W102" s="252" t="str">
        <f>VLOOKUP(B102,Plantings!$A$2:$E$285,4,FALSE)</f>
        <v>polygon</v>
      </c>
      <c r="X102" s="251" t="str">
        <f>VLOOKUP(B102,Plantings!$A$2:$E$285,5,FALSE)</f>
        <v>retain</v>
      </c>
      <c r="Y102" t="s">
        <v>148</v>
      </c>
      <c r="Z102" s="20">
        <v>-1.28016</v>
      </c>
      <c r="AA102" s="6" t="s">
        <v>168</v>
      </c>
      <c r="AB102" s="33">
        <v>60</v>
      </c>
      <c r="AC102" s="33">
        <v>40</v>
      </c>
      <c r="AD102">
        <f>AB102*AC102</f>
        <v>2400</v>
      </c>
      <c r="AE102" s="130">
        <v>151.25</v>
      </c>
      <c r="AF102" s="109">
        <f>IF(AA102="staple",AG102*0.005,IF(AA102="rebar",AG102*0.025,IF(AA102="burlap",AG102*0.0625,IF(AA102="washer",AG102*0.0025,IF(AA102="pucks",AG102*0.00785,IF(AA102="turf",AG102*0.01,IF(AA102="","")))))))</f>
        <v>15</v>
      </c>
      <c r="AG102" s="38">
        <f>AH102/4</f>
        <v>3000</v>
      </c>
      <c r="AH102" s="118">
        <v>12000</v>
      </c>
      <c r="AI102" s="5">
        <f t="shared" si="18"/>
        <v>5</v>
      </c>
      <c r="AJ102" s="5">
        <f t="shared" si="19"/>
        <v>79.338842975206617</v>
      </c>
      <c r="AK102" t="s">
        <v>1168</v>
      </c>
      <c r="AL102" s="160" t="s">
        <v>584</v>
      </c>
    </row>
    <row r="103" spans="1:38" x14ac:dyDescent="0.25">
      <c r="A103" t="s">
        <v>149</v>
      </c>
      <c r="B103" t="s">
        <v>1142</v>
      </c>
      <c r="C103" s="252" t="str">
        <f>VLOOKUP(B103,Plantings!$A$2:$C$285,2,FALSE)</f>
        <v>JSP_mid_north_P1</v>
      </c>
      <c r="D103" s="252" t="str">
        <f>VLOOKUP(B103,Plantings!$A$2:$C$285,3,FALSE)</f>
        <v>single</v>
      </c>
      <c r="E103">
        <v>2015</v>
      </c>
      <c r="G103" t="s">
        <v>413</v>
      </c>
      <c r="H103" t="s">
        <v>37</v>
      </c>
      <c r="I103" t="s">
        <v>405</v>
      </c>
      <c r="J103" t="s">
        <v>5</v>
      </c>
      <c r="K103" t="s">
        <v>165</v>
      </c>
      <c r="L103" t="s">
        <v>230</v>
      </c>
      <c r="O103" t="s">
        <v>49</v>
      </c>
      <c r="P103" t="s">
        <v>62</v>
      </c>
      <c r="Q103" t="s">
        <v>73</v>
      </c>
      <c r="R103" t="s">
        <v>13</v>
      </c>
      <c r="S103" s="25" t="s">
        <v>520</v>
      </c>
      <c r="T103" s="134">
        <v>42162</v>
      </c>
      <c r="U103" s="4">
        <v>47.223383333333331</v>
      </c>
      <c r="V103" s="4">
        <v>-122.81014999999999</v>
      </c>
      <c r="W103" s="252" t="str">
        <f>VLOOKUP(B103,Plantings!$A$2:$E$285,4,FALSE)</f>
        <v>polygon</v>
      </c>
      <c r="X103" s="251" t="str">
        <f>VLOOKUP(B103,Plantings!$A$2:$E$285,5,FALSE)</f>
        <v>retain</v>
      </c>
      <c r="Y103" s="7" t="s">
        <v>148</v>
      </c>
      <c r="Z103" s="20">
        <v>-0.51815999999999995</v>
      </c>
      <c r="AA103" s="6" t="s">
        <v>168</v>
      </c>
      <c r="AB103" s="11"/>
      <c r="AC103" s="11"/>
      <c r="AE103" s="130"/>
      <c r="AF103" s="109"/>
      <c r="AG103" s="118"/>
      <c r="AH103" s="118"/>
      <c r="AI103" s="5" t="str">
        <f t="shared" si="18"/>
        <v/>
      </c>
      <c r="AJ103" s="5" t="str">
        <f t="shared" si="19"/>
        <v/>
      </c>
      <c r="AL103" s="160" t="s">
        <v>17</v>
      </c>
    </row>
    <row r="104" spans="1:38" x14ac:dyDescent="0.25">
      <c r="A104" t="s">
        <v>149</v>
      </c>
      <c r="B104" t="s">
        <v>1143</v>
      </c>
      <c r="C104" s="252" t="str">
        <f>VLOOKUP(B104,Plantings!$A$2:$C$285,2,FALSE)</f>
        <v>JSP_mid_north_P1</v>
      </c>
      <c r="D104" s="252" t="str">
        <f>VLOOKUP(B104,Plantings!$A$2:$C$285,3,FALSE)</f>
        <v>single</v>
      </c>
      <c r="E104">
        <v>2015</v>
      </c>
      <c r="G104" t="s">
        <v>413</v>
      </c>
      <c r="H104" t="s">
        <v>37</v>
      </c>
      <c r="I104" t="s">
        <v>405</v>
      </c>
      <c r="J104" t="s">
        <v>5</v>
      </c>
      <c r="K104" t="s">
        <v>165</v>
      </c>
      <c r="L104" t="s">
        <v>230</v>
      </c>
      <c r="O104" t="s">
        <v>49</v>
      </c>
      <c r="P104" t="s">
        <v>62</v>
      </c>
      <c r="Q104" t="s">
        <v>73</v>
      </c>
      <c r="R104" t="s">
        <v>13</v>
      </c>
      <c r="S104" s="25" t="s">
        <v>520</v>
      </c>
      <c r="T104" s="134">
        <v>42162</v>
      </c>
      <c r="U104" s="4">
        <v>47.222833333333334</v>
      </c>
      <c r="V104" s="4">
        <v>-122.81014999999999</v>
      </c>
      <c r="W104" s="252" t="str">
        <f>VLOOKUP(B104,Plantings!$A$2:$E$285,4,FALSE)</f>
        <v>polygon</v>
      </c>
      <c r="X104" s="251" t="str">
        <f>VLOOKUP(B104,Plantings!$A$2:$E$285,5,FALSE)</f>
        <v>retain</v>
      </c>
      <c r="Y104" s="7" t="s">
        <v>148</v>
      </c>
      <c r="Z104" s="20">
        <v>-0.97536</v>
      </c>
      <c r="AA104" s="6" t="s">
        <v>168</v>
      </c>
      <c r="AB104" s="11"/>
      <c r="AC104" s="11"/>
      <c r="AE104" s="130"/>
      <c r="AF104" s="109"/>
      <c r="AG104" s="118"/>
      <c r="AH104" s="118"/>
      <c r="AI104" s="5" t="str">
        <f t="shared" si="18"/>
        <v/>
      </c>
      <c r="AJ104" s="5" t="str">
        <f t="shared" si="19"/>
        <v/>
      </c>
      <c r="AL104" s="160" t="s">
        <v>18</v>
      </c>
    </row>
    <row r="105" spans="1:38" x14ac:dyDescent="0.25">
      <c r="A105" t="s">
        <v>149</v>
      </c>
      <c r="B105" t="s">
        <v>1144</v>
      </c>
      <c r="C105" s="252" t="str">
        <f>VLOOKUP(B105,Plantings!$A$2:$C$285,2,FALSE)</f>
        <v>JSP_mid_north_P1</v>
      </c>
      <c r="D105" s="252" t="str">
        <f>VLOOKUP(B105,Plantings!$A$2:$C$285,3,FALSE)</f>
        <v>single</v>
      </c>
      <c r="E105">
        <v>2015</v>
      </c>
      <c r="G105" t="s">
        <v>413</v>
      </c>
      <c r="H105" t="s">
        <v>37</v>
      </c>
      <c r="I105" t="s">
        <v>405</v>
      </c>
      <c r="J105" t="s">
        <v>5</v>
      </c>
      <c r="K105" t="s">
        <v>165</v>
      </c>
      <c r="L105" t="s">
        <v>230</v>
      </c>
      <c r="O105" t="s">
        <v>49</v>
      </c>
      <c r="P105" t="s">
        <v>62</v>
      </c>
      <c r="Q105" t="s">
        <v>73</v>
      </c>
      <c r="R105" t="s">
        <v>13</v>
      </c>
      <c r="S105" s="25" t="s">
        <v>520</v>
      </c>
      <c r="T105" s="134">
        <v>42162</v>
      </c>
      <c r="U105" s="4">
        <v>47.222833333333334</v>
      </c>
      <c r="V105" s="4">
        <v>-122.81066666666666</v>
      </c>
      <c r="W105" s="252" t="str">
        <f>VLOOKUP(B105,Plantings!$A$2:$E$285,4,FALSE)</f>
        <v>polygon</v>
      </c>
      <c r="X105" s="251" t="str">
        <f>VLOOKUP(B105,Plantings!$A$2:$E$285,5,FALSE)</f>
        <v>retain</v>
      </c>
      <c r="Y105" s="7" t="s">
        <v>148</v>
      </c>
      <c r="Z105" s="20">
        <v>-1.7678400000000001</v>
      </c>
      <c r="AA105" s="6" t="s">
        <v>168</v>
      </c>
      <c r="AB105" s="11"/>
      <c r="AC105" s="11"/>
      <c r="AE105" s="130"/>
      <c r="AF105" s="109"/>
      <c r="AG105" s="118"/>
      <c r="AH105" s="118"/>
      <c r="AI105" s="5" t="str">
        <f t="shared" si="18"/>
        <v/>
      </c>
      <c r="AJ105" s="5" t="str">
        <f t="shared" si="19"/>
        <v/>
      </c>
      <c r="AL105" s="160" t="s">
        <v>19</v>
      </c>
    </row>
    <row r="106" spans="1:38" x14ac:dyDescent="0.25">
      <c r="A106" t="s">
        <v>149</v>
      </c>
      <c r="B106" t="s">
        <v>1145</v>
      </c>
      <c r="C106" s="252" t="str">
        <f>VLOOKUP(B106,Plantings!$A$2:$C$285,2,FALSE)</f>
        <v>JSP_southeast</v>
      </c>
      <c r="D106" s="252" t="str">
        <f>VLOOKUP(B106,Plantings!$A$2:$C$285,3,FALSE)</f>
        <v>single</v>
      </c>
      <c r="E106">
        <v>2015</v>
      </c>
      <c r="G106" t="s">
        <v>412</v>
      </c>
      <c r="H106" t="s">
        <v>37</v>
      </c>
      <c r="I106" t="s">
        <v>405</v>
      </c>
      <c r="J106" t="s">
        <v>5</v>
      </c>
      <c r="K106" t="s">
        <v>165</v>
      </c>
      <c r="L106" t="s">
        <v>230</v>
      </c>
      <c r="O106" t="s">
        <v>49</v>
      </c>
      <c r="P106" t="s">
        <v>62</v>
      </c>
      <c r="Q106" t="s">
        <v>75</v>
      </c>
      <c r="R106" t="s">
        <v>22</v>
      </c>
      <c r="S106" t="s">
        <v>22</v>
      </c>
      <c r="T106" s="134">
        <v>42164</v>
      </c>
      <c r="U106" s="4">
        <v>47.210933333333337</v>
      </c>
      <c r="V106" s="4">
        <v>-122.80663333333334</v>
      </c>
      <c r="W106" s="252" t="str">
        <f>VLOOKUP(B106,Plantings!$A$2:$E$285,4,FALSE)</f>
        <v>point</v>
      </c>
      <c r="X106" s="251" t="str">
        <f>VLOOKUP(B106,Plantings!$A$2:$E$285,5,FALSE)</f>
        <v>retain</v>
      </c>
      <c r="Y106" s="7" t="s">
        <v>148</v>
      </c>
      <c r="Z106" s="20">
        <v>-1.3715999999999999</v>
      </c>
      <c r="AA106" s="6" t="s">
        <v>168</v>
      </c>
      <c r="AB106">
        <v>5</v>
      </c>
      <c r="AC106">
        <v>5</v>
      </c>
      <c r="AD106">
        <f>AB106*AC106</f>
        <v>25</v>
      </c>
      <c r="AE106">
        <v>25</v>
      </c>
      <c r="AF106" s="109">
        <f t="shared" ref="AF106:AF137" si="20">IF(AA106="staple",AG106*0.005,IF(AA106="rebar",AG106*0.025,IF(AA106="burlap",AG106*0.0625,IF(AA106="washer",AG106*0.0025,IF(AA106="pucks",AG106*0.00785,IF(AA106="turf",AG106*0.01,IF(AA106="","")))))))</f>
        <v>0.625</v>
      </c>
      <c r="AG106" s="38">
        <f>AH106/4</f>
        <v>125</v>
      </c>
      <c r="AH106" s="38">
        <v>500</v>
      </c>
      <c r="AI106" s="5">
        <f t="shared" si="18"/>
        <v>20</v>
      </c>
      <c r="AJ106" s="5">
        <f t="shared" si="19"/>
        <v>20</v>
      </c>
      <c r="AK106" t="s">
        <v>1168</v>
      </c>
      <c r="AL106" s="13" t="s">
        <v>40</v>
      </c>
    </row>
    <row r="107" spans="1:38" x14ac:dyDescent="0.25">
      <c r="A107" t="s">
        <v>149</v>
      </c>
      <c r="B107" t="s">
        <v>1146</v>
      </c>
      <c r="C107" s="252" t="str">
        <f>VLOOKUP(B107,Plantings!$A$2:$C$285,2,FALSE)</f>
        <v>JSP_north</v>
      </c>
      <c r="D107" s="252" t="str">
        <f>VLOOKUP(B107,Plantings!$A$2:$C$285,3,FALSE)</f>
        <v>single</v>
      </c>
      <c r="E107">
        <v>2016</v>
      </c>
      <c r="G107" t="s">
        <v>493</v>
      </c>
      <c r="H107" t="s">
        <v>37</v>
      </c>
      <c r="I107" t="s">
        <v>405</v>
      </c>
      <c r="J107" t="s">
        <v>59</v>
      </c>
      <c r="K107" t="s">
        <v>176</v>
      </c>
      <c r="L107" t="s">
        <v>11</v>
      </c>
      <c r="M107" t="s">
        <v>179</v>
      </c>
      <c r="N107" t="s">
        <v>140</v>
      </c>
      <c r="O107" t="s">
        <v>52</v>
      </c>
      <c r="P107" t="s">
        <v>60</v>
      </c>
      <c r="Q107" t="s">
        <v>1105</v>
      </c>
      <c r="R107" t="s">
        <v>22</v>
      </c>
      <c r="S107" t="s">
        <v>22</v>
      </c>
      <c r="T107" s="134">
        <v>42507</v>
      </c>
      <c r="U107" s="16">
        <v>47.22589385277778</v>
      </c>
      <c r="V107" s="4">
        <v>-122.81332006111111</v>
      </c>
      <c r="W107" s="252" t="str">
        <f>VLOOKUP(B107,Plantings!$A$2:$E$285,4,FALSE)</f>
        <v>line</v>
      </c>
      <c r="X107" s="251" t="str">
        <f>VLOOKUP(B107,Plantings!$A$2:$E$285,5,FALSE)</f>
        <v>retain</v>
      </c>
      <c r="Y107" s="7" t="s">
        <v>148</v>
      </c>
      <c r="Z107" s="20">
        <v>-2</v>
      </c>
      <c r="AA107" s="6" t="s">
        <v>171</v>
      </c>
      <c r="AB107">
        <v>25</v>
      </c>
      <c r="AC107">
        <v>5</v>
      </c>
      <c r="AD107">
        <f>AB107*AC107</f>
        <v>125</v>
      </c>
      <c r="AE107">
        <v>75</v>
      </c>
      <c r="AF107" s="109">
        <f t="shared" si="20"/>
        <v>9.75</v>
      </c>
      <c r="AG107" s="38">
        <v>156</v>
      </c>
      <c r="AH107" s="38">
        <v>780</v>
      </c>
      <c r="AI107" s="5">
        <f t="shared" si="18"/>
        <v>6.24</v>
      </c>
      <c r="AJ107" s="5">
        <f t="shared" si="19"/>
        <v>10.4</v>
      </c>
      <c r="AK107" t="s">
        <v>54</v>
      </c>
      <c r="AL107" s="160" t="s">
        <v>53</v>
      </c>
    </row>
    <row r="108" spans="1:38" x14ac:dyDescent="0.25">
      <c r="A108" t="s">
        <v>149</v>
      </c>
      <c r="B108" t="s">
        <v>1146</v>
      </c>
      <c r="C108" s="252" t="str">
        <f>VLOOKUP(B108,Plantings!$A$2:$C$285,2,FALSE)</f>
        <v>JSP_north</v>
      </c>
      <c r="D108" s="252" t="str">
        <f>VLOOKUP(B108,Plantings!$A$2:$C$285,3,FALSE)</f>
        <v>single</v>
      </c>
      <c r="E108">
        <v>2016</v>
      </c>
      <c r="G108" t="s">
        <v>493</v>
      </c>
      <c r="H108" t="s">
        <v>37</v>
      </c>
      <c r="I108" t="s">
        <v>405</v>
      </c>
      <c r="J108" t="s">
        <v>59</v>
      </c>
      <c r="K108" t="s">
        <v>176</v>
      </c>
      <c r="L108" t="s">
        <v>11</v>
      </c>
      <c r="M108" t="s">
        <v>179</v>
      </c>
      <c r="N108" t="s">
        <v>140</v>
      </c>
      <c r="O108" t="s">
        <v>52</v>
      </c>
      <c r="P108" t="s">
        <v>60</v>
      </c>
      <c r="Q108" t="s">
        <v>1105</v>
      </c>
      <c r="R108" t="s">
        <v>22</v>
      </c>
      <c r="S108" s="25" t="s">
        <v>520</v>
      </c>
      <c r="T108" s="134">
        <v>42507</v>
      </c>
      <c r="U108" s="16">
        <v>47.225797075000003</v>
      </c>
      <c r="V108" s="4">
        <v>-122.81301273611111</v>
      </c>
      <c r="W108" s="252" t="str">
        <f>VLOOKUP(B108,Plantings!$A$2:$E$285,4,FALSE)</f>
        <v>line</v>
      </c>
      <c r="X108" s="251" t="str">
        <f>VLOOKUP(B108,Plantings!$A$2:$E$285,5,FALSE)</f>
        <v>retain</v>
      </c>
      <c r="Y108" s="7" t="s">
        <v>148</v>
      </c>
      <c r="Z108" s="20"/>
      <c r="AA108" s="5"/>
      <c r="AF108" s="109" t="str">
        <f t="shared" si="20"/>
        <v/>
      </c>
      <c r="AG108" s="38"/>
      <c r="AH108" s="38"/>
      <c r="AI108" s="5" t="str">
        <f t="shared" si="18"/>
        <v/>
      </c>
      <c r="AJ108" s="5" t="str">
        <f t="shared" si="19"/>
        <v/>
      </c>
      <c r="AL108" s="160"/>
    </row>
    <row r="109" spans="1:38" x14ac:dyDescent="0.25">
      <c r="A109" t="s">
        <v>149</v>
      </c>
      <c r="B109" t="s">
        <v>1147</v>
      </c>
      <c r="C109" s="252" t="str">
        <f>VLOOKUP(B109,Plantings!$A$2:$C$285,2,FALSE)</f>
        <v>JSP_south_P1</v>
      </c>
      <c r="D109" s="252" t="str">
        <f>VLOOKUP(B109,Plantings!$A$2:$C$285,3,FALSE)</f>
        <v>single</v>
      </c>
      <c r="E109">
        <v>2016</v>
      </c>
      <c r="G109" t="s">
        <v>413</v>
      </c>
      <c r="H109" t="s">
        <v>37</v>
      </c>
      <c r="I109" t="s">
        <v>405</v>
      </c>
      <c r="J109" t="s">
        <v>59</v>
      </c>
      <c r="K109" t="s">
        <v>176</v>
      </c>
      <c r="L109" t="s">
        <v>11</v>
      </c>
      <c r="M109" t="s">
        <v>179</v>
      </c>
      <c r="N109" t="s">
        <v>140</v>
      </c>
      <c r="O109" t="s">
        <v>52</v>
      </c>
      <c r="P109" t="s">
        <v>60</v>
      </c>
      <c r="Q109" t="s">
        <v>1105</v>
      </c>
      <c r="R109" t="s">
        <v>13</v>
      </c>
      <c r="S109" t="s">
        <v>13</v>
      </c>
      <c r="T109" s="134">
        <v>42576</v>
      </c>
      <c r="U109" s="16">
        <v>47.221797497222219</v>
      </c>
      <c r="V109" s="4">
        <v>-122.80987687222222</v>
      </c>
      <c r="W109" s="252" t="str">
        <f>VLOOKUP(B109,Plantings!$A$2:$E$285,4,FALSE)</f>
        <v>polygon</v>
      </c>
      <c r="X109" s="251" t="str">
        <f>VLOOKUP(B109,Plantings!$A$2:$E$285,5,FALSE)</f>
        <v>retain</v>
      </c>
      <c r="Y109" s="7" t="s">
        <v>148</v>
      </c>
      <c r="Z109" s="20">
        <v>-1.5</v>
      </c>
      <c r="AA109" s="6" t="s">
        <v>171</v>
      </c>
      <c r="AB109" s="38">
        <v>20</v>
      </c>
      <c r="AC109">
        <v>8</v>
      </c>
      <c r="AD109">
        <f>AB109*AC109</f>
        <v>160</v>
      </c>
      <c r="AE109">
        <v>60</v>
      </c>
      <c r="AF109" s="109">
        <f t="shared" si="20"/>
        <v>60</v>
      </c>
      <c r="AG109" s="38">
        <v>960</v>
      </c>
      <c r="AH109" s="118">
        <v>20260</v>
      </c>
      <c r="AI109" s="5">
        <f t="shared" si="18"/>
        <v>126.625</v>
      </c>
      <c r="AJ109" s="5">
        <f t="shared" si="19"/>
        <v>337.66666666666669</v>
      </c>
      <c r="AK109" t="s">
        <v>54</v>
      </c>
      <c r="AL109" s="160"/>
    </row>
    <row r="110" spans="1:38" x14ac:dyDescent="0.25">
      <c r="A110" t="s">
        <v>149</v>
      </c>
      <c r="B110" t="s">
        <v>1148</v>
      </c>
      <c r="C110" s="252" t="str">
        <f>VLOOKUP(B110,Plantings!$A$2:$C$285,2,FALSE)</f>
        <v>JSP_south_P1</v>
      </c>
      <c r="D110" s="252" t="str">
        <f>VLOOKUP(B110,Plantings!$A$2:$C$285,3,FALSE)</f>
        <v>single</v>
      </c>
      <c r="E110">
        <v>2016</v>
      </c>
      <c r="G110" t="s">
        <v>413</v>
      </c>
      <c r="H110" t="s">
        <v>37</v>
      </c>
      <c r="I110" t="s">
        <v>405</v>
      </c>
      <c r="J110" t="s">
        <v>59</v>
      </c>
      <c r="K110" t="s">
        <v>176</v>
      </c>
      <c r="L110" t="s">
        <v>11</v>
      </c>
      <c r="M110" t="s">
        <v>179</v>
      </c>
      <c r="N110" t="s">
        <v>140</v>
      </c>
      <c r="O110" t="s">
        <v>52</v>
      </c>
      <c r="P110" t="s">
        <v>60</v>
      </c>
      <c r="Q110" t="s">
        <v>1105</v>
      </c>
      <c r="R110" t="s">
        <v>13</v>
      </c>
      <c r="S110" s="25" t="s">
        <v>520</v>
      </c>
      <c r="T110" s="134">
        <v>42576</v>
      </c>
      <c r="U110" s="16">
        <v>47.221742027777779</v>
      </c>
      <c r="V110" s="4">
        <v>-122.80997454166666</v>
      </c>
      <c r="W110" s="252" t="str">
        <f>VLOOKUP(B110,Plantings!$A$2:$E$285,4,FALSE)</f>
        <v>polygon</v>
      </c>
      <c r="X110" s="251" t="str">
        <f>VLOOKUP(B110,Plantings!$A$2:$E$285,5,FALSE)</f>
        <v>retain</v>
      </c>
      <c r="Y110" s="7" t="s">
        <v>148</v>
      </c>
      <c r="Z110" s="20"/>
      <c r="AA110" s="5"/>
      <c r="AF110" s="109" t="str">
        <f t="shared" si="20"/>
        <v/>
      </c>
      <c r="AG110" s="38"/>
      <c r="AH110" s="38"/>
      <c r="AI110" s="5" t="str">
        <f t="shared" si="18"/>
        <v/>
      </c>
      <c r="AJ110" s="5" t="str">
        <f t="shared" si="19"/>
        <v/>
      </c>
      <c r="AL110" s="160"/>
    </row>
    <row r="111" spans="1:38" x14ac:dyDescent="0.25">
      <c r="A111" t="s">
        <v>149</v>
      </c>
      <c r="B111" t="s">
        <v>1149</v>
      </c>
      <c r="C111" s="252" t="str">
        <f>VLOOKUP(B111,Plantings!$A$2:$C$285,2,FALSE)</f>
        <v>JSP_south_P1</v>
      </c>
      <c r="D111" s="252" t="str">
        <f>VLOOKUP(B111,Plantings!$A$2:$C$285,3,FALSE)</f>
        <v>single</v>
      </c>
      <c r="E111">
        <v>2016</v>
      </c>
      <c r="G111" t="s">
        <v>413</v>
      </c>
      <c r="H111" t="s">
        <v>37</v>
      </c>
      <c r="I111" t="s">
        <v>405</v>
      </c>
      <c r="J111" t="s">
        <v>59</v>
      </c>
      <c r="K111" t="s">
        <v>176</v>
      </c>
      <c r="L111" t="s">
        <v>11</v>
      </c>
      <c r="M111" t="s">
        <v>179</v>
      </c>
      <c r="N111" t="s">
        <v>140</v>
      </c>
      <c r="O111" t="s">
        <v>52</v>
      </c>
      <c r="P111" t="s">
        <v>60</v>
      </c>
      <c r="Q111" t="s">
        <v>1105</v>
      </c>
      <c r="R111" t="s">
        <v>13</v>
      </c>
      <c r="S111" s="25" t="s">
        <v>520</v>
      </c>
      <c r="T111" s="134">
        <v>42576</v>
      </c>
      <c r="U111" s="16">
        <v>47.221992</v>
      </c>
      <c r="V111" s="4">
        <v>-122.809929</v>
      </c>
      <c r="W111" s="252" t="str">
        <f>VLOOKUP(B111,Plantings!$A$2:$E$285,4,FALSE)</f>
        <v>polygon</v>
      </c>
      <c r="X111" s="251" t="str">
        <f>VLOOKUP(B111,Plantings!$A$2:$E$285,5,FALSE)</f>
        <v>retain</v>
      </c>
      <c r="Y111" s="7" t="s">
        <v>148</v>
      </c>
      <c r="Z111" s="20"/>
      <c r="AA111" s="5"/>
      <c r="AF111" s="109" t="str">
        <f t="shared" si="20"/>
        <v/>
      </c>
      <c r="AG111" s="38"/>
      <c r="AH111" s="38"/>
      <c r="AI111" s="5" t="str">
        <f t="shared" si="18"/>
        <v/>
      </c>
      <c r="AJ111" s="5" t="str">
        <f t="shared" si="19"/>
        <v/>
      </c>
      <c r="AL111" s="160"/>
    </row>
    <row r="112" spans="1:38" x14ac:dyDescent="0.25">
      <c r="A112" t="s">
        <v>149</v>
      </c>
      <c r="B112" t="s">
        <v>1150</v>
      </c>
      <c r="C112" s="252" t="str">
        <f>VLOOKUP(B112,Plantings!$A$2:$C$285,2,FALSE)</f>
        <v>JSP_south_P1</v>
      </c>
      <c r="D112" s="252" t="str">
        <f>VLOOKUP(B112,Plantings!$A$2:$C$285,3,FALSE)</f>
        <v>single</v>
      </c>
      <c r="E112">
        <v>2016</v>
      </c>
      <c r="G112" t="s">
        <v>413</v>
      </c>
      <c r="H112" t="s">
        <v>37</v>
      </c>
      <c r="I112" t="s">
        <v>405</v>
      </c>
      <c r="J112" t="s">
        <v>59</v>
      </c>
      <c r="K112" t="s">
        <v>176</v>
      </c>
      <c r="L112" t="s">
        <v>11</v>
      </c>
      <c r="M112" t="s">
        <v>179</v>
      </c>
      <c r="N112" t="s">
        <v>140</v>
      </c>
      <c r="O112" t="s">
        <v>52</v>
      </c>
      <c r="P112" t="s">
        <v>60</v>
      </c>
      <c r="Q112" t="s">
        <v>1105</v>
      </c>
      <c r="R112" t="s">
        <v>13</v>
      </c>
      <c r="S112" s="25" t="s">
        <v>520</v>
      </c>
      <c r="T112" s="134">
        <v>42576</v>
      </c>
      <c r="U112" s="16">
        <v>47.221965447222225</v>
      </c>
      <c r="V112" s="4">
        <v>-122.81001890833333</v>
      </c>
      <c r="W112" s="252" t="str">
        <f>VLOOKUP(B112,Plantings!$A$2:$E$285,4,FALSE)</f>
        <v>polygon</v>
      </c>
      <c r="X112" s="251" t="str">
        <f>VLOOKUP(B112,Plantings!$A$2:$E$285,5,FALSE)</f>
        <v>retain</v>
      </c>
      <c r="Y112" s="7" t="s">
        <v>148</v>
      </c>
      <c r="Z112" s="20"/>
      <c r="AA112" s="5"/>
      <c r="AF112" s="109" t="str">
        <f t="shared" si="20"/>
        <v/>
      </c>
      <c r="AG112" s="38"/>
      <c r="AH112" s="38"/>
      <c r="AI112" s="5" t="str">
        <f t="shared" si="18"/>
        <v/>
      </c>
      <c r="AJ112" s="5" t="str">
        <f t="shared" si="19"/>
        <v/>
      </c>
      <c r="AL112" s="160"/>
    </row>
    <row r="113" spans="1:38" x14ac:dyDescent="0.25">
      <c r="A113" s="34" t="s">
        <v>149</v>
      </c>
      <c r="B113" t="s">
        <v>1273</v>
      </c>
      <c r="C113" s="252" t="str">
        <f>VLOOKUP(B113,Plantings!$A$2:$C$285,2,FALSE)</f>
        <v>JSP_chia_1</v>
      </c>
      <c r="D113" s="252" t="str">
        <f>VLOOKUP(B113,Plantings!$A$2:$C$285,3,FALSE)</f>
        <v>single</v>
      </c>
      <c r="E113" s="1">
        <v>2016</v>
      </c>
      <c r="F113" s="1"/>
      <c r="G113" s="1" t="s">
        <v>412</v>
      </c>
      <c r="H113" s="1" t="s">
        <v>37</v>
      </c>
      <c r="I113" t="s">
        <v>405</v>
      </c>
      <c r="J113" s="1" t="s">
        <v>165</v>
      </c>
      <c r="K113" s="1" t="s">
        <v>165</v>
      </c>
      <c r="L113" s="1" t="s">
        <v>229</v>
      </c>
      <c r="M113" s="1"/>
      <c r="N113" s="1"/>
      <c r="O113" s="1"/>
      <c r="P113" s="1"/>
      <c r="Q113" s="1"/>
      <c r="R113" s="1" t="s">
        <v>22</v>
      </c>
      <c r="S113" s="25" t="s">
        <v>22</v>
      </c>
      <c r="T113" s="134">
        <v>42514</v>
      </c>
      <c r="U113" s="139"/>
      <c r="V113" s="139"/>
      <c r="W113" s="252" t="str">
        <f>VLOOKUP(B113,Plantings!$A$2:$E$285,4,FALSE)</f>
        <v>point</v>
      </c>
      <c r="X113" s="251" t="str">
        <f>VLOOKUP(B113,Plantings!$A$2:$E$285,5,FALSE)</f>
        <v>retain</v>
      </c>
      <c r="Y113" s="7" t="s">
        <v>148</v>
      </c>
      <c r="AA113" t="s">
        <v>169</v>
      </c>
      <c r="AB113">
        <v>9</v>
      </c>
      <c r="AC113">
        <v>0.25</v>
      </c>
      <c r="AD113">
        <f>AB113*AC113</f>
        <v>2.25</v>
      </c>
      <c r="AE113">
        <v>0.56000000000000005</v>
      </c>
      <c r="AF113" s="109">
        <f t="shared" si="20"/>
        <v>0.22500000000000001</v>
      </c>
      <c r="AG113" s="38">
        <v>9</v>
      </c>
      <c r="AH113">
        <v>360</v>
      </c>
      <c r="AI113" s="5">
        <f t="shared" si="18"/>
        <v>160</v>
      </c>
      <c r="AJ113" s="5">
        <f t="shared" si="19"/>
        <v>642.85714285714278</v>
      </c>
      <c r="AK113" t="s">
        <v>119</v>
      </c>
      <c r="AL113" s="160" t="s">
        <v>1274</v>
      </c>
    </row>
    <row r="114" spans="1:38" x14ac:dyDescent="0.25">
      <c r="A114" t="s">
        <v>149</v>
      </c>
      <c r="B114" t="s">
        <v>1099</v>
      </c>
      <c r="C114" s="252" t="str">
        <f>VLOOKUP(B114,Plantings!$A$2:$C$285,2,FALSE)</f>
        <v>JSP_north_L1</v>
      </c>
      <c r="D114" s="252" t="str">
        <f>VLOOKUP(B114,Plantings!$A$2:$C$285,3,FALSE)</f>
        <v>single</v>
      </c>
      <c r="E114">
        <v>2017</v>
      </c>
      <c r="G114" s="1" t="s">
        <v>493</v>
      </c>
      <c r="H114" t="s">
        <v>37</v>
      </c>
      <c r="I114" t="s">
        <v>405</v>
      </c>
      <c r="J114" t="s">
        <v>59</v>
      </c>
      <c r="K114" t="s">
        <v>176</v>
      </c>
      <c r="L114" t="s">
        <v>11</v>
      </c>
      <c r="M114" t="s">
        <v>179</v>
      </c>
      <c r="N114" t="s">
        <v>77</v>
      </c>
      <c r="O114" t="s">
        <v>52</v>
      </c>
      <c r="P114" t="s">
        <v>60</v>
      </c>
      <c r="Q114" t="s">
        <v>1105</v>
      </c>
      <c r="R114" t="s">
        <v>22</v>
      </c>
      <c r="S114" t="s">
        <v>22</v>
      </c>
      <c r="T114" s="134">
        <v>42859</v>
      </c>
      <c r="U114" s="30">
        <v>47.226233333333333</v>
      </c>
      <c r="V114" s="16">
        <v>-122.8146</v>
      </c>
      <c r="W114" s="252" t="str">
        <f>VLOOKUP(B114,Plantings!$A$2:$E$285,4,FALSE)</f>
        <v>line</v>
      </c>
      <c r="X114" s="251" t="str">
        <f>VLOOKUP(B114,Plantings!$A$2:$E$285,5,FALSE)</f>
        <v>retain</v>
      </c>
      <c r="Y114" s="7" t="s">
        <v>148</v>
      </c>
      <c r="Z114" s="36">
        <v>-1.6</v>
      </c>
      <c r="AA114" t="s">
        <v>1104</v>
      </c>
      <c r="AB114">
        <v>5</v>
      </c>
      <c r="AC114">
        <v>5</v>
      </c>
      <c r="AD114">
        <f>AB114*AC114</f>
        <v>25</v>
      </c>
      <c r="AE114">
        <v>39</v>
      </c>
      <c r="AF114" s="109">
        <f t="shared" si="20"/>
        <v>1.04</v>
      </c>
      <c r="AG114" s="133">
        <v>104</v>
      </c>
      <c r="AH114" s="38">
        <v>1042</v>
      </c>
      <c r="AI114" s="5">
        <f t="shared" si="18"/>
        <v>41.68</v>
      </c>
      <c r="AJ114" s="5">
        <f t="shared" si="19"/>
        <v>26.717948717948719</v>
      </c>
      <c r="AK114" t="s">
        <v>54</v>
      </c>
      <c r="AL114" s="160" t="s">
        <v>1182</v>
      </c>
    </row>
    <row r="115" spans="1:38" x14ac:dyDescent="0.25">
      <c r="A115" t="s">
        <v>149</v>
      </c>
      <c r="B115" t="s">
        <v>1100</v>
      </c>
      <c r="C115" s="252" t="str">
        <f>VLOOKUP(B115,Plantings!$A$2:$C$285,2,FALSE)</f>
        <v>JSP_north_L1</v>
      </c>
      <c r="D115" s="252" t="str">
        <f>VLOOKUP(B115,Plantings!$A$2:$C$285,3,FALSE)</f>
        <v>single</v>
      </c>
      <c r="E115">
        <v>2017</v>
      </c>
      <c r="G115" s="1" t="s">
        <v>493</v>
      </c>
      <c r="H115" t="s">
        <v>37</v>
      </c>
      <c r="I115" t="s">
        <v>405</v>
      </c>
      <c r="J115" t="s">
        <v>59</v>
      </c>
      <c r="K115" t="s">
        <v>176</v>
      </c>
      <c r="L115" t="s">
        <v>11</v>
      </c>
      <c r="M115" t="s">
        <v>179</v>
      </c>
      <c r="N115" t="s">
        <v>77</v>
      </c>
      <c r="O115" t="s">
        <v>52</v>
      </c>
      <c r="P115" t="s">
        <v>60</v>
      </c>
      <c r="Q115" t="s">
        <v>1105</v>
      </c>
      <c r="R115" t="s">
        <v>22</v>
      </c>
      <c r="S115" s="25" t="s">
        <v>520</v>
      </c>
      <c r="T115" s="134">
        <v>42859</v>
      </c>
      <c r="U115" s="30">
        <v>47.226266666666668</v>
      </c>
      <c r="V115" s="16">
        <v>-122.81466666666699</v>
      </c>
      <c r="W115" s="252" t="str">
        <f>VLOOKUP(B115,Plantings!$A$2:$E$285,4,FALSE)</f>
        <v>line</v>
      </c>
      <c r="X115" s="251" t="str">
        <f>VLOOKUP(B115,Plantings!$A$2:$E$285,5,FALSE)</f>
        <v>retain</v>
      </c>
      <c r="Y115" s="7" t="s">
        <v>148</v>
      </c>
      <c r="AF115" s="109" t="str">
        <f t="shared" si="20"/>
        <v/>
      </c>
      <c r="AH115" s="38"/>
      <c r="AI115" s="5" t="str">
        <f t="shared" si="18"/>
        <v/>
      </c>
      <c r="AJ115" s="5" t="str">
        <f t="shared" si="19"/>
        <v/>
      </c>
      <c r="AL115" s="160"/>
    </row>
    <row r="116" spans="1:38" x14ac:dyDescent="0.25">
      <c r="A116" t="s">
        <v>149</v>
      </c>
      <c r="B116" t="s">
        <v>1101</v>
      </c>
      <c r="C116" s="252" t="str">
        <f>VLOOKUP(B116,Plantings!$A$2:$C$285,2,FALSE)</f>
        <v>JSP_north_L2</v>
      </c>
      <c r="D116" s="252" t="str">
        <f>VLOOKUP(B116,Plantings!$A$2:$C$285,3,FALSE)</f>
        <v>single</v>
      </c>
      <c r="E116">
        <v>2017</v>
      </c>
      <c r="G116" s="1" t="s">
        <v>493</v>
      </c>
      <c r="H116" t="s">
        <v>37</v>
      </c>
      <c r="I116" t="s">
        <v>405</v>
      </c>
      <c r="J116" t="s">
        <v>59</v>
      </c>
      <c r="K116" t="s">
        <v>176</v>
      </c>
      <c r="L116" t="s">
        <v>11</v>
      </c>
      <c r="M116" t="s">
        <v>179</v>
      </c>
      <c r="N116" t="s">
        <v>77</v>
      </c>
      <c r="O116" t="s">
        <v>52</v>
      </c>
      <c r="P116" t="s">
        <v>60</v>
      </c>
      <c r="Q116" t="s">
        <v>1105</v>
      </c>
      <c r="R116" t="s">
        <v>22</v>
      </c>
      <c r="S116" t="s">
        <v>22</v>
      </c>
      <c r="T116" s="134">
        <v>42859</v>
      </c>
      <c r="U116" s="30">
        <v>47.226266666666668</v>
      </c>
      <c r="V116" s="16">
        <v>-122.814833333333</v>
      </c>
      <c r="W116" s="252" t="str">
        <f>VLOOKUP(B116,Plantings!$A$2:$E$285,4,FALSE)</f>
        <v>line</v>
      </c>
      <c r="X116" s="251" t="str">
        <f>VLOOKUP(B116,Plantings!$A$2:$E$285,5,FALSE)</f>
        <v>retain</v>
      </c>
      <c r="Y116" s="7" t="s">
        <v>148</v>
      </c>
      <c r="Z116" s="36">
        <v>-1.6</v>
      </c>
      <c r="AA116" t="s">
        <v>1104</v>
      </c>
      <c r="AB116">
        <v>5</v>
      </c>
      <c r="AC116">
        <v>5</v>
      </c>
      <c r="AD116">
        <f>AB116*AC116</f>
        <v>25</v>
      </c>
      <c r="AE116">
        <v>39</v>
      </c>
      <c r="AF116" s="109">
        <f t="shared" si="20"/>
        <v>1.05</v>
      </c>
      <c r="AG116" s="133">
        <v>105</v>
      </c>
      <c r="AH116" s="38">
        <v>1052</v>
      </c>
      <c r="AI116" s="5">
        <f t="shared" si="18"/>
        <v>42.08</v>
      </c>
      <c r="AJ116" s="5">
        <f t="shared" si="19"/>
        <v>26.974358974358974</v>
      </c>
      <c r="AK116" t="s">
        <v>54</v>
      </c>
      <c r="AL116" s="160" t="s">
        <v>1183</v>
      </c>
    </row>
    <row r="117" spans="1:38" x14ac:dyDescent="0.25">
      <c r="A117" t="s">
        <v>149</v>
      </c>
      <c r="B117" t="s">
        <v>1102</v>
      </c>
      <c r="C117" s="252" t="str">
        <f>VLOOKUP(B117,Plantings!$A$2:$C$285,2,FALSE)</f>
        <v>JSP_north_L2</v>
      </c>
      <c r="D117" s="252" t="str">
        <f>VLOOKUP(B117,Plantings!$A$2:$C$285,3,FALSE)</f>
        <v>single</v>
      </c>
      <c r="E117">
        <v>2017</v>
      </c>
      <c r="G117" s="1" t="s">
        <v>493</v>
      </c>
      <c r="H117" t="s">
        <v>37</v>
      </c>
      <c r="I117" t="s">
        <v>405</v>
      </c>
      <c r="J117" t="s">
        <v>59</v>
      </c>
      <c r="K117" t="s">
        <v>176</v>
      </c>
      <c r="L117" t="s">
        <v>11</v>
      </c>
      <c r="M117" t="s">
        <v>179</v>
      </c>
      <c r="N117" t="s">
        <v>77</v>
      </c>
      <c r="O117" t="s">
        <v>52</v>
      </c>
      <c r="P117" t="s">
        <v>60</v>
      </c>
      <c r="Q117" t="s">
        <v>1105</v>
      </c>
      <c r="R117" t="s">
        <v>22</v>
      </c>
      <c r="S117" s="25" t="s">
        <v>520</v>
      </c>
      <c r="T117" s="134">
        <v>42859</v>
      </c>
      <c r="U117" s="30">
        <v>47.226316666666669</v>
      </c>
      <c r="V117" s="16">
        <v>-122.814966666667</v>
      </c>
      <c r="W117" s="252" t="str">
        <f>VLOOKUP(B117,Plantings!$A$2:$E$285,4,FALSE)</f>
        <v>line</v>
      </c>
      <c r="X117" s="251" t="str">
        <f>VLOOKUP(B117,Plantings!$A$2:$E$285,5,FALSE)</f>
        <v>retain</v>
      </c>
      <c r="Y117" s="7" t="s">
        <v>148</v>
      </c>
      <c r="AF117" s="109" t="str">
        <f t="shared" si="20"/>
        <v/>
      </c>
      <c r="AG117" s="38"/>
      <c r="AH117" s="38"/>
      <c r="AI117" s="5" t="str">
        <f t="shared" si="18"/>
        <v/>
      </c>
      <c r="AJ117" s="5" t="str">
        <f t="shared" si="19"/>
        <v/>
      </c>
      <c r="AL117" s="160"/>
    </row>
    <row r="118" spans="1:38" x14ac:dyDescent="0.25">
      <c r="A118" t="s">
        <v>149</v>
      </c>
      <c r="B118" t="s">
        <v>1151</v>
      </c>
      <c r="C118" s="252" t="str">
        <f>VLOOKUP(B118,Plantings!$A$2:$C$285,2,FALSE)</f>
        <v>JSP_south_P2</v>
      </c>
      <c r="D118" s="252" t="str">
        <f>VLOOKUP(B118,Plantings!$A$2:$C$285,3,FALSE)</f>
        <v>single</v>
      </c>
      <c r="E118">
        <v>2017</v>
      </c>
      <c r="G118" t="s">
        <v>413</v>
      </c>
      <c r="H118" t="s">
        <v>37</v>
      </c>
      <c r="I118" t="s">
        <v>405</v>
      </c>
      <c r="J118" t="s">
        <v>59</v>
      </c>
      <c r="K118" t="s">
        <v>176</v>
      </c>
      <c r="L118" t="s">
        <v>11</v>
      </c>
      <c r="M118" t="s">
        <v>179</v>
      </c>
      <c r="N118" t="s">
        <v>77</v>
      </c>
      <c r="O118" t="s">
        <v>52</v>
      </c>
      <c r="P118" t="s">
        <v>60</v>
      </c>
      <c r="Q118" t="s">
        <v>1105</v>
      </c>
      <c r="R118" t="s">
        <v>13</v>
      </c>
      <c r="S118" t="s">
        <v>13</v>
      </c>
      <c r="T118" s="134">
        <v>42862</v>
      </c>
      <c r="U118" s="4">
        <v>47.221533333333333</v>
      </c>
      <c r="V118" s="4">
        <v>-122.80978333333333</v>
      </c>
      <c r="W118" s="252" t="str">
        <f>VLOOKUP(B118,Plantings!$A$2:$E$285,4,FALSE)</f>
        <v>polygon</v>
      </c>
      <c r="X118" s="251" t="str">
        <f>VLOOKUP(B118,Plantings!$A$2:$E$285,5,FALSE)</f>
        <v>drop</v>
      </c>
      <c r="Y118" s="7" t="s">
        <v>148</v>
      </c>
      <c r="Z118" s="36">
        <v>-1.6</v>
      </c>
      <c r="AA118" t="s">
        <v>1104</v>
      </c>
      <c r="AB118">
        <v>20</v>
      </c>
      <c r="AC118">
        <v>8</v>
      </c>
      <c r="AD118">
        <f>AB118*AC118</f>
        <v>160</v>
      </c>
      <c r="AE118">
        <v>80</v>
      </c>
      <c r="AF118" s="109">
        <f t="shared" si="20"/>
        <v>23.67</v>
      </c>
      <c r="AG118" s="133">
        <v>2367</v>
      </c>
      <c r="AH118" s="38">
        <v>16570</v>
      </c>
      <c r="AI118" s="5">
        <f t="shared" si="18"/>
        <v>103.5625</v>
      </c>
      <c r="AJ118" s="5">
        <f t="shared" si="19"/>
        <v>207.125</v>
      </c>
      <c r="AK118" t="s">
        <v>55</v>
      </c>
      <c r="AL118" s="160" t="s">
        <v>1184</v>
      </c>
    </row>
    <row r="119" spans="1:38" x14ac:dyDescent="0.25">
      <c r="A119" t="s">
        <v>149</v>
      </c>
      <c r="B119" t="s">
        <v>1152</v>
      </c>
      <c r="C119" s="252" t="str">
        <f>VLOOKUP(B119,Plantings!$A$2:$C$285,2,FALSE)</f>
        <v>JSP_south_P2</v>
      </c>
      <c r="D119" s="252" t="str">
        <f>VLOOKUP(B119,Plantings!$A$2:$C$285,3,FALSE)</f>
        <v>single</v>
      </c>
      <c r="E119">
        <v>2017</v>
      </c>
      <c r="G119" t="s">
        <v>413</v>
      </c>
      <c r="H119" t="s">
        <v>37</v>
      </c>
      <c r="I119" t="s">
        <v>405</v>
      </c>
      <c r="J119" t="s">
        <v>59</v>
      </c>
      <c r="K119" t="s">
        <v>176</v>
      </c>
      <c r="L119" t="s">
        <v>11</v>
      </c>
      <c r="M119" t="s">
        <v>179</v>
      </c>
      <c r="N119" t="s">
        <v>77</v>
      </c>
      <c r="O119" t="s">
        <v>52</v>
      </c>
      <c r="P119" t="s">
        <v>60</v>
      </c>
      <c r="Q119" t="s">
        <v>1105</v>
      </c>
      <c r="R119" t="s">
        <v>13</v>
      </c>
      <c r="S119" s="25" t="s">
        <v>520</v>
      </c>
      <c r="T119" s="134">
        <v>42862</v>
      </c>
      <c r="U119" s="247"/>
      <c r="V119" s="247"/>
      <c r="W119" s="252" t="str">
        <f>VLOOKUP(B119,Plantings!$A$2:$E$285,4,FALSE)</f>
        <v>polygon</v>
      </c>
      <c r="X119" s="251" t="str">
        <f>VLOOKUP(B119,Plantings!$A$2:$E$285,5,FALSE)</f>
        <v>drop</v>
      </c>
      <c r="Y119" s="7" t="s">
        <v>148</v>
      </c>
      <c r="AA119" s="4"/>
      <c r="AF119" s="109" t="str">
        <f t="shared" si="20"/>
        <v/>
      </c>
      <c r="AG119" s="38"/>
      <c r="AH119" s="38"/>
      <c r="AI119" s="5" t="str">
        <f t="shared" si="18"/>
        <v/>
      </c>
      <c r="AJ119" s="5" t="str">
        <f t="shared" si="19"/>
        <v/>
      </c>
      <c r="AL119" s="160" t="s">
        <v>397</v>
      </c>
    </row>
    <row r="120" spans="1:38" x14ac:dyDescent="0.25">
      <c r="A120" t="s">
        <v>149</v>
      </c>
      <c r="B120" t="s">
        <v>1153</v>
      </c>
      <c r="C120" s="252" t="str">
        <f>VLOOKUP(B120,Plantings!$A$2:$C$285,2,FALSE)</f>
        <v>JSP_south_P2</v>
      </c>
      <c r="D120" s="252" t="str">
        <f>VLOOKUP(B120,Plantings!$A$2:$C$285,3,FALSE)</f>
        <v>single</v>
      </c>
      <c r="E120">
        <v>2017</v>
      </c>
      <c r="G120" t="s">
        <v>413</v>
      </c>
      <c r="H120" t="s">
        <v>37</v>
      </c>
      <c r="I120" t="s">
        <v>405</v>
      </c>
      <c r="J120" t="s">
        <v>59</v>
      </c>
      <c r="K120" t="s">
        <v>176</v>
      </c>
      <c r="L120" t="s">
        <v>11</v>
      </c>
      <c r="M120" t="s">
        <v>179</v>
      </c>
      <c r="N120" t="s">
        <v>77</v>
      </c>
      <c r="O120" t="s">
        <v>52</v>
      </c>
      <c r="P120" t="s">
        <v>60</v>
      </c>
      <c r="Q120" t="s">
        <v>1105</v>
      </c>
      <c r="R120" t="s">
        <v>13</v>
      </c>
      <c r="S120" s="25" t="s">
        <v>520</v>
      </c>
      <c r="T120" s="134">
        <v>42862</v>
      </c>
      <c r="U120" s="4">
        <v>47.221733333333333</v>
      </c>
      <c r="V120" s="4">
        <v>-122.80993333333333</v>
      </c>
      <c r="W120" s="252" t="str">
        <f>VLOOKUP(B120,Plantings!$A$2:$E$285,4,FALSE)</f>
        <v>polygon</v>
      </c>
      <c r="X120" s="251" t="str">
        <f>VLOOKUP(B120,Plantings!$A$2:$E$285,5,FALSE)</f>
        <v>drop</v>
      </c>
      <c r="Y120" s="7" t="s">
        <v>148</v>
      </c>
      <c r="AF120" s="109" t="str">
        <f t="shared" si="20"/>
        <v/>
      </c>
      <c r="AG120" s="38"/>
      <c r="AH120" s="38"/>
      <c r="AI120" s="5" t="str">
        <f t="shared" si="18"/>
        <v/>
      </c>
      <c r="AJ120" s="5" t="str">
        <f t="shared" si="19"/>
        <v/>
      </c>
      <c r="AL120" s="160" t="s">
        <v>397</v>
      </c>
    </row>
    <row r="121" spans="1:38" x14ac:dyDescent="0.25">
      <c r="A121" t="s">
        <v>149</v>
      </c>
      <c r="B121" t="s">
        <v>1154</v>
      </c>
      <c r="C121" s="252" t="str">
        <f>VLOOKUP(B121,Plantings!$A$2:$C$285,2,FALSE)</f>
        <v>JSP_south_P2</v>
      </c>
      <c r="D121" s="252" t="str">
        <f>VLOOKUP(B121,Plantings!$A$2:$C$285,3,FALSE)</f>
        <v>single</v>
      </c>
      <c r="E121">
        <v>2017</v>
      </c>
      <c r="G121" t="s">
        <v>413</v>
      </c>
      <c r="H121" t="s">
        <v>37</v>
      </c>
      <c r="I121" t="s">
        <v>405</v>
      </c>
      <c r="J121" t="s">
        <v>59</v>
      </c>
      <c r="K121" t="s">
        <v>176</v>
      </c>
      <c r="L121" t="s">
        <v>11</v>
      </c>
      <c r="M121" t="s">
        <v>179</v>
      </c>
      <c r="N121" t="s">
        <v>77</v>
      </c>
      <c r="O121" t="s">
        <v>52</v>
      </c>
      <c r="P121" t="s">
        <v>60</v>
      </c>
      <c r="Q121" t="s">
        <v>1105</v>
      </c>
      <c r="R121" t="s">
        <v>13</v>
      </c>
      <c r="S121" s="25" t="s">
        <v>520</v>
      </c>
      <c r="T121" s="134">
        <v>42862</v>
      </c>
      <c r="U121" s="247"/>
      <c r="V121" s="247"/>
      <c r="W121" s="252" t="str">
        <f>VLOOKUP(B121,Plantings!$A$2:$E$285,4,FALSE)</f>
        <v>polygon</v>
      </c>
      <c r="X121" s="251" t="str">
        <f>VLOOKUP(B121,Plantings!$A$2:$E$285,5,FALSE)</f>
        <v>drop</v>
      </c>
      <c r="Y121" s="7" t="s">
        <v>148</v>
      </c>
      <c r="AF121" s="109" t="str">
        <f t="shared" si="20"/>
        <v/>
      </c>
      <c r="AG121" s="38"/>
      <c r="AH121" s="38"/>
      <c r="AI121" s="5" t="str">
        <f t="shared" ref="AI121:AI152" si="21">IFERROR(AH121/AD121, "")</f>
        <v/>
      </c>
      <c r="AJ121" s="5" t="str">
        <f t="shared" ref="AJ121:AJ152" si="22">IFERROR(AH121/AE121, "")</f>
        <v/>
      </c>
      <c r="AL121" s="160" t="s">
        <v>397</v>
      </c>
    </row>
    <row r="122" spans="1:38" x14ac:dyDescent="0.25">
      <c r="A122" t="s">
        <v>149</v>
      </c>
      <c r="B122" t="s">
        <v>2108</v>
      </c>
      <c r="C122" s="252" t="str">
        <f>VLOOKUP(B122,Plantings!$A$2:$C$285,2,FALSE)</f>
        <v>JSP_south_P3</v>
      </c>
      <c r="D122" s="252" t="str">
        <f>VLOOKUP(B122,Plantings!$A$2:$C$285,3,FALSE)</f>
        <v>single</v>
      </c>
      <c r="E122">
        <v>2017</v>
      </c>
      <c r="G122" t="s">
        <v>413</v>
      </c>
      <c r="H122" t="s">
        <v>37</v>
      </c>
      <c r="I122" t="s">
        <v>405</v>
      </c>
      <c r="J122" t="s">
        <v>59</v>
      </c>
      <c r="K122" t="s">
        <v>176</v>
      </c>
      <c r="L122" t="s">
        <v>11</v>
      </c>
      <c r="M122" t="s">
        <v>179</v>
      </c>
      <c r="N122" t="s">
        <v>77</v>
      </c>
      <c r="O122" t="s">
        <v>52</v>
      </c>
      <c r="P122" t="s">
        <v>60</v>
      </c>
      <c r="Q122" t="s">
        <v>1105</v>
      </c>
      <c r="R122" t="s">
        <v>13</v>
      </c>
      <c r="S122" t="s">
        <v>13</v>
      </c>
      <c r="T122" s="134">
        <v>42874</v>
      </c>
      <c r="U122" s="16">
        <v>47.221559999999997</v>
      </c>
      <c r="V122" s="16">
        <v>-122.80979000000001</v>
      </c>
      <c r="W122" s="252" t="str">
        <f>VLOOKUP(B122,Plantings!$A$2:$E$285,4,FALSE)</f>
        <v>polygon</v>
      </c>
      <c r="X122" s="251" t="str">
        <f>VLOOKUP(B122,Plantings!$A$2:$E$285,5,FALSE)</f>
        <v>retain</v>
      </c>
      <c r="Y122" s="7" t="s">
        <v>148</v>
      </c>
      <c r="Z122">
        <v>-1.6</v>
      </c>
      <c r="AA122" t="s">
        <v>1104</v>
      </c>
      <c r="AB122">
        <v>20</v>
      </c>
      <c r="AC122">
        <v>8</v>
      </c>
      <c r="AD122">
        <f>AB122*AC122</f>
        <v>160</v>
      </c>
      <c r="AE122">
        <v>77.5</v>
      </c>
      <c r="AF122" s="109">
        <f t="shared" si="20"/>
        <v>29.560000000000002</v>
      </c>
      <c r="AG122" s="38">
        <v>2956</v>
      </c>
      <c r="AH122" s="38">
        <v>24734</v>
      </c>
      <c r="AI122" s="5">
        <f t="shared" si="21"/>
        <v>154.58750000000001</v>
      </c>
      <c r="AJ122" s="5">
        <f t="shared" si="22"/>
        <v>319.14838709677417</v>
      </c>
      <c r="AK122" t="s">
        <v>119</v>
      </c>
      <c r="AL122" s="160" t="s">
        <v>1185</v>
      </c>
    </row>
    <row r="123" spans="1:38" x14ac:dyDescent="0.25">
      <c r="A123" t="s">
        <v>149</v>
      </c>
      <c r="B123" t="s">
        <v>1155</v>
      </c>
      <c r="C123" s="252" t="str">
        <f>VLOOKUP(B123,Plantings!$A$2:$C$285,2,FALSE)</f>
        <v>JSP_south_P3</v>
      </c>
      <c r="D123" s="252" t="str">
        <f>VLOOKUP(B123,Plantings!$A$2:$C$285,3,FALSE)</f>
        <v>single</v>
      </c>
      <c r="E123">
        <v>2017</v>
      </c>
      <c r="G123" t="s">
        <v>413</v>
      </c>
      <c r="H123" t="s">
        <v>37</v>
      </c>
      <c r="I123" t="s">
        <v>405</v>
      </c>
      <c r="J123" t="s">
        <v>59</v>
      </c>
      <c r="K123" t="s">
        <v>176</v>
      </c>
      <c r="L123" t="s">
        <v>11</v>
      </c>
      <c r="M123" t="s">
        <v>179</v>
      </c>
      <c r="N123" t="s">
        <v>77</v>
      </c>
      <c r="O123" t="s">
        <v>52</v>
      </c>
      <c r="P123" t="s">
        <v>60</v>
      </c>
      <c r="Q123" t="s">
        <v>1105</v>
      </c>
      <c r="R123" t="s">
        <v>13</v>
      </c>
      <c r="S123" s="25" t="s">
        <v>520</v>
      </c>
      <c r="T123" s="134">
        <v>42874</v>
      </c>
      <c r="U123" s="247"/>
      <c r="V123" s="247"/>
      <c r="W123" s="252" t="str">
        <f>VLOOKUP(B123,Plantings!$A$2:$E$285,4,FALSE)</f>
        <v>polygon</v>
      </c>
      <c r="X123" s="251" t="str">
        <f>VLOOKUP(B123,Plantings!$A$2:$E$285,5,FALSE)</f>
        <v>drop</v>
      </c>
      <c r="Y123" s="7" t="s">
        <v>148</v>
      </c>
      <c r="AF123" s="109" t="str">
        <f t="shared" si="20"/>
        <v/>
      </c>
      <c r="AG123" s="38"/>
      <c r="AH123" s="38"/>
      <c r="AI123" s="5" t="str">
        <f t="shared" si="21"/>
        <v/>
      </c>
      <c r="AJ123" s="5" t="str">
        <f t="shared" si="22"/>
        <v/>
      </c>
      <c r="AL123" s="160"/>
    </row>
    <row r="124" spans="1:38" x14ac:dyDescent="0.25">
      <c r="A124" t="s">
        <v>149</v>
      </c>
      <c r="B124" t="s">
        <v>1156</v>
      </c>
      <c r="C124" s="252" t="str">
        <f>VLOOKUP(B124,Plantings!$A$2:$C$285,2,FALSE)</f>
        <v>JSP_south_P3</v>
      </c>
      <c r="D124" s="252" t="str">
        <f>VLOOKUP(B124,Plantings!$A$2:$C$285,3,FALSE)</f>
        <v>single</v>
      </c>
      <c r="E124">
        <v>2017</v>
      </c>
      <c r="G124" t="s">
        <v>413</v>
      </c>
      <c r="H124" t="s">
        <v>37</v>
      </c>
      <c r="I124" t="s">
        <v>405</v>
      </c>
      <c r="J124" t="s">
        <v>59</v>
      </c>
      <c r="K124" t="s">
        <v>176</v>
      </c>
      <c r="L124" t="s">
        <v>11</v>
      </c>
      <c r="M124" t="s">
        <v>179</v>
      </c>
      <c r="N124" t="s">
        <v>77</v>
      </c>
      <c r="O124" t="s">
        <v>52</v>
      </c>
      <c r="P124" t="s">
        <v>60</v>
      </c>
      <c r="Q124" t="s">
        <v>1105</v>
      </c>
      <c r="R124" t="s">
        <v>13</v>
      </c>
      <c r="S124" s="25" t="s">
        <v>520</v>
      </c>
      <c r="T124" s="134">
        <v>42874</v>
      </c>
      <c r="U124" s="16">
        <v>47.221760000000003</v>
      </c>
      <c r="V124" s="16">
        <v>-122.80991</v>
      </c>
      <c r="W124" s="252" t="str">
        <f>VLOOKUP(B124,Plantings!$A$2:$E$285,4,FALSE)</f>
        <v>polygon</v>
      </c>
      <c r="X124" s="251" t="str">
        <f>VLOOKUP(B124,Plantings!$A$2:$E$285,5,FALSE)</f>
        <v>drop</v>
      </c>
      <c r="Y124" s="7" t="s">
        <v>148</v>
      </c>
      <c r="AF124" s="109" t="str">
        <f t="shared" si="20"/>
        <v/>
      </c>
      <c r="AG124" s="38"/>
      <c r="AH124" s="38"/>
      <c r="AI124" s="5" t="str">
        <f t="shared" si="21"/>
        <v/>
      </c>
      <c r="AJ124" s="5" t="str">
        <f t="shared" si="22"/>
        <v/>
      </c>
      <c r="AL124" s="160"/>
    </row>
    <row r="125" spans="1:38" x14ac:dyDescent="0.25">
      <c r="A125" t="s">
        <v>149</v>
      </c>
      <c r="B125" t="s">
        <v>1157</v>
      </c>
      <c r="C125" s="252" t="str">
        <f>VLOOKUP(B125,Plantings!$A$2:$C$285,2,FALSE)</f>
        <v>JSP_south_P3</v>
      </c>
      <c r="D125" s="252" t="str">
        <f>VLOOKUP(B125,Plantings!$A$2:$C$285,3,FALSE)</f>
        <v>single</v>
      </c>
      <c r="E125">
        <v>2017</v>
      </c>
      <c r="G125" t="s">
        <v>413</v>
      </c>
      <c r="H125" t="s">
        <v>37</v>
      </c>
      <c r="I125" t="s">
        <v>405</v>
      </c>
      <c r="J125" t="s">
        <v>59</v>
      </c>
      <c r="K125" t="s">
        <v>176</v>
      </c>
      <c r="L125" t="s">
        <v>11</v>
      </c>
      <c r="M125" t="s">
        <v>179</v>
      </c>
      <c r="N125" t="s">
        <v>77</v>
      </c>
      <c r="O125" t="s">
        <v>52</v>
      </c>
      <c r="P125" t="s">
        <v>60</v>
      </c>
      <c r="Q125" t="s">
        <v>1105</v>
      </c>
      <c r="R125" t="s">
        <v>13</v>
      </c>
      <c r="S125" s="25" t="s">
        <v>520</v>
      </c>
      <c r="T125" s="134">
        <v>42874</v>
      </c>
      <c r="U125" s="247"/>
      <c r="V125" s="247"/>
      <c r="W125" s="252" t="str">
        <f>VLOOKUP(B125,Plantings!$A$2:$E$285,4,FALSE)</f>
        <v>polygon</v>
      </c>
      <c r="X125" s="251" t="str">
        <f>VLOOKUP(B125,Plantings!$A$2:$E$285,5,FALSE)</f>
        <v>drop</v>
      </c>
      <c r="Y125" s="7" t="s">
        <v>148</v>
      </c>
      <c r="AF125" s="109" t="str">
        <f t="shared" si="20"/>
        <v/>
      </c>
      <c r="AG125" s="38"/>
      <c r="AH125" s="38"/>
      <c r="AI125" s="5" t="str">
        <f t="shared" si="21"/>
        <v/>
      </c>
      <c r="AJ125" s="5" t="str">
        <f t="shared" si="22"/>
        <v/>
      </c>
      <c r="AL125" s="160"/>
    </row>
    <row r="126" spans="1:38" x14ac:dyDescent="0.25">
      <c r="A126" t="s">
        <v>149</v>
      </c>
      <c r="B126" t="s">
        <v>2109</v>
      </c>
      <c r="C126" s="252" t="str">
        <f>VLOOKUP(B126,Plantings!$A$2:$C$285,2,FALSE)</f>
        <v>JSP_south_P4</v>
      </c>
      <c r="D126" s="252" t="str">
        <f>VLOOKUP(B126,Plantings!$A$2:$C$285,3,FALSE)</f>
        <v>single</v>
      </c>
      <c r="E126">
        <v>2017</v>
      </c>
      <c r="G126" t="s">
        <v>413</v>
      </c>
      <c r="H126" t="s">
        <v>37</v>
      </c>
      <c r="I126" t="s">
        <v>405</v>
      </c>
      <c r="J126" t="s">
        <v>59</v>
      </c>
      <c r="K126" t="s">
        <v>176</v>
      </c>
      <c r="L126" t="s">
        <v>11</v>
      </c>
      <c r="M126" t="s">
        <v>179</v>
      </c>
      <c r="N126" t="s">
        <v>77</v>
      </c>
      <c r="O126" t="s">
        <v>52</v>
      </c>
      <c r="P126" t="s">
        <v>60</v>
      </c>
      <c r="Q126" t="s">
        <v>1105</v>
      </c>
      <c r="R126" t="s">
        <v>13</v>
      </c>
      <c r="S126" t="s">
        <v>13</v>
      </c>
      <c r="T126" s="134">
        <v>42877</v>
      </c>
      <c r="U126" s="16">
        <v>47.221207525600001</v>
      </c>
      <c r="V126" s="16">
        <v>-122.80959413390001</v>
      </c>
      <c r="W126" s="252" t="str">
        <f>VLOOKUP(B126,Plantings!$A$2:$E$285,4,FALSE)</f>
        <v>polygon</v>
      </c>
      <c r="X126" s="251" t="str">
        <f>VLOOKUP(B126,Plantings!$A$2:$E$285,5,FALSE)</f>
        <v>retain</v>
      </c>
      <c r="Y126" s="7" t="s">
        <v>148</v>
      </c>
      <c r="Z126">
        <v>-1.6</v>
      </c>
      <c r="AA126" t="s">
        <v>1104</v>
      </c>
      <c r="AB126">
        <v>20</v>
      </c>
      <c r="AC126">
        <v>8</v>
      </c>
      <c r="AD126">
        <f>AB126*AC126</f>
        <v>160</v>
      </c>
      <c r="AE126">
        <v>80</v>
      </c>
      <c r="AF126" s="109">
        <f t="shared" si="20"/>
        <v>26.150000000000002</v>
      </c>
      <c r="AG126" s="38">
        <v>2615</v>
      </c>
      <c r="AH126" s="38">
        <v>26149</v>
      </c>
      <c r="AI126" s="5">
        <f t="shared" si="21"/>
        <v>163.43125000000001</v>
      </c>
      <c r="AJ126" s="5">
        <f t="shared" si="22"/>
        <v>326.86250000000001</v>
      </c>
      <c r="AK126" t="s">
        <v>54</v>
      </c>
      <c r="AL126" s="160" t="s">
        <v>1186</v>
      </c>
    </row>
    <row r="127" spans="1:38" x14ac:dyDescent="0.25">
      <c r="A127" t="s">
        <v>149</v>
      </c>
      <c r="B127" t="s">
        <v>1158</v>
      </c>
      <c r="C127" s="252" t="str">
        <f>VLOOKUP(B127,Plantings!$A$2:$C$285,2,FALSE)</f>
        <v>JSP_south_P4</v>
      </c>
      <c r="D127" s="252" t="str">
        <f>VLOOKUP(B127,Plantings!$A$2:$C$285,3,FALSE)</f>
        <v>single</v>
      </c>
      <c r="E127">
        <v>2017</v>
      </c>
      <c r="G127" t="s">
        <v>413</v>
      </c>
      <c r="H127" t="s">
        <v>37</v>
      </c>
      <c r="I127" t="s">
        <v>405</v>
      </c>
      <c r="J127" t="s">
        <v>59</v>
      </c>
      <c r="K127" t="s">
        <v>176</v>
      </c>
      <c r="L127" t="s">
        <v>11</v>
      </c>
      <c r="M127" t="s">
        <v>179</v>
      </c>
      <c r="N127" t="s">
        <v>77</v>
      </c>
      <c r="O127" t="s">
        <v>52</v>
      </c>
      <c r="P127" t="s">
        <v>60</v>
      </c>
      <c r="Q127" t="s">
        <v>1105</v>
      </c>
      <c r="R127" t="s">
        <v>13</v>
      </c>
      <c r="S127" s="25" t="s">
        <v>520</v>
      </c>
      <c r="T127" s="134">
        <v>42877</v>
      </c>
      <c r="U127" s="16">
        <v>47.221167879200003</v>
      </c>
      <c r="V127" s="16">
        <v>-122.8096705768</v>
      </c>
      <c r="W127" s="252" t="str">
        <f>VLOOKUP(B127,Plantings!$A$2:$E$285,4,FALSE)</f>
        <v>polygon</v>
      </c>
      <c r="X127" s="251" t="str">
        <f>VLOOKUP(B127,Plantings!$A$2:$E$285,5,FALSE)</f>
        <v>drop</v>
      </c>
      <c r="Y127" s="7" t="s">
        <v>148</v>
      </c>
      <c r="AF127" s="109" t="str">
        <f t="shared" si="20"/>
        <v/>
      </c>
      <c r="AG127" s="38"/>
      <c r="AH127" s="38"/>
      <c r="AI127" s="5" t="str">
        <f t="shared" si="21"/>
        <v/>
      </c>
      <c r="AJ127" s="5" t="str">
        <f t="shared" si="22"/>
        <v/>
      </c>
    </row>
    <row r="128" spans="1:38" x14ac:dyDescent="0.25">
      <c r="A128" t="s">
        <v>149</v>
      </c>
      <c r="B128" t="s">
        <v>1159</v>
      </c>
      <c r="C128" s="252" t="str">
        <f>VLOOKUP(B128,Plantings!$A$2:$C$285,2,FALSE)</f>
        <v>JSP_south_P4</v>
      </c>
      <c r="D128" s="252" t="str">
        <f>VLOOKUP(B128,Plantings!$A$2:$C$285,3,FALSE)</f>
        <v>single</v>
      </c>
      <c r="E128">
        <v>2017</v>
      </c>
      <c r="G128" t="s">
        <v>413</v>
      </c>
      <c r="H128" t="s">
        <v>37</v>
      </c>
      <c r="I128" t="s">
        <v>405</v>
      </c>
      <c r="J128" t="s">
        <v>59</v>
      </c>
      <c r="K128" t="s">
        <v>176</v>
      </c>
      <c r="L128" t="s">
        <v>11</v>
      </c>
      <c r="M128" t="s">
        <v>179</v>
      </c>
      <c r="N128" t="s">
        <v>77</v>
      </c>
      <c r="O128" t="s">
        <v>52</v>
      </c>
      <c r="P128" t="s">
        <v>60</v>
      </c>
      <c r="Q128" t="s">
        <v>1105</v>
      </c>
      <c r="R128" t="s">
        <v>13</v>
      </c>
      <c r="S128" s="25" t="s">
        <v>520</v>
      </c>
      <c r="T128" s="134">
        <v>42877</v>
      </c>
      <c r="U128" s="16">
        <v>47.221339999999998</v>
      </c>
      <c r="V128" s="16">
        <v>-122.8096</v>
      </c>
      <c r="W128" s="252" t="str">
        <f>VLOOKUP(B128,Plantings!$A$2:$E$285,4,FALSE)</f>
        <v>polygon</v>
      </c>
      <c r="X128" s="251" t="str">
        <f>VLOOKUP(B128,Plantings!$A$2:$E$285,5,FALSE)</f>
        <v>drop</v>
      </c>
      <c r="Y128" s="7" t="s">
        <v>148</v>
      </c>
      <c r="AF128" s="109" t="str">
        <f t="shared" si="20"/>
        <v/>
      </c>
      <c r="AG128" s="38"/>
      <c r="AH128" s="38"/>
      <c r="AI128" s="5" t="str">
        <f t="shared" si="21"/>
        <v/>
      </c>
      <c r="AJ128" s="5" t="str">
        <f t="shared" si="22"/>
        <v/>
      </c>
      <c r="AL128" s="160"/>
    </row>
    <row r="129" spans="1:38" x14ac:dyDescent="0.25">
      <c r="A129" t="s">
        <v>149</v>
      </c>
      <c r="B129" t="s">
        <v>1160</v>
      </c>
      <c r="C129" s="252" t="str">
        <f>VLOOKUP(B129,Plantings!$A$2:$C$285,2,FALSE)</f>
        <v>JSP_south_P4</v>
      </c>
      <c r="D129" s="252" t="str">
        <f>VLOOKUP(B129,Plantings!$A$2:$C$285,3,FALSE)</f>
        <v>single</v>
      </c>
      <c r="E129">
        <v>2017</v>
      </c>
      <c r="G129" t="s">
        <v>413</v>
      </c>
      <c r="H129" t="s">
        <v>37</v>
      </c>
      <c r="I129" t="s">
        <v>405</v>
      </c>
      <c r="J129" t="s">
        <v>59</v>
      </c>
      <c r="K129" t="s">
        <v>176</v>
      </c>
      <c r="L129" t="s">
        <v>11</v>
      </c>
      <c r="M129" t="s">
        <v>179</v>
      </c>
      <c r="N129" t="s">
        <v>77</v>
      </c>
      <c r="O129" t="s">
        <v>52</v>
      </c>
      <c r="P129" t="s">
        <v>60</v>
      </c>
      <c r="Q129" t="s">
        <v>1105</v>
      </c>
      <c r="R129" t="s">
        <v>13</v>
      </c>
      <c r="S129" s="25" t="s">
        <v>520</v>
      </c>
      <c r="T129" s="134">
        <v>42877</v>
      </c>
      <c r="U129" s="247"/>
      <c r="V129" s="247"/>
      <c r="W129" s="252" t="str">
        <f>VLOOKUP(B129,Plantings!$A$2:$E$285,4,FALSE)</f>
        <v>polygon</v>
      </c>
      <c r="X129" s="251" t="str">
        <f>VLOOKUP(B129,Plantings!$A$2:$E$285,5,FALSE)</f>
        <v>drop</v>
      </c>
      <c r="Y129" s="7" t="s">
        <v>148</v>
      </c>
      <c r="AF129" s="109" t="str">
        <f t="shared" si="20"/>
        <v/>
      </c>
      <c r="AG129" s="38"/>
      <c r="AH129" s="38"/>
      <c r="AI129" s="5" t="str">
        <f t="shared" si="21"/>
        <v/>
      </c>
      <c r="AJ129" s="5" t="str">
        <f t="shared" si="22"/>
        <v/>
      </c>
      <c r="AL129" s="160"/>
    </row>
    <row r="130" spans="1:38" x14ac:dyDescent="0.25">
      <c r="A130" s="1" t="s">
        <v>149</v>
      </c>
      <c r="B130" s="1" t="s">
        <v>1106</v>
      </c>
      <c r="C130" s="252" t="str">
        <f>VLOOKUP(B130,Plantings!$A$2:$C$285,2,FALSE)</f>
        <v>JSP_mid_AG1</v>
      </c>
      <c r="D130" s="252" t="str">
        <f>VLOOKUP(B130,Plantings!$A$2:$C$285,3,FALSE)</f>
        <v>single</v>
      </c>
      <c r="E130" s="1">
        <v>2017</v>
      </c>
      <c r="F130" s="1"/>
      <c r="G130" s="1" t="s">
        <v>412</v>
      </c>
      <c r="H130" s="1" t="s">
        <v>37</v>
      </c>
      <c r="I130" t="s">
        <v>405</v>
      </c>
      <c r="J130" s="1" t="s">
        <v>163</v>
      </c>
      <c r="K130" s="1" t="s">
        <v>165</v>
      </c>
      <c r="L130" s="1" t="s">
        <v>229</v>
      </c>
      <c r="M130" s="1"/>
      <c r="N130" s="1"/>
      <c r="O130" s="1"/>
      <c r="P130" s="1"/>
      <c r="Q130" s="1"/>
      <c r="R130" s="1" t="s">
        <v>22</v>
      </c>
      <c r="S130" s="1" t="s">
        <v>22</v>
      </c>
      <c r="T130" s="134">
        <v>42880</v>
      </c>
      <c r="U130" s="4">
        <v>47.222461000000003</v>
      </c>
      <c r="V130" s="4">
        <v>-122.810239</v>
      </c>
      <c r="W130" s="252" t="str">
        <f>VLOOKUP(B130,Plantings!$A$2:$E$285,4,FALSE)</f>
        <v>point</v>
      </c>
      <c r="X130" s="251" t="str">
        <f>VLOOKUP(B130,Plantings!$A$2:$E$285,5,FALSE)</f>
        <v>retain</v>
      </c>
      <c r="Y130" s="7" t="s">
        <v>148</v>
      </c>
      <c r="Z130">
        <v>-1.1499999999999999</v>
      </c>
      <c r="AA130" t="s">
        <v>168</v>
      </c>
      <c r="AB130">
        <v>1</v>
      </c>
      <c r="AC130">
        <v>1</v>
      </c>
      <c r="AD130">
        <f t="shared" ref="AD130:AD177" si="23">AB130*AC130</f>
        <v>1</v>
      </c>
      <c r="AE130">
        <v>8.0000000000000002E-3</v>
      </c>
      <c r="AF130" s="109">
        <f t="shared" si="20"/>
        <v>1.4999999999999999E-2</v>
      </c>
      <c r="AG130" s="38">
        <v>3</v>
      </c>
      <c r="AH130" s="38">
        <f t="shared" ref="AH130:AH141" si="24">AG130*4</f>
        <v>12</v>
      </c>
      <c r="AI130" s="5">
        <f t="shared" si="21"/>
        <v>12</v>
      </c>
      <c r="AJ130" s="5">
        <f t="shared" si="22"/>
        <v>1500</v>
      </c>
      <c r="AK130" t="s">
        <v>119</v>
      </c>
      <c r="AL130" s="160" t="s">
        <v>1901</v>
      </c>
    </row>
    <row r="131" spans="1:38" x14ac:dyDescent="0.25">
      <c r="A131" s="1" t="s">
        <v>149</v>
      </c>
      <c r="B131" s="1" t="s">
        <v>1107</v>
      </c>
      <c r="C131" s="252" t="str">
        <f>VLOOKUP(B131,Plantings!$A$2:$C$285,2,FALSE)</f>
        <v>JSP_mid_BG1</v>
      </c>
      <c r="D131" s="252" t="str">
        <f>VLOOKUP(B131,Plantings!$A$2:$C$285,3,FALSE)</f>
        <v>single</v>
      </c>
      <c r="E131" s="1">
        <v>2017</v>
      </c>
      <c r="F131" s="1"/>
      <c r="G131" s="1" t="s">
        <v>412</v>
      </c>
      <c r="H131" s="1" t="s">
        <v>37</v>
      </c>
      <c r="I131" t="s">
        <v>405</v>
      </c>
      <c r="J131" s="1" t="s">
        <v>163</v>
      </c>
      <c r="K131" s="1" t="s">
        <v>165</v>
      </c>
      <c r="L131" s="1" t="s">
        <v>229</v>
      </c>
      <c r="M131" s="1"/>
      <c r="N131" s="1"/>
      <c r="O131" s="1"/>
      <c r="P131" s="1"/>
      <c r="Q131" s="1"/>
      <c r="R131" s="1" t="s">
        <v>22</v>
      </c>
      <c r="S131" s="25" t="s">
        <v>520</v>
      </c>
      <c r="T131" s="134">
        <v>42880</v>
      </c>
      <c r="U131" s="4">
        <v>47.222489000000003</v>
      </c>
      <c r="V131" s="4">
        <v>-122.81026199999999</v>
      </c>
      <c r="W131" s="252" t="str">
        <f>VLOOKUP(B131,Plantings!$A$2:$E$285,4,FALSE)</f>
        <v>point</v>
      </c>
      <c r="X131" s="251" t="str">
        <f>VLOOKUP(B131,Plantings!$A$2:$E$285,5,FALSE)</f>
        <v>retain</v>
      </c>
      <c r="Y131" s="7" t="s">
        <v>148</v>
      </c>
      <c r="AA131" t="s">
        <v>168</v>
      </c>
      <c r="AB131">
        <v>1</v>
      </c>
      <c r="AC131">
        <v>1</v>
      </c>
      <c r="AD131">
        <f t="shared" si="23"/>
        <v>1</v>
      </c>
      <c r="AE131">
        <v>8.0000000000000002E-3</v>
      </c>
      <c r="AF131" s="109">
        <f t="shared" si="20"/>
        <v>1.4999999999999999E-2</v>
      </c>
      <c r="AG131" s="38">
        <v>3</v>
      </c>
      <c r="AH131" s="38">
        <f t="shared" si="24"/>
        <v>12</v>
      </c>
      <c r="AI131" s="5">
        <f t="shared" si="21"/>
        <v>12</v>
      </c>
      <c r="AJ131" s="5">
        <f t="shared" si="22"/>
        <v>1500</v>
      </c>
      <c r="AK131" t="s">
        <v>119</v>
      </c>
      <c r="AL131" s="160" t="s">
        <v>1901</v>
      </c>
    </row>
    <row r="132" spans="1:38" x14ac:dyDescent="0.25">
      <c r="A132" s="1" t="s">
        <v>149</v>
      </c>
      <c r="B132" s="1" t="s">
        <v>1108</v>
      </c>
      <c r="C132" s="252" t="str">
        <f>VLOOKUP(B132,Plantings!$A$2:$C$285,2,FALSE)</f>
        <v>JSP_mid_C1</v>
      </c>
      <c r="D132" s="252" t="str">
        <f>VLOOKUP(B132,Plantings!$A$2:$C$285,3,FALSE)</f>
        <v>single</v>
      </c>
      <c r="E132" s="1">
        <v>2017</v>
      </c>
      <c r="F132" s="1"/>
      <c r="G132" s="1" t="s">
        <v>412</v>
      </c>
      <c r="H132" s="1" t="s">
        <v>37</v>
      </c>
      <c r="I132" t="s">
        <v>405</v>
      </c>
      <c r="J132" s="1" t="s">
        <v>163</v>
      </c>
      <c r="K132" s="1" t="s">
        <v>165</v>
      </c>
      <c r="L132" s="1" t="s">
        <v>229</v>
      </c>
      <c r="M132" s="1"/>
      <c r="N132" s="1"/>
      <c r="O132" s="1"/>
      <c r="P132" s="1"/>
      <c r="Q132" s="1"/>
      <c r="R132" s="1" t="s">
        <v>22</v>
      </c>
      <c r="S132" s="25" t="s">
        <v>520</v>
      </c>
      <c r="T132" s="134">
        <v>42880</v>
      </c>
      <c r="U132" s="4">
        <v>47.222512000000002</v>
      </c>
      <c r="V132" s="4">
        <v>-122.810267</v>
      </c>
      <c r="W132" s="252" t="str">
        <f>VLOOKUP(B132,Plantings!$A$2:$E$285,4,FALSE)</f>
        <v>point</v>
      </c>
      <c r="X132" s="251" t="str">
        <f>VLOOKUP(B132,Plantings!$A$2:$E$285,5,FALSE)</f>
        <v>retain</v>
      </c>
      <c r="Y132" s="7" t="s">
        <v>148</v>
      </c>
      <c r="AA132" t="s">
        <v>168</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119</v>
      </c>
      <c r="AL132" s="160" t="s">
        <v>1901</v>
      </c>
    </row>
    <row r="133" spans="1:38" x14ac:dyDescent="0.25">
      <c r="A133" s="1" t="s">
        <v>149</v>
      </c>
      <c r="B133" s="1" t="s">
        <v>1109</v>
      </c>
      <c r="C133" s="252" t="str">
        <f>VLOOKUP(B133,Plantings!$A$2:$C$285,2,FALSE)</f>
        <v>JSP_mid_AG2</v>
      </c>
      <c r="D133" s="252" t="str">
        <f>VLOOKUP(B133,Plantings!$A$2:$C$285,3,FALSE)</f>
        <v>single</v>
      </c>
      <c r="E133" s="1">
        <v>2017</v>
      </c>
      <c r="F133" s="1"/>
      <c r="G133" s="1" t="s">
        <v>412</v>
      </c>
      <c r="H133" s="1" t="s">
        <v>37</v>
      </c>
      <c r="I133" t="s">
        <v>405</v>
      </c>
      <c r="J133" s="1" t="s">
        <v>163</v>
      </c>
      <c r="K133" s="1" t="s">
        <v>165</v>
      </c>
      <c r="L133" s="1" t="s">
        <v>229</v>
      </c>
      <c r="M133" s="1"/>
      <c r="N133" s="1"/>
      <c r="O133" s="1"/>
      <c r="P133" s="1"/>
      <c r="Q133" s="1"/>
      <c r="R133" s="1" t="s">
        <v>22</v>
      </c>
      <c r="S133" s="25" t="s">
        <v>520</v>
      </c>
      <c r="T133" s="134">
        <v>42880</v>
      </c>
      <c r="U133" s="4">
        <v>47.222541999999997</v>
      </c>
      <c r="V133" s="4">
        <v>-122.81027899999999</v>
      </c>
      <c r="W133" s="252" t="str">
        <f>VLOOKUP(B133,Plantings!$A$2:$E$285,4,FALSE)</f>
        <v>point</v>
      </c>
      <c r="X133" s="251" t="str">
        <f>VLOOKUP(B133,Plantings!$A$2:$E$285,5,FALSE)</f>
        <v>retain</v>
      </c>
      <c r="Y133" s="7" t="s">
        <v>148</v>
      </c>
      <c r="AA133" t="s">
        <v>168</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119</v>
      </c>
      <c r="AL133" s="160" t="s">
        <v>1901</v>
      </c>
    </row>
    <row r="134" spans="1:38" x14ac:dyDescent="0.25">
      <c r="A134" s="1" t="s">
        <v>149</v>
      </c>
      <c r="B134" s="1" t="s">
        <v>1110</v>
      </c>
      <c r="C134" s="252" t="str">
        <f>VLOOKUP(B134,Plantings!$A$2:$C$285,2,FALSE)</f>
        <v>JSP_mid_C2</v>
      </c>
      <c r="D134" s="252" t="str">
        <f>VLOOKUP(B134,Plantings!$A$2:$C$285,3,FALSE)</f>
        <v>single</v>
      </c>
      <c r="E134" s="1">
        <v>2017</v>
      </c>
      <c r="F134" s="1"/>
      <c r="G134" s="1" t="s">
        <v>412</v>
      </c>
      <c r="H134" s="1" t="s">
        <v>37</v>
      </c>
      <c r="I134" t="s">
        <v>405</v>
      </c>
      <c r="J134" s="1" t="s">
        <v>163</v>
      </c>
      <c r="K134" s="1" t="s">
        <v>165</v>
      </c>
      <c r="L134" s="1" t="s">
        <v>229</v>
      </c>
      <c r="M134" s="1"/>
      <c r="N134" s="1"/>
      <c r="O134" s="1"/>
      <c r="P134" s="1"/>
      <c r="Q134" s="1"/>
      <c r="R134" s="1" t="s">
        <v>22</v>
      </c>
      <c r="S134" s="25" t="s">
        <v>520</v>
      </c>
      <c r="T134" s="134">
        <v>42880</v>
      </c>
      <c r="U134" s="4">
        <v>47.222552</v>
      </c>
      <c r="V134" s="4">
        <v>-122.810293</v>
      </c>
      <c r="W134" s="252" t="str">
        <f>VLOOKUP(B134,Plantings!$A$2:$E$285,4,FALSE)</f>
        <v>point</v>
      </c>
      <c r="X134" s="251" t="str">
        <f>VLOOKUP(B134,Plantings!$A$2:$E$285,5,FALSE)</f>
        <v>retain</v>
      </c>
      <c r="Y134" s="7" t="s">
        <v>148</v>
      </c>
      <c r="AA134" t="s">
        <v>168</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119</v>
      </c>
      <c r="AL134" s="160" t="s">
        <v>1901</v>
      </c>
    </row>
    <row r="135" spans="1:38" x14ac:dyDescent="0.25">
      <c r="A135" s="1" t="s">
        <v>149</v>
      </c>
      <c r="B135" s="1" t="s">
        <v>1111</v>
      </c>
      <c r="C135" s="252" t="str">
        <f>VLOOKUP(B135,Plantings!$A$2:$C$285,2,FALSE)</f>
        <v>JSP_mid_BG2</v>
      </c>
      <c r="D135" s="252" t="str">
        <f>VLOOKUP(B135,Plantings!$A$2:$C$285,3,FALSE)</f>
        <v>single</v>
      </c>
      <c r="E135" s="1">
        <v>2017</v>
      </c>
      <c r="F135" s="1"/>
      <c r="G135" s="1" t="s">
        <v>412</v>
      </c>
      <c r="H135" s="1" t="s">
        <v>37</v>
      </c>
      <c r="I135" t="s">
        <v>405</v>
      </c>
      <c r="J135" s="1" t="s">
        <v>163</v>
      </c>
      <c r="K135" s="1" t="s">
        <v>165</v>
      </c>
      <c r="L135" s="1" t="s">
        <v>229</v>
      </c>
      <c r="M135" s="1"/>
      <c r="N135" s="1"/>
      <c r="O135" s="1"/>
      <c r="P135" s="1"/>
      <c r="Q135" s="1"/>
      <c r="R135" s="1" t="s">
        <v>22</v>
      </c>
      <c r="S135" s="25" t="s">
        <v>520</v>
      </c>
      <c r="T135" s="134">
        <v>42880</v>
      </c>
      <c r="U135" s="4">
        <v>47.222596000000003</v>
      </c>
      <c r="V135" s="4">
        <v>-122.810309</v>
      </c>
      <c r="W135" s="252" t="str">
        <f>VLOOKUP(B135,Plantings!$A$2:$E$285,4,FALSE)</f>
        <v>point</v>
      </c>
      <c r="X135" s="251" t="str">
        <f>VLOOKUP(B135,Plantings!$A$2:$E$285,5,FALSE)</f>
        <v>retain</v>
      </c>
      <c r="Y135" s="7" t="s">
        <v>148</v>
      </c>
      <c r="AA135" t="s">
        <v>168</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119</v>
      </c>
      <c r="AL135" s="160" t="s">
        <v>1901</v>
      </c>
    </row>
    <row r="136" spans="1:38" x14ac:dyDescent="0.25">
      <c r="A136" s="1" t="s">
        <v>149</v>
      </c>
      <c r="B136" s="1" t="s">
        <v>1112</v>
      </c>
      <c r="C136" s="252" t="str">
        <f>VLOOKUP(B136,Plantings!$A$2:$C$285,2,FALSE)</f>
        <v>JSP_mid_C3</v>
      </c>
      <c r="D136" s="252" t="str">
        <f>VLOOKUP(B136,Plantings!$A$2:$C$285,3,FALSE)</f>
        <v>single</v>
      </c>
      <c r="E136" s="1">
        <v>2017</v>
      </c>
      <c r="F136" s="1"/>
      <c r="G136" s="1" t="s">
        <v>412</v>
      </c>
      <c r="H136" s="1" t="s">
        <v>37</v>
      </c>
      <c r="I136" t="s">
        <v>405</v>
      </c>
      <c r="J136" s="1" t="s">
        <v>163</v>
      </c>
      <c r="K136" s="1" t="s">
        <v>165</v>
      </c>
      <c r="L136" s="1" t="s">
        <v>229</v>
      </c>
      <c r="M136" s="1"/>
      <c r="N136" s="1"/>
      <c r="O136" s="1"/>
      <c r="P136" s="1"/>
      <c r="Q136" s="1"/>
      <c r="R136" s="1" t="s">
        <v>22</v>
      </c>
      <c r="S136" s="25" t="s">
        <v>520</v>
      </c>
      <c r="T136" s="134">
        <v>42880</v>
      </c>
      <c r="U136" s="4">
        <v>47.222611999999998</v>
      </c>
      <c r="V136" s="4">
        <v>-122.810312</v>
      </c>
      <c r="W136" s="252" t="str">
        <f>VLOOKUP(B136,Plantings!$A$2:$E$285,4,FALSE)</f>
        <v>point</v>
      </c>
      <c r="X136" s="251" t="str">
        <f>VLOOKUP(B136,Plantings!$A$2:$E$285,5,FALSE)</f>
        <v>retain</v>
      </c>
      <c r="Y136" s="7" t="s">
        <v>148</v>
      </c>
      <c r="AA136" t="s">
        <v>168</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119</v>
      </c>
      <c r="AL136" s="160" t="s">
        <v>1901</v>
      </c>
    </row>
    <row r="137" spans="1:38" x14ac:dyDescent="0.25">
      <c r="A137" s="1" t="s">
        <v>149</v>
      </c>
      <c r="B137" s="1" t="s">
        <v>1113</v>
      </c>
      <c r="C137" s="252" t="str">
        <f>VLOOKUP(B137,Plantings!$A$2:$C$285,2,FALSE)</f>
        <v>JSP_mid_BG3</v>
      </c>
      <c r="D137" s="252" t="str">
        <f>VLOOKUP(B137,Plantings!$A$2:$C$285,3,FALSE)</f>
        <v>single</v>
      </c>
      <c r="E137" s="1">
        <v>2017</v>
      </c>
      <c r="F137" s="1"/>
      <c r="G137" s="1" t="s">
        <v>412</v>
      </c>
      <c r="H137" s="1" t="s">
        <v>37</v>
      </c>
      <c r="I137" t="s">
        <v>405</v>
      </c>
      <c r="J137" s="1" t="s">
        <v>163</v>
      </c>
      <c r="K137" s="1" t="s">
        <v>165</v>
      </c>
      <c r="L137" s="1" t="s">
        <v>229</v>
      </c>
      <c r="M137" s="1"/>
      <c r="N137" s="1"/>
      <c r="O137" s="1"/>
      <c r="P137" s="1"/>
      <c r="Q137" s="1"/>
      <c r="R137" s="1" t="s">
        <v>22</v>
      </c>
      <c r="S137" s="25" t="s">
        <v>520</v>
      </c>
      <c r="T137" s="134">
        <v>42880</v>
      </c>
      <c r="U137" s="4">
        <v>47.222638000000003</v>
      </c>
      <c r="V137" s="4">
        <v>-122.810339</v>
      </c>
      <c r="W137" s="252" t="str">
        <f>VLOOKUP(B137,Plantings!$A$2:$E$285,4,FALSE)</f>
        <v>point</v>
      </c>
      <c r="X137" s="251" t="str">
        <f>VLOOKUP(B137,Plantings!$A$2:$E$285,5,FALSE)</f>
        <v>retain</v>
      </c>
      <c r="Y137" s="7" t="s">
        <v>148</v>
      </c>
      <c r="AA137" t="s">
        <v>168</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119</v>
      </c>
      <c r="AL137" s="160" t="s">
        <v>1901</v>
      </c>
    </row>
    <row r="138" spans="1:38" x14ac:dyDescent="0.25">
      <c r="A138" s="1" t="s">
        <v>149</v>
      </c>
      <c r="B138" s="1" t="s">
        <v>1114</v>
      </c>
      <c r="C138" s="252" t="str">
        <f>VLOOKUP(B138,Plantings!$A$2:$C$285,2,FALSE)</f>
        <v>JSP_mid_C4</v>
      </c>
      <c r="D138" s="252" t="str">
        <f>VLOOKUP(B138,Plantings!$A$2:$C$285,3,FALSE)</f>
        <v>single</v>
      </c>
      <c r="E138" s="1">
        <v>2017</v>
      </c>
      <c r="F138" s="1"/>
      <c r="G138" s="1" t="s">
        <v>412</v>
      </c>
      <c r="H138" s="1" t="s">
        <v>37</v>
      </c>
      <c r="I138" t="s">
        <v>405</v>
      </c>
      <c r="J138" s="1" t="s">
        <v>163</v>
      </c>
      <c r="K138" s="1" t="s">
        <v>165</v>
      </c>
      <c r="L138" s="1" t="s">
        <v>229</v>
      </c>
      <c r="M138" s="1"/>
      <c r="N138" s="1"/>
      <c r="O138" s="1"/>
      <c r="P138" s="1"/>
      <c r="Q138" s="1"/>
      <c r="R138" s="1" t="s">
        <v>22</v>
      </c>
      <c r="S138" s="25" t="s">
        <v>520</v>
      </c>
      <c r="T138" s="134">
        <v>42880</v>
      </c>
      <c r="U138" s="4">
        <v>47.222720000000002</v>
      </c>
      <c r="V138" s="4">
        <v>-122.81038599999999</v>
      </c>
      <c r="W138" s="252" t="str">
        <f>VLOOKUP(B138,Plantings!$A$2:$E$285,4,FALSE)</f>
        <v>point</v>
      </c>
      <c r="X138" s="251" t="str">
        <f>VLOOKUP(B138,Plantings!$A$2:$E$285,5,FALSE)</f>
        <v>retain</v>
      </c>
      <c r="Y138" s="7" t="s">
        <v>148</v>
      </c>
      <c r="AA138" t="s">
        <v>168</v>
      </c>
      <c r="AB138">
        <v>1</v>
      </c>
      <c r="AC138">
        <v>1</v>
      </c>
      <c r="AD138">
        <f t="shared" si="23"/>
        <v>1</v>
      </c>
      <c r="AE138">
        <v>8.0000000000000002E-3</v>
      </c>
      <c r="AF138" s="109">
        <f t="shared" ref="AF138:AF169" si="25">IF(AA138="staple",AG138*0.005,IF(AA138="rebar",AG138*0.025,IF(AA138="burlap",AG138*0.0625,IF(AA138="washer",AG138*0.0025,IF(AA138="pucks",AG138*0.00785,IF(AA138="turf",AG138*0.01,IF(AA138="","")))))))</f>
        <v>1.4999999999999999E-2</v>
      </c>
      <c r="AG138" s="38">
        <v>3</v>
      </c>
      <c r="AH138" s="38">
        <f t="shared" si="24"/>
        <v>12</v>
      </c>
      <c r="AI138" s="5">
        <f t="shared" si="21"/>
        <v>12</v>
      </c>
      <c r="AJ138" s="5">
        <f t="shared" si="22"/>
        <v>1500</v>
      </c>
      <c r="AK138" t="s">
        <v>119</v>
      </c>
      <c r="AL138" s="160" t="s">
        <v>1901</v>
      </c>
    </row>
    <row r="139" spans="1:38" x14ac:dyDescent="0.25">
      <c r="A139" s="1" t="s">
        <v>149</v>
      </c>
      <c r="B139" s="1" t="s">
        <v>1115</v>
      </c>
      <c r="C139" s="252" t="str">
        <f>VLOOKUP(B139,Plantings!$A$2:$C$285,2,FALSE)</f>
        <v>JSP_mid_BG4</v>
      </c>
      <c r="D139" s="252" t="str">
        <f>VLOOKUP(B139,Plantings!$A$2:$C$285,3,FALSE)</f>
        <v>single</v>
      </c>
      <c r="E139" s="1">
        <v>2017</v>
      </c>
      <c r="F139" s="1"/>
      <c r="G139" s="1" t="s">
        <v>412</v>
      </c>
      <c r="H139" s="1" t="s">
        <v>37</v>
      </c>
      <c r="I139" t="s">
        <v>405</v>
      </c>
      <c r="J139" s="1" t="s">
        <v>163</v>
      </c>
      <c r="K139" s="1" t="s">
        <v>165</v>
      </c>
      <c r="L139" s="1" t="s">
        <v>229</v>
      </c>
      <c r="M139" s="1"/>
      <c r="N139" s="1"/>
      <c r="O139" s="1"/>
      <c r="P139" s="1"/>
      <c r="Q139" s="1"/>
      <c r="R139" s="1" t="s">
        <v>22</v>
      </c>
      <c r="S139" s="25" t="s">
        <v>520</v>
      </c>
      <c r="T139" s="134">
        <v>42880</v>
      </c>
      <c r="U139" s="4">
        <v>47.222659</v>
      </c>
      <c r="V139" s="4">
        <v>-122.810361</v>
      </c>
      <c r="W139" s="252" t="str">
        <f>VLOOKUP(B139,Plantings!$A$2:$E$285,4,FALSE)</f>
        <v>point</v>
      </c>
      <c r="X139" s="251" t="str">
        <f>VLOOKUP(B139,Plantings!$A$2:$E$285,5,FALSE)</f>
        <v>retain</v>
      </c>
      <c r="Y139" s="7" t="s">
        <v>148</v>
      </c>
      <c r="AA139" t="s">
        <v>168</v>
      </c>
      <c r="AB139">
        <v>1</v>
      </c>
      <c r="AC139">
        <v>1</v>
      </c>
      <c r="AD139">
        <f t="shared" si="23"/>
        <v>1</v>
      </c>
      <c r="AE139">
        <v>8.0000000000000002E-3</v>
      </c>
      <c r="AF139" s="109">
        <f t="shared" si="25"/>
        <v>1.4999999999999999E-2</v>
      </c>
      <c r="AG139" s="38">
        <v>3</v>
      </c>
      <c r="AH139" s="38">
        <f t="shared" si="24"/>
        <v>12</v>
      </c>
      <c r="AI139" s="5">
        <f t="shared" si="21"/>
        <v>12</v>
      </c>
      <c r="AJ139" s="5">
        <f t="shared" si="22"/>
        <v>1500</v>
      </c>
      <c r="AK139" t="s">
        <v>119</v>
      </c>
      <c r="AL139" s="160" t="s">
        <v>1901</v>
      </c>
    </row>
    <row r="140" spans="1:38" x14ac:dyDescent="0.25">
      <c r="A140" s="1" t="s">
        <v>149</v>
      </c>
      <c r="B140" s="1" t="s">
        <v>1116</v>
      </c>
      <c r="C140" s="252" t="str">
        <f>VLOOKUP(B140,Plantings!$A$2:$C$285,2,FALSE)</f>
        <v>JSP_mid_AG3</v>
      </c>
      <c r="D140" s="252" t="str">
        <f>VLOOKUP(B140,Plantings!$A$2:$C$285,3,FALSE)</f>
        <v>single</v>
      </c>
      <c r="E140" s="1">
        <v>2017</v>
      </c>
      <c r="F140" s="1"/>
      <c r="G140" s="1" t="s">
        <v>412</v>
      </c>
      <c r="H140" s="1" t="s">
        <v>37</v>
      </c>
      <c r="I140" t="s">
        <v>405</v>
      </c>
      <c r="J140" s="1" t="s">
        <v>163</v>
      </c>
      <c r="K140" s="1" t="s">
        <v>165</v>
      </c>
      <c r="L140" s="1" t="s">
        <v>229</v>
      </c>
      <c r="M140" s="1"/>
      <c r="N140" s="1"/>
      <c r="O140" s="1"/>
      <c r="P140" s="1"/>
      <c r="Q140" s="1"/>
      <c r="R140" s="1" t="s">
        <v>22</v>
      </c>
      <c r="S140" s="25" t="s">
        <v>520</v>
      </c>
      <c r="T140" s="134">
        <v>42880</v>
      </c>
      <c r="U140" s="4">
        <v>47.222687999999998</v>
      </c>
      <c r="V140" s="4">
        <v>-122.810372</v>
      </c>
      <c r="W140" s="252" t="str">
        <f>VLOOKUP(B140,Plantings!$A$2:$E$285,4,FALSE)</f>
        <v>point</v>
      </c>
      <c r="X140" s="251" t="str">
        <f>VLOOKUP(B140,Plantings!$A$2:$E$285,5,FALSE)</f>
        <v>retain</v>
      </c>
      <c r="Y140" s="7" t="s">
        <v>148</v>
      </c>
      <c r="AA140" t="s">
        <v>168</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119</v>
      </c>
      <c r="AL140" s="160" t="s">
        <v>1901</v>
      </c>
    </row>
    <row r="141" spans="1:38" x14ac:dyDescent="0.25">
      <c r="A141" s="1" t="s">
        <v>149</v>
      </c>
      <c r="B141" s="1" t="s">
        <v>1117</v>
      </c>
      <c r="C141" s="252" t="str">
        <f>VLOOKUP(B141,Plantings!$A$2:$C$285,2,FALSE)</f>
        <v>JSP_mid_AG4</v>
      </c>
      <c r="D141" s="252" t="str">
        <f>VLOOKUP(B141,Plantings!$A$2:$C$285,3,FALSE)</f>
        <v>single</v>
      </c>
      <c r="E141" s="1">
        <v>2017</v>
      </c>
      <c r="F141" s="1"/>
      <c r="G141" s="1" t="s">
        <v>412</v>
      </c>
      <c r="H141" s="1" t="s">
        <v>37</v>
      </c>
      <c r="I141" t="s">
        <v>405</v>
      </c>
      <c r="J141" s="1" t="s">
        <v>163</v>
      </c>
      <c r="K141" s="1" t="s">
        <v>165</v>
      </c>
      <c r="L141" s="1" t="s">
        <v>229</v>
      </c>
      <c r="M141" s="1"/>
      <c r="N141" s="1"/>
      <c r="O141" s="1"/>
      <c r="P141" s="1"/>
      <c r="Q141" s="1"/>
      <c r="R141" s="1" t="s">
        <v>22</v>
      </c>
      <c r="S141" s="25" t="s">
        <v>520</v>
      </c>
      <c r="T141" s="134">
        <v>42880</v>
      </c>
      <c r="U141" s="32">
        <v>47.222732999999998</v>
      </c>
      <c r="V141" s="32">
        <v>-122.8104</v>
      </c>
      <c r="W141" s="252" t="str">
        <f>VLOOKUP(B141,Plantings!$A$2:$E$285,4,FALSE)</f>
        <v>point</v>
      </c>
      <c r="X141" s="251" t="str">
        <f>VLOOKUP(B141,Plantings!$A$2:$E$285,5,FALSE)</f>
        <v>retain</v>
      </c>
      <c r="Y141" s="7" t="s">
        <v>148</v>
      </c>
      <c r="AA141" t="s">
        <v>168</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119</v>
      </c>
      <c r="AL141" s="160" t="s">
        <v>1901</v>
      </c>
    </row>
    <row r="142" spans="1:38" x14ac:dyDescent="0.25">
      <c r="A142" s="1" t="s">
        <v>149</v>
      </c>
      <c r="B142" s="1" t="s">
        <v>1118</v>
      </c>
      <c r="C142" s="252" t="str">
        <f>VLOOKUP(B142,Plantings!$A$2:$C$285,2,FALSE)</f>
        <v>JSP_north_P1</v>
      </c>
      <c r="D142" s="252" t="str">
        <f>VLOOKUP(B142,Plantings!$A$2:$C$285,3,FALSE)</f>
        <v>single</v>
      </c>
      <c r="E142" s="1">
        <v>2017</v>
      </c>
      <c r="F142" s="1"/>
      <c r="G142" t="s">
        <v>413</v>
      </c>
      <c r="H142" s="1" t="s">
        <v>37</v>
      </c>
      <c r="I142" t="s">
        <v>405</v>
      </c>
      <c r="J142" s="1" t="s">
        <v>162</v>
      </c>
      <c r="K142" s="1" t="s">
        <v>165</v>
      </c>
      <c r="L142" s="1" t="s">
        <v>229</v>
      </c>
      <c r="M142" s="1"/>
      <c r="N142" s="1"/>
      <c r="O142" s="1"/>
      <c r="P142" s="1"/>
      <c r="Q142" s="1"/>
      <c r="R142" s="1" t="s">
        <v>22</v>
      </c>
      <c r="S142" s="1" t="s">
        <v>22</v>
      </c>
      <c r="T142" s="134">
        <v>42881</v>
      </c>
      <c r="U142" s="30">
        <v>47.226010000000002</v>
      </c>
      <c r="V142" s="30">
        <v>-122.81377000000001</v>
      </c>
      <c r="W142" s="252" t="str">
        <f>VLOOKUP(B142,Plantings!$A$2:$E$285,4,FALSE)</f>
        <v>polygon</v>
      </c>
      <c r="X142" s="251" t="str">
        <f>VLOOKUP(B142,Plantings!$A$2:$E$285,5,FALSE)</f>
        <v>drop</v>
      </c>
      <c r="Y142" s="7" t="s">
        <v>148</v>
      </c>
      <c r="AA142" t="s">
        <v>171</v>
      </c>
      <c r="AB142">
        <v>10</v>
      </c>
      <c r="AC142">
        <v>4</v>
      </c>
      <c r="AD142">
        <f t="shared" si="23"/>
        <v>40</v>
      </c>
      <c r="AE142">
        <v>1.25</v>
      </c>
      <c r="AF142" s="109">
        <f t="shared" si="25"/>
        <v>0.1875</v>
      </c>
      <c r="AG142" s="38">
        <v>3</v>
      </c>
      <c r="AH142" s="38">
        <v>90</v>
      </c>
      <c r="AI142" s="5">
        <f t="shared" si="21"/>
        <v>2.25</v>
      </c>
      <c r="AJ142" s="5">
        <f t="shared" si="22"/>
        <v>72</v>
      </c>
      <c r="AK142" t="s">
        <v>119</v>
      </c>
      <c r="AL142" s="160" t="s">
        <v>166</v>
      </c>
    </row>
    <row r="143" spans="1:38" x14ac:dyDescent="0.25">
      <c r="A143" s="1" t="s">
        <v>149</v>
      </c>
      <c r="B143" s="1" t="s">
        <v>1122</v>
      </c>
      <c r="C143" s="252" t="str">
        <f>VLOOKUP(B143,Plantings!$A$2:$C$285,2,FALSE)</f>
        <v>JSP_north_P1</v>
      </c>
      <c r="D143" s="252" t="str">
        <f>VLOOKUP(B143,Plantings!$A$2:$C$285,3,FALSE)</f>
        <v>single</v>
      </c>
      <c r="E143" s="1">
        <v>2017</v>
      </c>
      <c r="F143" s="1"/>
      <c r="G143" t="s">
        <v>413</v>
      </c>
      <c r="H143" s="1" t="s">
        <v>37</v>
      </c>
      <c r="I143" t="s">
        <v>405</v>
      </c>
      <c r="J143" s="1" t="s">
        <v>162</v>
      </c>
      <c r="K143" s="1" t="s">
        <v>165</v>
      </c>
      <c r="L143" s="1" t="s">
        <v>229</v>
      </c>
      <c r="M143" s="1"/>
      <c r="N143" s="1"/>
      <c r="O143" s="1"/>
      <c r="P143" s="1"/>
      <c r="Q143" s="1"/>
      <c r="R143" s="1" t="s">
        <v>22</v>
      </c>
      <c r="S143" s="25" t="s">
        <v>520</v>
      </c>
      <c r="T143" s="134">
        <v>42881</v>
      </c>
      <c r="U143" s="248"/>
      <c r="V143" s="248"/>
      <c r="W143" s="252" t="str">
        <f>VLOOKUP(B143,Plantings!$A$2:$E$285,4,FALSE)</f>
        <v>polygon</v>
      </c>
      <c r="X143" s="251" t="str">
        <f>VLOOKUP(B143,Plantings!$A$2:$E$285,5,FALSE)</f>
        <v>drop</v>
      </c>
      <c r="Y143" s="7" t="s">
        <v>148</v>
      </c>
      <c r="AA143" t="s">
        <v>1187</v>
      </c>
      <c r="AB143">
        <v>10</v>
      </c>
      <c r="AC143">
        <v>4</v>
      </c>
      <c r="AD143">
        <f t="shared" si="23"/>
        <v>40</v>
      </c>
      <c r="AE143">
        <v>1.25</v>
      </c>
      <c r="AF143" s="109">
        <f t="shared" si="25"/>
        <v>2.2499999999999999E-2</v>
      </c>
      <c r="AG143" s="38">
        <v>9</v>
      </c>
      <c r="AH143" s="38">
        <v>90</v>
      </c>
      <c r="AI143" s="5">
        <f t="shared" si="21"/>
        <v>2.25</v>
      </c>
      <c r="AJ143" s="5">
        <f t="shared" si="22"/>
        <v>72</v>
      </c>
      <c r="AK143" t="s">
        <v>119</v>
      </c>
      <c r="AL143" s="160"/>
    </row>
    <row r="144" spans="1:38" x14ac:dyDescent="0.25">
      <c r="A144" s="1" t="s">
        <v>149</v>
      </c>
      <c r="B144" s="1" t="s">
        <v>1123</v>
      </c>
      <c r="C144" s="252" t="str">
        <f>VLOOKUP(B144,Plantings!$A$2:$C$285,2,FALSE)</f>
        <v>JSP_north_P1</v>
      </c>
      <c r="D144" s="252" t="str">
        <f>VLOOKUP(B144,Plantings!$A$2:$C$285,3,FALSE)</f>
        <v>single</v>
      </c>
      <c r="E144" s="1">
        <v>2017</v>
      </c>
      <c r="F144" s="1"/>
      <c r="G144" t="s">
        <v>413</v>
      </c>
      <c r="H144" s="1" t="s">
        <v>37</v>
      </c>
      <c r="I144" t="s">
        <v>405</v>
      </c>
      <c r="J144" s="1" t="s">
        <v>162</v>
      </c>
      <c r="K144" s="1" t="s">
        <v>165</v>
      </c>
      <c r="L144" s="1" t="s">
        <v>229</v>
      </c>
      <c r="M144" s="1"/>
      <c r="N144" s="1"/>
      <c r="O144" s="1"/>
      <c r="P144" s="1"/>
      <c r="Q144" s="1"/>
      <c r="R144" s="1" t="s">
        <v>22</v>
      </c>
      <c r="S144" s="25" t="s">
        <v>520</v>
      </c>
      <c r="T144" s="134">
        <v>42881</v>
      </c>
      <c r="U144" s="30">
        <v>47.225969999999997</v>
      </c>
      <c r="V144" s="30">
        <v>-122.81366</v>
      </c>
      <c r="W144" s="252" t="str">
        <f>VLOOKUP(B144,Plantings!$A$2:$E$285,4,FALSE)</f>
        <v>polygon</v>
      </c>
      <c r="X144" s="251" t="str">
        <f>VLOOKUP(B144,Plantings!$A$2:$E$285,5,FALSE)</f>
        <v>drop</v>
      </c>
      <c r="Y144" s="7" t="s">
        <v>148</v>
      </c>
      <c r="AA144" t="s">
        <v>168</v>
      </c>
      <c r="AB144">
        <v>10</v>
      </c>
      <c r="AC144">
        <v>4</v>
      </c>
      <c r="AD144">
        <f t="shared" si="23"/>
        <v>40</v>
      </c>
      <c r="AE144">
        <v>1.25</v>
      </c>
      <c r="AF144" s="109">
        <f t="shared" si="25"/>
        <v>4.4999999999999998E-2</v>
      </c>
      <c r="AG144" s="38">
        <v>9</v>
      </c>
      <c r="AH144" s="38">
        <v>90</v>
      </c>
      <c r="AI144" s="5">
        <f t="shared" si="21"/>
        <v>2.25</v>
      </c>
      <c r="AJ144" s="5">
        <f t="shared" si="22"/>
        <v>72</v>
      </c>
      <c r="AK144" t="s">
        <v>119</v>
      </c>
      <c r="AL144" s="160"/>
    </row>
    <row r="145" spans="1:38" x14ac:dyDescent="0.25">
      <c r="A145" s="1" t="s">
        <v>149</v>
      </c>
      <c r="B145" s="1" t="s">
        <v>1124</v>
      </c>
      <c r="C145" s="252" t="str">
        <f>VLOOKUP(B145,Plantings!$A$2:$C$285,2,FALSE)</f>
        <v>JSP_north_P1</v>
      </c>
      <c r="D145" s="252" t="str">
        <f>VLOOKUP(B145,Plantings!$A$2:$C$285,3,FALSE)</f>
        <v>single</v>
      </c>
      <c r="E145" s="1">
        <v>2017</v>
      </c>
      <c r="F145" s="1"/>
      <c r="G145" t="s">
        <v>413</v>
      </c>
      <c r="H145" s="1" t="s">
        <v>37</v>
      </c>
      <c r="I145" t="s">
        <v>405</v>
      </c>
      <c r="J145" s="1" t="s">
        <v>162</v>
      </c>
      <c r="K145" s="1" t="s">
        <v>165</v>
      </c>
      <c r="L145" s="1" t="s">
        <v>229</v>
      </c>
      <c r="M145" s="1"/>
      <c r="N145" s="1"/>
      <c r="O145" s="1"/>
      <c r="P145" s="1"/>
      <c r="Q145" s="1"/>
      <c r="R145" s="1" t="s">
        <v>22</v>
      </c>
      <c r="S145" s="25" t="s">
        <v>520</v>
      </c>
      <c r="T145" s="134">
        <v>42881</v>
      </c>
      <c r="U145" s="248"/>
      <c r="V145" s="248"/>
      <c r="W145" s="252" t="str">
        <f>VLOOKUP(B145,Plantings!$A$2:$E$285,4,FALSE)</f>
        <v>polygon</v>
      </c>
      <c r="X145" s="251" t="str">
        <f>VLOOKUP(B145,Plantings!$A$2:$E$285,5,FALSE)</f>
        <v>drop</v>
      </c>
      <c r="Y145" s="7" t="s">
        <v>148</v>
      </c>
      <c r="AA145" t="s">
        <v>169</v>
      </c>
      <c r="AB145">
        <v>10</v>
      </c>
      <c r="AC145">
        <v>4</v>
      </c>
      <c r="AD145">
        <f t="shared" si="23"/>
        <v>40</v>
      </c>
      <c r="AE145">
        <v>1.25</v>
      </c>
      <c r="AF145" s="109">
        <f t="shared" si="25"/>
        <v>7.5000000000000011E-2</v>
      </c>
      <c r="AG145" s="38">
        <v>3</v>
      </c>
      <c r="AH145" s="38">
        <v>90</v>
      </c>
      <c r="AI145" s="5">
        <f t="shared" si="21"/>
        <v>2.25</v>
      </c>
      <c r="AJ145" s="5">
        <f t="shared" si="22"/>
        <v>72</v>
      </c>
      <c r="AK145" t="s">
        <v>119</v>
      </c>
      <c r="AL145" s="160"/>
    </row>
    <row r="146" spans="1:38" x14ac:dyDescent="0.25">
      <c r="A146" s="1" t="s">
        <v>149</v>
      </c>
      <c r="B146" s="1" t="s">
        <v>1125</v>
      </c>
      <c r="C146" s="252" t="str">
        <f>VLOOKUP(B146,Plantings!$A$2:$C$285,2,FALSE)</f>
        <v>JSP_mid_P1</v>
      </c>
      <c r="D146" s="252" t="str">
        <f>VLOOKUP(B146,Plantings!$A$2:$C$285,3,FALSE)</f>
        <v>single</v>
      </c>
      <c r="E146" s="1">
        <v>2017</v>
      </c>
      <c r="F146" s="1"/>
      <c r="G146" t="s">
        <v>413</v>
      </c>
      <c r="H146" s="1" t="s">
        <v>37</v>
      </c>
      <c r="I146" t="s">
        <v>405</v>
      </c>
      <c r="J146" s="1" t="s">
        <v>162</v>
      </c>
      <c r="K146" s="1" t="s">
        <v>165</v>
      </c>
      <c r="L146" s="1" t="s">
        <v>229</v>
      </c>
      <c r="M146" s="1"/>
      <c r="N146" s="1"/>
      <c r="O146" s="1"/>
      <c r="P146" s="1"/>
      <c r="Q146" s="1"/>
      <c r="R146" s="1" t="s">
        <v>22</v>
      </c>
      <c r="S146" s="1" t="s">
        <v>22</v>
      </c>
      <c r="T146" s="134">
        <v>42881</v>
      </c>
      <c r="U146" s="30">
        <v>47.222769999999997</v>
      </c>
      <c r="V146" s="30">
        <v>-122.81052</v>
      </c>
      <c r="W146" s="252" t="str">
        <f>VLOOKUP(B146,Plantings!$A$2:$E$285,4,FALSE)</f>
        <v>polygon</v>
      </c>
      <c r="X146" s="251" t="str">
        <f>VLOOKUP(B146,Plantings!$A$2:$E$285,5,FALSE)</f>
        <v>drop</v>
      </c>
      <c r="Y146" s="7" t="s">
        <v>148</v>
      </c>
      <c r="AA146" t="s">
        <v>171</v>
      </c>
      <c r="AB146">
        <v>10</v>
      </c>
      <c r="AC146">
        <v>4</v>
      </c>
      <c r="AD146">
        <f t="shared" si="23"/>
        <v>40</v>
      </c>
      <c r="AE146">
        <v>1.25</v>
      </c>
      <c r="AF146" s="109">
        <f t="shared" si="25"/>
        <v>0.1875</v>
      </c>
      <c r="AG146" s="38">
        <v>3</v>
      </c>
      <c r="AH146" s="38">
        <v>90</v>
      </c>
      <c r="AI146" s="5">
        <f t="shared" si="21"/>
        <v>2.25</v>
      </c>
      <c r="AJ146" s="5">
        <f t="shared" si="22"/>
        <v>72</v>
      </c>
      <c r="AK146" t="s">
        <v>119</v>
      </c>
      <c r="AL146" s="160" t="s">
        <v>166</v>
      </c>
    </row>
    <row r="147" spans="1:38" x14ac:dyDescent="0.25">
      <c r="A147" s="1" t="s">
        <v>149</v>
      </c>
      <c r="B147" s="1" t="s">
        <v>1126</v>
      </c>
      <c r="C147" s="252" t="str">
        <f>VLOOKUP(B147,Plantings!$A$2:$C$285,2,FALSE)</f>
        <v>JSP_mid_P1</v>
      </c>
      <c r="D147" s="252" t="str">
        <f>VLOOKUP(B147,Plantings!$A$2:$C$285,3,FALSE)</f>
        <v>single</v>
      </c>
      <c r="E147" s="1">
        <v>2017</v>
      </c>
      <c r="F147" s="1"/>
      <c r="G147" t="s">
        <v>413</v>
      </c>
      <c r="H147" s="1" t="s">
        <v>37</v>
      </c>
      <c r="I147" t="s">
        <v>405</v>
      </c>
      <c r="J147" s="1" t="s">
        <v>162</v>
      </c>
      <c r="K147" s="1" t="s">
        <v>165</v>
      </c>
      <c r="L147" s="1" t="s">
        <v>229</v>
      </c>
      <c r="M147" s="1"/>
      <c r="N147" s="1"/>
      <c r="O147" s="1"/>
      <c r="P147" s="1"/>
      <c r="Q147" s="1"/>
      <c r="R147" s="1" t="s">
        <v>22</v>
      </c>
      <c r="S147" s="25" t="s">
        <v>520</v>
      </c>
      <c r="T147" s="134">
        <v>42881</v>
      </c>
      <c r="U147" s="248"/>
      <c r="V147" s="248"/>
      <c r="W147" s="252" t="str">
        <f>VLOOKUP(B147,Plantings!$A$2:$E$285,4,FALSE)</f>
        <v>polygon</v>
      </c>
      <c r="X147" s="251" t="str">
        <f>VLOOKUP(B147,Plantings!$A$2:$E$285,5,FALSE)</f>
        <v>drop</v>
      </c>
      <c r="Y147" s="7" t="s">
        <v>148</v>
      </c>
      <c r="AA147" t="s">
        <v>1187</v>
      </c>
      <c r="AB147">
        <v>10</v>
      </c>
      <c r="AC147">
        <v>4</v>
      </c>
      <c r="AD147">
        <f t="shared" si="23"/>
        <v>40</v>
      </c>
      <c r="AE147">
        <v>1.25</v>
      </c>
      <c r="AF147" s="109">
        <f t="shared" si="25"/>
        <v>2.2499999999999999E-2</v>
      </c>
      <c r="AG147" s="38">
        <v>9</v>
      </c>
      <c r="AH147" s="38">
        <v>90</v>
      </c>
      <c r="AI147" s="5">
        <f t="shared" si="21"/>
        <v>2.25</v>
      </c>
      <c r="AJ147" s="5">
        <f t="shared" si="22"/>
        <v>72</v>
      </c>
      <c r="AK147" t="s">
        <v>119</v>
      </c>
      <c r="AL147" s="160"/>
    </row>
    <row r="148" spans="1:38" x14ac:dyDescent="0.25">
      <c r="A148" s="1" t="s">
        <v>149</v>
      </c>
      <c r="B148" s="1" t="s">
        <v>1127</v>
      </c>
      <c r="C148" s="252" t="str">
        <f>VLOOKUP(B148,Plantings!$A$2:$C$285,2,FALSE)</f>
        <v>JSP_mid_P1</v>
      </c>
      <c r="D148" s="252" t="str">
        <f>VLOOKUP(B148,Plantings!$A$2:$C$285,3,FALSE)</f>
        <v>single</v>
      </c>
      <c r="E148" s="1">
        <v>2017</v>
      </c>
      <c r="F148" s="1"/>
      <c r="G148" t="s">
        <v>413</v>
      </c>
      <c r="H148" s="1" t="s">
        <v>37</v>
      </c>
      <c r="I148" t="s">
        <v>405</v>
      </c>
      <c r="J148" s="1" t="s">
        <v>162</v>
      </c>
      <c r="K148" s="1" t="s">
        <v>165</v>
      </c>
      <c r="L148" s="1" t="s">
        <v>229</v>
      </c>
      <c r="M148" s="1"/>
      <c r="N148" s="1"/>
      <c r="O148" s="1"/>
      <c r="P148" s="1"/>
      <c r="Q148" s="1"/>
      <c r="R148" s="1" t="s">
        <v>22</v>
      </c>
      <c r="S148" s="25" t="s">
        <v>520</v>
      </c>
      <c r="T148" s="134">
        <v>42881</v>
      </c>
      <c r="U148" s="30">
        <v>47.222839999999998</v>
      </c>
      <c r="V148" s="30">
        <v>-122.81056</v>
      </c>
      <c r="W148" s="252" t="str">
        <f>VLOOKUP(B148,Plantings!$A$2:$E$285,4,FALSE)</f>
        <v>polygon</v>
      </c>
      <c r="X148" s="251" t="str">
        <f>VLOOKUP(B148,Plantings!$A$2:$E$285,5,FALSE)</f>
        <v>drop</v>
      </c>
      <c r="Y148" s="7" t="s">
        <v>148</v>
      </c>
      <c r="AA148" t="s">
        <v>168</v>
      </c>
      <c r="AB148">
        <v>10</v>
      </c>
      <c r="AC148">
        <v>4</v>
      </c>
      <c r="AD148">
        <f t="shared" si="23"/>
        <v>40</v>
      </c>
      <c r="AE148">
        <v>1.25</v>
      </c>
      <c r="AF148" s="109">
        <f t="shared" si="25"/>
        <v>4.4999999999999998E-2</v>
      </c>
      <c r="AG148" s="38">
        <v>9</v>
      </c>
      <c r="AH148" s="38">
        <v>90</v>
      </c>
      <c r="AI148" s="5">
        <f t="shared" si="21"/>
        <v>2.25</v>
      </c>
      <c r="AJ148" s="5">
        <f t="shared" si="22"/>
        <v>72</v>
      </c>
      <c r="AK148" t="s">
        <v>119</v>
      </c>
      <c r="AL148" s="160"/>
    </row>
    <row r="149" spans="1:38" x14ac:dyDescent="0.25">
      <c r="A149" s="1" t="s">
        <v>149</v>
      </c>
      <c r="B149" s="1" t="s">
        <v>1128</v>
      </c>
      <c r="C149" s="252" t="str">
        <f>VLOOKUP(B149,Plantings!$A$2:$C$285,2,FALSE)</f>
        <v>JSP_mid_P1</v>
      </c>
      <c r="D149" s="252" t="str">
        <f>VLOOKUP(B149,Plantings!$A$2:$C$285,3,FALSE)</f>
        <v>single</v>
      </c>
      <c r="E149" s="1">
        <v>2017</v>
      </c>
      <c r="F149" s="1"/>
      <c r="G149" t="s">
        <v>413</v>
      </c>
      <c r="H149" s="1" t="s">
        <v>37</v>
      </c>
      <c r="I149" t="s">
        <v>405</v>
      </c>
      <c r="J149" s="1" t="s">
        <v>162</v>
      </c>
      <c r="K149" s="1" t="s">
        <v>165</v>
      </c>
      <c r="L149" s="1" t="s">
        <v>229</v>
      </c>
      <c r="M149" s="1"/>
      <c r="N149" s="1"/>
      <c r="O149" s="1"/>
      <c r="P149" s="1"/>
      <c r="Q149" s="1"/>
      <c r="R149" s="1" t="s">
        <v>22</v>
      </c>
      <c r="S149" s="25" t="s">
        <v>520</v>
      </c>
      <c r="T149" s="134">
        <v>42881</v>
      </c>
      <c r="U149" s="248"/>
      <c r="V149" s="248"/>
      <c r="W149" s="252" t="str">
        <f>VLOOKUP(B149,Plantings!$A$2:$E$285,4,FALSE)</f>
        <v>polygon</v>
      </c>
      <c r="X149" s="251" t="str">
        <f>VLOOKUP(B149,Plantings!$A$2:$E$285,5,FALSE)</f>
        <v>drop</v>
      </c>
      <c r="Y149" s="7" t="s">
        <v>148</v>
      </c>
      <c r="AA149" t="s">
        <v>169</v>
      </c>
      <c r="AB149">
        <v>10</v>
      </c>
      <c r="AC149">
        <v>4</v>
      </c>
      <c r="AD149">
        <f t="shared" si="23"/>
        <v>40</v>
      </c>
      <c r="AE149">
        <v>1.25</v>
      </c>
      <c r="AF149" s="109">
        <f t="shared" si="25"/>
        <v>7.5000000000000011E-2</v>
      </c>
      <c r="AG149" s="38">
        <v>3</v>
      </c>
      <c r="AH149" s="38">
        <v>90</v>
      </c>
      <c r="AI149" s="5">
        <f t="shared" si="21"/>
        <v>2.25</v>
      </c>
      <c r="AJ149" s="5">
        <f t="shared" si="22"/>
        <v>72</v>
      </c>
      <c r="AK149" t="s">
        <v>119</v>
      </c>
      <c r="AL149" s="160"/>
    </row>
    <row r="150" spans="1:38" x14ac:dyDescent="0.25">
      <c r="A150" s="1" t="s">
        <v>149</v>
      </c>
      <c r="B150" s="1" t="s">
        <v>1129</v>
      </c>
      <c r="C150" s="252" t="str">
        <f>VLOOKUP(B150,Plantings!$A$2:$C$285,2,FALSE)</f>
        <v>JSP_south_P5</v>
      </c>
      <c r="D150" s="252" t="str">
        <f>VLOOKUP(B150,Plantings!$A$2:$C$285,3,FALSE)</f>
        <v>single</v>
      </c>
      <c r="E150" s="1">
        <v>2017</v>
      </c>
      <c r="F150" s="1"/>
      <c r="G150" t="s">
        <v>413</v>
      </c>
      <c r="H150" s="1" t="s">
        <v>37</v>
      </c>
      <c r="I150" t="s">
        <v>405</v>
      </c>
      <c r="J150" s="1" t="s">
        <v>162</v>
      </c>
      <c r="K150" s="1" t="s">
        <v>165</v>
      </c>
      <c r="L150" s="1" t="s">
        <v>229</v>
      </c>
      <c r="M150" s="1"/>
      <c r="N150" s="1"/>
      <c r="O150" s="1"/>
      <c r="P150" s="1"/>
      <c r="Q150" s="1"/>
      <c r="R150" s="1" t="s">
        <v>22</v>
      </c>
      <c r="S150" s="1" t="s">
        <v>22</v>
      </c>
      <c r="T150" s="134">
        <v>42881</v>
      </c>
      <c r="U150" s="30">
        <v>47.221080000000001</v>
      </c>
      <c r="V150" s="30">
        <v>-122.80929</v>
      </c>
      <c r="W150" s="252" t="str">
        <f>VLOOKUP(B150,Plantings!$A$2:$E$285,4,FALSE)</f>
        <v>point</v>
      </c>
      <c r="X150" s="251" t="str">
        <f>VLOOKUP(B150,Plantings!$A$2:$E$285,5,FALSE)</f>
        <v>retain</v>
      </c>
      <c r="Y150" s="7" t="s">
        <v>148</v>
      </c>
      <c r="AA150" t="s">
        <v>171</v>
      </c>
      <c r="AB150">
        <v>10</v>
      </c>
      <c r="AC150">
        <v>4</v>
      </c>
      <c r="AD150">
        <f t="shared" si="23"/>
        <v>40</v>
      </c>
      <c r="AE150">
        <v>1.25</v>
      </c>
      <c r="AF150" s="109">
        <f t="shared" si="25"/>
        <v>0.1875</v>
      </c>
      <c r="AG150" s="38">
        <v>3</v>
      </c>
      <c r="AH150" s="38">
        <v>90</v>
      </c>
      <c r="AI150" s="5">
        <f t="shared" si="21"/>
        <v>2.25</v>
      </c>
      <c r="AJ150" s="5">
        <f t="shared" si="22"/>
        <v>72</v>
      </c>
      <c r="AK150" t="s">
        <v>119</v>
      </c>
      <c r="AL150" s="160" t="s">
        <v>166</v>
      </c>
    </row>
    <row r="151" spans="1:38" x14ac:dyDescent="0.25">
      <c r="A151" s="1" t="s">
        <v>149</v>
      </c>
      <c r="B151" s="1" t="s">
        <v>1130</v>
      </c>
      <c r="C151" s="252" t="str">
        <f>VLOOKUP(B151,Plantings!$A$2:$C$285,2,FALSE)</f>
        <v>JSP_south_P5</v>
      </c>
      <c r="D151" s="252" t="str">
        <f>VLOOKUP(B151,Plantings!$A$2:$C$285,3,FALSE)</f>
        <v>single</v>
      </c>
      <c r="E151" s="1">
        <v>2017</v>
      </c>
      <c r="F151" s="1"/>
      <c r="G151" t="s">
        <v>413</v>
      </c>
      <c r="H151" s="1" t="s">
        <v>37</v>
      </c>
      <c r="I151" t="s">
        <v>405</v>
      </c>
      <c r="J151" s="1" t="s">
        <v>162</v>
      </c>
      <c r="K151" s="1" t="s">
        <v>165</v>
      </c>
      <c r="L151" s="1" t="s">
        <v>229</v>
      </c>
      <c r="M151" s="1"/>
      <c r="N151" s="1"/>
      <c r="O151" s="1"/>
      <c r="P151" s="1"/>
      <c r="Q151" s="1"/>
      <c r="R151" s="1" t="s">
        <v>22</v>
      </c>
      <c r="S151" s="25" t="s">
        <v>520</v>
      </c>
      <c r="T151" s="134">
        <v>42881</v>
      </c>
      <c r="U151" s="30">
        <v>47.221069999999997</v>
      </c>
      <c r="V151" s="30">
        <v>-122.80933</v>
      </c>
      <c r="W151" s="252" t="str">
        <f>VLOOKUP(B151,Plantings!$A$2:$E$285,4,FALSE)</f>
        <v>point</v>
      </c>
      <c r="X151" s="251" t="str">
        <f>VLOOKUP(B151,Plantings!$A$2:$E$285,5,FALSE)</f>
        <v>retain</v>
      </c>
      <c r="Y151" s="7" t="s">
        <v>148</v>
      </c>
      <c r="AA151" t="s">
        <v>1187</v>
      </c>
      <c r="AB151">
        <v>10</v>
      </c>
      <c r="AC151">
        <v>4</v>
      </c>
      <c r="AD151">
        <f t="shared" si="23"/>
        <v>40</v>
      </c>
      <c r="AE151">
        <v>1.25</v>
      </c>
      <c r="AF151" s="109">
        <f t="shared" si="25"/>
        <v>2.2499999999999999E-2</v>
      </c>
      <c r="AG151" s="38">
        <v>9</v>
      </c>
      <c r="AH151" s="38">
        <v>90</v>
      </c>
      <c r="AI151" s="5">
        <f t="shared" si="21"/>
        <v>2.25</v>
      </c>
      <c r="AJ151" s="5">
        <f t="shared" si="22"/>
        <v>72</v>
      </c>
      <c r="AK151" t="s">
        <v>119</v>
      </c>
      <c r="AL151" s="160"/>
    </row>
    <row r="152" spans="1:38" x14ac:dyDescent="0.25">
      <c r="A152" s="1" t="s">
        <v>149</v>
      </c>
      <c r="B152" s="1" t="s">
        <v>1131</v>
      </c>
      <c r="C152" s="252" t="str">
        <f>VLOOKUP(B152,Plantings!$A$2:$C$285,2,FALSE)</f>
        <v>JSP_south_P5</v>
      </c>
      <c r="D152" s="252" t="str">
        <f>VLOOKUP(B152,Plantings!$A$2:$C$285,3,FALSE)</f>
        <v>single</v>
      </c>
      <c r="E152" s="1">
        <v>2017</v>
      </c>
      <c r="F152" s="1"/>
      <c r="G152" t="s">
        <v>413</v>
      </c>
      <c r="H152" s="1" t="s">
        <v>37</v>
      </c>
      <c r="I152" t="s">
        <v>405</v>
      </c>
      <c r="J152" s="1" t="s">
        <v>162</v>
      </c>
      <c r="K152" s="1" t="s">
        <v>165</v>
      </c>
      <c r="L152" s="1" t="s">
        <v>229</v>
      </c>
      <c r="M152" s="1"/>
      <c r="N152" s="1"/>
      <c r="O152" s="1"/>
      <c r="P152" s="1"/>
      <c r="Q152" s="1"/>
      <c r="R152" s="1" t="s">
        <v>22</v>
      </c>
      <c r="S152" s="25" t="s">
        <v>520</v>
      </c>
      <c r="T152" s="134">
        <v>42881</v>
      </c>
      <c r="U152" s="30">
        <v>47.221179999999997</v>
      </c>
      <c r="V152" s="30">
        <v>-122.80933</v>
      </c>
      <c r="W152" s="252" t="str">
        <f>VLOOKUP(B152,Plantings!$A$2:$E$285,4,FALSE)</f>
        <v>point</v>
      </c>
      <c r="X152" s="251" t="str">
        <f>VLOOKUP(B152,Plantings!$A$2:$E$285,5,FALSE)</f>
        <v>retain</v>
      </c>
      <c r="Y152" s="7" t="s">
        <v>148</v>
      </c>
      <c r="AA152" t="s">
        <v>168</v>
      </c>
      <c r="AB152">
        <v>10</v>
      </c>
      <c r="AC152">
        <v>4</v>
      </c>
      <c r="AD152">
        <f t="shared" si="23"/>
        <v>40</v>
      </c>
      <c r="AE152">
        <v>1.25</v>
      </c>
      <c r="AF152" s="109">
        <f t="shared" si="25"/>
        <v>4.4999999999999998E-2</v>
      </c>
      <c r="AG152" s="38">
        <v>9</v>
      </c>
      <c r="AH152" s="38">
        <v>90</v>
      </c>
      <c r="AI152" s="5">
        <f t="shared" si="21"/>
        <v>2.25</v>
      </c>
      <c r="AJ152" s="5">
        <f t="shared" si="22"/>
        <v>72</v>
      </c>
      <c r="AK152" t="s">
        <v>119</v>
      </c>
      <c r="AL152" s="160"/>
    </row>
    <row r="153" spans="1:38" x14ac:dyDescent="0.25">
      <c r="A153" s="1" t="s">
        <v>149</v>
      </c>
      <c r="B153" s="1" t="s">
        <v>1132</v>
      </c>
      <c r="C153" s="252" t="str">
        <f>VLOOKUP(B153,Plantings!$A$2:$C$285,2,FALSE)</f>
        <v>JSP_south_P5</v>
      </c>
      <c r="D153" s="252" t="str">
        <f>VLOOKUP(B153,Plantings!$A$2:$C$285,3,FALSE)</f>
        <v>single</v>
      </c>
      <c r="E153" s="1">
        <v>2017</v>
      </c>
      <c r="F153" s="1"/>
      <c r="G153" t="s">
        <v>413</v>
      </c>
      <c r="H153" s="1" t="s">
        <v>37</v>
      </c>
      <c r="I153" t="s">
        <v>405</v>
      </c>
      <c r="J153" s="1" t="s">
        <v>162</v>
      </c>
      <c r="K153" s="1" t="s">
        <v>165</v>
      </c>
      <c r="L153" s="1" t="s">
        <v>229</v>
      </c>
      <c r="M153" s="1"/>
      <c r="N153" s="1"/>
      <c r="O153" s="1"/>
      <c r="P153" s="1"/>
      <c r="Q153" s="1"/>
      <c r="R153" s="1" t="s">
        <v>22</v>
      </c>
      <c r="S153" s="25" t="s">
        <v>520</v>
      </c>
      <c r="T153" s="134">
        <v>42881</v>
      </c>
      <c r="U153" s="30">
        <v>47.221110000000003</v>
      </c>
      <c r="V153" s="30">
        <v>-122.80936</v>
      </c>
      <c r="W153" s="252" t="str">
        <f>VLOOKUP(B153,Plantings!$A$2:$E$285,4,FALSE)</f>
        <v>point</v>
      </c>
      <c r="X153" s="251" t="str">
        <f>VLOOKUP(B153,Plantings!$A$2:$E$285,5,FALSE)</f>
        <v>retain</v>
      </c>
      <c r="Y153" s="7" t="s">
        <v>148</v>
      </c>
      <c r="AA153" t="s">
        <v>169</v>
      </c>
      <c r="AB153">
        <v>10</v>
      </c>
      <c r="AC153">
        <v>4</v>
      </c>
      <c r="AD153">
        <f t="shared" si="23"/>
        <v>40</v>
      </c>
      <c r="AE153">
        <v>1.25</v>
      </c>
      <c r="AF153" s="109">
        <f t="shared" si="25"/>
        <v>7.5000000000000011E-2</v>
      </c>
      <c r="AG153" s="38">
        <v>3</v>
      </c>
      <c r="AH153" s="38">
        <v>90</v>
      </c>
      <c r="AI153" s="5">
        <f t="shared" ref="AI153:AI186" si="26">IFERROR(AH153/AD153, "")</f>
        <v>2.25</v>
      </c>
      <c r="AJ153" s="5">
        <f t="shared" ref="AJ153:AJ186" si="27">IFERROR(AH153/AE153, "")</f>
        <v>72</v>
      </c>
      <c r="AK153" t="s">
        <v>119</v>
      </c>
      <c r="AL153" s="160"/>
    </row>
    <row r="154" spans="1:38" x14ac:dyDescent="0.25">
      <c r="A154" s="34" t="s">
        <v>149</v>
      </c>
      <c r="B154" t="s">
        <v>1133</v>
      </c>
      <c r="C154" s="252" t="str">
        <f>VLOOKUP(B154,Plantings!$A$2:$C$285,2,FALSE)</f>
        <v>JSP_mid_south_2</v>
      </c>
      <c r="D154" s="252" t="str">
        <f>VLOOKUP(B154,Plantings!$A$2:$C$285,3,FALSE)</f>
        <v>single</v>
      </c>
      <c r="E154" s="1">
        <v>2017</v>
      </c>
      <c r="F154" s="1"/>
      <c r="G154" t="s">
        <v>412</v>
      </c>
      <c r="H154" s="1" t="s">
        <v>37</v>
      </c>
      <c r="I154" t="s">
        <v>405</v>
      </c>
      <c r="J154" s="1" t="s">
        <v>165</v>
      </c>
      <c r="K154" s="1" t="s">
        <v>165</v>
      </c>
      <c r="L154" s="1" t="s">
        <v>229</v>
      </c>
      <c r="M154" s="1"/>
      <c r="N154" s="1"/>
      <c r="O154" s="1"/>
      <c r="P154" s="1"/>
      <c r="Q154" s="1"/>
      <c r="R154" s="1" t="s">
        <v>22</v>
      </c>
      <c r="S154" s="25" t="s">
        <v>22</v>
      </c>
      <c r="T154" s="134">
        <v>42883</v>
      </c>
      <c r="U154" s="140"/>
      <c r="V154" s="140"/>
      <c r="W154" s="252" t="str">
        <f>VLOOKUP(B154,Plantings!$A$2:$E$285,4,FALSE)</f>
        <v>point</v>
      </c>
      <c r="X154" s="251" t="str">
        <f>VLOOKUP(B154,Plantings!$A$2:$E$285,5,FALSE)</f>
        <v>drop</v>
      </c>
      <c r="Y154" s="7" t="s">
        <v>148</v>
      </c>
      <c r="AA154" t="s">
        <v>169</v>
      </c>
      <c r="AB154">
        <v>4</v>
      </c>
      <c r="AC154">
        <v>0.25</v>
      </c>
      <c r="AD154">
        <f t="shared" si="23"/>
        <v>1</v>
      </c>
      <c r="AE154">
        <f>AG154*0.25</f>
        <v>1</v>
      </c>
      <c r="AF154" s="109">
        <f t="shared" si="25"/>
        <v>0.1</v>
      </c>
      <c r="AG154" s="38">
        <v>4</v>
      </c>
      <c r="AH154" s="38">
        <v>80</v>
      </c>
      <c r="AI154" s="5">
        <f t="shared" si="26"/>
        <v>80</v>
      </c>
      <c r="AJ154" s="5">
        <f t="shared" si="27"/>
        <v>80</v>
      </c>
      <c r="AK154" t="s">
        <v>119</v>
      </c>
      <c r="AL154" s="160" t="s">
        <v>999</v>
      </c>
    </row>
    <row r="155" spans="1:38" x14ac:dyDescent="0.25">
      <c r="A155" s="34" t="s">
        <v>149</v>
      </c>
      <c r="B155" t="s">
        <v>1133</v>
      </c>
      <c r="C155" s="252" t="str">
        <f>VLOOKUP(B155,Plantings!$A$2:$C$285,2,FALSE)</f>
        <v>JSP_mid_south_2</v>
      </c>
      <c r="D155" s="252" t="str">
        <f>VLOOKUP(B155,Plantings!$A$2:$C$285,3,FALSE)</f>
        <v>single</v>
      </c>
      <c r="E155" s="131">
        <v>2017</v>
      </c>
      <c r="G155" s="1" t="s">
        <v>412</v>
      </c>
      <c r="H155" s="1" t="s">
        <v>37</v>
      </c>
      <c r="I155" t="s">
        <v>405</v>
      </c>
      <c r="J155" s="1" t="s">
        <v>165</v>
      </c>
      <c r="K155" s="1" t="s">
        <v>165</v>
      </c>
      <c r="L155" s="1" t="s">
        <v>229</v>
      </c>
      <c r="R155" s="1" t="s">
        <v>22</v>
      </c>
      <c r="S155" t="s">
        <v>22</v>
      </c>
      <c r="T155" s="134">
        <v>42883</v>
      </c>
      <c r="U155" s="153"/>
      <c r="V155" s="153"/>
      <c r="W155" s="252" t="str">
        <f>VLOOKUP(B155,Plantings!$A$2:$E$285,4,FALSE)</f>
        <v>point</v>
      </c>
      <c r="X155" s="251" t="str">
        <f>VLOOKUP(B155,Plantings!$A$2:$E$285,5,FALSE)</f>
        <v>drop</v>
      </c>
      <c r="Y155" s="7" t="s">
        <v>148</v>
      </c>
      <c r="AA155" t="s">
        <v>169</v>
      </c>
      <c r="AB155">
        <v>4</v>
      </c>
      <c r="AC155">
        <v>0.25</v>
      </c>
      <c r="AD155">
        <f t="shared" si="23"/>
        <v>1</v>
      </c>
      <c r="AE155">
        <f>AG155*0.25</f>
        <v>1</v>
      </c>
      <c r="AF155" s="109">
        <f t="shared" si="25"/>
        <v>0.1</v>
      </c>
      <c r="AG155" s="38">
        <v>4</v>
      </c>
      <c r="AH155" s="135">
        <f>AG155*25</f>
        <v>100</v>
      </c>
      <c r="AI155" s="5">
        <f t="shared" si="26"/>
        <v>100</v>
      </c>
      <c r="AJ155" s="5">
        <f t="shared" si="27"/>
        <v>100</v>
      </c>
      <c r="AK155" t="s">
        <v>119</v>
      </c>
      <c r="AL155" s="13" t="s">
        <v>973</v>
      </c>
    </row>
    <row r="156" spans="1:38" x14ac:dyDescent="0.25">
      <c r="A156" s="34" t="s">
        <v>149</v>
      </c>
      <c r="B156" t="s">
        <v>1133</v>
      </c>
      <c r="C156" s="252" t="str">
        <f>VLOOKUP(B156,Plantings!$A$2:$C$285,2,FALSE)</f>
        <v>JSP_mid_south_2</v>
      </c>
      <c r="D156" s="252" t="str">
        <f>VLOOKUP(B156,Plantings!$A$2:$C$285,3,FALSE)</f>
        <v>single</v>
      </c>
      <c r="E156" s="131">
        <v>2017</v>
      </c>
      <c r="G156" s="1" t="s">
        <v>412</v>
      </c>
      <c r="H156" s="1" t="s">
        <v>37</v>
      </c>
      <c r="I156" t="s">
        <v>405</v>
      </c>
      <c r="J156" s="1" t="s">
        <v>165</v>
      </c>
      <c r="K156" s="1" t="s">
        <v>165</v>
      </c>
      <c r="L156" s="1" t="s">
        <v>229</v>
      </c>
      <c r="R156" s="1" t="s">
        <v>22</v>
      </c>
      <c r="S156" t="s">
        <v>22</v>
      </c>
      <c r="T156" s="134">
        <v>42883</v>
      </c>
      <c r="U156" s="153"/>
      <c r="V156" s="153"/>
      <c r="W156" s="252" t="str">
        <f>VLOOKUP(B156,Plantings!$A$2:$E$285,4,FALSE)</f>
        <v>point</v>
      </c>
      <c r="X156" s="251" t="str">
        <f>VLOOKUP(B156,Plantings!$A$2:$E$285,5,FALSE)</f>
        <v>drop</v>
      </c>
      <c r="Y156" s="7" t="s">
        <v>148</v>
      </c>
      <c r="AA156" t="s">
        <v>169</v>
      </c>
      <c r="AB156">
        <v>2</v>
      </c>
      <c r="AC156">
        <v>0.25</v>
      </c>
      <c r="AD156">
        <f t="shared" si="23"/>
        <v>0.5</v>
      </c>
      <c r="AE156">
        <f>AG156*0.25</f>
        <v>0.5</v>
      </c>
      <c r="AF156" s="109">
        <f t="shared" si="25"/>
        <v>0.05</v>
      </c>
      <c r="AG156" s="38">
        <v>2</v>
      </c>
      <c r="AH156" s="135">
        <f>AG156*25</f>
        <v>50</v>
      </c>
      <c r="AI156" s="5">
        <f t="shared" si="26"/>
        <v>100</v>
      </c>
      <c r="AJ156" s="5">
        <f t="shared" si="27"/>
        <v>100</v>
      </c>
      <c r="AK156" t="s">
        <v>119</v>
      </c>
      <c r="AL156" s="13" t="s">
        <v>971</v>
      </c>
    </row>
    <row r="157" spans="1:38" x14ac:dyDescent="0.25">
      <c r="A157" s="34" t="s">
        <v>149</v>
      </c>
      <c r="B157" t="s">
        <v>1133</v>
      </c>
      <c r="C157" s="252" t="str">
        <f>VLOOKUP(B157,Plantings!$A$2:$C$285,2,FALSE)</f>
        <v>JSP_mid_south_2</v>
      </c>
      <c r="D157" s="252" t="str">
        <f>VLOOKUP(B157,Plantings!$A$2:$C$285,3,FALSE)</f>
        <v>single</v>
      </c>
      <c r="E157" s="131">
        <v>2017</v>
      </c>
      <c r="G157" s="1" t="s">
        <v>412</v>
      </c>
      <c r="H157" s="1" t="s">
        <v>37</v>
      </c>
      <c r="I157" t="s">
        <v>405</v>
      </c>
      <c r="J157" s="1" t="s">
        <v>165</v>
      </c>
      <c r="K157" s="1" t="s">
        <v>165</v>
      </c>
      <c r="L157" s="1" t="s">
        <v>229</v>
      </c>
      <c r="R157" s="1" t="s">
        <v>22</v>
      </c>
      <c r="S157" t="s">
        <v>22</v>
      </c>
      <c r="T157" s="134">
        <v>42883</v>
      </c>
      <c r="U157" s="153"/>
      <c r="V157" s="153"/>
      <c r="W157" s="252" t="str">
        <f>VLOOKUP(B157,Plantings!$A$2:$E$285,4,FALSE)</f>
        <v>point</v>
      </c>
      <c r="X157" s="251" t="str">
        <f>VLOOKUP(B157,Plantings!$A$2:$E$285,5,FALSE)</f>
        <v>drop</v>
      </c>
      <c r="Y157" s="7" t="s">
        <v>148</v>
      </c>
      <c r="AA157" t="s">
        <v>171</v>
      </c>
      <c r="AB157">
        <v>2</v>
      </c>
      <c r="AC157">
        <v>0.25</v>
      </c>
      <c r="AD157">
        <f t="shared" si="23"/>
        <v>0.5</v>
      </c>
      <c r="AE157">
        <v>0.5</v>
      </c>
      <c r="AF157" s="109">
        <f t="shared" si="25"/>
        <v>0.125</v>
      </c>
      <c r="AG157" s="38">
        <v>2</v>
      </c>
      <c r="AH157" s="135">
        <f>AG157*25</f>
        <v>50</v>
      </c>
      <c r="AI157" s="5">
        <f t="shared" si="26"/>
        <v>100</v>
      </c>
      <c r="AJ157" s="5">
        <f t="shared" si="27"/>
        <v>100</v>
      </c>
      <c r="AK157" t="s">
        <v>119</v>
      </c>
      <c r="AL157" s="13" t="s">
        <v>972</v>
      </c>
    </row>
    <row r="158" spans="1:38" x14ac:dyDescent="0.25">
      <c r="A158" s="34" t="s">
        <v>149</v>
      </c>
      <c r="B158" t="s">
        <v>1903</v>
      </c>
      <c r="C158" s="252" t="e">
        <f>VLOOKUP(B158,Plantings!$A$2:$C$285,2,FALSE)</f>
        <v>#N/A</v>
      </c>
      <c r="D158" s="252" t="e">
        <f>VLOOKUP(B158,Plantings!$A$2:$C$285,3,FALSE)</f>
        <v>#N/A</v>
      </c>
      <c r="E158" s="131">
        <v>2017</v>
      </c>
      <c r="G158" s="1" t="s">
        <v>412</v>
      </c>
      <c r="H158" s="1" t="s">
        <v>37</v>
      </c>
      <c r="I158" t="s">
        <v>405</v>
      </c>
      <c r="J158" s="1" t="s">
        <v>165</v>
      </c>
      <c r="K158" s="1" t="s">
        <v>165</v>
      </c>
      <c r="L158" s="1" t="s">
        <v>229</v>
      </c>
      <c r="R158" s="1" t="s">
        <v>22</v>
      </c>
      <c r="S158" s="1" t="s">
        <v>22</v>
      </c>
      <c r="T158" s="134">
        <v>42854</v>
      </c>
      <c r="U158">
        <v>47.222461000000003</v>
      </c>
      <c r="V158">
        <v>-122.810239</v>
      </c>
      <c r="W158" s="252" t="e">
        <f>VLOOKUP(B158,Plantings!$A$2:$E$285,4,FALSE)</f>
        <v>#N/A</v>
      </c>
      <c r="X158" s="251" t="e">
        <f>VLOOKUP(B158,Plantings!$A$2:$E$285,5,FALSE)</f>
        <v>#N/A</v>
      </c>
      <c r="Y158" s="7" t="s">
        <v>148</v>
      </c>
      <c r="Z158">
        <v>-1.1000000000000001</v>
      </c>
      <c r="AA158" t="s">
        <v>168</v>
      </c>
      <c r="AB158">
        <v>1</v>
      </c>
      <c r="AC158">
        <v>1</v>
      </c>
      <c r="AD158">
        <f t="shared" si="23"/>
        <v>1</v>
      </c>
      <c r="AE158">
        <v>8.0000000000000002E-3</v>
      </c>
      <c r="AF158" s="109">
        <f t="shared" si="25"/>
        <v>1.4999999999999999E-2</v>
      </c>
      <c r="AG158" s="38">
        <v>3</v>
      </c>
      <c r="AH158" s="135">
        <f t="shared" ref="AH158:AH169" si="28">AG158*4</f>
        <v>12</v>
      </c>
      <c r="AI158" s="5">
        <f t="shared" si="26"/>
        <v>12</v>
      </c>
      <c r="AJ158" s="5">
        <f t="shared" si="27"/>
        <v>1500</v>
      </c>
      <c r="AK158" t="s">
        <v>540</v>
      </c>
      <c r="AL158" s="13" t="s">
        <v>1902</v>
      </c>
    </row>
    <row r="159" spans="1:38" x14ac:dyDescent="0.25">
      <c r="A159" s="34" t="s">
        <v>149</v>
      </c>
      <c r="B159" t="s">
        <v>1904</v>
      </c>
      <c r="C159" s="252" t="e">
        <f>VLOOKUP(B159,Plantings!$A$2:$C$285,2,FALSE)</f>
        <v>#N/A</v>
      </c>
      <c r="D159" s="252" t="e">
        <f>VLOOKUP(B159,Plantings!$A$2:$C$285,3,FALSE)</f>
        <v>#N/A</v>
      </c>
      <c r="E159" s="131">
        <v>2017</v>
      </c>
      <c r="G159" s="1" t="s">
        <v>412</v>
      </c>
      <c r="H159" s="1" t="s">
        <v>37</v>
      </c>
      <c r="I159" t="s">
        <v>405</v>
      </c>
      <c r="J159" s="1" t="s">
        <v>165</v>
      </c>
      <c r="K159" s="1" t="s">
        <v>165</v>
      </c>
      <c r="L159" s="1" t="s">
        <v>229</v>
      </c>
      <c r="R159" s="1" t="s">
        <v>22</v>
      </c>
      <c r="S159" s="25" t="s">
        <v>520</v>
      </c>
      <c r="T159" s="134">
        <v>42854</v>
      </c>
      <c r="U159">
        <v>47.222489000000003</v>
      </c>
      <c r="V159">
        <v>-122.81026199999999</v>
      </c>
      <c r="W159" s="252" t="e">
        <f>VLOOKUP(B159,Plantings!$A$2:$E$285,4,FALSE)</f>
        <v>#N/A</v>
      </c>
      <c r="X159" s="251" t="e">
        <f>VLOOKUP(B159,Plantings!$A$2:$E$285,5,FALSE)</f>
        <v>#N/A</v>
      </c>
      <c r="Y159" s="7" t="s">
        <v>148</v>
      </c>
      <c r="AA159" t="s">
        <v>168</v>
      </c>
      <c r="AB159">
        <v>1</v>
      </c>
      <c r="AC159">
        <v>1</v>
      </c>
      <c r="AD159">
        <f t="shared" si="23"/>
        <v>1</v>
      </c>
      <c r="AE159">
        <v>8.0000000000000002E-3</v>
      </c>
      <c r="AF159" s="109">
        <f t="shared" si="25"/>
        <v>1.4999999999999999E-2</v>
      </c>
      <c r="AG159" s="38">
        <v>3</v>
      </c>
      <c r="AH159" s="135">
        <f t="shared" si="28"/>
        <v>12</v>
      </c>
      <c r="AI159" s="5">
        <f t="shared" si="26"/>
        <v>12</v>
      </c>
      <c r="AJ159" s="5">
        <f t="shared" si="27"/>
        <v>1500</v>
      </c>
      <c r="AK159" t="s">
        <v>540</v>
      </c>
      <c r="AL159" s="13" t="s">
        <v>1902</v>
      </c>
    </row>
    <row r="160" spans="1:38" x14ac:dyDescent="0.25">
      <c r="A160" s="34" t="s">
        <v>149</v>
      </c>
      <c r="B160" t="s">
        <v>1905</v>
      </c>
      <c r="C160" s="252" t="e">
        <f>VLOOKUP(B160,Plantings!$A$2:$C$285,2,FALSE)</f>
        <v>#N/A</v>
      </c>
      <c r="D160" s="252" t="e">
        <f>VLOOKUP(B160,Plantings!$A$2:$C$285,3,FALSE)</f>
        <v>#N/A</v>
      </c>
      <c r="E160" s="131">
        <v>2017</v>
      </c>
      <c r="G160" s="1" t="s">
        <v>412</v>
      </c>
      <c r="H160" s="1" t="s">
        <v>37</v>
      </c>
      <c r="I160" t="s">
        <v>405</v>
      </c>
      <c r="J160" s="1" t="s">
        <v>165</v>
      </c>
      <c r="K160" s="1" t="s">
        <v>165</v>
      </c>
      <c r="L160" s="1" t="s">
        <v>229</v>
      </c>
      <c r="R160" s="1" t="s">
        <v>22</v>
      </c>
      <c r="S160" s="25" t="s">
        <v>520</v>
      </c>
      <c r="T160" s="134">
        <v>42854</v>
      </c>
      <c r="U160">
        <v>47.222512000000002</v>
      </c>
      <c r="V160">
        <v>-122.810267</v>
      </c>
      <c r="W160" s="252" t="e">
        <f>VLOOKUP(B160,Plantings!$A$2:$E$285,4,FALSE)</f>
        <v>#N/A</v>
      </c>
      <c r="X160" s="251" t="e">
        <f>VLOOKUP(B160,Plantings!$A$2:$E$285,5,FALSE)</f>
        <v>#N/A</v>
      </c>
      <c r="Y160" s="7" t="s">
        <v>148</v>
      </c>
      <c r="AA160" t="s">
        <v>168</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540</v>
      </c>
      <c r="AL160" s="13" t="s">
        <v>1902</v>
      </c>
    </row>
    <row r="161" spans="1:38" x14ac:dyDescent="0.25">
      <c r="A161" s="34" t="s">
        <v>149</v>
      </c>
      <c r="B161" t="s">
        <v>1906</v>
      </c>
      <c r="C161" s="252" t="e">
        <f>VLOOKUP(B161,Plantings!$A$2:$C$285,2,FALSE)</f>
        <v>#N/A</v>
      </c>
      <c r="D161" s="252" t="e">
        <f>VLOOKUP(B161,Plantings!$A$2:$C$285,3,FALSE)</f>
        <v>#N/A</v>
      </c>
      <c r="E161" s="131">
        <v>2017</v>
      </c>
      <c r="G161" s="1" t="s">
        <v>412</v>
      </c>
      <c r="H161" s="1" t="s">
        <v>37</v>
      </c>
      <c r="I161" t="s">
        <v>405</v>
      </c>
      <c r="J161" s="1" t="s">
        <v>165</v>
      </c>
      <c r="K161" s="1" t="s">
        <v>165</v>
      </c>
      <c r="L161" s="1" t="s">
        <v>229</v>
      </c>
      <c r="R161" s="1" t="s">
        <v>22</v>
      </c>
      <c r="S161" s="25" t="s">
        <v>520</v>
      </c>
      <c r="T161" s="134">
        <v>42854</v>
      </c>
      <c r="U161">
        <v>47.222541999999997</v>
      </c>
      <c r="V161">
        <v>-122.81027899999999</v>
      </c>
      <c r="W161" s="252" t="e">
        <f>VLOOKUP(B161,Plantings!$A$2:$E$285,4,FALSE)</f>
        <v>#N/A</v>
      </c>
      <c r="X161" s="251" t="e">
        <f>VLOOKUP(B161,Plantings!$A$2:$E$285,5,FALSE)</f>
        <v>#N/A</v>
      </c>
      <c r="Y161" s="7" t="s">
        <v>148</v>
      </c>
      <c r="AA161" t="s">
        <v>168</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540</v>
      </c>
      <c r="AL161" s="13" t="s">
        <v>1902</v>
      </c>
    </row>
    <row r="162" spans="1:38" x14ac:dyDescent="0.25">
      <c r="A162" s="34" t="s">
        <v>149</v>
      </c>
      <c r="B162" t="s">
        <v>1907</v>
      </c>
      <c r="C162" s="252" t="e">
        <f>VLOOKUP(B162,Plantings!$A$2:$C$285,2,FALSE)</f>
        <v>#N/A</v>
      </c>
      <c r="D162" s="252" t="e">
        <f>VLOOKUP(B162,Plantings!$A$2:$C$285,3,FALSE)</f>
        <v>#N/A</v>
      </c>
      <c r="E162" s="131">
        <v>2017</v>
      </c>
      <c r="G162" s="1" t="s">
        <v>412</v>
      </c>
      <c r="H162" s="1" t="s">
        <v>37</v>
      </c>
      <c r="I162" t="s">
        <v>405</v>
      </c>
      <c r="J162" s="1" t="s">
        <v>165</v>
      </c>
      <c r="K162" s="1" t="s">
        <v>165</v>
      </c>
      <c r="L162" s="1" t="s">
        <v>229</v>
      </c>
      <c r="R162" s="1" t="s">
        <v>22</v>
      </c>
      <c r="S162" s="25" t="s">
        <v>520</v>
      </c>
      <c r="T162" s="134">
        <v>42854</v>
      </c>
      <c r="U162">
        <v>47.222552</v>
      </c>
      <c r="V162">
        <v>-122.810293</v>
      </c>
      <c r="W162" s="252" t="e">
        <f>VLOOKUP(B162,Plantings!$A$2:$E$285,4,FALSE)</f>
        <v>#N/A</v>
      </c>
      <c r="X162" s="251" t="e">
        <f>VLOOKUP(B162,Plantings!$A$2:$E$285,5,FALSE)</f>
        <v>#N/A</v>
      </c>
      <c r="Y162" s="7" t="s">
        <v>148</v>
      </c>
      <c r="AA162" t="s">
        <v>168</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540</v>
      </c>
      <c r="AL162" s="13" t="s">
        <v>1902</v>
      </c>
    </row>
    <row r="163" spans="1:38" x14ac:dyDescent="0.25">
      <c r="A163" s="34" t="s">
        <v>149</v>
      </c>
      <c r="B163" t="s">
        <v>1908</v>
      </c>
      <c r="C163" s="252" t="e">
        <f>VLOOKUP(B163,Plantings!$A$2:$C$285,2,FALSE)</f>
        <v>#N/A</v>
      </c>
      <c r="D163" s="252" t="e">
        <f>VLOOKUP(B163,Plantings!$A$2:$C$285,3,FALSE)</f>
        <v>#N/A</v>
      </c>
      <c r="E163" s="131">
        <v>2017</v>
      </c>
      <c r="G163" s="1" t="s">
        <v>412</v>
      </c>
      <c r="H163" s="1" t="s">
        <v>37</v>
      </c>
      <c r="I163" t="s">
        <v>405</v>
      </c>
      <c r="J163" s="1" t="s">
        <v>165</v>
      </c>
      <c r="K163" s="1" t="s">
        <v>165</v>
      </c>
      <c r="L163" s="1" t="s">
        <v>229</v>
      </c>
      <c r="R163" s="1" t="s">
        <v>22</v>
      </c>
      <c r="S163" s="25" t="s">
        <v>520</v>
      </c>
      <c r="T163" s="134">
        <v>42854</v>
      </c>
      <c r="U163">
        <v>47.222596000000003</v>
      </c>
      <c r="V163">
        <v>-122.810309</v>
      </c>
      <c r="W163" s="252" t="e">
        <f>VLOOKUP(B163,Plantings!$A$2:$E$285,4,FALSE)</f>
        <v>#N/A</v>
      </c>
      <c r="X163" s="251" t="e">
        <f>VLOOKUP(B163,Plantings!$A$2:$E$285,5,FALSE)</f>
        <v>#N/A</v>
      </c>
      <c r="Y163" s="7" t="s">
        <v>148</v>
      </c>
      <c r="AA163" t="s">
        <v>168</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540</v>
      </c>
      <c r="AL163" s="13" t="s">
        <v>1902</v>
      </c>
    </row>
    <row r="164" spans="1:38" x14ac:dyDescent="0.25">
      <c r="A164" s="34" t="s">
        <v>149</v>
      </c>
      <c r="B164" t="s">
        <v>1909</v>
      </c>
      <c r="C164" s="252" t="e">
        <f>VLOOKUP(B164,Plantings!$A$2:$C$285,2,FALSE)</f>
        <v>#N/A</v>
      </c>
      <c r="D164" s="252" t="e">
        <f>VLOOKUP(B164,Plantings!$A$2:$C$285,3,FALSE)</f>
        <v>#N/A</v>
      </c>
      <c r="E164" s="131">
        <v>2017</v>
      </c>
      <c r="G164" s="1" t="s">
        <v>412</v>
      </c>
      <c r="H164" s="1" t="s">
        <v>37</v>
      </c>
      <c r="I164" t="s">
        <v>405</v>
      </c>
      <c r="J164" s="1" t="s">
        <v>165</v>
      </c>
      <c r="K164" s="1" t="s">
        <v>165</v>
      </c>
      <c r="L164" s="1" t="s">
        <v>229</v>
      </c>
      <c r="R164" s="1" t="s">
        <v>22</v>
      </c>
      <c r="S164" s="25" t="s">
        <v>520</v>
      </c>
      <c r="T164" s="134">
        <v>42854</v>
      </c>
      <c r="U164">
        <v>47.222611999999998</v>
      </c>
      <c r="V164">
        <v>-122.810312</v>
      </c>
      <c r="W164" s="252" t="e">
        <f>VLOOKUP(B164,Plantings!$A$2:$E$285,4,FALSE)</f>
        <v>#N/A</v>
      </c>
      <c r="X164" s="251" t="e">
        <f>VLOOKUP(B164,Plantings!$A$2:$E$285,5,FALSE)</f>
        <v>#N/A</v>
      </c>
      <c r="Y164" s="7" t="s">
        <v>148</v>
      </c>
      <c r="AA164" t="s">
        <v>168</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540</v>
      </c>
      <c r="AL164" s="13" t="s">
        <v>1902</v>
      </c>
    </row>
    <row r="165" spans="1:38" x14ac:dyDescent="0.25">
      <c r="A165" s="34" t="s">
        <v>149</v>
      </c>
      <c r="B165" t="s">
        <v>1910</v>
      </c>
      <c r="C165" s="252" t="e">
        <f>VLOOKUP(B165,Plantings!$A$2:$C$285,2,FALSE)</f>
        <v>#N/A</v>
      </c>
      <c r="D165" s="252" t="e">
        <f>VLOOKUP(B165,Plantings!$A$2:$C$285,3,FALSE)</f>
        <v>#N/A</v>
      </c>
      <c r="E165" s="131">
        <v>2017</v>
      </c>
      <c r="G165" s="1" t="s">
        <v>412</v>
      </c>
      <c r="H165" s="1" t="s">
        <v>37</v>
      </c>
      <c r="I165" t="s">
        <v>405</v>
      </c>
      <c r="J165" s="1" t="s">
        <v>165</v>
      </c>
      <c r="K165" s="1" t="s">
        <v>165</v>
      </c>
      <c r="L165" s="1" t="s">
        <v>229</v>
      </c>
      <c r="R165" s="1" t="s">
        <v>22</v>
      </c>
      <c r="S165" s="25" t="s">
        <v>520</v>
      </c>
      <c r="T165" s="134">
        <v>42854</v>
      </c>
      <c r="U165">
        <v>47.222638000000003</v>
      </c>
      <c r="V165">
        <v>-122.810339</v>
      </c>
      <c r="W165" s="252" t="e">
        <f>VLOOKUP(B165,Plantings!$A$2:$E$285,4,FALSE)</f>
        <v>#N/A</v>
      </c>
      <c r="X165" s="251" t="e">
        <f>VLOOKUP(B165,Plantings!$A$2:$E$285,5,FALSE)</f>
        <v>#N/A</v>
      </c>
      <c r="Y165" s="7" t="s">
        <v>148</v>
      </c>
      <c r="AA165" t="s">
        <v>168</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540</v>
      </c>
      <c r="AL165" s="13" t="s">
        <v>1902</v>
      </c>
    </row>
    <row r="166" spans="1:38" x14ac:dyDescent="0.25">
      <c r="A166" s="34" t="s">
        <v>149</v>
      </c>
      <c r="B166" t="s">
        <v>1911</v>
      </c>
      <c r="C166" s="252" t="e">
        <f>VLOOKUP(B166,Plantings!$A$2:$C$285,2,FALSE)</f>
        <v>#N/A</v>
      </c>
      <c r="D166" s="252" t="e">
        <f>VLOOKUP(B166,Plantings!$A$2:$C$285,3,FALSE)</f>
        <v>#N/A</v>
      </c>
      <c r="E166" s="131">
        <v>2017</v>
      </c>
      <c r="G166" s="1" t="s">
        <v>412</v>
      </c>
      <c r="H166" s="1" t="s">
        <v>37</v>
      </c>
      <c r="I166" t="s">
        <v>405</v>
      </c>
      <c r="J166" s="1" t="s">
        <v>165</v>
      </c>
      <c r="K166" s="1" t="s">
        <v>165</v>
      </c>
      <c r="L166" s="1" t="s">
        <v>229</v>
      </c>
      <c r="R166" s="1" t="s">
        <v>22</v>
      </c>
      <c r="S166" s="25" t="s">
        <v>520</v>
      </c>
      <c r="T166" s="134">
        <v>42854</v>
      </c>
      <c r="U166">
        <v>47.222659</v>
      </c>
      <c r="V166">
        <v>-122.810361</v>
      </c>
      <c r="W166" s="252" t="e">
        <f>VLOOKUP(B166,Plantings!$A$2:$E$285,4,FALSE)</f>
        <v>#N/A</v>
      </c>
      <c r="X166" s="251" t="e">
        <f>VLOOKUP(B166,Plantings!$A$2:$E$285,5,FALSE)</f>
        <v>#N/A</v>
      </c>
      <c r="Y166" s="7" t="s">
        <v>148</v>
      </c>
      <c r="AA166" t="s">
        <v>168</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540</v>
      </c>
      <c r="AL166" s="13" t="s">
        <v>1902</v>
      </c>
    </row>
    <row r="167" spans="1:38" x14ac:dyDescent="0.25">
      <c r="A167" s="34" t="s">
        <v>149</v>
      </c>
      <c r="B167" t="s">
        <v>1912</v>
      </c>
      <c r="C167" s="252" t="e">
        <f>VLOOKUP(B167,Plantings!$A$2:$C$285,2,FALSE)</f>
        <v>#N/A</v>
      </c>
      <c r="D167" s="252" t="e">
        <f>VLOOKUP(B167,Plantings!$A$2:$C$285,3,FALSE)</f>
        <v>#N/A</v>
      </c>
      <c r="E167" s="131">
        <v>2017</v>
      </c>
      <c r="G167" s="1" t="s">
        <v>412</v>
      </c>
      <c r="H167" s="1" t="s">
        <v>37</v>
      </c>
      <c r="I167" t="s">
        <v>405</v>
      </c>
      <c r="J167" s="1" t="s">
        <v>165</v>
      </c>
      <c r="K167" s="1" t="s">
        <v>165</v>
      </c>
      <c r="L167" s="1" t="s">
        <v>229</v>
      </c>
      <c r="R167" s="1" t="s">
        <v>22</v>
      </c>
      <c r="S167" s="25" t="s">
        <v>520</v>
      </c>
      <c r="T167" s="134">
        <v>42854</v>
      </c>
      <c r="U167">
        <v>47.222687999999998</v>
      </c>
      <c r="V167">
        <v>-122.810372</v>
      </c>
      <c r="W167" s="252" t="e">
        <f>VLOOKUP(B167,Plantings!$A$2:$E$285,4,FALSE)</f>
        <v>#N/A</v>
      </c>
      <c r="X167" s="251" t="e">
        <f>VLOOKUP(B167,Plantings!$A$2:$E$285,5,FALSE)</f>
        <v>#N/A</v>
      </c>
      <c r="Y167" s="7" t="s">
        <v>148</v>
      </c>
      <c r="AA167" t="s">
        <v>168</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540</v>
      </c>
      <c r="AL167" s="13" t="s">
        <v>1902</v>
      </c>
    </row>
    <row r="168" spans="1:38" x14ac:dyDescent="0.25">
      <c r="A168" s="34" t="s">
        <v>149</v>
      </c>
      <c r="B168" t="s">
        <v>1913</v>
      </c>
      <c r="C168" s="252" t="e">
        <f>VLOOKUP(B168,Plantings!$A$2:$C$285,2,FALSE)</f>
        <v>#N/A</v>
      </c>
      <c r="D168" s="252" t="e">
        <f>VLOOKUP(B168,Plantings!$A$2:$C$285,3,FALSE)</f>
        <v>#N/A</v>
      </c>
      <c r="E168" s="131">
        <v>2017</v>
      </c>
      <c r="G168" s="1" t="s">
        <v>412</v>
      </c>
      <c r="H168" s="1" t="s">
        <v>37</v>
      </c>
      <c r="I168" t="s">
        <v>405</v>
      </c>
      <c r="J168" s="1" t="s">
        <v>165</v>
      </c>
      <c r="K168" s="1" t="s">
        <v>165</v>
      </c>
      <c r="L168" s="1" t="s">
        <v>229</v>
      </c>
      <c r="R168" s="1" t="s">
        <v>22</v>
      </c>
      <c r="S168" s="25" t="s">
        <v>520</v>
      </c>
      <c r="T168" s="134">
        <v>42854</v>
      </c>
      <c r="U168" s="152">
        <v>47.222720000000002</v>
      </c>
      <c r="V168">
        <v>-122.81038599999999</v>
      </c>
      <c r="W168" s="252" t="e">
        <f>VLOOKUP(B168,Plantings!$A$2:$E$285,4,FALSE)</f>
        <v>#N/A</v>
      </c>
      <c r="X168" s="251" t="e">
        <f>VLOOKUP(B168,Plantings!$A$2:$E$285,5,FALSE)</f>
        <v>#N/A</v>
      </c>
      <c r="Y168" s="7" t="s">
        <v>148</v>
      </c>
      <c r="AA168" t="s">
        <v>168</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540</v>
      </c>
      <c r="AL168" s="13" t="s">
        <v>1902</v>
      </c>
    </row>
    <row r="169" spans="1:38" x14ac:dyDescent="0.25">
      <c r="A169" s="34" t="s">
        <v>149</v>
      </c>
      <c r="B169" t="s">
        <v>1914</v>
      </c>
      <c r="C169" s="252" t="e">
        <f>VLOOKUP(B169,Plantings!$A$2:$C$285,2,FALSE)</f>
        <v>#N/A</v>
      </c>
      <c r="D169" s="252" t="e">
        <f>VLOOKUP(B169,Plantings!$A$2:$C$285,3,FALSE)</f>
        <v>#N/A</v>
      </c>
      <c r="E169" s="131">
        <v>2017</v>
      </c>
      <c r="G169" s="1" t="s">
        <v>412</v>
      </c>
      <c r="H169" s="1" t="s">
        <v>37</v>
      </c>
      <c r="I169" t="s">
        <v>405</v>
      </c>
      <c r="J169" s="1" t="s">
        <v>165</v>
      </c>
      <c r="K169" s="1" t="s">
        <v>165</v>
      </c>
      <c r="L169" s="1" t="s">
        <v>229</v>
      </c>
      <c r="R169" s="1" t="s">
        <v>22</v>
      </c>
      <c r="S169" s="25" t="s">
        <v>520</v>
      </c>
      <c r="T169" s="134">
        <v>42854</v>
      </c>
      <c r="U169">
        <v>47.222732999999998</v>
      </c>
      <c r="V169" s="152">
        <v>-122.8104</v>
      </c>
      <c r="W169" s="252" t="e">
        <f>VLOOKUP(B169,Plantings!$A$2:$E$285,4,FALSE)</f>
        <v>#N/A</v>
      </c>
      <c r="X169" s="251" t="e">
        <f>VLOOKUP(B169,Plantings!$A$2:$E$285,5,FALSE)</f>
        <v>#N/A</v>
      </c>
      <c r="Y169" s="7" t="s">
        <v>148</v>
      </c>
      <c r="AA169" t="s">
        <v>168</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540</v>
      </c>
      <c r="AL169" s="13" t="s">
        <v>1902</v>
      </c>
    </row>
    <row r="170" spans="1:38" x14ac:dyDescent="0.25">
      <c r="A170" s="34" t="s">
        <v>149</v>
      </c>
      <c r="B170" t="s">
        <v>1133</v>
      </c>
      <c r="C170" s="252" t="str">
        <f>VLOOKUP(B170,Plantings!$A$2:$C$285,2,FALSE)</f>
        <v>JSP_mid_south_2</v>
      </c>
      <c r="D170" s="252" t="str">
        <f>VLOOKUP(B170,Plantings!$A$2:$C$285,3,FALSE)</f>
        <v>single</v>
      </c>
      <c r="E170" s="131">
        <v>2018</v>
      </c>
      <c r="G170" s="1" t="s">
        <v>412</v>
      </c>
      <c r="H170" s="1" t="s">
        <v>37</v>
      </c>
      <c r="I170" t="s">
        <v>405</v>
      </c>
      <c r="J170" s="1" t="s">
        <v>165</v>
      </c>
      <c r="K170" s="1" t="s">
        <v>165</v>
      </c>
      <c r="L170" s="1" t="s">
        <v>229</v>
      </c>
      <c r="R170" s="1" t="s">
        <v>22</v>
      </c>
      <c r="S170" t="s">
        <v>22</v>
      </c>
      <c r="T170" s="134">
        <v>43264</v>
      </c>
      <c r="U170" s="153"/>
      <c r="V170" s="153"/>
      <c r="W170" s="252" t="str">
        <f>VLOOKUP(B170,Plantings!$A$2:$E$285,4,FALSE)</f>
        <v>point</v>
      </c>
      <c r="X170" s="251" t="str">
        <f>VLOOKUP(B170,Plantings!$A$2:$E$285,5,FALSE)</f>
        <v>drop</v>
      </c>
      <c r="Y170" s="7" t="s">
        <v>148</v>
      </c>
      <c r="AA170" t="s">
        <v>169</v>
      </c>
      <c r="AB170">
        <v>4</v>
      </c>
      <c r="AC170">
        <v>0.25</v>
      </c>
      <c r="AD170">
        <f t="shared" si="23"/>
        <v>1</v>
      </c>
      <c r="AE170">
        <v>0.25</v>
      </c>
      <c r="AF170" s="109">
        <f t="shared" ref="AF170:AF183" si="29">IF(AA170="staple",AG170*0.005,IF(AA170="rebar",AG170*0.025,IF(AA170="burlap",AG170*0.0625,IF(AA170="washer",AG170*0.0025,IF(AA170="pucks",AG170*0.00785,IF(AA170="turf",AG170*0.01,IF(AA170="","")))))))</f>
        <v>0.1</v>
      </c>
      <c r="AG170" s="38">
        <v>4</v>
      </c>
      <c r="AH170" s="135">
        <f>AG170*25</f>
        <v>100</v>
      </c>
      <c r="AI170" s="5">
        <f t="shared" si="26"/>
        <v>100</v>
      </c>
      <c r="AJ170" s="5">
        <f t="shared" si="27"/>
        <v>400</v>
      </c>
      <c r="AK170" t="s">
        <v>119</v>
      </c>
      <c r="AL170" s="13" t="s">
        <v>1915</v>
      </c>
    </row>
    <row r="171" spans="1:38" x14ac:dyDescent="0.25">
      <c r="A171" s="34" t="s">
        <v>149</v>
      </c>
      <c r="B171" t="s">
        <v>1134</v>
      </c>
      <c r="C171" s="252" t="str">
        <f>VLOOKUP(B171,Plantings!$A$2:$C$285,2,FALSE)</f>
        <v>JSP_mid_south_1</v>
      </c>
      <c r="D171" s="252" t="str">
        <f>VLOOKUP(B171,Plantings!$A$2:$C$285,3,FALSE)</f>
        <v>single</v>
      </c>
      <c r="E171" s="131">
        <v>2018</v>
      </c>
      <c r="G171" s="1" t="s">
        <v>412</v>
      </c>
      <c r="H171" s="1" t="s">
        <v>37</v>
      </c>
      <c r="I171" t="s">
        <v>405</v>
      </c>
      <c r="J171" s="1" t="s">
        <v>165</v>
      </c>
      <c r="K171" s="1" t="s">
        <v>165</v>
      </c>
      <c r="L171" s="1" t="s">
        <v>229</v>
      </c>
      <c r="R171" s="1" t="s">
        <v>22</v>
      </c>
      <c r="S171" t="s">
        <v>22</v>
      </c>
      <c r="T171" s="134">
        <v>43264</v>
      </c>
      <c r="U171" s="153"/>
      <c r="V171" s="153"/>
      <c r="W171" s="252" t="str">
        <f>VLOOKUP(B171,Plantings!$A$2:$E$285,4,FALSE)</f>
        <v>point</v>
      </c>
      <c r="X171" s="251" t="str">
        <f>VLOOKUP(B171,Plantings!$A$2:$E$285,5,FALSE)</f>
        <v>drop</v>
      </c>
      <c r="Y171" s="7" t="s">
        <v>148</v>
      </c>
      <c r="AA171" t="s">
        <v>169</v>
      </c>
      <c r="AB171">
        <v>3</v>
      </c>
      <c r="AC171">
        <v>0.25</v>
      </c>
      <c r="AD171">
        <f t="shared" si="23"/>
        <v>0.75</v>
      </c>
      <c r="AE171">
        <v>0.25</v>
      </c>
      <c r="AF171" s="109">
        <f t="shared" si="29"/>
        <v>7.5000000000000011E-2</v>
      </c>
      <c r="AG171" s="38">
        <v>3</v>
      </c>
      <c r="AH171" s="135">
        <f>AG171*25</f>
        <v>75</v>
      </c>
      <c r="AI171" s="5">
        <f t="shared" si="26"/>
        <v>100</v>
      </c>
      <c r="AJ171" s="5">
        <f t="shared" si="27"/>
        <v>300</v>
      </c>
      <c r="AK171" t="s">
        <v>119</v>
      </c>
      <c r="AL171" s="13" t="s">
        <v>1916</v>
      </c>
    </row>
    <row r="172" spans="1:38" x14ac:dyDescent="0.25">
      <c r="A172" s="34" t="s">
        <v>149</v>
      </c>
      <c r="B172" t="s">
        <v>1091</v>
      </c>
      <c r="C172" s="252" t="str">
        <f>VLOOKUP(B172,Plantings!$A$2:$C$285,2,FALSE)</f>
        <v>JSP_mid_1</v>
      </c>
      <c r="D172" s="252" t="str">
        <f>VLOOKUP(B172,Plantings!$A$2:$C$285,3,FALSE)</f>
        <v>colocated</v>
      </c>
      <c r="E172" s="131">
        <v>2018</v>
      </c>
      <c r="G172" s="1" t="s">
        <v>412</v>
      </c>
      <c r="H172" s="1" t="s">
        <v>37</v>
      </c>
      <c r="I172" t="s">
        <v>405</v>
      </c>
      <c r="J172" s="1" t="s">
        <v>165</v>
      </c>
      <c r="K172" s="1" t="s">
        <v>165</v>
      </c>
      <c r="L172" s="1" t="s">
        <v>229</v>
      </c>
      <c r="R172" s="1" t="s">
        <v>22</v>
      </c>
      <c r="S172" t="s">
        <v>22</v>
      </c>
      <c r="T172" s="134">
        <v>43295</v>
      </c>
      <c r="U172">
        <v>47.222470000000001</v>
      </c>
      <c r="V172">
        <v>-122.81049</v>
      </c>
      <c r="W172" s="252" t="str">
        <f>VLOOKUP(B172,Plantings!$A$2:$E$285,4,FALSE)</f>
        <v>point</v>
      </c>
      <c r="X172" s="251" t="str">
        <f>VLOOKUP(B172,Plantings!$A$2:$E$285,5,FALSE)</f>
        <v>retain</v>
      </c>
      <c r="Y172" s="7" t="s">
        <v>148</v>
      </c>
      <c r="AA172" t="s">
        <v>169</v>
      </c>
      <c r="AB172">
        <v>0.5</v>
      </c>
      <c r="AC172">
        <v>0.5</v>
      </c>
      <c r="AD172">
        <f t="shared" si="23"/>
        <v>0.25</v>
      </c>
      <c r="AE172">
        <v>0.25</v>
      </c>
      <c r="AF172" s="109">
        <f t="shared" si="29"/>
        <v>7.5000000000000011E-2</v>
      </c>
      <c r="AG172" s="38">
        <v>3</v>
      </c>
      <c r="AH172" s="135">
        <f>AG172*21</f>
        <v>63</v>
      </c>
      <c r="AI172" s="5">
        <f t="shared" si="26"/>
        <v>252</v>
      </c>
      <c r="AJ172" s="5">
        <f t="shared" si="27"/>
        <v>252</v>
      </c>
      <c r="AK172" t="s">
        <v>119</v>
      </c>
      <c r="AL172" s="13" t="s">
        <v>1081</v>
      </c>
    </row>
    <row r="173" spans="1:38" x14ac:dyDescent="0.25">
      <c r="A173" s="34" t="s">
        <v>149</v>
      </c>
      <c r="B173" t="s">
        <v>1092</v>
      </c>
      <c r="C173" s="252" t="str">
        <f>VLOOKUP(B173,Plantings!$A$2:$C$285,2,FALSE)</f>
        <v>JSP_mid_1</v>
      </c>
      <c r="D173" s="252" t="str">
        <f>VLOOKUP(B173,Plantings!$A$2:$C$285,3,FALSE)</f>
        <v>colocated</v>
      </c>
      <c r="E173" s="131">
        <v>2018</v>
      </c>
      <c r="G173" s="1" t="s">
        <v>412</v>
      </c>
      <c r="H173" s="1" t="s">
        <v>37</v>
      </c>
      <c r="I173" t="s">
        <v>405</v>
      </c>
      <c r="J173" s="1" t="s">
        <v>165</v>
      </c>
      <c r="K173" s="1" t="s">
        <v>165</v>
      </c>
      <c r="L173" s="1" t="s">
        <v>229</v>
      </c>
      <c r="R173" s="1" t="s">
        <v>22</v>
      </c>
      <c r="S173" t="s">
        <v>22</v>
      </c>
      <c r="T173" s="134">
        <v>43295</v>
      </c>
      <c r="U173">
        <v>47.222470000000001</v>
      </c>
      <c r="V173">
        <v>-122.81049</v>
      </c>
      <c r="W173" s="252" t="str">
        <f>VLOOKUP(B173,Plantings!$A$2:$E$285,4,FALSE)</f>
        <v>point</v>
      </c>
      <c r="X173" s="251" t="str">
        <f>VLOOKUP(B173,Plantings!$A$2:$E$285,5,FALSE)</f>
        <v>retain</v>
      </c>
      <c r="Y173" s="7" t="s">
        <v>148</v>
      </c>
      <c r="AA173" t="s">
        <v>970</v>
      </c>
      <c r="AB173">
        <v>0.5</v>
      </c>
      <c r="AC173">
        <v>0.5</v>
      </c>
      <c r="AD173">
        <f t="shared" si="23"/>
        <v>0.25</v>
      </c>
      <c r="AE173">
        <v>0.25</v>
      </c>
      <c r="AF173" s="109">
        <f t="shared" si="29"/>
        <v>7.0649999999999991E-2</v>
      </c>
      <c r="AG173" s="38">
        <v>9</v>
      </c>
      <c r="AH173" s="135">
        <f>AG173*7</f>
        <v>63</v>
      </c>
      <c r="AI173" s="5">
        <f t="shared" si="26"/>
        <v>252</v>
      </c>
      <c r="AJ173" s="5">
        <f t="shared" si="27"/>
        <v>252</v>
      </c>
      <c r="AK173" t="s">
        <v>119</v>
      </c>
      <c r="AL173" s="13" t="s">
        <v>1083</v>
      </c>
    </row>
    <row r="174" spans="1:38" x14ac:dyDescent="0.25">
      <c r="A174" s="34" t="s">
        <v>149</v>
      </c>
      <c r="B174" t="s">
        <v>1093</v>
      </c>
      <c r="C174" s="252" t="str">
        <f>VLOOKUP(B174,Plantings!$A$2:$C$285,2,FALSE)</f>
        <v>JSP_mid_2</v>
      </c>
      <c r="D174" s="252" t="str">
        <f>VLOOKUP(B174,Plantings!$A$2:$C$285,3,FALSE)</f>
        <v>single</v>
      </c>
      <c r="E174" s="131">
        <v>2018</v>
      </c>
      <c r="G174" s="1" t="s">
        <v>412</v>
      </c>
      <c r="H174" s="1" t="s">
        <v>37</v>
      </c>
      <c r="I174" t="s">
        <v>405</v>
      </c>
      <c r="J174" s="1" t="s">
        <v>165</v>
      </c>
      <c r="K174" s="1" t="s">
        <v>165</v>
      </c>
      <c r="L174" s="1" t="s">
        <v>229</v>
      </c>
      <c r="R174" s="1" t="s">
        <v>22</v>
      </c>
      <c r="S174" t="s">
        <v>22</v>
      </c>
      <c r="T174" s="134">
        <v>43295</v>
      </c>
      <c r="U174" s="153"/>
      <c r="V174" s="153"/>
      <c r="W174" s="252" t="str">
        <f>VLOOKUP(B174,Plantings!$A$2:$E$285,4,FALSE)</f>
        <v>point</v>
      </c>
      <c r="X174" s="251" t="str">
        <f>VLOOKUP(B174,Plantings!$A$2:$E$285,5,FALSE)</f>
        <v>drop</v>
      </c>
      <c r="Y174" s="7" t="s">
        <v>148</v>
      </c>
      <c r="AA174" t="s">
        <v>970</v>
      </c>
      <c r="AB174">
        <v>0.5</v>
      </c>
      <c r="AC174">
        <v>0.5</v>
      </c>
      <c r="AD174">
        <f t="shared" si="23"/>
        <v>0.25</v>
      </c>
      <c r="AE174">
        <v>0.25</v>
      </c>
      <c r="AF174" s="109">
        <f t="shared" si="29"/>
        <v>7.0649999999999991E-2</v>
      </c>
      <c r="AG174" s="38">
        <v>9</v>
      </c>
      <c r="AH174" s="135">
        <f>AG174*7</f>
        <v>63</v>
      </c>
      <c r="AI174" s="5">
        <f t="shared" si="26"/>
        <v>252</v>
      </c>
      <c r="AJ174" s="5">
        <f t="shared" si="27"/>
        <v>252</v>
      </c>
      <c r="AK174" t="s">
        <v>119</v>
      </c>
      <c r="AL174" s="13" t="s">
        <v>1083</v>
      </c>
    </row>
    <row r="175" spans="1:38" x14ac:dyDescent="0.25">
      <c r="A175" s="34" t="s">
        <v>149</v>
      </c>
      <c r="B175" t="s">
        <v>1094</v>
      </c>
      <c r="C175" s="252" t="str">
        <f>VLOOKUP(B175,Plantings!$A$2:$C$285,2,FALSE)</f>
        <v>JSP_mid_2</v>
      </c>
      <c r="D175" s="252" t="str">
        <f>VLOOKUP(B175,Plantings!$A$2:$C$285,3,FALSE)</f>
        <v>single</v>
      </c>
      <c r="E175" s="131">
        <v>2018</v>
      </c>
      <c r="G175" s="1" t="s">
        <v>412</v>
      </c>
      <c r="H175" s="1" t="s">
        <v>37</v>
      </c>
      <c r="I175" t="s">
        <v>405</v>
      </c>
      <c r="J175" s="1" t="s">
        <v>165</v>
      </c>
      <c r="K175" s="1" t="s">
        <v>165</v>
      </c>
      <c r="L175" s="1" t="s">
        <v>229</v>
      </c>
      <c r="R175" s="1" t="s">
        <v>22</v>
      </c>
      <c r="S175" t="s">
        <v>22</v>
      </c>
      <c r="T175" s="134">
        <v>43295</v>
      </c>
      <c r="U175" s="153"/>
      <c r="V175" s="153"/>
      <c r="W175" s="252" t="str">
        <f>VLOOKUP(B175,Plantings!$A$2:$E$285,4,FALSE)</f>
        <v>point</v>
      </c>
      <c r="X175" s="251" t="str">
        <f>VLOOKUP(B175,Plantings!$A$2:$E$285,5,FALSE)</f>
        <v>drop</v>
      </c>
      <c r="Y175" s="7" t="s">
        <v>148</v>
      </c>
      <c r="AA175" t="s">
        <v>169</v>
      </c>
      <c r="AB175">
        <v>0.5</v>
      </c>
      <c r="AC175">
        <v>0.5</v>
      </c>
      <c r="AD175">
        <f t="shared" si="23"/>
        <v>0.25</v>
      </c>
      <c r="AE175">
        <v>0.25</v>
      </c>
      <c r="AF175" s="109">
        <f t="shared" si="29"/>
        <v>7.5000000000000011E-2</v>
      </c>
      <c r="AG175" s="38">
        <v>3</v>
      </c>
      <c r="AH175" s="135">
        <f>AG175*21</f>
        <v>63</v>
      </c>
      <c r="AI175" s="5">
        <f t="shared" si="26"/>
        <v>252</v>
      </c>
      <c r="AJ175" s="5">
        <f t="shared" si="27"/>
        <v>252</v>
      </c>
      <c r="AK175" t="s">
        <v>119</v>
      </c>
      <c r="AL175" s="13" t="s">
        <v>1084</v>
      </c>
    </row>
    <row r="176" spans="1:38" x14ac:dyDescent="0.25">
      <c r="A176" s="34" t="s">
        <v>149</v>
      </c>
      <c r="B176" t="s">
        <v>1095</v>
      </c>
      <c r="C176" s="252" t="str">
        <f>VLOOKUP(B176,Plantings!$A$2:$C$285,2,FALSE)</f>
        <v>JSP_mid_3</v>
      </c>
      <c r="D176" s="252" t="str">
        <f>VLOOKUP(B176,Plantings!$A$2:$C$285,3,FALSE)</f>
        <v>colocated</v>
      </c>
      <c r="E176" s="131">
        <v>2018</v>
      </c>
      <c r="G176" s="1" t="s">
        <v>412</v>
      </c>
      <c r="H176" s="1" t="s">
        <v>37</v>
      </c>
      <c r="I176" t="s">
        <v>405</v>
      </c>
      <c r="J176" s="1" t="s">
        <v>165</v>
      </c>
      <c r="K176" s="1" t="s">
        <v>165</v>
      </c>
      <c r="L176" s="1" t="s">
        <v>229</v>
      </c>
      <c r="R176" s="1" t="s">
        <v>22</v>
      </c>
      <c r="S176" t="s">
        <v>22</v>
      </c>
      <c r="T176" s="134">
        <v>43295</v>
      </c>
      <c r="U176">
        <v>47.222619999999999</v>
      </c>
      <c r="V176">
        <v>-122.81053</v>
      </c>
      <c r="W176" s="252" t="str">
        <f>VLOOKUP(B176,Plantings!$A$2:$E$285,4,FALSE)</f>
        <v>point</v>
      </c>
      <c r="X176" s="251" t="str">
        <f>VLOOKUP(B176,Plantings!$A$2:$E$285,5,FALSE)</f>
        <v>retain</v>
      </c>
      <c r="Y176" s="7" t="s">
        <v>148</v>
      </c>
      <c r="AA176" t="s">
        <v>169</v>
      </c>
      <c r="AB176">
        <v>0.5</v>
      </c>
      <c r="AC176">
        <v>0.5</v>
      </c>
      <c r="AD176">
        <f t="shared" si="23"/>
        <v>0.25</v>
      </c>
      <c r="AE176">
        <v>0.25</v>
      </c>
      <c r="AF176" s="109">
        <f t="shared" si="29"/>
        <v>7.5000000000000011E-2</v>
      </c>
      <c r="AG176" s="38">
        <v>3</v>
      </c>
      <c r="AH176" s="135">
        <f>AG176*21</f>
        <v>63</v>
      </c>
      <c r="AI176" s="5">
        <f t="shared" si="26"/>
        <v>252</v>
      </c>
      <c r="AJ176" s="5">
        <f t="shared" si="27"/>
        <v>252</v>
      </c>
      <c r="AK176" t="s">
        <v>119</v>
      </c>
      <c r="AL176" s="13" t="s">
        <v>1085</v>
      </c>
    </row>
    <row r="177" spans="1:38" x14ac:dyDescent="0.25">
      <c r="A177" s="34" t="s">
        <v>149</v>
      </c>
      <c r="B177" t="s">
        <v>1096</v>
      </c>
      <c r="C177" s="252" t="str">
        <f>VLOOKUP(B177,Plantings!$A$2:$C$285,2,FALSE)</f>
        <v>JSP_mid_3</v>
      </c>
      <c r="D177" s="252" t="str">
        <f>VLOOKUP(B177,Plantings!$A$2:$C$285,3,FALSE)</f>
        <v>single</v>
      </c>
      <c r="E177" s="131">
        <v>2018</v>
      </c>
      <c r="G177" s="1" t="s">
        <v>412</v>
      </c>
      <c r="H177" s="1" t="s">
        <v>37</v>
      </c>
      <c r="I177" t="s">
        <v>405</v>
      </c>
      <c r="J177" s="1" t="s">
        <v>165</v>
      </c>
      <c r="K177" s="1" t="s">
        <v>165</v>
      </c>
      <c r="L177" s="1" t="s">
        <v>229</v>
      </c>
      <c r="R177" s="1" t="s">
        <v>22</v>
      </c>
      <c r="S177" t="s">
        <v>22</v>
      </c>
      <c r="T177" s="134">
        <v>43295</v>
      </c>
      <c r="U177">
        <v>47.222619999999999</v>
      </c>
      <c r="V177">
        <v>-122.81053</v>
      </c>
      <c r="W177" s="252" t="str">
        <f>VLOOKUP(B177,Plantings!$A$2:$E$285,4,FALSE)</f>
        <v>point</v>
      </c>
      <c r="X177" s="251" t="str">
        <f>VLOOKUP(B177,Plantings!$A$2:$E$285,5,FALSE)</f>
        <v>retain</v>
      </c>
      <c r="Y177" s="7" t="s">
        <v>148</v>
      </c>
      <c r="AA177" t="s">
        <v>970</v>
      </c>
      <c r="AB177">
        <v>0.5</v>
      </c>
      <c r="AC177">
        <v>0.5</v>
      </c>
      <c r="AD177">
        <f t="shared" si="23"/>
        <v>0.25</v>
      </c>
      <c r="AE177">
        <v>0.25</v>
      </c>
      <c r="AF177" s="109">
        <f t="shared" si="29"/>
        <v>7.0649999999999991E-2</v>
      </c>
      <c r="AG177" s="38">
        <v>9</v>
      </c>
      <c r="AH177" s="135">
        <f>AG177*7</f>
        <v>63</v>
      </c>
      <c r="AI177" s="5">
        <f t="shared" si="26"/>
        <v>252</v>
      </c>
      <c r="AJ177" s="5">
        <f t="shared" si="27"/>
        <v>252</v>
      </c>
      <c r="AK177" t="s">
        <v>119</v>
      </c>
      <c r="AL177" s="13" t="s">
        <v>1082</v>
      </c>
    </row>
    <row r="178" spans="1:38" x14ac:dyDescent="0.25">
      <c r="A178" s="34" t="s">
        <v>149</v>
      </c>
      <c r="B178" t="s">
        <v>1879</v>
      </c>
      <c r="C178" s="252" t="str">
        <f>VLOOKUP(B178,Plantings!$A$2:$C$285,2,FALSE)</f>
        <v>JSP_mid_4</v>
      </c>
      <c r="D178" s="252" t="str">
        <f>VLOOKUP(B178,Plantings!$A$2:$C$285,3,FALSE)</f>
        <v>single</v>
      </c>
      <c r="E178" s="131">
        <v>2020</v>
      </c>
      <c r="G178" s="1" t="s">
        <v>412</v>
      </c>
      <c r="H178" s="1" t="s">
        <v>37</v>
      </c>
      <c r="I178" t="s">
        <v>405</v>
      </c>
      <c r="J178" s="1" t="s">
        <v>165</v>
      </c>
      <c r="K178" s="1" t="s">
        <v>165</v>
      </c>
      <c r="L178" s="1" t="s">
        <v>229</v>
      </c>
      <c r="R178" s="1" t="s">
        <v>22</v>
      </c>
      <c r="S178" t="s">
        <v>22</v>
      </c>
      <c r="T178" s="134">
        <v>44018</v>
      </c>
      <c r="U178">
        <v>47.222589999999997</v>
      </c>
      <c r="V178">
        <v>-122.81049</v>
      </c>
      <c r="W178" s="252" t="str">
        <f>VLOOKUP(B178,Plantings!$A$2:$E$285,4,FALSE)</f>
        <v>point</v>
      </c>
      <c r="X178" s="251" t="str">
        <f>VLOOKUP(B178,Plantings!$A$2:$E$285,5,FALSE)</f>
        <v>retain</v>
      </c>
      <c r="Y178" s="7" t="s">
        <v>148</v>
      </c>
      <c r="Z178" s="20">
        <v>-1.3</v>
      </c>
      <c r="AA178" s="5" t="s">
        <v>169</v>
      </c>
      <c r="AB178">
        <v>8</v>
      </c>
      <c r="AC178">
        <v>0.5</v>
      </c>
      <c r="AD178" s="1">
        <v>4</v>
      </c>
      <c r="AE178">
        <v>1</v>
      </c>
      <c r="AF178" s="109">
        <f t="shared" si="29"/>
        <v>0.30000000000000004</v>
      </c>
      <c r="AG178">
        <v>12</v>
      </c>
      <c r="AH178" s="58">
        <v>240</v>
      </c>
      <c r="AI178" s="5">
        <f t="shared" si="26"/>
        <v>60</v>
      </c>
      <c r="AJ178" s="5">
        <f t="shared" si="27"/>
        <v>240</v>
      </c>
      <c r="AK178" t="s">
        <v>540</v>
      </c>
      <c r="AL178" s="13" t="s">
        <v>2068</v>
      </c>
    </row>
    <row r="179" spans="1:38" x14ac:dyDescent="0.25">
      <c r="A179" t="s">
        <v>149</v>
      </c>
      <c r="B179" t="s">
        <v>2004</v>
      </c>
      <c r="C179" s="252" t="str">
        <f>VLOOKUP(B179,Plantings!$A$2:$C$285,2,FALSE)</f>
        <v>WHB_test_1</v>
      </c>
      <c r="D179" s="252" t="str">
        <f>VLOOKUP(B179,Plantings!$A$2:$C$285,3,FALSE)</f>
        <v>single</v>
      </c>
      <c r="E179" s="131">
        <v>2020</v>
      </c>
      <c r="G179" t="s">
        <v>412</v>
      </c>
      <c r="H179" s="1" t="s">
        <v>37</v>
      </c>
      <c r="I179" t="s">
        <v>405</v>
      </c>
      <c r="J179" s="1" t="s">
        <v>72</v>
      </c>
      <c r="K179" s="1" t="s">
        <v>69</v>
      </c>
      <c r="L179" s="1" t="s">
        <v>69</v>
      </c>
      <c r="M179" s="131" t="s">
        <v>1119</v>
      </c>
      <c r="N179" s="1" t="s">
        <v>67</v>
      </c>
      <c r="O179" s="1" t="s">
        <v>49</v>
      </c>
      <c r="R179" s="1" t="s">
        <v>22</v>
      </c>
      <c r="S179" t="s">
        <v>22</v>
      </c>
      <c r="T179" s="134">
        <v>44011</v>
      </c>
      <c r="U179" s="4">
        <v>47.207729999999998</v>
      </c>
      <c r="V179" s="4">
        <v>-122.80525</v>
      </c>
      <c r="W179" s="252" t="str">
        <f>VLOOKUP(B179,Plantings!$A$2:$E$285,4,FALSE)</f>
        <v>point</v>
      </c>
      <c r="X179" s="251" t="str">
        <f>VLOOKUP(B179,Plantings!$A$2:$E$285,5,FALSE)</f>
        <v>retain</v>
      </c>
      <c r="Y179" s="7" t="s">
        <v>148</v>
      </c>
      <c r="Z179" s="20">
        <v>-1.9</v>
      </c>
      <c r="AA179" s="5" t="s">
        <v>169</v>
      </c>
      <c r="AB179">
        <v>2.5</v>
      </c>
      <c r="AC179">
        <v>2.5</v>
      </c>
      <c r="AD179">
        <f t="shared" ref="AD179:AD187" si="30">AB179*AC179</f>
        <v>6.25</v>
      </c>
      <c r="AE179">
        <f>AG179*0.25</f>
        <v>5</v>
      </c>
      <c r="AF179" s="109">
        <f t="shared" si="29"/>
        <v>0.5</v>
      </c>
      <c r="AG179">
        <v>20</v>
      </c>
      <c r="AH179">
        <v>500</v>
      </c>
      <c r="AI179" s="5">
        <f t="shared" si="26"/>
        <v>80</v>
      </c>
      <c r="AJ179" s="5">
        <f t="shared" si="27"/>
        <v>100</v>
      </c>
      <c r="AK179" t="s">
        <v>54</v>
      </c>
      <c r="AL179" s="13" t="s">
        <v>2453</v>
      </c>
    </row>
    <row r="180" spans="1:38" x14ac:dyDescent="0.25">
      <c r="A180" t="s">
        <v>149</v>
      </c>
      <c r="B180" t="s">
        <v>2056</v>
      </c>
      <c r="C180" s="252" t="str">
        <f>VLOOKUP(B180,Plantings!$A$2:$C$285,2,FALSE)</f>
        <v>JSP_south_test</v>
      </c>
      <c r="D180" s="252" t="str">
        <f>VLOOKUP(B180,Plantings!$A$2:$C$285,3,FALSE)</f>
        <v>single</v>
      </c>
      <c r="E180" s="131">
        <v>2021</v>
      </c>
      <c r="G180" s="1" t="s">
        <v>412</v>
      </c>
      <c r="H180" s="1" t="s">
        <v>37</v>
      </c>
      <c r="I180" s="1" t="s">
        <v>405</v>
      </c>
      <c r="J180" s="1" t="s">
        <v>165</v>
      </c>
      <c r="K180" s="1" t="s">
        <v>165</v>
      </c>
      <c r="L180" s="1"/>
      <c r="M180" s="131"/>
      <c r="N180" s="1"/>
      <c r="O180" s="1"/>
      <c r="R180" s="1" t="s">
        <v>22</v>
      </c>
      <c r="S180" t="s">
        <v>22</v>
      </c>
      <c r="T180" s="134">
        <v>44372</v>
      </c>
      <c r="U180" s="4"/>
      <c r="V180" s="4"/>
      <c r="W180" s="252" t="str">
        <f>VLOOKUP(B180,Plantings!$A$2:$E$285,4,FALSE)</f>
        <v>point</v>
      </c>
      <c r="X180" s="251" t="str">
        <f>VLOOKUP(B180,Plantings!$A$2:$E$285,5,FALSE)</f>
        <v>retain</v>
      </c>
      <c r="Y180" s="7" t="s">
        <v>148</v>
      </c>
      <c r="Z180" s="20">
        <v>-1.5</v>
      </c>
      <c r="AA180" s="5" t="s">
        <v>169</v>
      </c>
      <c r="AB180">
        <v>3.5</v>
      </c>
      <c r="AC180">
        <v>0.5</v>
      </c>
      <c r="AD180">
        <f t="shared" si="30"/>
        <v>1.75</v>
      </c>
      <c r="AE180">
        <f>AG180*0.25</f>
        <v>2.25</v>
      </c>
      <c r="AF180" s="109">
        <f t="shared" si="29"/>
        <v>0.22500000000000001</v>
      </c>
      <c r="AG180" s="38">
        <v>9</v>
      </c>
      <c r="AH180">
        <v>135</v>
      </c>
      <c r="AI180" s="5">
        <f t="shared" si="26"/>
        <v>77.142857142857139</v>
      </c>
      <c r="AJ180" s="5">
        <f t="shared" si="27"/>
        <v>60</v>
      </c>
      <c r="AK180" t="s">
        <v>119</v>
      </c>
      <c r="AL180" s="13" t="s">
        <v>2095</v>
      </c>
    </row>
    <row r="181" spans="1:38" x14ac:dyDescent="0.25">
      <c r="A181" t="s">
        <v>149</v>
      </c>
      <c r="B181" t="s">
        <v>2094</v>
      </c>
      <c r="C181" s="252" t="str">
        <f>VLOOKUP(B181,Plantings!$A$2:$C$285,2,FALSE)</f>
        <v>JSP_mid_connect</v>
      </c>
      <c r="D181" s="252" t="str">
        <f>VLOOKUP(B181,Plantings!$A$2:$C$285,3,FALSE)</f>
        <v>single</v>
      </c>
      <c r="E181" s="131">
        <v>2022</v>
      </c>
      <c r="G181" s="1" t="s">
        <v>412</v>
      </c>
      <c r="H181" s="1" t="s">
        <v>37</v>
      </c>
      <c r="I181" s="1" t="s">
        <v>405</v>
      </c>
      <c r="J181" s="1" t="s">
        <v>165</v>
      </c>
      <c r="K181" s="1" t="s">
        <v>165</v>
      </c>
      <c r="L181" s="1"/>
      <c r="M181" s="131"/>
      <c r="N181" s="1"/>
      <c r="O181" s="1"/>
      <c r="R181" s="1" t="s">
        <v>22</v>
      </c>
      <c r="S181" t="s">
        <v>22</v>
      </c>
      <c r="T181" s="134">
        <v>44729</v>
      </c>
      <c r="U181" s="4"/>
      <c r="V181" s="4"/>
      <c r="W181" s="252" t="str">
        <f>VLOOKUP(B181,Plantings!$A$2:$E$285,4,FALSE)</f>
        <v>point</v>
      </c>
      <c r="X181" s="251" t="str">
        <f>VLOOKUP(B181,Plantings!$A$2:$E$285,5,FALSE)</f>
        <v>retain</v>
      </c>
      <c r="Y181" s="7" t="s">
        <v>148</v>
      </c>
      <c r="Z181" s="20">
        <v>-1.5</v>
      </c>
      <c r="AA181" s="5" t="s">
        <v>169</v>
      </c>
      <c r="AB181">
        <v>2.5</v>
      </c>
      <c r="AC181">
        <v>0.5</v>
      </c>
      <c r="AD181">
        <f t="shared" si="30"/>
        <v>1.25</v>
      </c>
      <c r="AE181">
        <v>1.75</v>
      </c>
      <c r="AF181" s="109">
        <f t="shared" si="29"/>
        <v>0.375</v>
      </c>
      <c r="AG181" s="38">
        <v>15</v>
      </c>
      <c r="AH181">
        <v>180</v>
      </c>
      <c r="AI181" s="5">
        <f t="shared" si="26"/>
        <v>144</v>
      </c>
      <c r="AJ181" s="5">
        <f t="shared" si="27"/>
        <v>102.85714285714286</v>
      </c>
      <c r="AK181" t="s">
        <v>119</v>
      </c>
      <c r="AL181" s="13" t="s">
        <v>2171</v>
      </c>
    </row>
    <row r="182" spans="1:38" x14ac:dyDescent="0.25">
      <c r="A182" t="s">
        <v>149</v>
      </c>
      <c r="B182" t="s">
        <v>2169</v>
      </c>
      <c r="C182" s="252" t="str">
        <f>VLOOKUP(B182,Plantings!$A$2:$C$285,2,FALSE)</f>
        <v>HC_off_1</v>
      </c>
      <c r="D182" s="252" t="str">
        <f>VLOOKUP(B182,Plantings!$A$2:$C$285,3,FALSE)</f>
        <v>single</v>
      </c>
      <c r="E182" s="131">
        <v>2022</v>
      </c>
      <c r="G182" s="1" t="s">
        <v>412</v>
      </c>
      <c r="H182" s="1" t="s">
        <v>37</v>
      </c>
      <c r="I182" s="1" t="s">
        <v>405</v>
      </c>
      <c r="J182" s="1" t="s">
        <v>165</v>
      </c>
      <c r="K182" s="1" t="s">
        <v>165</v>
      </c>
      <c r="L182" s="1"/>
      <c r="M182" s="131"/>
      <c r="N182" s="1"/>
      <c r="O182" s="1"/>
      <c r="R182" s="1" t="s">
        <v>22</v>
      </c>
      <c r="S182" t="s">
        <v>22</v>
      </c>
      <c r="T182" s="134">
        <v>44729</v>
      </c>
      <c r="U182" s="4"/>
      <c r="V182" s="4"/>
      <c r="W182" s="252" t="str">
        <f>VLOOKUP(B182,Plantings!$A$2:$E$285,4,FALSE)</f>
        <v>point</v>
      </c>
      <c r="X182" s="251" t="str">
        <f>VLOOKUP(B182,Plantings!$A$2:$E$285,5,FALSE)</f>
        <v>retain</v>
      </c>
      <c r="Y182" s="7" t="s">
        <v>148</v>
      </c>
      <c r="Z182" s="20">
        <v>-1.5</v>
      </c>
      <c r="AA182" s="5" t="s">
        <v>169</v>
      </c>
      <c r="AB182">
        <v>1</v>
      </c>
      <c r="AC182">
        <v>0.5</v>
      </c>
      <c r="AD182">
        <f t="shared" si="30"/>
        <v>0.5</v>
      </c>
      <c r="AE182">
        <v>0.25</v>
      </c>
      <c r="AF182" s="109">
        <f t="shared" si="29"/>
        <v>0.15000000000000002</v>
      </c>
      <c r="AG182" s="38">
        <v>6</v>
      </c>
      <c r="AH182">
        <v>48</v>
      </c>
      <c r="AI182" s="5">
        <f t="shared" si="26"/>
        <v>96</v>
      </c>
      <c r="AJ182" s="5">
        <f t="shared" si="27"/>
        <v>192</v>
      </c>
      <c r="AK182" t="s">
        <v>119</v>
      </c>
      <c r="AL182" s="13" t="s">
        <v>2170</v>
      </c>
    </row>
    <row r="183" spans="1:38" x14ac:dyDescent="0.25">
      <c r="A183" t="s">
        <v>149</v>
      </c>
      <c r="B183" t="s">
        <v>2182</v>
      </c>
      <c r="C183" s="252" t="str">
        <f>VLOOKUP(B183,Plantings!$A$2:$C$285,2,FALSE)</f>
        <v>HC_off_2</v>
      </c>
      <c r="D183" s="252" t="str">
        <f>VLOOKUP(B183,Plantings!$A$2:$C$285,3,FALSE)</f>
        <v>single</v>
      </c>
      <c r="E183" s="131">
        <v>2025</v>
      </c>
      <c r="G183" s="1" t="s">
        <v>412</v>
      </c>
      <c r="H183" s="1" t="s">
        <v>37</v>
      </c>
      <c r="I183" s="1" t="s">
        <v>405</v>
      </c>
      <c r="J183" s="1" t="s">
        <v>165</v>
      </c>
      <c r="K183" s="1" t="s">
        <v>165</v>
      </c>
      <c r="L183" s="1"/>
      <c r="M183" s="131"/>
      <c r="N183" s="1"/>
      <c r="O183" s="1"/>
      <c r="R183" s="1" t="s">
        <v>22</v>
      </c>
      <c r="S183" t="s">
        <v>22</v>
      </c>
      <c r="T183" s="134">
        <v>45848</v>
      </c>
      <c r="U183" s="4"/>
      <c r="V183" s="4"/>
      <c r="W183" s="252" t="str">
        <f>VLOOKUP(B183,Plantings!$A$2:$E$285,4,FALSE)</f>
        <v>point</v>
      </c>
      <c r="X183" s="251" t="str">
        <f>VLOOKUP(B183,Plantings!$A$2:$E$285,5,FALSE)</f>
        <v>retain</v>
      </c>
      <c r="Y183" s="7" t="s">
        <v>148</v>
      </c>
      <c r="Z183" s="20">
        <v>-1.5</v>
      </c>
      <c r="AA183" s="5" t="s">
        <v>169</v>
      </c>
      <c r="AB183">
        <v>32</v>
      </c>
      <c r="AC183">
        <v>0.5</v>
      </c>
      <c r="AD183">
        <f t="shared" si="30"/>
        <v>16</v>
      </c>
      <c r="AE183">
        <v>16</v>
      </c>
      <c r="AF183" s="109">
        <f t="shared" si="29"/>
        <v>0.8</v>
      </c>
      <c r="AG183" s="38">
        <v>32</v>
      </c>
      <c r="AH183">
        <v>700</v>
      </c>
      <c r="AI183" s="5">
        <f t="shared" si="26"/>
        <v>43.75</v>
      </c>
      <c r="AJ183" s="5">
        <f t="shared" si="27"/>
        <v>43.75</v>
      </c>
      <c r="AK183" t="s">
        <v>119</v>
      </c>
      <c r="AL183" s="13" t="s">
        <v>2183</v>
      </c>
    </row>
    <row r="184" spans="1:38" x14ac:dyDescent="0.25">
      <c r="A184" t="s">
        <v>2008</v>
      </c>
      <c r="B184" t="s">
        <v>2010</v>
      </c>
      <c r="C184" s="252" t="str">
        <f>VLOOKUP(B184,Plantings!$A$2:$C$285,2,FALSE)</f>
        <v>KYP_dog1</v>
      </c>
      <c r="D184" s="252" t="str">
        <f>VLOOKUP(B184,Plantings!$A$2:$C$285,3,FALSE)</f>
        <v>single</v>
      </c>
      <c r="E184" s="131">
        <v>2020</v>
      </c>
      <c r="G184" t="s">
        <v>412</v>
      </c>
      <c r="H184" t="s">
        <v>71</v>
      </c>
      <c r="I184" t="s">
        <v>405</v>
      </c>
      <c r="J184" s="1" t="s">
        <v>72</v>
      </c>
      <c r="K184" s="1" t="s">
        <v>69</v>
      </c>
      <c r="L184" s="1" t="s">
        <v>69</v>
      </c>
      <c r="M184" s="131" t="s">
        <v>1119</v>
      </c>
      <c r="N184" s="1" t="s">
        <v>67</v>
      </c>
      <c r="O184" s="1" t="s">
        <v>49</v>
      </c>
      <c r="R184" s="1" t="s">
        <v>22</v>
      </c>
      <c r="S184" t="s">
        <v>22</v>
      </c>
      <c r="T184" s="134">
        <v>44012</v>
      </c>
      <c r="U184" s="4">
        <v>47.177030000000002</v>
      </c>
      <c r="V184" s="4">
        <v>-122.7462833</v>
      </c>
      <c r="W184" s="252" t="str">
        <f>VLOOKUP(B184,Plantings!$A$2:$E$285,4,FALSE)</f>
        <v>point</v>
      </c>
      <c r="X184" s="251" t="str">
        <f>VLOOKUP(B184,Plantings!$A$2:$E$285,5,FALSE)</f>
        <v>retain</v>
      </c>
      <c r="Y184" s="7" t="s">
        <v>148</v>
      </c>
      <c r="Z184" s="20">
        <v>-1.7</v>
      </c>
      <c r="AA184" s="5" t="s">
        <v>169</v>
      </c>
      <c r="AB184">
        <v>2.5</v>
      </c>
      <c r="AC184">
        <v>2.5</v>
      </c>
      <c r="AD184">
        <f t="shared" si="30"/>
        <v>6.25</v>
      </c>
      <c r="AE184">
        <f>AG184*0.25</f>
        <v>4.75</v>
      </c>
      <c r="AF184" s="109">
        <v>0.15</v>
      </c>
      <c r="AG184">
        <v>19</v>
      </c>
      <c r="AH184">
        <v>475</v>
      </c>
      <c r="AI184" s="5">
        <f t="shared" si="26"/>
        <v>76</v>
      </c>
      <c r="AJ184" s="5">
        <f t="shared" si="27"/>
        <v>100</v>
      </c>
      <c r="AK184" t="s">
        <v>9</v>
      </c>
      <c r="AL184" s="13" t="s">
        <v>1990</v>
      </c>
    </row>
    <row r="185" spans="1:38" x14ac:dyDescent="0.25">
      <c r="A185" t="s">
        <v>23</v>
      </c>
      <c r="B185" t="s">
        <v>721</v>
      </c>
      <c r="C185" s="252" t="str">
        <f>VLOOKUP(B185,Plantings!$A$2:$C$285,2,FALSE)</f>
        <v>LBT_east</v>
      </c>
      <c r="D185" s="252" t="str">
        <f>VLOOKUP(B185,Plantings!$A$2:$C$285,3,FALSE)</f>
        <v>single</v>
      </c>
      <c r="E185">
        <v>2013</v>
      </c>
      <c r="F185" t="s">
        <v>459</v>
      </c>
      <c r="G185" t="s">
        <v>412</v>
      </c>
      <c r="H185" t="s">
        <v>23</v>
      </c>
      <c r="I185" t="s">
        <v>405</v>
      </c>
      <c r="J185" t="s">
        <v>10</v>
      </c>
      <c r="K185" t="s">
        <v>176</v>
      </c>
      <c r="L185" t="s">
        <v>11</v>
      </c>
      <c r="M185" t="s">
        <v>177</v>
      </c>
      <c r="N185" t="s">
        <v>137</v>
      </c>
      <c r="O185" t="s">
        <v>49</v>
      </c>
      <c r="P185" t="s">
        <v>61</v>
      </c>
      <c r="Q185" t="s">
        <v>76</v>
      </c>
      <c r="R185" t="s">
        <v>22</v>
      </c>
      <c r="S185" t="s">
        <v>22</v>
      </c>
      <c r="T185" s="134">
        <v>41432</v>
      </c>
      <c r="U185" s="4">
        <v>47.703783333333334</v>
      </c>
      <c r="V185" s="4">
        <v>-122.60514999999999</v>
      </c>
      <c r="W185" s="252" t="str">
        <f>VLOOKUP(B185,Plantings!$A$2:$E$285,4,FALSE)</f>
        <v>point</v>
      </c>
      <c r="X185" s="251" t="str">
        <f>VLOOKUP(B185,Plantings!$A$2:$E$285,5,FALSE)</f>
        <v>retain</v>
      </c>
      <c r="Y185" s="7" t="s">
        <v>148</v>
      </c>
      <c r="Z185" s="20">
        <v>-1.524</v>
      </c>
      <c r="AA185" s="5" t="s">
        <v>168</v>
      </c>
      <c r="AB185">
        <v>6</v>
      </c>
      <c r="AC185">
        <v>6</v>
      </c>
      <c r="AD185">
        <f t="shared" si="30"/>
        <v>36</v>
      </c>
      <c r="AE185">
        <v>36</v>
      </c>
      <c r="AF185" s="109">
        <f t="shared" ref="AF185:AF190" si="31">IF(AA185="staple",AG185*0.005,IF(AA185="rebar",AG185*0.025,IF(AA185="burlap",AG185*0.0625,IF(AA185="washer",AG185*0.0025,IF(AA185="pucks",AG185*0.00785,IF(AA185="turf",AG185*0.01,IF(AA185="","")))))))</f>
        <v>0.9</v>
      </c>
      <c r="AG185" s="38">
        <f>AH185/4</f>
        <v>180</v>
      </c>
      <c r="AH185" s="38">
        <v>720</v>
      </c>
      <c r="AI185" s="5">
        <f t="shared" si="26"/>
        <v>20</v>
      </c>
      <c r="AJ185" s="5">
        <f t="shared" si="27"/>
        <v>20</v>
      </c>
      <c r="AK185" t="s">
        <v>562</v>
      </c>
    </row>
    <row r="186" spans="1:38" x14ac:dyDescent="0.25">
      <c r="A186" t="s">
        <v>23</v>
      </c>
      <c r="B186" t="s">
        <v>722</v>
      </c>
      <c r="C186" s="252" t="str">
        <f>VLOOKUP(B186,Plantings!$A$2:$C$285,2,FALSE)</f>
        <v>LBT_west</v>
      </c>
      <c r="D186" s="252" t="str">
        <f>VLOOKUP(B186,Plantings!$A$2:$C$285,3,FALSE)</f>
        <v>single</v>
      </c>
      <c r="E186">
        <v>2013</v>
      </c>
      <c r="F186" t="s">
        <v>459</v>
      </c>
      <c r="G186" t="s">
        <v>412</v>
      </c>
      <c r="H186" t="s">
        <v>23</v>
      </c>
      <c r="I186" t="s">
        <v>405</v>
      </c>
      <c r="J186" t="s">
        <v>10</v>
      </c>
      <c r="K186" t="s">
        <v>176</v>
      </c>
      <c r="L186" t="s">
        <v>11</v>
      </c>
      <c r="M186" t="s">
        <v>177</v>
      </c>
      <c r="N186" t="s">
        <v>137</v>
      </c>
      <c r="O186" t="s">
        <v>49</v>
      </c>
      <c r="P186" t="s">
        <v>61</v>
      </c>
      <c r="Q186" t="s">
        <v>76</v>
      </c>
      <c r="R186" t="s">
        <v>22</v>
      </c>
      <c r="S186" t="s">
        <v>22</v>
      </c>
      <c r="T186" s="134">
        <v>41432</v>
      </c>
      <c r="U186" s="4">
        <v>47.71</v>
      </c>
      <c r="V186" s="4">
        <v>-122.61401666666667</v>
      </c>
      <c r="W186" s="252" t="str">
        <f>VLOOKUP(B186,Plantings!$A$2:$E$285,4,FALSE)</f>
        <v>point</v>
      </c>
      <c r="X186" s="251" t="str">
        <f>VLOOKUP(B186,Plantings!$A$2:$E$285,5,FALSE)</f>
        <v>retain</v>
      </c>
      <c r="Y186" s="7" t="s">
        <v>148</v>
      </c>
      <c r="Z186" s="20">
        <v>-1.6763999999999999</v>
      </c>
      <c r="AA186" s="5" t="s">
        <v>168</v>
      </c>
      <c r="AB186">
        <v>5</v>
      </c>
      <c r="AC186">
        <v>6</v>
      </c>
      <c r="AD186">
        <f t="shared" si="30"/>
        <v>30</v>
      </c>
      <c r="AE186">
        <v>30</v>
      </c>
      <c r="AF186" s="109">
        <f t="shared" si="31"/>
        <v>0.75</v>
      </c>
      <c r="AG186" s="38">
        <f>AH186/4</f>
        <v>150</v>
      </c>
      <c r="AH186" s="38">
        <v>600</v>
      </c>
      <c r="AI186" s="5">
        <f t="shared" si="26"/>
        <v>20</v>
      </c>
      <c r="AJ186" s="5">
        <f t="shared" si="27"/>
        <v>20</v>
      </c>
      <c r="AK186" t="s">
        <v>562</v>
      </c>
    </row>
    <row r="187" spans="1:38" x14ac:dyDescent="0.25">
      <c r="A187" t="s">
        <v>151</v>
      </c>
      <c r="B187" t="s">
        <v>152</v>
      </c>
      <c r="C187" s="252" t="str">
        <f>VLOOKUP(B187,Plantings!$A$2:$C$285,2,FALSE)</f>
        <v>MCD_south_L1</v>
      </c>
      <c r="D187" s="252" t="str">
        <f>VLOOKUP(B187,Plantings!$A$2:$C$285,3,FALSE)</f>
        <v>single</v>
      </c>
      <c r="E187">
        <v>2017</v>
      </c>
      <c r="F187" t="s">
        <v>459</v>
      </c>
      <c r="G187" s="1" t="s">
        <v>493</v>
      </c>
      <c r="H187" t="s">
        <v>71</v>
      </c>
      <c r="I187" t="s">
        <v>405</v>
      </c>
      <c r="J187" t="s">
        <v>59</v>
      </c>
      <c r="K187" t="s">
        <v>176</v>
      </c>
      <c r="L187" t="s">
        <v>11</v>
      </c>
      <c r="M187" t="s">
        <v>179</v>
      </c>
      <c r="N187" t="s">
        <v>77</v>
      </c>
      <c r="O187" t="s">
        <v>52</v>
      </c>
      <c r="P187" t="s">
        <v>60</v>
      </c>
      <c r="Q187" t="s">
        <v>1105</v>
      </c>
      <c r="R187" t="s">
        <v>22</v>
      </c>
      <c r="S187" t="s">
        <v>22</v>
      </c>
      <c r="T187" s="134">
        <v>42859</v>
      </c>
      <c r="U187" s="16">
        <v>47.198616700000002</v>
      </c>
      <c r="V187" s="16">
        <v>-122.7392667</v>
      </c>
      <c r="W187" s="252" t="str">
        <f>VLOOKUP(B187,Plantings!$A$2:$E$285,4,FALSE)</f>
        <v>line</v>
      </c>
      <c r="X187" s="251" t="str">
        <f>VLOOKUP(B187,Plantings!$A$2:$E$285,5,FALSE)</f>
        <v>retain</v>
      </c>
      <c r="Y187" s="7" t="s">
        <v>148</v>
      </c>
      <c r="Z187">
        <v>-1.6</v>
      </c>
      <c r="AA187" t="s">
        <v>1104</v>
      </c>
      <c r="AB187">
        <v>5</v>
      </c>
      <c r="AC187">
        <v>5</v>
      </c>
      <c r="AD187">
        <f t="shared" si="30"/>
        <v>25</v>
      </c>
      <c r="AE187">
        <v>39</v>
      </c>
      <c r="AF187" s="109">
        <f t="shared" si="31"/>
        <v>0.99</v>
      </c>
      <c r="AG187" s="38">
        <v>99</v>
      </c>
      <c r="AH187" s="135">
        <v>998</v>
      </c>
      <c r="AI187" s="5">
        <f t="shared" ref="AI187:AI218" si="32">IFERROR(AH187/AD187, "")</f>
        <v>39.92</v>
      </c>
      <c r="AJ187" s="5">
        <f t="shared" ref="AJ187:AJ218" si="33">IFERROR(AH187/AE187, "")</f>
        <v>25.589743589743591</v>
      </c>
      <c r="AK187" t="s">
        <v>54</v>
      </c>
      <c r="AL187" s="160" t="s">
        <v>1211</v>
      </c>
    </row>
    <row r="188" spans="1:38" x14ac:dyDescent="0.25">
      <c r="A188" t="s">
        <v>151</v>
      </c>
      <c r="B188" t="s">
        <v>153</v>
      </c>
      <c r="C188" s="252" t="str">
        <f>VLOOKUP(B188,Plantings!$A$2:$C$285,2,FALSE)</f>
        <v>MCD_south_L1</v>
      </c>
      <c r="D188" s="252" t="str">
        <f>VLOOKUP(B188,Plantings!$A$2:$C$285,3,FALSE)</f>
        <v>single</v>
      </c>
      <c r="E188">
        <v>2017</v>
      </c>
      <c r="F188" t="s">
        <v>459</v>
      </c>
      <c r="G188" s="1" t="s">
        <v>493</v>
      </c>
      <c r="H188" t="s">
        <v>71</v>
      </c>
      <c r="I188" t="s">
        <v>405</v>
      </c>
      <c r="J188" t="s">
        <v>59</v>
      </c>
      <c r="K188" t="s">
        <v>176</v>
      </c>
      <c r="L188" t="s">
        <v>11</v>
      </c>
      <c r="M188" t="s">
        <v>179</v>
      </c>
      <c r="N188" t="s">
        <v>77</v>
      </c>
      <c r="O188" t="s">
        <v>52</v>
      </c>
      <c r="P188" t="s">
        <v>60</v>
      </c>
      <c r="Q188" t="s">
        <v>1105</v>
      </c>
      <c r="R188" t="s">
        <v>22</v>
      </c>
      <c r="S188" s="25" t="s">
        <v>520</v>
      </c>
      <c r="T188" s="134">
        <v>42859</v>
      </c>
      <c r="U188" s="16">
        <v>47.198683299999999</v>
      </c>
      <c r="V188" s="16">
        <v>-122.7392333</v>
      </c>
      <c r="W188" s="252" t="str">
        <f>VLOOKUP(B188,Plantings!$A$2:$E$285,4,FALSE)</f>
        <v>line</v>
      </c>
      <c r="X188" s="251" t="str">
        <f>VLOOKUP(B188,Plantings!$A$2:$E$285,5,FALSE)</f>
        <v>retain</v>
      </c>
      <c r="Y188" s="7" t="s">
        <v>148</v>
      </c>
      <c r="AF188" s="109" t="str">
        <f t="shared" si="31"/>
        <v/>
      </c>
      <c r="AG188" s="38"/>
      <c r="AH188" s="135"/>
      <c r="AI188" s="5" t="str">
        <f t="shared" si="32"/>
        <v/>
      </c>
      <c r="AJ188" s="5" t="str">
        <f t="shared" si="33"/>
        <v/>
      </c>
      <c r="AL188" s="160"/>
    </row>
    <row r="189" spans="1:38" x14ac:dyDescent="0.25">
      <c r="A189" t="s">
        <v>151</v>
      </c>
      <c r="B189" t="s">
        <v>154</v>
      </c>
      <c r="C189" s="252" t="str">
        <f>VLOOKUP(B189,Plantings!$A$2:$C$285,2,FALSE)</f>
        <v>MCD_north_L1</v>
      </c>
      <c r="D189" s="252" t="str">
        <f>VLOOKUP(B189,Plantings!$A$2:$C$285,3,FALSE)</f>
        <v>single</v>
      </c>
      <c r="E189">
        <v>2017</v>
      </c>
      <c r="F189" t="s">
        <v>459</v>
      </c>
      <c r="G189" s="1" t="s">
        <v>493</v>
      </c>
      <c r="H189" t="s">
        <v>71</v>
      </c>
      <c r="I189" t="s">
        <v>405</v>
      </c>
      <c r="J189" t="s">
        <v>59</v>
      </c>
      <c r="K189" t="s">
        <v>176</v>
      </c>
      <c r="L189" t="s">
        <v>11</v>
      </c>
      <c r="M189" t="s">
        <v>179</v>
      </c>
      <c r="N189" t="s">
        <v>77</v>
      </c>
      <c r="O189" t="s">
        <v>52</v>
      </c>
      <c r="P189" t="s">
        <v>60</v>
      </c>
      <c r="Q189" t="s">
        <v>1105</v>
      </c>
      <c r="R189" t="s">
        <v>22</v>
      </c>
      <c r="S189" t="s">
        <v>22</v>
      </c>
      <c r="T189" s="134">
        <v>42859</v>
      </c>
      <c r="U189" s="16">
        <v>47.198983300000002</v>
      </c>
      <c r="V189" s="16">
        <v>-122.7391667</v>
      </c>
      <c r="W189" s="252" t="str">
        <f>VLOOKUP(B189,Plantings!$A$2:$E$285,4,FALSE)</f>
        <v>line</v>
      </c>
      <c r="X189" s="251" t="str">
        <f>VLOOKUP(B189,Plantings!$A$2:$E$285,5,FALSE)</f>
        <v>retain</v>
      </c>
      <c r="Y189" s="7" t="s">
        <v>148</v>
      </c>
      <c r="Z189">
        <v>-1.6</v>
      </c>
      <c r="AA189" t="s">
        <v>1104</v>
      </c>
      <c r="AB189">
        <v>5</v>
      </c>
      <c r="AC189">
        <v>5</v>
      </c>
      <c r="AD189">
        <f>AB189*AC189</f>
        <v>25</v>
      </c>
      <c r="AE189">
        <v>39</v>
      </c>
      <c r="AF189" s="109">
        <f t="shared" si="31"/>
        <v>0.99</v>
      </c>
      <c r="AG189" s="38">
        <v>99</v>
      </c>
      <c r="AH189" s="135">
        <v>994</v>
      </c>
      <c r="AI189" s="5">
        <f t="shared" si="32"/>
        <v>39.76</v>
      </c>
      <c r="AJ189" s="5">
        <f t="shared" si="33"/>
        <v>25.487179487179485</v>
      </c>
      <c r="AK189" t="s">
        <v>54</v>
      </c>
      <c r="AL189" s="160" t="s">
        <v>1212</v>
      </c>
    </row>
    <row r="190" spans="1:38" x14ac:dyDescent="0.25">
      <c r="A190" t="s">
        <v>151</v>
      </c>
      <c r="B190" t="s">
        <v>155</v>
      </c>
      <c r="C190" s="252" t="str">
        <f>VLOOKUP(B190,Plantings!$A$2:$C$285,2,FALSE)</f>
        <v>MCD_north_L1</v>
      </c>
      <c r="D190" s="252" t="str">
        <f>VLOOKUP(B190,Plantings!$A$2:$C$285,3,FALSE)</f>
        <v>single</v>
      </c>
      <c r="E190">
        <v>2017</v>
      </c>
      <c r="F190" t="s">
        <v>459</v>
      </c>
      <c r="G190" s="1" t="s">
        <v>493</v>
      </c>
      <c r="H190" t="s">
        <v>71</v>
      </c>
      <c r="I190" t="s">
        <v>405</v>
      </c>
      <c r="J190" t="s">
        <v>59</v>
      </c>
      <c r="K190" t="s">
        <v>176</v>
      </c>
      <c r="L190" t="s">
        <v>11</v>
      </c>
      <c r="M190" t="s">
        <v>179</v>
      </c>
      <c r="N190" t="s">
        <v>77</v>
      </c>
      <c r="O190" t="s">
        <v>52</v>
      </c>
      <c r="P190" t="s">
        <v>60</v>
      </c>
      <c r="Q190" t="s">
        <v>1105</v>
      </c>
      <c r="R190" t="s">
        <v>22</v>
      </c>
      <c r="S190" s="25" t="s">
        <v>520</v>
      </c>
      <c r="T190" s="134">
        <v>42859</v>
      </c>
      <c r="U190" s="16">
        <v>47.199033300000004</v>
      </c>
      <c r="V190" s="16">
        <v>-122.73913330000001</v>
      </c>
      <c r="W190" s="252" t="str">
        <f>VLOOKUP(B190,Plantings!$A$2:$E$285,4,FALSE)</f>
        <v>line</v>
      </c>
      <c r="X190" s="251" t="str">
        <f>VLOOKUP(B190,Plantings!$A$2:$E$285,5,FALSE)</f>
        <v>retain</v>
      </c>
      <c r="Y190" s="7" t="s">
        <v>148</v>
      </c>
      <c r="AF190" s="109" t="str">
        <f t="shared" si="31"/>
        <v/>
      </c>
      <c r="AG190" s="38"/>
      <c r="AH190" s="38"/>
      <c r="AI190" s="5" t="str">
        <f t="shared" si="32"/>
        <v/>
      </c>
      <c r="AJ190" s="5" t="str">
        <f t="shared" si="33"/>
        <v/>
      </c>
      <c r="AL190" s="160"/>
    </row>
    <row r="191" spans="1:38" x14ac:dyDescent="0.25">
      <c r="A191" t="s">
        <v>151</v>
      </c>
      <c r="B191" t="s">
        <v>2009</v>
      </c>
      <c r="C191" s="252" t="str">
        <f>VLOOKUP(B191,Plantings!$A$2:$C$285,2,FALSE)</f>
        <v>MCD_1</v>
      </c>
      <c r="D191" s="252" t="str">
        <f>VLOOKUP(B191,Plantings!$A$2:$C$285,3,FALSE)</f>
        <v>single</v>
      </c>
      <c r="E191" s="131">
        <v>2020</v>
      </c>
      <c r="F191" t="s">
        <v>459</v>
      </c>
      <c r="G191" t="s">
        <v>412</v>
      </c>
      <c r="H191" t="s">
        <v>71</v>
      </c>
      <c r="I191" t="s">
        <v>405</v>
      </c>
      <c r="J191" s="1" t="s">
        <v>72</v>
      </c>
      <c r="K191" s="1" t="s">
        <v>69</v>
      </c>
      <c r="L191" s="1" t="s">
        <v>69</v>
      </c>
      <c r="M191" s="131" t="s">
        <v>1119</v>
      </c>
      <c r="N191" s="1" t="s">
        <v>67</v>
      </c>
      <c r="O191" s="1" t="s">
        <v>49</v>
      </c>
      <c r="R191" s="1" t="s">
        <v>22</v>
      </c>
      <c r="S191" t="s">
        <v>22</v>
      </c>
      <c r="T191" s="134">
        <v>44012</v>
      </c>
      <c r="U191" s="4">
        <v>47.198129999999999</v>
      </c>
      <c r="V191" s="4">
        <v>-122.7396</v>
      </c>
      <c r="W191" s="252" t="str">
        <f>VLOOKUP(B191,Plantings!$A$2:$E$285,4,FALSE)</f>
        <v>point</v>
      </c>
      <c r="X191" s="251" t="str">
        <f>VLOOKUP(B191,Plantings!$A$2:$E$285,5,FALSE)</f>
        <v>retain</v>
      </c>
      <c r="Y191" s="7" t="s">
        <v>148</v>
      </c>
      <c r="Z191" s="20">
        <v>-1.7</v>
      </c>
      <c r="AA191" s="5" t="s">
        <v>169</v>
      </c>
      <c r="AB191">
        <v>2.5</v>
      </c>
      <c r="AC191">
        <v>2.5</v>
      </c>
      <c r="AD191">
        <f t="shared" ref="AD191:AD201" si="34">AB191*AC191</f>
        <v>6.25</v>
      </c>
      <c r="AE191">
        <f>AG191*0.25</f>
        <v>5</v>
      </c>
      <c r="AF191" s="109">
        <v>0.15</v>
      </c>
      <c r="AG191">
        <v>20</v>
      </c>
      <c r="AH191">
        <v>500</v>
      </c>
      <c r="AI191" s="5">
        <f t="shared" si="32"/>
        <v>80</v>
      </c>
      <c r="AJ191" s="5">
        <f t="shared" si="33"/>
        <v>100</v>
      </c>
      <c r="AK191" t="s">
        <v>9</v>
      </c>
      <c r="AL191" s="13" t="s">
        <v>1989</v>
      </c>
    </row>
    <row r="192" spans="1:38" x14ac:dyDescent="0.25">
      <c r="A192" t="s">
        <v>33</v>
      </c>
      <c r="B192" t="s">
        <v>227</v>
      </c>
      <c r="C192" s="252" t="str">
        <f>VLOOKUP(B192,Plantings!$A$2:$C$285,2,FALSE)</f>
        <v>MCN_north</v>
      </c>
      <c r="D192" s="252" t="str">
        <f>VLOOKUP(B192,Plantings!$A$2:$C$285,3,FALSE)</f>
        <v>single</v>
      </c>
      <c r="E192">
        <v>2015</v>
      </c>
      <c r="G192" t="s">
        <v>412</v>
      </c>
      <c r="H192" t="s">
        <v>68</v>
      </c>
      <c r="I192" t="s">
        <v>405</v>
      </c>
      <c r="J192" t="s">
        <v>5</v>
      </c>
      <c r="K192" t="s">
        <v>165</v>
      </c>
      <c r="L192" t="s">
        <v>230</v>
      </c>
      <c r="O192" t="s">
        <v>49</v>
      </c>
      <c r="P192" t="s">
        <v>62</v>
      </c>
      <c r="Q192" t="s">
        <v>75</v>
      </c>
      <c r="R192" t="s">
        <v>22</v>
      </c>
      <c r="S192" t="s">
        <v>22</v>
      </c>
      <c r="T192" s="27">
        <v>42061</v>
      </c>
      <c r="U192" s="4">
        <v>47.224733333333333</v>
      </c>
      <c r="V192" s="4">
        <v>-122.67310000000001</v>
      </c>
      <c r="W192" s="252" t="str">
        <f>VLOOKUP(B192,Plantings!$A$2:$E$285,4,FALSE)</f>
        <v>point</v>
      </c>
      <c r="X192" s="251" t="str">
        <f>VLOOKUP(B192,Plantings!$A$2:$E$285,5,FALSE)</f>
        <v>retain</v>
      </c>
      <c r="Y192" s="7" t="s">
        <v>148</v>
      </c>
      <c r="Z192" s="20">
        <v>-0.76200000000000001</v>
      </c>
      <c r="AA192" s="5" t="s">
        <v>168</v>
      </c>
      <c r="AB192">
        <v>5</v>
      </c>
      <c r="AC192">
        <v>5</v>
      </c>
      <c r="AD192">
        <f t="shared" si="34"/>
        <v>25</v>
      </c>
      <c r="AE192">
        <v>25</v>
      </c>
      <c r="AF192" s="109">
        <f>IF(AA192="staple",AG192*0.005,IF(AA192="rebar",AG192*0.025,IF(AA192="burlap",AG192*0.0625,IF(AA192="washer",AG192*0.0025,IF(AA192="pucks",AG192*0.00785,IF(AA192="turf",AG192*0.01,IF(AA192="","")))))))</f>
        <v>0.625</v>
      </c>
      <c r="AG192" s="38">
        <f>AH192/4</f>
        <v>125</v>
      </c>
      <c r="AH192" s="38">
        <v>500</v>
      </c>
      <c r="AI192" s="5">
        <f t="shared" si="32"/>
        <v>20</v>
      </c>
      <c r="AJ192" s="5">
        <f t="shared" si="33"/>
        <v>20</v>
      </c>
      <c r="AK192" t="s">
        <v>4</v>
      </c>
    </row>
    <row r="193" spans="1:38" x14ac:dyDescent="0.25">
      <c r="A193" t="s">
        <v>33</v>
      </c>
      <c r="B193" t="s">
        <v>604</v>
      </c>
      <c r="C193" s="252" t="str">
        <f>VLOOKUP(B193,Plantings!$A$2:$C$285,2,FALSE)</f>
        <v>MCN_south_1</v>
      </c>
      <c r="D193" s="252" t="str">
        <f>VLOOKUP(B193,Plantings!$A$2:$C$285,3,FALSE)</f>
        <v>single</v>
      </c>
      <c r="E193">
        <v>2016</v>
      </c>
      <c r="G193" s="1" t="s">
        <v>412</v>
      </c>
      <c r="H193" s="1" t="s">
        <v>68</v>
      </c>
      <c r="I193" t="s">
        <v>405</v>
      </c>
      <c r="J193" s="1" t="s">
        <v>72</v>
      </c>
      <c r="K193" s="1" t="s">
        <v>58</v>
      </c>
      <c r="L193" s="1" t="s">
        <v>58</v>
      </c>
      <c r="M193" s="1" t="s">
        <v>64</v>
      </c>
      <c r="N193" s="1"/>
      <c r="O193" s="1" t="s">
        <v>49</v>
      </c>
      <c r="P193" s="1" t="s">
        <v>1121</v>
      </c>
      <c r="R193" s="1" t="s">
        <v>22</v>
      </c>
      <c r="S193" s="1" t="s">
        <v>22</v>
      </c>
      <c r="T193" s="27">
        <v>42634</v>
      </c>
      <c r="U193" s="32">
        <v>47.191533333333332</v>
      </c>
      <c r="V193" s="32">
        <v>-122.67189999999999</v>
      </c>
      <c r="W193" s="252" t="str">
        <f>VLOOKUP(B193,Plantings!$A$2:$E$285,4,FALSE)</f>
        <v>point</v>
      </c>
      <c r="X193" s="251" t="str">
        <f>VLOOKUP(B193,Plantings!$A$2:$E$285,5,FALSE)</f>
        <v>retain</v>
      </c>
      <c r="Y193" s="7" t="s">
        <v>148</v>
      </c>
      <c r="Z193" s="20">
        <v>-1.5849599999999999</v>
      </c>
      <c r="AA193" t="s">
        <v>169</v>
      </c>
      <c r="AB193">
        <v>2.5</v>
      </c>
      <c r="AC193">
        <v>2.5</v>
      </c>
      <c r="AD193">
        <f t="shared" si="34"/>
        <v>6.25</v>
      </c>
      <c r="AE193">
        <f>AG193*0.25</f>
        <v>5</v>
      </c>
      <c r="AF193" s="109">
        <v>0.15</v>
      </c>
      <c r="AG193" s="38">
        <v>20</v>
      </c>
      <c r="AH193" s="38">
        <v>500</v>
      </c>
      <c r="AI193" s="5">
        <f t="shared" si="32"/>
        <v>80</v>
      </c>
      <c r="AJ193" s="5">
        <f t="shared" si="33"/>
        <v>100</v>
      </c>
      <c r="AK193" t="s">
        <v>361</v>
      </c>
    </row>
    <row r="194" spans="1:38" x14ac:dyDescent="0.25">
      <c r="A194" t="s">
        <v>33</v>
      </c>
      <c r="B194" t="s">
        <v>605</v>
      </c>
      <c r="C194" s="252" t="str">
        <f>VLOOKUP(B194,Plantings!$A$2:$C$285,2,FALSE)</f>
        <v>MCN_south_2</v>
      </c>
      <c r="D194" s="252" t="str">
        <f>VLOOKUP(B194,Plantings!$A$2:$C$285,3,FALSE)</f>
        <v>single</v>
      </c>
      <c r="E194">
        <v>2016</v>
      </c>
      <c r="G194" s="1" t="s">
        <v>412</v>
      </c>
      <c r="H194" s="1" t="s">
        <v>68</v>
      </c>
      <c r="I194" t="s">
        <v>405</v>
      </c>
      <c r="J194" s="1" t="s">
        <v>72</v>
      </c>
      <c r="K194" s="1" t="s">
        <v>58</v>
      </c>
      <c r="L194" s="1" t="s">
        <v>58</v>
      </c>
      <c r="M194" s="1" t="s">
        <v>64</v>
      </c>
      <c r="N194" s="1"/>
      <c r="O194" s="1" t="s">
        <v>49</v>
      </c>
      <c r="P194" s="1" t="s">
        <v>1121</v>
      </c>
      <c r="R194" s="1" t="s">
        <v>22</v>
      </c>
      <c r="S194" t="s">
        <v>22</v>
      </c>
      <c r="T194" s="27">
        <v>42634</v>
      </c>
      <c r="U194" s="32">
        <v>47.191600000000001</v>
      </c>
      <c r="V194" s="32">
        <v>-122.67108333333333</v>
      </c>
      <c r="W194" s="252" t="str">
        <f>VLOOKUP(B194,Plantings!$A$2:$E$285,4,FALSE)</f>
        <v>point</v>
      </c>
      <c r="X194" s="251" t="str">
        <f>VLOOKUP(B194,Plantings!$A$2:$E$285,5,FALSE)</f>
        <v>retain</v>
      </c>
      <c r="Y194" s="7" t="s">
        <v>148</v>
      </c>
      <c r="Z194" s="20">
        <v>-1.7678400000000001</v>
      </c>
      <c r="AA194" t="s">
        <v>169</v>
      </c>
      <c r="AB194">
        <v>2.5</v>
      </c>
      <c r="AC194">
        <v>2.5</v>
      </c>
      <c r="AD194">
        <f t="shared" si="34"/>
        <v>6.25</v>
      </c>
      <c r="AE194">
        <f>AG194*0.25</f>
        <v>5</v>
      </c>
      <c r="AF194" s="109">
        <f t="shared" ref="AF194:AF205" si="35">IF(AA194="staple",AG194*0.005,IF(AA194="rebar",AG194*0.025,IF(AA194="burlap",AG194*0.0625,IF(AA194="washer",AG194*0.0025,IF(AA194="pucks",AG194*0.00785,IF(AA194="turf",AG194*0.01,IF(AA194="","")))))))</f>
        <v>0.5</v>
      </c>
      <c r="AG194" s="38">
        <v>20</v>
      </c>
      <c r="AH194" s="38">
        <v>500</v>
      </c>
      <c r="AI194" s="5">
        <f t="shared" si="32"/>
        <v>80</v>
      </c>
      <c r="AJ194" s="5">
        <f t="shared" si="33"/>
        <v>100</v>
      </c>
      <c r="AK194" t="s">
        <v>361</v>
      </c>
    </row>
    <row r="195" spans="1:38" x14ac:dyDescent="0.25">
      <c r="A195" t="s">
        <v>33</v>
      </c>
      <c r="B195" t="s">
        <v>606</v>
      </c>
      <c r="C195" s="252" t="str">
        <f>VLOOKUP(B195,Plantings!$A$2:$C$285,2,FALSE)</f>
        <v>MCN_south_3</v>
      </c>
      <c r="D195" s="252" t="str">
        <f>VLOOKUP(B195,Plantings!$A$2:$C$285,3,FALSE)</f>
        <v>single</v>
      </c>
      <c r="E195">
        <v>2016</v>
      </c>
      <c r="G195" s="1" t="s">
        <v>412</v>
      </c>
      <c r="H195" s="1" t="s">
        <v>68</v>
      </c>
      <c r="I195" t="s">
        <v>405</v>
      </c>
      <c r="J195" s="1" t="s">
        <v>72</v>
      </c>
      <c r="K195" s="1" t="s">
        <v>58</v>
      </c>
      <c r="L195" s="1" t="s">
        <v>58</v>
      </c>
      <c r="M195" s="1" t="s">
        <v>64</v>
      </c>
      <c r="N195" s="1"/>
      <c r="O195" s="1" t="s">
        <v>49</v>
      </c>
      <c r="P195" s="1" t="s">
        <v>1121</v>
      </c>
      <c r="R195" s="1" t="s">
        <v>22</v>
      </c>
      <c r="S195" t="s">
        <v>22</v>
      </c>
      <c r="T195" s="27">
        <v>42634</v>
      </c>
      <c r="U195" s="32">
        <v>47.192450000000001</v>
      </c>
      <c r="V195" s="32">
        <v>-122.66495</v>
      </c>
      <c r="W195" s="252" t="str">
        <f>VLOOKUP(B195,Plantings!$A$2:$E$285,4,FALSE)</f>
        <v>point</v>
      </c>
      <c r="X195" s="251" t="str">
        <f>VLOOKUP(B195,Plantings!$A$2:$E$285,5,FALSE)</f>
        <v>retain</v>
      </c>
      <c r="Y195" s="7" t="s">
        <v>148</v>
      </c>
      <c r="Z195" s="20">
        <v>-1.7068799999999997</v>
      </c>
      <c r="AA195" t="s">
        <v>169</v>
      </c>
      <c r="AB195">
        <v>2.5</v>
      </c>
      <c r="AC195">
        <v>2.5</v>
      </c>
      <c r="AD195">
        <f t="shared" si="34"/>
        <v>6.25</v>
      </c>
      <c r="AE195">
        <f>AG195*0.25</f>
        <v>5</v>
      </c>
      <c r="AF195" s="109">
        <f t="shared" si="35"/>
        <v>0.5</v>
      </c>
      <c r="AG195" s="38">
        <v>20</v>
      </c>
      <c r="AH195" s="38">
        <v>500</v>
      </c>
      <c r="AI195" s="5">
        <f t="shared" si="32"/>
        <v>80</v>
      </c>
      <c r="AJ195" s="5">
        <f t="shared" si="33"/>
        <v>100</v>
      </c>
      <c r="AK195" t="s">
        <v>361</v>
      </c>
    </row>
    <row r="196" spans="1:38" x14ac:dyDescent="0.25">
      <c r="A196" s="1" t="s">
        <v>33</v>
      </c>
      <c r="B196" s="1" t="s">
        <v>607</v>
      </c>
      <c r="C196" s="252" t="str">
        <f>VLOOKUP(B196,Plantings!$A$2:$C$285,2,FALSE)</f>
        <v>MCN_still_1</v>
      </c>
      <c r="D196" s="252" t="str">
        <f>VLOOKUP(B196,Plantings!$A$2:$C$285,3,FALSE)</f>
        <v>single</v>
      </c>
      <c r="E196" s="1">
        <v>2016</v>
      </c>
      <c r="F196" s="1"/>
      <c r="G196" s="1" t="s">
        <v>412</v>
      </c>
      <c r="H196" s="1" t="s">
        <v>68</v>
      </c>
      <c r="I196" t="s">
        <v>405</v>
      </c>
      <c r="J196" s="1" t="s">
        <v>72</v>
      </c>
      <c r="K196" s="1" t="s">
        <v>58</v>
      </c>
      <c r="L196" s="1" t="s">
        <v>58</v>
      </c>
      <c r="M196" s="1" t="s">
        <v>64</v>
      </c>
      <c r="N196" s="1"/>
      <c r="O196" s="1" t="s">
        <v>49</v>
      </c>
      <c r="P196" s="1" t="s">
        <v>1121</v>
      </c>
      <c r="R196" s="1" t="s">
        <v>22</v>
      </c>
      <c r="S196" t="s">
        <v>22</v>
      </c>
      <c r="T196" s="27">
        <v>42634</v>
      </c>
      <c r="U196" s="4">
        <v>47.218483333333332</v>
      </c>
      <c r="V196" s="4">
        <v>-122.66786666666667</v>
      </c>
      <c r="W196" s="252" t="str">
        <f>VLOOKUP(B196,Plantings!$A$2:$E$285,4,FALSE)</f>
        <v>point</v>
      </c>
      <c r="X196" s="251" t="str">
        <f>VLOOKUP(B196,Plantings!$A$2:$E$285,5,FALSE)</f>
        <v>retain</v>
      </c>
      <c r="Y196" s="7" t="s">
        <v>148</v>
      </c>
      <c r="Z196" s="20">
        <v>-1.8288</v>
      </c>
      <c r="AA196" t="s">
        <v>169</v>
      </c>
      <c r="AB196">
        <v>2.5</v>
      </c>
      <c r="AC196">
        <v>2.5</v>
      </c>
      <c r="AD196">
        <f t="shared" si="34"/>
        <v>6.25</v>
      </c>
      <c r="AE196">
        <f>AG196*0.25</f>
        <v>5</v>
      </c>
      <c r="AF196" s="109">
        <f t="shared" si="35"/>
        <v>0.5</v>
      </c>
      <c r="AG196" s="38">
        <v>20</v>
      </c>
      <c r="AH196" s="38">
        <v>500</v>
      </c>
      <c r="AI196" s="5">
        <f t="shared" si="32"/>
        <v>80</v>
      </c>
      <c r="AJ196" s="5">
        <f t="shared" si="33"/>
        <v>100</v>
      </c>
      <c r="AK196" t="s">
        <v>361</v>
      </c>
    </row>
    <row r="197" spans="1:38" x14ac:dyDescent="0.25">
      <c r="A197" s="1" t="s">
        <v>33</v>
      </c>
      <c r="B197" s="1" t="s">
        <v>609</v>
      </c>
      <c r="C197" s="252" t="str">
        <f>VLOOKUP(B197,Plantings!$A$2:$C$285,2,FALSE)</f>
        <v>MCN_still_2</v>
      </c>
      <c r="D197" s="252" t="str">
        <f>VLOOKUP(B197,Plantings!$A$2:$C$285,3,FALSE)</f>
        <v>colocated</v>
      </c>
      <c r="E197" s="1">
        <v>2016</v>
      </c>
      <c r="F197" s="1"/>
      <c r="G197" s="1" t="s">
        <v>412</v>
      </c>
      <c r="H197" s="1" t="s">
        <v>68</v>
      </c>
      <c r="I197" t="s">
        <v>405</v>
      </c>
      <c r="J197" s="1" t="s">
        <v>72</v>
      </c>
      <c r="K197" s="1" t="s">
        <v>58</v>
      </c>
      <c r="L197" s="1" t="s">
        <v>58</v>
      </c>
      <c r="M197" s="1" t="s">
        <v>64</v>
      </c>
      <c r="N197" s="1"/>
      <c r="O197" s="1" t="s">
        <v>49</v>
      </c>
      <c r="P197" s="1" t="s">
        <v>1121</v>
      </c>
      <c r="Q197" s="1"/>
      <c r="R197" s="1" t="s">
        <v>22</v>
      </c>
      <c r="S197" s="1" t="s">
        <v>22</v>
      </c>
      <c r="T197" s="35">
        <v>42634</v>
      </c>
      <c r="U197" s="28">
        <v>47.220333333333336</v>
      </c>
      <c r="V197" s="28">
        <v>-122.66726666666666</v>
      </c>
      <c r="W197" s="252" t="str">
        <f>VLOOKUP(B197,Plantings!$A$2:$E$285,4,FALSE)</f>
        <v>point</v>
      </c>
      <c r="X197" s="251" t="str">
        <f>VLOOKUP(B197,Plantings!$A$2:$E$285,5,FALSE)</f>
        <v>retain</v>
      </c>
      <c r="Y197" s="1" t="s">
        <v>148</v>
      </c>
      <c r="Z197" s="36">
        <v>-1.7678400000000001</v>
      </c>
      <c r="AA197" s="1" t="s">
        <v>169</v>
      </c>
      <c r="AB197" s="1">
        <v>2.5</v>
      </c>
      <c r="AC197" s="1">
        <v>2</v>
      </c>
      <c r="AD197">
        <f t="shared" si="34"/>
        <v>5</v>
      </c>
      <c r="AE197">
        <f>AG197*0.25</f>
        <v>5</v>
      </c>
      <c r="AF197" s="109">
        <f t="shared" si="35"/>
        <v>0.5</v>
      </c>
      <c r="AG197" s="133">
        <v>20</v>
      </c>
      <c r="AH197" s="133">
        <v>500</v>
      </c>
      <c r="AI197" s="5">
        <f t="shared" si="32"/>
        <v>100</v>
      </c>
      <c r="AJ197" s="5">
        <f t="shared" si="33"/>
        <v>100</v>
      </c>
      <c r="AK197" s="34" t="s">
        <v>361</v>
      </c>
      <c r="AL197" s="46" t="s">
        <v>751</v>
      </c>
    </row>
    <row r="198" spans="1:38" x14ac:dyDescent="0.25">
      <c r="A198" s="1" t="s">
        <v>33</v>
      </c>
      <c r="B198" s="1" t="s">
        <v>608</v>
      </c>
      <c r="C198" s="252" t="str">
        <f>VLOOKUP(B198,Plantings!$A$2:$C$285,2,FALSE)</f>
        <v>MCN_still_2</v>
      </c>
      <c r="D198" s="252" t="str">
        <f>VLOOKUP(B198,Plantings!$A$2:$C$285,3,FALSE)</f>
        <v>colocated</v>
      </c>
      <c r="E198" s="1">
        <v>2016</v>
      </c>
      <c r="F198" s="1"/>
      <c r="G198" s="1" t="s">
        <v>412</v>
      </c>
      <c r="H198" s="1" t="s">
        <v>68</v>
      </c>
      <c r="I198" t="s">
        <v>405</v>
      </c>
      <c r="J198" s="1" t="s">
        <v>72</v>
      </c>
      <c r="K198" s="1" t="s">
        <v>58</v>
      </c>
      <c r="L198" s="1" t="s">
        <v>58</v>
      </c>
      <c r="M198" s="1" t="s">
        <v>64</v>
      </c>
      <c r="N198" s="1"/>
      <c r="O198" s="1" t="s">
        <v>49</v>
      </c>
      <c r="P198" s="1" t="s">
        <v>1121</v>
      </c>
      <c r="Q198" s="1"/>
      <c r="R198" s="1" t="s">
        <v>22</v>
      </c>
      <c r="S198" s="1" t="s">
        <v>22</v>
      </c>
      <c r="T198" s="35">
        <v>42634</v>
      </c>
      <c r="U198" s="28">
        <v>47.220333333333336</v>
      </c>
      <c r="V198" s="28">
        <v>-122.66726666666666</v>
      </c>
      <c r="W198" s="252" t="str">
        <f>VLOOKUP(B198,Plantings!$A$2:$E$285,4,FALSE)</f>
        <v>point</v>
      </c>
      <c r="X198" s="251" t="str">
        <f>VLOOKUP(B198,Plantings!$A$2:$E$285,5,FALSE)</f>
        <v>retain</v>
      </c>
      <c r="Y198" s="1" t="s">
        <v>148</v>
      </c>
      <c r="Z198" s="36">
        <v>-1.7678400000000001</v>
      </c>
      <c r="AA198" s="1" t="s">
        <v>168</v>
      </c>
      <c r="AB198" s="1">
        <v>2.5</v>
      </c>
      <c r="AC198" s="1">
        <v>2</v>
      </c>
      <c r="AD198">
        <f t="shared" si="34"/>
        <v>5</v>
      </c>
      <c r="AE198" s="34">
        <v>5</v>
      </c>
      <c r="AF198" s="109">
        <f t="shared" si="35"/>
        <v>0.625</v>
      </c>
      <c r="AG198" s="133">
        <v>125</v>
      </c>
      <c r="AH198" s="133">
        <v>500</v>
      </c>
      <c r="AI198" s="5">
        <f t="shared" si="32"/>
        <v>100</v>
      </c>
      <c r="AJ198" s="5">
        <f t="shared" si="33"/>
        <v>100</v>
      </c>
      <c r="AK198" s="34" t="s">
        <v>361</v>
      </c>
      <c r="AL198" s="46" t="s">
        <v>751</v>
      </c>
    </row>
    <row r="199" spans="1:38" x14ac:dyDescent="0.25">
      <c r="A199" s="1" t="s">
        <v>33</v>
      </c>
      <c r="B199" s="1" t="s">
        <v>509</v>
      </c>
      <c r="C199" s="252" t="str">
        <f>VLOOKUP(B199,Plantings!$A$2:$C$285,2,FALSE)</f>
        <v>MCN_north_2</v>
      </c>
      <c r="D199" s="252" t="str">
        <f>VLOOKUP(B199,Plantings!$A$2:$C$285,3,FALSE)</f>
        <v>single</v>
      </c>
      <c r="E199" s="1">
        <v>2017</v>
      </c>
      <c r="F199" s="1"/>
      <c r="G199" s="1" t="s">
        <v>412</v>
      </c>
      <c r="H199" s="1" t="s">
        <v>68</v>
      </c>
      <c r="I199" t="s">
        <v>405</v>
      </c>
      <c r="J199" s="1" t="s">
        <v>72</v>
      </c>
      <c r="K199" s="1" t="s">
        <v>58</v>
      </c>
      <c r="L199" s="1" t="s">
        <v>58</v>
      </c>
      <c r="M199" s="1" t="s">
        <v>64</v>
      </c>
      <c r="N199" s="1"/>
      <c r="O199" s="1" t="s">
        <v>49</v>
      </c>
      <c r="P199" s="1" t="s">
        <v>1121</v>
      </c>
      <c r="Q199" s="1"/>
      <c r="R199" s="1" t="s">
        <v>22</v>
      </c>
      <c r="S199" s="1" t="s">
        <v>22</v>
      </c>
      <c r="T199" s="35">
        <v>42893</v>
      </c>
      <c r="U199" s="28">
        <v>47.232016666666667</v>
      </c>
      <c r="V199" s="28">
        <v>-122.69750000000001</v>
      </c>
      <c r="W199" s="252" t="str">
        <f>VLOOKUP(B199,Plantings!$A$2:$E$285,4,FALSE)</f>
        <v>point</v>
      </c>
      <c r="X199" s="251" t="str">
        <f>VLOOKUP(B199,Plantings!$A$2:$E$285,5,FALSE)</f>
        <v>retain</v>
      </c>
      <c r="Y199" s="37" t="s">
        <v>148</v>
      </c>
      <c r="Z199" s="36">
        <v>-1.2</v>
      </c>
      <c r="AA199" s="1" t="s">
        <v>169</v>
      </c>
      <c r="AB199" s="1">
        <v>2.5</v>
      </c>
      <c r="AC199" s="1">
        <v>2</v>
      </c>
      <c r="AD199">
        <f t="shared" si="34"/>
        <v>5</v>
      </c>
      <c r="AE199">
        <f>AG199*0.25</f>
        <v>5</v>
      </c>
      <c r="AF199" s="109">
        <f t="shared" si="35"/>
        <v>0.5</v>
      </c>
      <c r="AG199" s="133">
        <v>20</v>
      </c>
      <c r="AH199" s="133">
        <v>500</v>
      </c>
      <c r="AI199" s="5">
        <f t="shared" si="32"/>
        <v>100</v>
      </c>
      <c r="AJ199" s="5">
        <f t="shared" si="33"/>
        <v>100</v>
      </c>
      <c r="AK199" s="1" t="s">
        <v>8</v>
      </c>
      <c r="AL199" s="47"/>
    </row>
    <row r="200" spans="1:38" x14ac:dyDescent="0.25">
      <c r="A200" s="1" t="s">
        <v>33</v>
      </c>
      <c r="B200" s="1" t="s">
        <v>510</v>
      </c>
      <c r="C200" s="252" t="str">
        <f>VLOOKUP(B200,Plantings!$A$2:$C$285,2,FALSE)</f>
        <v>MCN_North_3</v>
      </c>
      <c r="D200" s="252" t="str">
        <f>VLOOKUP(B200,Plantings!$A$2:$C$285,3,FALSE)</f>
        <v>single</v>
      </c>
      <c r="E200" s="1">
        <v>2017</v>
      </c>
      <c r="F200" s="1"/>
      <c r="G200" s="1" t="s">
        <v>412</v>
      </c>
      <c r="H200" s="1" t="s">
        <v>68</v>
      </c>
      <c r="I200" t="s">
        <v>405</v>
      </c>
      <c r="J200" s="1" t="s">
        <v>72</v>
      </c>
      <c r="K200" s="1" t="s">
        <v>58</v>
      </c>
      <c r="L200" s="1" t="s">
        <v>58</v>
      </c>
      <c r="M200" s="1" t="s">
        <v>64</v>
      </c>
      <c r="N200" s="1"/>
      <c r="O200" s="1" t="s">
        <v>49</v>
      </c>
      <c r="P200" s="1" t="s">
        <v>1121</v>
      </c>
      <c r="Q200" s="1"/>
      <c r="R200" s="1" t="s">
        <v>22</v>
      </c>
      <c r="S200" s="1" t="s">
        <v>22</v>
      </c>
      <c r="T200" s="35">
        <v>42893</v>
      </c>
      <c r="U200" s="28">
        <v>47.232149999999997</v>
      </c>
      <c r="V200" s="28">
        <v>-122.69753333333334</v>
      </c>
      <c r="W200" s="252" t="str">
        <f>VLOOKUP(B200,Plantings!$A$2:$E$285,4,FALSE)</f>
        <v>point</v>
      </c>
      <c r="X200" s="251" t="str">
        <f>VLOOKUP(B200,Plantings!$A$2:$E$285,5,FALSE)</f>
        <v>retain</v>
      </c>
      <c r="Y200" s="37" t="s">
        <v>148</v>
      </c>
      <c r="Z200" s="36">
        <v>-1.7</v>
      </c>
      <c r="AA200" s="1" t="s">
        <v>169</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34" t="s">
        <v>33</v>
      </c>
      <c r="B201" s="131" t="s">
        <v>611</v>
      </c>
      <c r="C201" s="252" t="str">
        <f>VLOOKUP(B201,Plantings!$A$2:$C$285,2,FALSE)</f>
        <v>MCN_south_L2</v>
      </c>
      <c r="D201" s="252" t="str">
        <f>VLOOKUP(B201,Plantings!$A$2:$C$285,3,FALSE)</f>
        <v>single</v>
      </c>
      <c r="E201" s="34">
        <v>2017</v>
      </c>
      <c r="F201" s="34"/>
      <c r="G201" s="34" t="s">
        <v>493</v>
      </c>
      <c r="H201" s="34" t="s">
        <v>68</v>
      </c>
      <c r="I201" s="34" t="s">
        <v>405</v>
      </c>
      <c r="J201" s="131" t="s">
        <v>72</v>
      </c>
      <c r="K201" s="131" t="s">
        <v>58</v>
      </c>
      <c r="L201" s="131" t="s">
        <v>58</v>
      </c>
      <c r="M201" s="131" t="s">
        <v>64</v>
      </c>
      <c r="N201" s="34"/>
      <c r="O201" s="34" t="s">
        <v>49</v>
      </c>
      <c r="P201" s="1" t="s">
        <v>1121</v>
      </c>
      <c r="Q201" s="34"/>
      <c r="R201" s="34" t="s">
        <v>13</v>
      </c>
      <c r="S201" s="34" t="s">
        <v>13</v>
      </c>
      <c r="T201" s="134">
        <v>42922</v>
      </c>
      <c r="U201" s="44">
        <v>47.191600000000001</v>
      </c>
      <c r="V201" s="44">
        <v>-122.6711</v>
      </c>
      <c r="W201" s="252" t="str">
        <f>VLOOKUP(B201,Plantings!$A$2:$E$285,4,FALSE)</f>
        <v>line</v>
      </c>
      <c r="X201" s="251" t="str">
        <f>VLOOKUP(B201,Plantings!$A$2:$E$285,5,FALSE)</f>
        <v>retain</v>
      </c>
      <c r="Y201" s="34" t="s">
        <v>148</v>
      </c>
      <c r="Z201" s="34">
        <v>-2.4</v>
      </c>
      <c r="AA201" s="34" t="s">
        <v>169</v>
      </c>
      <c r="AB201" s="34">
        <v>24</v>
      </c>
      <c r="AC201" s="131">
        <v>5</v>
      </c>
      <c r="AD201">
        <f t="shared" si="34"/>
        <v>120</v>
      </c>
      <c r="AE201">
        <f>AG201*0.25</f>
        <v>58.25</v>
      </c>
      <c r="AF201" s="109">
        <f t="shared" si="35"/>
        <v>5.8250000000000002</v>
      </c>
      <c r="AG201" s="135">
        <v>233</v>
      </c>
      <c r="AH201" s="135">
        <f>AG201*25</f>
        <v>5825</v>
      </c>
      <c r="AI201" s="5">
        <f t="shared" si="32"/>
        <v>48.541666666666664</v>
      </c>
      <c r="AJ201" s="5">
        <f t="shared" si="33"/>
        <v>100</v>
      </c>
      <c r="AK201" s="34" t="s">
        <v>8</v>
      </c>
      <c r="AL201" s="46"/>
    </row>
    <row r="202" spans="1:38" x14ac:dyDescent="0.25">
      <c r="A202" s="34" t="s">
        <v>33</v>
      </c>
      <c r="B202" s="131" t="s">
        <v>611</v>
      </c>
      <c r="C202" s="252" t="str">
        <f>VLOOKUP(B202,Plantings!$A$2:$C$285,2,FALSE)</f>
        <v>MCN_south_L2</v>
      </c>
      <c r="D202" s="252" t="str">
        <f>VLOOKUP(B202,Plantings!$A$2:$C$285,3,FALSE)</f>
        <v>single</v>
      </c>
      <c r="E202" s="34">
        <v>2017</v>
      </c>
      <c r="F202" s="34"/>
      <c r="G202" s="34" t="s">
        <v>493</v>
      </c>
      <c r="H202" s="34" t="s">
        <v>68</v>
      </c>
      <c r="I202" s="34" t="s">
        <v>405</v>
      </c>
      <c r="J202" s="131" t="s">
        <v>72</v>
      </c>
      <c r="K202" s="131" t="s">
        <v>58</v>
      </c>
      <c r="L202" s="131" t="s">
        <v>58</v>
      </c>
      <c r="M202" s="131" t="s">
        <v>64</v>
      </c>
      <c r="N202" s="34"/>
      <c r="O202" s="34" t="s">
        <v>49</v>
      </c>
      <c r="P202" s="1" t="s">
        <v>1121</v>
      </c>
      <c r="Q202" s="34"/>
      <c r="R202" s="34" t="s">
        <v>13</v>
      </c>
      <c r="S202" s="45" t="s">
        <v>520</v>
      </c>
      <c r="T202" s="134">
        <v>42922</v>
      </c>
      <c r="U202" s="44">
        <v>47.191659999999999</v>
      </c>
      <c r="V202" s="44">
        <v>-122.67077999999999</v>
      </c>
      <c r="W202" s="252" t="str">
        <f>VLOOKUP(B202,Plantings!$A$2:$E$285,4,FALSE)</f>
        <v>line</v>
      </c>
      <c r="X202" s="251" t="str">
        <f>VLOOKUP(B202,Plantings!$A$2:$E$285,5,FALSE)</f>
        <v>retain</v>
      </c>
      <c r="Y202" s="34" t="s">
        <v>148</v>
      </c>
      <c r="Z202" s="34"/>
      <c r="AA202" s="34"/>
      <c r="AB202" s="34"/>
      <c r="AC202" s="131"/>
      <c r="AE202" s="34"/>
      <c r="AF202" s="109" t="str">
        <f t="shared" si="35"/>
        <v/>
      </c>
      <c r="AG202" s="135"/>
      <c r="AH202" s="135"/>
      <c r="AI202" s="5" t="str">
        <f t="shared" si="32"/>
        <v/>
      </c>
      <c r="AJ202" s="5" t="str">
        <f t="shared" si="33"/>
        <v/>
      </c>
      <c r="AK202" s="34"/>
      <c r="AL202" s="46"/>
    </row>
    <row r="203" spans="1:38" x14ac:dyDescent="0.25">
      <c r="A203" s="34" t="s">
        <v>33</v>
      </c>
      <c r="B203" s="131" t="s">
        <v>613</v>
      </c>
      <c r="C203" s="252" t="str">
        <f>VLOOKUP(B203,Plantings!$A$2:$C$285,2,FALSE)</f>
        <v>MCN_south_L1</v>
      </c>
      <c r="D203" s="252" t="str">
        <f>VLOOKUP(B203,Plantings!$A$2:$C$285,3,FALSE)</f>
        <v>single</v>
      </c>
      <c r="E203" s="34">
        <v>2017</v>
      </c>
      <c r="F203" s="1"/>
      <c r="G203" s="34" t="s">
        <v>493</v>
      </c>
      <c r="H203" s="34" t="s">
        <v>68</v>
      </c>
      <c r="I203" s="34" t="s">
        <v>405</v>
      </c>
      <c r="J203" s="131" t="s">
        <v>72</v>
      </c>
      <c r="K203" s="131" t="s">
        <v>58</v>
      </c>
      <c r="L203" s="131" t="s">
        <v>58</v>
      </c>
      <c r="M203" s="131" t="s">
        <v>64</v>
      </c>
      <c r="N203" s="1"/>
      <c r="O203" s="34" t="s">
        <v>49</v>
      </c>
      <c r="P203" s="1" t="s">
        <v>1121</v>
      </c>
      <c r="Q203" s="1"/>
      <c r="R203" s="34" t="s">
        <v>13</v>
      </c>
      <c r="S203" s="1" t="s">
        <v>13</v>
      </c>
      <c r="T203" s="35">
        <v>42923</v>
      </c>
      <c r="U203" s="44">
        <v>47.192450000000001</v>
      </c>
      <c r="V203" s="44">
        <v>-122.66495</v>
      </c>
      <c r="W203" s="252" t="str">
        <f>VLOOKUP(B203,Plantings!$A$2:$E$285,4,FALSE)</f>
        <v>line</v>
      </c>
      <c r="X203" s="251" t="str">
        <f>VLOOKUP(B203,Plantings!$A$2:$E$285,5,FALSE)</f>
        <v>retain</v>
      </c>
      <c r="Y203" s="36" t="s">
        <v>148</v>
      </c>
      <c r="Z203" s="36">
        <v>-0.6</v>
      </c>
      <c r="AA203" s="34" t="s">
        <v>169</v>
      </c>
      <c r="AB203" s="1">
        <v>8</v>
      </c>
      <c r="AC203" s="1">
        <v>5</v>
      </c>
      <c r="AD203">
        <f>AB203*AC203</f>
        <v>40</v>
      </c>
      <c r="AE203">
        <f>AG203*0.25</f>
        <v>20</v>
      </c>
      <c r="AF203" s="109">
        <f t="shared" si="35"/>
        <v>2</v>
      </c>
      <c r="AG203" s="133">
        <v>80</v>
      </c>
      <c r="AH203" s="133">
        <v>2000</v>
      </c>
      <c r="AI203" s="5">
        <f t="shared" si="32"/>
        <v>50</v>
      </c>
      <c r="AJ203" s="5">
        <f t="shared" si="33"/>
        <v>100</v>
      </c>
      <c r="AK203" s="1" t="s">
        <v>8</v>
      </c>
      <c r="AL203" s="47" t="s">
        <v>615</v>
      </c>
    </row>
    <row r="204" spans="1:38" x14ac:dyDescent="0.25">
      <c r="A204" s="34" t="s">
        <v>33</v>
      </c>
      <c r="B204" s="131" t="s">
        <v>613</v>
      </c>
      <c r="C204" s="252" t="str">
        <f>VLOOKUP(B204,Plantings!$A$2:$C$285,2,FALSE)</f>
        <v>MCN_south_L1</v>
      </c>
      <c r="D204" s="252" t="str">
        <f>VLOOKUP(B204,Plantings!$A$2:$C$285,3,FALSE)</f>
        <v>single</v>
      </c>
      <c r="E204" s="34">
        <v>2017</v>
      </c>
      <c r="F204" s="1"/>
      <c r="G204" s="34" t="s">
        <v>493</v>
      </c>
      <c r="H204" s="34" t="s">
        <v>68</v>
      </c>
      <c r="I204" s="34" t="s">
        <v>405</v>
      </c>
      <c r="J204" s="131" t="s">
        <v>72</v>
      </c>
      <c r="K204" s="131" t="s">
        <v>58</v>
      </c>
      <c r="L204" s="131" t="s">
        <v>58</v>
      </c>
      <c r="M204" s="131" t="s">
        <v>64</v>
      </c>
      <c r="N204" s="1"/>
      <c r="O204" s="34" t="s">
        <v>49</v>
      </c>
      <c r="P204" s="1" t="s">
        <v>1121</v>
      </c>
      <c r="Q204" s="1"/>
      <c r="R204" s="34" t="s">
        <v>13</v>
      </c>
      <c r="S204" s="45" t="s">
        <v>520</v>
      </c>
      <c r="T204" s="35">
        <v>42923</v>
      </c>
      <c r="U204" s="44">
        <v>47.192480000000003</v>
      </c>
      <c r="V204" s="44">
        <v>-122.66473999999999</v>
      </c>
      <c r="W204" s="252" t="str">
        <f>VLOOKUP(B204,Plantings!$A$2:$E$285,4,FALSE)</f>
        <v>line</v>
      </c>
      <c r="X204" s="251" t="str">
        <f>VLOOKUP(B204,Plantings!$A$2:$E$285,5,FALSE)</f>
        <v>retain</v>
      </c>
      <c r="Y204" s="36" t="s">
        <v>148</v>
      </c>
      <c r="Z204" s="28"/>
      <c r="AA204" s="1"/>
      <c r="AB204" s="1"/>
      <c r="AC204" s="1"/>
      <c r="AE204" s="34"/>
      <c r="AF204" s="109" t="str">
        <f t="shared" si="35"/>
        <v/>
      </c>
      <c r="AG204" s="133"/>
      <c r="AH204" s="133"/>
      <c r="AI204" s="5" t="str">
        <f t="shared" si="32"/>
        <v/>
      </c>
      <c r="AJ204" s="5" t="str">
        <f t="shared" si="33"/>
        <v/>
      </c>
      <c r="AK204" s="1"/>
      <c r="AL204" s="47"/>
    </row>
    <row r="205" spans="1:38" x14ac:dyDescent="0.25">
      <c r="A205" s="34" t="s">
        <v>33</v>
      </c>
      <c r="B205" s="131" t="s">
        <v>612</v>
      </c>
      <c r="C205" s="252" t="str">
        <f>VLOOKUP(B205,Plantings!$A$2:$C$285,2,FALSE)</f>
        <v>MCN_south_L3</v>
      </c>
      <c r="D205" s="252" t="str">
        <f>VLOOKUP(B205,Plantings!$A$2:$C$285,3,FALSE)</f>
        <v>single</v>
      </c>
      <c r="E205" s="34">
        <v>2017</v>
      </c>
      <c r="F205" s="34"/>
      <c r="G205" s="34" t="s">
        <v>493</v>
      </c>
      <c r="H205" s="34" t="s">
        <v>68</v>
      </c>
      <c r="I205" s="34" t="s">
        <v>405</v>
      </c>
      <c r="J205" s="131" t="s">
        <v>72</v>
      </c>
      <c r="K205" s="131" t="s">
        <v>58</v>
      </c>
      <c r="L205" s="131" t="s">
        <v>58</v>
      </c>
      <c r="M205" s="131" t="s">
        <v>64</v>
      </c>
      <c r="N205" s="34"/>
      <c r="O205" s="34" t="s">
        <v>49</v>
      </c>
      <c r="P205" s="1" t="s">
        <v>1121</v>
      </c>
      <c r="Q205" s="34"/>
      <c r="R205" s="34" t="s">
        <v>13</v>
      </c>
      <c r="S205" s="34" t="s">
        <v>13</v>
      </c>
      <c r="T205" s="134">
        <v>42924</v>
      </c>
      <c r="U205" s="44">
        <v>47.19153</v>
      </c>
      <c r="V205" s="44">
        <v>-122.67189999999999</v>
      </c>
      <c r="W205" s="252" t="str">
        <f>VLOOKUP(B205,Plantings!$A$2:$E$285,4,FALSE)</f>
        <v>line</v>
      </c>
      <c r="X205" s="251" t="str">
        <f>VLOOKUP(B205,Plantings!$A$2:$E$285,5,FALSE)</f>
        <v>retain</v>
      </c>
      <c r="Y205" s="34" t="s">
        <v>148</v>
      </c>
      <c r="Z205" s="34">
        <v>-1.6</v>
      </c>
      <c r="AA205" s="34" t="s">
        <v>169</v>
      </c>
      <c r="AB205" s="34">
        <v>16</v>
      </c>
      <c r="AC205" s="131">
        <v>5</v>
      </c>
      <c r="AD205">
        <f>AB205*AC205</f>
        <v>80</v>
      </c>
      <c r="AE205">
        <f>AG205*0.25</f>
        <v>40</v>
      </c>
      <c r="AF205" s="109">
        <f t="shared" si="35"/>
        <v>4</v>
      </c>
      <c r="AG205" s="135">
        <v>160</v>
      </c>
      <c r="AH205" s="135">
        <f>AG205*25</f>
        <v>4000</v>
      </c>
      <c r="AI205" s="5">
        <f t="shared" si="32"/>
        <v>50</v>
      </c>
      <c r="AJ205" s="5">
        <f t="shared" si="33"/>
        <v>100</v>
      </c>
      <c r="AK205" s="34" t="s">
        <v>8</v>
      </c>
      <c r="AL205" s="46" t="s">
        <v>614</v>
      </c>
    </row>
    <row r="206" spans="1:38" x14ac:dyDescent="0.25">
      <c r="A206" s="34" t="s">
        <v>33</v>
      </c>
      <c r="B206" s="131" t="s">
        <v>612</v>
      </c>
      <c r="C206" s="252" t="str">
        <f>VLOOKUP(B206,Plantings!$A$2:$C$285,2,FALSE)</f>
        <v>MCN_south_L3</v>
      </c>
      <c r="D206" s="252" t="str">
        <f>VLOOKUP(B206,Plantings!$A$2:$C$285,3,FALSE)</f>
        <v>single</v>
      </c>
      <c r="E206" s="34">
        <v>2017</v>
      </c>
      <c r="F206" s="34"/>
      <c r="G206" s="34" t="s">
        <v>493</v>
      </c>
      <c r="H206" s="34" t="s">
        <v>68</v>
      </c>
      <c r="I206" s="34" t="s">
        <v>405</v>
      </c>
      <c r="J206" s="131" t="s">
        <v>72</v>
      </c>
      <c r="K206" s="131" t="s">
        <v>58</v>
      </c>
      <c r="L206" s="131" t="s">
        <v>58</v>
      </c>
      <c r="M206" s="131" t="s">
        <v>64</v>
      </c>
      <c r="N206" s="34"/>
      <c r="O206" s="34" t="s">
        <v>49</v>
      </c>
      <c r="P206" s="1" t="s">
        <v>1121</v>
      </c>
      <c r="Q206" s="34"/>
      <c r="R206" s="34" t="s">
        <v>13</v>
      </c>
      <c r="S206" s="45" t="s">
        <v>520</v>
      </c>
      <c r="T206" s="134">
        <v>42924</v>
      </c>
      <c r="U206" s="44">
        <v>47.191470000000002</v>
      </c>
      <c r="V206" s="44">
        <v>-122.67221000000001</v>
      </c>
      <c r="W206" s="252" t="str">
        <f>VLOOKUP(B206,Plantings!$A$2:$E$285,4,FALSE)</f>
        <v>line</v>
      </c>
      <c r="X206" s="251" t="str">
        <f>VLOOKUP(B206,Plantings!$A$2:$E$285,5,FALSE)</f>
        <v>retain</v>
      </c>
      <c r="Y206" s="34" t="s">
        <v>148</v>
      </c>
      <c r="Z206" s="34"/>
      <c r="AA206" s="34"/>
      <c r="AB206" s="34"/>
      <c r="AC206" s="131"/>
      <c r="AE206" s="34"/>
      <c r="AF206" s="109"/>
      <c r="AG206" s="135"/>
      <c r="AH206" s="135"/>
      <c r="AI206" s="5" t="str">
        <f t="shared" si="32"/>
        <v/>
      </c>
      <c r="AJ206" s="5" t="str">
        <f t="shared" si="33"/>
        <v/>
      </c>
      <c r="AK206" s="34"/>
      <c r="AL206" s="46"/>
    </row>
    <row r="207" spans="1:38" x14ac:dyDescent="0.25">
      <c r="A207" s="131" t="s">
        <v>398</v>
      </c>
      <c r="B207" s="131" t="s">
        <v>663</v>
      </c>
      <c r="C207" s="252" t="str">
        <f>VLOOKUP(B207,Plantings!$A$2:$C$285,2,FALSE)</f>
        <v>MIL_1</v>
      </c>
      <c r="D207" s="252" t="str">
        <f>VLOOKUP(B207,Plantings!$A$2:$C$285,3,FALSE)</f>
        <v>single</v>
      </c>
      <c r="E207" s="131">
        <v>2017</v>
      </c>
      <c r="F207" s="131"/>
      <c r="G207" s="1" t="s">
        <v>412</v>
      </c>
      <c r="H207" s="131" t="s">
        <v>399</v>
      </c>
      <c r="I207" s="131" t="s">
        <v>405</v>
      </c>
      <c r="J207" s="131" t="s">
        <v>72</v>
      </c>
      <c r="K207" s="131" t="s">
        <v>58</v>
      </c>
      <c r="L207" s="131" t="s">
        <v>58</v>
      </c>
      <c r="M207" s="131" t="s">
        <v>64</v>
      </c>
      <c r="N207" s="131"/>
      <c r="O207" s="131" t="s">
        <v>49</v>
      </c>
      <c r="P207" s="1" t="s">
        <v>1121</v>
      </c>
      <c r="Q207" s="131"/>
      <c r="R207" s="131" t="s">
        <v>22</v>
      </c>
      <c r="S207" s="131" t="s">
        <v>22</v>
      </c>
      <c r="T207" s="132">
        <v>42978</v>
      </c>
      <c r="U207" s="55">
        <v>47.616869999999999</v>
      </c>
      <c r="V207" s="55">
        <v>-122.49728</v>
      </c>
      <c r="W207" s="252" t="str">
        <f>VLOOKUP(B207,Plantings!$A$2:$E$285,4,FALSE)</f>
        <v>point</v>
      </c>
      <c r="X207" s="251" t="str">
        <f>VLOOKUP(B207,Plantings!$A$2:$E$285,5,FALSE)</f>
        <v>retain</v>
      </c>
      <c r="Y207" s="39" t="s">
        <v>148</v>
      </c>
      <c r="Z207" s="40">
        <v>-2.4</v>
      </c>
      <c r="AA207" s="131" t="s">
        <v>169</v>
      </c>
      <c r="AB207" s="131">
        <v>2.5</v>
      </c>
      <c r="AC207" s="131">
        <v>2.5</v>
      </c>
      <c r="AD207">
        <f t="shared" ref="AD207:AD222" si="36">AB207*AC207</f>
        <v>6.25</v>
      </c>
      <c r="AE207">
        <f t="shared" ref="AE207:AE212" si="37">AG207*0.25</f>
        <v>4.5</v>
      </c>
      <c r="AF207" s="109">
        <f t="shared" ref="AF207:AF213" si="38">IF(AA207="staple",AG207*0.005,IF(AA207="rebar",AG207*0.025,IF(AA207="burlap",AG207*0.0625,IF(AA207="washer",AG207*0.0025,IF(AA207="pucks",AG207*0.00785,IF(AA207="turf",AG207*0.01,IF(AA207="","")))))))</f>
        <v>0.45</v>
      </c>
      <c r="AG207" s="136">
        <v>18</v>
      </c>
      <c r="AH207" s="136">
        <f>AG207*25</f>
        <v>450</v>
      </c>
      <c r="AI207" s="5">
        <f t="shared" si="32"/>
        <v>72</v>
      </c>
      <c r="AJ207" s="5">
        <f t="shared" si="33"/>
        <v>100</v>
      </c>
      <c r="AK207" s="34" t="s">
        <v>567</v>
      </c>
      <c r="AL207" s="164" t="s">
        <v>662</v>
      </c>
    </row>
    <row r="208" spans="1:38" x14ac:dyDescent="0.25">
      <c r="A208" s="131" t="s">
        <v>398</v>
      </c>
      <c r="B208" s="131" t="s">
        <v>664</v>
      </c>
      <c r="C208" s="252" t="str">
        <f>VLOOKUP(B208,Plantings!$A$2:$C$285,2,FALSE)</f>
        <v>MIL_3</v>
      </c>
      <c r="D208" s="252" t="str">
        <f>VLOOKUP(B208,Plantings!$A$2:$C$285,3,FALSE)</f>
        <v>single</v>
      </c>
      <c r="E208" s="131">
        <v>2017</v>
      </c>
      <c r="F208" s="131"/>
      <c r="G208" s="1" t="s">
        <v>412</v>
      </c>
      <c r="H208" s="131" t="s">
        <v>399</v>
      </c>
      <c r="I208" s="131" t="s">
        <v>405</v>
      </c>
      <c r="J208" s="131" t="s">
        <v>72</v>
      </c>
      <c r="K208" s="131" t="s">
        <v>58</v>
      </c>
      <c r="L208" s="131" t="s">
        <v>58</v>
      </c>
      <c r="M208" s="131" t="s">
        <v>64</v>
      </c>
      <c r="N208" s="131"/>
      <c r="O208" s="131" t="s">
        <v>49</v>
      </c>
      <c r="P208" s="1" t="s">
        <v>1121</v>
      </c>
      <c r="Q208" s="131"/>
      <c r="R208" s="131" t="s">
        <v>22</v>
      </c>
      <c r="S208" s="52" t="s">
        <v>22</v>
      </c>
      <c r="T208" s="132">
        <v>42978</v>
      </c>
      <c r="U208" s="55">
        <v>47.61683</v>
      </c>
      <c r="V208" s="55">
        <v>-122.49723</v>
      </c>
      <c r="W208" s="252" t="str">
        <f>VLOOKUP(B208,Plantings!$A$2:$E$285,4,FALSE)</f>
        <v>point</v>
      </c>
      <c r="X208" s="251" t="str">
        <f>VLOOKUP(B208,Plantings!$A$2:$E$285,5,FALSE)</f>
        <v>retain</v>
      </c>
      <c r="Y208" s="39" t="s">
        <v>148</v>
      </c>
      <c r="Z208" s="40">
        <v>-2.4</v>
      </c>
      <c r="AA208" s="131" t="s">
        <v>169</v>
      </c>
      <c r="AB208" s="131">
        <v>2.5</v>
      </c>
      <c r="AC208" s="131">
        <v>2.5</v>
      </c>
      <c r="AD208">
        <f t="shared" si="36"/>
        <v>6.25</v>
      </c>
      <c r="AE208">
        <f t="shared" si="37"/>
        <v>5</v>
      </c>
      <c r="AF208" s="109">
        <f t="shared" si="38"/>
        <v>0.5</v>
      </c>
      <c r="AG208" s="136">
        <f>AH208/25</f>
        <v>20</v>
      </c>
      <c r="AH208" s="136">
        <v>500</v>
      </c>
      <c r="AI208" s="5">
        <f t="shared" si="32"/>
        <v>80</v>
      </c>
      <c r="AJ208" s="5">
        <f t="shared" si="33"/>
        <v>100</v>
      </c>
      <c r="AK208" s="34" t="s">
        <v>567</v>
      </c>
      <c r="AL208" s="164" t="s">
        <v>662</v>
      </c>
    </row>
    <row r="209" spans="1:38" x14ac:dyDescent="0.25">
      <c r="A209" t="s">
        <v>2041</v>
      </c>
      <c r="B209" t="s">
        <v>2042</v>
      </c>
      <c r="C209" s="252" t="str">
        <f>VLOOKUP(B209,Plantings!$A$2:$C$285,2,FALSE)</f>
        <v>MRE_1</v>
      </c>
      <c r="D209" s="252" t="str">
        <f>VLOOKUP(B209,Plantings!$A$2:$C$285,3,FALSE)</f>
        <v>single</v>
      </c>
      <c r="E209">
        <v>2021</v>
      </c>
      <c r="G209" t="s">
        <v>412</v>
      </c>
      <c r="H209" t="s">
        <v>909</v>
      </c>
      <c r="I209" t="s">
        <v>405</v>
      </c>
      <c r="J209" t="s">
        <v>1853</v>
      </c>
      <c r="K209" t="s">
        <v>1853</v>
      </c>
      <c r="L209" s="1" t="s">
        <v>1866</v>
      </c>
      <c r="N209" t="s">
        <v>1867</v>
      </c>
      <c r="R209" t="s">
        <v>22</v>
      </c>
      <c r="S209" t="s">
        <v>22</v>
      </c>
      <c r="T209" s="27">
        <v>44344</v>
      </c>
      <c r="U209">
        <v>47.620460000000001</v>
      </c>
      <c r="V209">
        <v>-122.36398</v>
      </c>
      <c r="W209" s="252" t="str">
        <f>VLOOKUP(B209,Plantings!$A$2:$E$285,4,FALSE)</f>
        <v>point</v>
      </c>
      <c r="X209" s="251" t="str">
        <f>VLOOKUP(B209,Plantings!$A$2:$E$285,5,FALSE)</f>
        <v>retain</v>
      </c>
      <c r="Y209" s="7" t="s">
        <v>148</v>
      </c>
      <c r="Z209" s="20">
        <v>-1.5</v>
      </c>
      <c r="AA209" s="5" t="s">
        <v>169</v>
      </c>
      <c r="AB209">
        <v>1.5</v>
      </c>
      <c r="AC209">
        <v>1</v>
      </c>
      <c r="AD209">
        <f t="shared" si="36"/>
        <v>1.5</v>
      </c>
      <c r="AE209">
        <f t="shared" si="37"/>
        <v>3.75</v>
      </c>
      <c r="AF209" s="109">
        <f t="shared" si="38"/>
        <v>0.375</v>
      </c>
      <c r="AG209">
        <v>15</v>
      </c>
      <c r="AH209" s="119">
        <v>300</v>
      </c>
      <c r="AI209" s="5">
        <f t="shared" si="32"/>
        <v>200</v>
      </c>
      <c r="AJ209" s="5">
        <f t="shared" si="33"/>
        <v>80</v>
      </c>
      <c r="AK209" t="s">
        <v>119</v>
      </c>
      <c r="AL209" s="13" t="s">
        <v>2045</v>
      </c>
    </row>
    <row r="210" spans="1:38" x14ac:dyDescent="0.25">
      <c r="A210" t="s">
        <v>2041</v>
      </c>
      <c r="B210" t="s">
        <v>2043</v>
      </c>
      <c r="C210" s="252" t="str">
        <f>VLOOKUP(B210,Plantings!$A$2:$C$285,2,FALSE)</f>
        <v>MRE_1</v>
      </c>
      <c r="D210" s="252" t="str">
        <f>VLOOKUP(B210,Plantings!$A$2:$C$285,3,FALSE)</f>
        <v>single</v>
      </c>
      <c r="E210">
        <v>2021</v>
      </c>
      <c r="G210" t="s">
        <v>412</v>
      </c>
      <c r="H210" t="s">
        <v>909</v>
      </c>
      <c r="I210" t="s">
        <v>405</v>
      </c>
      <c r="J210" t="s">
        <v>1853</v>
      </c>
      <c r="K210" t="s">
        <v>1853</v>
      </c>
      <c r="L210" s="1" t="s">
        <v>1866</v>
      </c>
      <c r="N210" t="s">
        <v>1867</v>
      </c>
      <c r="R210" t="s">
        <v>22</v>
      </c>
      <c r="S210" t="s">
        <v>22</v>
      </c>
      <c r="T210" s="27">
        <v>44344</v>
      </c>
      <c r="U210">
        <v>47.620460000000001</v>
      </c>
      <c r="V210">
        <v>-122.36398</v>
      </c>
      <c r="W210" s="252" t="str">
        <f>VLOOKUP(B210,Plantings!$A$2:$E$285,4,FALSE)</f>
        <v>point</v>
      </c>
      <c r="X210" s="251" t="str">
        <f>VLOOKUP(B210,Plantings!$A$2:$E$285,5,FALSE)</f>
        <v>retain</v>
      </c>
      <c r="Y210" s="7" t="s">
        <v>148</v>
      </c>
      <c r="Z210" s="20">
        <v>-1.5</v>
      </c>
      <c r="AA210" s="5" t="s">
        <v>169</v>
      </c>
      <c r="AB210">
        <v>1</v>
      </c>
      <c r="AC210">
        <v>1</v>
      </c>
      <c r="AD210">
        <f t="shared" si="36"/>
        <v>1</v>
      </c>
      <c r="AE210">
        <f t="shared" si="37"/>
        <v>3</v>
      </c>
      <c r="AF210" s="109">
        <f t="shared" si="38"/>
        <v>0.30000000000000004</v>
      </c>
      <c r="AG210" s="38">
        <v>12</v>
      </c>
      <c r="AH210" s="119">
        <v>240</v>
      </c>
      <c r="AI210" s="5">
        <f t="shared" si="32"/>
        <v>240</v>
      </c>
      <c r="AJ210" s="5">
        <f t="shared" si="33"/>
        <v>80</v>
      </c>
      <c r="AK210" t="s">
        <v>540</v>
      </c>
      <c r="AL210" s="13" t="s">
        <v>2044</v>
      </c>
    </row>
    <row r="211" spans="1:38" x14ac:dyDescent="0.25">
      <c r="A211" t="s">
        <v>2041</v>
      </c>
      <c r="B211" t="s">
        <v>2084</v>
      </c>
      <c r="C211" s="252" t="str">
        <f>VLOOKUP(B211,Plantings!$A$2:$C$285,2,FALSE)</f>
        <v>MRE_2</v>
      </c>
      <c r="D211" s="252" t="str">
        <f>VLOOKUP(B211,Plantings!$A$2:$C$285,3,FALSE)</f>
        <v>single</v>
      </c>
      <c r="E211">
        <v>2022</v>
      </c>
      <c r="G211" t="s">
        <v>412</v>
      </c>
      <c r="H211" t="s">
        <v>909</v>
      </c>
      <c r="I211" t="s">
        <v>405</v>
      </c>
      <c r="J211" t="s">
        <v>1853</v>
      </c>
      <c r="K211" t="s">
        <v>1853</v>
      </c>
      <c r="L211" t="s">
        <v>1866</v>
      </c>
      <c r="N211" t="s">
        <v>1867</v>
      </c>
      <c r="R211" t="s">
        <v>22</v>
      </c>
      <c r="S211" t="s">
        <v>22</v>
      </c>
      <c r="T211" s="27">
        <v>44698</v>
      </c>
      <c r="U211">
        <v>47.620460000000001</v>
      </c>
      <c r="V211">
        <v>-122.36398</v>
      </c>
      <c r="W211" s="252" t="str">
        <f>VLOOKUP(B211,Plantings!$A$2:$E$285,4,FALSE)</f>
        <v>point</v>
      </c>
      <c r="X211" s="251" t="str">
        <f>VLOOKUP(B211,Plantings!$A$2:$E$285,5,FALSE)</f>
        <v>retain</v>
      </c>
      <c r="Y211" s="7" t="s">
        <v>148</v>
      </c>
      <c r="Z211" s="20">
        <v>-1.5</v>
      </c>
      <c r="AA211" s="5" t="s">
        <v>169</v>
      </c>
      <c r="AB211">
        <v>1</v>
      </c>
      <c r="AC211">
        <v>0.5</v>
      </c>
      <c r="AD211">
        <f t="shared" si="36"/>
        <v>0.5</v>
      </c>
      <c r="AE211">
        <f t="shared" si="37"/>
        <v>1.5</v>
      </c>
      <c r="AF211" s="109">
        <f t="shared" si="38"/>
        <v>0.15000000000000002</v>
      </c>
      <c r="AG211" s="38">
        <v>6</v>
      </c>
      <c r="AH211" s="119">
        <v>120</v>
      </c>
      <c r="AI211" s="5">
        <f t="shared" si="32"/>
        <v>240</v>
      </c>
      <c r="AJ211" s="5">
        <f t="shared" si="33"/>
        <v>80</v>
      </c>
      <c r="AK211" t="s">
        <v>119</v>
      </c>
      <c r="AL211" s="13" t="s">
        <v>2085</v>
      </c>
    </row>
    <row r="212" spans="1:38" x14ac:dyDescent="0.25">
      <c r="A212" t="s">
        <v>2041</v>
      </c>
      <c r="B212" t="s">
        <v>2083</v>
      </c>
      <c r="C212" s="252" t="str">
        <f>VLOOKUP(B212,Plantings!$A$2:$C$285,2,FALSE)</f>
        <v>MRE_2</v>
      </c>
      <c r="D212" s="252" t="str">
        <f>VLOOKUP(B212,Plantings!$A$2:$C$285,3,FALSE)</f>
        <v>single</v>
      </c>
      <c r="E212">
        <v>2022</v>
      </c>
      <c r="G212" t="s">
        <v>412</v>
      </c>
      <c r="H212" t="s">
        <v>909</v>
      </c>
      <c r="I212" t="s">
        <v>405</v>
      </c>
      <c r="J212" t="s">
        <v>1853</v>
      </c>
      <c r="K212" t="s">
        <v>1853</v>
      </c>
      <c r="L212" t="s">
        <v>1866</v>
      </c>
      <c r="N212" t="s">
        <v>1867</v>
      </c>
      <c r="R212" t="s">
        <v>22</v>
      </c>
      <c r="S212" t="s">
        <v>22</v>
      </c>
      <c r="T212" s="27">
        <v>44698</v>
      </c>
      <c r="W212" s="252" t="str">
        <f>VLOOKUP(B212,Plantings!$A$2:$E$285,4,FALSE)</f>
        <v>point</v>
      </c>
      <c r="X212" s="251" t="str">
        <f>VLOOKUP(B212,Plantings!$A$2:$E$285,5,FALSE)</f>
        <v>retain</v>
      </c>
      <c r="Y212" s="7" t="s">
        <v>148</v>
      </c>
      <c r="Z212" s="20">
        <v>-1.6</v>
      </c>
      <c r="AA212" s="5" t="s">
        <v>169</v>
      </c>
      <c r="AB212">
        <v>2.5</v>
      </c>
      <c r="AC212">
        <v>1</v>
      </c>
      <c r="AD212">
        <f t="shared" si="36"/>
        <v>2.5</v>
      </c>
      <c r="AE212">
        <f t="shared" si="37"/>
        <v>7.75</v>
      </c>
      <c r="AF212" s="109">
        <f t="shared" si="38"/>
        <v>0.77500000000000002</v>
      </c>
      <c r="AG212" s="38">
        <v>31</v>
      </c>
      <c r="AH212" s="119">
        <v>620</v>
      </c>
      <c r="AI212" s="5">
        <f t="shared" si="32"/>
        <v>248</v>
      </c>
      <c r="AJ212" s="5">
        <f t="shared" si="33"/>
        <v>80</v>
      </c>
      <c r="AK212" t="s">
        <v>119</v>
      </c>
      <c r="AL212" s="13" t="s">
        <v>2086</v>
      </c>
    </row>
    <row r="213" spans="1:38" x14ac:dyDescent="0.25">
      <c r="A213" t="s">
        <v>28</v>
      </c>
      <c r="B213" t="s">
        <v>199</v>
      </c>
      <c r="C213" s="252" t="str">
        <f>VLOOKUP(B213,Plantings!$A$2:$C$285,2,FALSE)</f>
        <v>OST</v>
      </c>
      <c r="D213" s="252" t="str">
        <f>VLOOKUP(B213,Plantings!$A$2:$C$285,3,FALSE)</f>
        <v>single</v>
      </c>
      <c r="E213">
        <v>2015</v>
      </c>
      <c r="G213" t="s">
        <v>412</v>
      </c>
      <c r="H213" t="s">
        <v>29</v>
      </c>
      <c r="I213" t="s">
        <v>405</v>
      </c>
      <c r="J213" t="s">
        <v>5</v>
      </c>
      <c r="K213" t="s">
        <v>165</v>
      </c>
      <c r="L213" t="s">
        <v>230</v>
      </c>
      <c r="O213" t="s">
        <v>49</v>
      </c>
      <c r="P213" t="s">
        <v>62</v>
      </c>
      <c r="Q213" t="s">
        <v>75</v>
      </c>
      <c r="R213" t="s">
        <v>22</v>
      </c>
      <c r="S213" t="s">
        <v>22</v>
      </c>
      <c r="T213" s="27">
        <v>42053</v>
      </c>
      <c r="U213" s="4">
        <v>47.592083333333335</v>
      </c>
      <c r="V213" s="4">
        <v>-122.67906666666667</v>
      </c>
      <c r="W213" s="252" t="str">
        <f>VLOOKUP(B213,Plantings!$A$2:$E$285,4,FALSE)</f>
        <v>point</v>
      </c>
      <c r="X213" s="251" t="str">
        <f>VLOOKUP(B213,Plantings!$A$2:$E$285,5,FALSE)</f>
        <v>retain</v>
      </c>
      <c r="Y213" s="7" t="s">
        <v>148</v>
      </c>
      <c r="Z213" s="20">
        <v>-1.4325600000000001</v>
      </c>
      <c r="AA213" s="5" t="s">
        <v>168</v>
      </c>
      <c r="AB213">
        <v>5</v>
      </c>
      <c r="AC213">
        <v>5</v>
      </c>
      <c r="AD213">
        <f t="shared" si="36"/>
        <v>25</v>
      </c>
      <c r="AE213">
        <v>25</v>
      </c>
      <c r="AF213" s="109">
        <f t="shared" si="38"/>
        <v>0.625</v>
      </c>
      <c r="AG213" s="38">
        <f>AH213/4</f>
        <v>125</v>
      </c>
      <c r="AH213" s="38">
        <v>500</v>
      </c>
      <c r="AI213" s="5">
        <f t="shared" si="32"/>
        <v>20</v>
      </c>
      <c r="AJ213" s="5">
        <f t="shared" si="33"/>
        <v>20</v>
      </c>
      <c r="AK213" t="s">
        <v>567</v>
      </c>
    </row>
    <row r="214" spans="1:38" x14ac:dyDescent="0.25">
      <c r="A214" t="s">
        <v>2128</v>
      </c>
      <c r="B214" t="s">
        <v>2129</v>
      </c>
      <c r="C214" s="252" t="str">
        <f>VLOOKUP(B214,Plantings!$A$2:$C$285,2,FALSE)</f>
        <v>OTB_1</v>
      </c>
      <c r="D214" s="252" t="str">
        <f>VLOOKUP(B214,Plantings!$A$2:$C$285,3,FALSE)</f>
        <v>single</v>
      </c>
      <c r="E214">
        <v>2023</v>
      </c>
      <c r="G214" t="s">
        <v>412</v>
      </c>
      <c r="H214" t="s">
        <v>2130</v>
      </c>
      <c r="I214" t="s">
        <v>404</v>
      </c>
      <c r="R214" t="s">
        <v>22</v>
      </c>
      <c r="S214" t="s">
        <v>22</v>
      </c>
      <c r="T214" s="134">
        <v>45053</v>
      </c>
      <c r="U214">
        <v>47.163100800000002</v>
      </c>
      <c r="V214">
        <v>-122.828051</v>
      </c>
      <c r="W214" s="252" t="str">
        <f>VLOOKUP(B214,Plantings!$A$2:$E$285,4,FALSE)</f>
        <v>point</v>
      </c>
      <c r="X214" s="251" t="str">
        <f>VLOOKUP(B214,Plantings!$A$2:$E$285,5,FALSE)</f>
        <v>retain</v>
      </c>
      <c r="Y214" s="7" t="s">
        <v>148</v>
      </c>
      <c r="Z214" s="20">
        <v>-1</v>
      </c>
      <c r="AA214" s="5" t="s">
        <v>169</v>
      </c>
      <c r="AB214">
        <v>1.5</v>
      </c>
      <c r="AC214">
        <v>0.5</v>
      </c>
      <c r="AD214">
        <f t="shared" si="36"/>
        <v>0.75</v>
      </c>
      <c r="AE214">
        <f>AG214*0.25</f>
        <v>2.75</v>
      </c>
      <c r="AF214" s="109">
        <f>IF(AA214="staple",AG214*0.005,IF(AA214="rebar",AG214*0.025,IF(AA214="burlap",AG214*0.0625,IF(AA214="washer",AG214*0.0025,IF(AA214="pucks",AG214*0.00785,IF(AA214="turf",AG214*0.01,IF(AA214="TERFS",AG214*0.25,IF(AA214="",""))))))))</f>
        <v>0.27500000000000002</v>
      </c>
      <c r="AG214" s="38">
        <v>11</v>
      </c>
      <c r="AH214" s="119">
        <v>150</v>
      </c>
      <c r="AI214" s="5">
        <f t="shared" si="32"/>
        <v>200</v>
      </c>
      <c r="AJ214" s="5">
        <f t="shared" si="33"/>
        <v>54.545454545454547</v>
      </c>
      <c r="AK214" t="s">
        <v>119</v>
      </c>
      <c r="AL214" s="13" t="s">
        <v>2131</v>
      </c>
    </row>
    <row r="215" spans="1:38" x14ac:dyDescent="0.25">
      <c r="A215" t="s">
        <v>32</v>
      </c>
      <c r="B215" t="s">
        <v>212</v>
      </c>
      <c r="C215" s="252" t="str">
        <f>VLOOKUP(B215,Plantings!$A$2:$C$285,2,FALSE)</f>
        <v>PEN_L1</v>
      </c>
      <c r="D215" s="252" t="str">
        <f>VLOOKUP(B215,Plantings!$A$2:$C$285,3,FALSE)</f>
        <v>single</v>
      </c>
      <c r="E215">
        <v>2016</v>
      </c>
      <c r="F215" t="s">
        <v>459</v>
      </c>
      <c r="G215" t="s">
        <v>412</v>
      </c>
      <c r="H215" t="s">
        <v>68</v>
      </c>
      <c r="I215" t="s">
        <v>405</v>
      </c>
      <c r="J215" t="s">
        <v>59</v>
      </c>
      <c r="K215" t="s">
        <v>176</v>
      </c>
      <c r="L215" t="s">
        <v>11</v>
      </c>
      <c r="M215" t="s">
        <v>179</v>
      </c>
      <c r="N215" t="s">
        <v>140</v>
      </c>
      <c r="O215" t="s">
        <v>52</v>
      </c>
      <c r="P215" t="s">
        <v>60</v>
      </c>
      <c r="Q215" t="s">
        <v>1105</v>
      </c>
      <c r="R215" t="s">
        <v>22</v>
      </c>
      <c r="S215" t="s">
        <v>22</v>
      </c>
      <c r="T215" s="27">
        <v>42510</v>
      </c>
      <c r="U215" s="16">
        <v>47.264066961111112</v>
      </c>
      <c r="V215" s="4">
        <v>-122.73925913055555</v>
      </c>
      <c r="W215" s="252" t="str">
        <f>VLOOKUP(B215,Plantings!$A$2:$E$285,4,FALSE)</f>
        <v>point</v>
      </c>
      <c r="X215" s="251" t="str">
        <f>VLOOKUP(B215,Plantings!$A$2:$E$285,5,FALSE)</f>
        <v>retain</v>
      </c>
      <c r="Y215" s="7" t="s">
        <v>148</v>
      </c>
      <c r="Z215" s="20">
        <v>-2</v>
      </c>
      <c r="AA215" s="5" t="s">
        <v>171</v>
      </c>
      <c r="AB215">
        <v>5</v>
      </c>
      <c r="AC215">
        <v>5</v>
      </c>
      <c r="AD215">
        <f t="shared" si="36"/>
        <v>25</v>
      </c>
      <c r="AE215">
        <v>39</v>
      </c>
      <c r="AF215" s="109">
        <f t="shared" ref="AF215:AF222" si="39">IF(AA215="staple",AG215*0.005,IF(AA215="rebar",AG215*0.025,IF(AA215="burlap",AG215*0.0625,IF(AA215="washer",AG215*0.0025,IF(AA215="pucks",AG215*0.00785,IF(AA215="turf",AG215*0.01,IF(AA215="","")))))))</f>
        <v>9.75</v>
      </c>
      <c r="AG215" s="38">
        <v>156</v>
      </c>
      <c r="AH215" s="38">
        <v>780</v>
      </c>
      <c r="AI215" s="5">
        <f t="shared" si="32"/>
        <v>31.2</v>
      </c>
      <c r="AJ215" s="5">
        <f t="shared" si="33"/>
        <v>20</v>
      </c>
      <c r="AK215" t="s">
        <v>54</v>
      </c>
      <c r="AL215" s="160" t="s">
        <v>53</v>
      </c>
    </row>
    <row r="216" spans="1:38" x14ac:dyDescent="0.25">
      <c r="A216" t="s">
        <v>7</v>
      </c>
      <c r="B216" t="s">
        <v>196</v>
      </c>
      <c r="C216" s="252" t="str">
        <f>VLOOKUP(B216,Plantings!$A$2:$C$285,2,FALSE)</f>
        <v>PTG_5</v>
      </c>
      <c r="D216" s="252" t="str">
        <f>VLOOKUP(B216,Plantings!$A$2:$C$285,3,FALSE)</f>
        <v>single</v>
      </c>
      <c r="E216">
        <v>2014</v>
      </c>
      <c r="F216" t="s">
        <v>462</v>
      </c>
      <c r="G216" t="s">
        <v>412</v>
      </c>
      <c r="H216" t="s">
        <v>7</v>
      </c>
      <c r="I216" t="s">
        <v>407</v>
      </c>
      <c r="J216" t="s">
        <v>12</v>
      </c>
      <c r="K216" t="s">
        <v>178</v>
      </c>
      <c r="L216" t="s">
        <v>231</v>
      </c>
      <c r="M216" t="s">
        <v>138</v>
      </c>
      <c r="N216" t="s">
        <v>139</v>
      </c>
      <c r="O216" t="s">
        <v>49</v>
      </c>
      <c r="P216" t="s">
        <v>63</v>
      </c>
      <c r="Q216" t="s">
        <v>74</v>
      </c>
      <c r="R216" t="s">
        <v>22</v>
      </c>
      <c r="S216" t="s">
        <v>22</v>
      </c>
      <c r="T216" s="27">
        <v>41961</v>
      </c>
      <c r="U216" s="4">
        <v>47.820416666666667</v>
      </c>
      <c r="V216" s="4">
        <v>-122.57201666666667</v>
      </c>
      <c r="W216" s="252" t="str">
        <f>VLOOKUP(B216,Plantings!$A$2:$E$285,4,FALSE)</f>
        <v>point</v>
      </c>
      <c r="X216" s="251" t="str">
        <f>VLOOKUP(B216,Plantings!$A$2:$E$285,5,FALSE)</f>
        <v>retain</v>
      </c>
      <c r="Y216" s="7" t="s">
        <v>148</v>
      </c>
      <c r="Z216" s="20">
        <v>-1.8288</v>
      </c>
      <c r="AA216" s="5" t="s">
        <v>168</v>
      </c>
      <c r="AB216">
        <v>5</v>
      </c>
      <c r="AC216">
        <v>5</v>
      </c>
      <c r="AD216">
        <f t="shared" si="36"/>
        <v>25</v>
      </c>
      <c r="AE216">
        <v>25</v>
      </c>
      <c r="AF216" s="109">
        <f t="shared" si="39"/>
        <v>0.625</v>
      </c>
      <c r="AG216" s="38">
        <f t="shared" ref="AG216:AG222" si="40">AH216/4</f>
        <v>125</v>
      </c>
      <c r="AH216" s="38">
        <v>500</v>
      </c>
      <c r="AI216" s="5">
        <f t="shared" si="32"/>
        <v>20</v>
      </c>
      <c r="AJ216" s="5">
        <f t="shared" si="33"/>
        <v>20</v>
      </c>
      <c r="AK216" t="s">
        <v>566</v>
      </c>
    </row>
    <row r="217" spans="1:38" x14ac:dyDescent="0.25">
      <c r="A217" t="s">
        <v>7</v>
      </c>
      <c r="B217" t="s">
        <v>193</v>
      </c>
      <c r="C217" s="252" t="str">
        <f>VLOOKUP(B217,Plantings!$A$2:$C$285,2,FALSE)</f>
        <v>PTG_2</v>
      </c>
      <c r="D217" s="252" t="str">
        <f>VLOOKUP(B217,Plantings!$A$2:$C$285,3,FALSE)</f>
        <v>single</v>
      </c>
      <c r="E217">
        <v>2014</v>
      </c>
      <c r="F217" t="s">
        <v>462</v>
      </c>
      <c r="G217" t="s">
        <v>412</v>
      </c>
      <c r="H217" t="s">
        <v>7</v>
      </c>
      <c r="I217" t="s">
        <v>407</v>
      </c>
      <c r="J217" t="s">
        <v>12</v>
      </c>
      <c r="K217" t="s">
        <v>178</v>
      </c>
      <c r="L217" t="s">
        <v>231</v>
      </c>
      <c r="M217" t="s">
        <v>138</v>
      </c>
      <c r="N217" t="s">
        <v>139</v>
      </c>
      <c r="O217" t="s">
        <v>49</v>
      </c>
      <c r="P217" t="s">
        <v>63</v>
      </c>
      <c r="Q217" t="s">
        <v>74</v>
      </c>
      <c r="R217" t="s">
        <v>22</v>
      </c>
      <c r="S217" t="s">
        <v>22</v>
      </c>
      <c r="T217" s="27">
        <v>41962</v>
      </c>
      <c r="U217" s="4">
        <v>47.821100000000001</v>
      </c>
      <c r="V217" s="4">
        <v>-122.57796666666667</v>
      </c>
      <c r="W217" s="252" t="str">
        <f>VLOOKUP(B217,Plantings!$A$2:$E$285,4,FALSE)</f>
        <v>point</v>
      </c>
      <c r="X217" s="251" t="str">
        <f>VLOOKUP(B217,Plantings!$A$2:$E$285,5,FALSE)</f>
        <v>retain</v>
      </c>
      <c r="Y217" s="7" t="s">
        <v>148</v>
      </c>
      <c r="Z217" s="20">
        <v>-1.8288</v>
      </c>
      <c r="AA217" s="5" t="s">
        <v>168</v>
      </c>
      <c r="AB217">
        <v>5</v>
      </c>
      <c r="AC217">
        <v>5</v>
      </c>
      <c r="AD217">
        <f t="shared" si="36"/>
        <v>25</v>
      </c>
      <c r="AE217">
        <v>25</v>
      </c>
      <c r="AF217" s="109">
        <f t="shared" si="39"/>
        <v>0.625</v>
      </c>
      <c r="AG217" s="38">
        <f t="shared" si="40"/>
        <v>125</v>
      </c>
      <c r="AH217" s="38">
        <v>500</v>
      </c>
      <c r="AI217" s="5">
        <f t="shared" si="32"/>
        <v>20</v>
      </c>
      <c r="AJ217" s="5">
        <f t="shared" si="33"/>
        <v>20</v>
      </c>
      <c r="AK217" t="s">
        <v>566</v>
      </c>
    </row>
    <row r="218" spans="1:38" x14ac:dyDescent="0.25">
      <c r="A218" t="s">
        <v>7</v>
      </c>
      <c r="B218" t="s">
        <v>194</v>
      </c>
      <c r="C218" s="252" t="str">
        <f>VLOOKUP(B218,Plantings!$A$2:$C$285,2,FALSE)</f>
        <v>PTG_3</v>
      </c>
      <c r="D218" s="252" t="str">
        <f>VLOOKUP(B218,Plantings!$A$2:$C$285,3,FALSE)</f>
        <v>single</v>
      </c>
      <c r="E218">
        <v>2014</v>
      </c>
      <c r="F218" t="s">
        <v>462</v>
      </c>
      <c r="G218" t="s">
        <v>412</v>
      </c>
      <c r="H218" t="s">
        <v>7</v>
      </c>
      <c r="I218" t="s">
        <v>407</v>
      </c>
      <c r="J218" t="s">
        <v>12</v>
      </c>
      <c r="K218" t="s">
        <v>178</v>
      </c>
      <c r="L218" t="s">
        <v>231</v>
      </c>
      <c r="M218" t="s">
        <v>138</v>
      </c>
      <c r="N218" t="s">
        <v>139</v>
      </c>
      <c r="O218" t="s">
        <v>49</v>
      </c>
      <c r="P218" t="s">
        <v>63</v>
      </c>
      <c r="Q218" t="s">
        <v>74</v>
      </c>
      <c r="R218" t="s">
        <v>22</v>
      </c>
      <c r="S218" t="s">
        <v>22</v>
      </c>
      <c r="T218" s="27">
        <v>41962</v>
      </c>
      <c r="U218" s="4">
        <v>47.821566666666669</v>
      </c>
      <c r="V218" s="4">
        <v>-122.57531666666667</v>
      </c>
      <c r="W218" s="252" t="str">
        <f>VLOOKUP(B218,Plantings!$A$2:$E$285,4,FALSE)</f>
        <v>point</v>
      </c>
      <c r="X218" s="251" t="str">
        <f>VLOOKUP(B218,Plantings!$A$2:$E$285,5,FALSE)</f>
        <v>retain</v>
      </c>
      <c r="Y218" s="7" t="s">
        <v>148</v>
      </c>
      <c r="Z218" s="20">
        <v>-2.7431999999999999</v>
      </c>
      <c r="AA218" s="5" t="s">
        <v>168</v>
      </c>
      <c r="AB218">
        <v>5</v>
      </c>
      <c r="AC218">
        <v>5</v>
      </c>
      <c r="AD218">
        <f t="shared" si="36"/>
        <v>25</v>
      </c>
      <c r="AE218">
        <v>25</v>
      </c>
      <c r="AF218" s="109">
        <f t="shared" si="39"/>
        <v>0.625</v>
      </c>
      <c r="AG218" s="38">
        <f t="shared" si="40"/>
        <v>125</v>
      </c>
      <c r="AH218" s="38">
        <v>500</v>
      </c>
      <c r="AI218" s="5">
        <f t="shared" si="32"/>
        <v>20</v>
      </c>
      <c r="AJ218" s="5">
        <f t="shared" si="33"/>
        <v>20</v>
      </c>
      <c r="AK218" t="s">
        <v>566</v>
      </c>
    </row>
    <row r="219" spans="1:38" x14ac:dyDescent="0.25">
      <c r="A219" t="s">
        <v>7</v>
      </c>
      <c r="B219" t="s">
        <v>195</v>
      </c>
      <c r="C219" s="252" t="str">
        <f>VLOOKUP(B219,Plantings!$A$2:$C$285,2,FALSE)</f>
        <v>PTG_4</v>
      </c>
      <c r="D219" s="252" t="str">
        <f>VLOOKUP(B219,Plantings!$A$2:$C$285,3,FALSE)</f>
        <v>single</v>
      </c>
      <c r="E219">
        <v>2014</v>
      </c>
      <c r="F219" t="s">
        <v>462</v>
      </c>
      <c r="G219" t="s">
        <v>412</v>
      </c>
      <c r="H219" t="s">
        <v>7</v>
      </c>
      <c r="I219" t="s">
        <v>407</v>
      </c>
      <c r="J219" t="s">
        <v>12</v>
      </c>
      <c r="K219" t="s">
        <v>178</v>
      </c>
      <c r="L219" t="s">
        <v>231</v>
      </c>
      <c r="M219" t="s">
        <v>138</v>
      </c>
      <c r="N219" t="s">
        <v>139</v>
      </c>
      <c r="O219" t="s">
        <v>49</v>
      </c>
      <c r="P219" t="s">
        <v>63</v>
      </c>
      <c r="Q219" t="s">
        <v>74</v>
      </c>
      <c r="R219" t="s">
        <v>22</v>
      </c>
      <c r="S219" t="s">
        <v>22</v>
      </c>
      <c r="T219" s="27">
        <v>41962</v>
      </c>
      <c r="U219" s="4">
        <v>47.820300000000003</v>
      </c>
      <c r="V219" s="4">
        <v>-122.5757</v>
      </c>
      <c r="W219" s="252" t="str">
        <f>VLOOKUP(B219,Plantings!$A$2:$E$285,4,FALSE)</f>
        <v>point</v>
      </c>
      <c r="X219" s="251" t="str">
        <f>VLOOKUP(B219,Plantings!$A$2:$E$285,5,FALSE)</f>
        <v>retain</v>
      </c>
      <c r="Y219" s="7" t="s">
        <v>148</v>
      </c>
      <c r="Z219" s="20">
        <v>-1.2192000000000001</v>
      </c>
      <c r="AA219" s="5" t="s">
        <v>168</v>
      </c>
      <c r="AB219">
        <v>5</v>
      </c>
      <c r="AC219">
        <v>5</v>
      </c>
      <c r="AD219">
        <f t="shared" si="36"/>
        <v>25</v>
      </c>
      <c r="AE219">
        <v>25</v>
      </c>
      <c r="AF219" s="109">
        <f t="shared" si="39"/>
        <v>0.625</v>
      </c>
      <c r="AG219" s="38">
        <f t="shared" si="40"/>
        <v>125</v>
      </c>
      <c r="AH219" s="38">
        <v>500</v>
      </c>
      <c r="AI219" s="5">
        <f t="shared" ref="AI219:AI250" si="41">IFERROR(AH219/AD219, "")</f>
        <v>20</v>
      </c>
      <c r="AJ219" s="5">
        <f t="shared" ref="AJ219:AJ250" si="42">IFERROR(AH219/AE219, "")</f>
        <v>20</v>
      </c>
      <c r="AK219" t="s">
        <v>566</v>
      </c>
    </row>
    <row r="220" spans="1:38" x14ac:dyDescent="0.25">
      <c r="A220" t="s">
        <v>7</v>
      </c>
      <c r="B220" t="s">
        <v>192</v>
      </c>
      <c r="C220" s="252" t="str">
        <f>VLOOKUP(B220,Plantings!$A$2:$C$285,2,FALSE)</f>
        <v>PTG_1</v>
      </c>
      <c r="D220" s="252" t="str">
        <f>VLOOKUP(B220,Plantings!$A$2:$C$285,3,FALSE)</f>
        <v>single</v>
      </c>
      <c r="E220">
        <v>2014</v>
      </c>
      <c r="F220" t="s">
        <v>462</v>
      </c>
      <c r="G220" t="s">
        <v>412</v>
      </c>
      <c r="H220" t="s">
        <v>7</v>
      </c>
      <c r="I220" t="s">
        <v>407</v>
      </c>
      <c r="J220" t="s">
        <v>12</v>
      </c>
      <c r="K220" t="s">
        <v>178</v>
      </c>
      <c r="L220" t="s">
        <v>231</v>
      </c>
      <c r="M220" t="s">
        <v>138</v>
      </c>
      <c r="N220" t="s">
        <v>139</v>
      </c>
      <c r="O220" t="s">
        <v>49</v>
      </c>
      <c r="P220" t="s">
        <v>63</v>
      </c>
      <c r="Q220" t="s">
        <v>74</v>
      </c>
      <c r="R220" t="s">
        <v>22</v>
      </c>
      <c r="S220" t="s">
        <v>22</v>
      </c>
      <c r="T220" s="27">
        <v>41963</v>
      </c>
      <c r="U220" s="4">
        <v>47.823266666666669</v>
      </c>
      <c r="V220" s="4">
        <v>-122.5821</v>
      </c>
      <c r="W220" s="252" t="str">
        <f>VLOOKUP(B220,Plantings!$A$2:$E$285,4,FALSE)</f>
        <v>point</v>
      </c>
      <c r="X220" s="251" t="str">
        <f>VLOOKUP(B220,Plantings!$A$2:$E$285,5,FALSE)</f>
        <v>retain</v>
      </c>
      <c r="Y220" s="7" t="s">
        <v>148</v>
      </c>
      <c r="Z220" s="20">
        <v>-1.8288</v>
      </c>
      <c r="AA220" s="5" t="s">
        <v>168</v>
      </c>
      <c r="AB220">
        <v>5</v>
      </c>
      <c r="AC220">
        <v>5</v>
      </c>
      <c r="AD220">
        <f t="shared" si="36"/>
        <v>25</v>
      </c>
      <c r="AE220">
        <v>25</v>
      </c>
      <c r="AF220" s="109">
        <f t="shared" si="39"/>
        <v>0.625</v>
      </c>
      <c r="AG220" s="38">
        <f t="shared" si="40"/>
        <v>125</v>
      </c>
      <c r="AH220" s="38">
        <v>500</v>
      </c>
      <c r="AI220" s="5">
        <f t="shared" si="41"/>
        <v>20</v>
      </c>
      <c r="AJ220" s="5">
        <f t="shared" si="42"/>
        <v>20</v>
      </c>
      <c r="AK220" t="s">
        <v>566</v>
      </c>
    </row>
    <row r="221" spans="1:38" x14ac:dyDescent="0.25">
      <c r="A221" t="s">
        <v>7</v>
      </c>
      <c r="B221" t="s">
        <v>197</v>
      </c>
      <c r="C221" s="252" t="str">
        <f>VLOOKUP(B221,Plantings!$A$2:$C$285,2,FALSE)</f>
        <v>PTG_6</v>
      </c>
      <c r="D221" s="252" t="str">
        <f>VLOOKUP(B221,Plantings!$A$2:$C$285,3,FALSE)</f>
        <v>single</v>
      </c>
      <c r="E221">
        <v>2014</v>
      </c>
      <c r="F221" t="s">
        <v>462</v>
      </c>
      <c r="G221" t="s">
        <v>412</v>
      </c>
      <c r="H221" t="s">
        <v>7</v>
      </c>
      <c r="I221" t="s">
        <v>407</v>
      </c>
      <c r="J221" t="s">
        <v>12</v>
      </c>
      <c r="K221" t="s">
        <v>178</v>
      </c>
      <c r="L221" t="s">
        <v>231</v>
      </c>
      <c r="M221" t="s">
        <v>138</v>
      </c>
      <c r="N221" t="s">
        <v>139</v>
      </c>
      <c r="O221" t="s">
        <v>49</v>
      </c>
      <c r="P221" t="s">
        <v>63</v>
      </c>
      <c r="Q221" t="s">
        <v>74</v>
      </c>
      <c r="R221" t="s">
        <v>22</v>
      </c>
      <c r="S221" t="s">
        <v>22</v>
      </c>
      <c r="T221" s="27">
        <v>41963</v>
      </c>
      <c r="U221" s="4">
        <v>47.821066666666667</v>
      </c>
      <c r="V221" s="4">
        <v>-122.56726666666667</v>
      </c>
      <c r="W221" s="252" t="str">
        <f>VLOOKUP(B221,Plantings!$A$2:$E$285,4,FALSE)</f>
        <v>point</v>
      </c>
      <c r="X221" s="251" t="str">
        <f>VLOOKUP(B221,Plantings!$A$2:$E$285,5,FALSE)</f>
        <v>retain</v>
      </c>
      <c r="Y221" s="7" t="s">
        <v>148</v>
      </c>
      <c r="Z221" s="20">
        <v>-1.8288</v>
      </c>
      <c r="AA221" s="5" t="s">
        <v>168</v>
      </c>
      <c r="AB221">
        <v>5</v>
      </c>
      <c r="AC221">
        <v>5</v>
      </c>
      <c r="AD221">
        <f t="shared" si="36"/>
        <v>25</v>
      </c>
      <c r="AE221">
        <v>25</v>
      </c>
      <c r="AF221" s="109">
        <f t="shared" si="39"/>
        <v>0.625</v>
      </c>
      <c r="AG221" s="38">
        <f t="shared" si="40"/>
        <v>125</v>
      </c>
      <c r="AH221" s="38">
        <v>500</v>
      </c>
      <c r="AI221" s="5">
        <f t="shared" si="41"/>
        <v>20</v>
      </c>
      <c r="AJ221" s="5">
        <f t="shared" si="42"/>
        <v>20</v>
      </c>
      <c r="AK221" t="s">
        <v>566</v>
      </c>
    </row>
    <row r="222" spans="1:38" x14ac:dyDescent="0.25">
      <c r="A222" t="s">
        <v>7</v>
      </c>
      <c r="B222" t="s">
        <v>616</v>
      </c>
      <c r="C222" s="252" t="str">
        <f>VLOOKUP(B222,Plantings!$A$2:$C$285,2,FALSE)</f>
        <v>PTG_P1</v>
      </c>
      <c r="D222" s="252" t="str">
        <f>VLOOKUP(B222,Plantings!$A$2:$C$285,3,FALSE)</f>
        <v>single</v>
      </c>
      <c r="E222">
        <v>2015</v>
      </c>
      <c r="F222" t="s">
        <v>462</v>
      </c>
      <c r="G222" t="s">
        <v>413</v>
      </c>
      <c r="H222" t="s">
        <v>7</v>
      </c>
      <c r="I222" t="s">
        <v>407</v>
      </c>
      <c r="J222" t="s">
        <v>12</v>
      </c>
      <c r="K222" t="s">
        <v>178</v>
      </c>
      <c r="L222" t="s">
        <v>231</v>
      </c>
      <c r="M222" t="s">
        <v>138</v>
      </c>
      <c r="N222" t="s">
        <v>139</v>
      </c>
      <c r="O222" t="s">
        <v>49</v>
      </c>
      <c r="P222" t="s">
        <v>63</v>
      </c>
      <c r="Q222" t="s">
        <v>74</v>
      </c>
      <c r="R222" t="s">
        <v>13</v>
      </c>
      <c r="S222" t="s">
        <v>13</v>
      </c>
      <c r="T222" s="27">
        <v>42095</v>
      </c>
      <c r="U222" s="4">
        <v>47.823466666666668</v>
      </c>
      <c r="V222" s="4">
        <v>-122.58203333333333</v>
      </c>
      <c r="W222" s="252" t="str">
        <f>VLOOKUP(B222,Plantings!$A$2:$E$285,4,FALSE)</f>
        <v>polygon</v>
      </c>
      <c r="X222" s="251" t="str">
        <f>VLOOKUP(B222,Plantings!$A$2:$E$285,5,FALSE)</f>
        <v>retain</v>
      </c>
      <c r="Y222" s="7" t="s">
        <v>148</v>
      </c>
      <c r="Z222" s="20"/>
      <c r="AA222" s="6" t="s">
        <v>168</v>
      </c>
      <c r="AB222" s="11">
        <v>48</v>
      </c>
      <c r="AC222" s="11">
        <v>36</v>
      </c>
      <c r="AD222">
        <f t="shared" si="36"/>
        <v>1728</v>
      </c>
      <c r="AE222" s="6">
        <v>240</v>
      </c>
      <c r="AF222" s="109">
        <f t="shared" si="39"/>
        <v>6</v>
      </c>
      <c r="AG222" s="38">
        <f t="shared" si="40"/>
        <v>1200</v>
      </c>
      <c r="AH222" s="118">
        <v>4800</v>
      </c>
      <c r="AI222" s="5">
        <f t="shared" si="41"/>
        <v>2.7777777777777777</v>
      </c>
      <c r="AJ222" s="5">
        <f t="shared" si="42"/>
        <v>20</v>
      </c>
      <c r="AK222" t="s">
        <v>566</v>
      </c>
      <c r="AL222" s="160"/>
    </row>
    <row r="223" spans="1:38" x14ac:dyDescent="0.25">
      <c r="A223" t="s">
        <v>7</v>
      </c>
      <c r="B223" t="s">
        <v>617</v>
      </c>
      <c r="C223" s="252" t="str">
        <f>VLOOKUP(B223,Plantings!$A$2:$C$285,2,FALSE)</f>
        <v>PTG_P1</v>
      </c>
      <c r="D223" s="252" t="str">
        <f>VLOOKUP(B223,Plantings!$A$2:$C$285,3,FALSE)</f>
        <v>single</v>
      </c>
      <c r="E223">
        <v>2015</v>
      </c>
      <c r="F223" t="s">
        <v>462</v>
      </c>
      <c r="G223" t="s">
        <v>413</v>
      </c>
      <c r="H223" t="s">
        <v>7</v>
      </c>
      <c r="I223" t="s">
        <v>407</v>
      </c>
      <c r="J223" t="s">
        <v>12</v>
      </c>
      <c r="K223" t="s">
        <v>178</v>
      </c>
      <c r="L223" t="s">
        <v>231</v>
      </c>
      <c r="M223" t="s">
        <v>138</v>
      </c>
      <c r="N223" t="s">
        <v>139</v>
      </c>
      <c r="O223" t="s">
        <v>49</v>
      </c>
      <c r="P223" t="s">
        <v>63</v>
      </c>
      <c r="Q223" t="s">
        <v>74</v>
      </c>
      <c r="R223" t="s">
        <v>13</v>
      </c>
      <c r="S223" s="25" t="s">
        <v>520</v>
      </c>
      <c r="T223" s="27">
        <v>42095</v>
      </c>
      <c r="U223" s="4">
        <v>47.8232</v>
      </c>
      <c r="V223" s="4">
        <v>-122.58154999999999</v>
      </c>
      <c r="W223" s="252" t="str">
        <f>VLOOKUP(B223,Plantings!$A$2:$E$285,4,FALSE)</f>
        <v>polygon</v>
      </c>
      <c r="X223" s="251" t="str">
        <f>VLOOKUP(B223,Plantings!$A$2:$E$285,5,FALSE)</f>
        <v>retain</v>
      </c>
      <c r="Y223" s="7" t="s">
        <v>148</v>
      </c>
      <c r="Z223" s="20"/>
      <c r="AA223" s="6" t="s">
        <v>168</v>
      </c>
      <c r="AB223" s="11"/>
      <c r="AC223" s="11"/>
      <c r="AE223" s="6"/>
      <c r="AF223" s="109"/>
      <c r="AG223" s="118"/>
      <c r="AH223" s="118"/>
      <c r="AI223" s="5" t="str">
        <f t="shared" si="41"/>
        <v/>
      </c>
      <c r="AJ223" s="5" t="str">
        <f t="shared" si="42"/>
        <v/>
      </c>
      <c r="AL223" s="160"/>
    </row>
    <row r="224" spans="1:38" x14ac:dyDescent="0.25">
      <c r="A224" t="s">
        <v>7</v>
      </c>
      <c r="B224" t="s">
        <v>618</v>
      </c>
      <c r="C224" s="252" t="str">
        <f>VLOOKUP(B224,Plantings!$A$2:$C$285,2,FALSE)</f>
        <v>PTG_P1</v>
      </c>
      <c r="D224" s="252" t="str">
        <f>VLOOKUP(B224,Plantings!$A$2:$C$285,3,FALSE)</f>
        <v>single</v>
      </c>
      <c r="E224">
        <v>2015</v>
      </c>
      <c r="F224" t="s">
        <v>462</v>
      </c>
      <c r="G224" t="s">
        <v>413</v>
      </c>
      <c r="H224" t="s">
        <v>7</v>
      </c>
      <c r="I224" t="s">
        <v>407</v>
      </c>
      <c r="J224" t="s">
        <v>12</v>
      </c>
      <c r="K224" t="s">
        <v>178</v>
      </c>
      <c r="L224" t="s">
        <v>231</v>
      </c>
      <c r="M224" t="s">
        <v>138</v>
      </c>
      <c r="N224" t="s">
        <v>139</v>
      </c>
      <c r="O224" t="s">
        <v>49</v>
      </c>
      <c r="P224" t="s">
        <v>63</v>
      </c>
      <c r="Q224" t="s">
        <v>74</v>
      </c>
      <c r="R224" t="s">
        <v>13</v>
      </c>
      <c r="S224" s="25" t="s">
        <v>520</v>
      </c>
      <c r="T224" s="27">
        <v>42095</v>
      </c>
      <c r="U224" s="4">
        <v>47.823050000000002</v>
      </c>
      <c r="V224" s="4">
        <v>-122.58188333333334</v>
      </c>
      <c r="W224" s="252" t="str">
        <f>VLOOKUP(B224,Plantings!$A$2:$E$285,4,FALSE)</f>
        <v>polygon</v>
      </c>
      <c r="X224" s="251" t="str">
        <f>VLOOKUP(B224,Plantings!$A$2:$E$285,5,FALSE)</f>
        <v>retain</v>
      </c>
      <c r="Y224" s="7" t="s">
        <v>148</v>
      </c>
      <c r="Z224" s="20"/>
      <c r="AA224" s="6" t="s">
        <v>168</v>
      </c>
      <c r="AB224" s="11"/>
      <c r="AC224" s="11"/>
      <c r="AE224" s="6"/>
      <c r="AF224" s="109"/>
      <c r="AG224" s="118"/>
      <c r="AH224" s="118"/>
      <c r="AI224" s="5" t="str">
        <f t="shared" si="41"/>
        <v/>
      </c>
      <c r="AJ224" s="5" t="str">
        <f t="shared" si="42"/>
        <v/>
      </c>
      <c r="AL224" s="160"/>
    </row>
    <row r="225" spans="1:38" x14ac:dyDescent="0.25">
      <c r="A225" t="s">
        <v>7</v>
      </c>
      <c r="B225" t="s">
        <v>619</v>
      </c>
      <c r="C225" s="252" t="str">
        <f>VLOOKUP(B225,Plantings!$A$2:$C$285,2,FALSE)</f>
        <v>PTG_P1</v>
      </c>
      <c r="D225" s="252" t="str">
        <f>VLOOKUP(B225,Plantings!$A$2:$C$285,3,FALSE)</f>
        <v>single</v>
      </c>
      <c r="E225">
        <v>2015</v>
      </c>
      <c r="F225" t="s">
        <v>462</v>
      </c>
      <c r="G225" t="s">
        <v>413</v>
      </c>
      <c r="H225" t="s">
        <v>7</v>
      </c>
      <c r="I225" t="s">
        <v>407</v>
      </c>
      <c r="J225" t="s">
        <v>12</v>
      </c>
      <c r="K225" t="s">
        <v>178</v>
      </c>
      <c r="L225" t="s">
        <v>231</v>
      </c>
      <c r="M225" t="s">
        <v>138</v>
      </c>
      <c r="N225" t="s">
        <v>139</v>
      </c>
      <c r="O225" t="s">
        <v>49</v>
      </c>
      <c r="P225" t="s">
        <v>63</v>
      </c>
      <c r="Q225" t="s">
        <v>74</v>
      </c>
      <c r="R225" t="s">
        <v>13</v>
      </c>
      <c r="S225" s="25" t="s">
        <v>520</v>
      </c>
      <c r="T225" s="27">
        <v>42095</v>
      </c>
      <c r="U225" s="4">
        <v>47.823283333333336</v>
      </c>
      <c r="V225" s="4">
        <v>-122.58235000000001</v>
      </c>
      <c r="W225" s="252" t="str">
        <f>VLOOKUP(B225,Plantings!$A$2:$E$285,4,FALSE)</f>
        <v>polygon</v>
      </c>
      <c r="X225" s="251" t="str">
        <f>VLOOKUP(B225,Plantings!$A$2:$E$285,5,FALSE)</f>
        <v>retain</v>
      </c>
      <c r="Y225" s="7" t="s">
        <v>148</v>
      </c>
      <c r="Z225" s="20">
        <v>-1.8288</v>
      </c>
      <c r="AA225" s="6" t="s">
        <v>168</v>
      </c>
      <c r="AB225" s="11"/>
      <c r="AC225" s="11"/>
      <c r="AE225" s="6"/>
      <c r="AF225" s="109"/>
      <c r="AG225" s="118"/>
      <c r="AH225" s="118"/>
      <c r="AI225" s="5" t="str">
        <f t="shared" si="41"/>
        <v/>
      </c>
      <c r="AJ225" s="5" t="str">
        <f t="shared" si="42"/>
        <v/>
      </c>
      <c r="AL225" s="160"/>
    </row>
    <row r="226" spans="1:38" x14ac:dyDescent="0.25">
      <c r="A226" t="s">
        <v>7</v>
      </c>
      <c r="B226" t="s">
        <v>620</v>
      </c>
      <c r="C226" s="252" t="str">
        <f>VLOOKUP(B226,Plantings!$A$2:$C$285,2,FALSE)</f>
        <v>PTG_P2</v>
      </c>
      <c r="D226" s="252" t="str">
        <f>VLOOKUP(B226,Plantings!$A$2:$C$285,3,FALSE)</f>
        <v>single</v>
      </c>
      <c r="E226">
        <v>2015</v>
      </c>
      <c r="F226" t="s">
        <v>462</v>
      </c>
      <c r="G226" t="s">
        <v>413</v>
      </c>
      <c r="H226" t="s">
        <v>7</v>
      </c>
      <c r="I226" t="s">
        <v>407</v>
      </c>
      <c r="J226" t="s">
        <v>12</v>
      </c>
      <c r="K226" t="s">
        <v>178</v>
      </c>
      <c r="L226" t="s">
        <v>231</v>
      </c>
      <c r="M226" t="s">
        <v>138</v>
      </c>
      <c r="N226" t="s">
        <v>139</v>
      </c>
      <c r="O226" t="s">
        <v>49</v>
      </c>
      <c r="P226" t="s">
        <v>63</v>
      </c>
      <c r="Q226" t="s">
        <v>74</v>
      </c>
      <c r="R226" t="s">
        <v>13</v>
      </c>
      <c r="S226" t="s">
        <v>13</v>
      </c>
      <c r="T226" s="27">
        <v>42095</v>
      </c>
      <c r="U226" s="4">
        <v>47.822049999999997</v>
      </c>
      <c r="V226" s="4">
        <v>-122.5805</v>
      </c>
      <c r="W226" s="252" t="str">
        <f>VLOOKUP(B226,Plantings!$A$2:$E$285,4,FALSE)</f>
        <v>polygon</v>
      </c>
      <c r="X226" s="251" t="str">
        <f>VLOOKUP(B226,Plantings!$A$2:$E$285,5,FALSE)</f>
        <v>retain</v>
      </c>
      <c r="Y226" s="7" t="s">
        <v>148</v>
      </c>
      <c r="Z226" s="20"/>
      <c r="AA226" s="6" t="s">
        <v>168</v>
      </c>
      <c r="AB226" s="11">
        <v>60</v>
      </c>
      <c r="AC226" s="11">
        <v>36</v>
      </c>
      <c r="AD226">
        <f>AB226*AC226</f>
        <v>2160</v>
      </c>
      <c r="AE226" s="6">
        <v>320</v>
      </c>
      <c r="AF226" s="109">
        <f>IF(AA226="staple",AG226*0.005,IF(AA226="rebar",AG226*0.025,IF(AA226="burlap",AG226*0.0625,IF(AA226="washer",AG226*0.0025,IF(AA226="pucks",AG226*0.00785,IF(AA226="turf",AG226*0.01,IF(AA226="","")))))))</f>
        <v>7.9125000000000005</v>
      </c>
      <c r="AG226" s="38">
        <f>AH226/4</f>
        <v>1582.5</v>
      </c>
      <c r="AH226" s="118">
        <v>6330</v>
      </c>
      <c r="AI226" s="5">
        <f t="shared" si="41"/>
        <v>2.9305555555555554</v>
      </c>
      <c r="AJ226" s="5">
        <f t="shared" si="42"/>
        <v>19.78125</v>
      </c>
      <c r="AK226" t="s">
        <v>566</v>
      </c>
      <c r="AL226" s="160"/>
    </row>
    <row r="227" spans="1:38" x14ac:dyDescent="0.25">
      <c r="A227" t="s">
        <v>7</v>
      </c>
      <c r="B227" t="s">
        <v>621</v>
      </c>
      <c r="C227" s="252" t="str">
        <f>VLOOKUP(B227,Plantings!$A$2:$C$285,2,FALSE)</f>
        <v>PTG_P2</v>
      </c>
      <c r="D227" s="252" t="str">
        <f>VLOOKUP(B227,Plantings!$A$2:$C$285,3,FALSE)</f>
        <v>single</v>
      </c>
      <c r="E227">
        <v>2015</v>
      </c>
      <c r="F227" t="s">
        <v>462</v>
      </c>
      <c r="G227" t="s">
        <v>413</v>
      </c>
      <c r="H227" t="s">
        <v>7</v>
      </c>
      <c r="I227" t="s">
        <v>407</v>
      </c>
      <c r="J227" t="s">
        <v>12</v>
      </c>
      <c r="K227" t="s">
        <v>178</v>
      </c>
      <c r="L227" t="s">
        <v>231</v>
      </c>
      <c r="M227" t="s">
        <v>138</v>
      </c>
      <c r="N227" t="s">
        <v>139</v>
      </c>
      <c r="O227" t="s">
        <v>49</v>
      </c>
      <c r="P227" t="s">
        <v>63</v>
      </c>
      <c r="Q227" t="s">
        <v>74</v>
      </c>
      <c r="R227" t="s">
        <v>13</v>
      </c>
      <c r="S227" s="25" t="s">
        <v>520</v>
      </c>
      <c r="T227" s="27">
        <v>42095</v>
      </c>
      <c r="U227" s="4">
        <v>47.821750000000002</v>
      </c>
      <c r="V227" s="4">
        <v>-122.57996666666666</v>
      </c>
      <c r="W227" s="252" t="str">
        <f>VLOOKUP(B227,Plantings!$A$2:$E$285,4,FALSE)</f>
        <v>polygon</v>
      </c>
      <c r="X227" s="251" t="str">
        <f>VLOOKUP(B227,Plantings!$A$2:$E$285,5,FALSE)</f>
        <v>retain</v>
      </c>
      <c r="Y227" s="7" t="s">
        <v>148</v>
      </c>
      <c r="Z227" s="20"/>
      <c r="AA227" s="6" t="s">
        <v>168</v>
      </c>
      <c r="AB227" s="11"/>
      <c r="AC227" s="11"/>
      <c r="AE227" s="6"/>
      <c r="AF227" s="109"/>
      <c r="AG227" s="118"/>
      <c r="AH227" s="118"/>
      <c r="AI227" s="5" t="str">
        <f t="shared" si="41"/>
        <v/>
      </c>
      <c r="AJ227" s="5" t="str">
        <f t="shared" si="42"/>
        <v/>
      </c>
      <c r="AL227" s="160"/>
    </row>
    <row r="228" spans="1:38" x14ac:dyDescent="0.25">
      <c r="A228" t="s">
        <v>7</v>
      </c>
      <c r="B228" t="s">
        <v>622</v>
      </c>
      <c r="C228" s="252" t="str">
        <f>VLOOKUP(B228,Plantings!$A$2:$C$285,2,FALSE)</f>
        <v>PTG_P2</v>
      </c>
      <c r="D228" s="252" t="str">
        <f>VLOOKUP(B228,Plantings!$A$2:$C$285,3,FALSE)</f>
        <v>single</v>
      </c>
      <c r="E228">
        <v>2015</v>
      </c>
      <c r="F228" t="s">
        <v>462</v>
      </c>
      <c r="G228" t="s">
        <v>413</v>
      </c>
      <c r="H228" t="s">
        <v>7</v>
      </c>
      <c r="I228" t="s">
        <v>407</v>
      </c>
      <c r="J228" t="s">
        <v>12</v>
      </c>
      <c r="K228" t="s">
        <v>178</v>
      </c>
      <c r="L228" t="s">
        <v>231</v>
      </c>
      <c r="M228" t="s">
        <v>138</v>
      </c>
      <c r="N228" t="s">
        <v>139</v>
      </c>
      <c r="O228" t="s">
        <v>49</v>
      </c>
      <c r="P228" t="s">
        <v>63</v>
      </c>
      <c r="Q228" t="s">
        <v>74</v>
      </c>
      <c r="R228" t="s">
        <v>13</v>
      </c>
      <c r="S228" s="25" t="s">
        <v>520</v>
      </c>
      <c r="T228" s="27">
        <v>42095</v>
      </c>
      <c r="U228" s="4">
        <v>47.821516666666668</v>
      </c>
      <c r="V228" s="4">
        <v>-122.58021666666667</v>
      </c>
      <c r="W228" s="252" t="str">
        <f>VLOOKUP(B228,Plantings!$A$2:$E$285,4,FALSE)</f>
        <v>polygon</v>
      </c>
      <c r="X228" s="251" t="str">
        <f>VLOOKUP(B228,Plantings!$A$2:$E$285,5,FALSE)</f>
        <v>retain</v>
      </c>
      <c r="Y228" s="7" t="s">
        <v>148</v>
      </c>
      <c r="Z228" s="20"/>
      <c r="AA228" s="6" t="s">
        <v>168</v>
      </c>
      <c r="AB228" s="11"/>
      <c r="AC228" s="11"/>
      <c r="AE228" s="6"/>
      <c r="AF228" s="109"/>
      <c r="AG228" s="118"/>
      <c r="AH228" s="118"/>
      <c r="AI228" s="5" t="str">
        <f t="shared" si="41"/>
        <v/>
      </c>
      <c r="AJ228" s="5" t="str">
        <f t="shared" si="42"/>
        <v/>
      </c>
      <c r="AL228" s="160"/>
    </row>
    <row r="229" spans="1:38" x14ac:dyDescent="0.25">
      <c r="A229" t="s">
        <v>7</v>
      </c>
      <c r="B229" t="s">
        <v>623</v>
      </c>
      <c r="C229" s="252" t="str">
        <f>VLOOKUP(B229,Plantings!$A$2:$C$285,2,FALSE)</f>
        <v>PTG_P2</v>
      </c>
      <c r="D229" s="252" t="str">
        <f>VLOOKUP(B229,Plantings!$A$2:$C$285,3,FALSE)</f>
        <v>single</v>
      </c>
      <c r="E229">
        <v>2015</v>
      </c>
      <c r="F229" t="s">
        <v>462</v>
      </c>
      <c r="G229" t="s">
        <v>413</v>
      </c>
      <c r="H229" t="s">
        <v>7</v>
      </c>
      <c r="I229" t="s">
        <v>407</v>
      </c>
      <c r="J229" t="s">
        <v>12</v>
      </c>
      <c r="K229" t="s">
        <v>178</v>
      </c>
      <c r="L229" t="s">
        <v>231</v>
      </c>
      <c r="M229" t="s">
        <v>138</v>
      </c>
      <c r="N229" t="s">
        <v>139</v>
      </c>
      <c r="O229" t="s">
        <v>49</v>
      </c>
      <c r="P229" t="s">
        <v>63</v>
      </c>
      <c r="Q229" t="s">
        <v>74</v>
      </c>
      <c r="R229" t="s">
        <v>13</v>
      </c>
      <c r="S229" s="25" t="s">
        <v>520</v>
      </c>
      <c r="T229" s="27">
        <v>42095</v>
      </c>
      <c r="U229" s="4">
        <v>47.821783333333336</v>
      </c>
      <c r="V229" s="4">
        <v>-122.58091666666667</v>
      </c>
      <c r="W229" s="252" t="str">
        <f>VLOOKUP(B229,Plantings!$A$2:$E$285,4,FALSE)</f>
        <v>polygon</v>
      </c>
      <c r="X229" s="251" t="str">
        <f>VLOOKUP(B229,Plantings!$A$2:$E$285,5,FALSE)</f>
        <v>retain</v>
      </c>
      <c r="Y229" s="7" t="s">
        <v>148</v>
      </c>
      <c r="Z229" s="20"/>
      <c r="AA229" s="6" t="s">
        <v>168</v>
      </c>
      <c r="AB229" s="11"/>
      <c r="AC229" s="11"/>
      <c r="AE229" s="6"/>
      <c r="AF229" s="109"/>
      <c r="AG229" s="118"/>
      <c r="AH229" s="118"/>
      <c r="AI229" s="5" t="str">
        <f t="shared" si="41"/>
        <v/>
      </c>
      <c r="AJ229" s="5" t="str">
        <f t="shared" si="42"/>
        <v/>
      </c>
      <c r="AL229" s="160"/>
    </row>
    <row r="230" spans="1:38" x14ac:dyDescent="0.25">
      <c r="A230" t="s">
        <v>7</v>
      </c>
      <c r="B230" t="s">
        <v>624</v>
      </c>
      <c r="C230" s="252" t="str">
        <f>VLOOKUP(B230,Plantings!$A$2:$C$285,2,FALSE)</f>
        <v>PTG_P3</v>
      </c>
      <c r="D230" s="252" t="str">
        <f>VLOOKUP(B230,Plantings!$A$2:$C$285,3,FALSE)</f>
        <v>single</v>
      </c>
      <c r="E230">
        <v>2015</v>
      </c>
      <c r="F230" t="s">
        <v>462</v>
      </c>
      <c r="G230" t="s">
        <v>413</v>
      </c>
      <c r="H230" t="s">
        <v>7</v>
      </c>
      <c r="I230" t="s">
        <v>407</v>
      </c>
      <c r="J230" t="s">
        <v>12</v>
      </c>
      <c r="K230" t="s">
        <v>178</v>
      </c>
      <c r="L230" t="s">
        <v>231</v>
      </c>
      <c r="M230" t="s">
        <v>138</v>
      </c>
      <c r="N230" t="s">
        <v>139</v>
      </c>
      <c r="O230" t="s">
        <v>49</v>
      </c>
      <c r="P230" t="s">
        <v>63</v>
      </c>
      <c r="Q230" t="s">
        <v>74</v>
      </c>
      <c r="R230" t="s">
        <v>13</v>
      </c>
      <c r="S230" t="s">
        <v>13</v>
      </c>
      <c r="T230" s="27">
        <v>42095</v>
      </c>
      <c r="U230" s="4">
        <v>47.821566666666669</v>
      </c>
      <c r="V230" s="4">
        <v>-122.57801666666667</v>
      </c>
      <c r="W230" s="252" t="str">
        <f>VLOOKUP(B230,Plantings!$A$2:$E$285,4,FALSE)</f>
        <v>polygon</v>
      </c>
      <c r="X230" s="251" t="str">
        <f>VLOOKUP(B230,Plantings!$A$2:$E$285,5,FALSE)</f>
        <v>retain</v>
      </c>
      <c r="Y230" s="7" t="s">
        <v>148</v>
      </c>
      <c r="Z230" s="20"/>
      <c r="AA230" s="6" t="s">
        <v>168</v>
      </c>
      <c r="AB230" s="11">
        <v>60</v>
      </c>
      <c r="AC230" s="11">
        <v>36</v>
      </c>
      <c r="AD230">
        <f>AB230*AC230</f>
        <v>2160</v>
      </c>
      <c r="AE230" s="6">
        <v>320</v>
      </c>
      <c r="AF230" s="109">
        <f>IF(AA230="staple",AG230*0.005,IF(AA230="rebar",AG230*0.025,IF(AA230="burlap",AG230*0.0625,IF(AA230="washer",AG230*0.0025,IF(AA230="pucks",AG230*0.00785,IF(AA230="turf",AG230*0.01,IF(AA230="","")))))))</f>
        <v>8</v>
      </c>
      <c r="AG230" s="38">
        <f>AH230/4</f>
        <v>1600</v>
      </c>
      <c r="AH230" s="118">
        <v>6400</v>
      </c>
      <c r="AI230" s="5">
        <f t="shared" si="41"/>
        <v>2.9629629629629628</v>
      </c>
      <c r="AJ230" s="5">
        <f t="shared" si="42"/>
        <v>20</v>
      </c>
      <c r="AK230" t="s">
        <v>566</v>
      </c>
      <c r="AL230" s="160"/>
    </row>
    <row r="231" spans="1:38" x14ac:dyDescent="0.25">
      <c r="A231" t="s">
        <v>7</v>
      </c>
      <c r="B231" t="s">
        <v>625</v>
      </c>
      <c r="C231" s="252" t="str">
        <f>VLOOKUP(B231,Plantings!$A$2:$C$285,2,FALSE)</f>
        <v>PTG_P3</v>
      </c>
      <c r="D231" s="252" t="str">
        <f>VLOOKUP(B231,Plantings!$A$2:$C$285,3,FALSE)</f>
        <v>single</v>
      </c>
      <c r="E231">
        <v>2015</v>
      </c>
      <c r="F231" t="s">
        <v>462</v>
      </c>
      <c r="G231" t="s">
        <v>413</v>
      </c>
      <c r="H231" t="s">
        <v>7</v>
      </c>
      <c r="I231" t="s">
        <v>407</v>
      </c>
      <c r="J231" t="s">
        <v>12</v>
      </c>
      <c r="K231" t="s">
        <v>178</v>
      </c>
      <c r="L231" t="s">
        <v>231</v>
      </c>
      <c r="M231" t="s">
        <v>138</v>
      </c>
      <c r="N231" t="s">
        <v>139</v>
      </c>
      <c r="O231" t="s">
        <v>49</v>
      </c>
      <c r="P231" t="s">
        <v>63</v>
      </c>
      <c r="Q231" t="s">
        <v>74</v>
      </c>
      <c r="R231" t="s">
        <v>13</v>
      </c>
      <c r="S231" s="25" t="s">
        <v>520</v>
      </c>
      <c r="T231" s="27">
        <v>42095</v>
      </c>
      <c r="U231" s="4">
        <v>47.821516666666668</v>
      </c>
      <c r="V231" s="4">
        <v>-122.57721666666667</v>
      </c>
      <c r="W231" s="252" t="str">
        <f>VLOOKUP(B231,Plantings!$A$2:$E$285,4,FALSE)</f>
        <v>polygon</v>
      </c>
      <c r="X231" s="251" t="str">
        <f>VLOOKUP(B231,Plantings!$A$2:$E$285,5,FALSE)</f>
        <v>retain</v>
      </c>
      <c r="Y231" s="7" t="s">
        <v>148</v>
      </c>
      <c r="Z231" s="20"/>
      <c r="AA231" s="6" t="s">
        <v>168</v>
      </c>
      <c r="AB231" s="11"/>
      <c r="AC231" s="11"/>
      <c r="AE231" s="6"/>
      <c r="AF231" s="109"/>
      <c r="AG231" s="118"/>
      <c r="AH231" s="118"/>
      <c r="AI231" s="5" t="str">
        <f t="shared" si="41"/>
        <v/>
      </c>
      <c r="AJ231" s="5" t="str">
        <f t="shared" si="42"/>
        <v/>
      </c>
      <c r="AL231" s="160"/>
    </row>
    <row r="232" spans="1:38" x14ac:dyDescent="0.25">
      <c r="A232" t="s">
        <v>7</v>
      </c>
      <c r="B232" t="s">
        <v>626</v>
      </c>
      <c r="C232" s="252" t="str">
        <f>VLOOKUP(B232,Plantings!$A$2:$C$285,2,FALSE)</f>
        <v>PTG_P3</v>
      </c>
      <c r="D232" s="252" t="str">
        <f>VLOOKUP(B232,Plantings!$A$2:$C$285,3,FALSE)</f>
        <v>single</v>
      </c>
      <c r="E232">
        <v>2015</v>
      </c>
      <c r="F232" t="s">
        <v>462</v>
      </c>
      <c r="G232" t="s">
        <v>413</v>
      </c>
      <c r="H232" t="s">
        <v>7</v>
      </c>
      <c r="I232" t="s">
        <v>407</v>
      </c>
      <c r="J232" t="s">
        <v>12</v>
      </c>
      <c r="K232" t="s">
        <v>178</v>
      </c>
      <c r="L232" t="s">
        <v>231</v>
      </c>
      <c r="M232" t="s">
        <v>138</v>
      </c>
      <c r="N232" t="s">
        <v>139</v>
      </c>
      <c r="O232" t="s">
        <v>49</v>
      </c>
      <c r="P232" t="s">
        <v>63</v>
      </c>
      <c r="Q232" t="s">
        <v>74</v>
      </c>
      <c r="R232" t="s">
        <v>13</v>
      </c>
      <c r="S232" s="25" t="s">
        <v>520</v>
      </c>
      <c r="T232" s="27">
        <v>42095</v>
      </c>
      <c r="U232" s="4">
        <v>47.82118333333333</v>
      </c>
      <c r="V232" s="4">
        <v>-122.57711666666667</v>
      </c>
      <c r="W232" s="252" t="str">
        <f>VLOOKUP(B232,Plantings!$A$2:$E$285,4,FALSE)</f>
        <v>polygon</v>
      </c>
      <c r="X232" s="251" t="str">
        <f>VLOOKUP(B232,Plantings!$A$2:$E$285,5,FALSE)</f>
        <v>retain</v>
      </c>
      <c r="Y232" s="7" t="s">
        <v>148</v>
      </c>
      <c r="Z232" s="20"/>
      <c r="AA232" s="6" t="s">
        <v>168</v>
      </c>
      <c r="AB232" s="11"/>
      <c r="AC232" s="11"/>
      <c r="AE232" s="6"/>
      <c r="AF232" s="109"/>
      <c r="AG232" s="118"/>
      <c r="AH232" s="118"/>
      <c r="AI232" s="5" t="str">
        <f t="shared" si="41"/>
        <v/>
      </c>
      <c r="AJ232" s="5" t="str">
        <f t="shared" si="42"/>
        <v/>
      </c>
      <c r="AL232" s="160"/>
    </row>
    <row r="233" spans="1:38" x14ac:dyDescent="0.25">
      <c r="A233" t="s">
        <v>7</v>
      </c>
      <c r="B233" t="s">
        <v>627</v>
      </c>
      <c r="C233" s="252" t="str">
        <f>VLOOKUP(B233,Plantings!$A$2:$C$285,2,FALSE)</f>
        <v>PTG_P3</v>
      </c>
      <c r="D233" s="252" t="str">
        <f>VLOOKUP(B233,Plantings!$A$2:$C$285,3,FALSE)</f>
        <v>single</v>
      </c>
      <c r="E233">
        <v>2015</v>
      </c>
      <c r="F233" t="s">
        <v>462</v>
      </c>
      <c r="G233" t="s">
        <v>413</v>
      </c>
      <c r="H233" t="s">
        <v>7</v>
      </c>
      <c r="I233" t="s">
        <v>407</v>
      </c>
      <c r="J233" t="s">
        <v>12</v>
      </c>
      <c r="K233" t="s">
        <v>178</v>
      </c>
      <c r="L233" t="s">
        <v>231</v>
      </c>
      <c r="M233" t="s">
        <v>138</v>
      </c>
      <c r="N233" t="s">
        <v>139</v>
      </c>
      <c r="O233" t="s">
        <v>49</v>
      </c>
      <c r="P233" t="s">
        <v>63</v>
      </c>
      <c r="Q233" t="s">
        <v>74</v>
      </c>
      <c r="R233" t="s">
        <v>13</v>
      </c>
      <c r="S233" s="25" t="s">
        <v>520</v>
      </c>
      <c r="T233" s="27">
        <v>42095</v>
      </c>
      <c r="U233" s="4">
        <v>47.821216666666665</v>
      </c>
      <c r="V233" s="4">
        <v>-122.57791666666667</v>
      </c>
      <c r="W233" s="252" t="str">
        <f>VLOOKUP(B233,Plantings!$A$2:$E$285,4,FALSE)</f>
        <v>polygon</v>
      </c>
      <c r="X233" s="251" t="str">
        <f>VLOOKUP(B233,Plantings!$A$2:$E$285,5,FALSE)</f>
        <v>retain</v>
      </c>
      <c r="Y233" s="7" t="s">
        <v>148</v>
      </c>
      <c r="Z233" s="20">
        <v>-1.8288</v>
      </c>
      <c r="AA233" s="6" t="s">
        <v>168</v>
      </c>
      <c r="AB233" s="11"/>
      <c r="AC233" s="11"/>
      <c r="AE233" s="6"/>
      <c r="AF233" s="109"/>
      <c r="AG233" s="118"/>
      <c r="AH233" s="118"/>
      <c r="AI233" s="5" t="str">
        <f t="shared" si="41"/>
        <v/>
      </c>
      <c r="AJ233" s="5" t="str">
        <f t="shared" si="42"/>
        <v/>
      </c>
      <c r="AL233" s="160"/>
    </row>
    <row r="234" spans="1:38" x14ac:dyDescent="0.25">
      <c r="A234" t="s">
        <v>7</v>
      </c>
      <c r="B234" t="s">
        <v>628</v>
      </c>
      <c r="C234" s="252" t="str">
        <f>VLOOKUP(B234,Plantings!$A$2:$C$285,2,FALSE)</f>
        <v>PTG_P4</v>
      </c>
      <c r="D234" s="252" t="str">
        <f>VLOOKUP(B234,Plantings!$A$2:$C$285,3,FALSE)</f>
        <v>single</v>
      </c>
      <c r="E234">
        <v>2015</v>
      </c>
      <c r="F234" t="s">
        <v>462</v>
      </c>
      <c r="G234" t="s">
        <v>413</v>
      </c>
      <c r="H234" t="s">
        <v>7</v>
      </c>
      <c r="I234" t="s">
        <v>407</v>
      </c>
      <c r="J234" t="s">
        <v>12</v>
      </c>
      <c r="K234" t="s">
        <v>178</v>
      </c>
      <c r="L234" t="s">
        <v>231</v>
      </c>
      <c r="M234" t="s">
        <v>138</v>
      </c>
      <c r="N234" t="s">
        <v>139</v>
      </c>
      <c r="O234" t="s">
        <v>49</v>
      </c>
      <c r="P234" t="s">
        <v>63</v>
      </c>
      <c r="Q234" t="s">
        <v>74</v>
      </c>
      <c r="R234" t="s">
        <v>13</v>
      </c>
      <c r="S234" t="s">
        <v>13</v>
      </c>
      <c r="T234" s="27">
        <v>42095</v>
      </c>
      <c r="U234" s="4">
        <v>47.821666666666665</v>
      </c>
      <c r="V234" s="4">
        <v>-122.57623333333333</v>
      </c>
      <c r="W234" s="252" t="str">
        <f>VLOOKUP(B234,Plantings!$A$2:$E$285,4,FALSE)</f>
        <v>polygon</v>
      </c>
      <c r="X234" s="251" t="str">
        <f>VLOOKUP(B234,Plantings!$A$2:$E$285,5,FALSE)</f>
        <v>retain</v>
      </c>
      <c r="Y234" s="7" t="s">
        <v>148</v>
      </c>
      <c r="Z234" s="20"/>
      <c r="AA234" s="6" t="s">
        <v>168</v>
      </c>
      <c r="AB234" s="11">
        <v>60</v>
      </c>
      <c r="AC234" s="11">
        <v>36</v>
      </c>
      <c r="AD234">
        <f>AB234*AC234</f>
        <v>2160</v>
      </c>
      <c r="AE234" s="6">
        <v>320</v>
      </c>
      <c r="AF234" s="109">
        <f>IF(AA234="staple",AG234*0.005,IF(AA234="rebar",AG234*0.025,IF(AA234="burlap",AG234*0.0625,IF(AA234="washer",AG234*0.0025,IF(AA234="pucks",AG234*0.00785,IF(AA234="turf",AG234*0.01,IF(AA234="","")))))))</f>
        <v>7.9649999999999999</v>
      </c>
      <c r="AG234" s="38">
        <f>AH234/4</f>
        <v>1593</v>
      </c>
      <c r="AH234" s="118">
        <v>6372</v>
      </c>
      <c r="AI234" s="5">
        <f t="shared" si="41"/>
        <v>2.95</v>
      </c>
      <c r="AJ234" s="5">
        <f t="shared" si="42"/>
        <v>19.912500000000001</v>
      </c>
      <c r="AK234" t="s">
        <v>566</v>
      </c>
      <c r="AL234" s="160"/>
    </row>
    <row r="235" spans="1:38" x14ac:dyDescent="0.25">
      <c r="A235" t="s">
        <v>7</v>
      </c>
      <c r="B235" t="s">
        <v>629</v>
      </c>
      <c r="C235" s="252" t="str">
        <f>VLOOKUP(B235,Plantings!$A$2:$C$285,2,FALSE)</f>
        <v>PTG_P4</v>
      </c>
      <c r="D235" s="252" t="str">
        <f>VLOOKUP(B235,Plantings!$A$2:$C$285,3,FALSE)</f>
        <v>single</v>
      </c>
      <c r="E235">
        <v>2015</v>
      </c>
      <c r="F235" t="s">
        <v>462</v>
      </c>
      <c r="G235" t="s">
        <v>413</v>
      </c>
      <c r="H235" t="s">
        <v>7</v>
      </c>
      <c r="I235" t="s">
        <v>407</v>
      </c>
      <c r="J235" t="s">
        <v>12</v>
      </c>
      <c r="K235" t="s">
        <v>178</v>
      </c>
      <c r="L235" t="s">
        <v>231</v>
      </c>
      <c r="M235" t="s">
        <v>138</v>
      </c>
      <c r="N235" t="s">
        <v>139</v>
      </c>
      <c r="O235" t="s">
        <v>49</v>
      </c>
      <c r="P235" t="s">
        <v>63</v>
      </c>
      <c r="Q235" t="s">
        <v>74</v>
      </c>
      <c r="R235" t="s">
        <v>13</v>
      </c>
      <c r="S235" s="25" t="s">
        <v>520</v>
      </c>
      <c r="T235" s="27">
        <v>42095</v>
      </c>
      <c r="U235" s="4">
        <v>47.821533333333335</v>
      </c>
      <c r="V235" s="4">
        <v>-122.57538333333333</v>
      </c>
      <c r="W235" s="252" t="str">
        <f>VLOOKUP(B235,Plantings!$A$2:$E$285,4,FALSE)</f>
        <v>polygon</v>
      </c>
      <c r="X235" s="251" t="str">
        <f>VLOOKUP(B235,Plantings!$A$2:$E$285,5,FALSE)</f>
        <v>retain</v>
      </c>
      <c r="Y235" s="7" t="s">
        <v>148</v>
      </c>
      <c r="Z235" s="20">
        <v>-2.7431999999999999</v>
      </c>
      <c r="AA235" s="6" t="s">
        <v>168</v>
      </c>
      <c r="AF235" s="109"/>
      <c r="AG235" s="38"/>
      <c r="AH235" s="38"/>
      <c r="AI235" s="5" t="str">
        <f t="shared" si="41"/>
        <v/>
      </c>
      <c r="AJ235" s="5" t="str">
        <f t="shared" si="42"/>
        <v/>
      </c>
      <c r="AL235" s="160"/>
    </row>
    <row r="236" spans="1:38" x14ac:dyDescent="0.25">
      <c r="A236" t="s">
        <v>7</v>
      </c>
      <c r="B236" t="s">
        <v>630</v>
      </c>
      <c r="C236" s="252" t="str">
        <f>VLOOKUP(B236,Plantings!$A$2:$C$285,2,FALSE)</f>
        <v>PTG_P4</v>
      </c>
      <c r="D236" s="252" t="str">
        <f>VLOOKUP(B236,Plantings!$A$2:$C$285,3,FALSE)</f>
        <v>single</v>
      </c>
      <c r="E236">
        <v>2015</v>
      </c>
      <c r="F236" t="s">
        <v>462</v>
      </c>
      <c r="G236" t="s">
        <v>413</v>
      </c>
      <c r="H236" t="s">
        <v>7</v>
      </c>
      <c r="I236" t="s">
        <v>407</v>
      </c>
      <c r="J236" t="s">
        <v>12</v>
      </c>
      <c r="K236" t="s">
        <v>178</v>
      </c>
      <c r="L236" t="s">
        <v>231</v>
      </c>
      <c r="M236" t="s">
        <v>138</v>
      </c>
      <c r="N236" t="s">
        <v>139</v>
      </c>
      <c r="O236" t="s">
        <v>49</v>
      </c>
      <c r="P236" t="s">
        <v>63</v>
      </c>
      <c r="Q236" t="s">
        <v>74</v>
      </c>
      <c r="R236" t="s">
        <v>13</v>
      </c>
      <c r="S236" s="25" t="s">
        <v>520</v>
      </c>
      <c r="T236" s="27">
        <v>42095</v>
      </c>
      <c r="U236" s="4">
        <v>47.821216666666665</v>
      </c>
      <c r="V236" s="4">
        <v>-122.57528333333333</v>
      </c>
      <c r="W236" s="252" t="str">
        <f>VLOOKUP(B236,Plantings!$A$2:$E$285,4,FALSE)</f>
        <v>polygon</v>
      </c>
      <c r="X236" s="251" t="str">
        <f>VLOOKUP(B236,Plantings!$A$2:$E$285,5,FALSE)</f>
        <v>retain</v>
      </c>
      <c r="Y236" s="7" t="s">
        <v>148</v>
      </c>
      <c r="Z236" s="20"/>
      <c r="AA236" s="6" t="s">
        <v>168</v>
      </c>
      <c r="AF236" s="109"/>
      <c r="AG236" s="38"/>
      <c r="AH236" s="38"/>
      <c r="AI236" s="5" t="str">
        <f t="shared" si="41"/>
        <v/>
      </c>
      <c r="AJ236" s="5" t="str">
        <f t="shared" si="42"/>
        <v/>
      </c>
      <c r="AL236" s="160"/>
    </row>
    <row r="237" spans="1:38" x14ac:dyDescent="0.25">
      <c r="A237" t="s">
        <v>7</v>
      </c>
      <c r="B237" t="s">
        <v>631</v>
      </c>
      <c r="C237" s="252" t="str">
        <f>VLOOKUP(B237,Plantings!$A$2:$C$285,2,FALSE)</f>
        <v>PTG_P4</v>
      </c>
      <c r="D237" s="252" t="str">
        <f>VLOOKUP(B237,Plantings!$A$2:$C$285,3,FALSE)</f>
        <v>single</v>
      </c>
      <c r="E237">
        <v>2015</v>
      </c>
      <c r="F237" t="s">
        <v>462</v>
      </c>
      <c r="G237" t="s">
        <v>413</v>
      </c>
      <c r="H237" t="s">
        <v>7</v>
      </c>
      <c r="I237" t="s">
        <v>407</v>
      </c>
      <c r="J237" t="s">
        <v>12</v>
      </c>
      <c r="K237" t="s">
        <v>178</v>
      </c>
      <c r="L237" t="s">
        <v>231</v>
      </c>
      <c r="M237" t="s">
        <v>138</v>
      </c>
      <c r="N237" t="s">
        <v>139</v>
      </c>
      <c r="O237" t="s">
        <v>49</v>
      </c>
      <c r="P237" t="s">
        <v>63</v>
      </c>
      <c r="Q237" t="s">
        <v>74</v>
      </c>
      <c r="R237" t="s">
        <v>13</v>
      </c>
      <c r="S237" s="25" t="s">
        <v>520</v>
      </c>
      <c r="T237" s="27">
        <v>42095</v>
      </c>
      <c r="U237" s="4">
        <v>47.821283333333334</v>
      </c>
      <c r="V237" s="4">
        <v>-122.57618333333333</v>
      </c>
      <c r="W237" s="252" t="str">
        <f>VLOOKUP(B237,Plantings!$A$2:$E$285,4,FALSE)</f>
        <v>polygon</v>
      </c>
      <c r="X237" s="251" t="str">
        <f>VLOOKUP(B237,Plantings!$A$2:$E$285,5,FALSE)</f>
        <v>retain</v>
      </c>
      <c r="Y237" s="7" t="s">
        <v>148</v>
      </c>
      <c r="Z237" s="20"/>
      <c r="AA237" s="6" t="s">
        <v>168</v>
      </c>
      <c r="AF237" s="109"/>
      <c r="AG237" s="38"/>
      <c r="AH237" s="38"/>
      <c r="AI237" s="5" t="str">
        <f t="shared" si="41"/>
        <v/>
      </c>
      <c r="AJ237" s="5" t="str">
        <f t="shared" si="42"/>
        <v/>
      </c>
      <c r="AL237" s="160"/>
    </row>
    <row r="238" spans="1:38" x14ac:dyDescent="0.25">
      <c r="A238" t="s">
        <v>380</v>
      </c>
      <c r="B238" s="1" t="s">
        <v>667</v>
      </c>
      <c r="C238" s="252" t="str">
        <f>VLOOKUP(B238,Plantings!$A$2:$C$285,2,FALSE)</f>
        <v>QMH_1S</v>
      </c>
      <c r="D238" s="252" t="str">
        <f>VLOOKUP(B238,Plantings!$A$2:$C$285,3,FALSE)</f>
        <v>single</v>
      </c>
      <c r="E238" s="1">
        <v>2018</v>
      </c>
      <c r="G238" s="1" t="s">
        <v>412</v>
      </c>
      <c r="H238" s="1" t="s">
        <v>380</v>
      </c>
      <c r="I238" s="1" t="s">
        <v>405</v>
      </c>
      <c r="J238" s="131" t="s">
        <v>72</v>
      </c>
      <c r="K238" s="131" t="s">
        <v>58</v>
      </c>
      <c r="L238" s="131" t="s">
        <v>58</v>
      </c>
      <c r="M238" s="131" t="s">
        <v>64</v>
      </c>
      <c r="O238" s="1" t="s">
        <v>49</v>
      </c>
      <c r="P238" s="1" t="s">
        <v>1121</v>
      </c>
      <c r="R238" t="s">
        <v>22</v>
      </c>
      <c r="S238" t="s">
        <v>22</v>
      </c>
      <c r="T238" s="27">
        <v>43250</v>
      </c>
      <c r="U238" s="4">
        <v>47.383499999999998</v>
      </c>
      <c r="V238" s="4">
        <v>-122.45133</v>
      </c>
      <c r="W238" s="252" t="str">
        <f>VLOOKUP(B238,Plantings!$A$2:$E$285,4,FALSE)</f>
        <v>point</v>
      </c>
      <c r="X238" s="251" t="str">
        <f>VLOOKUP(B238,Plantings!$A$2:$E$285,5,FALSE)</f>
        <v>retain</v>
      </c>
      <c r="Y238" s="37" t="s">
        <v>148</v>
      </c>
      <c r="Z238" s="20">
        <v>-1.0363199999999999</v>
      </c>
      <c r="AA238" s="53" t="s">
        <v>169</v>
      </c>
      <c r="AB238">
        <v>12</v>
      </c>
      <c r="AC238">
        <v>1</v>
      </c>
      <c r="AD238">
        <f t="shared" ref="AD238:AD270" si="43">AB238*AC238</f>
        <v>12</v>
      </c>
      <c r="AE238">
        <f t="shared" ref="AE238:AE246" si="44">AG238*0.25</f>
        <v>7.5</v>
      </c>
      <c r="AF238" s="109">
        <f t="shared" ref="AF238:AF252" si="45">IF(AA238="staple",AG238*0.005,IF(AA238="rebar",AG238*0.025,IF(AA238="burlap",AG238*0.0625,IF(AA238="washer",AG238*0.0025,IF(AA238="pucks",AG238*0.00785,IF(AA238="turf",AG238*0.01,IF(AA238="","")))))))</f>
        <v>0.75</v>
      </c>
      <c r="AG238" s="38">
        <v>30</v>
      </c>
      <c r="AH238" s="38">
        <v>600</v>
      </c>
      <c r="AI238" s="5">
        <f t="shared" si="41"/>
        <v>50</v>
      </c>
      <c r="AJ238" s="5">
        <f t="shared" si="42"/>
        <v>80</v>
      </c>
      <c r="AK238" t="s">
        <v>540</v>
      </c>
      <c r="AL238" s="13" t="s">
        <v>546</v>
      </c>
    </row>
    <row r="239" spans="1:38" x14ac:dyDescent="0.25">
      <c r="A239" t="s">
        <v>380</v>
      </c>
      <c r="B239" s="1" t="s">
        <v>668</v>
      </c>
      <c r="C239" s="252" t="str">
        <f>VLOOKUP(B239,Plantings!$A$2:$C$285,2,FALSE)</f>
        <v>QMH_1D</v>
      </c>
      <c r="D239" s="252" t="str">
        <f>VLOOKUP(B239,Plantings!$A$2:$C$285,3,FALSE)</f>
        <v>single</v>
      </c>
      <c r="E239" s="1">
        <v>2018</v>
      </c>
      <c r="G239" s="1" t="s">
        <v>412</v>
      </c>
      <c r="H239" s="1" t="s">
        <v>380</v>
      </c>
      <c r="I239" s="1" t="s">
        <v>405</v>
      </c>
      <c r="J239" s="131" t="s">
        <v>72</v>
      </c>
      <c r="K239" s="131" t="s">
        <v>58</v>
      </c>
      <c r="L239" s="131" t="s">
        <v>58</v>
      </c>
      <c r="M239" s="131" t="s">
        <v>64</v>
      </c>
      <c r="O239" s="1" t="s">
        <v>49</v>
      </c>
      <c r="P239" s="1" t="s">
        <v>1121</v>
      </c>
      <c r="R239" t="s">
        <v>22</v>
      </c>
      <c r="S239" t="s">
        <v>22</v>
      </c>
      <c r="T239" s="27">
        <v>43250</v>
      </c>
      <c r="U239" s="4">
        <v>47.383339999999997</v>
      </c>
      <c r="V239" s="4">
        <v>-122.4513</v>
      </c>
      <c r="W239" s="252" t="str">
        <f>VLOOKUP(B239,Plantings!$A$2:$E$285,4,FALSE)</f>
        <v>point</v>
      </c>
      <c r="X239" s="251" t="str">
        <f>VLOOKUP(B239,Plantings!$A$2:$E$285,5,FALSE)</f>
        <v>retain</v>
      </c>
      <c r="Y239" s="37" t="s">
        <v>148</v>
      </c>
      <c r="Z239" s="20">
        <v>-1.8897600000000001</v>
      </c>
      <c r="AA239" s="53" t="s">
        <v>169</v>
      </c>
      <c r="AB239">
        <v>12</v>
      </c>
      <c r="AC239">
        <v>1</v>
      </c>
      <c r="AD239">
        <f t="shared" si="43"/>
        <v>12</v>
      </c>
      <c r="AE239">
        <f t="shared" si="44"/>
        <v>7.5</v>
      </c>
      <c r="AF239" s="109">
        <f t="shared" si="45"/>
        <v>0.75</v>
      </c>
      <c r="AG239" s="38">
        <v>30</v>
      </c>
      <c r="AH239" s="38">
        <v>600</v>
      </c>
      <c r="AI239" s="5">
        <f t="shared" si="41"/>
        <v>50</v>
      </c>
      <c r="AJ239" s="5">
        <f t="shared" si="42"/>
        <v>80</v>
      </c>
      <c r="AK239" t="s">
        <v>540</v>
      </c>
      <c r="AL239" s="13" t="s">
        <v>541</v>
      </c>
    </row>
    <row r="240" spans="1:38" x14ac:dyDescent="0.25">
      <c r="A240" t="s">
        <v>380</v>
      </c>
      <c r="B240" s="1" t="s">
        <v>672</v>
      </c>
      <c r="C240" s="252" t="str">
        <f>VLOOKUP(B240,Plantings!$A$2:$C$285,2,FALSE)</f>
        <v>QMH_4S</v>
      </c>
      <c r="D240" s="252" t="str">
        <f>VLOOKUP(B240,Plantings!$A$2:$C$285,3,FALSE)</f>
        <v>single</v>
      </c>
      <c r="E240" s="1">
        <v>2018</v>
      </c>
      <c r="G240" s="1" t="s">
        <v>412</v>
      </c>
      <c r="H240" s="1" t="s">
        <v>380</v>
      </c>
      <c r="I240" s="1" t="s">
        <v>405</v>
      </c>
      <c r="J240" s="131" t="s">
        <v>72</v>
      </c>
      <c r="K240" s="131" t="s">
        <v>58</v>
      </c>
      <c r="L240" s="131" t="s">
        <v>58</v>
      </c>
      <c r="M240" s="131" t="s">
        <v>64</v>
      </c>
      <c r="O240" s="1" t="s">
        <v>49</v>
      </c>
      <c r="P240" s="1" t="s">
        <v>1121</v>
      </c>
      <c r="R240" t="s">
        <v>22</v>
      </c>
      <c r="S240" t="s">
        <v>22</v>
      </c>
      <c r="T240" s="27">
        <v>43250</v>
      </c>
      <c r="U240" s="4">
        <v>47.390659999999997</v>
      </c>
      <c r="V240" s="4">
        <v>-122.43606</v>
      </c>
      <c r="W240" s="252" t="str">
        <f>VLOOKUP(B240,Plantings!$A$2:$E$285,4,FALSE)</f>
        <v>point</v>
      </c>
      <c r="X240" s="251" t="str">
        <f>VLOOKUP(B240,Plantings!$A$2:$E$285,5,FALSE)</f>
        <v>retain</v>
      </c>
      <c r="Y240" s="37" t="s">
        <v>148</v>
      </c>
      <c r="Z240" s="20">
        <v>-1.2192000000000001</v>
      </c>
      <c r="AA240" s="53" t="s">
        <v>169</v>
      </c>
      <c r="AB240">
        <v>12</v>
      </c>
      <c r="AC240">
        <v>1</v>
      </c>
      <c r="AD240">
        <f t="shared" si="43"/>
        <v>12</v>
      </c>
      <c r="AE240">
        <f t="shared" si="44"/>
        <v>7.5</v>
      </c>
      <c r="AF240" s="109">
        <f t="shared" si="45"/>
        <v>0.75</v>
      </c>
      <c r="AG240" s="38">
        <v>30</v>
      </c>
      <c r="AH240" s="38">
        <v>600</v>
      </c>
      <c r="AI240" s="5">
        <f t="shared" si="41"/>
        <v>50</v>
      </c>
      <c r="AJ240" s="5">
        <f t="shared" si="42"/>
        <v>80</v>
      </c>
      <c r="AK240" t="s">
        <v>540</v>
      </c>
      <c r="AL240" s="13" t="s">
        <v>545</v>
      </c>
    </row>
    <row r="241" spans="1:38" x14ac:dyDescent="0.25">
      <c r="A241" t="s">
        <v>380</v>
      </c>
      <c r="B241" s="1" t="s">
        <v>673</v>
      </c>
      <c r="C241" s="252" t="str">
        <f>VLOOKUP(B241,Plantings!$A$2:$C$285,2,FALSE)</f>
        <v>QMH_4D</v>
      </c>
      <c r="D241" s="252" t="str">
        <f>VLOOKUP(B241,Plantings!$A$2:$C$285,3,FALSE)</f>
        <v>single</v>
      </c>
      <c r="E241" s="1">
        <v>2018</v>
      </c>
      <c r="G241" s="1" t="s">
        <v>412</v>
      </c>
      <c r="H241" s="1" t="s">
        <v>380</v>
      </c>
      <c r="I241" s="1" t="s">
        <v>405</v>
      </c>
      <c r="J241" s="131" t="s">
        <v>72</v>
      </c>
      <c r="K241" s="131" t="s">
        <v>58</v>
      </c>
      <c r="L241" s="131" t="s">
        <v>58</v>
      </c>
      <c r="M241" s="131" t="s">
        <v>64</v>
      </c>
      <c r="O241" s="1" t="s">
        <v>49</v>
      </c>
      <c r="P241" s="1" t="s">
        <v>1121</v>
      </c>
      <c r="R241" t="s">
        <v>22</v>
      </c>
      <c r="S241" t="s">
        <v>22</v>
      </c>
      <c r="T241" s="27">
        <v>43250</v>
      </c>
      <c r="U241" s="4">
        <v>47.390219999999999</v>
      </c>
      <c r="V241" s="4">
        <v>-122.43597</v>
      </c>
      <c r="W241" s="252" t="str">
        <f>VLOOKUP(B241,Plantings!$A$2:$E$285,4,FALSE)</f>
        <v>point</v>
      </c>
      <c r="X241" s="251" t="str">
        <f>VLOOKUP(B241,Plantings!$A$2:$E$285,5,FALSE)</f>
        <v>retain</v>
      </c>
      <c r="Y241" s="37" t="s">
        <v>148</v>
      </c>
      <c r="Z241" s="20">
        <v>-1.61544</v>
      </c>
      <c r="AA241" s="53" t="s">
        <v>169</v>
      </c>
      <c r="AB241">
        <v>12</v>
      </c>
      <c r="AC241">
        <v>1</v>
      </c>
      <c r="AD241">
        <f t="shared" si="43"/>
        <v>12</v>
      </c>
      <c r="AE241">
        <f t="shared" si="44"/>
        <v>7.5</v>
      </c>
      <c r="AF241" s="109">
        <f t="shared" si="45"/>
        <v>0.75</v>
      </c>
      <c r="AG241" s="38">
        <v>30</v>
      </c>
      <c r="AH241" s="38">
        <v>600</v>
      </c>
      <c r="AI241" s="5">
        <f t="shared" si="41"/>
        <v>50</v>
      </c>
      <c r="AJ241" s="5">
        <f t="shared" si="42"/>
        <v>80</v>
      </c>
      <c r="AK241" t="s">
        <v>540</v>
      </c>
      <c r="AL241" s="13" t="s">
        <v>545</v>
      </c>
    </row>
    <row r="242" spans="1:38" x14ac:dyDescent="0.25">
      <c r="A242" t="s">
        <v>380</v>
      </c>
      <c r="B242" s="1" t="s">
        <v>674</v>
      </c>
      <c r="C242" s="252" t="str">
        <f>VLOOKUP(B242,Plantings!$A$2:$C$285,2,FALSE)</f>
        <v>QMH_5S</v>
      </c>
      <c r="D242" s="252" t="str">
        <f>VLOOKUP(B242,Plantings!$A$2:$C$285,3,FALSE)</f>
        <v>single</v>
      </c>
      <c r="E242" s="1">
        <v>2018</v>
      </c>
      <c r="G242" s="1" t="s">
        <v>412</v>
      </c>
      <c r="H242" s="1" t="s">
        <v>380</v>
      </c>
      <c r="I242" s="1" t="s">
        <v>405</v>
      </c>
      <c r="J242" s="131" t="s">
        <v>72</v>
      </c>
      <c r="K242" s="131" t="s">
        <v>58</v>
      </c>
      <c r="L242" s="131" t="s">
        <v>58</v>
      </c>
      <c r="M242" s="131" t="s">
        <v>64</v>
      </c>
      <c r="O242" s="1" t="s">
        <v>49</v>
      </c>
      <c r="P242" s="1" t="s">
        <v>1121</v>
      </c>
      <c r="R242" t="s">
        <v>22</v>
      </c>
      <c r="S242" t="s">
        <v>22</v>
      </c>
      <c r="T242" s="27">
        <v>43251</v>
      </c>
      <c r="U242" s="4">
        <v>47.385919999999999</v>
      </c>
      <c r="V242" s="4">
        <v>-122.43792999999999</v>
      </c>
      <c r="W242" s="252" t="str">
        <f>VLOOKUP(B242,Plantings!$A$2:$E$285,4,FALSE)</f>
        <v>point</v>
      </c>
      <c r="X242" s="251" t="str">
        <f>VLOOKUP(B242,Plantings!$A$2:$E$285,5,FALSE)</f>
        <v>retain</v>
      </c>
      <c r="Y242" s="37" t="s">
        <v>148</v>
      </c>
      <c r="Z242" s="20">
        <v>-1.18872</v>
      </c>
      <c r="AA242" s="53" t="s">
        <v>169</v>
      </c>
      <c r="AB242">
        <v>12</v>
      </c>
      <c r="AC242">
        <v>1</v>
      </c>
      <c r="AD242">
        <f t="shared" si="43"/>
        <v>12</v>
      </c>
      <c r="AE242">
        <f t="shared" si="44"/>
        <v>7.5</v>
      </c>
      <c r="AF242" s="109">
        <f t="shared" si="45"/>
        <v>0.75</v>
      </c>
      <c r="AG242" s="38">
        <v>30</v>
      </c>
      <c r="AH242" s="38">
        <v>600</v>
      </c>
      <c r="AI242" s="5">
        <f t="shared" si="41"/>
        <v>50</v>
      </c>
      <c r="AJ242" s="5">
        <f t="shared" si="42"/>
        <v>80</v>
      </c>
      <c r="AK242" t="s">
        <v>540</v>
      </c>
      <c r="AL242" s="13" t="s">
        <v>541</v>
      </c>
    </row>
    <row r="243" spans="1:38" x14ac:dyDescent="0.25">
      <c r="A243" t="s">
        <v>380</v>
      </c>
      <c r="B243" s="1" t="s">
        <v>675</v>
      </c>
      <c r="C243" s="252" t="str">
        <f>VLOOKUP(B243,Plantings!$A$2:$C$285,2,FALSE)</f>
        <v>QMH_5D</v>
      </c>
      <c r="D243" s="252" t="str">
        <f>VLOOKUP(B243,Plantings!$A$2:$C$285,3,FALSE)</f>
        <v>single</v>
      </c>
      <c r="E243" s="1">
        <v>2018</v>
      </c>
      <c r="G243" s="1" t="s">
        <v>412</v>
      </c>
      <c r="H243" s="1" t="s">
        <v>380</v>
      </c>
      <c r="I243" s="1" t="s">
        <v>405</v>
      </c>
      <c r="J243" s="131" t="s">
        <v>72</v>
      </c>
      <c r="K243" s="131" t="s">
        <v>58</v>
      </c>
      <c r="L243" s="131" t="s">
        <v>58</v>
      </c>
      <c r="M243" s="131" t="s">
        <v>64</v>
      </c>
      <c r="O243" s="1" t="s">
        <v>49</v>
      </c>
      <c r="P243" s="1" t="s">
        <v>1121</v>
      </c>
      <c r="R243" t="s">
        <v>22</v>
      </c>
      <c r="S243" t="s">
        <v>22</v>
      </c>
      <c r="T243" s="27">
        <v>43251</v>
      </c>
      <c r="U243" s="4">
        <v>47.38597</v>
      </c>
      <c r="V243" s="4">
        <v>-122.43799</v>
      </c>
      <c r="W243" s="252" t="str">
        <f>VLOOKUP(B243,Plantings!$A$2:$E$285,4,FALSE)</f>
        <v>point</v>
      </c>
      <c r="X243" s="251" t="str">
        <f>VLOOKUP(B243,Plantings!$A$2:$E$285,5,FALSE)</f>
        <v>retain</v>
      </c>
      <c r="Y243" s="37" t="s">
        <v>148</v>
      </c>
      <c r="Z243" s="20">
        <v>-1.73736</v>
      </c>
      <c r="AA243" s="53" t="s">
        <v>169</v>
      </c>
      <c r="AB243">
        <v>12</v>
      </c>
      <c r="AC243">
        <v>1</v>
      </c>
      <c r="AD243">
        <f t="shared" si="43"/>
        <v>12</v>
      </c>
      <c r="AE243">
        <f t="shared" si="44"/>
        <v>7.5</v>
      </c>
      <c r="AF243" s="109">
        <f t="shared" si="45"/>
        <v>0.75</v>
      </c>
      <c r="AG243" s="38">
        <v>30</v>
      </c>
      <c r="AH243" s="38">
        <v>600</v>
      </c>
      <c r="AI243" s="5">
        <f t="shared" si="41"/>
        <v>50</v>
      </c>
      <c r="AJ243" s="5">
        <f t="shared" si="42"/>
        <v>80</v>
      </c>
      <c r="AK243" t="s">
        <v>540</v>
      </c>
      <c r="AL243" s="13" t="s">
        <v>546</v>
      </c>
    </row>
    <row r="244" spans="1:38" x14ac:dyDescent="0.25">
      <c r="A244" t="s">
        <v>380</v>
      </c>
      <c r="B244" s="1" t="s">
        <v>669</v>
      </c>
      <c r="C244" s="252" t="str">
        <f>VLOOKUP(B244,Plantings!$A$2:$C$285,2,FALSE)</f>
        <v>QMH_2D</v>
      </c>
      <c r="D244" s="252" t="str">
        <f>VLOOKUP(B244,Plantings!$A$2:$C$285,3,FALSE)</f>
        <v>single</v>
      </c>
      <c r="E244" s="1">
        <v>2018</v>
      </c>
      <c r="G244" s="1" t="s">
        <v>412</v>
      </c>
      <c r="H244" s="1" t="s">
        <v>380</v>
      </c>
      <c r="I244" s="1" t="s">
        <v>405</v>
      </c>
      <c r="J244" s="131" t="s">
        <v>72</v>
      </c>
      <c r="K244" s="131" t="s">
        <v>58</v>
      </c>
      <c r="L244" s="131" t="s">
        <v>58</v>
      </c>
      <c r="M244" s="131" t="s">
        <v>64</v>
      </c>
      <c r="O244" s="1" t="s">
        <v>49</v>
      </c>
      <c r="P244" s="1" t="s">
        <v>1121</v>
      </c>
      <c r="R244" t="s">
        <v>22</v>
      </c>
      <c r="S244" t="s">
        <v>22</v>
      </c>
      <c r="T244" s="27">
        <v>43252</v>
      </c>
      <c r="U244" s="4">
        <v>47.394410000000001</v>
      </c>
      <c r="V244" s="4">
        <v>-122.44898000000001</v>
      </c>
      <c r="W244" s="252" t="str">
        <f>VLOOKUP(B244,Plantings!$A$2:$E$285,4,FALSE)</f>
        <v>point</v>
      </c>
      <c r="X244" s="251" t="str">
        <f>VLOOKUP(B244,Plantings!$A$2:$E$285,5,FALSE)</f>
        <v>retain</v>
      </c>
      <c r="Y244" s="37" t="s">
        <v>148</v>
      </c>
      <c r="Z244" s="20">
        <v>-1.7983199999999999</v>
      </c>
      <c r="AA244" s="53" t="s">
        <v>169</v>
      </c>
      <c r="AB244">
        <v>12</v>
      </c>
      <c r="AC244">
        <v>1</v>
      </c>
      <c r="AD244">
        <f t="shared" si="43"/>
        <v>12</v>
      </c>
      <c r="AE244">
        <f t="shared" si="44"/>
        <v>7.5</v>
      </c>
      <c r="AF244" s="109">
        <f t="shared" si="45"/>
        <v>0.75</v>
      </c>
      <c r="AG244" s="38">
        <v>30</v>
      </c>
      <c r="AH244" s="38">
        <v>600</v>
      </c>
      <c r="AI244" s="5">
        <f t="shared" si="41"/>
        <v>50</v>
      </c>
      <c r="AJ244" s="5">
        <f t="shared" si="42"/>
        <v>80</v>
      </c>
      <c r="AK244" t="s">
        <v>540</v>
      </c>
      <c r="AL244" s="13" t="s">
        <v>542</v>
      </c>
    </row>
    <row r="245" spans="1:38" x14ac:dyDescent="0.25">
      <c r="A245" t="s">
        <v>380</v>
      </c>
      <c r="B245" s="1" t="s">
        <v>670</v>
      </c>
      <c r="C245" s="252" t="str">
        <f>VLOOKUP(B245,Plantings!$A$2:$C$285,2,FALSE)</f>
        <v>QMH_3S</v>
      </c>
      <c r="D245" s="252" t="str">
        <f>VLOOKUP(B245,Plantings!$A$2:$C$285,3,FALSE)</f>
        <v>single</v>
      </c>
      <c r="E245" s="1">
        <v>2018</v>
      </c>
      <c r="G245" s="1" t="s">
        <v>412</v>
      </c>
      <c r="H245" s="1" t="s">
        <v>380</v>
      </c>
      <c r="I245" s="1" t="s">
        <v>405</v>
      </c>
      <c r="J245" s="131" t="s">
        <v>72</v>
      </c>
      <c r="K245" s="131" t="s">
        <v>58</v>
      </c>
      <c r="L245" s="131" t="s">
        <v>58</v>
      </c>
      <c r="M245" s="131" t="s">
        <v>64</v>
      </c>
      <c r="O245" s="1" t="s">
        <v>49</v>
      </c>
      <c r="P245" s="1" t="s">
        <v>1121</v>
      </c>
      <c r="R245" t="s">
        <v>22</v>
      </c>
      <c r="S245" t="s">
        <v>22</v>
      </c>
      <c r="T245" s="27">
        <v>43252</v>
      </c>
      <c r="U245" s="4">
        <v>47.403919999999999</v>
      </c>
      <c r="V245" s="4">
        <v>-122.44499</v>
      </c>
      <c r="W245" s="252" t="str">
        <f>VLOOKUP(B245,Plantings!$A$2:$E$285,4,FALSE)</f>
        <v>point</v>
      </c>
      <c r="X245" s="251" t="str">
        <f>VLOOKUP(B245,Plantings!$A$2:$E$285,5,FALSE)</f>
        <v>retain</v>
      </c>
      <c r="Y245" s="37" t="s">
        <v>148</v>
      </c>
      <c r="Z245" s="20">
        <v>-1.2192000000000001</v>
      </c>
      <c r="AA245" s="53" t="s">
        <v>169</v>
      </c>
      <c r="AB245">
        <v>12</v>
      </c>
      <c r="AC245">
        <v>1</v>
      </c>
      <c r="AD245">
        <f t="shared" si="43"/>
        <v>12</v>
      </c>
      <c r="AE245">
        <f t="shared" si="44"/>
        <v>7.5</v>
      </c>
      <c r="AF245" s="109">
        <f t="shared" si="45"/>
        <v>0.75</v>
      </c>
      <c r="AG245" s="38">
        <v>30</v>
      </c>
      <c r="AH245" s="38">
        <v>600</v>
      </c>
      <c r="AI245" s="5">
        <f t="shared" si="41"/>
        <v>50</v>
      </c>
      <c r="AJ245" s="5">
        <f t="shared" si="42"/>
        <v>80</v>
      </c>
      <c r="AK245" t="s">
        <v>540</v>
      </c>
      <c r="AL245" s="13" t="s">
        <v>543</v>
      </c>
    </row>
    <row r="246" spans="1:38" x14ac:dyDescent="0.25">
      <c r="A246" t="s">
        <v>380</v>
      </c>
      <c r="B246" s="1" t="s">
        <v>671</v>
      </c>
      <c r="C246" s="252" t="str">
        <f>VLOOKUP(B246,Plantings!$A$2:$C$285,2,FALSE)</f>
        <v>QMH_3D</v>
      </c>
      <c r="D246" s="252" t="str">
        <f>VLOOKUP(B246,Plantings!$A$2:$C$285,3,FALSE)</f>
        <v>single</v>
      </c>
      <c r="E246" s="1">
        <v>2018</v>
      </c>
      <c r="G246" s="1" t="s">
        <v>412</v>
      </c>
      <c r="H246" s="1" t="s">
        <v>380</v>
      </c>
      <c r="I246" s="1" t="s">
        <v>405</v>
      </c>
      <c r="J246" s="131" t="s">
        <v>72</v>
      </c>
      <c r="K246" s="131" t="s">
        <v>58</v>
      </c>
      <c r="L246" s="131" t="s">
        <v>58</v>
      </c>
      <c r="M246" s="131" t="s">
        <v>64</v>
      </c>
      <c r="O246" s="1" t="s">
        <v>49</v>
      </c>
      <c r="P246" s="1" t="s">
        <v>1121</v>
      </c>
      <c r="R246" t="s">
        <v>22</v>
      </c>
      <c r="S246" t="s">
        <v>22</v>
      </c>
      <c r="T246" s="27">
        <v>43252</v>
      </c>
      <c r="U246" s="4">
        <v>47.403860000000002</v>
      </c>
      <c r="V246" s="4">
        <v>-122.44484</v>
      </c>
      <c r="W246" s="252" t="str">
        <f>VLOOKUP(B246,Plantings!$A$2:$E$285,4,FALSE)</f>
        <v>point</v>
      </c>
      <c r="X246" s="251" t="str">
        <f>VLOOKUP(B246,Plantings!$A$2:$E$285,5,FALSE)</f>
        <v>retain</v>
      </c>
      <c r="Y246" s="37" t="s">
        <v>148</v>
      </c>
      <c r="Z246" s="20">
        <v>-1.85928</v>
      </c>
      <c r="AA246" s="53" t="s">
        <v>169</v>
      </c>
      <c r="AB246">
        <v>12</v>
      </c>
      <c r="AC246">
        <v>1</v>
      </c>
      <c r="AD246">
        <f t="shared" si="43"/>
        <v>12</v>
      </c>
      <c r="AE246">
        <f t="shared" si="44"/>
        <v>7.5</v>
      </c>
      <c r="AF246" s="109">
        <f t="shared" si="45"/>
        <v>0.75</v>
      </c>
      <c r="AG246" s="38">
        <v>30</v>
      </c>
      <c r="AH246" s="38">
        <v>600</v>
      </c>
      <c r="AI246" s="5">
        <f t="shared" si="41"/>
        <v>50</v>
      </c>
      <c r="AJ246" s="5">
        <f t="shared" si="42"/>
        <v>80</v>
      </c>
      <c r="AK246" t="s">
        <v>540</v>
      </c>
      <c r="AL246" s="13" t="s">
        <v>544</v>
      </c>
    </row>
    <row r="247" spans="1:38" x14ac:dyDescent="0.25">
      <c r="A247" t="s">
        <v>380</v>
      </c>
      <c r="B247" s="1" t="s">
        <v>2037</v>
      </c>
      <c r="C247" s="252" t="e">
        <f>VLOOKUP(B247,Plantings!$A$2:$C$285,2,FALSE)</f>
        <v>#N/A</v>
      </c>
      <c r="D247" s="252" t="e">
        <f>VLOOKUP(B247,Plantings!$A$2:$C$285,3,FALSE)</f>
        <v>#N/A</v>
      </c>
      <c r="E247" s="1">
        <v>2021</v>
      </c>
      <c r="G247" s="1" t="s">
        <v>412</v>
      </c>
      <c r="H247" s="1" t="s">
        <v>380</v>
      </c>
      <c r="I247" s="1" t="s">
        <v>405</v>
      </c>
      <c r="J247" s="131" t="s">
        <v>1853</v>
      </c>
      <c r="K247" s="1" t="s">
        <v>1853</v>
      </c>
      <c r="L247" s="1" t="s">
        <v>1866</v>
      </c>
      <c r="N247" t="s">
        <v>1867</v>
      </c>
      <c r="O247" s="1"/>
      <c r="P247" s="1"/>
      <c r="R247" t="s">
        <v>22</v>
      </c>
      <c r="S247" t="s">
        <v>22</v>
      </c>
      <c r="T247" s="27">
        <v>44329</v>
      </c>
      <c r="U247" s="4">
        <v>47.390659999999997</v>
      </c>
      <c r="V247" s="4">
        <v>-122.43606</v>
      </c>
      <c r="W247" s="252" t="e">
        <f>VLOOKUP(B247,Plantings!$A$2:$E$285,4,FALSE)</f>
        <v>#N/A</v>
      </c>
      <c r="X247" s="251" t="e">
        <f>VLOOKUP(B247,Plantings!$A$2:$E$285,5,FALSE)</f>
        <v>#N/A</v>
      </c>
      <c r="Y247" s="37" t="s">
        <v>148</v>
      </c>
      <c r="Z247" s="20">
        <v>-1.5</v>
      </c>
      <c r="AA247" s="53" t="s">
        <v>169</v>
      </c>
      <c r="AB247">
        <v>3.5</v>
      </c>
      <c r="AC247">
        <v>0.5</v>
      </c>
      <c r="AD247">
        <f t="shared" si="43"/>
        <v>1.75</v>
      </c>
      <c r="AE247">
        <v>1</v>
      </c>
      <c r="AF247" s="109">
        <f t="shared" si="45"/>
        <v>0.30000000000000004</v>
      </c>
      <c r="AG247" s="38">
        <v>12</v>
      </c>
      <c r="AH247" s="38">
        <v>240</v>
      </c>
      <c r="AI247" s="5">
        <f t="shared" si="41"/>
        <v>137.14285714285714</v>
      </c>
      <c r="AJ247" s="5">
        <f t="shared" si="42"/>
        <v>240</v>
      </c>
      <c r="AK247" t="s">
        <v>119</v>
      </c>
      <c r="AL247" s="13" t="s">
        <v>2039</v>
      </c>
    </row>
    <row r="248" spans="1:38" x14ac:dyDescent="0.25">
      <c r="A248" t="s">
        <v>380</v>
      </c>
      <c r="B248" s="1" t="s">
        <v>2037</v>
      </c>
      <c r="C248" s="252" t="e">
        <f>VLOOKUP(B248,Plantings!$A$2:$C$285,2,FALSE)</f>
        <v>#N/A</v>
      </c>
      <c r="D248" s="252" t="e">
        <f>VLOOKUP(B248,Plantings!$A$2:$C$285,3,FALSE)</f>
        <v>#N/A</v>
      </c>
      <c r="E248" s="1">
        <v>2021</v>
      </c>
      <c r="G248" s="1" t="s">
        <v>412</v>
      </c>
      <c r="H248" s="1" t="s">
        <v>380</v>
      </c>
      <c r="I248" s="1" t="s">
        <v>405</v>
      </c>
      <c r="J248" s="131" t="s">
        <v>1853</v>
      </c>
      <c r="K248" s="1" t="s">
        <v>1853</v>
      </c>
      <c r="L248" s="1" t="s">
        <v>1866</v>
      </c>
      <c r="N248" t="s">
        <v>1867</v>
      </c>
      <c r="O248" s="1"/>
      <c r="P248" s="1"/>
      <c r="R248" t="s">
        <v>22</v>
      </c>
      <c r="S248" t="s">
        <v>22</v>
      </c>
      <c r="T248" s="27">
        <v>44330</v>
      </c>
      <c r="U248" s="4">
        <v>47.390659999999997</v>
      </c>
      <c r="V248" s="4">
        <v>-122.43606</v>
      </c>
      <c r="W248" s="252" t="e">
        <f>VLOOKUP(B248,Plantings!$A$2:$E$285,4,FALSE)</f>
        <v>#N/A</v>
      </c>
      <c r="X248" s="251" t="e">
        <f>VLOOKUP(B248,Plantings!$A$2:$E$285,5,FALSE)</f>
        <v>#N/A</v>
      </c>
      <c r="Y248" s="37" t="s">
        <v>148</v>
      </c>
      <c r="Z248" s="20">
        <v>-1.5</v>
      </c>
      <c r="AA248" s="53" t="s">
        <v>169</v>
      </c>
      <c r="AB248">
        <v>4.5</v>
      </c>
      <c r="AC248">
        <v>0.5</v>
      </c>
      <c r="AD248">
        <f t="shared" si="43"/>
        <v>2.25</v>
      </c>
      <c r="AE248">
        <v>1.25</v>
      </c>
      <c r="AF248" s="109">
        <f t="shared" si="45"/>
        <v>0.375</v>
      </c>
      <c r="AG248" s="38">
        <v>15</v>
      </c>
      <c r="AH248" s="38">
        <v>375</v>
      </c>
      <c r="AI248" s="5">
        <f t="shared" si="41"/>
        <v>166.66666666666666</v>
      </c>
      <c r="AJ248" s="5">
        <f t="shared" si="42"/>
        <v>300</v>
      </c>
      <c r="AK248" t="s">
        <v>540</v>
      </c>
      <c r="AL248" s="13" t="s">
        <v>2040</v>
      </c>
    </row>
    <row r="249" spans="1:38" x14ac:dyDescent="0.25">
      <c r="A249" t="s">
        <v>380</v>
      </c>
      <c r="B249" s="1" t="s">
        <v>2037</v>
      </c>
      <c r="C249" s="252" t="e">
        <f>VLOOKUP(B249,Plantings!$A$2:$C$285,2,FALSE)</f>
        <v>#N/A</v>
      </c>
      <c r="D249" s="252" t="e">
        <f>VLOOKUP(B249,Plantings!$A$2:$C$285,3,FALSE)</f>
        <v>#N/A</v>
      </c>
      <c r="E249" s="1">
        <v>2021</v>
      </c>
      <c r="G249" s="1" t="s">
        <v>412</v>
      </c>
      <c r="H249" s="1" t="s">
        <v>380</v>
      </c>
      <c r="I249" s="1" t="s">
        <v>405</v>
      </c>
      <c r="J249" s="131" t="s">
        <v>1853</v>
      </c>
      <c r="K249" s="1" t="s">
        <v>1853</v>
      </c>
      <c r="L249" s="1" t="s">
        <v>1866</v>
      </c>
      <c r="N249" t="s">
        <v>1867</v>
      </c>
      <c r="O249" s="1"/>
      <c r="P249" s="1"/>
      <c r="R249" t="s">
        <v>22</v>
      </c>
      <c r="S249" t="s">
        <v>22</v>
      </c>
      <c r="T249" s="27">
        <v>44342</v>
      </c>
      <c r="U249" s="4">
        <v>47.390659999999997</v>
      </c>
      <c r="V249" s="4">
        <v>-122.43606</v>
      </c>
      <c r="W249" s="252" t="e">
        <f>VLOOKUP(B249,Plantings!$A$2:$E$285,4,FALSE)</f>
        <v>#N/A</v>
      </c>
      <c r="X249" s="251" t="e">
        <f>VLOOKUP(B249,Plantings!$A$2:$E$285,5,FALSE)</f>
        <v>#N/A</v>
      </c>
      <c r="Y249" s="37" t="s">
        <v>148</v>
      </c>
      <c r="Z249" s="20">
        <v>-1.5</v>
      </c>
      <c r="AA249" s="53" t="s">
        <v>169</v>
      </c>
      <c r="AB249">
        <v>2.5</v>
      </c>
      <c r="AC249">
        <v>1</v>
      </c>
      <c r="AD249">
        <f t="shared" si="43"/>
        <v>2.5</v>
      </c>
      <c r="AE249">
        <v>1.5</v>
      </c>
      <c r="AF249" s="109">
        <f t="shared" si="45"/>
        <v>0.45</v>
      </c>
      <c r="AG249" s="38">
        <v>18</v>
      </c>
      <c r="AH249" s="38">
        <v>270</v>
      </c>
      <c r="AI249" s="5">
        <f t="shared" si="41"/>
        <v>108</v>
      </c>
      <c r="AJ249" s="5">
        <f t="shared" si="42"/>
        <v>180</v>
      </c>
      <c r="AK249" t="s">
        <v>119</v>
      </c>
      <c r="AL249" s="13" t="s">
        <v>2067</v>
      </c>
    </row>
    <row r="250" spans="1:38" x14ac:dyDescent="0.25">
      <c r="A250" t="s">
        <v>380</v>
      </c>
      <c r="B250" s="1" t="s">
        <v>2038</v>
      </c>
      <c r="C250" s="252" t="e">
        <f>VLOOKUP(B250,Plantings!$A$2:$C$285,2,FALSE)</f>
        <v>#N/A</v>
      </c>
      <c r="D250" s="252" t="e">
        <f>VLOOKUP(B250,Plantings!$A$2:$C$285,3,FALSE)</f>
        <v>#N/A</v>
      </c>
      <c r="E250" s="1">
        <v>2021</v>
      </c>
      <c r="G250" s="1" t="s">
        <v>412</v>
      </c>
      <c r="H250" s="1" t="s">
        <v>380</v>
      </c>
      <c r="I250" s="1" t="s">
        <v>405</v>
      </c>
      <c r="J250" s="131" t="s">
        <v>1853</v>
      </c>
      <c r="K250" s="1" t="s">
        <v>1853</v>
      </c>
      <c r="L250" s="1" t="s">
        <v>1866</v>
      </c>
      <c r="N250" t="s">
        <v>1867</v>
      </c>
      <c r="O250" s="1"/>
      <c r="P250" s="1"/>
      <c r="R250" t="s">
        <v>22</v>
      </c>
      <c r="S250" t="s">
        <v>22</v>
      </c>
      <c r="T250" s="27">
        <v>44329</v>
      </c>
      <c r="U250" s="4">
        <v>47.385899999999999</v>
      </c>
      <c r="V250" s="4">
        <v>-122.4379</v>
      </c>
      <c r="W250" s="252" t="e">
        <f>VLOOKUP(B250,Plantings!$A$2:$E$285,4,FALSE)</f>
        <v>#N/A</v>
      </c>
      <c r="X250" s="251" t="e">
        <f>VLOOKUP(B250,Plantings!$A$2:$E$285,5,FALSE)</f>
        <v>#N/A</v>
      </c>
      <c r="Y250" s="37" t="s">
        <v>148</v>
      </c>
      <c r="Z250" s="20">
        <v>-1.5</v>
      </c>
      <c r="AA250" s="53" t="s">
        <v>169</v>
      </c>
      <c r="AB250">
        <v>2.5</v>
      </c>
      <c r="AC250">
        <v>0.5</v>
      </c>
      <c r="AD250">
        <f t="shared" si="43"/>
        <v>1.25</v>
      </c>
      <c r="AE250">
        <v>0.75</v>
      </c>
      <c r="AF250" s="109">
        <f t="shared" si="45"/>
        <v>0.22500000000000001</v>
      </c>
      <c r="AG250" s="38">
        <v>9</v>
      </c>
      <c r="AH250" s="38">
        <v>180</v>
      </c>
      <c r="AI250" s="5">
        <f t="shared" si="41"/>
        <v>144</v>
      </c>
      <c r="AJ250" s="5">
        <f t="shared" si="42"/>
        <v>240</v>
      </c>
      <c r="AK250" t="s">
        <v>119</v>
      </c>
      <c r="AL250" s="13" t="s">
        <v>2118</v>
      </c>
    </row>
    <row r="251" spans="1:38" x14ac:dyDescent="0.25">
      <c r="A251" t="s">
        <v>380</v>
      </c>
      <c r="B251" s="1" t="s">
        <v>2038</v>
      </c>
      <c r="C251" s="252" t="e">
        <f>VLOOKUP(B251,Plantings!$A$2:$C$285,2,FALSE)</f>
        <v>#N/A</v>
      </c>
      <c r="D251" s="252" t="e">
        <f>VLOOKUP(B251,Plantings!$A$2:$C$285,3,FALSE)</f>
        <v>#N/A</v>
      </c>
      <c r="E251" s="1">
        <v>2021</v>
      </c>
      <c r="G251" s="1" t="s">
        <v>412</v>
      </c>
      <c r="H251" s="1" t="s">
        <v>380</v>
      </c>
      <c r="I251" s="1" t="s">
        <v>405</v>
      </c>
      <c r="J251" s="131" t="s">
        <v>1853</v>
      </c>
      <c r="K251" s="1" t="s">
        <v>1853</v>
      </c>
      <c r="L251" s="1" t="s">
        <v>1866</v>
      </c>
      <c r="N251" t="s">
        <v>1867</v>
      </c>
      <c r="O251" s="1"/>
      <c r="P251" s="1"/>
      <c r="R251" t="s">
        <v>22</v>
      </c>
      <c r="S251" t="s">
        <v>22</v>
      </c>
      <c r="T251" s="27">
        <v>44330</v>
      </c>
      <c r="U251" s="4">
        <v>47.385899999999999</v>
      </c>
      <c r="V251" s="4">
        <v>-122.4379</v>
      </c>
      <c r="W251" s="252" t="e">
        <f>VLOOKUP(B251,Plantings!$A$2:$E$285,4,FALSE)</f>
        <v>#N/A</v>
      </c>
      <c r="X251" s="251" t="e">
        <f>VLOOKUP(B251,Plantings!$A$2:$E$285,5,FALSE)</f>
        <v>#N/A</v>
      </c>
      <c r="Y251" s="37" t="s">
        <v>148</v>
      </c>
      <c r="Z251" s="20">
        <v>-1.5</v>
      </c>
      <c r="AA251" s="53" t="s">
        <v>169</v>
      </c>
      <c r="AB251">
        <v>2.5</v>
      </c>
      <c r="AC251">
        <v>0.5</v>
      </c>
      <c r="AD251">
        <f t="shared" si="43"/>
        <v>1.25</v>
      </c>
      <c r="AE251">
        <v>0.75</v>
      </c>
      <c r="AF251" s="109">
        <f t="shared" si="45"/>
        <v>0.22500000000000001</v>
      </c>
      <c r="AG251" s="38">
        <v>9</v>
      </c>
      <c r="AH251" s="38">
        <v>180</v>
      </c>
      <c r="AI251" s="5">
        <f t="shared" ref="AI251:AI282" si="46">IFERROR(AH251/AD251, "")</f>
        <v>144</v>
      </c>
      <c r="AJ251" s="5">
        <f t="shared" ref="AJ251:AJ282" si="47">IFERROR(AH251/AE251, "")</f>
        <v>240</v>
      </c>
      <c r="AK251" t="s">
        <v>540</v>
      </c>
      <c r="AL251" s="13" t="s">
        <v>2119</v>
      </c>
    </row>
    <row r="252" spans="1:38" x14ac:dyDescent="0.25">
      <c r="A252" t="s">
        <v>380</v>
      </c>
      <c r="B252" s="1" t="s">
        <v>2037</v>
      </c>
      <c r="C252" s="252" t="e">
        <f>VLOOKUP(B252,Plantings!$A$2:$C$285,2,FALSE)</f>
        <v>#N/A</v>
      </c>
      <c r="D252" s="252" t="e">
        <f>VLOOKUP(B252,Plantings!$A$2:$C$285,3,FALSE)</f>
        <v>#N/A</v>
      </c>
      <c r="E252" s="1">
        <v>2021</v>
      </c>
      <c r="G252" s="1" t="s">
        <v>412</v>
      </c>
      <c r="H252" s="1" t="s">
        <v>380</v>
      </c>
      <c r="I252" s="1" t="s">
        <v>405</v>
      </c>
      <c r="J252" s="131" t="s">
        <v>1853</v>
      </c>
      <c r="K252" s="1" t="s">
        <v>1853</v>
      </c>
      <c r="L252" s="1" t="s">
        <v>1866</v>
      </c>
      <c r="N252" t="s">
        <v>1867</v>
      </c>
      <c r="O252" s="1"/>
      <c r="P252" s="1"/>
      <c r="R252" t="s">
        <v>22</v>
      </c>
      <c r="S252" t="s">
        <v>22</v>
      </c>
      <c r="T252" s="27">
        <v>44342</v>
      </c>
      <c r="U252" s="4">
        <v>47.390659999999997</v>
      </c>
      <c r="V252" s="4">
        <v>-122.43606</v>
      </c>
      <c r="W252" s="252" t="e">
        <f>VLOOKUP(B252,Plantings!$A$2:$E$285,4,FALSE)</f>
        <v>#N/A</v>
      </c>
      <c r="X252" s="251" t="e">
        <f>VLOOKUP(B252,Plantings!$A$2:$E$285,5,FALSE)</f>
        <v>#N/A</v>
      </c>
      <c r="Y252" s="37" t="s">
        <v>148</v>
      </c>
      <c r="Z252" s="20">
        <v>-1.5</v>
      </c>
      <c r="AA252" s="53" t="s">
        <v>169</v>
      </c>
      <c r="AB252">
        <v>2.5</v>
      </c>
      <c r="AC252">
        <v>1</v>
      </c>
      <c r="AD252">
        <f t="shared" si="43"/>
        <v>2.5</v>
      </c>
      <c r="AE252">
        <f>AG252*0.25</f>
        <v>4.5</v>
      </c>
      <c r="AF252" s="109">
        <f t="shared" si="45"/>
        <v>0.45</v>
      </c>
      <c r="AG252" s="38">
        <v>18</v>
      </c>
      <c r="AH252" s="38">
        <v>360</v>
      </c>
      <c r="AI252" s="5">
        <f t="shared" si="46"/>
        <v>144</v>
      </c>
      <c r="AJ252" s="5">
        <f t="shared" si="47"/>
        <v>80</v>
      </c>
      <c r="AK252" t="s">
        <v>119</v>
      </c>
      <c r="AL252" s="13" t="s">
        <v>2046</v>
      </c>
    </row>
    <row r="253" spans="1:38" x14ac:dyDescent="0.25">
      <c r="A253" t="s">
        <v>380</v>
      </c>
      <c r="B253" s="1" t="s">
        <v>2087</v>
      </c>
      <c r="C253" s="252" t="e">
        <f>VLOOKUP(B253,Plantings!$A$2:$C$285,2,FALSE)</f>
        <v>#N/A</v>
      </c>
      <c r="D253" s="252" t="e">
        <f>VLOOKUP(B253,Plantings!$A$2:$C$285,3,FALSE)</f>
        <v>#N/A</v>
      </c>
      <c r="E253" s="1">
        <v>2022</v>
      </c>
      <c r="G253" s="1" t="s">
        <v>412</v>
      </c>
      <c r="H253" s="1" t="s">
        <v>380</v>
      </c>
      <c r="I253" s="1" t="s">
        <v>405</v>
      </c>
      <c r="J253" s="131" t="s">
        <v>1853</v>
      </c>
      <c r="K253" s="1" t="s">
        <v>1853</v>
      </c>
      <c r="L253" s="1" t="s">
        <v>1866</v>
      </c>
      <c r="N253" t="s">
        <v>1867</v>
      </c>
      <c r="R253" t="s">
        <v>22</v>
      </c>
      <c r="S253" t="s">
        <v>22</v>
      </c>
      <c r="T253" s="134">
        <v>44700</v>
      </c>
      <c r="U253" s="4">
        <v>47.390659999999997</v>
      </c>
      <c r="V253" s="4">
        <v>-122.43606</v>
      </c>
      <c r="W253" s="252" t="e">
        <f>VLOOKUP(B253,Plantings!$A$2:$E$285,4,FALSE)</f>
        <v>#N/A</v>
      </c>
      <c r="X253" s="251" t="e">
        <f>VLOOKUP(B253,Plantings!$A$2:$E$285,5,FALSE)</f>
        <v>#N/A</v>
      </c>
      <c r="Y253" s="7" t="s">
        <v>148</v>
      </c>
      <c r="Z253" s="20">
        <v>-1.5</v>
      </c>
      <c r="AA253" s="53" t="s">
        <v>2088</v>
      </c>
      <c r="AB253">
        <v>1.5</v>
      </c>
      <c r="AC253">
        <v>0.5</v>
      </c>
      <c r="AD253">
        <f t="shared" si="43"/>
        <v>0.75</v>
      </c>
      <c r="AE253">
        <f>AG253*0.25</f>
        <v>0.75</v>
      </c>
      <c r="AF253" s="109">
        <f>IF(AA253="staple",AG253*0.005,IF(AA253="rebar",AG253*0.025,IF(AA253="burlap",AG253*0.0625,IF(AA253="washer",AG253*0.0025,IF(AA253="pucks",AG253*0.00785,IF(AA253="turf",AG253*0.01,IF(AA253="TERFS",AG253*0.25,IF(AA253="",""))))))))</f>
        <v>0.75</v>
      </c>
      <c r="AG253" s="38">
        <v>3</v>
      </c>
      <c r="AH253" s="119">
        <v>75</v>
      </c>
      <c r="AI253" s="5">
        <f t="shared" si="46"/>
        <v>100</v>
      </c>
      <c r="AJ253" s="5">
        <f t="shared" si="47"/>
        <v>100</v>
      </c>
      <c r="AK253" t="s">
        <v>119</v>
      </c>
      <c r="AL253" s="13" t="s">
        <v>2089</v>
      </c>
    </row>
    <row r="254" spans="1:38" x14ac:dyDescent="0.25">
      <c r="A254" t="s">
        <v>27</v>
      </c>
      <c r="B254" t="s">
        <v>226</v>
      </c>
      <c r="C254" s="252" t="str">
        <f>VLOOKUP(B254,Plantings!$A$2:$C$285,2,FALSE)</f>
        <v>QLC01</v>
      </c>
      <c r="D254" s="252" t="str">
        <f>VLOOKUP(B254,Plantings!$A$2:$C$285,3,FALSE)</f>
        <v>single</v>
      </c>
      <c r="E254">
        <v>2014</v>
      </c>
      <c r="F254" t="s">
        <v>459</v>
      </c>
      <c r="G254" t="s">
        <v>412</v>
      </c>
      <c r="H254" t="s">
        <v>27</v>
      </c>
      <c r="I254" t="s">
        <v>407</v>
      </c>
      <c r="J254" t="s">
        <v>5</v>
      </c>
      <c r="K254" t="s">
        <v>165</v>
      </c>
      <c r="L254" t="s">
        <v>230</v>
      </c>
      <c r="O254" t="s">
        <v>49</v>
      </c>
      <c r="P254" t="s">
        <v>62</v>
      </c>
      <c r="Q254" t="s">
        <v>75</v>
      </c>
      <c r="R254" t="s">
        <v>22</v>
      </c>
      <c r="S254" t="s">
        <v>22</v>
      </c>
      <c r="T254" s="27">
        <v>41967</v>
      </c>
      <c r="U254" s="28">
        <v>47.797766666666668</v>
      </c>
      <c r="V254" s="28">
        <v>-122.84966666666666</v>
      </c>
      <c r="W254" s="252" t="str">
        <f>VLOOKUP(B254,Plantings!$A$2:$E$285,4,FALSE)</f>
        <v>point</v>
      </c>
      <c r="X254" s="251" t="str">
        <f>VLOOKUP(B254,Plantings!$A$2:$E$285,5,FALSE)</f>
        <v>retain</v>
      </c>
      <c r="Y254" s="7" t="s">
        <v>148</v>
      </c>
      <c r="Z254" s="20">
        <v>-0.4</v>
      </c>
      <c r="AA254" s="5" t="s">
        <v>168</v>
      </c>
      <c r="AB254">
        <v>5</v>
      </c>
      <c r="AC254">
        <v>5</v>
      </c>
      <c r="AD254">
        <f t="shared" si="43"/>
        <v>25</v>
      </c>
      <c r="AE254">
        <v>25</v>
      </c>
      <c r="AF254" s="109">
        <f t="shared" ref="AF254:AF263" si="48">IF(AA254="staple",AG254*0.005,IF(AA254="rebar",AG254*0.025,IF(AA254="burlap",AG254*0.0625,IF(AA254="washer",AG254*0.0025,IF(AA254="pucks",AG254*0.00785,IF(AA254="turf",AG254*0.01,IF(AA254="","")))))))</f>
        <v>0.625</v>
      </c>
      <c r="AG254" s="38">
        <f>AH254/4</f>
        <v>125</v>
      </c>
      <c r="AH254" s="38">
        <v>500</v>
      </c>
      <c r="AI254" s="5">
        <f t="shared" si="46"/>
        <v>20</v>
      </c>
      <c r="AJ254" s="5">
        <f t="shared" si="47"/>
        <v>20</v>
      </c>
      <c r="AK254" t="s">
        <v>27</v>
      </c>
    </row>
    <row r="255" spans="1:38" x14ac:dyDescent="0.25">
      <c r="A255" s="1" t="s">
        <v>145</v>
      </c>
      <c r="B255" s="1" t="s">
        <v>594</v>
      </c>
      <c r="C255" s="252" t="str">
        <f>VLOOKUP(B255,Plantings!$A$2:$C$285,2,FALSE)</f>
        <v>QLC_north1</v>
      </c>
      <c r="D255" s="252" t="str">
        <f>VLOOKUP(B255,Plantings!$A$2:$C$285,3,FALSE)</f>
        <v>single</v>
      </c>
      <c r="E255" s="1">
        <v>2016</v>
      </c>
      <c r="F255" t="s">
        <v>459</v>
      </c>
      <c r="G255" s="1" t="s">
        <v>412</v>
      </c>
      <c r="H255" s="1" t="s">
        <v>27</v>
      </c>
      <c r="I255" s="1" t="s">
        <v>407</v>
      </c>
      <c r="J255" s="1" t="s">
        <v>66</v>
      </c>
      <c r="K255" s="1" t="s">
        <v>69</v>
      </c>
      <c r="L255" s="1" t="s">
        <v>69</v>
      </c>
      <c r="M255" s="131" t="s">
        <v>1119</v>
      </c>
      <c r="N255" s="1" t="s">
        <v>67</v>
      </c>
      <c r="O255" s="1" t="s">
        <v>49</v>
      </c>
      <c r="P255" s="1" t="s">
        <v>1120</v>
      </c>
      <c r="Q255" s="1"/>
      <c r="R255" s="1" t="s">
        <v>22</v>
      </c>
      <c r="S255" s="1" t="s">
        <v>22</v>
      </c>
      <c r="T255" s="35">
        <v>42551</v>
      </c>
      <c r="U255" s="28">
        <v>47.799083333333336</v>
      </c>
      <c r="V255" s="28">
        <v>-122.84871666666666</v>
      </c>
      <c r="W255" s="252" t="str">
        <f>VLOOKUP(B255,Plantings!$A$2:$E$285,4,FALSE)</f>
        <v>point?</v>
      </c>
      <c r="X255" s="251" t="str">
        <f>VLOOKUP(B255,Plantings!$A$2:$E$285,5,FALSE)</f>
        <v>retain</v>
      </c>
      <c r="Y255" s="37" t="s">
        <v>148</v>
      </c>
      <c r="Z255" s="36">
        <v>-1.6459200000000003</v>
      </c>
      <c r="AA255" s="1" t="s">
        <v>168</v>
      </c>
      <c r="AB255" s="38">
        <v>2</v>
      </c>
      <c r="AC255">
        <v>2</v>
      </c>
      <c r="AD255">
        <f t="shared" si="43"/>
        <v>4</v>
      </c>
      <c r="AE255">
        <v>4</v>
      </c>
      <c r="AF255" s="109">
        <f t="shared" si="48"/>
        <v>0.3</v>
      </c>
      <c r="AG255" s="38">
        <v>60</v>
      </c>
      <c r="AH255" s="38">
        <v>240</v>
      </c>
      <c r="AI255" s="5">
        <f t="shared" si="46"/>
        <v>60</v>
      </c>
      <c r="AJ255" s="5">
        <f t="shared" si="47"/>
        <v>60</v>
      </c>
      <c r="AK255" s="1" t="s">
        <v>27</v>
      </c>
    </row>
    <row r="256" spans="1:38" x14ac:dyDescent="0.25">
      <c r="A256" s="1" t="s">
        <v>145</v>
      </c>
      <c r="B256" s="1" t="s">
        <v>595</v>
      </c>
      <c r="C256" s="252" t="str">
        <f>VLOOKUP(B256,Plantings!$A$2:$C$285,2,FALSE)</f>
        <v>QLC_north2</v>
      </c>
      <c r="D256" s="252" t="str">
        <f>VLOOKUP(B256,Plantings!$A$2:$C$285,3,FALSE)</f>
        <v>single</v>
      </c>
      <c r="E256" s="1">
        <v>2016</v>
      </c>
      <c r="F256" t="s">
        <v>459</v>
      </c>
      <c r="G256" s="1" t="s">
        <v>412</v>
      </c>
      <c r="H256" s="1" t="s">
        <v>27</v>
      </c>
      <c r="I256" s="1" t="s">
        <v>407</v>
      </c>
      <c r="J256" s="1" t="s">
        <v>66</v>
      </c>
      <c r="K256" s="1" t="s">
        <v>69</v>
      </c>
      <c r="L256" s="1" t="s">
        <v>69</v>
      </c>
      <c r="M256" s="131" t="s">
        <v>1119</v>
      </c>
      <c r="N256" s="1" t="s">
        <v>67</v>
      </c>
      <c r="O256" s="1" t="s">
        <v>49</v>
      </c>
      <c r="P256" s="1" t="s">
        <v>1120</v>
      </c>
      <c r="Q256" s="1"/>
      <c r="R256" s="1" t="s">
        <v>22</v>
      </c>
      <c r="S256" s="1" t="s">
        <v>22</v>
      </c>
      <c r="T256" s="35">
        <v>42551</v>
      </c>
      <c r="U256" s="28">
        <v>47.799149999999997</v>
      </c>
      <c r="V256" s="28">
        <v>-122.84875</v>
      </c>
      <c r="W256" s="252" t="str">
        <f>VLOOKUP(B256,Plantings!$A$2:$E$285,4,FALSE)</f>
        <v>point?</v>
      </c>
      <c r="X256" s="251" t="str">
        <f>VLOOKUP(B256,Plantings!$A$2:$E$285,5,FALSE)</f>
        <v>retain</v>
      </c>
      <c r="Y256" s="37" t="s">
        <v>148</v>
      </c>
      <c r="Z256" s="36">
        <v>-1.7068799999999997</v>
      </c>
      <c r="AA256" s="1" t="s">
        <v>168</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145</v>
      </c>
      <c r="B257" s="1" t="s">
        <v>596</v>
      </c>
      <c r="C257" s="252" t="str">
        <f>VLOOKUP(B257,Plantings!$A$2:$C$285,2,FALSE)</f>
        <v>QLC_north3</v>
      </c>
      <c r="D257" s="252" t="str">
        <f>VLOOKUP(B257,Plantings!$A$2:$C$285,3,FALSE)</f>
        <v>single</v>
      </c>
      <c r="E257" s="1">
        <v>2016</v>
      </c>
      <c r="F257" t="s">
        <v>459</v>
      </c>
      <c r="G257" s="1" t="s">
        <v>412</v>
      </c>
      <c r="H257" s="1" t="s">
        <v>27</v>
      </c>
      <c r="I257" s="1" t="s">
        <v>407</v>
      </c>
      <c r="J257" s="1" t="s">
        <v>66</v>
      </c>
      <c r="K257" s="1" t="s">
        <v>69</v>
      </c>
      <c r="L257" s="1" t="s">
        <v>69</v>
      </c>
      <c r="M257" s="131" t="s">
        <v>1119</v>
      </c>
      <c r="N257" s="1" t="s">
        <v>67</v>
      </c>
      <c r="O257" s="1" t="s">
        <v>49</v>
      </c>
      <c r="P257" s="1" t="s">
        <v>1120</v>
      </c>
      <c r="Q257" s="1"/>
      <c r="R257" s="1" t="s">
        <v>22</v>
      </c>
      <c r="S257" s="1" t="s">
        <v>22</v>
      </c>
      <c r="T257" s="35">
        <v>42551</v>
      </c>
      <c r="U257" s="28">
        <v>47.799166666666665</v>
      </c>
      <c r="V257" s="28">
        <v>-122.8488</v>
      </c>
      <c r="W257" s="252" t="str">
        <f>VLOOKUP(B257,Plantings!$A$2:$E$285,4,FALSE)</f>
        <v>point?</v>
      </c>
      <c r="X257" s="251" t="str">
        <f>VLOOKUP(B257,Plantings!$A$2:$E$285,5,FALSE)</f>
        <v>retain</v>
      </c>
      <c r="Y257" s="37" t="s">
        <v>148</v>
      </c>
      <c r="Z257" s="36"/>
      <c r="AA257" s="1" t="s">
        <v>168</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145</v>
      </c>
      <c r="B258" s="1" t="s">
        <v>597</v>
      </c>
      <c r="C258" s="252" t="str">
        <f>VLOOKUP(B258,Plantings!$A$2:$C$285,2,FALSE)</f>
        <v>QLC_mid1</v>
      </c>
      <c r="D258" s="252" t="str">
        <f>VLOOKUP(B258,Plantings!$A$2:$C$285,3,FALSE)</f>
        <v>single</v>
      </c>
      <c r="E258" s="1">
        <v>2016</v>
      </c>
      <c r="F258" t="s">
        <v>459</v>
      </c>
      <c r="G258" s="1" t="s">
        <v>412</v>
      </c>
      <c r="H258" s="1" t="s">
        <v>27</v>
      </c>
      <c r="I258" s="1" t="s">
        <v>407</v>
      </c>
      <c r="J258" s="1" t="s">
        <v>66</v>
      </c>
      <c r="K258" s="1" t="s">
        <v>69</v>
      </c>
      <c r="L258" s="1" t="s">
        <v>69</v>
      </c>
      <c r="M258" s="131" t="s">
        <v>1119</v>
      </c>
      <c r="N258" s="1" t="s">
        <v>67</v>
      </c>
      <c r="O258" s="1" t="s">
        <v>49</v>
      </c>
      <c r="P258" s="1" t="s">
        <v>1120</v>
      </c>
      <c r="Q258" s="1"/>
      <c r="R258" s="1" t="s">
        <v>22</v>
      </c>
      <c r="S258" s="1" t="s">
        <v>22</v>
      </c>
      <c r="T258" s="35">
        <v>42551</v>
      </c>
      <c r="U258" s="28">
        <v>47.798033333333336</v>
      </c>
      <c r="V258" s="28">
        <v>-122.84951666666667</v>
      </c>
      <c r="W258" s="252" t="str">
        <f>VLOOKUP(B258,Plantings!$A$2:$E$285,4,FALSE)</f>
        <v>point?</v>
      </c>
      <c r="X258" s="251" t="str">
        <f>VLOOKUP(B258,Plantings!$A$2:$E$285,5,FALSE)</f>
        <v>retain</v>
      </c>
      <c r="Y258" s="37" t="s">
        <v>148</v>
      </c>
      <c r="Z258" s="36">
        <v>-1.4325600000000001</v>
      </c>
      <c r="AA258" s="1" t="s">
        <v>168</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145</v>
      </c>
      <c r="B259" s="1" t="s">
        <v>598</v>
      </c>
      <c r="C259" s="252" t="str">
        <f>VLOOKUP(B259,Plantings!$A$2:$C$285,2,FALSE)</f>
        <v>QLC_mid2</v>
      </c>
      <c r="D259" s="252" t="str">
        <f>VLOOKUP(B259,Plantings!$A$2:$C$285,3,FALSE)</f>
        <v>single</v>
      </c>
      <c r="E259" s="1">
        <v>2016</v>
      </c>
      <c r="F259" t="s">
        <v>459</v>
      </c>
      <c r="G259" s="1" t="s">
        <v>412</v>
      </c>
      <c r="H259" s="1" t="s">
        <v>27</v>
      </c>
      <c r="I259" s="1" t="s">
        <v>407</v>
      </c>
      <c r="J259" s="1" t="s">
        <v>66</v>
      </c>
      <c r="K259" s="1" t="s">
        <v>69</v>
      </c>
      <c r="L259" s="1" t="s">
        <v>69</v>
      </c>
      <c r="M259" s="131" t="s">
        <v>1119</v>
      </c>
      <c r="N259" s="1" t="s">
        <v>67</v>
      </c>
      <c r="O259" s="1" t="s">
        <v>49</v>
      </c>
      <c r="P259" s="1" t="s">
        <v>1120</v>
      </c>
      <c r="Q259" s="1"/>
      <c r="R259" s="1" t="s">
        <v>22</v>
      </c>
      <c r="S259" s="1" t="s">
        <v>22</v>
      </c>
      <c r="T259" s="35">
        <v>42551</v>
      </c>
      <c r="U259" s="28">
        <v>47.798083333333331</v>
      </c>
      <c r="V259" s="28">
        <v>-122.84958333333333</v>
      </c>
      <c r="W259" s="252" t="str">
        <f>VLOOKUP(B259,Plantings!$A$2:$E$285,4,FALSE)</f>
        <v>point?</v>
      </c>
      <c r="X259" s="251" t="str">
        <f>VLOOKUP(B259,Plantings!$A$2:$E$285,5,FALSE)</f>
        <v>retain</v>
      </c>
      <c r="Y259" s="37" t="s">
        <v>148</v>
      </c>
      <c r="Z259" s="36">
        <v>-1.7983199999999999</v>
      </c>
      <c r="AA259" s="1" t="s">
        <v>168</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145</v>
      </c>
      <c r="B260" s="1" t="s">
        <v>599</v>
      </c>
      <c r="C260" s="252" t="str">
        <f>VLOOKUP(B260,Plantings!$A$2:$C$285,2,FALSE)</f>
        <v>QLC_mid3</v>
      </c>
      <c r="D260" s="252" t="str">
        <f>VLOOKUP(B260,Plantings!$A$2:$C$285,3,FALSE)</f>
        <v>single</v>
      </c>
      <c r="E260" s="1">
        <v>2016</v>
      </c>
      <c r="F260" t="s">
        <v>459</v>
      </c>
      <c r="G260" s="1" t="s">
        <v>412</v>
      </c>
      <c r="H260" s="1" t="s">
        <v>27</v>
      </c>
      <c r="I260" s="1" t="s">
        <v>407</v>
      </c>
      <c r="J260" s="1" t="s">
        <v>66</v>
      </c>
      <c r="K260" s="1" t="s">
        <v>69</v>
      </c>
      <c r="L260" s="1" t="s">
        <v>69</v>
      </c>
      <c r="M260" s="131" t="s">
        <v>1119</v>
      </c>
      <c r="N260" s="1" t="s">
        <v>67</v>
      </c>
      <c r="O260" s="1" t="s">
        <v>49</v>
      </c>
      <c r="P260" s="1" t="s">
        <v>1120</v>
      </c>
      <c r="Q260" s="1"/>
      <c r="R260" s="1" t="s">
        <v>22</v>
      </c>
      <c r="S260" s="1" t="s">
        <v>22</v>
      </c>
      <c r="T260" s="35">
        <v>42551</v>
      </c>
      <c r="U260" s="28">
        <v>47.798116666666665</v>
      </c>
      <c r="V260" s="28">
        <v>-122.8496</v>
      </c>
      <c r="W260" s="252" t="str">
        <f>VLOOKUP(B260,Plantings!$A$2:$E$285,4,FALSE)</f>
        <v>point?</v>
      </c>
      <c r="X260" s="251" t="str">
        <f>VLOOKUP(B260,Plantings!$A$2:$E$285,5,FALSE)</f>
        <v>retain</v>
      </c>
      <c r="Y260" s="37" t="s">
        <v>148</v>
      </c>
      <c r="Z260" s="36">
        <v>-2.1335999999999999</v>
      </c>
      <c r="AA260" s="1" t="s">
        <v>168</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145</v>
      </c>
      <c r="B261" s="1" t="s">
        <v>600</v>
      </c>
      <c r="C261" s="252" t="str">
        <f>VLOOKUP(B261,Plantings!$A$2:$C$285,2,FALSE)</f>
        <v>QLC_south1</v>
      </c>
      <c r="D261" s="252" t="str">
        <f>VLOOKUP(B261,Plantings!$A$2:$C$285,3,FALSE)</f>
        <v>single</v>
      </c>
      <c r="E261" s="1">
        <v>2016</v>
      </c>
      <c r="F261" t="s">
        <v>459</v>
      </c>
      <c r="G261" s="1" t="s">
        <v>412</v>
      </c>
      <c r="H261" s="1" t="s">
        <v>27</v>
      </c>
      <c r="I261" s="1" t="s">
        <v>407</v>
      </c>
      <c r="J261" s="1" t="s">
        <v>66</v>
      </c>
      <c r="K261" s="1" t="s">
        <v>69</v>
      </c>
      <c r="L261" s="1" t="s">
        <v>69</v>
      </c>
      <c r="M261" s="131" t="s">
        <v>1119</v>
      </c>
      <c r="N261" s="1" t="s">
        <v>67</v>
      </c>
      <c r="O261" s="1" t="s">
        <v>49</v>
      </c>
      <c r="P261" s="1" t="s">
        <v>1120</v>
      </c>
      <c r="Q261" s="1"/>
      <c r="R261" s="1" t="s">
        <v>22</v>
      </c>
      <c r="S261" s="1" t="s">
        <v>22</v>
      </c>
      <c r="T261" s="35">
        <v>42551</v>
      </c>
      <c r="U261" s="30">
        <v>47.79665</v>
      </c>
      <c r="V261" s="30">
        <v>-122.8501333</v>
      </c>
      <c r="W261" s="252" t="str">
        <f>VLOOKUP(B261,Plantings!$A$2:$E$285,4,FALSE)</f>
        <v>point?</v>
      </c>
      <c r="X261" s="251" t="str">
        <f>VLOOKUP(B261,Plantings!$A$2:$E$285,5,FALSE)</f>
        <v>retain</v>
      </c>
      <c r="Y261" s="37" t="s">
        <v>148</v>
      </c>
      <c r="Z261" s="36">
        <v>-1.1582399999999999</v>
      </c>
      <c r="AA261" s="1" t="s">
        <v>168</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145</v>
      </c>
      <c r="B262" s="1" t="s">
        <v>601</v>
      </c>
      <c r="C262" s="252" t="str">
        <f>VLOOKUP(B262,Plantings!$A$2:$C$285,2,FALSE)</f>
        <v>QLC_south2</v>
      </c>
      <c r="D262" s="252" t="str">
        <f>VLOOKUP(B262,Plantings!$A$2:$C$285,3,FALSE)</f>
        <v>single</v>
      </c>
      <c r="E262" s="1">
        <v>2016</v>
      </c>
      <c r="F262" t="s">
        <v>459</v>
      </c>
      <c r="G262" s="1" t="s">
        <v>412</v>
      </c>
      <c r="H262" s="1" t="s">
        <v>27</v>
      </c>
      <c r="I262" s="1" t="s">
        <v>407</v>
      </c>
      <c r="J262" s="1" t="s">
        <v>66</v>
      </c>
      <c r="K262" s="1" t="s">
        <v>69</v>
      </c>
      <c r="L262" s="1" t="s">
        <v>69</v>
      </c>
      <c r="M262" s="131" t="s">
        <v>1119</v>
      </c>
      <c r="N262" s="1" t="s">
        <v>67</v>
      </c>
      <c r="O262" s="1" t="s">
        <v>49</v>
      </c>
      <c r="P262" s="1" t="s">
        <v>1120</v>
      </c>
      <c r="Q262" s="1"/>
      <c r="R262" s="1" t="s">
        <v>22</v>
      </c>
      <c r="S262" s="1" t="s">
        <v>22</v>
      </c>
      <c r="T262" s="35">
        <v>42551</v>
      </c>
      <c r="U262" s="30">
        <v>47.79668333</v>
      </c>
      <c r="V262" s="30">
        <v>-122.8502</v>
      </c>
      <c r="W262" s="252" t="str">
        <f>VLOOKUP(B262,Plantings!$A$2:$E$285,4,FALSE)</f>
        <v>point?</v>
      </c>
      <c r="X262" s="251" t="str">
        <f>VLOOKUP(B262,Plantings!$A$2:$E$285,5,FALSE)</f>
        <v>retain</v>
      </c>
      <c r="Y262" s="37" t="s">
        <v>148</v>
      </c>
      <c r="Z262" s="36">
        <v>-1.4630399999999999</v>
      </c>
      <c r="AA262" s="1" t="s">
        <v>168</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145</v>
      </c>
      <c r="B263" s="1" t="s">
        <v>602</v>
      </c>
      <c r="C263" s="252" t="str">
        <f>VLOOKUP(B263,Plantings!$A$2:$C$285,2,FALSE)</f>
        <v>QLC_south3</v>
      </c>
      <c r="D263" s="252" t="str">
        <f>VLOOKUP(B263,Plantings!$A$2:$C$285,3,FALSE)</f>
        <v>single</v>
      </c>
      <c r="E263" s="1">
        <v>2016</v>
      </c>
      <c r="F263" t="s">
        <v>459</v>
      </c>
      <c r="G263" s="1" t="s">
        <v>412</v>
      </c>
      <c r="H263" s="1" t="s">
        <v>27</v>
      </c>
      <c r="I263" s="1" t="s">
        <v>407</v>
      </c>
      <c r="J263" s="1" t="s">
        <v>66</v>
      </c>
      <c r="K263" s="1" t="s">
        <v>69</v>
      </c>
      <c r="L263" s="1" t="s">
        <v>69</v>
      </c>
      <c r="M263" s="131" t="s">
        <v>1119</v>
      </c>
      <c r="N263" s="1" t="s">
        <v>67</v>
      </c>
      <c r="O263" s="1" t="s">
        <v>49</v>
      </c>
      <c r="P263" s="1" t="s">
        <v>1120</v>
      </c>
      <c r="Q263" s="1"/>
      <c r="R263" s="1" t="s">
        <v>22</v>
      </c>
      <c r="S263" s="1" t="s">
        <v>22</v>
      </c>
      <c r="T263" s="35">
        <v>42551</v>
      </c>
      <c r="U263" s="30">
        <v>47.79668333</v>
      </c>
      <c r="V263" s="30">
        <v>-122.8502333</v>
      </c>
      <c r="W263" s="252" t="str">
        <f>VLOOKUP(B263,Plantings!$A$2:$E$285,4,FALSE)</f>
        <v>point?</v>
      </c>
      <c r="X263" s="251" t="str">
        <f>VLOOKUP(B263,Plantings!$A$2:$E$285,5,FALSE)</f>
        <v>retain</v>
      </c>
      <c r="Y263" s="37" t="s">
        <v>148</v>
      </c>
      <c r="Z263" s="36">
        <v>-2.0726399999999998</v>
      </c>
      <c r="AA263" s="1" t="s">
        <v>168</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t="s">
        <v>2132</v>
      </c>
      <c r="B264" t="s">
        <v>2133</v>
      </c>
      <c r="C264" s="252" t="str">
        <f>VLOOKUP(B264,Plantings!$A$2:$C$285,2,FALSE)</f>
        <v>SHB_1</v>
      </c>
      <c r="D264" s="252" t="str">
        <f>VLOOKUP(B264,Plantings!$A$2:$C$285,3,FALSE)</f>
        <v>single</v>
      </c>
      <c r="E264">
        <v>2023</v>
      </c>
      <c r="G264" t="s">
        <v>412</v>
      </c>
      <c r="H264" t="s">
        <v>2134</v>
      </c>
      <c r="I264" t="s">
        <v>407</v>
      </c>
      <c r="R264" t="s">
        <v>22</v>
      </c>
      <c r="S264" t="s">
        <v>22</v>
      </c>
      <c r="T264" s="134">
        <v>45081</v>
      </c>
      <c r="U264" s="30">
        <v>47.866653999999997</v>
      </c>
      <c r="V264" s="30">
        <v>-122.67272</v>
      </c>
      <c r="W264" s="252" t="str">
        <f>VLOOKUP(B264,Plantings!$A$2:$E$285,4,FALSE)</f>
        <v>point</v>
      </c>
      <c r="X264" s="251" t="str">
        <f>VLOOKUP(B264,Plantings!$A$2:$E$285,5,FALSE)</f>
        <v>retain</v>
      </c>
      <c r="Y264" s="7" t="s">
        <v>148</v>
      </c>
      <c r="Z264" s="36">
        <v>-0.5</v>
      </c>
      <c r="AA264" s="5" t="s">
        <v>169</v>
      </c>
      <c r="AD264">
        <f t="shared" si="43"/>
        <v>0</v>
      </c>
      <c r="AE264">
        <f>AG264*0.25</f>
        <v>2.25</v>
      </c>
      <c r="AF264" s="109">
        <f>IF(AA264="staple",AG264*0.005,IF(AA264="rebar",AG264*0.025,IF(AA264="burlap",AG264*0.0625,IF(AA264="washer",AG264*0.0025,IF(AA264="pucks",AG264*0.00785,IF(AA264="turf",AG264*0.01,IF(AA264="TERFS",AG264*0.25,IF(AA264="",""))))))))</f>
        <v>0.22500000000000001</v>
      </c>
      <c r="AG264" s="38">
        <v>9</v>
      </c>
      <c r="AI264" s="5" t="str">
        <f t="shared" si="46"/>
        <v/>
      </c>
      <c r="AJ264" s="5">
        <f t="shared" si="47"/>
        <v>0</v>
      </c>
      <c r="AK264" t="s">
        <v>2135</v>
      </c>
    </row>
    <row r="265" spans="1:38" x14ac:dyDescent="0.25">
      <c r="A265" t="s">
        <v>79</v>
      </c>
      <c r="B265" s="1" t="s">
        <v>414</v>
      </c>
      <c r="C265" s="252" t="str">
        <f>VLOOKUP(B265,Plantings!$A$2:$C$285,2,FALSE)</f>
        <v>SKG_1</v>
      </c>
      <c r="D265" s="252" t="str">
        <f>VLOOKUP(B265,Plantings!$A$2:$C$285,3,FALSE)</f>
        <v>single</v>
      </c>
      <c r="E265" s="1">
        <v>2016</v>
      </c>
      <c r="F265" t="s">
        <v>463</v>
      </c>
      <c r="G265" s="1" t="s">
        <v>412</v>
      </c>
      <c r="H265" s="1" t="s">
        <v>170</v>
      </c>
      <c r="I265" s="1" t="s">
        <v>408</v>
      </c>
      <c r="J265" s="1" t="s">
        <v>66</v>
      </c>
      <c r="K265" s="1" t="s">
        <v>69</v>
      </c>
      <c r="L265" s="1" t="s">
        <v>69</v>
      </c>
      <c r="M265" s="131" t="s">
        <v>1119</v>
      </c>
      <c r="N265" s="1" t="s">
        <v>67</v>
      </c>
      <c r="O265" s="1" t="s">
        <v>49</v>
      </c>
      <c r="P265" s="1" t="s">
        <v>1120</v>
      </c>
      <c r="Q265" s="1"/>
      <c r="R265" s="1" t="s">
        <v>22</v>
      </c>
      <c r="S265" s="1" t="s">
        <v>22</v>
      </c>
      <c r="T265" s="27">
        <v>42621</v>
      </c>
      <c r="U265" s="31">
        <v>48.347106666666669</v>
      </c>
      <c r="V265" s="31">
        <v>-122.54136666666666</v>
      </c>
      <c r="W265" s="252" t="str">
        <f>VLOOKUP(B265,Plantings!$A$2:$E$285,4,FALSE)</f>
        <v>point</v>
      </c>
      <c r="X265" s="251" t="str">
        <f>VLOOKUP(B265,Plantings!$A$2:$E$285,5,FALSE)</f>
        <v>retain</v>
      </c>
      <c r="Y265" s="7" t="s">
        <v>148</v>
      </c>
      <c r="Z265" s="20">
        <v>-0.70104000000000022</v>
      </c>
      <c r="AA265" t="s">
        <v>169</v>
      </c>
      <c r="AB265">
        <v>2</v>
      </c>
      <c r="AC265">
        <v>2</v>
      </c>
      <c r="AD265">
        <f t="shared" si="43"/>
        <v>4</v>
      </c>
      <c r="AE265">
        <f>AG265*0.25</f>
        <v>5</v>
      </c>
      <c r="AF265" s="109">
        <f t="shared" ref="AF265:AF277" si="49">IF(AA265="staple",AG265*0.005,IF(AA265="rebar",AG265*0.025,IF(AA265="burlap",AG265*0.0625,IF(AA265="washer",AG265*0.0025,IF(AA265="pucks",AG265*0.00785,IF(AA265="turf",AG265*0.01,IF(AA265="","")))))))</f>
        <v>0.5</v>
      </c>
      <c r="AG265" s="38">
        <v>20</v>
      </c>
      <c r="AH265" s="38">
        <v>500</v>
      </c>
      <c r="AI265" s="5">
        <f t="shared" si="46"/>
        <v>125</v>
      </c>
      <c r="AJ265" s="5">
        <f t="shared" si="47"/>
        <v>100</v>
      </c>
      <c r="AK265" t="s">
        <v>590</v>
      </c>
      <c r="AL265" s="165" t="s">
        <v>591</v>
      </c>
    </row>
    <row r="266" spans="1:38" x14ac:dyDescent="0.25">
      <c r="A266" t="s">
        <v>79</v>
      </c>
      <c r="B266" s="1" t="s">
        <v>415</v>
      </c>
      <c r="C266" s="252" t="str">
        <f>VLOOKUP(B266,Plantings!$A$2:$C$285,2,FALSE)</f>
        <v>SKG_2</v>
      </c>
      <c r="D266" s="252" t="str">
        <f>VLOOKUP(B266,Plantings!$A$2:$C$285,3,FALSE)</f>
        <v>single</v>
      </c>
      <c r="E266" s="1">
        <v>2016</v>
      </c>
      <c r="F266" t="s">
        <v>463</v>
      </c>
      <c r="G266" s="1" t="s">
        <v>412</v>
      </c>
      <c r="H266" s="1" t="s">
        <v>170</v>
      </c>
      <c r="I266" s="1" t="s">
        <v>408</v>
      </c>
      <c r="J266" s="1" t="s">
        <v>66</v>
      </c>
      <c r="K266" s="1" t="s">
        <v>69</v>
      </c>
      <c r="L266" s="1" t="s">
        <v>69</v>
      </c>
      <c r="M266" s="131" t="s">
        <v>1119</v>
      </c>
      <c r="N266" s="1" t="s">
        <v>67</v>
      </c>
      <c r="O266" s="1" t="s">
        <v>49</v>
      </c>
      <c r="P266" s="1" t="s">
        <v>1120</v>
      </c>
      <c r="Q266" s="1"/>
      <c r="R266" s="1" t="s">
        <v>22</v>
      </c>
      <c r="S266" s="1" t="s">
        <v>22</v>
      </c>
      <c r="T266" s="27">
        <v>42621</v>
      </c>
      <c r="U266" s="32">
        <v>48.347566666666665</v>
      </c>
      <c r="V266" s="31">
        <v>-122.54205</v>
      </c>
      <c r="W266" s="252" t="str">
        <f>VLOOKUP(B266,Plantings!$A$2:$E$285,4,FALSE)</f>
        <v>point</v>
      </c>
      <c r="X266" s="251" t="str">
        <f>VLOOKUP(B266,Plantings!$A$2:$E$285,5,FALSE)</f>
        <v>retain</v>
      </c>
      <c r="Y266" s="7" t="s">
        <v>148</v>
      </c>
      <c r="Z266" s="20">
        <v>-0.70104000000000022</v>
      </c>
      <c r="AA266" t="s">
        <v>169</v>
      </c>
      <c r="AB266">
        <v>2</v>
      </c>
      <c r="AC266">
        <v>2</v>
      </c>
      <c r="AD266">
        <f t="shared" si="43"/>
        <v>4</v>
      </c>
      <c r="AE266">
        <f>AG266*0.25</f>
        <v>5</v>
      </c>
      <c r="AF266" s="109">
        <f t="shared" si="49"/>
        <v>0.5</v>
      </c>
      <c r="AG266" s="38">
        <v>20</v>
      </c>
      <c r="AH266" s="38">
        <v>500</v>
      </c>
      <c r="AI266" s="5">
        <f t="shared" si="46"/>
        <v>125</v>
      </c>
      <c r="AJ266" s="5">
        <f t="shared" si="47"/>
        <v>100</v>
      </c>
      <c r="AK266" t="s">
        <v>590</v>
      </c>
      <c r="AL266" s="165" t="s">
        <v>592</v>
      </c>
    </row>
    <row r="267" spans="1:38" x14ac:dyDescent="0.25">
      <c r="A267" t="s">
        <v>79</v>
      </c>
      <c r="B267" s="1" t="s">
        <v>416</v>
      </c>
      <c r="C267" s="252" t="str">
        <f>VLOOKUP(B267,Plantings!$A$2:$C$285,2,FALSE)</f>
        <v>SKG_5</v>
      </c>
      <c r="D267" s="252" t="str">
        <f>VLOOKUP(B267,Plantings!$A$2:$C$285,3,FALSE)</f>
        <v>single</v>
      </c>
      <c r="E267" s="1">
        <v>2016</v>
      </c>
      <c r="F267" t="s">
        <v>463</v>
      </c>
      <c r="G267" s="1" t="s">
        <v>412</v>
      </c>
      <c r="H267" s="1" t="s">
        <v>170</v>
      </c>
      <c r="I267" s="1" t="s">
        <v>408</v>
      </c>
      <c r="J267" s="1" t="s">
        <v>66</v>
      </c>
      <c r="K267" s="1" t="s">
        <v>69</v>
      </c>
      <c r="L267" s="1" t="s">
        <v>69</v>
      </c>
      <c r="M267" s="131" t="s">
        <v>1119</v>
      </c>
      <c r="N267" s="1" t="s">
        <v>67</v>
      </c>
      <c r="O267" s="1" t="s">
        <v>49</v>
      </c>
      <c r="P267" s="1" t="s">
        <v>1120</v>
      </c>
      <c r="Q267" s="1"/>
      <c r="R267" s="1" t="s">
        <v>22</v>
      </c>
      <c r="S267" s="1" t="s">
        <v>22</v>
      </c>
      <c r="T267" s="27">
        <v>42622</v>
      </c>
      <c r="U267" s="32">
        <v>48.348199999999999</v>
      </c>
      <c r="V267" s="31">
        <v>-122.54325</v>
      </c>
      <c r="W267" s="252" t="str">
        <f>VLOOKUP(B267,Plantings!$A$2:$E$285,4,FALSE)</f>
        <v>point</v>
      </c>
      <c r="X267" s="251" t="str">
        <f>VLOOKUP(B267,Plantings!$A$2:$E$285,5,FALSE)</f>
        <v>retain</v>
      </c>
      <c r="Y267" s="7" t="s">
        <v>148</v>
      </c>
      <c r="Z267" s="20">
        <v>-0.4267200000000001</v>
      </c>
      <c r="AA267" t="s">
        <v>169</v>
      </c>
      <c r="AB267">
        <v>1.5</v>
      </c>
      <c r="AC267">
        <v>2</v>
      </c>
      <c r="AD267">
        <f t="shared" si="43"/>
        <v>3</v>
      </c>
      <c r="AE267">
        <f>AG267*0.25</f>
        <v>4</v>
      </c>
      <c r="AF267" s="109">
        <f t="shared" si="49"/>
        <v>0.4</v>
      </c>
      <c r="AG267" s="38">
        <v>16</v>
      </c>
      <c r="AH267" s="38">
        <v>400</v>
      </c>
      <c r="AI267" s="5">
        <f t="shared" si="46"/>
        <v>133.33333333333334</v>
      </c>
      <c r="AJ267" s="5">
        <f t="shared" si="47"/>
        <v>100</v>
      </c>
      <c r="AK267" t="s">
        <v>590</v>
      </c>
      <c r="AL267" s="165" t="s">
        <v>593</v>
      </c>
    </row>
    <row r="268" spans="1:38" x14ac:dyDescent="0.25">
      <c r="A268" t="s">
        <v>79</v>
      </c>
      <c r="B268" s="1" t="s">
        <v>417</v>
      </c>
      <c r="C268" s="252" t="str">
        <f>VLOOKUP(B268,Plantings!$A$2:$C$285,2,FALSE)</f>
        <v>SKG_6</v>
      </c>
      <c r="D268" s="252" t="str">
        <f>VLOOKUP(B268,Plantings!$A$2:$C$285,3,FALSE)</f>
        <v>single</v>
      </c>
      <c r="E268" s="1">
        <v>2016</v>
      </c>
      <c r="F268" t="s">
        <v>463</v>
      </c>
      <c r="G268" s="1" t="s">
        <v>412</v>
      </c>
      <c r="H268" s="1" t="s">
        <v>170</v>
      </c>
      <c r="I268" s="1" t="s">
        <v>408</v>
      </c>
      <c r="J268" s="1" t="s">
        <v>66</v>
      </c>
      <c r="K268" s="1" t="s">
        <v>69</v>
      </c>
      <c r="L268" s="1" t="s">
        <v>69</v>
      </c>
      <c r="M268" s="131" t="s">
        <v>1119</v>
      </c>
      <c r="N268" s="1" t="s">
        <v>67</v>
      </c>
      <c r="O268" s="1" t="s">
        <v>49</v>
      </c>
      <c r="P268" s="1" t="s">
        <v>1120</v>
      </c>
      <c r="Q268" s="1"/>
      <c r="R268" s="1" t="s">
        <v>22</v>
      </c>
      <c r="S268" s="1" t="s">
        <v>22</v>
      </c>
      <c r="T268" s="27">
        <v>42622</v>
      </c>
      <c r="U268" s="32">
        <v>48.348199999999999</v>
      </c>
      <c r="V268" s="31">
        <v>-122.54381666666667</v>
      </c>
      <c r="W268" s="252" t="str">
        <f>VLOOKUP(B268,Plantings!$A$2:$E$285,4,FALSE)</f>
        <v>point</v>
      </c>
      <c r="X268" s="251" t="str">
        <f>VLOOKUP(B268,Plantings!$A$2:$E$285,5,FALSE)</f>
        <v>retain</v>
      </c>
      <c r="Y268" s="7" t="s">
        <v>148</v>
      </c>
      <c r="Z268" s="20">
        <v>-0.51816000000000006</v>
      </c>
      <c r="AA268" t="s">
        <v>169</v>
      </c>
      <c r="AB268">
        <v>1.5</v>
      </c>
      <c r="AC268">
        <v>2</v>
      </c>
      <c r="AD268">
        <f t="shared" si="43"/>
        <v>3</v>
      </c>
      <c r="AE268">
        <f>AG268*0.25</f>
        <v>4</v>
      </c>
      <c r="AF268" s="109">
        <f t="shared" si="49"/>
        <v>0.4</v>
      </c>
      <c r="AG268" s="38">
        <v>16</v>
      </c>
      <c r="AH268" s="38">
        <v>400</v>
      </c>
      <c r="AI268" s="5">
        <f t="shared" si="46"/>
        <v>133.33333333333334</v>
      </c>
      <c r="AJ268" s="5">
        <f t="shared" si="47"/>
        <v>100</v>
      </c>
      <c r="AK268" t="s">
        <v>590</v>
      </c>
      <c r="AL268" s="165" t="s">
        <v>593</v>
      </c>
    </row>
    <row r="269" spans="1:38" x14ac:dyDescent="0.25">
      <c r="A269" t="s">
        <v>36</v>
      </c>
      <c r="B269" t="s">
        <v>206</v>
      </c>
      <c r="C269" s="252" t="str">
        <f>VLOOKUP(B269,Plantings!$A$2:$C$285,2,FALSE)</f>
        <v>STI</v>
      </c>
      <c r="D269" s="252" t="str">
        <f>VLOOKUP(B269,Plantings!$A$2:$C$285,3,FALSE)</f>
        <v>single</v>
      </c>
      <c r="E269">
        <v>2015</v>
      </c>
      <c r="G269" t="s">
        <v>412</v>
      </c>
      <c r="H269" t="s">
        <v>37</v>
      </c>
      <c r="I269" t="s">
        <v>405</v>
      </c>
      <c r="J269" t="s">
        <v>5</v>
      </c>
      <c r="K269" t="s">
        <v>165</v>
      </c>
      <c r="L269" t="s">
        <v>230</v>
      </c>
      <c r="O269" t="s">
        <v>49</v>
      </c>
      <c r="P269" t="s">
        <v>62</v>
      </c>
      <c r="Q269" t="s">
        <v>75</v>
      </c>
      <c r="R269" t="s">
        <v>22</v>
      </c>
      <c r="S269" t="s">
        <v>22</v>
      </c>
      <c r="T269" s="27">
        <v>42075</v>
      </c>
      <c r="U269" s="28">
        <v>47.320098000000002</v>
      </c>
      <c r="V269" s="29">
        <v>-122.831565</v>
      </c>
      <c r="W269" s="252" t="str">
        <f>VLOOKUP(B269,Plantings!$A$2:$E$285,4,FALSE)</f>
        <v>point</v>
      </c>
      <c r="X269" s="251" t="str">
        <f>VLOOKUP(B269,Plantings!$A$2:$E$285,5,FALSE)</f>
        <v>retain</v>
      </c>
      <c r="Y269" s="7" t="s">
        <v>148</v>
      </c>
      <c r="Z269" s="20">
        <v>-1.0668</v>
      </c>
      <c r="AA269" s="6" t="s">
        <v>168</v>
      </c>
      <c r="AB269">
        <v>5</v>
      </c>
      <c r="AC269">
        <v>5</v>
      </c>
      <c r="AD269">
        <f t="shared" si="43"/>
        <v>25</v>
      </c>
      <c r="AE269">
        <v>25</v>
      </c>
      <c r="AF269" s="109">
        <f t="shared" si="49"/>
        <v>0.625</v>
      </c>
      <c r="AG269" s="38">
        <f>AH269/4</f>
        <v>125</v>
      </c>
      <c r="AH269" s="38">
        <v>500</v>
      </c>
      <c r="AI269" s="5">
        <f t="shared" si="46"/>
        <v>20</v>
      </c>
      <c r="AJ269" s="5">
        <f t="shared" si="47"/>
        <v>20</v>
      </c>
      <c r="AK269" t="s">
        <v>549</v>
      </c>
      <c r="AL269" s="13" t="s">
        <v>573</v>
      </c>
    </row>
    <row r="270" spans="1:38" x14ac:dyDescent="0.25">
      <c r="A270" t="s">
        <v>146</v>
      </c>
      <c r="B270" t="s">
        <v>210</v>
      </c>
      <c r="C270" s="252" t="str">
        <f>VLOOKUP(B270,Plantings!$A$2:$C$285,2,FALSE)</f>
        <v>TAY_L1</v>
      </c>
      <c r="D270" s="252" t="str">
        <f>VLOOKUP(B270,Plantings!$A$2:$C$285,3,FALSE)</f>
        <v>single</v>
      </c>
      <c r="E270">
        <v>2016</v>
      </c>
      <c r="G270" t="s">
        <v>493</v>
      </c>
      <c r="H270" t="s">
        <v>37</v>
      </c>
      <c r="I270" t="s">
        <v>405</v>
      </c>
      <c r="J270" t="s">
        <v>59</v>
      </c>
      <c r="K270" t="s">
        <v>176</v>
      </c>
      <c r="L270" t="s">
        <v>11</v>
      </c>
      <c r="M270" t="s">
        <v>179</v>
      </c>
      <c r="N270" t="s">
        <v>140</v>
      </c>
      <c r="O270" t="s">
        <v>52</v>
      </c>
      <c r="P270" t="s">
        <v>60</v>
      </c>
      <c r="Q270" t="s">
        <v>1105</v>
      </c>
      <c r="R270" t="s">
        <v>22</v>
      </c>
      <c r="S270" t="s">
        <v>22</v>
      </c>
      <c r="T270" s="27">
        <v>42509</v>
      </c>
      <c r="U270" s="4">
        <v>47.183090558333333</v>
      </c>
      <c r="V270" s="4">
        <v>-122.77779399444445</v>
      </c>
      <c r="W270" s="252" t="str">
        <f>VLOOKUP(B270,Plantings!$A$2:$E$285,4,FALSE)</f>
        <v>line?</v>
      </c>
      <c r="X270" s="251" t="str">
        <f>VLOOKUP(B270,Plantings!$A$2:$E$285,5,FALSE)</f>
        <v>retain</v>
      </c>
      <c r="Y270" s="7" t="s">
        <v>148</v>
      </c>
      <c r="Z270" s="20">
        <v>-2</v>
      </c>
      <c r="AA270" s="5" t="s">
        <v>171</v>
      </c>
      <c r="AB270">
        <v>25</v>
      </c>
      <c r="AC270">
        <v>5</v>
      </c>
      <c r="AD270">
        <f t="shared" si="43"/>
        <v>125</v>
      </c>
      <c r="AE270">
        <v>75</v>
      </c>
      <c r="AF270" s="109">
        <f t="shared" si="49"/>
        <v>9.75</v>
      </c>
      <c r="AG270" s="38">
        <v>156</v>
      </c>
      <c r="AH270" s="38">
        <v>780</v>
      </c>
      <c r="AI270" s="5">
        <f t="shared" si="46"/>
        <v>6.24</v>
      </c>
      <c r="AJ270" s="5">
        <f t="shared" si="47"/>
        <v>10.4</v>
      </c>
      <c r="AK270" t="s">
        <v>54</v>
      </c>
      <c r="AL270" s="160" t="s">
        <v>53</v>
      </c>
    </row>
    <row r="271" spans="1:38" x14ac:dyDescent="0.25">
      <c r="A271" t="s">
        <v>146</v>
      </c>
      <c r="B271" t="s">
        <v>211</v>
      </c>
      <c r="C271" s="252" t="str">
        <f>VLOOKUP(B271,Plantings!$A$2:$C$285,2,FALSE)</f>
        <v>TAY_L1</v>
      </c>
      <c r="D271" s="252" t="str">
        <f>VLOOKUP(B271,Plantings!$A$2:$C$285,3,FALSE)</f>
        <v>single</v>
      </c>
      <c r="E271">
        <v>2016</v>
      </c>
      <c r="G271" t="s">
        <v>493</v>
      </c>
      <c r="H271" t="s">
        <v>37</v>
      </c>
      <c r="I271" t="s">
        <v>405</v>
      </c>
      <c r="J271" t="s">
        <v>59</v>
      </c>
      <c r="K271" t="s">
        <v>176</v>
      </c>
      <c r="L271" t="s">
        <v>11</v>
      </c>
      <c r="M271" t="s">
        <v>179</v>
      </c>
      <c r="N271" t="s">
        <v>140</v>
      </c>
      <c r="O271" t="s">
        <v>52</v>
      </c>
      <c r="P271" t="s">
        <v>60</v>
      </c>
      <c r="Q271" t="s">
        <v>1105</v>
      </c>
      <c r="R271" t="s">
        <v>22</v>
      </c>
      <c r="S271" s="25" t="s">
        <v>520</v>
      </c>
      <c r="T271" s="27">
        <v>42509</v>
      </c>
      <c r="U271" s="16">
        <v>47.182860077777775</v>
      </c>
      <c r="V271" s="4">
        <v>-122.77778232222222</v>
      </c>
      <c r="W271" s="252" t="str">
        <f>VLOOKUP(B271,Plantings!$A$2:$E$285,4,FALSE)</f>
        <v>line?</v>
      </c>
      <c r="X271" s="251" t="str">
        <f>VLOOKUP(B271,Plantings!$A$2:$E$285,5,FALSE)</f>
        <v>retain</v>
      </c>
      <c r="Y271" s="7" t="s">
        <v>148</v>
      </c>
      <c r="Z271" s="20"/>
      <c r="AA271" s="5"/>
      <c r="AF271" s="109" t="str">
        <f t="shared" si="49"/>
        <v/>
      </c>
      <c r="AG271" s="38"/>
      <c r="AH271" s="38"/>
      <c r="AI271" s="5" t="str">
        <f t="shared" si="46"/>
        <v/>
      </c>
      <c r="AJ271" s="5" t="str">
        <f t="shared" si="47"/>
        <v/>
      </c>
      <c r="AL271" s="160"/>
    </row>
    <row r="272" spans="1:38" x14ac:dyDescent="0.25">
      <c r="A272" t="s">
        <v>24</v>
      </c>
      <c r="B272" t="s">
        <v>190</v>
      </c>
      <c r="C272" s="252" t="str">
        <f>VLOOKUP(B272,Plantings!$A$2:$C$285,2,FALSE)</f>
        <v>WES_east</v>
      </c>
      <c r="D272" s="252" t="str">
        <f>VLOOKUP(B272,Plantings!$A$2:$C$285,3,FALSE)</f>
        <v>single</v>
      </c>
      <c r="E272">
        <v>2013</v>
      </c>
      <c r="F272" t="s">
        <v>459</v>
      </c>
      <c r="G272" t="s">
        <v>412</v>
      </c>
      <c r="H272" t="s">
        <v>24</v>
      </c>
      <c r="I272" t="s">
        <v>406</v>
      </c>
      <c r="J272" t="s">
        <v>10</v>
      </c>
      <c r="K272" t="s">
        <v>176</v>
      </c>
      <c r="L272" t="s">
        <v>11</v>
      </c>
      <c r="M272" t="s">
        <v>177</v>
      </c>
      <c r="N272" t="s">
        <v>137</v>
      </c>
      <c r="O272" t="s">
        <v>49</v>
      </c>
      <c r="P272" t="s">
        <v>61</v>
      </c>
      <c r="Q272" t="s">
        <v>76</v>
      </c>
      <c r="R272" t="s">
        <v>22</v>
      </c>
      <c r="S272" t="s">
        <v>22</v>
      </c>
      <c r="T272" s="27">
        <v>41439</v>
      </c>
      <c r="U272" s="4">
        <v>48.60178333333333</v>
      </c>
      <c r="V272" s="4">
        <v>-123.13939999999999</v>
      </c>
      <c r="W272" s="252" t="str">
        <f>VLOOKUP(B272,Plantings!$A$2:$E$285,4,FALSE)</f>
        <v>point</v>
      </c>
      <c r="X272" s="251" t="str">
        <f>VLOOKUP(B272,Plantings!$A$2:$E$285,5,FALSE)</f>
        <v>retain</v>
      </c>
      <c r="Y272" s="7" t="s">
        <v>148</v>
      </c>
      <c r="Z272" s="20">
        <v>-1.2192000000000001</v>
      </c>
      <c r="AA272" s="5" t="s">
        <v>168</v>
      </c>
      <c r="AB272">
        <v>5</v>
      </c>
      <c r="AC272">
        <v>95</v>
      </c>
      <c r="AD272">
        <f t="shared" ref="AD272:AD284" si="50">AB272*AC272</f>
        <v>475</v>
      </c>
      <c r="AE272">
        <v>25</v>
      </c>
      <c r="AF272" s="109">
        <f t="shared" si="49"/>
        <v>0.56000000000000005</v>
      </c>
      <c r="AG272" s="38">
        <f>AH272/4</f>
        <v>112</v>
      </c>
      <c r="AH272" s="38">
        <v>448</v>
      </c>
      <c r="AI272" s="5">
        <f t="shared" si="46"/>
        <v>0.94315789473684208</v>
      </c>
      <c r="AJ272" s="5">
        <f t="shared" si="47"/>
        <v>17.920000000000002</v>
      </c>
      <c r="AK272" t="s">
        <v>559</v>
      </c>
      <c r="AL272" s="13" t="s">
        <v>25</v>
      </c>
    </row>
    <row r="273" spans="1:38" x14ac:dyDescent="0.25">
      <c r="A273" t="s">
        <v>24</v>
      </c>
      <c r="B273" t="s">
        <v>191</v>
      </c>
      <c r="C273" s="252" t="str">
        <f>VLOOKUP(B273,Plantings!$A$2:$C$285,2,FALSE)</f>
        <v>WES_west</v>
      </c>
      <c r="D273" s="252" t="str">
        <f>VLOOKUP(B273,Plantings!$A$2:$C$285,3,FALSE)</f>
        <v>single</v>
      </c>
      <c r="E273">
        <v>2013</v>
      </c>
      <c r="F273" t="s">
        <v>459</v>
      </c>
      <c r="G273" t="s">
        <v>412</v>
      </c>
      <c r="H273" t="s">
        <v>24</v>
      </c>
      <c r="I273" t="s">
        <v>406</v>
      </c>
      <c r="J273" t="s">
        <v>10</v>
      </c>
      <c r="K273" t="s">
        <v>176</v>
      </c>
      <c r="L273" t="s">
        <v>11</v>
      </c>
      <c r="M273" t="s">
        <v>177</v>
      </c>
      <c r="N273" t="s">
        <v>137</v>
      </c>
      <c r="O273" t="s">
        <v>49</v>
      </c>
      <c r="P273" t="s">
        <v>61</v>
      </c>
      <c r="Q273" t="s">
        <v>76</v>
      </c>
      <c r="R273" t="s">
        <v>22</v>
      </c>
      <c r="S273" t="s">
        <v>22</v>
      </c>
      <c r="T273" s="27">
        <v>41439</v>
      </c>
      <c r="U273" s="4">
        <v>48.596449999999997</v>
      </c>
      <c r="V273" s="4">
        <v>-123.16086666666666</v>
      </c>
      <c r="W273" s="252" t="str">
        <f>VLOOKUP(B273,Plantings!$A$2:$E$285,4,FALSE)</f>
        <v>point</v>
      </c>
      <c r="X273" s="251" t="str">
        <f>VLOOKUP(B273,Plantings!$A$2:$E$285,5,FALSE)</f>
        <v>retain</v>
      </c>
      <c r="Y273" s="7" t="s">
        <v>148</v>
      </c>
      <c r="Z273" s="20">
        <v>-1.524</v>
      </c>
      <c r="AA273" s="5" t="s">
        <v>168</v>
      </c>
      <c r="AB273">
        <v>5</v>
      </c>
      <c r="AC273">
        <v>57</v>
      </c>
      <c r="AD273">
        <f t="shared" si="50"/>
        <v>285</v>
      </c>
      <c r="AE273">
        <v>25</v>
      </c>
      <c r="AF273" s="109">
        <f t="shared" si="49"/>
        <v>0.59</v>
      </c>
      <c r="AG273" s="38">
        <f>AH273/4</f>
        <v>118</v>
      </c>
      <c r="AH273" s="38">
        <v>472</v>
      </c>
      <c r="AI273" s="5">
        <f t="shared" si="46"/>
        <v>1.656140350877193</v>
      </c>
      <c r="AJ273" s="5">
        <f t="shared" si="47"/>
        <v>18.88</v>
      </c>
      <c r="AK273" t="s">
        <v>559</v>
      </c>
      <c r="AL273" s="13" t="s">
        <v>26</v>
      </c>
    </row>
    <row r="274" spans="1:38" x14ac:dyDescent="0.25">
      <c r="A274" t="s">
        <v>24</v>
      </c>
      <c r="B274" s="1" t="s">
        <v>496</v>
      </c>
      <c r="C274" s="252" t="str">
        <f>VLOOKUP(B274,Plantings!$A$2:$C$285,2,FALSE)</f>
        <v>WES_A</v>
      </c>
      <c r="D274" s="252" t="str">
        <f>VLOOKUP(B274,Plantings!$A$2:$C$285,3,FALSE)</f>
        <v>single</v>
      </c>
      <c r="E274" s="1">
        <v>2017</v>
      </c>
      <c r="F274" t="s">
        <v>459</v>
      </c>
      <c r="G274" s="1" t="s">
        <v>412</v>
      </c>
      <c r="H274" s="1" t="s">
        <v>24</v>
      </c>
      <c r="I274" s="1" t="s">
        <v>406</v>
      </c>
      <c r="J274" s="1" t="s">
        <v>72</v>
      </c>
      <c r="K274" s="1" t="s">
        <v>58</v>
      </c>
      <c r="L274" s="1" t="s">
        <v>58</v>
      </c>
      <c r="M274" s="1" t="s">
        <v>64</v>
      </c>
      <c r="N274" s="1"/>
      <c r="O274" s="1" t="s">
        <v>49</v>
      </c>
      <c r="P274" s="1" t="s">
        <v>1121</v>
      </c>
      <c r="Q274" s="1"/>
      <c r="R274" s="1" t="s">
        <v>22</v>
      </c>
      <c r="S274" s="1" t="s">
        <v>22</v>
      </c>
      <c r="T274" s="27">
        <v>42887</v>
      </c>
      <c r="U274" s="32">
        <v>48.595866666666666</v>
      </c>
      <c r="V274" s="32">
        <v>-123.16155000000001</v>
      </c>
      <c r="W274" s="252" t="str">
        <f>VLOOKUP(B274,Plantings!$A$2:$E$285,4,FALSE)</f>
        <v>point</v>
      </c>
      <c r="X274" s="251" t="str">
        <f>VLOOKUP(B274,Plantings!$A$2:$E$285,5,FALSE)</f>
        <v>retain</v>
      </c>
      <c r="Y274" s="7" t="s">
        <v>148</v>
      </c>
      <c r="Z274" s="20">
        <v>-1.4020799999999998</v>
      </c>
      <c r="AA274" t="s">
        <v>169</v>
      </c>
      <c r="AB274">
        <v>2.5</v>
      </c>
      <c r="AC274">
        <v>2.5</v>
      </c>
      <c r="AD274">
        <f t="shared" si="50"/>
        <v>6.25</v>
      </c>
      <c r="AE274">
        <f t="shared" ref="AE274:AE282" si="51">AG274*0.25</f>
        <v>5</v>
      </c>
      <c r="AF274" s="109">
        <f t="shared" si="49"/>
        <v>0.5</v>
      </c>
      <c r="AG274" s="38">
        <f>AH274/25</f>
        <v>20</v>
      </c>
      <c r="AH274" s="38">
        <v>500</v>
      </c>
      <c r="AI274" s="5">
        <f t="shared" si="46"/>
        <v>80</v>
      </c>
      <c r="AJ274" s="5">
        <f t="shared" si="47"/>
        <v>100</v>
      </c>
      <c r="AK274" t="s">
        <v>499</v>
      </c>
      <c r="AL274" s="160"/>
    </row>
    <row r="275" spans="1:38" x14ac:dyDescent="0.25">
      <c r="A275" t="s">
        <v>24</v>
      </c>
      <c r="B275" s="1" t="s">
        <v>495</v>
      </c>
      <c r="C275" s="252" t="str">
        <f>VLOOKUP(B275,Plantings!$A$2:$C$285,2,FALSE)</f>
        <v>WES_B</v>
      </c>
      <c r="D275" s="252" t="str">
        <f>VLOOKUP(B275,Plantings!$A$2:$C$285,3,FALSE)</f>
        <v>single</v>
      </c>
      <c r="E275" s="1">
        <v>2017</v>
      </c>
      <c r="F275" t="s">
        <v>459</v>
      </c>
      <c r="G275" s="1" t="s">
        <v>412</v>
      </c>
      <c r="H275" s="1" t="s">
        <v>24</v>
      </c>
      <c r="I275" s="1" t="s">
        <v>406</v>
      </c>
      <c r="J275" s="1" t="s">
        <v>72</v>
      </c>
      <c r="K275" s="1" t="s">
        <v>58</v>
      </c>
      <c r="L275" s="1" t="s">
        <v>58</v>
      </c>
      <c r="M275" s="1" t="s">
        <v>64</v>
      </c>
      <c r="N275" s="1"/>
      <c r="O275" s="1" t="s">
        <v>49</v>
      </c>
      <c r="P275" s="1" t="s">
        <v>1121</v>
      </c>
      <c r="Q275" s="1"/>
      <c r="R275" s="1" t="s">
        <v>22</v>
      </c>
      <c r="S275" s="1" t="s">
        <v>22</v>
      </c>
      <c r="T275" s="27">
        <v>42887</v>
      </c>
      <c r="U275" s="32">
        <v>48.596449999999997</v>
      </c>
      <c r="V275" s="32">
        <v>-123.16128333333333</v>
      </c>
      <c r="W275" s="252" t="str">
        <f>VLOOKUP(B275,Plantings!$A$2:$E$285,4,FALSE)</f>
        <v>point</v>
      </c>
      <c r="X275" s="251" t="str">
        <f>VLOOKUP(B275,Plantings!$A$2:$E$285,5,FALSE)</f>
        <v>retain</v>
      </c>
      <c r="Y275" s="7" t="s">
        <v>148</v>
      </c>
      <c r="Z275" s="20">
        <v>-1.4630399999999999</v>
      </c>
      <c r="AA275" t="s">
        <v>169</v>
      </c>
      <c r="AB275">
        <v>2.5</v>
      </c>
      <c r="AC275">
        <v>2.5</v>
      </c>
      <c r="AD275">
        <f t="shared" si="50"/>
        <v>6.25</v>
      </c>
      <c r="AE275">
        <f t="shared" si="51"/>
        <v>5</v>
      </c>
      <c r="AF275" s="109">
        <f t="shared" si="49"/>
        <v>0.5</v>
      </c>
      <c r="AG275" s="38">
        <f>AH275/25</f>
        <v>20</v>
      </c>
      <c r="AH275" s="38">
        <v>500</v>
      </c>
      <c r="AI275" s="5">
        <f t="shared" si="46"/>
        <v>80</v>
      </c>
      <c r="AJ275" s="5">
        <f t="shared" si="47"/>
        <v>100</v>
      </c>
      <c r="AK275" t="s">
        <v>501</v>
      </c>
      <c r="AL275" s="160"/>
    </row>
    <row r="276" spans="1:38" x14ac:dyDescent="0.25">
      <c r="A276" t="s">
        <v>24</v>
      </c>
      <c r="B276" s="1" t="s">
        <v>497</v>
      </c>
      <c r="C276" s="252" t="str">
        <f>VLOOKUP(B276,Plantings!$A$2:$C$285,2,FALSE)</f>
        <v>WES_C</v>
      </c>
      <c r="D276" s="252" t="str">
        <f>VLOOKUP(B276,Plantings!$A$2:$C$285,3,FALSE)</f>
        <v>single</v>
      </c>
      <c r="E276" s="1">
        <v>2017</v>
      </c>
      <c r="F276" t="s">
        <v>459</v>
      </c>
      <c r="G276" s="1" t="s">
        <v>412</v>
      </c>
      <c r="H276" s="1" t="s">
        <v>24</v>
      </c>
      <c r="I276" s="1" t="s">
        <v>406</v>
      </c>
      <c r="J276" s="1" t="s">
        <v>72</v>
      </c>
      <c r="K276" s="1" t="s">
        <v>58</v>
      </c>
      <c r="L276" s="1" t="s">
        <v>58</v>
      </c>
      <c r="M276" s="1" t="s">
        <v>64</v>
      </c>
      <c r="N276" s="1"/>
      <c r="O276" s="1" t="s">
        <v>49</v>
      </c>
      <c r="P276" s="1" t="s">
        <v>1121</v>
      </c>
      <c r="Q276" s="1"/>
      <c r="R276" s="1" t="s">
        <v>22</v>
      </c>
      <c r="S276" s="1" t="s">
        <v>22</v>
      </c>
      <c r="T276" s="27">
        <v>42888</v>
      </c>
      <c r="U276" s="32">
        <v>48.597716666666663</v>
      </c>
      <c r="V276" s="32">
        <v>-123.15998333333333</v>
      </c>
      <c r="W276" s="252" t="str">
        <f>VLOOKUP(B276,Plantings!$A$2:$E$285,4,FALSE)</f>
        <v>point</v>
      </c>
      <c r="X276" s="251" t="str">
        <f>VLOOKUP(B276,Plantings!$A$2:$E$285,5,FALSE)</f>
        <v>retain</v>
      </c>
      <c r="Y276" s="7" t="s">
        <v>148</v>
      </c>
      <c r="Z276" s="20">
        <v>-1.4935200000000002</v>
      </c>
      <c r="AA276" t="s">
        <v>169</v>
      </c>
      <c r="AB276">
        <v>2.5</v>
      </c>
      <c r="AC276">
        <v>2.5</v>
      </c>
      <c r="AD276">
        <f t="shared" si="50"/>
        <v>6.25</v>
      </c>
      <c r="AE276">
        <f t="shared" si="51"/>
        <v>4.75</v>
      </c>
      <c r="AF276" s="109">
        <f t="shared" si="49"/>
        <v>0.47500000000000003</v>
      </c>
      <c r="AG276" s="38">
        <f>AH276/25</f>
        <v>19</v>
      </c>
      <c r="AH276" s="38">
        <v>475</v>
      </c>
      <c r="AI276" s="5">
        <f t="shared" si="46"/>
        <v>76</v>
      </c>
      <c r="AJ276" s="5">
        <f t="shared" si="47"/>
        <v>100</v>
      </c>
      <c r="AK276" t="s">
        <v>500</v>
      </c>
      <c r="AL276" s="160"/>
    </row>
    <row r="277" spans="1:38" x14ac:dyDescent="0.25">
      <c r="A277" t="s">
        <v>24</v>
      </c>
      <c r="B277" s="1" t="s">
        <v>498</v>
      </c>
      <c r="C277" s="252" t="str">
        <f>VLOOKUP(B277,Plantings!$A$2:$C$285,2,FALSE)</f>
        <v>WES_D</v>
      </c>
      <c r="D277" s="252" t="str">
        <f>VLOOKUP(B277,Plantings!$A$2:$C$285,3,FALSE)</f>
        <v>single</v>
      </c>
      <c r="E277" s="1">
        <v>2017</v>
      </c>
      <c r="F277" t="s">
        <v>459</v>
      </c>
      <c r="G277" s="1" t="s">
        <v>412</v>
      </c>
      <c r="H277" s="1" t="s">
        <v>24</v>
      </c>
      <c r="I277" s="1" t="s">
        <v>406</v>
      </c>
      <c r="J277" s="1" t="s">
        <v>72</v>
      </c>
      <c r="K277" s="1" t="s">
        <v>58</v>
      </c>
      <c r="L277" s="1" t="s">
        <v>58</v>
      </c>
      <c r="M277" s="1" t="s">
        <v>64</v>
      </c>
      <c r="N277" s="1"/>
      <c r="O277" s="1" t="s">
        <v>49</v>
      </c>
      <c r="P277" s="1" t="s">
        <v>1121</v>
      </c>
      <c r="R277" s="1" t="s">
        <v>22</v>
      </c>
      <c r="S277" s="1" t="s">
        <v>22</v>
      </c>
      <c r="T277" s="27">
        <v>42888</v>
      </c>
      <c r="U277" s="32">
        <v>48.598483333333334</v>
      </c>
      <c r="V277" s="32">
        <v>-123.15683333333334</v>
      </c>
      <c r="W277" s="252" t="str">
        <f>VLOOKUP(B277,Plantings!$A$2:$E$285,4,FALSE)</f>
        <v>point</v>
      </c>
      <c r="X277" s="251" t="str">
        <f>VLOOKUP(B277,Plantings!$A$2:$E$285,5,FALSE)</f>
        <v>retain</v>
      </c>
      <c r="Y277" s="7" t="s">
        <v>148</v>
      </c>
      <c r="Z277" s="20">
        <v>-1.524</v>
      </c>
      <c r="AA277" t="s">
        <v>169</v>
      </c>
      <c r="AB277">
        <v>3</v>
      </c>
      <c r="AC277">
        <v>2.5</v>
      </c>
      <c r="AD277">
        <f t="shared" si="50"/>
        <v>7.5</v>
      </c>
      <c r="AE277">
        <f t="shared" si="51"/>
        <v>6.18</v>
      </c>
      <c r="AF277" s="109">
        <f t="shared" si="49"/>
        <v>0.61799999999999999</v>
      </c>
      <c r="AG277" s="38">
        <f>AH277/25</f>
        <v>24.72</v>
      </c>
      <c r="AH277" s="38">
        <v>618</v>
      </c>
      <c r="AI277" s="5">
        <f t="shared" si="46"/>
        <v>82.4</v>
      </c>
      <c r="AJ277" s="5">
        <f t="shared" si="47"/>
        <v>100</v>
      </c>
      <c r="AK277" t="s">
        <v>485</v>
      </c>
    </row>
    <row r="278" spans="1:38" x14ac:dyDescent="0.25">
      <c r="A278" t="s">
        <v>24</v>
      </c>
      <c r="B278" t="s">
        <v>2011</v>
      </c>
      <c r="C278" s="252" t="str">
        <f>VLOOKUP(B278,Plantings!$A$2:$C$285,2,FALSE)</f>
        <v>WES_test_1</v>
      </c>
      <c r="D278" s="252" t="str">
        <f>VLOOKUP(B278,Plantings!$A$2:$C$285,3,FALSE)</f>
        <v>single</v>
      </c>
      <c r="E278" s="131">
        <v>2020</v>
      </c>
      <c r="F278" t="s">
        <v>1864</v>
      </c>
      <c r="G278" s="1" t="s">
        <v>493</v>
      </c>
      <c r="H278" s="1" t="s">
        <v>24</v>
      </c>
      <c r="I278" s="1" t="s">
        <v>406</v>
      </c>
      <c r="J278" s="1" t="s">
        <v>1873</v>
      </c>
      <c r="K278" s="1" t="s">
        <v>165</v>
      </c>
      <c r="L278" s="1" t="s">
        <v>1872</v>
      </c>
      <c r="R278" s="1" t="s">
        <v>22</v>
      </c>
      <c r="S278" s="1" t="s">
        <v>22</v>
      </c>
      <c r="T278" s="134">
        <v>44044</v>
      </c>
      <c r="U278" s="28">
        <v>48.593940000000003</v>
      </c>
      <c r="V278" s="28">
        <v>-123.15505</v>
      </c>
      <c r="W278" s="252" t="str">
        <f>VLOOKUP(B278,Plantings!$A$2:$E$285,4,FALSE)</f>
        <v>line</v>
      </c>
      <c r="X278" s="251" t="str">
        <f>VLOOKUP(B278,Plantings!$A$2:$E$285,5,FALSE)</f>
        <v>retain</v>
      </c>
      <c r="Y278" s="7" t="s">
        <v>148</v>
      </c>
      <c r="Z278">
        <v>-1.7</v>
      </c>
      <c r="AA278" s="5" t="s">
        <v>169</v>
      </c>
      <c r="AB278">
        <v>14</v>
      </c>
      <c r="AC278">
        <v>1</v>
      </c>
      <c r="AD278">
        <f t="shared" si="50"/>
        <v>14</v>
      </c>
      <c r="AE278">
        <f t="shared" si="51"/>
        <v>6</v>
      </c>
      <c r="AF278" s="109">
        <v>0.6</v>
      </c>
      <c r="AG278">
        <v>24</v>
      </c>
      <c r="AH278" s="34">
        <v>640</v>
      </c>
      <c r="AI278" s="5">
        <f t="shared" si="46"/>
        <v>45.714285714285715</v>
      </c>
      <c r="AJ278" s="5">
        <f t="shared" si="47"/>
        <v>106.66666666666667</v>
      </c>
      <c r="AK278" t="s">
        <v>540</v>
      </c>
      <c r="AL278" s="13" t="s">
        <v>1881</v>
      </c>
    </row>
    <row r="279" spans="1:38" x14ac:dyDescent="0.25">
      <c r="A279" t="s">
        <v>24</v>
      </c>
      <c r="B279" t="s">
        <v>2012</v>
      </c>
      <c r="C279" s="252" t="str">
        <f>VLOOKUP(B279,Plantings!$A$2:$C$285,2,FALSE)</f>
        <v>WES_test_1</v>
      </c>
      <c r="D279" s="252" t="str">
        <f>VLOOKUP(B279,Plantings!$A$2:$C$285,3,FALSE)</f>
        <v>single</v>
      </c>
      <c r="E279" s="131">
        <v>2020</v>
      </c>
      <c r="F279" t="s">
        <v>1864</v>
      </c>
      <c r="G279" s="1" t="s">
        <v>493</v>
      </c>
      <c r="H279" s="1" t="s">
        <v>24</v>
      </c>
      <c r="I279" s="1" t="s">
        <v>406</v>
      </c>
      <c r="J279" s="1" t="s">
        <v>1873</v>
      </c>
      <c r="K279" s="1" t="s">
        <v>165</v>
      </c>
      <c r="L279" s="1" t="s">
        <v>1872</v>
      </c>
      <c r="R279" s="1" t="s">
        <v>22</v>
      </c>
      <c r="S279" s="1" t="s">
        <v>22</v>
      </c>
      <c r="T279" s="134">
        <v>44044</v>
      </c>
      <c r="U279" s="28">
        <v>48.593940000000003</v>
      </c>
      <c r="V279" s="28">
        <v>-123.15505</v>
      </c>
      <c r="W279" s="252" t="str">
        <f>VLOOKUP(B279,Plantings!$A$2:$E$285,4,FALSE)</f>
        <v>line</v>
      </c>
      <c r="X279" s="251" t="str">
        <f>VLOOKUP(B279,Plantings!$A$2:$E$285,5,FALSE)</f>
        <v>retain</v>
      </c>
      <c r="Y279" s="7" t="s">
        <v>148</v>
      </c>
      <c r="Z279">
        <v>-1.7</v>
      </c>
      <c r="AA279" s="5" t="s">
        <v>169</v>
      </c>
      <c r="AB279">
        <v>14</v>
      </c>
      <c r="AC279">
        <v>1</v>
      </c>
      <c r="AD279">
        <f t="shared" si="50"/>
        <v>14</v>
      </c>
      <c r="AE279">
        <f t="shared" si="51"/>
        <v>0.75</v>
      </c>
      <c r="AF279">
        <v>7.4999999999999997E-2</v>
      </c>
      <c r="AG279">
        <v>3</v>
      </c>
      <c r="AH279">
        <v>60</v>
      </c>
      <c r="AI279" s="5">
        <f t="shared" si="46"/>
        <v>4.2857142857142856</v>
      </c>
      <c r="AJ279" s="5">
        <f t="shared" si="47"/>
        <v>80</v>
      </c>
      <c r="AK279" t="s">
        <v>1874</v>
      </c>
      <c r="AL279" s="13" t="s">
        <v>1881</v>
      </c>
    </row>
    <row r="280" spans="1:38" x14ac:dyDescent="0.25">
      <c r="A280" t="s">
        <v>24</v>
      </c>
      <c r="B280" t="s">
        <v>2013</v>
      </c>
      <c r="C280" s="252" t="str">
        <f>VLOOKUP(B280,Plantings!$A$2:$C$285,2,FALSE)</f>
        <v>WES_test_1</v>
      </c>
      <c r="D280" s="252" t="str">
        <f>VLOOKUP(B280,Plantings!$A$2:$C$285,3,FALSE)</f>
        <v>single</v>
      </c>
      <c r="E280" s="131">
        <v>2020</v>
      </c>
      <c r="F280" t="s">
        <v>1864</v>
      </c>
      <c r="G280" s="1" t="s">
        <v>493</v>
      </c>
      <c r="H280" s="1" t="s">
        <v>24</v>
      </c>
      <c r="I280" s="1" t="s">
        <v>406</v>
      </c>
      <c r="J280" s="1" t="s">
        <v>1873</v>
      </c>
      <c r="K280" s="1" t="s">
        <v>165</v>
      </c>
      <c r="L280" s="1" t="s">
        <v>1872</v>
      </c>
      <c r="R280" s="1" t="s">
        <v>22</v>
      </c>
      <c r="S280" s="1" t="s">
        <v>22</v>
      </c>
      <c r="T280" s="134">
        <v>44044</v>
      </c>
      <c r="U280" s="28">
        <v>48.593940000000003</v>
      </c>
      <c r="V280" s="28">
        <v>-123.15505</v>
      </c>
      <c r="W280" s="252" t="str">
        <f>VLOOKUP(B280,Plantings!$A$2:$E$285,4,FALSE)</f>
        <v>line</v>
      </c>
      <c r="X280" s="251" t="str">
        <f>VLOOKUP(B280,Plantings!$A$2:$E$285,5,FALSE)</f>
        <v>retain</v>
      </c>
      <c r="Y280" s="7" t="s">
        <v>148</v>
      </c>
      <c r="Z280">
        <v>-1.7</v>
      </c>
      <c r="AA280" s="5" t="s">
        <v>169</v>
      </c>
      <c r="AB280">
        <v>14</v>
      </c>
      <c r="AC280">
        <v>1</v>
      </c>
      <c r="AD280">
        <f t="shared" si="50"/>
        <v>14</v>
      </c>
      <c r="AE280">
        <f t="shared" si="51"/>
        <v>2.25</v>
      </c>
      <c r="AF280">
        <v>0.22500000000000001</v>
      </c>
      <c r="AG280">
        <v>9</v>
      </c>
      <c r="AH280">
        <v>135</v>
      </c>
      <c r="AI280" s="5">
        <f t="shared" si="46"/>
        <v>9.6428571428571423</v>
      </c>
      <c r="AJ280" s="5">
        <f t="shared" si="47"/>
        <v>60</v>
      </c>
      <c r="AK280" t="s">
        <v>485</v>
      </c>
      <c r="AL280" s="13" t="s">
        <v>1882</v>
      </c>
    </row>
    <row r="281" spans="1:38" x14ac:dyDescent="0.25">
      <c r="A281" t="s">
        <v>24</v>
      </c>
      <c r="B281" t="s">
        <v>2014</v>
      </c>
      <c r="C281" s="252" t="str">
        <f>VLOOKUP(B281,Plantings!$A$2:$C$285,2,FALSE)</f>
        <v>WES_test_1</v>
      </c>
      <c r="D281" s="252" t="str">
        <f>VLOOKUP(B281,Plantings!$A$2:$C$285,3,FALSE)</f>
        <v>single</v>
      </c>
      <c r="E281" s="131">
        <v>2020</v>
      </c>
      <c r="F281" t="s">
        <v>1864</v>
      </c>
      <c r="G281" s="1" t="s">
        <v>493</v>
      </c>
      <c r="H281" s="1" t="s">
        <v>24</v>
      </c>
      <c r="I281" s="1" t="s">
        <v>406</v>
      </c>
      <c r="J281" s="1" t="s">
        <v>1873</v>
      </c>
      <c r="K281" s="1" t="s">
        <v>165</v>
      </c>
      <c r="L281" s="1" t="s">
        <v>1872</v>
      </c>
      <c r="R281" s="1" t="s">
        <v>22</v>
      </c>
      <c r="S281" s="1" t="s">
        <v>22</v>
      </c>
      <c r="T281" s="134">
        <v>44044</v>
      </c>
      <c r="U281" s="28">
        <v>48.593940000000003</v>
      </c>
      <c r="V281" s="28">
        <v>-123.15505</v>
      </c>
      <c r="W281" s="252" t="str">
        <f>VLOOKUP(B281,Plantings!$A$2:$E$285,4,FALSE)</f>
        <v>line</v>
      </c>
      <c r="X281" s="251" t="str">
        <f>VLOOKUP(B281,Plantings!$A$2:$E$285,5,FALSE)</f>
        <v>retain</v>
      </c>
      <c r="Y281" s="7" t="s">
        <v>148</v>
      </c>
      <c r="Z281">
        <v>-1.7</v>
      </c>
      <c r="AA281" s="5" t="s">
        <v>169</v>
      </c>
      <c r="AB281">
        <v>14</v>
      </c>
      <c r="AC281">
        <v>1</v>
      </c>
      <c r="AD281">
        <f t="shared" si="50"/>
        <v>14</v>
      </c>
      <c r="AE281">
        <f t="shared" si="51"/>
        <v>3.75</v>
      </c>
      <c r="AF281">
        <v>0.375</v>
      </c>
      <c r="AG281">
        <v>15</v>
      </c>
      <c r="AH281">
        <v>210</v>
      </c>
      <c r="AI281" s="5">
        <f t="shared" si="46"/>
        <v>15</v>
      </c>
      <c r="AJ281" s="5">
        <f t="shared" si="47"/>
        <v>56</v>
      </c>
      <c r="AK281" t="s">
        <v>1875</v>
      </c>
      <c r="AL281" s="13" t="s">
        <v>1881</v>
      </c>
    </row>
    <row r="282" spans="1:38" x14ac:dyDescent="0.25">
      <c r="A282" t="s">
        <v>24</v>
      </c>
      <c r="B282" t="s">
        <v>2015</v>
      </c>
      <c r="C282" s="252" t="str">
        <f>VLOOKUP(B282,Plantings!$A$2:$C$285,2,FALSE)</f>
        <v>WES_test_1</v>
      </c>
      <c r="D282" s="252" t="str">
        <f>VLOOKUP(B282,Plantings!$A$2:$C$285,3,FALSE)</f>
        <v>single</v>
      </c>
      <c r="E282" s="131">
        <v>2020</v>
      </c>
      <c r="F282" t="s">
        <v>1864</v>
      </c>
      <c r="G282" s="1" t="s">
        <v>493</v>
      </c>
      <c r="H282" s="1" t="s">
        <v>24</v>
      </c>
      <c r="I282" s="1" t="s">
        <v>406</v>
      </c>
      <c r="J282" s="1" t="s">
        <v>1873</v>
      </c>
      <c r="K282" s="1" t="s">
        <v>165</v>
      </c>
      <c r="L282" s="1" t="s">
        <v>1872</v>
      </c>
      <c r="R282" s="1" t="s">
        <v>22</v>
      </c>
      <c r="S282" s="1" t="s">
        <v>22</v>
      </c>
      <c r="T282" s="134">
        <v>44044</v>
      </c>
      <c r="U282" s="28">
        <v>48.593940000000003</v>
      </c>
      <c r="V282" s="28">
        <v>-123.15505</v>
      </c>
      <c r="W282" s="252" t="str">
        <f>VLOOKUP(B282,Plantings!$A$2:$E$285,4,FALSE)</f>
        <v>line</v>
      </c>
      <c r="X282" s="251" t="str">
        <f>VLOOKUP(B282,Plantings!$A$2:$E$285,5,FALSE)</f>
        <v>retain</v>
      </c>
      <c r="Y282" s="7" t="s">
        <v>148</v>
      </c>
      <c r="Z282">
        <v>-1.7</v>
      </c>
      <c r="AA282" s="5" t="s">
        <v>169</v>
      </c>
      <c r="AB282">
        <v>14</v>
      </c>
      <c r="AC282">
        <v>1</v>
      </c>
      <c r="AD282">
        <f t="shared" si="50"/>
        <v>14</v>
      </c>
      <c r="AE282">
        <f t="shared" si="51"/>
        <v>2.25</v>
      </c>
      <c r="AF282">
        <v>0.22500000000000001</v>
      </c>
      <c r="AG282">
        <v>9</v>
      </c>
      <c r="AH282">
        <v>275</v>
      </c>
      <c r="AI282" s="5">
        <f t="shared" si="46"/>
        <v>19.642857142857142</v>
      </c>
      <c r="AJ282" s="5">
        <f t="shared" si="47"/>
        <v>122.22222222222223</v>
      </c>
      <c r="AK282" t="s">
        <v>1876</v>
      </c>
      <c r="AL282" s="13" t="s">
        <v>1881</v>
      </c>
    </row>
    <row r="283" spans="1:38" x14ac:dyDescent="0.25">
      <c r="A283" t="s">
        <v>14</v>
      </c>
      <c r="B283" t="s">
        <v>189</v>
      </c>
      <c r="C283" s="252" t="str">
        <f>VLOOKUP(B283,Plantings!$A$2:$C$285,2,FALSE)</f>
        <v>ZAN_1</v>
      </c>
      <c r="D283" s="252" t="str">
        <f>VLOOKUP(B283,Plantings!$A$2:$C$285,3,FALSE)</f>
        <v>single</v>
      </c>
      <c r="E283">
        <v>2013</v>
      </c>
      <c r="F283" t="s">
        <v>461</v>
      </c>
      <c r="G283" t="s">
        <v>412</v>
      </c>
      <c r="H283" t="s">
        <v>70</v>
      </c>
      <c r="I283" t="s">
        <v>404</v>
      </c>
      <c r="J283" t="s">
        <v>10</v>
      </c>
      <c r="K283" t="s">
        <v>176</v>
      </c>
      <c r="L283" t="s">
        <v>11</v>
      </c>
      <c r="M283" t="s">
        <v>177</v>
      </c>
      <c r="N283" t="s">
        <v>137</v>
      </c>
      <c r="O283" t="s">
        <v>49</v>
      </c>
      <c r="P283" t="s">
        <v>61</v>
      </c>
      <c r="Q283" t="s">
        <v>76</v>
      </c>
      <c r="R283" t="s">
        <v>22</v>
      </c>
      <c r="S283" t="s">
        <v>22</v>
      </c>
      <c r="T283" s="27">
        <v>41431</v>
      </c>
      <c r="U283" s="4">
        <v>47.14555</v>
      </c>
      <c r="V283" s="4">
        <v>-122.89323333333333</v>
      </c>
      <c r="W283" s="252" t="str">
        <f>VLOOKUP(B283,Plantings!$A$2:$E$285,4,FALSE)</f>
        <v>point</v>
      </c>
      <c r="X283" s="251" t="str">
        <f>VLOOKUP(B283,Plantings!$A$2:$E$285,5,FALSE)</f>
        <v>retain</v>
      </c>
      <c r="Y283" s="7" t="s">
        <v>148</v>
      </c>
      <c r="Z283" s="20">
        <v>-1.2192000000000001</v>
      </c>
      <c r="AA283" s="5" t="s">
        <v>168</v>
      </c>
      <c r="AB283">
        <v>5</v>
      </c>
      <c r="AC283">
        <v>9</v>
      </c>
      <c r="AD283">
        <f t="shared" si="50"/>
        <v>45</v>
      </c>
      <c r="AE283">
        <v>45</v>
      </c>
      <c r="AF283" s="109">
        <f>IF(AA283="staple",AG283*0.005,IF(AA283="rebar",AG283*0.025,IF(AA283="burlap",AG283*0.0625,IF(AA283="washer",AG283*0.0025,IF(AA283="pucks",AG283*0.00785,IF(AA283="turf",AG283*0.01,IF(AA283="","")))))))</f>
        <v>1.0900000000000001</v>
      </c>
      <c r="AG283" s="38">
        <f>AH283/4</f>
        <v>218</v>
      </c>
      <c r="AH283" s="38">
        <v>872</v>
      </c>
      <c r="AI283" s="5">
        <f t="shared" ref="AI283:AI290" si="52">IFERROR(AH283/AD283, "")</f>
        <v>19.377777777777776</v>
      </c>
      <c r="AJ283" s="5">
        <f t="shared" ref="AJ283:AJ290" si="53">IFERROR(AH283/AE283, "")</f>
        <v>19.377777777777776</v>
      </c>
      <c r="AK283" t="s">
        <v>8</v>
      </c>
    </row>
    <row r="284" spans="1:38" x14ac:dyDescent="0.25">
      <c r="A284" t="s">
        <v>14</v>
      </c>
      <c r="B284" t="s">
        <v>202</v>
      </c>
      <c r="C284" s="252" t="str">
        <f>VLOOKUP(B284,Plantings!$A$2:$C$285,2,FALSE)</f>
        <v>ZAN_P1</v>
      </c>
      <c r="D284" s="252" t="str">
        <f>VLOOKUP(B284,Plantings!$A$2:$C$285,3,FALSE)</f>
        <v>single</v>
      </c>
      <c r="E284">
        <v>2015</v>
      </c>
      <c r="F284" t="s">
        <v>461</v>
      </c>
      <c r="G284" t="s">
        <v>413</v>
      </c>
      <c r="H284" t="s">
        <v>70</v>
      </c>
      <c r="I284" t="s">
        <v>404</v>
      </c>
      <c r="J284" t="s">
        <v>5</v>
      </c>
      <c r="K284" t="s">
        <v>165</v>
      </c>
      <c r="L284" t="s">
        <v>230</v>
      </c>
      <c r="O284" t="s">
        <v>49</v>
      </c>
      <c r="P284" t="s">
        <v>62</v>
      </c>
      <c r="Q284" t="s">
        <v>75</v>
      </c>
      <c r="R284" t="s">
        <v>13</v>
      </c>
      <c r="S284" t="s">
        <v>13</v>
      </c>
      <c r="T284" s="27">
        <v>42128</v>
      </c>
      <c r="U284" s="4">
        <v>47.145733333333332</v>
      </c>
      <c r="V284" s="4">
        <v>-122.89318333333334</v>
      </c>
      <c r="W284" s="252" t="str">
        <f>VLOOKUP(B284,Plantings!$A$2:$E$285,4,FALSE)</f>
        <v>polygon</v>
      </c>
      <c r="X284" s="251" t="str">
        <f>VLOOKUP(B284,Plantings!$A$2:$E$285,5,FALSE)</f>
        <v>retain</v>
      </c>
      <c r="Y284" s="7" t="s">
        <v>148</v>
      </c>
      <c r="Z284" s="20">
        <v>-2.286</v>
      </c>
      <c r="AA284" s="6" t="s">
        <v>168</v>
      </c>
      <c r="AB284">
        <v>55</v>
      </c>
      <c r="AC284">
        <v>30</v>
      </c>
      <c r="AD284">
        <f t="shared" si="50"/>
        <v>1650</v>
      </c>
      <c r="AE284" s="6">
        <v>220</v>
      </c>
      <c r="AF284" s="109">
        <f>IF(AA284="staple",AG284*0.005,IF(AA284="rebar",AG284*0.025,IF(AA284="burlap",AG284*0.0625,IF(AA284="washer",AG284*0.0025,IF(AA284="pucks",AG284*0.00785,IF(AA284="turf",AG284*0.01,IF(AA284="","")))))))</f>
        <v>11.225</v>
      </c>
      <c r="AG284" s="38">
        <f>AH284/4</f>
        <v>2245</v>
      </c>
      <c r="AH284" s="118">
        <v>8980</v>
      </c>
      <c r="AI284" s="5">
        <f t="shared" si="52"/>
        <v>5.4424242424242424</v>
      </c>
      <c r="AJ284" s="5">
        <f t="shared" si="53"/>
        <v>40.81818181818182</v>
      </c>
      <c r="AK284" t="s">
        <v>8</v>
      </c>
      <c r="AL284" s="160" t="s">
        <v>588</v>
      </c>
    </row>
    <row r="285" spans="1:38" x14ac:dyDescent="0.25">
      <c r="A285" t="s">
        <v>14</v>
      </c>
      <c r="B285" t="s">
        <v>203</v>
      </c>
      <c r="C285" s="252" t="str">
        <f>VLOOKUP(B285,Plantings!$A$2:$C$285,2,FALSE)</f>
        <v>ZAN_P1</v>
      </c>
      <c r="D285" s="252" t="str">
        <f>VLOOKUP(B285,Plantings!$A$2:$C$285,3,FALSE)</f>
        <v>single</v>
      </c>
      <c r="E285">
        <v>2015</v>
      </c>
      <c r="F285" t="s">
        <v>461</v>
      </c>
      <c r="G285" t="s">
        <v>413</v>
      </c>
      <c r="H285" t="s">
        <v>70</v>
      </c>
      <c r="I285" t="s">
        <v>404</v>
      </c>
      <c r="J285" t="s">
        <v>5</v>
      </c>
      <c r="K285" t="s">
        <v>165</v>
      </c>
      <c r="L285" t="s">
        <v>230</v>
      </c>
      <c r="O285" t="s">
        <v>49</v>
      </c>
      <c r="P285" t="s">
        <v>62</v>
      </c>
      <c r="Q285" t="s">
        <v>75</v>
      </c>
      <c r="R285" t="s">
        <v>13</v>
      </c>
      <c r="S285" s="25" t="s">
        <v>520</v>
      </c>
      <c r="T285" s="27">
        <v>42128</v>
      </c>
      <c r="U285" s="4">
        <v>47.145633333333336</v>
      </c>
      <c r="V285" s="4">
        <v>-122.89246666666666</v>
      </c>
      <c r="W285" s="252" t="str">
        <f>VLOOKUP(B285,Plantings!$A$2:$E$285,4,FALSE)</f>
        <v>polygon</v>
      </c>
      <c r="X285" s="251" t="str">
        <f>VLOOKUP(B285,Plantings!$A$2:$E$285,5,FALSE)</f>
        <v>retain</v>
      </c>
      <c r="Y285" s="7" t="s">
        <v>148</v>
      </c>
      <c r="Z285" s="20"/>
      <c r="AA285" s="6" t="s">
        <v>168</v>
      </c>
      <c r="AE285" s="11"/>
      <c r="AF285" s="109"/>
      <c r="AG285" s="118"/>
      <c r="AH285" s="118"/>
      <c r="AI285" s="5" t="str">
        <f t="shared" si="52"/>
        <v/>
      </c>
      <c r="AJ285" s="5" t="str">
        <f t="shared" si="53"/>
        <v/>
      </c>
    </row>
    <row r="286" spans="1:38" x14ac:dyDescent="0.25">
      <c r="A286" t="s">
        <v>14</v>
      </c>
      <c r="B286" t="s">
        <v>204</v>
      </c>
      <c r="C286" s="252" t="str">
        <f>VLOOKUP(B286,Plantings!$A$2:$C$285,2,FALSE)</f>
        <v>ZAN_P1</v>
      </c>
      <c r="D286" s="252" t="str">
        <f>VLOOKUP(B286,Plantings!$A$2:$C$285,3,FALSE)</f>
        <v>single</v>
      </c>
      <c r="E286">
        <v>2015</v>
      </c>
      <c r="F286" t="s">
        <v>461</v>
      </c>
      <c r="G286" t="s">
        <v>413</v>
      </c>
      <c r="H286" t="s">
        <v>70</v>
      </c>
      <c r="I286" t="s">
        <v>404</v>
      </c>
      <c r="J286" t="s">
        <v>5</v>
      </c>
      <c r="K286" t="s">
        <v>165</v>
      </c>
      <c r="L286" t="s">
        <v>230</v>
      </c>
      <c r="O286" t="s">
        <v>49</v>
      </c>
      <c r="P286" t="s">
        <v>62</v>
      </c>
      <c r="Q286" t="s">
        <v>75</v>
      </c>
      <c r="R286" t="s">
        <v>13</v>
      </c>
      <c r="S286" s="25" t="s">
        <v>520</v>
      </c>
      <c r="T286" s="27">
        <v>42128</v>
      </c>
      <c r="U286" s="4">
        <v>47.145400000000002</v>
      </c>
      <c r="V286" s="4">
        <v>-122.89255</v>
      </c>
      <c r="W286" s="252" t="str">
        <f>VLOOKUP(B286,Plantings!$A$2:$E$285,4,FALSE)</f>
        <v>polygon</v>
      </c>
      <c r="X286" s="251" t="str">
        <f>VLOOKUP(B286,Plantings!$A$2:$E$285,5,FALSE)</f>
        <v>retain</v>
      </c>
      <c r="Y286" s="7" t="s">
        <v>148</v>
      </c>
      <c r="Z286" s="20"/>
      <c r="AA286" s="6" t="s">
        <v>168</v>
      </c>
      <c r="AE286" s="11"/>
      <c r="AF286" s="109"/>
      <c r="AG286" s="118"/>
      <c r="AH286" s="118"/>
      <c r="AI286" s="5" t="str">
        <f t="shared" si="52"/>
        <v/>
      </c>
      <c r="AJ286" s="5" t="str">
        <f t="shared" si="53"/>
        <v/>
      </c>
    </row>
    <row r="287" spans="1:38" x14ac:dyDescent="0.25">
      <c r="A287" t="s">
        <v>14</v>
      </c>
      <c r="B287" t="s">
        <v>205</v>
      </c>
      <c r="C287" s="252" t="str">
        <f>VLOOKUP(B287,Plantings!$A$2:$C$285,2,FALSE)</f>
        <v>ZAN_P1</v>
      </c>
      <c r="D287" s="252" t="str">
        <f>VLOOKUP(B287,Plantings!$A$2:$C$285,3,FALSE)</f>
        <v>single</v>
      </c>
      <c r="E287">
        <v>2015</v>
      </c>
      <c r="F287" t="s">
        <v>461</v>
      </c>
      <c r="G287" t="s">
        <v>413</v>
      </c>
      <c r="H287" t="s">
        <v>70</v>
      </c>
      <c r="I287" t="s">
        <v>404</v>
      </c>
      <c r="J287" t="s">
        <v>5</v>
      </c>
      <c r="K287" t="s">
        <v>165</v>
      </c>
      <c r="L287" t="s">
        <v>230</v>
      </c>
      <c r="O287" t="s">
        <v>49</v>
      </c>
      <c r="P287" t="s">
        <v>62</v>
      </c>
      <c r="Q287" t="s">
        <v>75</v>
      </c>
      <c r="R287" t="s">
        <v>13</v>
      </c>
      <c r="S287" s="25" t="s">
        <v>520</v>
      </c>
      <c r="T287" s="27">
        <v>42128</v>
      </c>
      <c r="U287" s="4">
        <v>47.14555</v>
      </c>
      <c r="V287" s="4">
        <v>-122.89323333333333</v>
      </c>
      <c r="W287" s="252" t="str">
        <f>VLOOKUP(B287,Plantings!$A$2:$E$285,4,FALSE)</f>
        <v>polygon</v>
      </c>
      <c r="X287" s="251" t="str">
        <f>VLOOKUP(B287,Plantings!$A$2:$E$285,5,FALSE)</f>
        <v>retain</v>
      </c>
      <c r="Y287" s="7" t="s">
        <v>148</v>
      </c>
      <c r="Z287" s="20">
        <v>-1.1277600000000001</v>
      </c>
      <c r="AA287" s="6" t="s">
        <v>168</v>
      </c>
      <c r="AE287" s="11"/>
      <c r="AF287" s="109"/>
      <c r="AG287" s="118"/>
      <c r="AH287" s="118"/>
      <c r="AI287" s="5" t="str">
        <f t="shared" si="52"/>
        <v/>
      </c>
      <c r="AJ287" s="5" t="str">
        <f t="shared" si="53"/>
        <v/>
      </c>
    </row>
    <row r="288" spans="1:38" x14ac:dyDescent="0.25">
      <c r="A288" t="s">
        <v>14</v>
      </c>
      <c r="B288" t="s">
        <v>402</v>
      </c>
      <c r="C288" s="252" t="str">
        <f>VLOOKUP(B288,Plantings!$A$2:$C$285,2,FALSE)</f>
        <v>ZAN_2</v>
      </c>
      <c r="D288" s="252" t="str">
        <f>VLOOKUP(B288,Plantings!$A$2:$C$285,3,FALSE)</f>
        <v>single</v>
      </c>
      <c r="E288">
        <v>2015</v>
      </c>
      <c r="F288" t="s">
        <v>461</v>
      </c>
      <c r="G288" t="s">
        <v>412</v>
      </c>
      <c r="H288" t="s">
        <v>70</v>
      </c>
      <c r="I288" t="s">
        <v>404</v>
      </c>
      <c r="J288" t="s">
        <v>5</v>
      </c>
      <c r="K288" t="s">
        <v>165</v>
      </c>
      <c r="L288" t="s">
        <v>230</v>
      </c>
      <c r="O288" t="s">
        <v>49</v>
      </c>
      <c r="P288" t="s">
        <v>62</v>
      </c>
      <c r="Q288" t="s">
        <v>75</v>
      </c>
      <c r="R288" t="s">
        <v>22</v>
      </c>
      <c r="S288" t="s">
        <v>22</v>
      </c>
      <c r="T288" s="27">
        <v>42130</v>
      </c>
      <c r="U288" s="4">
        <v>47.145699999999998</v>
      </c>
      <c r="V288" s="4">
        <v>-122.89225</v>
      </c>
      <c r="W288" s="252" t="str">
        <f>VLOOKUP(B288,Plantings!$A$2:$E$285,4,FALSE)</f>
        <v>point</v>
      </c>
      <c r="X288" s="251" t="str">
        <f>VLOOKUP(B288,Plantings!$A$2:$E$285,5,FALSE)</f>
        <v>retain</v>
      </c>
      <c r="Y288" s="7" t="s">
        <v>148</v>
      </c>
      <c r="Z288" s="20">
        <v>-2.3469600000000002</v>
      </c>
      <c r="AA288" s="5" t="s">
        <v>168</v>
      </c>
      <c r="AB288">
        <v>5</v>
      </c>
      <c r="AC288">
        <v>5</v>
      </c>
      <c r="AD288">
        <f>AB288*AC288</f>
        <v>25</v>
      </c>
      <c r="AE288">
        <v>25</v>
      </c>
      <c r="AF288" s="109">
        <f>IF(AA288="staple",AG288*0.005,IF(AA288="rebar",AG288*0.025,IF(AA288="burlap",AG288*0.0625,IF(AA288="washer",AG288*0.0025,IF(AA288="pucks",AG288*0.00785,IF(AA288="turf",AG288*0.01,IF(AA288="","")))))))</f>
        <v>0.625</v>
      </c>
      <c r="AG288" s="38">
        <f>AH288/4</f>
        <v>125</v>
      </c>
      <c r="AH288" s="119">
        <v>500</v>
      </c>
      <c r="AI288" s="5">
        <f t="shared" si="52"/>
        <v>20</v>
      </c>
      <c r="AJ288" s="5">
        <f t="shared" si="53"/>
        <v>20</v>
      </c>
      <c r="AK288" t="s">
        <v>8</v>
      </c>
    </row>
    <row r="289" spans="1:38" x14ac:dyDescent="0.25">
      <c r="A289" t="s">
        <v>14</v>
      </c>
      <c r="B289" t="s">
        <v>996</v>
      </c>
      <c r="C289" s="252" t="str">
        <f>VLOOKUP(B289,Plantings!$A$2:$C$285,2,FALSE)</f>
        <v>ZAN_3</v>
      </c>
      <c r="D289" s="252" t="str">
        <f>VLOOKUP(B289,Plantings!$A$2:$C$285,3,FALSE)</f>
        <v>single</v>
      </c>
      <c r="E289">
        <v>2016</v>
      </c>
      <c r="F289" t="s">
        <v>461</v>
      </c>
      <c r="G289" t="s">
        <v>412</v>
      </c>
      <c r="H289" t="s">
        <v>70</v>
      </c>
      <c r="I289" t="s">
        <v>404</v>
      </c>
      <c r="J289" t="s">
        <v>165</v>
      </c>
      <c r="K289" t="s">
        <v>165</v>
      </c>
      <c r="L289" t="s">
        <v>230</v>
      </c>
      <c r="R289" t="s">
        <v>22</v>
      </c>
      <c r="S289" t="s">
        <v>22</v>
      </c>
      <c r="T289" s="27">
        <v>42527</v>
      </c>
      <c r="U289" s="4">
        <v>47.145636789500003</v>
      </c>
      <c r="V289" s="4">
        <v>-122.8932577651</v>
      </c>
      <c r="W289" s="252" t="str">
        <f>VLOOKUP(B289,Plantings!$A$2:$E$285,4,FALSE)</f>
        <v>point</v>
      </c>
      <c r="X289" s="251" t="str">
        <f>VLOOKUP(B289,Plantings!$A$2:$E$285,5,FALSE)</f>
        <v>retain</v>
      </c>
      <c r="Y289" s="7" t="s">
        <v>148</v>
      </c>
      <c r="Z289" s="20"/>
      <c r="AA289" s="5" t="s">
        <v>169</v>
      </c>
      <c r="AB289">
        <v>0.25</v>
      </c>
      <c r="AC289">
        <v>0.25</v>
      </c>
      <c r="AD289">
        <f>AB289*AC289</f>
        <v>6.25E-2</v>
      </c>
      <c r="AE289">
        <f>AG289*0.25</f>
        <v>0.25</v>
      </c>
      <c r="AF289" s="109">
        <f>IF(AA289="staple",AG289*0.005,IF(AA289="rebar",AG289*0.025,IF(AA289="burlap",AG289*0.0625,IF(AA289="washer",AG289*0.0025,IF(AA289="pucks",AG289*0.00785,IF(AA289="turf",AG289*0.01,IF(AA289="","")))))))</f>
        <v>2.5000000000000001E-2</v>
      </c>
      <c r="AG289" s="38">
        <v>1</v>
      </c>
      <c r="AH289" s="119">
        <v>40</v>
      </c>
      <c r="AI289" s="5">
        <f t="shared" si="52"/>
        <v>640</v>
      </c>
      <c r="AJ289" s="5">
        <f t="shared" si="53"/>
        <v>160</v>
      </c>
      <c r="AK289" t="s">
        <v>119</v>
      </c>
      <c r="AL289" s="13" t="s">
        <v>995</v>
      </c>
    </row>
    <row r="290" spans="1:38" x14ac:dyDescent="0.25">
      <c r="A290" t="s">
        <v>14</v>
      </c>
      <c r="B290" t="s">
        <v>997</v>
      </c>
      <c r="C290" s="252" t="str">
        <f>VLOOKUP(B290,Plantings!$A$2:$C$285,2,FALSE)</f>
        <v>ZAN_4</v>
      </c>
      <c r="D290" s="252" t="str">
        <f>VLOOKUP(B290,Plantings!$A$2:$C$285,3,FALSE)</f>
        <v>single</v>
      </c>
      <c r="E290">
        <v>2016</v>
      </c>
      <c r="F290" t="s">
        <v>461</v>
      </c>
      <c r="G290" t="s">
        <v>412</v>
      </c>
      <c r="H290" t="s">
        <v>70</v>
      </c>
      <c r="I290" t="s">
        <v>404</v>
      </c>
      <c r="J290" t="s">
        <v>165</v>
      </c>
      <c r="K290" t="s">
        <v>165</v>
      </c>
      <c r="L290" t="s">
        <v>230</v>
      </c>
      <c r="R290" t="s">
        <v>22</v>
      </c>
      <c r="S290" t="s">
        <v>22</v>
      </c>
      <c r="T290" s="27">
        <v>42572</v>
      </c>
      <c r="U290" s="4">
        <v>47.145493289999997</v>
      </c>
      <c r="V290" s="4">
        <v>-122.8937296</v>
      </c>
      <c r="W290" s="252" t="str">
        <f>VLOOKUP(B290,Plantings!$A$2:$E$285,4,FALSE)</f>
        <v>point</v>
      </c>
      <c r="X290" s="251" t="str">
        <f>VLOOKUP(B290,Plantings!$A$2:$E$285,5,FALSE)</f>
        <v>retain</v>
      </c>
      <c r="Y290" s="7" t="s">
        <v>148</v>
      </c>
      <c r="Z290" s="20">
        <v>-0.5</v>
      </c>
      <c r="AA290" s="5" t="s">
        <v>169</v>
      </c>
      <c r="AB290">
        <v>4</v>
      </c>
      <c r="AC290">
        <v>0.25</v>
      </c>
      <c r="AD290">
        <f>AB290*AC290</f>
        <v>1</v>
      </c>
      <c r="AE290">
        <f>AG290*0.25</f>
        <v>1</v>
      </c>
      <c r="AF290" s="109">
        <f>IF(AA290="staple",AG290*0.005,IF(AA290="rebar",AG290*0.025,IF(AA290="burlap",AG290*0.0625,IF(AA290="washer",AG290*0.0025,IF(AA290="pucks",AG290*0.00785,IF(AA290="turf",AG290*0.01,IF(AA290="","")))))))</f>
        <v>0.1</v>
      </c>
      <c r="AG290" s="38">
        <v>4</v>
      </c>
      <c r="AH290" s="119">
        <v>200</v>
      </c>
      <c r="AI290" s="5">
        <f t="shared" si="52"/>
        <v>200</v>
      </c>
      <c r="AJ290" s="5">
        <f t="shared" si="53"/>
        <v>200</v>
      </c>
      <c r="AK290" t="s">
        <v>119</v>
      </c>
      <c r="AL290" s="13" t="s">
        <v>982</v>
      </c>
    </row>
    <row r="291" spans="1:38" x14ac:dyDescent="0.25">
      <c r="X291" s="251"/>
    </row>
    <row r="292" spans="1:38" x14ac:dyDescent="0.25">
      <c r="X292" s="251"/>
    </row>
    <row r="293" spans="1:38" x14ac:dyDescent="0.25">
      <c r="AD293" s="235">
        <f>SUM(AD3:AD290)</f>
        <v>20577.8125</v>
      </c>
      <c r="AE293" s="235">
        <f>SUM(AE3:AE290)</f>
        <v>5257.6444999999958</v>
      </c>
      <c r="AF293" s="235">
        <f>SUM(AF3:AF290)</f>
        <v>566.41869999999949</v>
      </c>
      <c r="AG293" t="s">
        <v>2213</v>
      </c>
      <c r="AH293" s="38">
        <f>SUM(AH4:AH290)</f>
        <v>393716</v>
      </c>
    </row>
    <row r="297" spans="1:38" x14ac:dyDescent="0.25">
      <c r="S297" t="s">
        <v>861</v>
      </c>
    </row>
    <row r="307" spans="21:24" x14ac:dyDescent="0.25">
      <c r="U307" s="4"/>
      <c r="V307" s="4"/>
      <c r="W307" s="251"/>
      <c r="X307" s="251"/>
    </row>
  </sheetData>
  <autoFilter ref="A1:AL290" xr:uid="{00000000-0001-0000-0200-000000000000}">
    <sortState xmlns:xlrd2="http://schemas.microsoft.com/office/spreadsheetml/2017/richdata2" ref="A2:AL290">
      <sortCondition ref="A3:A290"/>
    </sortState>
  </autoFilter>
  <sortState xmlns:xlrd2="http://schemas.microsoft.com/office/spreadsheetml/2017/richdata2" ref="A5:AL235">
    <sortCondition ref="A5:A235"/>
    <sortCondition ref="E5:E235"/>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15" activePane="bottomLeft" state="frozen"/>
      <selection pane="bottomLeft" activeCell="L224" sqref="L224"/>
    </sheetView>
  </sheetViews>
  <sheetFormatPr defaultRowHeight="15" x14ac:dyDescent="0.25"/>
  <cols>
    <col min="1" max="1" width="67.85546875" bestFit="1" customWidth="1"/>
    <col min="2" max="2" width="22.140625" bestFit="1" customWidth="1"/>
    <col min="3" max="3" width="21.140625" bestFit="1" customWidth="1"/>
    <col min="4" max="4" width="11.42578125" customWidth="1"/>
    <col min="5" max="5" width="12.28515625" customWidth="1"/>
  </cols>
  <sheetData>
    <row r="1" spans="1:5" x14ac:dyDescent="0.25">
      <c r="A1" s="249" t="s">
        <v>0</v>
      </c>
      <c r="B1" s="249" t="s">
        <v>2216</v>
      </c>
      <c r="C1" s="249" t="s">
        <v>2217</v>
      </c>
      <c r="D1" s="254" t="s">
        <v>2162</v>
      </c>
      <c r="E1" s="254" t="s">
        <v>2391</v>
      </c>
    </row>
    <row r="2" spans="1:5" x14ac:dyDescent="0.25">
      <c r="A2" t="s">
        <v>187</v>
      </c>
      <c r="B2" t="s">
        <v>2218</v>
      </c>
      <c r="C2" t="s">
        <v>2219</v>
      </c>
      <c r="D2" t="s">
        <v>412</v>
      </c>
      <c r="E2" t="s">
        <v>2392</v>
      </c>
    </row>
    <row r="3" spans="1:5" x14ac:dyDescent="0.25">
      <c r="A3" t="s">
        <v>188</v>
      </c>
      <c r="B3" t="s">
        <v>2220</v>
      </c>
      <c r="C3" t="s">
        <v>2219</v>
      </c>
      <c r="D3" t="s">
        <v>412</v>
      </c>
      <c r="E3" t="s">
        <v>2392</v>
      </c>
    </row>
    <row r="4" spans="1:5" x14ac:dyDescent="0.25">
      <c r="A4" t="s">
        <v>1135</v>
      </c>
      <c r="B4" t="s">
        <v>2221</v>
      </c>
      <c r="C4" t="s">
        <v>2219</v>
      </c>
      <c r="D4" t="s">
        <v>412</v>
      </c>
      <c r="E4" t="s">
        <v>2392</v>
      </c>
    </row>
    <row r="5" spans="1:5" x14ac:dyDescent="0.25">
      <c r="A5" t="s">
        <v>1136</v>
      </c>
      <c r="B5" t="s">
        <v>2222</v>
      </c>
      <c r="C5" t="s">
        <v>2219</v>
      </c>
      <c r="D5" t="s">
        <v>412</v>
      </c>
      <c r="E5" t="s">
        <v>2392</v>
      </c>
    </row>
    <row r="6" spans="1:5" x14ac:dyDescent="0.25">
      <c r="A6" t="s">
        <v>721</v>
      </c>
      <c r="B6" t="s">
        <v>2223</v>
      </c>
      <c r="C6" t="s">
        <v>2219</v>
      </c>
      <c r="D6" t="s">
        <v>412</v>
      </c>
      <c r="E6" t="s">
        <v>2392</v>
      </c>
    </row>
    <row r="7" spans="1:5" x14ac:dyDescent="0.25">
      <c r="A7" t="s">
        <v>722</v>
      </c>
      <c r="B7" t="s">
        <v>2224</v>
      </c>
      <c r="C7" t="s">
        <v>2219</v>
      </c>
      <c r="D7" t="s">
        <v>412</v>
      </c>
      <c r="E7" t="s">
        <v>2392</v>
      </c>
    </row>
    <row r="8" spans="1:5" x14ac:dyDescent="0.25">
      <c r="A8" t="s">
        <v>190</v>
      </c>
      <c r="B8" t="s">
        <v>2225</v>
      </c>
      <c r="C8" t="s">
        <v>2219</v>
      </c>
      <c r="D8" t="s">
        <v>412</v>
      </c>
      <c r="E8" t="s">
        <v>2392</v>
      </c>
    </row>
    <row r="9" spans="1:5" x14ac:dyDescent="0.25">
      <c r="A9" t="s">
        <v>191</v>
      </c>
      <c r="B9" t="s">
        <v>2226</v>
      </c>
      <c r="C9" t="s">
        <v>2219</v>
      </c>
      <c r="D9" t="s">
        <v>412</v>
      </c>
      <c r="E9" t="s">
        <v>2392</v>
      </c>
    </row>
    <row r="10" spans="1:5" x14ac:dyDescent="0.25">
      <c r="A10" t="s">
        <v>189</v>
      </c>
      <c r="B10" t="s">
        <v>2227</v>
      </c>
      <c r="C10" t="s">
        <v>2219</v>
      </c>
      <c r="D10" t="s">
        <v>412</v>
      </c>
      <c r="E10" t="s">
        <v>2392</v>
      </c>
    </row>
    <row r="11" spans="1:5" x14ac:dyDescent="0.25">
      <c r="A11" t="s">
        <v>196</v>
      </c>
      <c r="B11" t="s">
        <v>2228</v>
      </c>
      <c r="C11" t="s">
        <v>2219</v>
      </c>
      <c r="D11" t="s">
        <v>412</v>
      </c>
      <c r="E11" t="s">
        <v>2392</v>
      </c>
    </row>
    <row r="12" spans="1:5" x14ac:dyDescent="0.25">
      <c r="A12" t="s">
        <v>193</v>
      </c>
      <c r="B12" t="s">
        <v>2229</v>
      </c>
      <c r="C12" t="s">
        <v>2219</v>
      </c>
      <c r="D12" t="s">
        <v>412</v>
      </c>
      <c r="E12" t="s">
        <v>2392</v>
      </c>
    </row>
    <row r="13" spans="1:5" x14ac:dyDescent="0.25">
      <c r="A13" t="s">
        <v>194</v>
      </c>
      <c r="B13" t="s">
        <v>2230</v>
      </c>
      <c r="C13" t="s">
        <v>2219</v>
      </c>
      <c r="D13" t="s">
        <v>412</v>
      </c>
      <c r="E13" t="s">
        <v>2392</v>
      </c>
    </row>
    <row r="14" spans="1:5" x14ac:dyDescent="0.25">
      <c r="A14" t="s">
        <v>195</v>
      </c>
      <c r="B14" t="s">
        <v>2231</v>
      </c>
      <c r="C14" t="s">
        <v>2219</v>
      </c>
      <c r="D14" t="s">
        <v>412</v>
      </c>
      <c r="E14" t="s">
        <v>2392</v>
      </c>
    </row>
    <row r="15" spans="1:5" x14ac:dyDescent="0.25">
      <c r="A15" t="s">
        <v>192</v>
      </c>
      <c r="B15" t="s">
        <v>2232</v>
      </c>
      <c r="C15" t="s">
        <v>2219</v>
      </c>
      <c r="D15" t="s">
        <v>412</v>
      </c>
      <c r="E15" t="s">
        <v>2392</v>
      </c>
    </row>
    <row r="16" spans="1:5" x14ac:dyDescent="0.25">
      <c r="A16" t="s">
        <v>197</v>
      </c>
      <c r="B16" t="s">
        <v>2233</v>
      </c>
      <c r="C16" t="s">
        <v>2219</v>
      </c>
      <c r="D16" t="s">
        <v>412</v>
      </c>
      <c r="E16" t="s">
        <v>2392</v>
      </c>
    </row>
    <row r="17" spans="1:8" x14ac:dyDescent="0.25">
      <c r="A17" t="s">
        <v>226</v>
      </c>
      <c r="B17" t="s">
        <v>2234</v>
      </c>
      <c r="C17" t="s">
        <v>2219</v>
      </c>
      <c r="D17" t="s">
        <v>412</v>
      </c>
      <c r="E17" t="s">
        <v>2392</v>
      </c>
    </row>
    <row r="18" spans="1:8" x14ac:dyDescent="0.25">
      <c r="A18" t="s">
        <v>200</v>
      </c>
      <c r="B18" t="s">
        <v>2235</v>
      </c>
      <c r="C18" t="s">
        <v>2219</v>
      </c>
      <c r="D18" t="s">
        <v>412</v>
      </c>
      <c r="E18" t="s">
        <v>2392</v>
      </c>
    </row>
    <row r="19" spans="1:8" x14ac:dyDescent="0.25">
      <c r="A19" t="s">
        <v>198</v>
      </c>
      <c r="B19" t="s">
        <v>2236</v>
      </c>
      <c r="C19" t="s">
        <v>2219</v>
      </c>
      <c r="D19" t="s">
        <v>412</v>
      </c>
      <c r="E19" t="s">
        <v>2392</v>
      </c>
    </row>
    <row r="20" spans="1:8" x14ac:dyDescent="0.25">
      <c r="A20" t="s">
        <v>224</v>
      </c>
      <c r="B20" t="s">
        <v>2237</v>
      </c>
      <c r="C20" t="s">
        <v>2238</v>
      </c>
      <c r="D20" t="s">
        <v>412</v>
      </c>
      <c r="E20" t="s">
        <v>2392</v>
      </c>
    </row>
    <row r="21" spans="1:8" x14ac:dyDescent="0.25">
      <c r="A21" t="s">
        <v>208</v>
      </c>
      <c r="B21" t="s">
        <v>2239</v>
      </c>
      <c r="C21" t="s">
        <v>2219</v>
      </c>
      <c r="D21" t="s">
        <v>412</v>
      </c>
      <c r="E21" t="s">
        <v>2392</v>
      </c>
    </row>
    <row r="22" spans="1:8" x14ac:dyDescent="0.25">
      <c r="A22" t="s">
        <v>209</v>
      </c>
      <c r="B22" t="s">
        <v>2240</v>
      </c>
      <c r="C22" t="s">
        <v>2219</v>
      </c>
      <c r="D22" t="s">
        <v>412</v>
      </c>
      <c r="E22" t="s">
        <v>2392</v>
      </c>
    </row>
    <row r="23" spans="1:8" x14ac:dyDescent="0.25">
      <c r="A23" t="s">
        <v>201</v>
      </c>
      <c r="B23" t="s">
        <v>2241</v>
      </c>
      <c r="C23" t="s">
        <v>2219</v>
      </c>
      <c r="D23" t="s">
        <v>412</v>
      </c>
      <c r="E23" t="s">
        <v>2392</v>
      </c>
    </row>
    <row r="24" spans="1:8" x14ac:dyDescent="0.25">
      <c r="A24" t="s">
        <v>771</v>
      </c>
      <c r="B24" t="s">
        <v>2242</v>
      </c>
      <c r="C24" t="s">
        <v>2219</v>
      </c>
      <c r="D24" t="s">
        <v>412</v>
      </c>
      <c r="E24" t="s">
        <v>2392</v>
      </c>
    </row>
    <row r="25" spans="1:8" x14ac:dyDescent="0.25">
      <c r="A25" t="s">
        <v>401</v>
      </c>
      <c r="B25" t="s">
        <v>2420</v>
      </c>
      <c r="C25" t="s">
        <v>2219</v>
      </c>
      <c r="D25" t="s">
        <v>412</v>
      </c>
      <c r="E25" t="s">
        <v>2392</v>
      </c>
      <c r="H25" t="s">
        <v>2421</v>
      </c>
    </row>
    <row r="26" spans="1:8" x14ac:dyDescent="0.25">
      <c r="A26" t="s">
        <v>207</v>
      </c>
      <c r="B26" t="s">
        <v>2419</v>
      </c>
      <c r="C26" t="s">
        <v>2219</v>
      </c>
      <c r="D26" t="s">
        <v>412</v>
      </c>
      <c r="E26" t="s">
        <v>2392</v>
      </c>
      <c r="H26" t="s">
        <v>2422</v>
      </c>
    </row>
    <row r="27" spans="1:8" x14ac:dyDescent="0.25">
      <c r="A27" t="s">
        <v>1137</v>
      </c>
      <c r="B27" t="s">
        <v>2243</v>
      </c>
      <c r="C27" t="s">
        <v>2219</v>
      </c>
      <c r="D27" t="s">
        <v>413</v>
      </c>
      <c r="E27" t="s">
        <v>2392</v>
      </c>
    </row>
    <row r="28" spans="1:8" x14ac:dyDescent="0.25">
      <c r="A28" t="s">
        <v>1138</v>
      </c>
      <c r="B28" t="s">
        <v>2243</v>
      </c>
      <c r="C28" t="s">
        <v>2219</v>
      </c>
      <c r="D28" t="s">
        <v>413</v>
      </c>
      <c r="E28" t="s">
        <v>2392</v>
      </c>
    </row>
    <row r="29" spans="1:8" x14ac:dyDescent="0.25">
      <c r="A29" t="s">
        <v>1139</v>
      </c>
      <c r="B29" t="s">
        <v>2243</v>
      </c>
      <c r="C29" t="s">
        <v>2219</v>
      </c>
      <c r="D29" t="s">
        <v>413</v>
      </c>
      <c r="E29" t="s">
        <v>2392</v>
      </c>
    </row>
    <row r="30" spans="1:8" x14ac:dyDescent="0.25">
      <c r="A30" t="s">
        <v>1140</v>
      </c>
      <c r="B30" t="s">
        <v>2243</v>
      </c>
      <c r="C30" t="s">
        <v>2219</v>
      </c>
      <c r="D30" t="s">
        <v>413</v>
      </c>
      <c r="E30" t="s">
        <v>2392</v>
      </c>
    </row>
    <row r="31" spans="1:8" x14ac:dyDescent="0.25">
      <c r="A31" t="s">
        <v>1141</v>
      </c>
      <c r="B31" t="s">
        <v>2244</v>
      </c>
      <c r="C31" t="s">
        <v>2219</v>
      </c>
      <c r="D31" t="s">
        <v>413</v>
      </c>
      <c r="E31" t="s">
        <v>2392</v>
      </c>
    </row>
    <row r="32" spans="1:8" x14ac:dyDescent="0.25">
      <c r="A32" t="s">
        <v>1142</v>
      </c>
      <c r="B32" t="s">
        <v>2244</v>
      </c>
      <c r="C32" t="s">
        <v>2219</v>
      </c>
      <c r="D32" t="s">
        <v>413</v>
      </c>
      <c r="E32" t="s">
        <v>2392</v>
      </c>
    </row>
    <row r="33" spans="1:5" x14ac:dyDescent="0.25">
      <c r="A33" t="s">
        <v>1143</v>
      </c>
      <c r="B33" t="s">
        <v>2244</v>
      </c>
      <c r="C33" t="s">
        <v>2219</v>
      </c>
      <c r="D33" t="s">
        <v>413</v>
      </c>
      <c r="E33" t="s">
        <v>2392</v>
      </c>
    </row>
    <row r="34" spans="1:5" x14ac:dyDescent="0.25">
      <c r="A34" t="s">
        <v>1144</v>
      </c>
      <c r="B34" t="s">
        <v>2244</v>
      </c>
      <c r="C34" t="s">
        <v>2219</v>
      </c>
      <c r="D34" t="s">
        <v>413</v>
      </c>
      <c r="E34" t="s">
        <v>2392</v>
      </c>
    </row>
    <row r="35" spans="1:5" x14ac:dyDescent="0.25">
      <c r="A35" t="s">
        <v>1145</v>
      </c>
      <c r="B35" t="s">
        <v>2245</v>
      </c>
      <c r="C35" t="s">
        <v>2219</v>
      </c>
      <c r="D35" t="s">
        <v>412</v>
      </c>
      <c r="E35" t="s">
        <v>2392</v>
      </c>
    </row>
    <row r="36" spans="1:5" x14ac:dyDescent="0.25">
      <c r="A36" t="s">
        <v>227</v>
      </c>
      <c r="B36" t="s">
        <v>2246</v>
      </c>
      <c r="C36" t="s">
        <v>2219</v>
      </c>
      <c r="D36" t="s">
        <v>412</v>
      </c>
      <c r="E36" t="s">
        <v>2392</v>
      </c>
    </row>
    <row r="37" spans="1:5" x14ac:dyDescent="0.25">
      <c r="A37" t="s">
        <v>199</v>
      </c>
      <c r="B37" t="s">
        <v>2247</v>
      </c>
      <c r="C37" t="s">
        <v>2219</v>
      </c>
      <c r="D37" t="s">
        <v>412</v>
      </c>
      <c r="E37" t="s">
        <v>2392</v>
      </c>
    </row>
    <row r="38" spans="1:5" x14ac:dyDescent="0.25">
      <c r="A38" t="s">
        <v>616</v>
      </c>
      <c r="B38" t="s">
        <v>2248</v>
      </c>
      <c r="C38" t="s">
        <v>2219</v>
      </c>
      <c r="D38" t="s">
        <v>413</v>
      </c>
      <c r="E38" t="s">
        <v>2392</v>
      </c>
    </row>
    <row r="39" spans="1:5" x14ac:dyDescent="0.25">
      <c r="A39" t="s">
        <v>617</v>
      </c>
      <c r="B39" t="s">
        <v>2248</v>
      </c>
      <c r="C39" t="s">
        <v>2219</v>
      </c>
      <c r="D39" t="s">
        <v>413</v>
      </c>
      <c r="E39" t="s">
        <v>2392</v>
      </c>
    </row>
    <row r="40" spans="1:5" x14ac:dyDescent="0.25">
      <c r="A40" t="s">
        <v>618</v>
      </c>
      <c r="B40" t="s">
        <v>2248</v>
      </c>
      <c r="C40" t="s">
        <v>2219</v>
      </c>
      <c r="D40" t="s">
        <v>413</v>
      </c>
      <c r="E40" t="s">
        <v>2392</v>
      </c>
    </row>
    <row r="41" spans="1:5" x14ac:dyDescent="0.25">
      <c r="A41" t="s">
        <v>619</v>
      </c>
      <c r="B41" t="s">
        <v>2248</v>
      </c>
      <c r="C41" t="s">
        <v>2219</v>
      </c>
      <c r="D41" t="s">
        <v>413</v>
      </c>
      <c r="E41" t="s">
        <v>2392</v>
      </c>
    </row>
    <row r="42" spans="1:5" x14ac:dyDescent="0.25">
      <c r="A42" t="s">
        <v>620</v>
      </c>
      <c r="B42" t="s">
        <v>2249</v>
      </c>
      <c r="C42" t="s">
        <v>2219</v>
      </c>
      <c r="D42" t="s">
        <v>413</v>
      </c>
      <c r="E42" t="s">
        <v>2392</v>
      </c>
    </row>
    <row r="43" spans="1:5" x14ac:dyDescent="0.25">
      <c r="A43" t="s">
        <v>621</v>
      </c>
      <c r="B43" t="s">
        <v>2249</v>
      </c>
      <c r="C43" t="s">
        <v>2219</v>
      </c>
      <c r="D43" t="s">
        <v>413</v>
      </c>
      <c r="E43" t="s">
        <v>2392</v>
      </c>
    </row>
    <row r="44" spans="1:5" x14ac:dyDescent="0.25">
      <c r="A44" t="s">
        <v>622</v>
      </c>
      <c r="B44" t="s">
        <v>2249</v>
      </c>
      <c r="C44" t="s">
        <v>2219</v>
      </c>
      <c r="D44" t="s">
        <v>413</v>
      </c>
      <c r="E44" t="s">
        <v>2392</v>
      </c>
    </row>
    <row r="45" spans="1:5" x14ac:dyDescent="0.25">
      <c r="A45" t="s">
        <v>623</v>
      </c>
      <c r="B45" t="s">
        <v>2249</v>
      </c>
      <c r="C45" t="s">
        <v>2219</v>
      </c>
      <c r="D45" t="s">
        <v>413</v>
      </c>
      <c r="E45" t="s">
        <v>2392</v>
      </c>
    </row>
    <row r="46" spans="1:5" x14ac:dyDescent="0.25">
      <c r="A46" t="s">
        <v>624</v>
      </c>
      <c r="B46" t="s">
        <v>2250</v>
      </c>
      <c r="C46" t="s">
        <v>2219</v>
      </c>
      <c r="D46" t="s">
        <v>413</v>
      </c>
      <c r="E46" t="s">
        <v>2392</v>
      </c>
    </row>
    <row r="47" spans="1:5" x14ac:dyDescent="0.25">
      <c r="A47" t="s">
        <v>625</v>
      </c>
      <c r="B47" t="s">
        <v>2250</v>
      </c>
      <c r="C47" t="s">
        <v>2219</v>
      </c>
      <c r="D47" t="s">
        <v>413</v>
      </c>
      <c r="E47" t="s">
        <v>2392</v>
      </c>
    </row>
    <row r="48" spans="1:5" x14ac:dyDescent="0.25">
      <c r="A48" t="s">
        <v>626</v>
      </c>
      <c r="B48" t="s">
        <v>2250</v>
      </c>
      <c r="C48" t="s">
        <v>2219</v>
      </c>
      <c r="D48" t="s">
        <v>413</v>
      </c>
      <c r="E48" t="s">
        <v>2392</v>
      </c>
    </row>
    <row r="49" spans="1:5" x14ac:dyDescent="0.25">
      <c r="A49" t="s">
        <v>627</v>
      </c>
      <c r="B49" t="s">
        <v>2250</v>
      </c>
      <c r="C49" t="s">
        <v>2219</v>
      </c>
      <c r="D49" t="s">
        <v>413</v>
      </c>
      <c r="E49" t="s">
        <v>2392</v>
      </c>
    </row>
    <row r="50" spans="1:5" x14ac:dyDescent="0.25">
      <c r="A50" t="s">
        <v>628</v>
      </c>
      <c r="B50" t="s">
        <v>2251</v>
      </c>
      <c r="C50" t="s">
        <v>2219</v>
      </c>
      <c r="D50" t="s">
        <v>413</v>
      </c>
      <c r="E50" t="s">
        <v>2392</v>
      </c>
    </row>
    <row r="51" spans="1:5" x14ac:dyDescent="0.25">
      <c r="A51" t="s">
        <v>629</v>
      </c>
      <c r="B51" t="s">
        <v>2251</v>
      </c>
      <c r="C51" t="s">
        <v>2219</v>
      </c>
      <c r="D51" t="s">
        <v>413</v>
      </c>
      <c r="E51" t="s">
        <v>2392</v>
      </c>
    </row>
    <row r="52" spans="1:5" x14ac:dyDescent="0.25">
      <c r="A52" t="s">
        <v>630</v>
      </c>
      <c r="B52" t="s">
        <v>2251</v>
      </c>
      <c r="C52" t="s">
        <v>2219</v>
      </c>
      <c r="D52" t="s">
        <v>413</v>
      </c>
      <c r="E52" t="s">
        <v>2392</v>
      </c>
    </row>
    <row r="53" spans="1:5" x14ac:dyDescent="0.25">
      <c r="A53" t="s">
        <v>631</v>
      </c>
      <c r="B53" t="s">
        <v>2251</v>
      </c>
      <c r="C53" t="s">
        <v>2219</v>
      </c>
      <c r="D53" t="s">
        <v>413</v>
      </c>
      <c r="E53" t="s">
        <v>2392</v>
      </c>
    </row>
    <row r="54" spans="1:5" x14ac:dyDescent="0.25">
      <c r="A54" t="s">
        <v>206</v>
      </c>
      <c r="B54" t="s">
        <v>2252</v>
      </c>
      <c r="C54" t="s">
        <v>2219</v>
      </c>
      <c r="D54" t="s">
        <v>412</v>
      </c>
      <c r="E54" t="s">
        <v>2392</v>
      </c>
    </row>
    <row r="55" spans="1:5" x14ac:dyDescent="0.25">
      <c r="A55" t="s">
        <v>202</v>
      </c>
      <c r="B55" t="s">
        <v>2253</v>
      </c>
      <c r="C55" t="s">
        <v>2219</v>
      </c>
      <c r="D55" t="s">
        <v>413</v>
      </c>
      <c r="E55" t="s">
        <v>2392</v>
      </c>
    </row>
    <row r="56" spans="1:5" x14ac:dyDescent="0.25">
      <c r="A56" t="s">
        <v>203</v>
      </c>
      <c r="B56" t="s">
        <v>2253</v>
      </c>
      <c r="C56" t="s">
        <v>2219</v>
      </c>
      <c r="D56" t="s">
        <v>413</v>
      </c>
      <c r="E56" t="s">
        <v>2392</v>
      </c>
    </row>
    <row r="57" spans="1:5" x14ac:dyDescent="0.25">
      <c r="A57" t="s">
        <v>204</v>
      </c>
      <c r="B57" t="s">
        <v>2253</v>
      </c>
      <c r="C57" t="s">
        <v>2219</v>
      </c>
      <c r="D57" t="s">
        <v>413</v>
      </c>
      <c r="E57" t="s">
        <v>2392</v>
      </c>
    </row>
    <row r="58" spans="1:5" x14ac:dyDescent="0.25">
      <c r="A58" t="s">
        <v>205</v>
      </c>
      <c r="B58" t="s">
        <v>2253</v>
      </c>
      <c r="C58" t="s">
        <v>2219</v>
      </c>
      <c r="D58" t="s">
        <v>413</v>
      </c>
      <c r="E58" t="s">
        <v>2392</v>
      </c>
    </row>
    <row r="59" spans="1:5" x14ac:dyDescent="0.25">
      <c r="A59" t="s">
        <v>402</v>
      </c>
      <c r="B59" t="s">
        <v>2254</v>
      </c>
      <c r="C59" t="s">
        <v>2219</v>
      </c>
      <c r="D59" t="s">
        <v>412</v>
      </c>
      <c r="E59" t="s">
        <v>2392</v>
      </c>
    </row>
    <row r="60" spans="1:5" x14ac:dyDescent="0.25">
      <c r="A60" t="s">
        <v>396</v>
      </c>
      <c r="B60" t="s">
        <v>2255</v>
      </c>
      <c r="C60" t="s">
        <v>2219</v>
      </c>
      <c r="D60" t="s">
        <v>412</v>
      </c>
      <c r="E60" t="s">
        <v>2392</v>
      </c>
    </row>
    <row r="61" spans="1:5" x14ac:dyDescent="0.25">
      <c r="A61" t="s">
        <v>217</v>
      </c>
      <c r="B61" t="s">
        <v>2256</v>
      </c>
      <c r="C61" t="s">
        <v>2219</v>
      </c>
      <c r="D61" t="s">
        <v>412</v>
      </c>
      <c r="E61" t="s">
        <v>2392</v>
      </c>
    </row>
    <row r="62" spans="1:5" x14ac:dyDescent="0.25">
      <c r="A62" t="s">
        <v>1171</v>
      </c>
      <c r="B62" t="s">
        <v>2257</v>
      </c>
      <c r="C62" t="s">
        <v>2219</v>
      </c>
      <c r="D62" t="s">
        <v>493</v>
      </c>
      <c r="E62" t="s">
        <v>2392</v>
      </c>
    </row>
    <row r="63" spans="1:5" x14ac:dyDescent="0.25">
      <c r="A63" t="s">
        <v>1172</v>
      </c>
      <c r="B63" t="s">
        <v>2257</v>
      </c>
      <c r="C63" t="s">
        <v>2219</v>
      </c>
      <c r="D63" t="s">
        <v>493</v>
      </c>
      <c r="E63" t="s">
        <v>2392</v>
      </c>
    </row>
    <row r="64" spans="1:5" x14ac:dyDescent="0.25">
      <c r="A64" t="s">
        <v>214</v>
      </c>
      <c r="B64" t="s">
        <v>2258</v>
      </c>
      <c r="C64" t="s">
        <v>2219</v>
      </c>
      <c r="D64" t="s">
        <v>413</v>
      </c>
      <c r="E64" t="s">
        <v>2392</v>
      </c>
    </row>
    <row r="65" spans="1:5" x14ac:dyDescent="0.25">
      <c r="A65" t="s">
        <v>215</v>
      </c>
      <c r="B65" t="s">
        <v>2258</v>
      </c>
      <c r="C65" t="s">
        <v>2219</v>
      </c>
      <c r="D65" t="s">
        <v>413</v>
      </c>
      <c r="E65" t="s">
        <v>2392</v>
      </c>
    </row>
    <row r="66" spans="1:5" x14ac:dyDescent="0.25">
      <c r="A66" t="s">
        <v>216</v>
      </c>
      <c r="B66" t="s">
        <v>2258</v>
      </c>
      <c r="C66" t="s">
        <v>2219</v>
      </c>
      <c r="D66" t="s">
        <v>413</v>
      </c>
      <c r="E66" t="s">
        <v>2392</v>
      </c>
    </row>
    <row r="67" spans="1:5" x14ac:dyDescent="0.25">
      <c r="A67" t="s">
        <v>400</v>
      </c>
      <c r="B67" t="s">
        <v>2258</v>
      </c>
      <c r="C67" t="s">
        <v>2219</v>
      </c>
      <c r="D67" t="s">
        <v>413</v>
      </c>
      <c r="E67" t="s">
        <v>2392</v>
      </c>
    </row>
    <row r="68" spans="1:5" x14ac:dyDescent="0.25">
      <c r="A68" t="s">
        <v>2259</v>
      </c>
      <c r="B68" t="s">
        <v>2260</v>
      </c>
      <c r="C68" t="s">
        <v>2219</v>
      </c>
      <c r="D68" t="s">
        <v>412</v>
      </c>
      <c r="E68" t="s">
        <v>2392</v>
      </c>
    </row>
    <row r="69" spans="1:5" x14ac:dyDescent="0.25">
      <c r="A69" t="s">
        <v>494</v>
      </c>
      <c r="B69" t="s">
        <v>2261</v>
      </c>
      <c r="C69" t="s">
        <v>2219</v>
      </c>
      <c r="D69" t="s">
        <v>412</v>
      </c>
      <c r="E69" t="s">
        <v>2392</v>
      </c>
    </row>
    <row r="70" spans="1:5" x14ac:dyDescent="0.25">
      <c r="A70" t="s">
        <v>2262</v>
      </c>
      <c r="B70" t="s">
        <v>2263</v>
      </c>
      <c r="C70" t="s">
        <v>2219</v>
      </c>
      <c r="D70" t="s">
        <v>412</v>
      </c>
      <c r="E70" t="s">
        <v>2392</v>
      </c>
    </row>
    <row r="71" spans="1:5" x14ac:dyDescent="0.25">
      <c r="A71" t="s">
        <v>983</v>
      </c>
      <c r="B71" t="s">
        <v>2264</v>
      </c>
      <c r="C71" t="s">
        <v>2219</v>
      </c>
      <c r="D71" t="s">
        <v>412</v>
      </c>
      <c r="E71" t="s">
        <v>2393</v>
      </c>
    </row>
    <row r="72" spans="1:5" x14ac:dyDescent="0.25">
      <c r="A72" t="s">
        <v>1146</v>
      </c>
      <c r="B72" t="s">
        <v>2265</v>
      </c>
      <c r="C72" t="s">
        <v>2219</v>
      </c>
      <c r="D72" t="s">
        <v>493</v>
      </c>
      <c r="E72" t="s">
        <v>2392</v>
      </c>
    </row>
    <row r="73" spans="1:5" x14ac:dyDescent="0.25">
      <c r="A73" t="s">
        <v>1146</v>
      </c>
      <c r="B73" t="s">
        <v>2265</v>
      </c>
      <c r="C73" t="s">
        <v>2219</v>
      </c>
      <c r="D73" t="s">
        <v>493</v>
      </c>
      <c r="E73" t="s">
        <v>2392</v>
      </c>
    </row>
    <row r="74" spans="1:5" x14ac:dyDescent="0.25">
      <c r="A74" t="s">
        <v>1147</v>
      </c>
      <c r="B74" t="s">
        <v>2266</v>
      </c>
      <c r="C74" t="s">
        <v>2219</v>
      </c>
      <c r="D74" t="s">
        <v>413</v>
      </c>
      <c r="E74" t="s">
        <v>2392</v>
      </c>
    </row>
    <row r="75" spans="1:5" x14ac:dyDescent="0.25">
      <c r="A75" t="s">
        <v>1148</v>
      </c>
      <c r="B75" t="s">
        <v>2266</v>
      </c>
      <c r="C75" t="s">
        <v>2219</v>
      </c>
      <c r="D75" t="s">
        <v>413</v>
      </c>
      <c r="E75" t="s">
        <v>2392</v>
      </c>
    </row>
    <row r="76" spans="1:5" x14ac:dyDescent="0.25">
      <c r="A76" t="s">
        <v>1149</v>
      </c>
      <c r="B76" t="s">
        <v>2266</v>
      </c>
      <c r="C76" t="s">
        <v>2219</v>
      </c>
      <c r="D76" t="s">
        <v>413</v>
      </c>
      <c r="E76" t="s">
        <v>2392</v>
      </c>
    </row>
    <row r="77" spans="1:5" x14ac:dyDescent="0.25">
      <c r="A77" t="s">
        <v>1150</v>
      </c>
      <c r="B77" t="s">
        <v>2266</v>
      </c>
      <c r="C77" t="s">
        <v>2219</v>
      </c>
      <c r="D77" t="s">
        <v>413</v>
      </c>
      <c r="E77" t="s">
        <v>2392</v>
      </c>
    </row>
    <row r="78" spans="1:5" x14ac:dyDescent="0.25">
      <c r="A78" t="s">
        <v>604</v>
      </c>
      <c r="B78" t="s">
        <v>2267</v>
      </c>
      <c r="C78" t="s">
        <v>2219</v>
      </c>
      <c r="D78" t="s">
        <v>412</v>
      </c>
      <c r="E78" t="s">
        <v>2392</v>
      </c>
    </row>
    <row r="79" spans="1:5" x14ac:dyDescent="0.25">
      <c r="A79" t="s">
        <v>605</v>
      </c>
      <c r="B79" t="s">
        <v>2268</v>
      </c>
      <c r="C79" t="s">
        <v>2219</v>
      </c>
      <c r="D79" t="s">
        <v>412</v>
      </c>
      <c r="E79" t="s">
        <v>2392</v>
      </c>
    </row>
    <row r="80" spans="1:5" x14ac:dyDescent="0.25">
      <c r="A80" t="s">
        <v>606</v>
      </c>
      <c r="B80" t="s">
        <v>2269</v>
      </c>
      <c r="C80" t="s">
        <v>2219</v>
      </c>
      <c r="D80" t="s">
        <v>412</v>
      </c>
      <c r="E80" t="s">
        <v>2392</v>
      </c>
    </row>
    <row r="81" spans="1:5" x14ac:dyDescent="0.25">
      <c r="A81" t="s">
        <v>607</v>
      </c>
      <c r="B81" t="s">
        <v>2270</v>
      </c>
      <c r="C81" t="s">
        <v>2219</v>
      </c>
      <c r="D81" t="s">
        <v>412</v>
      </c>
      <c r="E81" t="s">
        <v>2392</v>
      </c>
    </row>
    <row r="82" spans="1:5" x14ac:dyDescent="0.25">
      <c r="A82" t="s">
        <v>609</v>
      </c>
      <c r="B82" t="s">
        <v>2271</v>
      </c>
      <c r="C82" t="s">
        <v>2272</v>
      </c>
      <c r="D82" t="s">
        <v>412</v>
      </c>
      <c r="E82" t="s">
        <v>2392</v>
      </c>
    </row>
    <row r="83" spans="1:5" x14ac:dyDescent="0.25">
      <c r="A83" t="s">
        <v>608</v>
      </c>
      <c r="B83" t="s">
        <v>2271</v>
      </c>
      <c r="C83" t="s">
        <v>2272</v>
      </c>
      <c r="D83" t="s">
        <v>412</v>
      </c>
      <c r="E83" t="s">
        <v>2392</v>
      </c>
    </row>
    <row r="84" spans="1:5" x14ac:dyDescent="0.25">
      <c r="A84" t="s">
        <v>212</v>
      </c>
      <c r="B84" t="s">
        <v>2273</v>
      </c>
      <c r="C84" t="s">
        <v>2219</v>
      </c>
      <c r="D84" t="s">
        <v>412</v>
      </c>
      <c r="E84" t="s">
        <v>2392</v>
      </c>
    </row>
    <row r="85" spans="1:5" x14ac:dyDescent="0.25">
      <c r="A85" t="s">
        <v>594</v>
      </c>
      <c r="B85" t="s">
        <v>2274</v>
      </c>
      <c r="C85" t="s">
        <v>2219</v>
      </c>
      <c r="D85" t="s">
        <v>2394</v>
      </c>
      <c r="E85" t="s">
        <v>2392</v>
      </c>
    </row>
    <row r="86" spans="1:5" x14ac:dyDescent="0.25">
      <c r="A86" t="s">
        <v>595</v>
      </c>
      <c r="B86" t="s">
        <v>2275</v>
      </c>
      <c r="C86" t="s">
        <v>2219</v>
      </c>
      <c r="D86" t="s">
        <v>2394</v>
      </c>
      <c r="E86" t="s">
        <v>2392</v>
      </c>
    </row>
    <row r="87" spans="1:5" x14ac:dyDescent="0.25">
      <c r="A87" t="s">
        <v>596</v>
      </c>
      <c r="B87" t="s">
        <v>2276</v>
      </c>
      <c r="C87" t="s">
        <v>2219</v>
      </c>
      <c r="D87" t="s">
        <v>2394</v>
      </c>
      <c r="E87" t="s">
        <v>2392</v>
      </c>
    </row>
    <row r="88" spans="1:5" x14ac:dyDescent="0.25">
      <c r="A88" t="s">
        <v>597</v>
      </c>
      <c r="B88" t="s">
        <v>2277</v>
      </c>
      <c r="C88" t="s">
        <v>2219</v>
      </c>
      <c r="D88" t="s">
        <v>2394</v>
      </c>
      <c r="E88" t="s">
        <v>2392</v>
      </c>
    </row>
    <row r="89" spans="1:5" x14ac:dyDescent="0.25">
      <c r="A89" t="s">
        <v>598</v>
      </c>
      <c r="B89" t="s">
        <v>2278</v>
      </c>
      <c r="C89" t="s">
        <v>2219</v>
      </c>
      <c r="D89" t="s">
        <v>2394</v>
      </c>
      <c r="E89" t="s">
        <v>2392</v>
      </c>
    </row>
    <row r="90" spans="1:5" x14ac:dyDescent="0.25">
      <c r="A90" t="s">
        <v>599</v>
      </c>
      <c r="B90" t="s">
        <v>2279</v>
      </c>
      <c r="C90" t="s">
        <v>2219</v>
      </c>
      <c r="D90" t="s">
        <v>2394</v>
      </c>
      <c r="E90" t="s">
        <v>2392</v>
      </c>
    </row>
    <row r="91" spans="1:5" x14ac:dyDescent="0.25">
      <c r="A91" t="s">
        <v>600</v>
      </c>
      <c r="B91" t="s">
        <v>2280</v>
      </c>
      <c r="C91" t="s">
        <v>2219</v>
      </c>
      <c r="D91" t="s">
        <v>2394</v>
      </c>
      <c r="E91" t="s">
        <v>2392</v>
      </c>
    </row>
    <row r="92" spans="1:5" x14ac:dyDescent="0.25">
      <c r="A92" t="s">
        <v>601</v>
      </c>
      <c r="B92" t="s">
        <v>2281</v>
      </c>
      <c r="C92" t="s">
        <v>2219</v>
      </c>
      <c r="D92" t="s">
        <v>2394</v>
      </c>
      <c r="E92" t="s">
        <v>2392</v>
      </c>
    </row>
    <row r="93" spans="1:5" x14ac:dyDescent="0.25">
      <c r="A93" t="s">
        <v>602</v>
      </c>
      <c r="B93" t="s">
        <v>2282</v>
      </c>
      <c r="C93" t="s">
        <v>2219</v>
      </c>
      <c r="D93" t="s">
        <v>2394</v>
      </c>
      <c r="E93" t="s">
        <v>2392</v>
      </c>
    </row>
    <row r="94" spans="1:5" x14ac:dyDescent="0.25">
      <c r="A94" t="s">
        <v>414</v>
      </c>
      <c r="B94" t="s">
        <v>2283</v>
      </c>
      <c r="C94" t="s">
        <v>2219</v>
      </c>
      <c r="D94" t="s">
        <v>412</v>
      </c>
      <c r="E94" t="s">
        <v>2392</v>
      </c>
    </row>
    <row r="95" spans="1:5" x14ac:dyDescent="0.25">
      <c r="A95" t="s">
        <v>415</v>
      </c>
      <c r="B95" t="s">
        <v>2284</v>
      </c>
      <c r="C95" t="s">
        <v>2219</v>
      </c>
      <c r="D95" t="s">
        <v>412</v>
      </c>
      <c r="E95" t="s">
        <v>2392</v>
      </c>
    </row>
    <row r="96" spans="1:5" x14ac:dyDescent="0.25">
      <c r="A96" t="s">
        <v>416</v>
      </c>
      <c r="B96" t="s">
        <v>2285</v>
      </c>
      <c r="C96" t="s">
        <v>2219</v>
      </c>
      <c r="D96" t="s">
        <v>412</v>
      </c>
      <c r="E96" t="s">
        <v>2392</v>
      </c>
    </row>
    <row r="97" spans="1:5" x14ac:dyDescent="0.25">
      <c r="A97" t="s">
        <v>417</v>
      </c>
      <c r="B97" t="s">
        <v>2286</v>
      </c>
      <c r="C97" t="s">
        <v>2219</v>
      </c>
      <c r="D97" t="s">
        <v>412</v>
      </c>
      <c r="E97" t="s">
        <v>2392</v>
      </c>
    </row>
    <row r="98" spans="1:5" x14ac:dyDescent="0.25">
      <c r="A98" t="s">
        <v>210</v>
      </c>
      <c r="B98" t="s">
        <v>2287</v>
      </c>
      <c r="C98" t="s">
        <v>2219</v>
      </c>
      <c r="D98" t="s">
        <v>2395</v>
      </c>
      <c r="E98" t="s">
        <v>2392</v>
      </c>
    </row>
    <row r="99" spans="1:5" x14ac:dyDescent="0.25">
      <c r="A99" t="s">
        <v>211</v>
      </c>
      <c r="B99" t="s">
        <v>2287</v>
      </c>
      <c r="C99" t="s">
        <v>2219</v>
      </c>
      <c r="D99" t="s">
        <v>2395</v>
      </c>
      <c r="E99" t="s">
        <v>2392</v>
      </c>
    </row>
    <row r="100" spans="1:5" x14ac:dyDescent="0.25">
      <c r="A100" t="s">
        <v>996</v>
      </c>
      <c r="B100" t="s">
        <v>2288</v>
      </c>
      <c r="C100" t="s">
        <v>2219</v>
      </c>
      <c r="D100" t="s">
        <v>412</v>
      </c>
      <c r="E100" t="s">
        <v>2392</v>
      </c>
    </row>
    <row r="101" spans="1:5" x14ac:dyDescent="0.25">
      <c r="A101" t="s">
        <v>997</v>
      </c>
      <c r="B101" t="s">
        <v>2289</v>
      </c>
      <c r="C101" t="s">
        <v>2219</v>
      </c>
      <c r="D101" t="s">
        <v>412</v>
      </c>
      <c r="E101" t="s">
        <v>2392</v>
      </c>
    </row>
    <row r="102" spans="1:5" x14ac:dyDescent="0.25">
      <c r="A102" t="s">
        <v>174</v>
      </c>
      <c r="B102" t="s">
        <v>2290</v>
      </c>
      <c r="C102" t="s">
        <v>2219</v>
      </c>
      <c r="D102" t="s">
        <v>493</v>
      </c>
      <c r="E102" t="s">
        <v>2392</v>
      </c>
    </row>
    <row r="103" spans="1:5" x14ac:dyDescent="0.25">
      <c r="A103" t="s">
        <v>172</v>
      </c>
      <c r="B103" t="s">
        <v>2290</v>
      </c>
      <c r="C103" t="s">
        <v>2219</v>
      </c>
      <c r="D103" t="s">
        <v>493</v>
      </c>
      <c r="E103" t="s">
        <v>2392</v>
      </c>
    </row>
    <row r="104" spans="1:5" x14ac:dyDescent="0.25">
      <c r="A104" t="s">
        <v>173</v>
      </c>
      <c r="B104" t="s">
        <v>2291</v>
      </c>
      <c r="C104" t="s">
        <v>2219</v>
      </c>
      <c r="D104" t="s">
        <v>493</v>
      </c>
      <c r="E104" t="s">
        <v>2392</v>
      </c>
    </row>
    <row r="105" spans="1:5" x14ac:dyDescent="0.25">
      <c r="A105" t="s">
        <v>175</v>
      </c>
      <c r="B105" t="s">
        <v>2291</v>
      </c>
      <c r="C105" t="s">
        <v>2219</v>
      </c>
      <c r="D105" t="s">
        <v>493</v>
      </c>
      <c r="E105" t="s">
        <v>2392</v>
      </c>
    </row>
    <row r="106" spans="1:5" x14ac:dyDescent="0.25">
      <c r="A106" t="s">
        <v>180</v>
      </c>
      <c r="B106" t="s">
        <v>2292</v>
      </c>
      <c r="C106" t="s">
        <v>2219</v>
      </c>
      <c r="D106" t="s">
        <v>493</v>
      </c>
      <c r="E106" t="s">
        <v>2392</v>
      </c>
    </row>
    <row r="107" spans="1:5" x14ac:dyDescent="0.25">
      <c r="A107" t="s">
        <v>1191</v>
      </c>
      <c r="B107" t="s">
        <v>2292</v>
      </c>
      <c r="C107" t="s">
        <v>2219</v>
      </c>
      <c r="D107" t="s">
        <v>493</v>
      </c>
      <c r="E107" t="s">
        <v>2392</v>
      </c>
    </row>
    <row r="108" spans="1:5" x14ac:dyDescent="0.25">
      <c r="A108" t="s">
        <v>182</v>
      </c>
      <c r="B108" t="s">
        <v>2293</v>
      </c>
      <c r="C108" t="s">
        <v>2219</v>
      </c>
      <c r="D108" t="s">
        <v>493</v>
      </c>
      <c r="E108" t="s">
        <v>2392</v>
      </c>
    </row>
    <row r="109" spans="1:5" x14ac:dyDescent="0.25">
      <c r="A109" t="s">
        <v>181</v>
      </c>
      <c r="B109" t="s">
        <v>2293</v>
      </c>
      <c r="C109" t="s">
        <v>2219</v>
      </c>
      <c r="D109" t="s">
        <v>493</v>
      </c>
      <c r="E109" t="s">
        <v>2392</v>
      </c>
    </row>
    <row r="110" spans="1:5" x14ac:dyDescent="0.25">
      <c r="A110" t="s">
        <v>183</v>
      </c>
      <c r="B110" t="s">
        <v>2294</v>
      </c>
      <c r="C110" t="s">
        <v>2219</v>
      </c>
      <c r="D110" t="s">
        <v>493</v>
      </c>
      <c r="E110" t="s">
        <v>2392</v>
      </c>
    </row>
    <row r="111" spans="1:5" x14ac:dyDescent="0.25">
      <c r="A111" t="s">
        <v>183</v>
      </c>
      <c r="B111" t="s">
        <v>2294</v>
      </c>
      <c r="C111" t="s">
        <v>2219</v>
      </c>
      <c r="D111" t="s">
        <v>493</v>
      </c>
      <c r="E111" t="s">
        <v>2392</v>
      </c>
    </row>
    <row r="112" spans="1:5" x14ac:dyDescent="0.25">
      <c r="A112" t="s">
        <v>583</v>
      </c>
      <c r="B112" t="s">
        <v>2295</v>
      </c>
      <c r="C112" t="s">
        <v>2219</v>
      </c>
      <c r="D112" t="s">
        <v>412</v>
      </c>
      <c r="E112" t="s">
        <v>2392</v>
      </c>
    </row>
    <row r="113" spans="1:5" x14ac:dyDescent="0.25">
      <c r="A113" t="s">
        <v>582</v>
      </c>
      <c r="B113" t="s">
        <v>2296</v>
      </c>
      <c r="C113" t="s">
        <v>2219</v>
      </c>
      <c r="D113" t="s">
        <v>412</v>
      </c>
      <c r="E113" t="s">
        <v>2392</v>
      </c>
    </row>
    <row r="114" spans="1:5" x14ac:dyDescent="0.25">
      <c r="A114" t="s">
        <v>160</v>
      </c>
      <c r="B114" t="s">
        <v>2297</v>
      </c>
      <c r="C114" t="s">
        <v>2238</v>
      </c>
      <c r="D114" t="s">
        <v>412</v>
      </c>
      <c r="E114" t="s">
        <v>2392</v>
      </c>
    </row>
    <row r="115" spans="1:5" x14ac:dyDescent="0.25">
      <c r="A115" t="s">
        <v>161</v>
      </c>
      <c r="B115" t="s">
        <v>2298</v>
      </c>
      <c r="C115" t="s">
        <v>2219</v>
      </c>
      <c r="D115" t="s">
        <v>412</v>
      </c>
      <c r="E115" t="s">
        <v>2392</v>
      </c>
    </row>
    <row r="116" spans="1:5" x14ac:dyDescent="0.25">
      <c r="A116" t="s">
        <v>225</v>
      </c>
      <c r="B116" t="s">
        <v>2299</v>
      </c>
      <c r="C116" t="s">
        <v>2219</v>
      </c>
      <c r="D116" t="s">
        <v>412</v>
      </c>
      <c r="E116" t="s">
        <v>2392</v>
      </c>
    </row>
    <row r="117" spans="1:5" x14ac:dyDescent="0.25">
      <c r="A117" t="s">
        <v>156</v>
      </c>
      <c r="B117" t="s">
        <v>2300</v>
      </c>
      <c r="C117" t="s">
        <v>2238</v>
      </c>
      <c r="D117" t="s">
        <v>493</v>
      </c>
      <c r="E117" t="s">
        <v>2392</v>
      </c>
    </row>
    <row r="118" spans="1:5" x14ac:dyDescent="0.25">
      <c r="A118" t="s">
        <v>157</v>
      </c>
      <c r="B118" t="s">
        <v>2300</v>
      </c>
      <c r="C118" t="s">
        <v>2238</v>
      </c>
      <c r="D118" t="s">
        <v>493</v>
      </c>
      <c r="E118" t="s">
        <v>2392</v>
      </c>
    </row>
    <row r="119" spans="1:5" x14ac:dyDescent="0.25">
      <c r="A119" t="s">
        <v>158</v>
      </c>
      <c r="B119" t="s">
        <v>2301</v>
      </c>
      <c r="C119" t="s">
        <v>2238</v>
      </c>
      <c r="D119" t="s">
        <v>493</v>
      </c>
      <c r="E119" t="s">
        <v>2392</v>
      </c>
    </row>
    <row r="120" spans="1:5" x14ac:dyDescent="0.25">
      <c r="A120" t="s">
        <v>159</v>
      </c>
      <c r="B120" t="s">
        <v>2301</v>
      </c>
      <c r="C120" t="s">
        <v>2238</v>
      </c>
      <c r="D120" t="s">
        <v>493</v>
      </c>
      <c r="E120" t="s">
        <v>2392</v>
      </c>
    </row>
    <row r="121" spans="1:5" x14ac:dyDescent="0.25">
      <c r="A121" t="s">
        <v>506</v>
      </c>
      <c r="B121" t="s">
        <v>2302</v>
      </c>
      <c r="C121" t="s">
        <v>2219</v>
      </c>
      <c r="D121" t="s">
        <v>412</v>
      </c>
      <c r="E121" t="s">
        <v>2392</v>
      </c>
    </row>
    <row r="122" spans="1:5" x14ac:dyDescent="0.25">
      <c r="A122" t="s">
        <v>507</v>
      </c>
      <c r="B122" t="s">
        <v>2303</v>
      </c>
      <c r="C122" t="s">
        <v>2219</v>
      </c>
      <c r="D122" t="s">
        <v>412</v>
      </c>
      <c r="E122" t="s">
        <v>2392</v>
      </c>
    </row>
    <row r="123" spans="1:5" x14ac:dyDescent="0.25">
      <c r="A123" t="s">
        <v>2304</v>
      </c>
      <c r="B123" t="s">
        <v>2305</v>
      </c>
      <c r="C123" t="s">
        <v>2272</v>
      </c>
      <c r="D123" t="s">
        <v>412</v>
      </c>
      <c r="E123" t="s">
        <v>2392</v>
      </c>
    </row>
    <row r="124" spans="1:5" x14ac:dyDescent="0.25">
      <c r="A124" t="s">
        <v>2306</v>
      </c>
      <c r="B124" t="s">
        <v>2305</v>
      </c>
      <c r="C124" t="s">
        <v>2272</v>
      </c>
      <c r="D124" t="s">
        <v>412</v>
      </c>
      <c r="E124" t="s">
        <v>2392</v>
      </c>
    </row>
    <row r="125" spans="1:5" x14ac:dyDescent="0.25">
      <c r="A125" t="s">
        <v>508</v>
      </c>
      <c r="B125" t="s">
        <v>2307</v>
      </c>
      <c r="C125" t="s">
        <v>2219</v>
      </c>
      <c r="D125" t="s">
        <v>412</v>
      </c>
      <c r="E125" t="s">
        <v>2392</v>
      </c>
    </row>
    <row r="126" spans="1:5" x14ac:dyDescent="0.25">
      <c r="A126" t="s">
        <v>1099</v>
      </c>
      <c r="B126" t="s">
        <v>2308</v>
      </c>
      <c r="C126" t="s">
        <v>2219</v>
      </c>
      <c r="D126" t="s">
        <v>493</v>
      </c>
      <c r="E126" t="s">
        <v>2392</v>
      </c>
    </row>
    <row r="127" spans="1:5" x14ac:dyDescent="0.25">
      <c r="A127" t="s">
        <v>1100</v>
      </c>
      <c r="B127" t="s">
        <v>2308</v>
      </c>
      <c r="C127" t="s">
        <v>2219</v>
      </c>
      <c r="D127" t="s">
        <v>493</v>
      </c>
      <c r="E127" t="s">
        <v>2392</v>
      </c>
    </row>
    <row r="128" spans="1:5" x14ac:dyDescent="0.25">
      <c r="A128" t="s">
        <v>1101</v>
      </c>
      <c r="B128" t="s">
        <v>2309</v>
      </c>
      <c r="C128" t="s">
        <v>2219</v>
      </c>
      <c r="D128" t="s">
        <v>493</v>
      </c>
      <c r="E128" t="s">
        <v>2392</v>
      </c>
    </row>
    <row r="129" spans="1:5" x14ac:dyDescent="0.25">
      <c r="A129" t="s">
        <v>1102</v>
      </c>
      <c r="B129" t="s">
        <v>2309</v>
      </c>
      <c r="C129" t="s">
        <v>2219</v>
      </c>
      <c r="D129" t="s">
        <v>493</v>
      </c>
      <c r="E129" t="s">
        <v>2392</v>
      </c>
    </row>
    <row r="130" spans="1:5" x14ac:dyDescent="0.25">
      <c r="A130" t="s">
        <v>1151</v>
      </c>
      <c r="B130" t="s">
        <v>2310</v>
      </c>
      <c r="C130" t="s">
        <v>2219</v>
      </c>
      <c r="D130" t="s">
        <v>413</v>
      </c>
      <c r="E130" t="s">
        <v>2393</v>
      </c>
    </row>
    <row r="131" spans="1:5" x14ac:dyDescent="0.25">
      <c r="A131" t="s">
        <v>1152</v>
      </c>
      <c r="B131" t="s">
        <v>2310</v>
      </c>
      <c r="C131" t="s">
        <v>2219</v>
      </c>
      <c r="D131" t="s">
        <v>413</v>
      </c>
      <c r="E131" t="s">
        <v>2393</v>
      </c>
    </row>
    <row r="132" spans="1:5" x14ac:dyDescent="0.25">
      <c r="A132" t="s">
        <v>1153</v>
      </c>
      <c r="B132" t="s">
        <v>2310</v>
      </c>
      <c r="C132" t="s">
        <v>2219</v>
      </c>
      <c r="D132" t="s">
        <v>413</v>
      </c>
      <c r="E132" t="s">
        <v>2393</v>
      </c>
    </row>
    <row r="133" spans="1:5" x14ac:dyDescent="0.25">
      <c r="A133" t="s">
        <v>1154</v>
      </c>
      <c r="B133" t="s">
        <v>2310</v>
      </c>
      <c r="C133" t="s">
        <v>2219</v>
      </c>
      <c r="D133" t="s">
        <v>413</v>
      </c>
      <c r="E133" t="s">
        <v>2393</v>
      </c>
    </row>
    <row r="134" spans="1:5" x14ac:dyDescent="0.25">
      <c r="A134" t="s">
        <v>2311</v>
      </c>
      <c r="B134" t="s">
        <v>2312</v>
      </c>
      <c r="C134" t="s">
        <v>2219</v>
      </c>
      <c r="D134" t="s">
        <v>413</v>
      </c>
      <c r="E134" t="s">
        <v>2393</v>
      </c>
    </row>
    <row r="135" spans="1:5" x14ac:dyDescent="0.25">
      <c r="A135" t="s">
        <v>1155</v>
      </c>
      <c r="B135" t="s">
        <v>2312</v>
      </c>
      <c r="C135" t="s">
        <v>2219</v>
      </c>
      <c r="D135" t="s">
        <v>413</v>
      </c>
      <c r="E135" t="s">
        <v>2393</v>
      </c>
    </row>
    <row r="136" spans="1:5" x14ac:dyDescent="0.25">
      <c r="A136" t="s">
        <v>1156</v>
      </c>
      <c r="B136" t="s">
        <v>2312</v>
      </c>
      <c r="C136" t="s">
        <v>2219</v>
      </c>
      <c r="D136" t="s">
        <v>413</v>
      </c>
      <c r="E136" t="s">
        <v>2393</v>
      </c>
    </row>
    <row r="137" spans="1:5" x14ac:dyDescent="0.25">
      <c r="A137" t="s">
        <v>1157</v>
      </c>
      <c r="B137" t="s">
        <v>2312</v>
      </c>
      <c r="C137" t="s">
        <v>2219</v>
      </c>
      <c r="D137" t="s">
        <v>413</v>
      </c>
      <c r="E137" t="s">
        <v>2393</v>
      </c>
    </row>
    <row r="138" spans="1:5" x14ac:dyDescent="0.25">
      <c r="A138" t="s">
        <v>2313</v>
      </c>
      <c r="B138" t="s">
        <v>2314</v>
      </c>
      <c r="C138" t="s">
        <v>2219</v>
      </c>
      <c r="D138" t="s">
        <v>413</v>
      </c>
      <c r="E138" t="s">
        <v>2393</v>
      </c>
    </row>
    <row r="139" spans="1:5" x14ac:dyDescent="0.25">
      <c r="A139" t="s">
        <v>1158</v>
      </c>
      <c r="B139" t="s">
        <v>2314</v>
      </c>
      <c r="C139" t="s">
        <v>2219</v>
      </c>
      <c r="D139" t="s">
        <v>413</v>
      </c>
      <c r="E139" t="s">
        <v>2393</v>
      </c>
    </row>
    <row r="140" spans="1:5" x14ac:dyDescent="0.25">
      <c r="A140" t="s">
        <v>1159</v>
      </c>
      <c r="B140" t="s">
        <v>2314</v>
      </c>
      <c r="C140" t="s">
        <v>2219</v>
      </c>
      <c r="D140" t="s">
        <v>413</v>
      </c>
      <c r="E140" t="s">
        <v>2393</v>
      </c>
    </row>
    <row r="141" spans="1:5" x14ac:dyDescent="0.25">
      <c r="A141" t="s">
        <v>1160</v>
      </c>
      <c r="B141" t="s">
        <v>2314</v>
      </c>
      <c r="C141" t="s">
        <v>2219</v>
      </c>
      <c r="D141" t="s">
        <v>413</v>
      </c>
      <c r="E141" t="s">
        <v>2393</v>
      </c>
    </row>
    <row r="142" spans="1:5" x14ac:dyDescent="0.25">
      <c r="A142" t="s">
        <v>1106</v>
      </c>
      <c r="B142" t="s">
        <v>2315</v>
      </c>
      <c r="C142" t="s">
        <v>2219</v>
      </c>
      <c r="D142" t="s">
        <v>412</v>
      </c>
      <c r="E142" t="s">
        <v>2392</v>
      </c>
    </row>
    <row r="143" spans="1:5" x14ac:dyDescent="0.25">
      <c r="A143" t="s">
        <v>1107</v>
      </c>
      <c r="B143" t="s">
        <v>2316</v>
      </c>
      <c r="C143" t="s">
        <v>2219</v>
      </c>
      <c r="D143" t="s">
        <v>412</v>
      </c>
      <c r="E143" t="s">
        <v>2392</v>
      </c>
    </row>
    <row r="144" spans="1:5" x14ac:dyDescent="0.25">
      <c r="A144" t="s">
        <v>1108</v>
      </c>
      <c r="B144" t="s">
        <v>2317</v>
      </c>
      <c r="C144" t="s">
        <v>2219</v>
      </c>
      <c r="D144" t="s">
        <v>412</v>
      </c>
      <c r="E144" t="s">
        <v>2392</v>
      </c>
    </row>
    <row r="145" spans="1:5" x14ac:dyDescent="0.25">
      <c r="A145" t="s">
        <v>1109</v>
      </c>
      <c r="B145" t="s">
        <v>2318</v>
      </c>
      <c r="C145" t="s">
        <v>2219</v>
      </c>
      <c r="D145" t="s">
        <v>412</v>
      </c>
      <c r="E145" t="s">
        <v>2392</v>
      </c>
    </row>
    <row r="146" spans="1:5" x14ac:dyDescent="0.25">
      <c r="A146" t="s">
        <v>1110</v>
      </c>
      <c r="B146" t="s">
        <v>2319</v>
      </c>
      <c r="C146" t="s">
        <v>2219</v>
      </c>
      <c r="D146" t="s">
        <v>412</v>
      </c>
      <c r="E146" t="s">
        <v>2392</v>
      </c>
    </row>
    <row r="147" spans="1:5" x14ac:dyDescent="0.25">
      <c r="A147" t="s">
        <v>1111</v>
      </c>
      <c r="B147" t="s">
        <v>2320</v>
      </c>
      <c r="C147" t="s">
        <v>2219</v>
      </c>
      <c r="D147" t="s">
        <v>412</v>
      </c>
      <c r="E147" t="s">
        <v>2392</v>
      </c>
    </row>
    <row r="148" spans="1:5" x14ac:dyDescent="0.25">
      <c r="A148" t="s">
        <v>1112</v>
      </c>
      <c r="B148" t="s">
        <v>2321</v>
      </c>
      <c r="C148" t="s">
        <v>2219</v>
      </c>
      <c r="D148" t="s">
        <v>412</v>
      </c>
      <c r="E148" t="s">
        <v>2392</v>
      </c>
    </row>
    <row r="149" spans="1:5" x14ac:dyDescent="0.25">
      <c r="A149" t="s">
        <v>1113</v>
      </c>
      <c r="B149" t="s">
        <v>2322</v>
      </c>
      <c r="C149" t="s">
        <v>2219</v>
      </c>
      <c r="D149" t="s">
        <v>412</v>
      </c>
      <c r="E149" t="s">
        <v>2392</v>
      </c>
    </row>
    <row r="150" spans="1:5" x14ac:dyDescent="0.25">
      <c r="A150" t="s">
        <v>1114</v>
      </c>
      <c r="B150" t="s">
        <v>2323</v>
      </c>
      <c r="C150" t="s">
        <v>2219</v>
      </c>
      <c r="D150" t="s">
        <v>412</v>
      </c>
      <c r="E150" t="s">
        <v>2392</v>
      </c>
    </row>
    <row r="151" spans="1:5" x14ac:dyDescent="0.25">
      <c r="A151" t="s">
        <v>1115</v>
      </c>
      <c r="B151" t="s">
        <v>2324</v>
      </c>
      <c r="C151" t="s">
        <v>2219</v>
      </c>
      <c r="D151" t="s">
        <v>412</v>
      </c>
      <c r="E151" t="s">
        <v>2392</v>
      </c>
    </row>
    <row r="152" spans="1:5" x14ac:dyDescent="0.25">
      <c r="A152" t="s">
        <v>1116</v>
      </c>
      <c r="B152" t="s">
        <v>2325</v>
      </c>
      <c r="C152" t="s">
        <v>2219</v>
      </c>
      <c r="D152" t="s">
        <v>412</v>
      </c>
      <c r="E152" t="s">
        <v>2392</v>
      </c>
    </row>
    <row r="153" spans="1:5" x14ac:dyDescent="0.25">
      <c r="A153" t="s">
        <v>1117</v>
      </c>
      <c r="B153" t="s">
        <v>2326</v>
      </c>
      <c r="C153" t="s">
        <v>2219</v>
      </c>
      <c r="D153" t="s">
        <v>412</v>
      </c>
      <c r="E153" t="s">
        <v>2392</v>
      </c>
    </row>
    <row r="154" spans="1:5" x14ac:dyDescent="0.25">
      <c r="A154" t="s">
        <v>1118</v>
      </c>
      <c r="B154" t="s">
        <v>2327</v>
      </c>
      <c r="C154" t="s">
        <v>2219</v>
      </c>
      <c r="D154" t="s">
        <v>413</v>
      </c>
      <c r="E154" t="s">
        <v>2393</v>
      </c>
    </row>
    <row r="155" spans="1:5" x14ac:dyDescent="0.25">
      <c r="A155" t="s">
        <v>1122</v>
      </c>
      <c r="B155" t="s">
        <v>2327</v>
      </c>
      <c r="C155" t="s">
        <v>2219</v>
      </c>
      <c r="D155" t="s">
        <v>413</v>
      </c>
      <c r="E155" t="s">
        <v>2393</v>
      </c>
    </row>
    <row r="156" spans="1:5" x14ac:dyDescent="0.25">
      <c r="A156" t="s">
        <v>1123</v>
      </c>
      <c r="B156" t="s">
        <v>2327</v>
      </c>
      <c r="C156" t="s">
        <v>2219</v>
      </c>
      <c r="D156" t="s">
        <v>413</v>
      </c>
      <c r="E156" t="s">
        <v>2393</v>
      </c>
    </row>
    <row r="157" spans="1:5" x14ac:dyDescent="0.25">
      <c r="A157" t="s">
        <v>1124</v>
      </c>
      <c r="B157" t="s">
        <v>2327</v>
      </c>
      <c r="C157" t="s">
        <v>2219</v>
      </c>
      <c r="D157" t="s">
        <v>413</v>
      </c>
      <c r="E157" t="s">
        <v>2393</v>
      </c>
    </row>
    <row r="158" spans="1:5" x14ac:dyDescent="0.25">
      <c r="A158" t="s">
        <v>1125</v>
      </c>
      <c r="B158" t="s">
        <v>2328</v>
      </c>
      <c r="C158" t="s">
        <v>2219</v>
      </c>
      <c r="D158" t="s">
        <v>413</v>
      </c>
      <c r="E158" t="s">
        <v>2393</v>
      </c>
    </row>
    <row r="159" spans="1:5" x14ac:dyDescent="0.25">
      <c r="A159" t="s">
        <v>1126</v>
      </c>
      <c r="B159" t="s">
        <v>2328</v>
      </c>
      <c r="C159" t="s">
        <v>2219</v>
      </c>
      <c r="D159" t="s">
        <v>413</v>
      </c>
      <c r="E159" t="s">
        <v>2393</v>
      </c>
    </row>
    <row r="160" spans="1:5" x14ac:dyDescent="0.25">
      <c r="A160" t="s">
        <v>1127</v>
      </c>
      <c r="B160" t="s">
        <v>2328</v>
      </c>
      <c r="C160" t="s">
        <v>2219</v>
      </c>
      <c r="D160" t="s">
        <v>413</v>
      </c>
      <c r="E160" t="s">
        <v>2393</v>
      </c>
    </row>
    <row r="161" spans="1:5" x14ac:dyDescent="0.25">
      <c r="A161" t="s">
        <v>1128</v>
      </c>
      <c r="B161" t="s">
        <v>2328</v>
      </c>
      <c r="C161" t="s">
        <v>2219</v>
      </c>
      <c r="D161" t="s">
        <v>413</v>
      </c>
      <c r="E161" t="s">
        <v>2393</v>
      </c>
    </row>
    <row r="162" spans="1:5" x14ac:dyDescent="0.25">
      <c r="A162" t="s">
        <v>1129</v>
      </c>
      <c r="B162" t="s">
        <v>2329</v>
      </c>
      <c r="C162" t="s">
        <v>2219</v>
      </c>
      <c r="D162" t="s">
        <v>412</v>
      </c>
      <c r="E162" t="s">
        <v>2392</v>
      </c>
    </row>
    <row r="163" spans="1:5" x14ac:dyDescent="0.25">
      <c r="A163" t="s">
        <v>1130</v>
      </c>
      <c r="B163" t="s">
        <v>2329</v>
      </c>
      <c r="C163" t="s">
        <v>2219</v>
      </c>
      <c r="D163" t="s">
        <v>412</v>
      </c>
      <c r="E163" t="s">
        <v>2392</v>
      </c>
    </row>
    <row r="164" spans="1:5" x14ac:dyDescent="0.25">
      <c r="A164" t="s">
        <v>1131</v>
      </c>
      <c r="B164" t="s">
        <v>2329</v>
      </c>
      <c r="C164" t="s">
        <v>2219</v>
      </c>
      <c r="D164" t="s">
        <v>412</v>
      </c>
      <c r="E164" t="s">
        <v>2392</v>
      </c>
    </row>
    <row r="165" spans="1:5" x14ac:dyDescent="0.25">
      <c r="A165" t="s">
        <v>1132</v>
      </c>
      <c r="B165" t="s">
        <v>2329</v>
      </c>
      <c r="C165" t="s">
        <v>2219</v>
      </c>
      <c r="D165" t="s">
        <v>412</v>
      </c>
      <c r="E165" t="s">
        <v>2392</v>
      </c>
    </row>
    <row r="166" spans="1:5" x14ac:dyDescent="0.25">
      <c r="A166" t="s">
        <v>1133</v>
      </c>
      <c r="B166" t="s">
        <v>2330</v>
      </c>
      <c r="C166" t="s">
        <v>2219</v>
      </c>
      <c r="D166" t="s">
        <v>412</v>
      </c>
      <c r="E166" t="s">
        <v>2393</v>
      </c>
    </row>
    <row r="167" spans="1:5" x14ac:dyDescent="0.25">
      <c r="A167" t="s">
        <v>1133</v>
      </c>
      <c r="B167" t="s">
        <v>2331</v>
      </c>
      <c r="C167" t="s">
        <v>2219</v>
      </c>
      <c r="D167" t="s">
        <v>412</v>
      </c>
      <c r="E167" t="s">
        <v>2393</v>
      </c>
    </row>
    <row r="168" spans="1:5" x14ac:dyDescent="0.25">
      <c r="A168" t="s">
        <v>1133</v>
      </c>
      <c r="B168" t="s">
        <v>2332</v>
      </c>
      <c r="C168" t="s">
        <v>2219</v>
      </c>
      <c r="D168" t="s">
        <v>412</v>
      </c>
      <c r="E168" t="s">
        <v>2393</v>
      </c>
    </row>
    <row r="169" spans="1:5" x14ac:dyDescent="0.25">
      <c r="A169" t="s">
        <v>1133</v>
      </c>
      <c r="B169" t="s">
        <v>2333</v>
      </c>
      <c r="C169" t="s">
        <v>2219</v>
      </c>
      <c r="D169" t="s">
        <v>412</v>
      </c>
      <c r="E169" t="s">
        <v>2393</v>
      </c>
    </row>
    <row r="170" spans="1:5" x14ac:dyDescent="0.25">
      <c r="A170" t="s">
        <v>2334</v>
      </c>
      <c r="B170" t="s">
        <v>2335</v>
      </c>
      <c r="C170" t="s">
        <v>2219</v>
      </c>
      <c r="D170" t="s">
        <v>412</v>
      </c>
      <c r="E170" t="s">
        <v>2392</v>
      </c>
    </row>
    <row r="171" spans="1:5" x14ac:dyDescent="0.25">
      <c r="A171" t="s">
        <v>2336</v>
      </c>
      <c r="B171" t="s">
        <v>2337</v>
      </c>
      <c r="C171" t="s">
        <v>2219</v>
      </c>
      <c r="D171" t="s">
        <v>412</v>
      </c>
      <c r="E171" t="s">
        <v>2392</v>
      </c>
    </row>
    <row r="172" spans="1:5" x14ac:dyDescent="0.25">
      <c r="A172" t="s">
        <v>2338</v>
      </c>
      <c r="B172" t="s">
        <v>2339</v>
      </c>
      <c r="C172" t="s">
        <v>2219</v>
      </c>
      <c r="D172" t="s">
        <v>412</v>
      </c>
      <c r="E172" t="s">
        <v>2392</v>
      </c>
    </row>
    <row r="173" spans="1:5" x14ac:dyDescent="0.25">
      <c r="A173" t="s">
        <v>2340</v>
      </c>
      <c r="B173" t="s">
        <v>2341</v>
      </c>
      <c r="C173" t="s">
        <v>2219</v>
      </c>
      <c r="D173" t="s">
        <v>412</v>
      </c>
      <c r="E173" t="s">
        <v>2392</v>
      </c>
    </row>
    <row r="174" spans="1:5" x14ac:dyDescent="0.25">
      <c r="A174" t="s">
        <v>2342</v>
      </c>
      <c r="B174" t="s">
        <v>2343</v>
      </c>
      <c r="C174" t="s">
        <v>2219</v>
      </c>
      <c r="D174" t="s">
        <v>412</v>
      </c>
      <c r="E174" t="s">
        <v>2392</v>
      </c>
    </row>
    <row r="175" spans="1:5" x14ac:dyDescent="0.25">
      <c r="A175" t="s">
        <v>2344</v>
      </c>
      <c r="B175" t="s">
        <v>2345</v>
      </c>
      <c r="C175" t="s">
        <v>2219</v>
      </c>
      <c r="D175" t="s">
        <v>412</v>
      </c>
      <c r="E175" t="s">
        <v>2392</v>
      </c>
    </row>
    <row r="176" spans="1:5" x14ac:dyDescent="0.25">
      <c r="A176" t="s">
        <v>2346</v>
      </c>
      <c r="B176" t="s">
        <v>2347</v>
      </c>
      <c r="C176" t="s">
        <v>2219</v>
      </c>
      <c r="D176" t="s">
        <v>412</v>
      </c>
      <c r="E176" t="s">
        <v>2392</v>
      </c>
    </row>
    <row r="177" spans="1:5" x14ac:dyDescent="0.25">
      <c r="A177" t="s">
        <v>2348</v>
      </c>
      <c r="B177" t="s">
        <v>2349</v>
      </c>
      <c r="C177" t="s">
        <v>2219</v>
      </c>
      <c r="D177" t="s">
        <v>412</v>
      </c>
      <c r="E177" t="s">
        <v>2392</v>
      </c>
    </row>
    <row r="178" spans="1:5" x14ac:dyDescent="0.25">
      <c r="A178" t="s">
        <v>2350</v>
      </c>
      <c r="B178" t="s">
        <v>2351</v>
      </c>
      <c r="C178" t="s">
        <v>2219</v>
      </c>
      <c r="D178" t="s">
        <v>412</v>
      </c>
      <c r="E178" t="s">
        <v>2392</v>
      </c>
    </row>
    <row r="179" spans="1:5" x14ac:dyDescent="0.25">
      <c r="A179" t="s">
        <v>2352</v>
      </c>
      <c r="B179" t="s">
        <v>2353</v>
      </c>
      <c r="C179" t="s">
        <v>2219</v>
      </c>
      <c r="D179" t="s">
        <v>412</v>
      </c>
      <c r="E179" t="s">
        <v>2392</v>
      </c>
    </row>
    <row r="180" spans="1:5" x14ac:dyDescent="0.25">
      <c r="A180" t="s">
        <v>2354</v>
      </c>
      <c r="B180" t="s">
        <v>2355</v>
      </c>
      <c r="C180" t="s">
        <v>2219</v>
      </c>
      <c r="D180" t="s">
        <v>412</v>
      </c>
      <c r="E180" t="s">
        <v>2392</v>
      </c>
    </row>
    <row r="181" spans="1:5" x14ac:dyDescent="0.25">
      <c r="A181" t="s">
        <v>2356</v>
      </c>
      <c r="B181" t="s">
        <v>2357</v>
      </c>
      <c r="C181" t="s">
        <v>2219</v>
      </c>
      <c r="D181" t="s">
        <v>412</v>
      </c>
      <c r="E181" t="s">
        <v>2392</v>
      </c>
    </row>
    <row r="182" spans="1:5" x14ac:dyDescent="0.25">
      <c r="A182" t="s">
        <v>152</v>
      </c>
      <c r="B182" t="s">
        <v>2358</v>
      </c>
      <c r="C182" t="s">
        <v>2219</v>
      </c>
      <c r="D182" t="s">
        <v>493</v>
      </c>
      <c r="E182" t="s">
        <v>2392</v>
      </c>
    </row>
    <row r="183" spans="1:5" x14ac:dyDescent="0.25">
      <c r="A183" t="s">
        <v>153</v>
      </c>
      <c r="B183" t="s">
        <v>2358</v>
      </c>
      <c r="C183" t="s">
        <v>2219</v>
      </c>
      <c r="D183" t="s">
        <v>493</v>
      </c>
      <c r="E183" t="s">
        <v>2392</v>
      </c>
    </row>
    <row r="184" spans="1:5" x14ac:dyDescent="0.25">
      <c r="A184" t="s">
        <v>154</v>
      </c>
      <c r="B184" t="s">
        <v>2359</v>
      </c>
      <c r="C184" t="s">
        <v>2219</v>
      </c>
      <c r="D184" t="s">
        <v>493</v>
      </c>
      <c r="E184" t="s">
        <v>2392</v>
      </c>
    </row>
    <row r="185" spans="1:5" x14ac:dyDescent="0.25">
      <c r="A185" t="s">
        <v>155</v>
      </c>
      <c r="B185" t="s">
        <v>2359</v>
      </c>
      <c r="C185" t="s">
        <v>2219</v>
      </c>
      <c r="D185" t="s">
        <v>493</v>
      </c>
      <c r="E185" t="s">
        <v>2392</v>
      </c>
    </row>
    <row r="186" spans="1:5" x14ac:dyDescent="0.25">
      <c r="A186" t="s">
        <v>509</v>
      </c>
      <c r="B186" t="s">
        <v>2360</v>
      </c>
      <c r="C186" t="s">
        <v>2219</v>
      </c>
      <c r="D186" t="s">
        <v>412</v>
      </c>
      <c r="E186" t="s">
        <v>2392</v>
      </c>
    </row>
    <row r="187" spans="1:5" x14ac:dyDescent="0.25">
      <c r="A187" t="s">
        <v>510</v>
      </c>
      <c r="B187" t="s">
        <v>2361</v>
      </c>
      <c r="C187" t="s">
        <v>2219</v>
      </c>
      <c r="D187" t="s">
        <v>412</v>
      </c>
      <c r="E187" t="s">
        <v>2392</v>
      </c>
    </row>
    <row r="188" spans="1:5" x14ac:dyDescent="0.25">
      <c r="A188" t="s">
        <v>611</v>
      </c>
      <c r="B188" t="s">
        <v>2362</v>
      </c>
      <c r="C188" t="s">
        <v>2219</v>
      </c>
      <c r="D188" t="s">
        <v>493</v>
      </c>
      <c r="E188" t="s">
        <v>2392</v>
      </c>
    </row>
    <row r="189" spans="1:5" x14ac:dyDescent="0.25">
      <c r="A189" t="s">
        <v>611</v>
      </c>
      <c r="B189" t="s">
        <v>2362</v>
      </c>
      <c r="C189" t="s">
        <v>2219</v>
      </c>
      <c r="D189" t="s">
        <v>493</v>
      </c>
      <c r="E189" t="s">
        <v>2392</v>
      </c>
    </row>
    <row r="190" spans="1:5" x14ac:dyDescent="0.25">
      <c r="A190" t="s">
        <v>613</v>
      </c>
      <c r="B190" t="s">
        <v>2363</v>
      </c>
      <c r="C190" t="s">
        <v>2219</v>
      </c>
      <c r="D190" t="s">
        <v>493</v>
      </c>
      <c r="E190" t="s">
        <v>2392</v>
      </c>
    </row>
    <row r="191" spans="1:5" x14ac:dyDescent="0.25">
      <c r="A191" t="s">
        <v>613</v>
      </c>
      <c r="B191" t="s">
        <v>2363</v>
      </c>
      <c r="C191" t="s">
        <v>2219</v>
      </c>
      <c r="D191" t="s">
        <v>493</v>
      </c>
      <c r="E191" t="s">
        <v>2392</v>
      </c>
    </row>
    <row r="192" spans="1:5" x14ac:dyDescent="0.25">
      <c r="A192" t="s">
        <v>612</v>
      </c>
      <c r="B192" t="s">
        <v>2364</v>
      </c>
      <c r="C192" t="s">
        <v>2219</v>
      </c>
      <c r="D192" t="s">
        <v>493</v>
      </c>
      <c r="E192" t="s">
        <v>2392</v>
      </c>
    </row>
    <row r="193" spans="1:5" x14ac:dyDescent="0.25">
      <c r="A193" t="s">
        <v>612</v>
      </c>
      <c r="B193" t="s">
        <v>2364</v>
      </c>
      <c r="C193" t="s">
        <v>2219</v>
      </c>
      <c r="D193" t="s">
        <v>493</v>
      </c>
      <c r="E193" t="s">
        <v>2392</v>
      </c>
    </row>
    <row r="194" spans="1:5" x14ac:dyDescent="0.25">
      <c r="A194" t="s">
        <v>663</v>
      </c>
      <c r="B194" t="s">
        <v>2365</v>
      </c>
      <c r="C194" t="s">
        <v>2219</v>
      </c>
      <c r="D194" t="s">
        <v>412</v>
      </c>
      <c r="E194" t="s">
        <v>2392</v>
      </c>
    </row>
    <row r="195" spans="1:5" x14ac:dyDescent="0.25">
      <c r="A195" t="s">
        <v>664</v>
      </c>
      <c r="B195" t="s">
        <v>2366</v>
      </c>
      <c r="C195" t="s">
        <v>2219</v>
      </c>
      <c r="D195" t="s">
        <v>412</v>
      </c>
      <c r="E195" t="s">
        <v>2392</v>
      </c>
    </row>
    <row r="196" spans="1:5" x14ac:dyDescent="0.25">
      <c r="A196" t="s">
        <v>496</v>
      </c>
      <c r="B196" t="s">
        <v>2367</v>
      </c>
      <c r="C196" t="s">
        <v>2219</v>
      </c>
      <c r="D196" t="s">
        <v>412</v>
      </c>
      <c r="E196" t="s">
        <v>2392</v>
      </c>
    </row>
    <row r="197" spans="1:5" x14ac:dyDescent="0.25">
      <c r="A197" t="s">
        <v>495</v>
      </c>
      <c r="B197" t="s">
        <v>2368</v>
      </c>
      <c r="C197" t="s">
        <v>2219</v>
      </c>
      <c r="D197" t="s">
        <v>412</v>
      </c>
      <c r="E197" t="s">
        <v>2392</v>
      </c>
    </row>
    <row r="198" spans="1:5" x14ac:dyDescent="0.25">
      <c r="A198" t="s">
        <v>497</v>
      </c>
      <c r="B198" t="s">
        <v>2369</v>
      </c>
      <c r="C198" t="s">
        <v>2219</v>
      </c>
      <c r="D198" t="s">
        <v>412</v>
      </c>
      <c r="E198" t="s">
        <v>2392</v>
      </c>
    </row>
    <row r="199" spans="1:5" x14ac:dyDescent="0.25">
      <c r="A199" t="s">
        <v>498</v>
      </c>
      <c r="B199" t="s">
        <v>2370</v>
      </c>
      <c r="C199" t="s">
        <v>2219</v>
      </c>
      <c r="D199" t="s">
        <v>412</v>
      </c>
      <c r="E199" t="s">
        <v>2392</v>
      </c>
    </row>
    <row r="200" spans="1:5" x14ac:dyDescent="0.25">
      <c r="A200" t="s">
        <v>666</v>
      </c>
      <c r="B200" t="s">
        <v>2371</v>
      </c>
      <c r="C200" t="s">
        <v>2219</v>
      </c>
      <c r="D200" t="s">
        <v>493</v>
      </c>
      <c r="E200" t="s">
        <v>2392</v>
      </c>
    </row>
    <row r="201" spans="1:5" x14ac:dyDescent="0.25">
      <c r="A201" t="s">
        <v>666</v>
      </c>
      <c r="B201" t="s">
        <v>2371</v>
      </c>
      <c r="C201" t="s">
        <v>2219</v>
      </c>
      <c r="D201" t="s">
        <v>493</v>
      </c>
      <c r="E201" t="s">
        <v>2392</v>
      </c>
    </row>
    <row r="202" spans="1:5" x14ac:dyDescent="0.25">
      <c r="A202" t="s">
        <v>967</v>
      </c>
      <c r="B202" t="s">
        <v>2237</v>
      </c>
      <c r="C202" t="s">
        <v>2372</v>
      </c>
      <c r="D202" t="s">
        <v>412</v>
      </c>
      <c r="E202" t="s">
        <v>2392</v>
      </c>
    </row>
    <row r="203" spans="1:5" x14ac:dyDescent="0.25">
      <c r="A203" t="s">
        <v>1188</v>
      </c>
      <c r="B203" t="s">
        <v>2297</v>
      </c>
      <c r="C203" t="s">
        <v>2372</v>
      </c>
      <c r="D203" t="s">
        <v>412</v>
      </c>
      <c r="E203" t="s">
        <v>2392</v>
      </c>
    </row>
    <row r="204" spans="1:5" x14ac:dyDescent="0.25">
      <c r="A204" t="s">
        <v>1009</v>
      </c>
      <c r="B204" t="s">
        <v>2300</v>
      </c>
      <c r="C204" t="s">
        <v>2372</v>
      </c>
      <c r="D204" t="s">
        <v>493</v>
      </c>
      <c r="E204" t="s">
        <v>2392</v>
      </c>
    </row>
    <row r="205" spans="1:5" x14ac:dyDescent="0.25">
      <c r="A205" t="s">
        <v>1011</v>
      </c>
      <c r="B205" t="s">
        <v>2300</v>
      </c>
      <c r="C205" t="s">
        <v>2372</v>
      </c>
      <c r="D205" t="s">
        <v>493</v>
      </c>
      <c r="E205" t="s">
        <v>2392</v>
      </c>
    </row>
    <row r="206" spans="1:5" x14ac:dyDescent="0.25">
      <c r="A206" t="s">
        <v>1012</v>
      </c>
      <c r="B206" t="s">
        <v>2301</v>
      </c>
      <c r="C206" t="s">
        <v>2372</v>
      </c>
      <c r="D206" t="s">
        <v>493</v>
      </c>
      <c r="E206" t="s">
        <v>2392</v>
      </c>
    </row>
    <row r="207" spans="1:5" x14ac:dyDescent="0.25">
      <c r="A207" t="s">
        <v>1013</v>
      </c>
      <c r="B207" t="s">
        <v>2301</v>
      </c>
      <c r="C207" t="s">
        <v>2372</v>
      </c>
      <c r="D207" t="s">
        <v>493</v>
      </c>
      <c r="E207" t="s">
        <v>2392</v>
      </c>
    </row>
    <row r="208" spans="1:5" x14ac:dyDescent="0.25">
      <c r="A208" t="s">
        <v>2373</v>
      </c>
      <c r="B208" t="s">
        <v>2374</v>
      </c>
      <c r="C208" t="s">
        <v>2219</v>
      </c>
      <c r="D208" t="s">
        <v>493</v>
      </c>
      <c r="E208" t="s">
        <v>2392</v>
      </c>
    </row>
    <row r="209" spans="1:5" x14ac:dyDescent="0.25">
      <c r="A209" t="s">
        <v>2373</v>
      </c>
      <c r="B209" t="s">
        <v>2374</v>
      </c>
      <c r="C209" t="s">
        <v>2219</v>
      </c>
      <c r="D209" t="s">
        <v>493</v>
      </c>
      <c r="E209" t="s">
        <v>2392</v>
      </c>
    </row>
    <row r="210" spans="1:5" x14ac:dyDescent="0.25">
      <c r="A210" t="s">
        <v>2375</v>
      </c>
      <c r="B210" t="s">
        <v>2376</v>
      </c>
      <c r="C210" t="s">
        <v>2219</v>
      </c>
      <c r="D210" t="s">
        <v>493</v>
      </c>
      <c r="E210" t="s">
        <v>2392</v>
      </c>
    </row>
    <row r="211" spans="1:5" x14ac:dyDescent="0.25">
      <c r="A211" t="s">
        <v>2375</v>
      </c>
      <c r="B211" t="s">
        <v>2376</v>
      </c>
      <c r="C211" t="s">
        <v>2219</v>
      </c>
      <c r="D211" t="s">
        <v>493</v>
      </c>
      <c r="E211" t="s">
        <v>2392</v>
      </c>
    </row>
    <row r="212" spans="1:5" x14ac:dyDescent="0.25">
      <c r="A212" t="s">
        <v>1133</v>
      </c>
      <c r="B212" t="s">
        <v>2377</v>
      </c>
      <c r="C212" t="s">
        <v>2219</v>
      </c>
      <c r="D212" t="s">
        <v>412</v>
      </c>
      <c r="E212" t="s">
        <v>2393</v>
      </c>
    </row>
    <row r="213" spans="1:5" x14ac:dyDescent="0.25">
      <c r="A213" t="s">
        <v>1134</v>
      </c>
      <c r="B213" t="s">
        <v>2378</v>
      </c>
      <c r="C213" t="s">
        <v>2219</v>
      </c>
      <c r="D213" t="s">
        <v>412</v>
      </c>
      <c r="E213" t="s">
        <v>2393</v>
      </c>
    </row>
    <row r="214" spans="1:5" x14ac:dyDescent="0.25">
      <c r="A214" t="s">
        <v>667</v>
      </c>
      <c r="B214" t="s">
        <v>2379</v>
      </c>
      <c r="C214" t="s">
        <v>2219</v>
      </c>
      <c r="D214" t="s">
        <v>412</v>
      </c>
      <c r="E214" t="s">
        <v>2392</v>
      </c>
    </row>
    <row r="215" spans="1:5" x14ac:dyDescent="0.25">
      <c r="A215" t="s">
        <v>668</v>
      </c>
      <c r="B215" t="s">
        <v>2380</v>
      </c>
      <c r="C215" t="s">
        <v>2219</v>
      </c>
      <c r="D215" t="s">
        <v>412</v>
      </c>
      <c r="E215" t="s">
        <v>2392</v>
      </c>
    </row>
    <row r="216" spans="1:5" x14ac:dyDescent="0.25">
      <c r="A216" t="s">
        <v>672</v>
      </c>
      <c r="B216" t="s">
        <v>2381</v>
      </c>
      <c r="C216" t="s">
        <v>2219</v>
      </c>
      <c r="D216" t="s">
        <v>412</v>
      </c>
      <c r="E216" t="s">
        <v>2392</v>
      </c>
    </row>
    <row r="217" spans="1:5" x14ac:dyDescent="0.25">
      <c r="A217" t="s">
        <v>673</v>
      </c>
      <c r="B217" t="s">
        <v>2382</v>
      </c>
      <c r="C217" t="s">
        <v>2219</v>
      </c>
      <c r="D217" t="s">
        <v>412</v>
      </c>
      <c r="E217" t="s">
        <v>2392</v>
      </c>
    </row>
    <row r="218" spans="1:5" x14ac:dyDescent="0.25">
      <c r="A218" t="s">
        <v>674</v>
      </c>
      <c r="B218" t="s">
        <v>2383</v>
      </c>
      <c r="C218" t="s">
        <v>2219</v>
      </c>
      <c r="D218" t="s">
        <v>412</v>
      </c>
      <c r="E218" t="s">
        <v>2392</v>
      </c>
    </row>
    <row r="219" spans="1:5" x14ac:dyDescent="0.25">
      <c r="A219" t="s">
        <v>675</v>
      </c>
      <c r="B219" t="s">
        <v>2384</v>
      </c>
      <c r="C219" t="s">
        <v>2219</v>
      </c>
      <c r="D219" t="s">
        <v>412</v>
      </c>
      <c r="E219" t="s">
        <v>2392</v>
      </c>
    </row>
    <row r="220" spans="1:5" x14ac:dyDescent="0.25">
      <c r="A220" t="s">
        <v>669</v>
      </c>
      <c r="B220" t="s">
        <v>2385</v>
      </c>
      <c r="C220" t="s">
        <v>2219</v>
      </c>
      <c r="D220" t="s">
        <v>412</v>
      </c>
      <c r="E220" t="s">
        <v>2392</v>
      </c>
    </row>
    <row r="221" spans="1:5" x14ac:dyDescent="0.25">
      <c r="A221" t="s">
        <v>670</v>
      </c>
      <c r="B221" t="s">
        <v>2386</v>
      </c>
      <c r="C221" t="s">
        <v>2219</v>
      </c>
      <c r="D221" t="s">
        <v>412</v>
      </c>
      <c r="E221" t="s">
        <v>2392</v>
      </c>
    </row>
    <row r="222" spans="1:5" x14ac:dyDescent="0.25">
      <c r="A222" t="s">
        <v>671</v>
      </c>
      <c r="B222" t="s">
        <v>2387</v>
      </c>
      <c r="C222" t="s">
        <v>2219</v>
      </c>
      <c r="D222" t="s">
        <v>412</v>
      </c>
      <c r="E222" t="s">
        <v>2392</v>
      </c>
    </row>
    <row r="223" spans="1:5" x14ac:dyDescent="0.25">
      <c r="A223" t="s">
        <v>1091</v>
      </c>
      <c r="B223" t="s">
        <v>2388</v>
      </c>
      <c r="C223" t="s">
        <v>2272</v>
      </c>
      <c r="D223" t="s">
        <v>412</v>
      </c>
      <c r="E223" t="s">
        <v>2392</v>
      </c>
    </row>
    <row r="224" spans="1:5" x14ac:dyDescent="0.25">
      <c r="A224" t="s">
        <v>1092</v>
      </c>
      <c r="B224" t="s">
        <v>2388</v>
      </c>
      <c r="C224" t="s">
        <v>2272</v>
      </c>
      <c r="D224" t="s">
        <v>412</v>
      </c>
      <c r="E224" t="s">
        <v>2392</v>
      </c>
    </row>
    <row r="225" spans="1:5" x14ac:dyDescent="0.25">
      <c r="A225" t="s">
        <v>1093</v>
      </c>
      <c r="B225" t="s">
        <v>2389</v>
      </c>
      <c r="C225" t="s">
        <v>2219</v>
      </c>
      <c r="D225" t="s">
        <v>412</v>
      </c>
      <c r="E225" t="s">
        <v>2393</v>
      </c>
    </row>
    <row r="226" spans="1:5" x14ac:dyDescent="0.25">
      <c r="A226" t="s">
        <v>1094</v>
      </c>
      <c r="B226" t="s">
        <v>2389</v>
      </c>
      <c r="C226" t="s">
        <v>2219</v>
      </c>
      <c r="D226" t="s">
        <v>412</v>
      </c>
      <c r="E226" t="s">
        <v>2393</v>
      </c>
    </row>
    <row r="227" spans="1:5" x14ac:dyDescent="0.25">
      <c r="A227" t="s">
        <v>1095</v>
      </c>
      <c r="B227" t="s">
        <v>2390</v>
      </c>
      <c r="C227" t="s">
        <v>2272</v>
      </c>
      <c r="D227" t="s">
        <v>412</v>
      </c>
      <c r="E227" t="s">
        <v>2392</v>
      </c>
    </row>
    <row r="228" spans="1:5" x14ac:dyDescent="0.25">
      <c r="A228" t="s">
        <v>1096</v>
      </c>
      <c r="B228" t="s">
        <v>2390</v>
      </c>
      <c r="C228" t="s">
        <v>2219</v>
      </c>
      <c r="D228" t="s">
        <v>412</v>
      </c>
      <c r="E228" t="s">
        <v>2392</v>
      </c>
    </row>
    <row r="229" spans="1:5" x14ac:dyDescent="0.25">
      <c r="A229" s="257" t="s">
        <v>2463</v>
      </c>
    </row>
    <row r="230" spans="1:5" x14ac:dyDescent="0.25">
      <c r="A230" t="s">
        <v>1871</v>
      </c>
      <c r="B230" t="s">
        <v>2396</v>
      </c>
      <c r="C230" t="s">
        <v>2219</v>
      </c>
      <c r="D230" t="s">
        <v>493</v>
      </c>
      <c r="E230" t="s">
        <v>2392</v>
      </c>
    </row>
    <row r="231" spans="1:5" x14ac:dyDescent="0.25">
      <c r="A231" t="s">
        <v>1514</v>
      </c>
      <c r="B231" t="s">
        <v>2397</v>
      </c>
      <c r="C231" t="s">
        <v>2219</v>
      </c>
      <c r="D231" t="s">
        <v>493</v>
      </c>
      <c r="E231" t="s">
        <v>2392</v>
      </c>
    </row>
    <row r="232" spans="1:5" x14ac:dyDescent="0.25">
      <c r="A232" t="s">
        <v>2017</v>
      </c>
      <c r="B232" t="s">
        <v>2399</v>
      </c>
      <c r="C232" t="s">
        <v>2219</v>
      </c>
      <c r="D232" t="s">
        <v>412</v>
      </c>
      <c r="E232" t="s">
        <v>2392</v>
      </c>
    </row>
    <row r="233" spans="1:5" x14ac:dyDescent="0.25">
      <c r="A233" t="s">
        <v>2018</v>
      </c>
      <c r="B233" t="s">
        <v>2398</v>
      </c>
      <c r="C233" t="s">
        <v>2219</v>
      </c>
      <c r="D233" t="s">
        <v>412</v>
      </c>
      <c r="E233" t="s">
        <v>2392</v>
      </c>
    </row>
    <row r="234" spans="1:5" x14ac:dyDescent="0.25">
      <c r="A234" s="1" t="s">
        <v>2060</v>
      </c>
      <c r="B234" t="s">
        <v>2400</v>
      </c>
      <c r="C234" t="s">
        <v>2219</v>
      </c>
      <c r="D234" t="s">
        <v>412</v>
      </c>
      <c r="E234" t="s">
        <v>2392</v>
      </c>
    </row>
    <row r="235" spans="1:5" x14ac:dyDescent="0.25">
      <c r="A235" t="s">
        <v>2061</v>
      </c>
      <c r="B235" t="s">
        <v>2401</v>
      </c>
      <c r="C235" t="s">
        <v>2219</v>
      </c>
      <c r="D235" t="s">
        <v>412</v>
      </c>
      <c r="E235" t="s">
        <v>2392</v>
      </c>
    </row>
    <row r="236" spans="1:5" x14ac:dyDescent="0.25">
      <c r="A236" t="s">
        <v>2062</v>
      </c>
      <c r="B236" t="s">
        <v>2402</v>
      </c>
      <c r="C236" t="s">
        <v>2219</v>
      </c>
      <c r="D236" t="s">
        <v>412</v>
      </c>
      <c r="E236" t="s">
        <v>2392</v>
      </c>
    </row>
    <row r="237" spans="1:5" x14ac:dyDescent="0.25">
      <c r="A237" t="s">
        <v>1878</v>
      </c>
      <c r="B237" t="s">
        <v>2403</v>
      </c>
      <c r="C237" t="s">
        <v>2219</v>
      </c>
      <c r="D237" t="s">
        <v>412</v>
      </c>
      <c r="E237" t="s">
        <v>2392</v>
      </c>
    </row>
    <row r="238" spans="1:5" x14ac:dyDescent="0.25">
      <c r="A238" t="s">
        <v>2029</v>
      </c>
      <c r="B238" t="s">
        <v>2404</v>
      </c>
      <c r="C238" t="s">
        <v>2219</v>
      </c>
      <c r="D238" t="s">
        <v>412</v>
      </c>
      <c r="E238" t="s">
        <v>2392</v>
      </c>
    </row>
    <row r="239" spans="1:5" x14ac:dyDescent="0.25">
      <c r="A239" t="s">
        <v>2029</v>
      </c>
      <c r="B239" t="s">
        <v>2405</v>
      </c>
      <c r="C239" t="s">
        <v>2219</v>
      </c>
      <c r="D239" t="s">
        <v>412</v>
      </c>
      <c r="E239" t="s">
        <v>2392</v>
      </c>
    </row>
    <row r="240" spans="1:5" x14ac:dyDescent="0.25">
      <c r="A240" t="s">
        <v>2029</v>
      </c>
      <c r="B240" t="s">
        <v>2406</v>
      </c>
      <c r="C240" t="s">
        <v>2219</v>
      </c>
      <c r="D240" t="s">
        <v>412</v>
      </c>
      <c r="E240" t="s">
        <v>2392</v>
      </c>
    </row>
    <row r="241" spans="1:8" x14ac:dyDescent="0.25">
      <c r="A241" t="s">
        <v>2029</v>
      </c>
      <c r="B241" t="s">
        <v>2407</v>
      </c>
      <c r="C241" t="s">
        <v>2219</v>
      </c>
      <c r="D241" t="s">
        <v>412</v>
      </c>
      <c r="E241" t="s">
        <v>2392</v>
      </c>
    </row>
    <row r="242" spans="1:8" x14ac:dyDescent="0.25">
      <c r="A242" t="s">
        <v>2106</v>
      </c>
      <c r="B242" t="s">
        <v>2408</v>
      </c>
      <c r="C242" t="s">
        <v>2219</v>
      </c>
      <c r="D242" t="s">
        <v>412</v>
      </c>
      <c r="E242" t="s">
        <v>2392</v>
      </c>
    </row>
    <row r="243" spans="1:8" x14ac:dyDescent="0.25">
      <c r="A243" t="s">
        <v>2107</v>
      </c>
      <c r="B243" t="s">
        <v>2409</v>
      </c>
      <c r="C243" t="s">
        <v>2219</v>
      </c>
      <c r="D243" t="s">
        <v>412</v>
      </c>
      <c r="E243" t="s">
        <v>2392</v>
      </c>
    </row>
    <row r="244" spans="1:8" x14ac:dyDescent="0.25">
      <c r="A244" s="1" t="s">
        <v>1506</v>
      </c>
      <c r="B244" t="s">
        <v>2410</v>
      </c>
      <c r="C244" t="s">
        <v>2219</v>
      </c>
      <c r="D244" t="s">
        <v>412</v>
      </c>
      <c r="E244" t="s">
        <v>2392</v>
      </c>
    </row>
    <row r="245" spans="1:8" x14ac:dyDescent="0.25">
      <c r="A245" t="s">
        <v>2003</v>
      </c>
      <c r="B245" t="s">
        <v>2411</v>
      </c>
      <c r="C245" t="s">
        <v>2219</v>
      </c>
      <c r="D245" t="s">
        <v>412</v>
      </c>
      <c r="E245" t="s">
        <v>2392</v>
      </c>
    </row>
    <row r="246" spans="1:8" x14ac:dyDescent="0.25">
      <c r="A246" s="1" t="s">
        <v>1511</v>
      </c>
      <c r="B246" t="s">
        <v>2412</v>
      </c>
      <c r="C246" t="s">
        <v>2219</v>
      </c>
      <c r="D246" t="s">
        <v>493</v>
      </c>
      <c r="E246" t="s">
        <v>2392</v>
      </c>
    </row>
    <row r="247" spans="1:8" x14ac:dyDescent="0.25">
      <c r="A247" s="1" t="s">
        <v>1512</v>
      </c>
      <c r="B247" t="s">
        <v>2413</v>
      </c>
      <c r="C247" t="s">
        <v>2219</v>
      </c>
      <c r="D247" t="s">
        <v>493</v>
      </c>
      <c r="E247" t="s">
        <v>2392</v>
      </c>
    </row>
    <row r="248" spans="1:8" x14ac:dyDescent="0.25">
      <c r="A248" t="s">
        <v>1521</v>
      </c>
      <c r="B248" t="s">
        <v>2414</v>
      </c>
      <c r="C248" t="s">
        <v>2219</v>
      </c>
      <c r="D248" t="s">
        <v>493</v>
      </c>
      <c r="E248" t="s">
        <v>2392</v>
      </c>
    </row>
    <row r="249" spans="1:8" x14ac:dyDescent="0.25">
      <c r="A249" t="s">
        <v>2000</v>
      </c>
      <c r="B249" t="s">
        <v>2415</v>
      </c>
      <c r="C249" t="s">
        <v>2219</v>
      </c>
      <c r="D249" t="s">
        <v>493</v>
      </c>
      <c r="E249" t="s">
        <v>2392</v>
      </c>
    </row>
    <row r="250" spans="1:8" x14ac:dyDescent="0.25">
      <c r="A250" s="1" t="s">
        <v>2002</v>
      </c>
      <c r="B250" t="s">
        <v>2416</v>
      </c>
      <c r="C250" t="s">
        <v>2219</v>
      </c>
      <c r="D250" t="s">
        <v>412</v>
      </c>
      <c r="E250" t="s">
        <v>2392</v>
      </c>
    </row>
    <row r="251" spans="1:8" x14ac:dyDescent="0.25">
      <c r="A251" s="131" t="s">
        <v>2001</v>
      </c>
      <c r="B251" t="s">
        <v>2417</v>
      </c>
      <c r="C251" t="s">
        <v>2219</v>
      </c>
      <c r="D251" t="s">
        <v>412</v>
      </c>
      <c r="E251" t="s">
        <v>2392</v>
      </c>
    </row>
    <row r="252" spans="1:8" x14ac:dyDescent="0.25">
      <c r="A252" s="131" t="s">
        <v>1899</v>
      </c>
      <c r="B252" t="s">
        <v>2305</v>
      </c>
      <c r="C252" t="s">
        <v>2219</v>
      </c>
      <c r="D252" t="s">
        <v>412</v>
      </c>
      <c r="E252" t="s">
        <v>2392</v>
      </c>
    </row>
    <row r="253" spans="1:8" x14ac:dyDescent="0.25">
      <c r="A253" s="131" t="s">
        <v>1900</v>
      </c>
      <c r="B253" t="s">
        <v>2305</v>
      </c>
      <c r="C253" t="s">
        <v>2219</v>
      </c>
      <c r="D253" t="s">
        <v>412</v>
      </c>
      <c r="E253" t="s">
        <v>2392</v>
      </c>
      <c r="H253" t="s">
        <v>2433</v>
      </c>
    </row>
    <row r="254" spans="1:8" x14ac:dyDescent="0.25">
      <c r="A254" t="s">
        <v>2006</v>
      </c>
      <c r="B254" t="s">
        <v>2418</v>
      </c>
      <c r="C254" t="s">
        <v>2219</v>
      </c>
      <c r="D254" t="s">
        <v>412</v>
      </c>
      <c r="E254" t="s">
        <v>2392</v>
      </c>
    </row>
    <row r="255" spans="1:8" x14ac:dyDescent="0.25">
      <c r="A255" t="s">
        <v>2007</v>
      </c>
      <c r="B255" t="s">
        <v>2419</v>
      </c>
      <c r="C255" t="s">
        <v>2219</v>
      </c>
      <c r="D255" t="s">
        <v>412</v>
      </c>
      <c r="E255" t="s">
        <v>2392</v>
      </c>
    </row>
    <row r="256" spans="1:8" x14ac:dyDescent="0.25">
      <c r="A256" t="s">
        <v>2108</v>
      </c>
      <c r="B256" t="s">
        <v>2312</v>
      </c>
      <c r="C256" t="s">
        <v>2219</v>
      </c>
      <c r="D256" t="s">
        <v>413</v>
      </c>
      <c r="E256" t="s">
        <v>2392</v>
      </c>
    </row>
    <row r="257" spans="1:8" x14ac:dyDescent="0.25">
      <c r="A257" t="s">
        <v>2109</v>
      </c>
      <c r="B257" t="s">
        <v>2314</v>
      </c>
      <c r="C257" t="s">
        <v>2219</v>
      </c>
      <c r="D257" t="s">
        <v>413</v>
      </c>
      <c r="E257" t="s">
        <v>2392</v>
      </c>
    </row>
    <row r="258" spans="1:8" x14ac:dyDescent="0.25">
      <c r="A258" t="s">
        <v>1273</v>
      </c>
      <c r="B258" t="s">
        <v>2432</v>
      </c>
      <c r="C258" t="s">
        <v>2219</v>
      </c>
      <c r="D258" t="s">
        <v>412</v>
      </c>
      <c r="E258" t="s">
        <v>2392</v>
      </c>
      <c r="H258" t="s">
        <v>2423</v>
      </c>
    </row>
    <row r="259" spans="1:8" x14ac:dyDescent="0.25">
      <c r="A259" t="s">
        <v>2009</v>
      </c>
      <c r="B259" t="s">
        <v>2424</v>
      </c>
      <c r="C259" t="s">
        <v>2219</v>
      </c>
      <c r="D259" t="s">
        <v>412</v>
      </c>
      <c r="E259" t="s">
        <v>2392</v>
      </c>
    </row>
    <row r="260" spans="1:8" x14ac:dyDescent="0.25">
      <c r="A260" t="s">
        <v>2133</v>
      </c>
      <c r="B260" t="s">
        <v>2425</v>
      </c>
      <c r="C260" t="s">
        <v>2219</v>
      </c>
      <c r="D260" t="s">
        <v>412</v>
      </c>
      <c r="E260" t="s">
        <v>2392</v>
      </c>
    </row>
    <row r="261" spans="1:8" x14ac:dyDescent="0.25">
      <c r="A261" t="s">
        <v>2129</v>
      </c>
      <c r="B261" t="s">
        <v>2427</v>
      </c>
      <c r="C261" t="s">
        <v>2219</v>
      </c>
      <c r="D261" t="s">
        <v>412</v>
      </c>
      <c r="E261" t="s">
        <v>2392</v>
      </c>
    </row>
    <row r="262" spans="1:8" x14ac:dyDescent="0.25">
      <c r="A262" t="s">
        <v>2042</v>
      </c>
      <c r="B262" t="s">
        <v>2428</v>
      </c>
      <c r="C262" t="s">
        <v>2219</v>
      </c>
      <c r="D262" t="s">
        <v>412</v>
      </c>
      <c r="E262" t="s">
        <v>2392</v>
      </c>
      <c r="H262" t="s">
        <v>2430</v>
      </c>
    </row>
    <row r="263" spans="1:8" x14ac:dyDescent="0.25">
      <c r="A263" t="s">
        <v>2043</v>
      </c>
      <c r="B263" t="s">
        <v>2428</v>
      </c>
      <c r="C263" t="s">
        <v>2219</v>
      </c>
      <c r="D263" t="s">
        <v>412</v>
      </c>
      <c r="E263" t="s">
        <v>2392</v>
      </c>
      <c r="H263" t="s">
        <v>2430</v>
      </c>
    </row>
    <row r="264" spans="1:8" x14ac:dyDescent="0.25">
      <c r="A264" t="s">
        <v>2084</v>
      </c>
      <c r="B264" t="s">
        <v>2429</v>
      </c>
      <c r="C264" t="s">
        <v>2219</v>
      </c>
      <c r="D264" t="s">
        <v>412</v>
      </c>
      <c r="E264" t="s">
        <v>2392</v>
      </c>
      <c r="H264" t="s">
        <v>2431</v>
      </c>
    </row>
    <row r="265" spans="1:8" x14ac:dyDescent="0.25">
      <c r="A265" t="s">
        <v>2083</v>
      </c>
      <c r="B265" t="s">
        <v>2429</v>
      </c>
      <c r="C265" t="s">
        <v>2219</v>
      </c>
      <c r="D265" t="s">
        <v>412</v>
      </c>
      <c r="E265" t="s">
        <v>2392</v>
      </c>
      <c r="H265" t="s">
        <v>2431</v>
      </c>
    </row>
    <row r="266" spans="1:8" x14ac:dyDescent="0.25">
      <c r="A266" t="s">
        <v>2005</v>
      </c>
      <c r="B266" t="s">
        <v>2441</v>
      </c>
      <c r="C266" t="s">
        <v>2219</v>
      </c>
      <c r="D266" t="s">
        <v>412</v>
      </c>
      <c r="E266" t="s">
        <v>2392</v>
      </c>
    </row>
    <row r="267" spans="1:8" x14ac:dyDescent="0.25">
      <c r="A267" t="s">
        <v>2019</v>
      </c>
      <c r="B267" t="s">
        <v>2434</v>
      </c>
      <c r="C267" t="s">
        <v>2219</v>
      </c>
      <c r="D267" t="s">
        <v>412</v>
      </c>
      <c r="E267" t="s">
        <v>2392</v>
      </c>
      <c r="H267" t="s">
        <v>2440</v>
      </c>
    </row>
    <row r="268" spans="1:8" x14ac:dyDescent="0.25">
      <c r="A268" t="s">
        <v>2020</v>
      </c>
      <c r="B268" t="s">
        <v>2435</v>
      </c>
      <c r="C268" t="s">
        <v>2219</v>
      </c>
      <c r="D268" t="s">
        <v>412</v>
      </c>
      <c r="E268" t="s">
        <v>2392</v>
      </c>
    </row>
    <row r="269" spans="1:8" x14ac:dyDescent="0.25">
      <c r="A269" s="1" t="s">
        <v>2057</v>
      </c>
      <c r="B269" t="s">
        <v>2436</v>
      </c>
      <c r="C269" t="s">
        <v>2219</v>
      </c>
      <c r="D269" t="s">
        <v>412</v>
      </c>
      <c r="E269" t="s">
        <v>2392</v>
      </c>
    </row>
    <row r="270" spans="1:8" x14ac:dyDescent="0.25">
      <c r="A270" s="1" t="s">
        <v>2058</v>
      </c>
      <c r="B270" t="s">
        <v>2437</v>
      </c>
      <c r="C270" t="s">
        <v>2219</v>
      </c>
      <c r="D270" t="s">
        <v>412</v>
      </c>
      <c r="E270" t="s">
        <v>2392</v>
      </c>
    </row>
    <row r="271" spans="1:8" x14ac:dyDescent="0.25">
      <c r="A271" s="1" t="s">
        <v>2059</v>
      </c>
      <c r="B271" t="s">
        <v>2438</v>
      </c>
      <c r="C271" t="s">
        <v>2219</v>
      </c>
      <c r="D271" t="s">
        <v>412</v>
      </c>
      <c r="E271" t="s">
        <v>2392</v>
      </c>
    </row>
    <row r="272" spans="1:8" x14ac:dyDescent="0.25">
      <c r="A272" t="s">
        <v>2136</v>
      </c>
      <c r="B272" t="s">
        <v>2439</v>
      </c>
      <c r="C272" t="s">
        <v>2219</v>
      </c>
      <c r="D272" t="s">
        <v>412</v>
      </c>
      <c r="E272" t="s">
        <v>2392</v>
      </c>
    </row>
    <row r="273" spans="1:8" x14ac:dyDescent="0.25">
      <c r="A273" t="s">
        <v>2010</v>
      </c>
      <c r="B273" t="s">
        <v>2442</v>
      </c>
      <c r="C273" t="s">
        <v>2219</v>
      </c>
      <c r="D273" t="s">
        <v>412</v>
      </c>
      <c r="E273" t="s">
        <v>2392</v>
      </c>
    </row>
    <row r="274" spans="1:8" x14ac:dyDescent="0.25">
      <c r="A274" t="s">
        <v>2011</v>
      </c>
      <c r="B274" t="s">
        <v>2444</v>
      </c>
      <c r="C274" t="s">
        <v>2219</v>
      </c>
      <c r="D274" t="s">
        <v>493</v>
      </c>
      <c r="E274" t="s">
        <v>2392</v>
      </c>
      <c r="H274" t="s">
        <v>2426</v>
      </c>
    </row>
    <row r="275" spans="1:8" x14ac:dyDescent="0.25">
      <c r="A275" t="s">
        <v>2012</v>
      </c>
      <c r="B275" t="s">
        <v>2444</v>
      </c>
      <c r="C275" t="s">
        <v>2219</v>
      </c>
      <c r="D275" t="s">
        <v>493</v>
      </c>
      <c r="E275" t="s">
        <v>2392</v>
      </c>
      <c r="H275" t="s">
        <v>2445</v>
      </c>
    </row>
    <row r="276" spans="1:8" x14ac:dyDescent="0.25">
      <c r="A276" t="s">
        <v>2013</v>
      </c>
      <c r="B276" t="s">
        <v>2444</v>
      </c>
      <c r="C276" t="s">
        <v>2219</v>
      </c>
      <c r="D276" t="s">
        <v>493</v>
      </c>
      <c r="E276" t="s">
        <v>2392</v>
      </c>
    </row>
    <row r="277" spans="1:8" x14ac:dyDescent="0.25">
      <c r="A277" t="s">
        <v>2014</v>
      </c>
      <c r="B277" t="s">
        <v>2444</v>
      </c>
      <c r="C277" t="s">
        <v>2219</v>
      </c>
      <c r="D277" t="s">
        <v>493</v>
      </c>
      <c r="E277" t="s">
        <v>2392</v>
      </c>
    </row>
    <row r="278" spans="1:8" x14ac:dyDescent="0.25">
      <c r="A278" t="s">
        <v>2015</v>
      </c>
      <c r="B278" t="s">
        <v>2444</v>
      </c>
      <c r="C278" t="s">
        <v>2219</v>
      </c>
      <c r="D278" t="s">
        <v>493</v>
      </c>
      <c r="E278" t="s">
        <v>2392</v>
      </c>
    </row>
    <row r="279" spans="1:8" x14ac:dyDescent="0.25">
      <c r="A279" t="s">
        <v>2004</v>
      </c>
      <c r="B279" t="s">
        <v>2452</v>
      </c>
      <c r="C279" t="s">
        <v>2219</v>
      </c>
      <c r="D279" t="s">
        <v>412</v>
      </c>
      <c r="E279" t="s">
        <v>2392</v>
      </c>
    </row>
    <row r="280" spans="1:8" x14ac:dyDescent="0.25">
      <c r="A280" t="s">
        <v>1879</v>
      </c>
      <c r="B280" t="s">
        <v>2454</v>
      </c>
      <c r="C280" t="s">
        <v>2219</v>
      </c>
      <c r="D280" t="s">
        <v>412</v>
      </c>
      <c r="E280" t="s">
        <v>2392</v>
      </c>
    </row>
    <row r="281" spans="1:8" x14ac:dyDescent="0.25">
      <c r="A281" t="s">
        <v>2094</v>
      </c>
      <c r="B281" t="s">
        <v>2455</v>
      </c>
      <c r="C281" t="s">
        <v>2219</v>
      </c>
      <c r="D281" t="s">
        <v>412</v>
      </c>
      <c r="E281" t="s">
        <v>2392</v>
      </c>
      <c r="H281" t="s">
        <v>2456</v>
      </c>
    </row>
    <row r="282" spans="1:8" x14ac:dyDescent="0.25">
      <c r="A282" t="s">
        <v>2169</v>
      </c>
      <c r="B282" t="s">
        <v>2457</v>
      </c>
      <c r="C282" t="s">
        <v>2219</v>
      </c>
      <c r="D282" t="s">
        <v>412</v>
      </c>
      <c r="E282" t="s">
        <v>2392</v>
      </c>
    </row>
    <row r="283" spans="1:8" x14ac:dyDescent="0.25">
      <c r="A283" t="s">
        <v>2182</v>
      </c>
      <c r="B283" t="s">
        <v>2458</v>
      </c>
      <c r="C283" t="s">
        <v>2219</v>
      </c>
      <c r="D283" t="s">
        <v>412</v>
      </c>
      <c r="E283" t="s">
        <v>2392</v>
      </c>
    </row>
    <row r="284" spans="1:8" x14ac:dyDescent="0.25">
      <c r="A284" t="s">
        <v>2056</v>
      </c>
      <c r="B284" t="s">
        <v>2459</v>
      </c>
      <c r="C284" t="s">
        <v>2219</v>
      </c>
      <c r="D284" t="s">
        <v>412</v>
      </c>
      <c r="E284" t="s">
        <v>2392</v>
      </c>
      <c r="H284" t="s">
        <v>2460</v>
      </c>
    </row>
    <row r="288" spans="1:8" x14ac:dyDescent="0.25">
      <c r="A288" s="258" t="s">
        <v>2037</v>
      </c>
      <c r="B288" s="252" t="s">
        <v>2381</v>
      </c>
      <c r="C288" t="s">
        <v>2272</v>
      </c>
      <c r="H288" t="s">
        <v>2446</v>
      </c>
    </row>
    <row r="289" spans="1:8" x14ac:dyDescent="0.25">
      <c r="A289" s="258" t="s">
        <v>2037</v>
      </c>
      <c r="B289" s="252" t="s">
        <v>2381</v>
      </c>
      <c r="C289" t="s">
        <v>2272</v>
      </c>
      <c r="H289" t="s">
        <v>2443</v>
      </c>
    </row>
    <row r="290" spans="1:8" x14ac:dyDescent="0.25">
      <c r="A290" s="258" t="s">
        <v>2037</v>
      </c>
      <c r="B290" s="252" t="s">
        <v>2381</v>
      </c>
      <c r="C290" t="s">
        <v>2272</v>
      </c>
      <c r="H290" t="s">
        <v>2448</v>
      </c>
    </row>
    <row r="291" spans="1:8" x14ac:dyDescent="0.25">
      <c r="A291" s="258" t="s">
        <v>2038</v>
      </c>
      <c r="B291" s="197" t="s">
        <v>2447</v>
      </c>
      <c r="C291" t="s">
        <v>2272</v>
      </c>
      <c r="H291" t="s">
        <v>2449</v>
      </c>
    </row>
    <row r="292" spans="1:8" x14ac:dyDescent="0.25">
      <c r="A292" s="258" t="s">
        <v>2038</v>
      </c>
      <c r="B292" s="197" t="s">
        <v>2447</v>
      </c>
      <c r="C292" t="s">
        <v>2272</v>
      </c>
      <c r="H292" t="s">
        <v>2449</v>
      </c>
    </row>
    <row r="293" spans="1:8" x14ac:dyDescent="0.25">
      <c r="A293" s="258" t="s">
        <v>2037</v>
      </c>
      <c r="B293" s="252" t="s">
        <v>2381</v>
      </c>
      <c r="C293" t="s">
        <v>2272</v>
      </c>
    </row>
    <row r="294" spans="1:8" x14ac:dyDescent="0.25">
      <c r="A294" s="258" t="s">
        <v>2087</v>
      </c>
      <c r="B294" s="252" t="s">
        <v>2381</v>
      </c>
      <c r="C294" t="s">
        <v>2272</v>
      </c>
      <c r="H294" t="s">
        <v>2450</v>
      </c>
    </row>
    <row r="295" spans="1:8" x14ac:dyDescent="0.25">
      <c r="A295" s="259"/>
    </row>
    <row r="296" spans="1:8" x14ac:dyDescent="0.25">
      <c r="A296" s="259" t="s">
        <v>1903</v>
      </c>
      <c r="B296" t="s">
        <v>2315</v>
      </c>
      <c r="C296" t="s">
        <v>2272</v>
      </c>
      <c r="H296" t="s">
        <v>2451</v>
      </c>
    </row>
    <row r="297" spans="1:8" x14ac:dyDescent="0.25">
      <c r="A297" s="259" t="s">
        <v>1904</v>
      </c>
      <c r="B297" t="s">
        <v>2316</v>
      </c>
      <c r="C297" t="s">
        <v>2272</v>
      </c>
    </row>
    <row r="298" spans="1:8" x14ac:dyDescent="0.25">
      <c r="A298" s="259" t="s">
        <v>1905</v>
      </c>
      <c r="B298" t="s">
        <v>2317</v>
      </c>
      <c r="C298" t="s">
        <v>2272</v>
      </c>
    </row>
    <row r="299" spans="1:8" x14ac:dyDescent="0.25">
      <c r="A299" s="259" t="s">
        <v>1906</v>
      </c>
      <c r="B299" t="s">
        <v>2318</v>
      </c>
      <c r="C299" t="s">
        <v>2272</v>
      </c>
    </row>
    <row r="300" spans="1:8" x14ac:dyDescent="0.25">
      <c r="A300" s="259" t="s">
        <v>1907</v>
      </c>
      <c r="B300" t="s">
        <v>2319</v>
      </c>
      <c r="C300" t="s">
        <v>2272</v>
      </c>
    </row>
    <row r="301" spans="1:8" x14ac:dyDescent="0.25">
      <c r="A301" s="259" t="s">
        <v>1908</v>
      </c>
      <c r="B301" t="s">
        <v>2320</v>
      </c>
      <c r="C301" t="s">
        <v>2272</v>
      </c>
    </row>
    <row r="302" spans="1:8" x14ac:dyDescent="0.25">
      <c r="A302" s="259" t="s">
        <v>1909</v>
      </c>
      <c r="B302" t="s">
        <v>2321</v>
      </c>
      <c r="C302" t="s">
        <v>2272</v>
      </c>
      <c r="H302" s="1"/>
    </row>
    <row r="303" spans="1:8" x14ac:dyDescent="0.25">
      <c r="A303" s="259" t="s">
        <v>1910</v>
      </c>
      <c r="B303" t="s">
        <v>2322</v>
      </c>
      <c r="C303" t="s">
        <v>2272</v>
      </c>
      <c r="H303" s="1"/>
    </row>
    <row r="304" spans="1:8" x14ac:dyDescent="0.25">
      <c r="A304" s="259" t="s">
        <v>1911</v>
      </c>
      <c r="B304" t="s">
        <v>2323</v>
      </c>
      <c r="C304" t="s">
        <v>2272</v>
      </c>
      <c r="H304" s="1"/>
    </row>
    <row r="305" spans="1:8" x14ac:dyDescent="0.25">
      <c r="A305" s="259" t="s">
        <v>1912</v>
      </c>
      <c r="B305" t="s">
        <v>2324</v>
      </c>
      <c r="C305" t="s">
        <v>2272</v>
      </c>
      <c r="H305" s="1"/>
    </row>
    <row r="306" spans="1:8" x14ac:dyDescent="0.25">
      <c r="A306" s="259" t="s">
        <v>1913</v>
      </c>
      <c r="B306" t="s">
        <v>2325</v>
      </c>
      <c r="C306" t="s">
        <v>2272</v>
      </c>
      <c r="H306" s="1"/>
    </row>
    <row r="307" spans="1:8" x14ac:dyDescent="0.25">
      <c r="A307" s="259" t="s">
        <v>1914</v>
      </c>
      <c r="B307" t="s">
        <v>2326</v>
      </c>
      <c r="C307" t="s">
        <v>2272</v>
      </c>
      <c r="H307" s="1"/>
    </row>
    <row r="308" spans="1:8" x14ac:dyDescent="0.25">
      <c r="H308" s="1"/>
    </row>
    <row r="309" spans="1:8" x14ac:dyDescent="0.25">
      <c r="H309" s="1"/>
    </row>
    <row r="310" spans="1:8" x14ac:dyDescent="0.25">
      <c r="H310" s="1"/>
    </row>
  </sheetData>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86"/>
  <sheetViews>
    <sheetView zoomScale="85" zoomScaleNormal="85" workbookViewId="0">
      <pane xSplit="2" ySplit="3" topLeftCell="C4" activePane="bottomRight" state="frozen"/>
      <selection pane="topRight" activeCell="C1" sqref="C1"/>
      <selection pane="bottomLeft" activeCell="A3" sqref="A3"/>
      <selection pane="bottomRight" activeCell="R11" sqref="R11"/>
    </sheetView>
  </sheetViews>
  <sheetFormatPr defaultRowHeight="15" x14ac:dyDescent="0.25"/>
  <cols>
    <col min="1" max="1" width="26.42578125" bestFit="1" customWidth="1"/>
    <col min="2" max="2" width="73" customWidth="1"/>
    <col min="3" max="3" width="38.5703125" bestFit="1" customWidth="1"/>
    <col min="4" max="4" width="12.28515625" customWidth="1"/>
    <col min="5" max="5" width="13.28515625" customWidth="1"/>
    <col min="6" max="6" width="20.5703125" bestFit="1" customWidth="1"/>
    <col min="7" max="7" width="17" customWidth="1"/>
    <col min="8" max="8" width="16.42578125" customWidth="1"/>
    <col min="9" max="9" width="15.7109375" bestFit="1" customWidth="1"/>
    <col min="10" max="11" width="12" customWidth="1"/>
    <col min="12" max="12" width="12" bestFit="1" customWidth="1"/>
    <col min="14" max="15" width="10.7109375" bestFit="1" customWidth="1"/>
    <col min="16" max="16" width="10.7109375" customWidth="1"/>
    <col min="17" max="17" width="255.7109375" bestFit="1" customWidth="1"/>
  </cols>
  <sheetData>
    <row r="1" spans="1:18" ht="45" x14ac:dyDescent="0.25">
      <c r="A1" s="21" t="s">
        <v>136</v>
      </c>
      <c r="B1" s="21" t="s">
        <v>0</v>
      </c>
      <c r="C1" s="21" t="s">
        <v>2</v>
      </c>
      <c r="D1" s="22" t="s">
        <v>517</v>
      </c>
      <c r="E1" s="22" t="s">
        <v>532</v>
      </c>
      <c r="F1" s="123" t="s">
        <v>637</v>
      </c>
      <c r="G1" s="22" t="s">
        <v>638</v>
      </c>
      <c r="H1" s="22" t="s">
        <v>963</v>
      </c>
      <c r="I1" s="22" t="s">
        <v>531</v>
      </c>
      <c r="J1" s="22" t="s">
        <v>533</v>
      </c>
      <c r="K1" s="22" t="s">
        <v>490</v>
      </c>
      <c r="L1" s="22" t="s">
        <v>486</v>
      </c>
      <c r="M1" s="22" t="s">
        <v>487</v>
      </c>
      <c r="N1" s="22" t="s">
        <v>488</v>
      </c>
      <c r="O1" s="22" t="s">
        <v>489</v>
      </c>
      <c r="P1" s="22" t="s">
        <v>922</v>
      </c>
      <c r="Q1" s="24" t="s">
        <v>438</v>
      </c>
    </row>
    <row r="2" spans="1:18" ht="51" x14ac:dyDescent="0.25">
      <c r="A2" s="125"/>
      <c r="B2" s="125"/>
      <c r="C2" s="125"/>
      <c r="D2" s="125"/>
      <c r="E2" s="10" t="s">
        <v>569</v>
      </c>
      <c r="F2" s="124" t="s">
        <v>427</v>
      </c>
      <c r="G2" s="17" t="s">
        <v>535</v>
      </c>
      <c r="H2" s="128"/>
      <c r="I2" s="10" t="s">
        <v>569</v>
      </c>
      <c r="J2" s="17" t="s">
        <v>534</v>
      </c>
      <c r="K2" s="126" t="s">
        <v>1103</v>
      </c>
      <c r="L2" s="17" t="s">
        <v>535</v>
      </c>
      <c r="M2" s="17" t="s">
        <v>427</v>
      </c>
      <c r="N2" s="10" t="s">
        <v>48</v>
      </c>
      <c r="O2" s="17" t="s">
        <v>46</v>
      </c>
      <c r="P2" s="10" t="s">
        <v>47</v>
      </c>
      <c r="Q2" s="127"/>
    </row>
    <row r="3" spans="1:18" x14ac:dyDescent="0.25">
      <c r="A3" t="s">
        <v>9</v>
      </c>
      <c r="B3" t="s">
        <v>188</v>
      </c>
      <c r="C3" t="str">
        <f>VLOOKUP(B3,'Planting GPS Points'!$B$3:$L$290,10,FALSE)</f>
        <v>WDFW</v>
      </c>
      <c r="D3" t="str">
        <f>VLOOKUP(B3,'Planting GPS Points'!$B$3:$AL$290,17,FALSE)</f>
        <v>test</v>
      </c>
      <c r="E3" s="27">
        <v>41431</v>
      </c>
      <c r="F3" s="20">
        <v>36</v>
      </c>
      <c r="G3">
        <v>720</v>
      </c>
      <c r="H3" s="12" t="s">
        <v>49</v>
      </c>
      <c r="I3" s="27">
        <v>41613</v>
      </c>
      <c r="J3" s="19" t="s">
        <v>291</v>
      </c>
      <c r="K3" s="19" t="s">
        <v>168</v>
      </c>
      <c r="M3">
        <v>36</v>
      </c>
      <c r="N3" s="20">
        <f t="shared" ref="N3:N20" si="0">IFERROR(L3/M3, "")</f>
        <v>0</v>
      </c>
      <c r="O3">
        <f t="shared" ref="O3:O42" si="1">I3-E3</f>
        <v>182</v>
      </c>
      <c r="P3" s="116" t="str">
        <f t="shared" ref="P3:P23" si="2">IF(L3="", "", L3/G3)</f>
        <v/>
      </c>
      <c r="Q3" s="13" t="s">
        <v>634</v>
      </c>
      <c r="R3" s="26"/>
    </row>
    <row r="4" spans="1:18" x14ac:dyDescent="0.25">
      <c r="A4" t="s">
        <v>9</v>
      </c>
      <c r="B4" t="s">
        <v>188</v>
      </c>
      <c r="C4" t="str">
        <f>VLOOKUP(B4,'Planting GPS Points'!$B$3:$L$290,10,FALSE)</f>
        <v>WDFW</v>
      </c>
      <c r="D4" t="str">
        <f>VLOOKUP(B4,'Planting GPS Points'!$B$3:$AL$290,17,FALSE)</f>
        <v>test</v>
      </c>
      <c r="E4" s="27">
        <v>41431</v>
      </c>
      <c r="F4" s="20">
        <v>36</v>
      </c>
      <c r="G4">
        <v>720</v>
      </c>
      <c r="H4" s="12" t="s">
        <v>49</v>
      </c>
      <c r="I4" s="27">
        <v>41725</v>
      </c>
      <c r="J4" s="19" t="s">
        <v>291</v>
      </c>
      <c r="K4" s="19" t="s">
        <v>168</v>
      </c>
      <c r="L4">
        <v>17</v>
      </c>
      <c r="M4">
        <v>36</v>
      </c>
      <c r="N4" s="20">
        <f t="shared" si="0"/>
        <v>0.47222222222222221</v>
      </c>
      <c r="O4">
        <f t="shared" si="1"/>
        <v>294</v>
      </c>
      <c r="P4" s="116">
        <f t="shared" si="2"/>
        <v>2.361111111111111E-2</v>
      </c>
      <c r="Q4" s="13" t="s">
        <v>725</v>
      </c>
    </row>
    <row r="5" spans="1:18" s="26" customFormat="1" x14ac:dyDescent="0.25">
      <c r="A5" s="197" t="s">
        <v>9</v>
      </c>
      <c r="B5" s="197" t="s">
        <v>2005</v>
      </c>
      <c r="C5" t="str">
        <f>VLOOKUP(B5,'Planting GPS Points'!$B$3:$L$290,10,FALSE)</f>
        <v>USACE</v>
      </c>
      <c r="D5" t="str">
        <f>VLOOKUP(B5,'Planting GPS Points'!$B$3:$AL$290,17,FALSE)</f>
        <v>test</v>
      </c>
      <c r="E5" s="198">
        <v>44012</v>
      </c>
      <c r="F5" s="197">
        <v>4.75</v>
      </c>
      <c r="G5" s="197">
        <v>475</v>
      </c>
      <c r="H5" s="199" t="s">
        <v>49</v>
      </c>
      <c r="I5" s="198">
        <v>44307</v>
      </c>
      <c r="J5" s="200" t="s">
        <v>291</v>
      </c>
      <c r="K5" s="200" t="s">
        <v>169</v>
      </c>
      <c r="L5" s="197">
        <v>100</v>
      </c>
      <c r="M5" s="197">
        <v>6.25</v>
      </c>
      <c r="N5" s="201">
        <f t="shared" si="0"/>
        <v>16</v>
      </c>
      <c r="O5" s="197">
        <f t="shared" si="1"/>
        <v>295</v>
      </c>
      <c r="P5" s="202">
        <f t="shared" si="2"/>
        <v>0.21052631578947367</v>
      </c>
      <c r="Q5" s="203" t="s">
        <v>2069</v>
      </c>
      <c r="R5" s="197" t="s">
        <v>2070</v>
      </c>
    </row>
    <row r="6" spans="1:18" x14ac:dyDescent="0.25">
      <c r="A6" t="s">
        <v>9</v>
      </c>
      <c r="B6" t="s">
        <v>187</v>
      </c>
      <c r="C6" t="str">
        <f>VLOOKUP(B6,'Planting GPS Points'!$B$3:$L$290,10,FALSE)</f>
        <v>WDFW</v>
      </c>
      <c r="D6" t="str">
        <f>VLOOKUP(B6,'Planting GPS Points'!$B$3:$AL$290,17,FALSE)</f>
        <v>test</v>
      </c>
      <c r="E6" s="27">
        <v>41431</v>
      </c>
      <c r="F6" s="20">
        <v>36</v>
      </c>
      <c r="G6">
        <v>720</v>
      </c>
      <c r="H6" s="12" t="s">
        <v>49</v>
      </c>
      <c r="I6" s="27">
        <v>41613</v>
      </c>
      <c r="J6" s="19" t="s">
        <v>291</v>
      </c>
      <c r="K6" s="19" t="s">
        <v>168</v>
      </c>
      <c r="M6">
        <v>36</v>
      </c>
      <c r="N6" s="20">
        <f t="shared" si="0"/>
        <v>0</v>
      </c>
      <c r="O6">
        <f t="shared" si="1"/>
        <v>182</v>
      </c>
      <c r="P6" s="116" t="str">
        <f t="shared" si="2"/>
        <v/>
      </c>
      <c r="Q6" s="13" t="s">
        <v>633</v>
      </c>
    </row>
    <row r="7" spans="1:18" s="26" customFormat="1" x14ac:dyDescent="0.25">
      <c r="A7" t="s">
        <v>9</v>
      </c>
      <c r="B7" t="s">
        <v>187</v>
      </c>
      <c r="C7" t="str">
        <f>VLOOKUP(B7,'Planting GPS Points'!$B$3:$L$290,10,FALSE)</f>
        <v>WDFW</v>
      </c>
      <c r="D7" t="str">
        <f>VLOOKUP(B7,'Planting GPS Points'!$B$3:$AL$290,17,FALSE)</f>
        <v>test</v>
      </c>
      <c r="E7" s="27">
        <v>41431</v>
      </c>
      <c r="F7" s="20">
        <v>36</v>
      </c>
      <c r="G7">
        <v>720</v>
      </c>
      <c r="H7" s="12" t="s">
        <v>49</v>
      </c>
      <c r="I7" s="27">
        <v>41725</v>
      </c>
      <c r="J7" s="19" t="s">
        <v>291</v>
      </c>
      <c r="K7" s="19" t="s">
        <v>168</v>
      </c>
      <c r="L7">
        <v>9</v>
      </c>
      <c r="M7">
        <v>36</v>
      </c>
      <c r="N7" s="20">
        <f t="shared" si="0"/>
        <v>0.25</v>
      </c>
      <c r="O7">
        <f t="shared" si="1"/>
        <v>294</v>
      </c>
      <c r="P7" s="116">
        <f t="shared" si="2"/>
        <v>1.2500000000000001E-2</v>
      </c>
      <c r="Q7"/>
      <c r="R7"/>
    </row>
    <row r="8" spans="1:18" x14ac:dyDescent="0.25">
      <c r="A8" t="s">
        <v>9</v>
      </c>
      <c r="B8" t="s">
        <v>2020</v>
      </c>
      <c r="C8" t="str">
        <f>VLOOKUP(B8,'Planting GPS Points'!$B$3:$L$290,10,FALSE)</f>
        <v>USACE</v>
      </c>
      <c r="D8" t="str">
        <f>VLOOKUP(B8,'Planting GPS Points'!$B$3:$AL$290,17,FALSE)</f>
        <v>test</v>
      </c>
      <c r="E8" s="27">
        <v>44012</v>
      </c>
      <c r="F8">
        <v>5</v>
      </c>
      <c r="G8">
        <v>500</v>
      </c>
      <c r="H8" s="12" t="s">
        <v>49</v>
      </c>
      <c r="I8" s="27">
        <v>44307</v>
      </c>
      <c r="J8" s="19" t="s">
        <v>291</v>
      </c>
      <c r="K8" s="19" t="s">
        <v>169</v>
      </c>
      <c r="L8">
        <v>53</v>
      </c>
      <c r="M8">
        <v>6.25</v>
      </c>
      <c r="N8" s="20">
        <f t="shared" si="0"/>
        <v>8.48</v>
      </c>
      <c r="O8">
        <f t="shared" si="1"/>
        <v>295</v>
      </c>
      <c r="P8" s="116">
        <f t="shared" si="2"/>
        <v>0.106</v>
      </c>
      <c r="Q8" s="230" t="s">
        <v>2069</v>
      </c>
      <c r="R8" t="s">
        <v>2072</v>
      </c>
    </row>
    <row r="9" spans="1:18" x14ac:dyDescent="0.25">
      <c r="A9" t="s">
        <v>9</v>
      </c>
      <c r="B9" t="s">
        <v>2020</v>
      </c>
      <c r="C9" t="str">
        <f>VLOOKUP(B9,'Planting GPS Points'!$B$3:$L$290,10,FALSE)</f>
        <v>USACE</v>
      </c>
      <c r="D9" t="str">
        <f>VLOOKUP(B9,'Planting GPS Points'!$B$3:$AL$290,17,FALSE)</f>
        <v>test</v>
      </c>
      <c r="E9" s="27">
        <v>44012</v>
      </c>
      <c r="F9">
        <v>5</v>
      </c>
      <c r="G9">
        <v>500</v>
      </c>
      <c r="H9" s="12" t="s">
        <v>165</v>
      </c>
      <c r="I9" s="27">
        <v>45083</v>
      </c>
      <c r="J9" s="19" t="s">
        <v>291</v>
      </c>
      <c r="K9" s="19" t="s">
        <v>169</v>
      </c>
      <c r="N9" s="20" t="str">
        <f t="shared" si="0"/>
        <v/>
      </c>
      <c r="O9">
        <f t="shared" si="1"/>
        <v>1071</v>
      </c>
      <c r="P9" s="116" t="str">
        <f t="shared" si="2"/>
        <v/>
      </c>
      <c r="Q9" s="230" t="s">
        <v>2137</v>
      </c>
    </row>
    <row r="10" spans="1:18" x14ac:dyDescent="0.25">
      <c r="A10" t="s">
        <v>9</v>
      </c>
      <c r="B10" t="s">
        <v>2020</v>
      </c>
      <c r="C10" t="str">
        <f>VLOOKUP(B10,'Planting GPS Points'!$B$3:$L$290,10,FALSE)</f>
        <v>USACE</v>
      </c>
      <c r="D10" t="str">
        <f>VLOOKUP(B10,'Planting GPS Points'!$B$3:$AL$290,17,FALSE)</f>
        <v>test</v>
      </c>
      <c r="E10" s="27">
        <v>44012</v>
      </c>
      <c r="F10">
        <v>5</v>
      </c>
      <c r="G10">
        <v>500</v>
      </c>
      <c r="H10" s="12" t="s">
        <v>165</v>
      </c>
      <c r="I10" s="27">
        <v>45093</v>
      </c>
      <c r="J10" s="19" t="s">
        <v>291</v>
      </c>
      <c r="K10" s="19" t="s">
        <v>169</v>
      </c>
      <c r="L10">
        <v>665</v>
      </c>
      <c r="M10">
        <v>17.600000000000001</v>
      </c>
      <c r="N10" s="20">
        <f t="shared" si="0"/>
        <v>37.784090909090907</v>
      </c>
      <c r="O10">
        <f t="shared" si="1"/>
        <v>1081</v>
      </c>
      <c r="P10" s="116">
        <f>IF(L10="", "", L10/G10)</f>
        <v>1.33</v>
      </c>
      <c r="Q10" s="230" t="s">
        <v>2139</v>
      </c>
    </row>
    <row r="11" spans="1:18" x14ac:dyDescent="0.25">
      <c r="A11" t="s">
        <v>9</v>
      </c>
      <c r="B11" t="s">
        <v>2020</v>
      </c>
      <c r="C11" t="str">
        <f>VLOOKUP(B11,'Planting GPS Points'!$B$3:$L$290,10,FALSE)</f>
        <v>USACE</v>
      </c>
      <c r="D11" t="str">
        <f>VLOOKUP(B11,'Planting GPS Points'!$B$3:$AL$290,17,FALSE)</f>
        <v>test</v>
      </c>
      <c r="E11" s="27">
        <v>44012</v>
      </c>
      <c r="F11">
        <v>5</v>
      </c>
      <c r="G11">
        <v>500</v>
      </c>
      <c r="H11" s="12" t="s">
        <v>165</v>
      </c>
      <c r="I11" s="27">
        <v>45421</v>
      </c>
      <c r="J11" s="19" t="s">
        <v>291</v>
      </c>
      <c r="K11" s="19" t="s">
        <v>169</v>
      </c>
      <c r="L11">
        <v>1107</v>
      </c>
      <c r="M11">
        <v>22.5</v>
      </c>
      <c r="N11" s="20">
        <v>49.2</v>
      </c>
      <c r="O11">
        <f>I11-E11</f>
        <v>1409</v>
      </c>
      <c r="P11" s="116">
        <f>IF(L11="", "", L11/G11)</f>
        <v>2.214</v>
      </c>
      <c r="Q11" s="230" t="s">
        <v>2172</v>
      </c>
    </row>
    <row r="12" spans="1:18" x14ac:dyDescent="0.25">
      <c r="A12" t="s">
        <v>9</v>
      </c>
      <c r="B12" t="s">
        <v>2020</v>
      </c>
      <c r="C12" t="str">
        <f>VLOOKUP(B12,'Planting GPS Points'!$B$3:$L$290,10,FALSE)</f>
        <v>USACE</v>
      </c>
      <c r="D12" t="str">
        <f>VLOOKUP(B12,'Planting GPS Points'!$B$3:$AL$290,17,FALSE)</f>
        <v>test</v>
      </c>
      <c r="E12" s="27">
        <v>44012</v>
      </c>
      <c r="F12">
        <v>5</v>
      </c>
      <c r="G12">
        <v>500</v>
      </c>
      <c r="H12" s="12" t="s">
        <v>165</v>
      </c>
      <c r="I12" s="27">
        <v>45748</v>
      </c>
      <c r="J12" s="19" t="s">
        <v>410</v>
      </c>
      <c r="K12" s="19" t="s">
        <v>169</v>
      </c>
      <c r="N12" s="20"/>
      <c r="P12" s="116"/>
      <c r="Q12" s="230" t="s">
        <v>2179</v>
      </c>
    </row>
    <row r="13" spans="1:18" x14ac:dyDescent="0.25">
      <c r="A13" t="s">
        <v>9</v>
      </c>
      <c r="B13" s="1" t="s">
        <v>217</v>
      </c>
      <c r="C13" t="str">
        <f>VLOOKUP(B13,'Planting GPS Points'!$B$3:$L$290,10,FALSE)</f>
        <v>USACE</v>
      </c>
      <c r="D13" t="str">
        <f>VLOOKUP(B13,'Planting GPS Points'!$B$3:$AL$290,17,FALSE)</f>
        <v>test</v>
      </c>
      <c r="E13" s="27">
        <v>42633</v>
      </c>
      <c r="F13" s="20">
        <v>6.25</v>
      </c>
      <c r="G13" s="38">
        <v>500</v>
      </c>
      <c r="H13" s="12" t="s">
        <v>49</v>
      </c>
      <c r="I13" s="27">
        <v>42836</v>
      </c>
      <c r="J13" s="19" t="s">
        <v>291</v>
      </c>
      <c r="K13" s="19" t="s">
        <v>169</v>
      </c>
      <c r="L13">
        <v>103</v>
      </c>
      <c r="M13">
        <v>6</v>
      </c>
      <c r="N13" s="20">
        <f t="shared" si="0"/>
        <v>17.166666666666668</v>
      </c>
      <c r="O13" s="19">
        <f t="shared" si="1"/>
        <v>203</v>
      </c>
      <c r="P13" s="116">
        <f t="shared" ref="P13" si="3">IF(L13="", "", L13/G13)</f>
        <v>0.20599999999999999</v>
      </c>
      <c r="Q13" s="13" t="s">
        <v>757</v>
      </c>
    </row>
    <row r="14" spans="1:18" x14ac:dyDescent="0.25">
      <c r="A14" t="s">
        <v>9</v>
      </c>
      <c r="B14" s="1" t="s">
        <v>180</v>
      </c>
      <c r="C14" t="str">
        <f>VLOOKUP(B14,'Planting GPS Points'!$B$3:$L$290,10,FALSE)</f>
        <v>WDFW</v>
      </c>
      <c r="D14" t="str">
        <f>VLOOKUP(B14,'Planting GPS Points'!$B$3:$AL$290,17,FALSE)</f>
        <v>large scale</v>
      </c>
      <c r="E14" s="27">
        <v>42888</v>
      </c>
      <c r="F14" s="20">
        <v>40</v>
      </c>
      <c r="G14" s="119">
        <v>20500</v>
      </c>
      <c r="H14" s="12" t="s">
        <v>165</v>
      </c>
      <c r="I14" s="27">
        <v>42941</v>
      </c>
      <c r="J14" s="19" t="s">
        <v>291</v>
      </c>
      <c r="K14" s="19" t="s">
        <v>1104</v>
      </c>
      <c r="N14" s="20" t="str">
        <f t="shared" si="0"/>
        <v/>
      </c>
      <c r="O14">
        <f t="shared" si="1"/>
        <v>53</v>
      </c>
      <c r="P14" s="116" t="str">
        <f t="shared" si="2"/>
        <v/>
      </c>
      <c r="Q14" s="13" t="s">
        <v>998</v>
      </c>
    </row>
    <row r="15" spans="1:18" x14ac:dyDescent="0.25">
      <c r="A15" t="s">
        <v>9</v>
      </c>
      <c r="B15" s="1" t="s">
        <v>180</v>
      </c>
      <c r="C15" t="str">
        <f>VLOOKUP(B15,'Planting GPS Points'!$B$3:$L$290,10,FALSE)</f>
        <v>WDFW</v>
      </c>
      <c r="D15" t="str">
        <f>VLOOKUP(B15,'Planting GPS Points'!$B$3:$AL$290,17,FALSE)</f>
        <v>large scale</v>
      </c>
      <c r="E15" s="27">
        <v>42888</v>
      </c>
      <c r="F15" s="20">
        <v>40</v>
      </c>
      <c r="G15" s="118">
        <v>20500</v>
      </c>
      <c r="H15" s="12" t="s">
        <v>165</v>
      </c>
      <c r="I15" s="27">
        <v>43229</v>
      </c>
      <c r="J15" s="19" t="s">
        <v>409</v>
      </c>
      <c r="K15" s="19" t="s">
        <v>1104</v>
      </c>
      <c r="L15">
        <v>0</v>
      </c>
      <c r="N15" s="20" t="str">
        <f t="shared" si="0"/>
        <v/>
      </c>
      <c r="O15">
        <f t="shared" si="1"/>
        <v>341</v>
      </c>
      <c r="P15" s="116">
        <f t="shared" si="2"/>
        <v>0</v>
      </c>
      <c r="Q15" s="13" t="s">
        <v>1006</v>
      </c>
    </row>
    <row r="16" spans="1:18" x14ac:dyDescent="0.25">
      <c r="A16" t="s">
        <v>9</v>
      </c>
      <c r="B16" s="1" t="s">
        <v>180</v>
      </c>
      <c r="C16" t="str">
        <f>VLOOKUP(B16,'Planting GPS Points'!$B$3:$L$290,10,FALSE)</f>
        <v>WDFW</v>
      </c>
      <c r="D16" t="str">
        <f>VLOOKUP(B16,'Planting GPS Points'!$B$3:$AL$290,17,FALSE)</f>
        <v>large scale</v>
      </c>
      <c r="E16" s="27">
        <v>42888</v>
      </c>
      <c r="F16" s="20">
        <v>40</v>
      </c>
      <c r="G16" s="119">
        <v>20500</v>
      </c>
      <c r="H16" s="12" t="s">
        <v>165</v>
      </c>
      <c r="I16" s="27">
        <v>43324</v>
      </c>
      <c r="J16" s="19" t="s">
        <v>409</v>
      </c>
      <c r="K16" s="19" t="s">
        <v>1104</v>
      </c>
      <c r="L16">
        <v>0</v>
      </c>
      <c r="N16" s="20" t="str">
        <f t="shared" si="0"/>
        <v/>
      </c>
      <c r="O16">
        <f t="shared" si="1"/>
        <v>436</v>
      </c>
      <c r="P16" s="116">
        <f t="shared" si="2"/>
        <v>0</v>
      </c>
      <c r="Q16" s="13" t="s">
        <v>1242</v>
      </c>
    </row>
    <row r="17" spans="1:17" x14ac:dyDescent="0.25">
      <c r="A17" t="s">
        <v>9</v>
      </c>
      <c r="B17" s="1" t="s">
        <v>182</v>
      </c>
      <c r="C17" t="str">
        <f>VLOOKUP(B17,'Planting GPS Points'!$B$3:$L$290,10,FALSE)</f>
        <v>WDFW</v>
      </c>
      <c r="D17" t="str">
        <f>VLOOKUP(B17,'Planting GPS Points'!$B$3:$AL$290,17,FALSE)</f>
        <v>large scale</v>
      </c>
      <c r="E17" s="27">
        <v>42890</v>
      </c>
      <c r="F17" s="20">
        <v>40</v>
      </c>
      <c r="G17" s="119">
        <v>24830</v>
      </c>
      <c r="H17" s="12" t="s">
        <v>165</v>
      </c>
      <c r="I17" s="27">
        <v>42941</v>
      </c>
      <c r="J17" s="19" t="s">
        <v>291</v>
      </c>
      <c r="K17" s="19" t="s">
        <v>1104</v>
      </c>
      <c r="N17" s="20" t="str">
        <f t="shared" si="0"/>
        <v/>
      </c>
      <c r="O17">
        <f t="shared" si="1"/>
        <v>51</v>
      </c>
      <c r="P17" s="116" t="str">
        <f t="shared" si="2"/>
        <v/>
      </c>
      <c r="Q17" s="13" t="s">
        <v>998</v>
      </c>
    </row>
    <row r="18" spans="1:17" x14ac:dyDescent="0.25">
      <c r="A18" t="s">
        <v>9</v>
      </c>
      <c r="B18" s="1" t="s">
        <v>182</v>
      </c>
      <c r="C18" t="str">
        <f>VLOOKUP(B18,'Planting GPS Points'!$B$3:$L$290,10,FALSE)</f>
        <v>WDFW</v>
      </c>
      <c r="D18" t="str">
        <f>VLOOKUP(B18,'Planting GPS Points'!$B$3:$AL$290,17,FALSE)</f>
        <v>large scale</v>
      </c>
      <c r="E18" s="27">
        <v>42890</v>
      </c>
      <c r="F18" s="20">
        <v>40</v>
      </c>
      <c r="G18" s="118">
        <v>24830</v>
      </c>
      <c r="H18" s="12" t="s">
        <v>165</v>
      </c>
      <c r="I18" s="27">
        <v>43229</v>
      </c>
      <c r="J18" s="19" t="s">
        <v>291</v>
      </c>
      <c r="K18" s="19" t="s">
        <v>1104</v>
      </c>
      <c r="L18">
        <v>55</v>
      </c>
      <c r="M18">
        <v>1.25</v>
      </c>
      <c r="N18" s="20">
        <f t="shared" si="0"/>
        <v>44</v>
      </c>
      <c r="O18">
        <f t="shared" si="1"/>
        <v>339</v>
      </c>
      <c r="P18" s="122">
        <f t="shared" si="2"/>
        <v>2.2150624244865083E-3</v>
      </c>
      <c r="Q18" s="13" t="s">
        <v>1006</v>
      </c>
    </row>
    <row r="19" spans="1:17" x14ac:dyDescent="0.25">
      <c r="A19" t="s">
        <v>9</v>
      </c>
      <c r="B19" s="1" t="s">
        <v>182</v>
      </c>
      <c r="C19" t="str">
        <f>VLOOKUP(B19,'Planting GPS Points'!$B$3:$L$290,10,FALSE)</f>
        <v>WDFW</v>
      </c>
      <c r="D19" t="str">
        <f>VLOOKUP(B19,'Planting GPS Points'!$B$3:$AL$290,17,FALSE)</f>
        <v>large scale</v>
      </c>
      <c r="E19" s="27">
        <v>42890</v>
      </c>
      <c r="F19" s="20">
        <v>40</v>
      </c>
      <c r="G19" s="119">
        <v>24830</v>
      </c>
      <c r="H19" s="12" t="s">
        <v>165</v>
      </c>
      <c r="I19" s="27">
        <v>43324</v>
      </c>
      <c r="J19" s="19" t="s">
        <v>291</v>
      </c>
      <c r="K19" s="19" t="s">
        <v>1104</v>
      </c>
      <c r="L19">
        <v>34</v>
      </c>
      <c r="M19">
        <v>1</v>
      </c>
      <c r="N19" s="20">
        <f t="shared" si="0"/>
        <v>34</v>
      </c>
      <c r="O19">
        <f t="shared" si="1"/>
        <v>434</v>
      </c>
      <c r="P19" s="122">
        <f t="shared" si="2"/>
        <v>1.369311316955296E-3</v>
      </c>
      <c r="Q19" s="13" t="s">
        <v>1241</v>
      </c>
    </row>
    <row r="20" spans="1:17" x14ac:dyDescent="0.25">
      <c r="A20" s="1" t="s">
        <v>9</v>
      </c>
      <c r="B20" s="1" t="s">
        <v>183</v>
      </c>
      <c r="C20" t="str">
        <f>VLOOKUP(B20,'Planting GPS Points'!$B$3:$L$290,10,FALSE)</f>
        <v>USACE</v>
      </c>
      <c r="D20" t="str">
        <f>VLOOKUP(B20,'Planting GPS Points'!$B$3:$AL$290,17,FALSE)</f>
        <v>large scale</v>
      </c>
      <c r="E20" s="35">
        <v>42955</v>
      </c>
      <c r="F20" s="36">
        <v>105.25</v>
      </c>
      <c r="G20" s="1">
        <v>10525</v>
      </c>
      <c r="H20" s="12" t="s">
        <v>49</v>
      </c>
      <c r="I20" s="27">
        <v>43164</v>
      </c>
      <c r="J20" s="19" t="s">
        <v>291</v>
      </c>
      <c r="K20" s="19" t="s">
        <v>169</v>
      </c>
      <c r="N20" s="20" t="str">
        <f t="shared" si="0"/>
        <v/>
      </c>
      <c r="O20">
        <f t="shared" si="1"/>
        <v>209</v>
      </c>
      <c r="P20" s="116" t="str">
        <f t="shared" si="2"/>
        <v/>
      </c>
      <c r="Q20" s="13" t="s">
        <v>726</v>
      </c>
    </row>
    <row r="21" spans="1:17" x14ac:dyDescent="0.25">
      <c r="A21" t="s">
        <v>9</v>
      </c>
      <c r="B21" s="1" t="s">
        <v>183</v>
      </c>
      <c r="C21" t="str">
        <f>VLOOKUP(B21,'Planting GPS Points'!$B$3:$L$290,10,FALSE)</f>
        <v>USACE</v>
      </c>
      <c r="D21" t="str">
        <f>VLOOKUP(B21,'Planting GPS Points'!$B$3:$AL$290,17,FALSE)</f>
        <v>large scale</v>
      </c>
      <c r="E21" s="35">
        <v>42955</v>
      </c>
      <c r="F21" s="36">
        <v>105.25</v>
      </c>
      <c r="G21" s="1">
        <v>10525</v>
      </c>
      <c r="H21" s="12" t="s">
        <v>49</v>
      </c>
      <c r="I21" s="27">
        <v>43166</v>
      </c>
      <c r="J21" s="19" t="s">
        <v>291</v>
      </c>
      <c r="K21" s="19" t="s">
        <v>169</v>
      </c>
      <c r="M21" s="38">
        <v>75</v>
      </c>
      <c r="N21" s="20"/>
      <c r="O21">
        <f t="shared" si="1"/>
        <v>211</v>
      </c>
      <c r="P21" s="116" t="str">
        <f t="shared" si="2"/>
        <v/>
      </c>
      <c r="Q21" s="13" t="s">
        <v>727</v>
      </c>
    </row>
    <row r="22" spans="1:17" ht="17.25" x14ac:dyDescent="0.25">
      <c r="A22" t="s">
        <v>9</v>
      </c>
      <c r="B22" s="142" t="s">
        <v>183</v>
      </c>
      <c r="C22" t="str">
        <f>VLOOKUP(B22,'Planting GPS Points'!$B$3:$L$290,10,FALSE)</f>
        <v>USACE</v>
      </c>
      <c r="D22" t="str">
        <f>VLOOKUP(B22,'Planting GPS Points'!$B$3:$AL$290,17,FALSE)</f>
        <v>large scale</v>
      </c>
      <c r="E22" s="151">
        <v>42955</v>
      </c>
      <c r="F22" s="179">
        <v>105.25</v>
      </c>
      <c r="G22" s="142">
        <v>10525</v>
      </c>
      <c r="H22" s="12" t="s">
        <v>49</v>
      </c>
      <c r="I22" s="27">
        <v>43571</v>
      </c>
      <c r="J22" s="19" t="s">
        <v>291</v>
      </c>
      <c r="K22" s="19" t="s">
        <v>169</v>
      </c>
      <c r="L22">
        <v>4770</v>
      </c>
      <c r="M22">
        <v>105</v>
      </c>
      <c r="N22" s="20">
        <f>IFERROR(L22/M22, "")</f>
        <v>45.428571428571431</v>
      </c>
      <c r="O22">
        <f t="shared" si="1"/>
        <v>616</v>
      </c>
      <c r="P22" s="116">
        <f t="shared" si="2"/>
        <v>0.45320665083135392</v>
      </c>
      <c r="Q22" s="144" t="s">
        <v>1524</v>
      </c>
    </row>
    <row r="23" spans="1:17" ht="17.25" x14ac:dyDescent="0.25">
      <c r="A23" s="1" t="s">
        <v>9</v>
      </c>
      <c r="B23" s="1" t="s">
        <v>183</v>
      </c>
      <c r="C23" t="str">
        <f>VLOOKUP(B23,'Planting GPS Points'!$B$3:$L$290,10,FALSE)</f>
        <v>USACE</v>
      </c>
      <c r="D23" t="str">
        <f>VLOOKUP(B23,'Planting GPS Points'!$B$3:$AL$290,17,FALSE)</f>
        <v>large scale</v>
      </c>
      <c r="E23" s="35">
        <v>42955</v>
      </c>
      <c r="F23" s="179" t="str">
        <f>VLOOKUP(B23,PLANTING,26,FALSE)</f>
        <v>rebar</v>
      </c>
      <c r="G23" s="148">
        <f>VLOOKUP(B23,PLANTING,29,FALSE)</f>
        <v>150</v>
      </c>
      <c r="H23" s="12" t="s">
        <v>49</v>
      </c>
      <c r="I23" s="27">
        <v>43965</v>
      </c>
      <c r="J23" s="19" t="s">
        <v>291</v>
      </c>
      <c r="K23" s="19" t="s">
        <v>169</v>
      </c>
      <c r="L23">
        <v>20682</v>
      </c>
      <c r="M23" s="38">
        <v>105.25</v>
      </c>
      <c r="N23" s="20">
        <f>IFERROR(L23/M23, "")</f>
        <v>196.50356294536817</v>
      </c>
      <c r="O23">
        <f t="shared" si="1"/>
        <v>1010</v>
      </c>
      <c r="P23" s="116">
        <f t="shared" si="2"/>
        <v>137.88</v>
      </c>
      <c r="Q23" s="13" t="s">
        <v>1841</v>
      </c>
    </row>
    <row r="24" spans="1:17" x14ac:dyDescent="0.25">
      <c r="A24" t="s">
        <v>9</v>
      </c>
      <c r="B24" s="1" t="s">
        <v>183</v>
      </c>
      <c r="C24" t="str">
        <f>VLOOKUP(B24,'Planting GPS Points'!$B$3:$L$290,10,FALSE)</f>
        <v>USACE</v>
      </c>
      <c r="D24" t="str">
        <f>VLOOKUP(B24,'Planting GPS Points'!$B$3:$AL$290,17,FALSE)</f>
        <v>large scale</v>
      </c>
      <c r="E24" s="27">
        <v>42955</v>
      </c>
      <c r="F24">
        <v>105.25</v>
      </c>
      <c r="G24" s="120">
        <v>10525</v>
      </c>
      <c r="H24" s="12" t="s">
        <v>165</v>
      </c>
      <c r="I24" s="27">
        <v>44697</v>
      </c>
      <c r="J24" s="19" t="s">
        <v>291</v>
      </c>
      <c r="K24" s="19" t="s">
        <v>169</v>
      </c>
      <c r="O24">
        <f t="shared" si="1"/>
        <v>1742</v>
      </c>
      <c r="Q24" t="s">
        <v>2093</v>
      </c>
    </row>
    <row r="25" spans="1:17" x14ac:dyDescent="0.25">
      <c r="A25" t="s">
        <v>9</v>
      </c>
      <c r="B25" s="1" t="s">
        <v>183</v>
      </c>
      <c r="C25" t="str">
        <f>VLOOKUP(B25,'Planting GPS Points'!$B$3:$L$290,10,FALSE)</f>
        <v>USACE</v>
      </c>
      <c r="D25" t="str">
        <f>VLOOKUP(B25,'Planting GPS Points'!$B$3:$AL$290,17,FALSE)</f>
        <v>large scale</v>
      </c>
      <c r="E25" s="27">
        <v>42955</v>
      </c>
      <c r="F25">
        <v>105.25</v>
      </c>
      <c r="G25" s="120">
        <v>10525</v>
      </c>
      <c r="H25" s="12" t="s">
        <v>165</v>
      </c>
      <c r="I25" s="27">
        <v>44727</v>
      </c>
      <c r="J25" s="19" t="s">
        <v>291</v>
      </c>
      <c r="K25" s="19" t="s">
        <v>169</v>
      </c>
      <c r="O25">
        <f t="shared" si="1"/>
        <v>1772</v>
      </c>
      <c r="Q25" t="s">
        <v>2177</v>
      </c>
    </row>
    <row r="26" spans="1:17" x14ac:dyDescent="0.25">
      <c r="A26" t="s">
        <v>9</v>
      </c>
      <c r="B26" s="1" t="s">
        <v>183</v>
      </c>
      <c r="C26" t="str">
        <f>VLOOKUP(B26,'Planting GPS Points'!$B$3:$L$290,10,FALSE)</f>
        <v>USACE</v>
      </c>
      <c r="D26" t="str">
        <f>VLOOKUP(B26,'Planting GPS Points'!$B$3:$AL$290,17,FALSE)</f>
        <v>large scale</v>
      </c>
      <c r="E26" s="27">
        <v>42955</v>
      </c>
      <c r="F26">
        <v>105.25</v>
      </c>
      <c r="G26" s="120">
        <v>10525</v>
      </c>
      <c r="H26" s="12" t="s">
        <v>165</v>
      </c>
      <c r="I26" s="169">
        <v>45092</v>
      </c>
      <c r="J26" s="172" t="s">
        <v>291</v>
      </c>
      <c r="K26" s="172" t="s">
        <v>169</v>
      </c>
      <c r="L26" s="110"/>
      <c r="M26" s="110"/>
      <c r="N26" s="110"/>
      <c r="O26" s="110"/>
      <c r="P26" s="110"/>
      <c r="Q26" s="110"/>
    </row>
    <row r="27" spans="1:17" x14ac:dyDescent="0.25">
      <c r="A27" t="s">
        <v>9</v>
      </c>
      <c r="B27" s="1" t="s">
        <v>183</v>
      </c>
      <c r="C27" t="str">
        <f>VLOOKUP(B27,'Planting GPS Points'!$B$3:$L$290,10,FALSE)</f>
        <v>USACE</v>
      </c>
      <c r="D27" t="str">
        <f>VLOOKUP(B27,'Planting GPS Points'!$B$3:$AL$290,17,FALSE)</f>
        <v>large scale</v>
      </c>
      <c r="E27" s="27">
        <v>42955</v>
      </c>
      <c r="F27">
        <v>105.25</v>
      </c>
      <c r="G27" s="120">
        <v>10525</v>
      </c>
      <c r="H27" s="12" t="s">
        <v>165</v>
      </c>
      <c r="I27" s="169">
        <v>45458</v>
      </c>
      <c r="J27" s="172" t="s">
        <v>291</v>
      </c>
      <c r="K27" s="172" t="s">
        <v>169</v>
      </c>
      <c r="L27" s="110"/>
      <c r="M27" s="110"/>
      <c r="N27" s="110"/>
      <c r="O27" s="110"/>
      <c r="P27" s="110"/>
      <c r="Q27" s="110"/>
    </row>
    <row r="28" spans="1:17" x14ac:dyDescent="0.25">
      <c r="A28" t="s">
        <v>9</v>
      </c>
      <c r="B28" s="1" t="s">
        <v>183</v>
      </c>
      <c r="C28" t="str">
        <f>VLOOKUP(B28,'Planting GPS Points'!$B$3:$L$290,10,FALSE)</f>
        <v>USACE</v>
      </c>
      <c r="D28" t="str">
        <f>VLOOKUP(B28,'Planting GPS Points'!$B$3:$AL$290,17,FALSE)</f>
        <v>large scale</v>
      </c>
      <c r="E28" s="27">
        <v>42955</v>
      </c>
      <c r="F28">
        <v>105.25</v>
      </c>
      <c r="G28" s="120">
        <v>10525</v>
      </c>
      <c r="H28" s="12" t="s">
        <v>165</v>
      </c>
      <c r="I28" s="27">
        <v>45748</v>
      </c>
      <c r="J28" s="19" t="s">
        <v>291</v>
      </c>
      <c r="K28" s="19" t="s">
        <v>169</v>
      </c>
      <c r="Q28" t="s">
        <v>2178</v>
      </c>
    </row>
    <row r="29" spans="1:17" x14ac:dyDescent="0.25">
      <c r="A29" t="s">
        <v>9</v>
      </c>
      <c r="B29" t="s">
        <v>174</v>
      </c>
      <c r="C29" t="str">
        <f>VLOOKUP(B29,'Planting GPS Points'!$B$3:$L$290,10,FALSE)</f>
        <v>WDFW</v>
      </c>
      <c r="D29" t="str">
        <f>VLOOKUP(B29,'Planting GPS Points'!$B$3:$AL$290,17,FALSE)</f>
        <v>test</v>
      </c>
      <c r="E29" s="27">
        <v>42860</v>
      </c>
      <c r="F29" s="20">
        <v>6</v>
      </c>
      <c r="G29" s="38">
        <v>869</v>
      </c>
      <c r="H29" s="12" t="s">
        <v>1213</v>
      </c>
      <c r="I29" s="27">
        <v>42933</v>
      </c>
      <c r="J29" s="19" t="s">
        <v>291</v>
      </c>
      <c r="K29" s="19" t="s">
        <v>1104</v>
      </c>
      <c r="L29">
        <v>235</v>
      </c>
      <c r="M29">
        <v>6</v>
      </c>
      <c r="N29" s="20">
        <f>IFERROR(L29/M29, "")</f>
        <v>39.166666666666664</v>
      </c>
      <c r="O29" s="19">
        <f t="shared" si="1"/>
        <v>73</v>
      </c>
      <c r="P29" s="116">
        <f t="shared" ref="P29:P49" si="4">IF(L29="", "", L29/G29)</f>
        <v>0.27042577675489066</v>
      </c>
      <c r="Q29" s="13" t="s">
        <v>1228</v>
      </c>
    </row>
    <row r="30" spans="1:17" x14ac:dyDescent="0.25">
      <c r="A30" t="s">
        <v>9</v>
      </c>
      <c r="B30" t="s">
        <v>174</v>
      </c>
      <c r="C30" t="str">
        <f>VLOOKUP(B30,'Planting GPS Points'!$B$3:$L$290,10,FALSE)</f>
        <v>WDFW</v>
      </c>
      <c r="D30" t="str">
        <f>VLOOKUP(B30,'Planting GPS Points'!$B$3:$AL$290,17,FALSE)</f>
        <v>test</v>
      </c>
      <c r="E30" s="27">
        <v>42860</v>
      </c>
      <c r="F30" s="20">
        <v>6</v>
      </c>
      <c r="G30" s="38">
        <v>869</v>
      </c>
      <c r="H30" s="12" t="s">
        <v>165</v>
      </c>
      <c r="I30" s="27">
        <v>43250</v>
      </c>
      <c r="J30" s="19" t="s">
        <v>409</v>
      </c>
      <c r="K30" s="19" t="s">
        <v>1104</v>
      </c>
      <c r="L30">
        <v>0</v>
      </c>
      <c r="M30">
        <v>0</v>
      </c>
      <c r="N30" s="20" t="str">
        <f>IFERROR(L30/M30, "")</f>
        <v/>
      </c>
      <c r="O30" s="19">
        <f t="shared" si="1"/>
        <v>390</v>
      </c>
      <c r="P30" s="116">
        <f t="shared" si="4"/>
        <v>0</v>
      </c>
      <c r="Q30" s="13" t="s">
        <v>1227</v>
      </c>
    </row>
    <row r="31" spans="1:17" x14ac:dyDescent="0.25">
      <c r="A31" t="s">
        <v>9</v>
      </c>
      <c r="B31" t="s">
        <v>174</v>
      </c>
      <c r="C31" t="str">
        <f>VLOOKUP(B31,'Planting GPS Points'!$B$3:$L$290,10,FALSE)</f>
        <v>WDFW</v>
      </c>
      <c r="D31" t="str">
        <f>VLOOKUP(B31,'Planting GPS Points'!$B$3:$AL$290,17,FALSE)</f>
        <v>test</v>
      </c>
      <c r="E31" s="27">
        <v>42860</v>
      </c>
      <c r="F31" s="20">
        <v>6</v>
      </c>
      <c r="G31" s="38">
        <v>869</v>
      </c>
      <c r="H31" s="12" t="s">
        <v>165</v>
      </c>
      <c r="I31" s="27">
        <v>45083</v>
      </c>
      <c r="J31" s="19" t="s">
        <v>409</v>
      </c>
      <c r="K31" s="19" t="s">
        <v>1104</v>
      </c>
      <c r="L31">
        <v>0</v>
      </c>
      <c r="M31">
        <v>0</v>
      </c>
      <c r="N31" s="20" t="str">
        <f>IFERROR(L31/M31, "")</f>
        <v/>
      </c>
      <c r="O31" s="19">
        <f t="shared" ref="O31" si="5">I31-E31</f>
        <v>2223</v>
      </c>
      <c r="P31" s="116">
        <f t="shared" ref="P31" si="6">IF(L31="", "", L31/G31)</f>
        <v>0</v>
      </c>
      <c r="Q31" s="13" t="s">
        <v>2141</v>
      </c>
    </row>
    <row r="32" spans="1:17" x14ac:dyDescent="0.25">
      <c r="A32" t="s">
        <v>9</v>
      </c>
      <c r="B32" t="s">
        <v>200</v>
      </c>
      <c r="C32" t="str">
        <f>VLOOKUP(B32,'Planting GPS Points'!$B$3:$L$290,10,FALSE)</f>
        <v>DNR</v>
      </c>
      <c r="D32" t="str">
        <f>VLOOKUP(B32,'Planting GPS Points'!$B$3:$AL$290,17,FALSE)</f>
        <v>test</v>
      </c>
      <c r="E32" s="27">
        <v>42062</v>
      </c>
      <c r="F32" s="20">
        <v>25</v>
      </c>
      <c r="G32" s="38">
        <v>500</v>
      </c>
      <c r="H32" s="12" t="s">
        <v>165</v>
      </c>
      <c r="I32" s="27">
        <v>42215</v>
      </c>
      <c r="J32" s="19" t="s">
        <v>291</v>
      </c>
      <c r="K32" s="19" t="s">
        <v>168</v>
      </c>
      <c r="L32">
        <v>4</v>
      </c>
      <c r="N32" s="20"/>
      <c r="O32" s="19">
        <f t="shared" si="1"/>
        <v>153</v>
      </c>
      <c r="P32" s="116">
        <f t="shared" si="4"/>
        <v>8.0000000000000002E-3</v>
      </c>
      <c r="Q32" s="13" t="s">
        <v>1259</v>
      </c>
    </row>
    <row r="33" spans="1:18" x14ac:dyDescent="0.25">
      <c r="A33" t="s">
        <v>9</v>
      </c>
      <c r="B33" t="s">
        <v>200</v>
      </c>
      <c r="C33" t="str">
        <f>VLOOKUP(B33,'Planting GPS Points'!$B$3:$L$290,10,FALSE)</f>
        <v>DNR</v>
      </c>
      <c r="D33" t="str">
        <f>VLOOKUP(B33,'Planting GPS Points'!$B$3:$AL$290,17,FALSE)</f>
        <v>test</v>
      </c>
      <c r="E33" s="27">
        <v>42062</v>
      </c>
      <c r="F33" s="20">
        <v>25</v>
      </c>
      <c r="G33" s="38">
        <v>500</v>
      </c>
      <c r="H33" s="12"/>
      <c r="I33" s="27">
        <v>42836</v>
      </c>
      <c r="J33" s="129" t="s">
        <v>409</v>
      </c>
      <c r="K33" s="129" t="s">
        <v>168</v>
      </c>
      <c r="L33">
        <v>0</v>
      </c>
      <c r="N33" s="20" t="str">
        <f t="shared" ref="N33:N42" si="7">IFERROR(L33/M33, "")</f>
        <v/>
      </c>
      <c r="O33">
        <f t="shared" si="1"/>
        <v>774</v>
      </c>
      <c r="P33" s="116">
        <f t="shared" si="4"/>
        <v>0</v>
      </c>
      <c r="Q33" s="13"/>
    </row>
    <row r="34" spans="1:18" x14ac:dyDescent="0.25">
      <c r="A34" t="s">
        <v>9</v>
      </c>
      <c r="B34" s="1" t="s">
        <v>396</v>
      </c>
      <c r="C34" t="str">
        <f>VLOOKUP(B34,'Planting GPS Points'!$B$3:$L$290,10,FALSE)</f>
        <v>USACE</v>
      </c>
      <c r="D34" t="str">
        <f>VLOOKUP(B34,'Planting GPS Points'!$B$3:$AL$290,17,FALSE)</f>
        <v>test</v>
      </c>
      <c r="E34" s="27">
        <v>42633</v>
      </c>
      <c r="F34" s="20">
        <v>6.25</v>
      </c>
      <c r="G34" s="38">
        <v>500</v>
      </c>
      <c r="H34" s="12" t="s">
        <v>49</v>
      </c>
      <c r="I34" s="27">
        <v>42836</v>
      </c>
      <c r="J34" s="19" t="s">
        <v>291</v>
      </c>
      <c r="K34" s="19" t="s">
        <v>169</v>
      </c>
      <c r="L34">
        <v>54</v>
      </c>
      <c r="M34">
        <v>6</v>
      </c>
      <c r="N34" s="20">
        <f t="shared" si="7"/>
        <v>9</v>
      </c>
      <c r="O34" s="19">
        <f t="shared" si="1"/>
        <v>203</v>
      </c>
      <c r="P34" s="116">
        <f t="shared" si="4"/>
        <v>0.108</v>
      </c>
      <c r="Q34" s="13" t="s">
        <v>756</v>
      </c>
    </row>
    <row r="35" spans="1:18" x14ac:dyDescent="0.25">
      <c r="A35" t="s">
        <v>9</v>
      </c>
      <c r="B35" s="142" t="s">
        <v>396</v>
      </c>
      <c r="C35" t="str">
        <f>VLOOKUP(B35,'Planting GPS Points'!$B$3:$L$290,10,FALSE)</f>
        <v>USACE</v>
      </c>
      <c r="D35" t="str">
        <f>VLOOKUP(B35,'Planting GPS Points'!$B$3:$AL$290,17,FALSE)</f>
        <v>test</v>
      </c>
      <c r="E35" s="147">
        <v>42633</v>
      </c>
      <c r="F35" s="178">
        <v>5</v>
      </c>
      <c r="G35" s="143">
        <v>500</v>
      </c>
      <c r="H35" s="12" t="s">
        <v>49</v>
      </c>
      <c r="I35" s="27">
        <v>43571</v>
      </c>
      <c r="J35" s="19" t="s">
        <v>409</v>
      </c>
      <c r="K35" s="19" t="s">
        <v>169</v>
      </c>
      <c r="L35">
        <v>0</v>
      </c>
      <c r="N35" s="20" t="str">
        <f t="shared" si="7"/>
        <v/>
      </c>
      <c r="O35">
        <f t="shared" si="1"/>
        <v>938</v>
      </c>
      <c r="P35" s="116">
        <f t="shared" si="4"/>
        <v>0</v>
      </c>
      <c r="Q35" s="143" t="s">
        <v>1513</v>
      </c>
    </row>
    <row r="36" spans="1:18" x14ac:dyDescent="0.25">
      <c r="A36" t="s">
        <v>9</v>
      </c>
      <c r="B36" t="s">
        <v>2019</v>
      </c>
      <c r="C36" t="str">
        <f>VLOOKUP(B36,'Planting GPS Points'!$B$3:$L$290,10,FALSE)</f>
        <v>USACE</v>
      </c>
      <c r="D36" t="str">
        <f>VLOOKUP(B36,'Planting GPS Points'!$B$3:$AL$290,17,FALSE)</f>
        <v>test</v>
      </c>
      <c r="E36" s="27">
        <v>44013</v>
      </c>
      <c r="F36">
        <v>6.25</v>
      </c>
      <c r="G36">
        <v>625</v>
      </c>
      <c r="H36" s="12" t="s">
        <v>49</v>
      </c>
      <c r="I36" s="27">
        <v>44307</v>
      </c>
      <c r="J36" s="19" t="s">
        <v>291</v>
      </c>
      <c r="K36" s="19" t="s">
        <v>169</v>
      </c>
      <c r="L36">
        <v>98</v>
      </c>
      <c r="M36">
        <v>7.5</v>
      </c>
      <c r="N36" s="20">
        <f t="shared" si="7"/>
        <v>13.066666666666666</v>
      </c>
      <c r="O36">
        <f t="shared" si="1"/>
        <v>294</v>
      </c>
      <c r="P36" s="116">
        <f t="shared" si="4"/>
        <v>0.15679999999999999</v>
      </c>
      <c r="Q36" s="205" t="s">
        <v>2069</v>
      </c>
      <c r="R36" t="s">
        <v>2071</v>
      </c>
    </row>
    <row r="37" spans="1:18" x14ac:dyDescent="0.25">
      <c r="A37" t="s">
        <v>9</v>
      </c>
      <c r="B37" t="s">
        <v>2019</v>
      </c>
      <c r="C37" t="str">
        <f>VLOOKUP(B37,'Planting GPS Points'!$B$3:$L$290,10,FALSE)</f>
        <v>USACE</v>
      </c>
      <c r="D37" t="str">
        <f>VLOOKUP(B37,'Planting GPS Points'!$B$3:$AL$290,17,FALSE)</f>
        <v>test</v>
      </c>
      <c r="E37" s="27">
        <v>44013</v>
      </c>
      <c r="F37">
        <v>6.25</v>
      </c>
      <c r="G37">
        <v>625</v>
      </c>
      <c r="H37" s="12" t="s">
        <v>49</v>
      </c>
      <c r="I37" s="27">
        <v>45083</v>
      </c>
      <c r="J37" s="19" t="s">
        <v>409</v>
      </c>
      <c r="K37" s="19" t="s">
        <v>169</v>
      </c>
      <c r="L37">
        <v>0</v>
      </c>
      <c r="M37">
        <v>0</v>
      </c>
      <c r="N37" s="20" t="str">
        <f t="shared" ref="N37" si="8">IFERROR(L37/M37, "")</f>
        <v/>
      </c>
      <c r="O37">
        <f t="shared" ref="O37" si="9">I37-E37</f>
        <v>1070</v>
      </c>
      <c r="P37" s="116">
        <f t="shared" si="4"/>
        <v>0</v>
      </c>
      <c r="Q37" s="205" t="s">
        <v>2140</v>
      </c>
    </row>
    <row r="38" spans="1:18" x14ac:dyDescent="0.25">
      <c r="A38" t="s">
        <v>9</v>
      </c>
      <c r="B38" t="s">
        <v>173</v>
      </c>
      <c r="C38" t="str">
        <f>VLOOKUP(B38,'Planting GPS Points'!$B$3:$L$290,10,FALSE)</f>
        <v>WDFW</v>
      </c>
      <c r="D38" t="str">
        <f>VLOOKUP(B38,'Planting GPS Points'!$B$3:$AL$290,17,FALSE)</f>
        <v>test</v>
      </c>
      <c r="E38" s="27">
        <v>42860</v>
      </c>
      <c r="F38" s="20">
        <v>6</v>
      </c>
      <c r="G38" s="38">
        <v>869</v>
      </c>
      <c r="H38" s="12" t="s">
        <v>1213</v>
      </c>
      <c r="I38" s="27">
        <v>42933</v>
      </c>
      <c r="J38" s="19" t="s">
        <v>291</v>
      </c>
      <c r="K38" s="19" t="s">
        <v>1104</v>
      </c>
      <c r="L38">
        <v>69</v>
      </c>
      <c r="M38">
        <v>6</v>
      </c>
      <c r="N38" s="20">
        <f t="shared" si="7"/>
        <v>11.5</v>
      </c>
      <c r="O38" s="19">
        <f t="shared" si="1"/>
        <v>73</v>
      </c>
      <c r="P38" s="116">
        <f t="shared" si="4"/>
        <v>7.9401611047180673E-2</v>
      </c>
      <c r="Q38" s="13" t="s">
        <v>1228</v>
      </c>
    </row>
    <row r="39" spans="1:18" x14ac:dyDescent="0.25">
      <c r="A39" t="s">
        <v>9</v>
      </c>
      <c r="B39" t="s">
        <v>173</v>
      </c>
      <c r="C39" t="str">
        <f>VLOOKUP(B39,'Planting GPS Points'!$B$3:$L$290,10,FALSE)</f>
        <v>WDFW</v>
      </c>
      <c r="D39" t="str">
        <f>VLOOKUP(B39,'Planting GPS Points'!$B$3:$AL$290,17,FALSE)</f>
        <v>test</v>
      </c>
      <c r="E39" s="27">
        <v>42860</v>
      </c>
      <c r="F39" s="20">
        <v>6</v>
      </c>
      <c r="G39" s="38">
        <v>869</v>
      </c>
      <c r="H39" s="12" t="s">
        <v>165</v>
      </c>
      <c r="I39" s="27">
        <v>43250</v>
      </c>
      <c r="J39" s="19" t="s">
        <v>409</v>
      </c>
      <c r="K39" s="19" t="s">
        <v>1104</v>
      </c>
      <c r="L39">
        <v>0</v>
      </c>
      <c r="M39">
        <v>0</v>
      </c>
      <c r="N39" s="20" t="str">
        <f t="shared" si="7"/>
        <v/>
      </c>
      <c r="O39" s="19">
        <f t="shared" si="1"/>
        <v>390</v>
      </c>
      <c r="P39" s="116">
        <f t="shared" si="4"/>
        <v>0</v>
      </c>
      <c r="Q39" s="13" t="s">
        <v>1227</v>
      </c>
    </row>
    <row r="40" spans="1:18" x14ac:dyDescent="0.25">
      <c r="A40" t="s">
        <v>9</v>
      </c>
      <c r="B40" t="s">
        <v>173</v>
      </c>
      <c r="C40" t="str">
        <f>VLOOKUP(B40,'Planting GPS Points'!$B$3:$L$290,10,FALSE)</f>
        <v>WDFW</v>
      </c>
      <c r="D40" t="str">
        <f>VLOOKUP(B40,'Planting GPS Points'!$B$3:$AL$290,17,FALSE)</f>
        <v>test</v>
      </c>
      <c r="E40" s="27">
        <v>42860</v>
      </c>
      <c r="F40" s="20">
        <v>6</v>
      </c>
      <c r="G40" s="38">
        <v>869</v>
      </c>
      <c r="H40" s="12" t="s">
        <v>165</v>
      </c>
      <c r="I40" s="27">
        <v>45083</v>
      </c>
      <c r="J40" s="19" t="s">
        <v>409</v>
      </c>
      <c r="K40" s="19" t="s">
        <v>1104</v>
      </c>
      <c r="L40">
        <v>0</v>
      </c>
      <c r="M40">
        <v>0</v>
      </c>
      <c r="N40" s="20" t="str">
        <f t="shared" ref="N40:N41" si="10">IFERROR(L40/M40, "")</f>
        <v/>
      </c>
      <c r="O40" s="19">
        <f t="shared" ref="O40:O41" si="11">I40-E40</f>
        <v>2223</v>
      </c>
      <c r="P40" s="116">
        <f t="shared" ref="P40:P43" si="12">IF(L40="", "", L40/G40)</f>
        <v>0</v>
      </c>
      <c r="Q40" s="13" t="s">
        <v>2141</v>
      </c>
    </row>
    <row r="41" spans="1:18" x14ac:dyDescent="0.25">
      <c r="A41" t="s">
        <v>9</v>
      </c>
      <c r="B41" t="s">
        <v>2136</v>
      </c>
      <c r="C41">
        <f>VLOOKUP(B41,'Planting GPS Points'!$B$3:$L$290,10,FALSE)</f>
        <v>0</v>
      </c>
      <c r="D41" t="str">
        <f>VLOOKUP(B41,'Planting GPS Points'!$B$3:$AL$290,17,FALSE)</f>
        <v>test</v>
      </c>
      <c r="E41" s="236">
        <v>45082</v>
      </c>
      <c r="F41" s="20">
        <v>0.75</v>
      </c>
      <c r="G41" s="38">
        <v>150</v>
      </c>
      <c r="H41" s="12" t="s">
        <v>165</v>
      </c>
      <c r="I41" s="27">
        <v>45421</v>
      </c>
      <c r="J41" s="19" t="s">
        <v>409</v>
      </c>
      <c r="K41" s="19" t="s">
        <v>169</v>
      </c>
      <c r="L41">
        <v>0</v>
      </c>
      <c r="M41">
        <v>0</v>
      </c>
      <c r="N41" s="20" t="str">
        <f t="shared" si="10"/>
        <v/>
      </c>
      <c r="O41" s="19">
        <f t="shared" si="11"/>
        <v>339</v>
      </c>
      <c r="P41" s="116">
        <f t="shared" si="12"/>
        <v>0</v>
      </c>
      <c r="Q41" s="13" t="s">
        <v>2173</v>
      </c>
    </row>
    <row r="42" spans="1:18" x14ac:dyDescent="0.25">
      <c r="A42" t="s">
        <v>30</v>
      </c>
      <c r="B42" t="s">
        <v>198</v>
      </c>
      <c r="C42" t="str">
        <f>VLOOKUP(B42,'Planting GPS Points'!$B$3:$L$290,10,FALSE)</f>
        <v>DNR</v>
      </c>
      <c r="D42" t="str">
        <f>VLOOKUP(B42,'Planting GPS Points'!$B$3:$AL$290,17,FALSE)</f>
        <v>test</v>
      </c>
      <c r="E42" s="27">
        <v>42053</v>
      </c>
      <c r="F42" s="20">
        <v>25</v>
      </c>
      <c r="G42" s="5">
        <v>500</v>
      </c>
      <c r="H42" s="12" t="s">
        <v>165</v>
      </c>
      <c r="I42" s="27">
        <v>42244</v>
      </c>
      <c r="J42" s="19" t="s">
        <v>409</v>
      </c>
      <c r="K42" s="19" t="s">
        <v>168</v>
      </c>
      <c r="L42">
        <v>0</v>
      </c>
      <c r="N42" s="20" t="str">
        <f t="shared" si="7"/>
        <v/>
      </c>
      <c r="O42">
        <f t="shared" si="1"/>
        <v>191</v>
      </c>
      <c r="P42" s="116">
        <f t="shared" si="12"/>
        <v>0</v>
      </c>
      <c r="Q42" s="13" t="s">
        <v>974</v>
      </c>
    </row>
    <row r="43" spans="1:18" x14ac:dyDescent="0.25">
      <c r="A43" s="34" t="s">
        <v>391</v>
      </c>
      <c r="B43" s="131" t="s">
        <v>666</v>
      </c>
      <c r="C43" t="str">
        <f>VLOOKUP(B43,'Planting GPS Points'!$B$3:$L$290,10,FALSE)</f>
        <v>USFWS</v>
      </c>
      <c r="D43" t="str">
        <f>VLOOKUP(B43,'Planting GPS Points'!$B$3:$AL$290,17,FALSE)</f>
        <v>large scale</v>
      </c>
      <c r="E43" s="134">
        <v>43277</v>
      </c>
      <c r="F43" s="20">
        <v>108.25</v>
      </c>
      <c r="G43" s="34">
        <v>10825</v>
      </c>
      <c r="H43" s="12" t="s">
        <v>165</v>
      </c>
      <c r="I43" s="27">
        <v>43297</v>
      </c>
      <c r="J43" s="19" t="s">
        <v>291</v>
      </c>
      <c r="K43" s="19" t="s">
        <v>169</v>
      </c>
      <c r="P43" s="116" t="str">
        <f t="shared" si="12"/>
        <v/>
      </c>
      <c r="Q43" s="13" t="s">
        <v>1097</v>
      </c>
    </row>
    <row r="44" spans="1:18" ht="17.25" x14ac:dyDescent="0.25">
      <c r="A44" s="142" t="s">
        <v>391</v>
      </c>
      <c r="B44" s="142" t="s">
        <v>666</v>
      </c>
      <c r="C44" t="str">
        <f>VLOOKUP(B44,'Planting GPS Points'!$B$3:$L$290,10,FALSE)</f>
        <v>USFWS</v>
      </c>
      <c r="D44" t="str">
        <f>VLOOKUP(B44,'Planting GPS Points'!$B$3:$AL$290,17,FALSE)</f>
        <v>large scale</v>
      </c>
      <c r="E44" s="151">
        <v>43277</v>
      </c>
      <c r="F44" s="179">
        <v>108.25</v>
      </c>
      <c r="G44" s="142">
        <v>10825</v>
      </c>
      <c r="H44" s="12" t="s">
        <v>49</v>
      </c>
      <c r="I44" s="27">
        <v>43572</v>
      </c>
      <c r="J44" s="19" t="s">
        <v>291</v>
      </c>
      <c r="K44" s="19" t="s">
        <v>169</v>
      </c>
      <c r="L44" s="38">
        <v>6949.565217391304</v>
      </c>
      <c r="M44">
        <v>108</v>
      </c>
      <c r="N44" s="20">
        <f t="shared" ref="N44:N49" si="13">IFERROR(L44/M44, "")</f>
        <v>64.347826086956516</v>
      </c>
      <c r="O44">
        <f t="shared" ref="O44:O75" si="14">I44-E44</f>
        <v>295</v>
      </c>
      <c r="P44" s="116">
        <f t="shared" si="4"/>
        <v>0.64199216788834212</v>
      </c>
      <c r="Q44" s="144" t="s">
        <v>1522</v>
      </c>
    </row>
    <row r="45" spans="1:18" ht="17.25" x14ac:dyDescent="0.25">
      <c r="A45" s="34" t="s">
        <v>391</v>
      </c>
      <c r="B45" s="131" t="s">
        <v>666</v>
      </c>
      <c r="C45" t="str">
        <f>VLOOKUP(B45,'Planting GPS Points'!$B$3:$L$290,10,FALSE)</f>
        <v>USFWS</v>
      </c>
      <c r="D45" t="str">
        <f>VLOOKUP(B45,'Planting GPS Points'!$B$3:$AL$290,17,FALSE)</f>
        <v>large scale</v>
      </c>
      <c r="E45" s="134">
        <v>43277</v>
      </c>
      <c r="F45" s="179" t="str">
        <f>VLOOKUP(B45,PLANTING,26,FALSE)</f>
        <v>rebar</v>
      </c>
      <c r="G45" s="148">
        <f>VLOOKUP(B45,PLANTING,29,FALSE)</f>
        <v>190</v>
      </c>
      <c r="H45" s="12" t="s">
        <v>49</v>
      </c>
      <c r="I45" s="27">
        <v>43966</v>
      </c>
      <c r="J45" s="19" t="s">
        <v>291</v>
      </c>
      <c r="K45" s="19" t="s">
        <v>169</v>
      </c>
      <c r="L45">
        <v>10170</v>
      </c>
      <c r="M45" s="38">
        <v>108.25</v>
      </c>
      <c r="N45" s="20">
        <f t="shared" si="13"/>
        <v>93.94919168591224</v>
      </c>
      <c r="O45">
        <f t="shared" si="14"/>
        <v>689</v>
      </c>
      <c r="P45" s="116">
        <f t="shared" si="4"/>
        <v>53.526315789473685</v>
      </c>
      <c r="Q45" s="13" t="s">
        <v>1838</v>
      </c>
    </row>
    <row r="46" spans="1:18" ht="17.25" x14ac:dyDescent="0.25">
      <c r="A46" t="s">
        <v>391</v>
      </c>
      <c r="B46" t="s">
        <v>1514</v>
      </c>
      <c r="C46" t="str">
        <f>VLOOKUP(B46,'Planting GPS Points'!$B$3:$L$290,10,FALSE)</f>
        <v>USACE</v>
      </c>
      <c r="D46" t="str">
        <f>VLOOKUP(B46,'Planting GPS Points'!$B$3:$AL$290,17,FALSE)</f>
        <v>large scale</v>
      </c>
      <c r="E46" s="27">
        <v>43625</v>
      </c>
      <c r="F46" s="179" t="str">
        <f>VLOOKUP(B46,PLANTING,26,FALSE)</f>
        <v>rebar</v>
      </c>
      <c r="G46" s="148">
        <f>VLOOKUP(B46,PLANTING,29,FALSE)</f>
        <v>270</v>
      </c>
      <c r="H46" s="12" t="s">
        <v>49</v>
      </c>
      <c r="I46" s="27">
        <v>43966</v>
      </c>
      <c r="J46" s="19" t="s">
        <v>291</v>
      </c>
      <c r="K46" s="19" t="s">
        <v>169</v>
      </c>
      <c r="L46">
        <v>14892</v>
      </c>
      <c r="M46" s="38">
        <v>164</v>
      </c>
      <c r="N46" s="20">
        <f t="shared" si="13"/>
        <v>90.804878048780495</v>
      </c>
      <c r="O46">
        <f t="shared" si="14"/>
        <v>341</v>
      </c>
      <c r="P46" s="116">
        <f t="shared" si="4"/>
        <v>55.155555555555559</v>
      </c>
      <c r="Q46" s="13" t="s">
        <v>1842</v>
      </c>
    </row>
    <row r="47" spans="1:18" x14ac:dyDescent="0.25">
      <c r="A47" s="1" t="s">
        <v>391</v>
      </c>
      <c r="B47" s="1" t="s">
        <v>582</v>
      </c>
      <c r="C47" t="str">
        <f>VLOOKUP(B47,'Planting GPS Points'!$B$3:$L$290,10,FALSE)</f>
        <v>USFWS</v>
      </c>
      <c r="D47" t="str">
        <f>VLOOKUP(B47,'Planting GPS Points'!$B$3:$AL$290,17,FALSE)</f>
        <v>test</v>
      </c>
      <c r="E47" s="35">
        <v>42978</v>
      </c>
      <c r="F47" s="36">
        <v>6.25</v>
      </c>
      <c r="G47" s="1">
        <v>500</v>
      </c>
      <c r="H47" s="12" t="s">
        <v>49</v>
      </c>
      <c r="I47" s="27">
        <v>43167</v>
      </c>
      <c r="J47" s="19" t="s">
        <v>291</v>
      </c>
      <c r="K47" s="19" t="s">
        <v>169</v>
      </c>
      <c r="L47">
        <v>478</v>
      </c>
      <c r="M47" s="1">
        <v>6.25</v>
      </c>
      <c r="N47" s="20">
        <f t="shared" si="13"/>
        <v>76.48</v>
      </c>
      <c r="O47">
        <f t="shared" si="14"/>
        <v>189</v>
      </c>
      <c r="P47" s="116">
        <f t="shared" si="4"/>
        <v>0.95599999999999996</v>
      </c>
      <c r="Q47" s="13" t="s">
        <v>740</v>
      </c>
    </row>
    <row r="48" spans="1:18" x14ac:dyDescent="0.25">
      <c r="A48" s="1" t="s">
        <v>391</v>
      </c>
      <c r="B48" s="1" t="s">
        <v>583</v>
      </c>
      <c r="C48" t="str">
        <f>VLOOKUP(B48,'Planting GPS Points'!$B$3:$L$290,10,FALSE)</f>
        <v>USFWS</v>
      </c>
      <c r="D48" t="str">
        <f>VLOOKUP(B48,'Planting GPS Points'!$B$3:$AL$290,17,FALSE)</f>
        <v>test</v>
      </c>
      <c r="E48" s="35">
        <v>42978</v>
      </c>
      <c r="F48" s="36">
        <v>6.25</v>
      </c>
      <c r="G48" s="1">
        <v>500</v>
      </c>
      <c r="H48" s="12" t="s">
        <v>49</v>
      </c>
      <c r="I48" s="27">
        <v>43167</v>
      </c>
      <c r="J48" s="19" t="s">
        <v>291</v>
      </c>
      <c r="K48" s="19" t="s">
        <v>169</v>
      </c>
      <c r="L48">
        <v>632</v>
      </c>
      <c r="M48" s="1">
        <v>6.25</v>
      </c>
      <c r="N48" s="20">
        <f t="shared" si="13"/>
        <v>101.12</v>
      </c>
      <c r="O48">
        <f t="shared" si="14"/>
        <v>189</v>
      </c>
      <c r="P48" s="116">
        <f t="shared" si="4"/>
        <v>1.264</v>
      </c>
      <c r="Q48" s="13" t="s">
        <v>739</v>
      </c>
    </row>
    <row r="49" spans="1:18" x14ac:dyDescent="0.25">
      <c r="A49" t="s">
        <v>31</v>
      </c>
      <c r="B49" t="s">
        <v>224</v>
      </c>
      <c r="C49" t="str">
        <f>VLOOKUP(B49,'Planting GPS Points'!$B$3:$L$290,10,FALSE)</f>
        <v>DNR</v>
      </c>
      <c r="D49" t="str">
        <f>VLOOKUP(B49,'Planting GPS Points'!$B$3:$AL$290,17,FALSE)</f>
        <v>test</v>
      </c>
      <c r="E49" s="27">
        <v>42061</v>
      </c>
      <c r="F49" s="20">
        <v>25</v>
      </c>
      <c r="G49" s="5">
        <v>500</v>
      </c>
      <c r="H49" s="12" t="s">
        <v>165</v>
      </c>
      <c r="I49" s="27">
        <v>42215</v>
      </c>
      <c r="J49" s="19" t="s">
        <v>291</v>
      </c>
      <c r="K49" s="19" t="s">
        <v>168</v>
      </c>
      <c r="N49" s="20" t="str">
        <f t="shared" si="13"/>
        <v/>
      </c>
      <c r="O49">
        <f t="shared" si="14"/>
        <v>154</v>
      </c>
      <c r="P49" s="116" t="str">
        <f t="shared" si="4"/>
        <v/>
      </c>
      <c r="Q49" s="13" t="s">
        <v>1231</v>
      </c>
    </row>
    <row r="50" spans="1:18" x14ac:dyDescent="0.25">
      <c r="A50" t="s">
        <v>31</v>
      </c>
      <c r="B50" t="s">
        <v>224</v>
      </c>
      <c r="C50" t="str">
        <f>VLOOKUP(B50,'Planting GPS Points'!$B$3:$L$290,10,FALSE)</f>
        <v>DNR</v>
      </c>
      <c r="D50" t="str">
        <f>VLOOKUP(B50,'Planting GPS Points'!$B$3:$AL$290,17,FALSE)</f>
        <v>test</v>
      </c>
      <c r="E50" s="27">
        <v>42061</v>
      </c>
      <c r="F50" s="20">
        <v>25</v>
      </c>
      <c r="G50" s="5">
        <v>500</v>
      </c>
      <c r="H50" s="12" t="s">
        <v>165</v>
      </c>
      <c r="I50" s="27">
        <v>42219</v>
      </c>
      <c r="J50" s="19" t="s">
        <v>291</v>
      </c>
      <c r="K50" s="19" t="s">
        <v>168</v>
      </c>
      <c r="N50" s="20"/>
      <c r="O50">
        <f t="shared" si="14"/>
        <v>158</v>
      </c>
      <c r="P50" s="116"/>
      <c r="Q50" s="13" t="s">
        <v>1232</v>
      </c>
    </row>
    <row r="51" spans="1:18" x14ac:dyDescent="0.25">
      <c r="A51" t="s">
        <v>31</v>
      </c>
      <c r="B51" t="s">
        <v>224</v>
      </c>
      <c r="C51" t="str">
        <f>VLOOKUP(B51,'Planting GPS Points'!$B$3:$L$290,10,FALSE)</f>
        <v>DNR</v>
      </c>
      <c r="D51" t="str">
        <f>VLOOKUP(B51,'Planting GPS Points'!$B$3:$AL$290,17,FALSE)</f>
        <v>test</v>
      </c>
      <c r="E51" s="27">
        <v>42061</v>
      </c>
      <c r="F51" s="20">
        <v>25</v>
      </c>
      <c r="G51" s="5">
        <v>500</v>
      </c>
      <c r="H51" s="12" t="s">
        <v>165</v>
      </c>
      <c r="I51" s="27">
        <v>42227</v>
      </c>
      <c r="J51" s="19" t="s">
        <v>291</v>
      </c>
      <c r="K51" s="19" t="s">
        <v>168</v>
      </c>
      <c r="N51" s="20"/>
      <c r="O51">
        <f t="shared" si="14"/>
        <v>166</v>
      </c>
      <c r="P51" s="116"/>
      <c r="Q51" s="13" t="s">
        <v>1233</v>
      </c>
    </row>
    <row r="52" spans="1:18" x14ac:dyDescent="0.25">
      <c r="A52" t="s">
        <v>31</v>
      </c>
      <c r="B52" t="s">
        <v>224</v>
      </c>
      <c r="C52" t="str">
        <f>VLOOKUP(B52,'Planting GPS Points'!$B$3:$L$290,10,FALSE)</f>
        <v>DNR</v>
      </c>
      <c r="D52" t="str">
        <f>VLOOKUP(B52,'Planting GPS Points'!$B$3:$AL$290,17,FALSE)</f>
        <v>test</v>
      </c>
      <c r="E52" s="27">
        <v>42061</v>
      </c>
      <c r="F52" s="20">
        <v>25</v>
      </c>
      <c r="G52" s="5">
        <v>500</v>
      </c>
      <c r="H52" s="12" t="s">
        <v>165</v>
      </c>
      <c r="I52" s="27">
        <v>42497</v>
      </c>
      <c r="J52" s="19" t="s">
        <v>291</v>
      </c>
      <c r="K52" s="19" t="s">
        <v>168</v>
      </c>
      <c r="N52" s="20" t="str">
        <f>IFERROR(L52/M52, "")</f>
        <v/>
      </c>
      <c r="O52">
        <f t="shared" si="14"/>
        <v>436</v>
      </c>
      <c r="P52" s="116" t="str">
        <f>IF(L52="", "", L52/G52)</f>
        <v/>
      </c>
      <c r="Q52" s="13" t="s">
        <v>974</v>
      </c>
    </row>
    <row r="53" spans="1:18" x14ac:dyDescent="0.25">
      <c r="A53" t="s">
        <v>31</v>
      </c>
      <c r="B53" t="s">
        <v>224</v>
      </c>
      <c r="C53" t="str">
        <f>VLOOKUP(B53,'Planting GPS Points'!$B$3:$L$290,10,FALSE)</f>
        <v>DNR</v>
      </c>
      <c r="D53" t="str">
        <f>VLOOKUP(B53,'Planting GPS Points'!$B$3:$AL$290,17,FALSE)</f>
        <v>test</v>
      </c>
      <c r="E53" s="27">
        <v>42061</v>
      </c>
      <c r="F53" s="20">
        <v>25</v>
      </c>
      <c r="G53" s="5">
        <v>500</v>
      </c>
      <c r="H53" s="12" t="s">
        <v>1213</v>
      </c>
      <c r="I53" s="27">
        <v>42506</v>
      </c>
      <c r="J53" s="19" t="s">
        <v>291</v>
      </c>
      <c r="K53" s="19" t="s">
        <v>168</v>
      </c>
      <c r="N53" s="20" t="str">
        <f>IFERROR(L53/M53, "")</f>
        <v/>
      </c>
      <c r="O53">
        <f t="shared" si="14"/>
        <v>445</v>
      </c>
      <c r="P53" s="116" t="str">
        <f>IF(L53="", "", L53/G53)</f>
        <v/>
      </c>
      <c r="Q53" s="13" t="s">
        <v>1221</v>
      </c>
    </row>
    <row r="54" spans="1:18" x14ac:dyDescent="0.25">
      <c r="A54" t="s">
        <v>31</v>
      </c>
      <c r="B54" t="s">
        <v>224</v>
      </c>
      <c r="C54" t="str">
        <f>VLOOKUP(B54,'Planting GPS Points'!$B$3:$L$290,10,FALSE)</f>
        <v>DNR</v>
      </c>
      <c r="D54" t="str">
        <f>VLOOKUP(B54,'Planting GPS Points'!$B$3:$AL$290,17,FALSE)</f>
        <v>test</v>
      </c>
      <c r="E54" s="27">
        <v>42061</v>
      </c>
      <c r="F54" s="20">
        <v>25</v>
      </c>
      <c r="G54" s="5">
        <v>500</v>
      </c>
      <c r="H54" s="12" t="s">
        <v>165</v>
      </c>
      <c r="I54" s="27">
        <v>42570</v>
      </c>
      <c r="J54" s="19" t="s">
        <v>291</v>
      </c>
      <c r="K54" s="19" t="s">
        <v>168</v>
      </c>
      <c r="L54">
        <v>526</v>
      </c>
      <c r="N54" s="20" t="str">
        <f>IFERROR(L54/M54, "")</f>
        <v/>
      </c>
      <c r="O54">
        <f t="shared" si="14"/>
        <v>509</v>
      </c>
      <c r="P54" s="116">
        <f>IF(L54="", "", L54/G54)</f>
        <v>1.052</v>
      </c>
      <c r="Q54" s="13" t="s">
        <v>1234</v>
      </c>
    </row>
    <row r="55" spans="1:18" x14ac:dyDescent="0.25">
      <c r="A55" t="s">
        <v>31</v>
      </c>
      <c r="B55" t="s">
        <v>224</v>
      </c>
      <c r="C55" t="str">
        <f>VLOOKUP(B55,'Planting GPS Points'!$B$3:$L$290,10,FALSE)</f>
        <v>DNR</v>
      </c>
      <c r="D55" t="str">
        <f>VLOOKUP(B55,'Planting GPS Points'!$B$3:$AL$290,17,FALSE)</f>
        <v>test</v>
      </c>
      <c r="E55" s="27">
        <v>42061</v>
      </c>
      <c r="F55" s="20">
        <v>25</v>
      </c>
      <c r="G55" s="5">
        <v>500</v>
      </c>
      <c r="H55" s="12" t="s">
        <v>165</v>
      </c>
      <c r="I55" s="27">
        <v>42884</v>
      </c>
      <c r="J55" s="19" t="s">
        <v>291</v>
      </c>
      <c r="K55" s="19" t="s">
        <v>168</v>
      </c>
      <c r="N55" s="20"/>
      <c r="O55">
        <f t="shared" si="14"/>
        <v>823</v>
      </c>
      <c r="P55" s="116"/>
      <c r="Q55" s="13" t="s">
        <v>1237</v>
      </c>
    </row>
    <row r="56" spans="1:18" x14ac:dyDescent="0.25">
      <c r="A56" t="s">
        <v>31</v>
      </c>
      <c r="B56" t="s">
        <v>224</v>
      </c>
      <c r="C56" t="str">
        <f>VLOOKUP(B56,'Planting GPS Points'!$B$3:$L$290,10,FALSE)</f>
        <v>DNR</v>
      </c>
      <c r="D56" t="str">
        <f>VLOOKUP(B56,'Planting GPS Points'!$B$3:$AL$290,17,FALSE)</f>
        <v>test</v>
      </c>
      <c r="E56" s="27">
        <v>42061</v>
      </c>
      <c r="F56" s="20">
        <v>25</v>
      </c>
      <c r="G56" s="5">
        <v>500</v>
      </c>
      <c r="H56" s="12" t="s">
        <v>165</v>
      </c>
      <c r="I56" s="27">
        <v>42940</v>
      </c>
      <c r="J56" s="19" t="s">
        <v>291</v>
      </c>
      <c r="K56" s="19" t="s">
        <v>168</v>
      </c>
      <c r="N56" s="20"/>
      <c r="O56">
        <f t="shared" si="14"/>
        <v>879</v>
      </c>
      <c r="P56" s="116"/>
      <c r="Q56" s="13" t="s">
        <v>1236</v>
      </c>
    </row>
    <row r="57" spans="1:18" x14ac:dyDescent="0.25">
      <c r="A57" t="s">
        <v>31</v>
      </c>
      <c r="B57" t="s">
        <v>224</v>
      </c>
      <c r="C57" t="str">
        <f>VLOOKUP(B57,'Planting GPS Points'!$B$3:$L$290,10,FALSE)</f>
        <v>DNR</v>
      </c>
      <c r="D57" t="str">
        <f>VLOOKUP(B57,'Planting GPS Points'!$B$3:$AL$290,17,FALSE)</f>
        <v>test</v>
      </c>
      <c r="E57" s="27">
        <v>42061</v>
      </c>
      <c r="F57" s="20">
        <v>25</v>
      </c>
      <c r="G57" s="5">
        <v>500</v>
      </c>
      <c r="H57" s="12" t="s">
        <v>165</v>
      </c>
      <c r="I57" s="27">
        <v>42967</v>
      </c>
      <c r="J57" s="19" t="s">
        <v>291</v>
      </c>
      <c r="K57" s="19" t="s">
        <v>168</v>
      </c>
      <c r="N57" s="20"/>
      <c r="O57">
        <f t="shared" si="14"/>
        <v>906</v>
      </c>
      <c r="P57" s="116"/>
      <c r="Q57" s="13" t="s">
        <v>1235</v>
      </c>
    </row>
    <row r="58" spans="1:18" s="110" customFormat="1" x14ac:dyDescent="0.25">
      <c r="A58" t="s">
        <v>31</v>
      </c>
      <c r="B58" t="s">
        <v>224</v>
      </c>
      <c r="C58" t="str">
        <f>VLOOKUP(B58,'Planting GPS Points'!$B$3:$L$290,10,FALSE)</f>
        <v>DNR</v>
      </c>
      <c r="D58" t="str">
        <f>VLOOKUP(B58,'Planting GPS Points'!$B$3:$AL$290,17,FALSE)</f>
        <v>test</v>
      </c>
      <c r="E58" s="27">
        <v>42061</v>
      </c>
      <c r="F58" s="20">
        <v>25</v>
      </c>
      <c r="G58" s="5">
        <v>500</v>
      </c>
      <c r="H58" s="12" t="s">
        <v>165</v>
      </c>
      <c r="I58" s="27">
        <v>43250</v>
      </c>
      <c r="J58" s="19" t="s">
        <v>291</v>
      </c>
      <c r="K58" s="19" t="s">
        <v>168</v>
      </c>
      <c r="L58"/>
      <c r="M58"/>
      <c r="N58" s="20" t="str">
        <f>IFERROR(L58/M58, "")</f>
        <v/>
      </c>
      <c r="O58">
        <f t="shared" si="14"/>
        <v>1189</v>
      </c>
      <c r="P58" s="116" t="str">
        <f t="shared" ref="P58:P65" si="15">IF(L58="", "", L58/G58)</f>
        <v/>
      </c>
      <c r="Q58" s="13" t="s">
        <v>1007</v>
      </c>
      <c r="R58"/>
    </row>
    <row r="59" spans="1:18" x14ac:dyDescent="0.25">
      <c r="A59" t="s">
        <v>31</v>
      </c>
      <c r="B59" t="s">
        <v>224</v>
      </c>
      <c r="C59" t="str">
        <f>VLOOKUP(B59,'Planting GPS Points'!$B$3:$L$290,10,FALSE)</f>
        <v>DNR</v>
      </c>
      <c r="D59" t="str">
        <f>VLOOKUP(B59,'Planting GPS Points'!$B$3:$AL$290,17,FALSE)</f>
        <v>test</v>
      </c>
      <c r="E59" s="27">
        <v>42061</v>
      </c>
      <c r="F59" s="179" t="str">
        <f>VLOOKUP(B59,PLANTING,26,FALSE)</f>
        <v>staple</v>
      </c>
      <c r="G59" s="148">
        <f>VLOOKUP(B59,PLANTING,29,FALSE)</f>
        <v>25</v>
      </c>
      <c r="H59" s="12" t="s">
        <v>49</v>
      </c>
      <c r="I59" s="27">
        <v>43624</v>
      </c>
      <c r="J59" s="19" t="s">
        <v>291</v>
      </c>
      <c r="K59" s="19" t="s">
        <v>168</v>
      </c>
      <c r="L59" s="38">
        <v>50</v>
      </c>
      <c r="M59">
        <v>25</v>
      </c>
      <c r="N59" s="20">
        <f>IFERROR(L59/M59, "")</f>
        <v>2</v>
      </c>
      <c r="O59">
        <f t="shared" si="14"/>
        <v>1563</v>
      </c>
      <c r="P59" s="116">
        <f t="shared" si="15"/>
        <v>2</v>
      </c>
      <c r="Q59" s="144" t="s">
        <v>1836</v>
      </c>
    </row>
    <row r="60" spans="1:18" x14ac:dyDescent="0.25">
      <c r="A60" t="s">
        <v>31</v>
      </c>
      <c r="B60" t="s">
        <v>224</v>
      </c>
      <c r="C60" t="str">
        <f>VLOOKUP(B60,'Planting GPS Points'!$B$3:$L$290,10,FALSE)</f>
        <v>DNR</v>
      </c>
      <c r="D60" t="str">
        <f>VLOOKUP(B60,'Planting GPS Points'!$B$3:$AL$290,17,FALSE)</f>
        <v>test</v>
      </c>
      <c r="E60" s="27">
        <v>42061</v>
      </c>
      <c r="F60" s="179" t="str">
        <f>VLOOKUP(B60,PLANTING,26,FALSE)</f>
        <v>staple</v>
      </c>
      <c r="G60" s="148">
        <f>VLOOKUP(B60,PLANTING,29,FALSE)</f>
        <v>25</v>
      </c>
      <c r="H60" s="12" t="s">
        <v>49</v>
      </c>
      <c r="I60" s="27">
        <v>43965</v>
      </c>
      <c r="J60" s="19" t="s">
        <v>291</v>
      </c>
      <c r="K60" s="19" t="s">
        <v>168</v>
      </c>
      <c r="L60">
        <v>568</v>
      </c>
      <c r="M60" s="38">
        <v>25</v>
      </c>
      <c r="N60" s="20">
        <f>IFERROR(L60/M60, "")</f>
        <v>22.72</v>
      </c>
      <c r="O60">
        <f t="shared" si="14"/>
        <v>1904</v>
      </c>
      <c r="P60" s="116">
        <f t="shared" si="15"/>
        <v>22.72</v>
      </c>
      <c r="Q60" t="s">
        <v>1832</v>
      </c>
    </row>
    <row r="61" spans="1:18" x14ac:dyDescent="0.25">
      <c r="A61" t="s">
        <v>31</v>
      </c>
      <c r="B61" t="s">
        <v>224</v>
      </c>
      <c r="C61" t="str">
        <f>VLOOKUP(B61,'Planting GPS Points'!$B$3:$L$290,10,FALSE)</f>
        <v>DNR</v>
      </c>
      <c r="D61" t="str">
        <f>VLOOKUP(B61,'Planting GPS Points'!$B$3:$AL$290,17,FALSE)</f>
        <v>test</v>
      </c>
      <c r="E61" s="27">
        <v>42061</v>
      </c>
      <c r="F61" s="179" t="str">
        <f>VLOOKUP(B61,PLANTING,26,FALSE)</f>
        <v>staple</v>
      </c>
      <c r="G61" s="148">
        <f>VLOOKUP(B61,PLANTING,29,FALSE)</f>
        <v>25</v>
      </c>
      <c r="H61" s="12" t="s">
        <v>165</v>
      </c>
      <c r="I61" s="27">
        <v>44316</v>
      </c>
      <c r="J61" s="19" t="s">
        <v>291</v>
      </c>
      <c r="K61" s="19" t="s">
        <v>168</v>
      </c>
      <c r="L61">
        <v>53</v>
      </c>
      <c r="M61" s="38">
        <v>1</v>
      </c>
      <c r="N61" s="20">
        <f>IFERROR(L61/M61, "")</f>
        <v>53</v>
      </c>
      <c r="O61">
        <f t="shared" si="14"/>
        <v>2255</v>
      </c>
      <c r="P61" s="116">
        <f t="shared" si="15"/>
        <v>2.12</v>
      </c>
      <c r="Q61" s="13" t="s">
        <v>2031</v>
      </c>
    </row>
    <row r="62" spans="1:18" x14ac:dyDescent="0.25">
      <c r="A62" s="110" t="s">
        <v>31</v>
      </c>
      <c r="B62" s="110" t="s">
        <v>224</v>
      </c>
      <c r="C62" t="str">
        <f>VLOOKUP(B62,'Planting GPS Points'!$B$3:$L$290,10,FALSE)</f>
        <v>DNR</v>
      </c>
      <c r="D62" t="str">
        <f>VLOOKUP(B62,'Planting GPS Points'!$B$3:$AL$290,17,FALSE)</f>
        <v>test</v>
      </c>
      <c r="E62" s="169">
        <v>42061</v>
      </c>
      <c r="F62" s="180" t="str">
        <f>VLOOKUP(B62,PLANTING,26,FALSE)</f>
        <v>staple</v>
      </c>
      <c r="G62" s="170">
        <f>VLOOKUP(B62,PLANTING,29,FALSE)</f>
        <v>25</v>
      </c>
      <c r="H62" s="171" t="s">
        <v>165</v>
      </c>
      <c r="I62" s="169">
        <v>44359</v>
      </c>
      <c r="J62" s="172" t="s">
        <v>291</v>
      </c>
      <c r="K62" s="172" t="s">
        <v>168</v>
      </c>
      <c r="L62" s="110">
        <v>53</v>
      </c>
      <c r="M62" s="167">
        <v>1</v>
      </c>
      <c r="N62" s="173">
        <f>IFERROR(L62/M62, "")</f>
        <v>53</v>
      </c>
      <c r="O62" s="110">
        <f t="shared" si="14"/>
        <v>2298</v>
      </c>
      <c r="P62" s="174">
        <f t="shared" si="15"/>
        <v>2.12</v>
      </c>
      <c r="Q62" s="168" t="s">
        <v>2051</v>
      </c>
      <c r="R62" s="110"/>
    </row>
    <row r="63" spans="1:18" x14ac:dyDescent="0.25">
      <c r="A63" t="s">
        <v>31</v>
      </c>
      <c r="B63" t="s">
        <v>214</v>
      </c>
      <c r="C63" t="str">
        <f>VLOOKUP(B63,'Planting GPS Points'!$B$3:$L$290,10,FALSE)</f>
        <v>WDFW</v>
      </c>
      <c r="D63" t="str">
        <f>VLOOKUP(B63,'Planting GPS Points'!$B$3:$AL$290,17,FALSE)</f>
        <v>large scale</v>
      </c>
      <c r="E63" s="27">
        <v>42535</v>
      </c>
      <c r="F63" s="20">
        <v>50.4</v>
      </c>
      <c r="G63">
        <v>20850</v>
      </c>
      <c r="H63" s="12" t="s">
        <v>165</v>
      </c>
      <c r="I63" s="27">
        <v>42570</v>
      </c>
      <c r="J63" s="19" t="s">
        <v>291</v>
      </c>
      <c r="K63" s="19" t="s">
        <v>171</v>
      </c>
      <c r="N63" s="20"/>
      <c r="O63">
        <f t="shared" si="14"/>
        <v>35</v>
      </c>
      <c r="P63" s="116" t="str">
        <f t="shared" si="15"/>
        <v/>
      </c>
      <c r="Q63" s="13" t="s">
        <v>1230</v>
      </c>
    </row>
    <row r="64" spans="1:18" x14ac:dyDescent="0.25">
      <c r="A64" t="s">
        <v>31</v>
      </c>
      <c r="B64" t="s">
        <v>214</v>
      </c>
      <c r="C64" t="str">
        <f>VLOOKUP(B64,'Planting GPS Points'!$B$3:$L$290,10,FALSE)</f>
        <v>WDFW</v>
      </c>
      <c r="D64" t="str">
        <f>VLOOKUP(B64,'Planting GPS Points'!$B$3:$AL$290,17,FALSE)</f>
        <v>large scale</v>
      </c>
      <c r="E64" s="27">
        <v>42535</v>
      </c>
      <c r="F64" s="20">
        <v>50.4</v>
      </c>
      <c r="G64">
        <v>20850</v>
      </c>
      <c r="H64" s="12" t="s">
        <v>1213</v>
      </c>
      <c r="I64" s="27">
        <v>42933</v>
      </c>
      <c r="J64" s="19" t="s">
        <v>409</v>
      </c>
      <c r="K64" s="19" t="s">
        <v>171</v>
      </c>
      <c r="L64">
        <v>0</v>
      </c>
      <c r="N64" s="20" t="str">
        <f>IFERROR(L64/M64, "")</f>
        <v/>
      </c>
      <c r="O64">
        <f t="shared" si="14"/>
        <v>398</v>
      </c>
      <c r="P64" s="116">
        <f t="shared" si="15"/>
        <v>0</v>
      </c>
      <c r="Q64" s="13" t="s">
        <v>1224</v>
      </c>
    </row>
    <row r="65" spans="1:18" x14ac:dyDescent="0.25">
      <c r="A65" t="s">
        <v>31</v>
      </c>
      <c r="B65" s="1" t="s">
        <v>160</v>
      </c>
      <c r="C65" t="str">
        <f>VLOOKUP(B65,'Planting GPS Points'!$B$3:$L$290,10,FALSE)</f>
        <v>WDFW</v>
      </c>
      <c r="D65" t="str">
        <f>VLOOKUP(B65,'Planting GPS Points'!$B$3:$AL$290,17,FALSE)</f>
        <v>test</v>
      </c>
      <c r="E65" s="27">
        <v>42933</v>
      </c>
      <c r="F65" s="20">
        <v>6</v>
      </c>
      <c r="G65" s="38">
        <v>1172</v>
      </c>
      <c r="H65" s="73" t="s">
        <v>165</v>
      </c>
      <c r="I65" s="27">
        <v>43250</v>
      </c>
      <c r="J65" s="19" t="s">
        <v>291</v>
      </c>
      <c r="K65" s="19" t="s">
        <v>1104</v>
      </c>
      <c r="L65">
        <v>308</v>
      </c>
      <c r="M65">
        <v>2.75</v>
      </c>
      <c r="N65" s="20">
        <f>IFERROR(L65/M65, "")</f>
        <v>112</v>
      </c>
      <c r="O65">
        <f t="shared" si="14"/>
        <v>317</v>
      </c>
      <c r="P65" s="116">
        <f t="shared" si="15"/>
        <v>0.26279863481228671</v>
      </c>
      <c r="Q65" s="13" t="s">
        <v>1008</v>
      </c>
    </row>
    <row r="66" spans="1:18" x14ac:dyDescent="0.25">
      <c r="A66" t="s">
        <v>31</v>
      </c>
      <c r="B66" s="1" t="s">
        <v>160</v>
      </c>
      <c r="C66" t="str">
        <f>VLOOKUP(B66,'Planting GPS Points'!$B$3:$L$290,10,FALSE)</f>
        <v>WDFW</v>
      </c>
      <c r="D66" t="str">
        <f>VLOOKUP(B66,'Planting GPS Points'!$B$3:$AL$290,17,FALSE)</f>
        <v>test</v>
      </c>
      <c r="E66" s="27">
        <v>42933</v>
      </c>
      <c r="F66" s="20">
        <v>6</v>
      </c>
      <c r="G66" s="38">
        <v>1172</v>
      </c>
      <c r="H66" s="73" t="s">
        <v>165</v>
      </c>
      <c r="I66" s="27">
        <v>43279</v>
      </c>
      <c r="J66" s="19" t="s">
        <v>291</v>
      </c>
      <c r="K66" s="19" t="s">
        <v>1104</v>
      </c>
      <c r="N66" s="20"/>
      <c r="O66">
        <f t="shared" si="14"/>
        <v>346</v>
      </c>
      <c r="P66" s="116"/>
      <c r="Q66" s="13" t="s">
        <v>1239</v>
      </c>
    </row>
    <row r="67" spans="1:18" x14ac:dyDescent="0.25">
      <c r="A67" t="s">
        <v>31</v>
      </c>
      <c r="B67" s="1" t="s">
        <v>160</v>
      </c>
      <c r="C67" t="str">
        <f>VLOOKUP(B67,'Planting GPS Points'!$B$3:$L$290,10,FALSE)</f>
        <v>WDFW</v>
      </c>
      <c r="D67" t="str">
        <f>VLOOKUP(B67,'Planting GPS Points'!$B$3:$AL$290,17,FALSE)</f>
        <v>test</v>
      </c>
      <c r="E67" s="27">
        <v>42933</v>
      </c>
      <c r="F67" s="20">
        <v>6</v>
      </c>
      <c r="G67" s="38">
        <v>1172</v>
      </c>
      <c r="H67" s="73" t="s">
        <v>165</v>
      </c>
      <c r="I67" s="27">
        <v>43324</v>
      </c>
      <c r="J67" s="19" t="s">
        <v>291</v>
      </c>
      <c r="K67" s="19" t="s">
        <v>1104</v>
      </c>
      <c r="N67" s="20"/>
      <c r="O67">
        <f t="shared" si="14"/>
        <v>391</v>
      </c>
      <c r="P67" s="116"/>
      <c r="Q67" s="13" t="s">
        <v>1240</v>
      </c>
    </row>
    <row r="68" spans="1:18" x14ac:dyDescent="0.25">
      <c r="A68" t="s">
        <v>31</v>
      </c>
      <c r="B68" s="1" t="s">
        <v>160</v>
      </c>
      <c r="C68" t="str">
        <f>VLOOKUP(B68,'Planting GPS Points'!$B$3:$L$290,10,FALSE)</f>
        <v>WDFW</v>
      </c>
      <c r="D68" t="str">
        <f>VLOOKUP(B68,'Planting GPS Points'!$B$3:$AL$290,17,FALSE)</f>
        <v>test</v>
      </c>
      <c r="E68" s="27">
        <v>42933</v>
      </c>
      <c r="F68" s="20">
        <v>6</v>
      </c>
      <c r="G68" s="38">
        <v>1172</v>
      </c>
      <c r="H68" s="12" t="s">
        <v>49</v>
      </c>
      <c r="I68" s="27">
        <v>43624</v>
      </c>
      <c r="J68" s="19" t="s">
        <v>291</v>
      </c>
      <c r="K68" s="19" t="s">
        <v>1104</v>
      </c>
      <c r="L68" s="38">
        <v>10</v>
      </c>
      <c r="M68">
        <v>6</v>
      </c>
      <c r="N68" s="20">
        <f>IFERROR(L68/M68, "")</f>
        <v>1.6666666666666667</v>
      </c>
      <c r="O68">
        <f t="shared" si="14"/>
        <v>691</v>
      </c>
      <c r="P68" s="116">
        <f>IF(L68="", "", L68/G68)</f>
        <v>8.5324232081911266E-3</v>
      </c>
      <c r="Q68" s="144" t="s">
        <v>1835</v>
      </c>
    </row>
    <row r="69" spans="1:18" x14ac:dyDescent="0.25">
      <c r="A69" t="s">
        <v>31</v>
      </c>
      <c r="B69" t="s">
        <v>2017</v>
      </c>
      <c r="C69" t="str">
        <f>VLOOKUP(B69,'Planting GPS Points'!$B$3:$L$290,10,FALSE)</f>
        <v>USACE</v>
      </c>
      <c r="D69" t="str">
        <f>VLOOKUP(B69,'Planting GPS Points'!$B$3:$AL$290,17,FALSE)</f>
        <v>test</v>
      </c>
      <c r="E69" s="134">
        <v>44013</v>
      </c>
      <c r="F69" s="20">
        <v>6.25</v>
      </c>
      <c r="G69" s="38">
        <v>625</v>
      </c>
      <c r="H69" s="12" t="s">
        <v>165</v>
      </c>
      <c r="I69" s="27">
        <v>44316</v>
      </c>
      <c r="J69" s="19" t="s">
        <v>291</v>
      </c>
      <c r="K69" s="19" t="s">
        <v>169</v>
      </c>
      <c r="L69" s="38"/>
      <c r="N69" s="20"/>
      <c r="O69">
        <f t="shared" si="14"/>
        <v>303</v>
      </c>
      <c r="P69" s="116"/>
      <c r="Q69" s="144" t="s">
        <v>2034</v>
      </c>
    </row>
    <row r="70" spans="1:18" x14ac:dyDescent="0.25">
      <c r="A70" s="110" t="s">
        <v>31</v>
      </c>
      <c r="B70" s="110" t="s">
        <v>2017</v>
      </c>
      <c r="C70" t="str">
        <f>VLOOKUP(B70,'Planting GPS Points'!$B$3:$L$290,10,FALSE)</f>
        <v>USACE</v>
      </c>
      <c r="D70" t="str">
        <f>VLOOKUP(B70,'Planting GPS Points'!$B$3:$AL$290,17,FALSE)</f>
        <v>test</v>
      </c>
      <c r="E70" s="175">
        <v>44013</v>
      </c>
      <c r="F70" s="173">
        <v>6.25</v>
      </c>
      <c r="G70" s="167">
        <v>625</v>
      </c>
      <c r="H70" s="171" t="s">
        <v>165</v>
      </c>
      <c r="I70" s="169">
        <v>44359</v>
      </c>
      <c r="J70" s="172" t="s">
        <v>291</v>
      </c>
      <c r="K70" s="172" t="s">
        <v>169</v>
      </c>
      <c r="L70" s="167">
        <v>23</v>
      </c>
      <c r="M70" s="110"/>
      <c r="N70" s="173"/>
      <c r="O70" s="110">
        <f t="shared" si="14"/>
        <v>346</v>
      </c>
      <c r="P70" s="174"/>
      <c r="Q70" s="176" t="s">
        <v>2052</v>
      </c>
      <c r="R70" s="110"/>
    </row>
    <row r="71" spans="1:18" x14ac:dyDescent="0.25">
      <c r="A71" s="197" t="s">
        <v>31</v>
      </c>
      <c r="B71" s="197" t="s">
        <v>2017</v>
      </c>
      <c r="C71" t="str">
        <f>VLOOKUP(B71,'Planting GPS Points'!$B$3:$L$290,10,FALSE)</f>
        <v>USACE</v>
      </c>
      <c r="D71" t="str">
        <f>VLOOKUP(B71,'Planting GPS Points'!$B$3:$AL$290,17,FALSE)</f>
        <v>test</v>
      </c>
      <c r="E71" s="198">
        <v>44013</v>
      </c>
      <c r="F71" s="197">
        <v>6.25</v>
      </c>
      <c r="G71" s="197">
        <v>625</v>
      </c>
      <c r="H71" s="199" t="s">
        <v>49</v>
      </c>
      <c r="I71" s="198">
        <v>44307</v>
      </c>
      <c r="J71" s="200" t="s">
        <v>291</v>
      </c>
      <c r="K71" s="200" t="s">
        <v>169</v>
      </c>
      <c r="L71" s="197">
        <v>38</v>
      </c>
      <c r="M71" s="197">
        <v>6.25</v>
      </c>
      <c r="N71" s="201">
        <f>IFERROR(L71/M71, "")</f>
        <v>6.08</v>
      </c>
      <c r="O71" s="197">
        <f t="shared" si="14"/>
        <v>294</v>
      </c>
      <c r="P71" s="202">
        <f>IF(L71="", "", L71/G71)</f>
        <v>6.08E-2</v>
      </c>
      <c r="Q71" s="203" t="s">
        <v>2069</v>
      </c>
      <c r="R71" s="197" t="s">
        <v>2073</v>
      </c>
    </row>
    <row r="72" spans="1:18" s="110" customFormat="1" x14ac:dyDescent="0.25">
      <c r="A72" t="s">
        <v>31</v>
      </c>
      <c r="B72" t="s">
        <v>2017</v>
      </c>
      <c r="C72" t="str">
        <f>VLOOKUP(B72,'Planting GPS Points'!$B$3:$L$290,10,FALSE)</f>
        <v>USACE</v>
      </c>
      <c r="D72" t="str">
        <f>VLOOKUP(B72,'Planting GPS Points'!$B$3:$AL$290,17,FALSE)</f>
        <v>test</v>
      </c>
      <c r="E72" s="27">
        <v>44013</v>
      </c>
      <c r="F72">
        <v>6.25</v>
      </c>
      <c r="G72">
        <v>625</v>
      </c>
      <c r="H72" s="12" t="s">
        <v>49</v>
      </c>
      <c r="I72" s="27">
        <v>44701</v>
      </c>
      <c r="J72" s="19" t="s">
        <v>291</v>
      </c>
      <c r="K72" s="19" t="s">
        <v>169</v>
      </c>
      <c r="L72"/>
      <c r="M72"/>
      <c r="N72"/>
      <c r="O72">
        <f t="shared" si="14"/>
        <v>688</v>
      </c>
      <c r="P72"/>
      <c r="Q72"/>
      <c r="R72"/>
    </row>
    <row r="73" spans="1:18" x14ac:dyDescent="0.25">
      <c r="A73" t="s">
        <v>31</v>
      </c>
      <c r="B73" s="1" t="s">
        <v>161</v>
      </c>
      <c r="C73" t="str">
        <f>VLOOKUP(B73,'Planting GPS Points'!$B$3:$L$290,10,FALSE)</f>
        <v>WDFW</v>
      </c>
      <c r="D73" t="str">
        <f>VLOOKUP(B73,'Planting GPS Points'!$B$3:$AL$290,17,FALSE)</f>
        <v>test</v>
      </c>
      <c r="E73" s="27">
        <v>42933</v>
      </c>
      <c r="F73" s="20">
        <v>6</v>
      </c>
      <c r="G73" s="38">
        <v>1015</v>
      </c>
      <c r="H73" s="73" t="s">
        <v>165</v>
      </c>
      <c r="I73" s="27">
        <v>43250</v>
      </c>
      <c r="J73" s="19" t="s">
        <v>291</v>
      </c>
      <c r="K73" s="19" t="s">
        <v>1104</v>
      </c>
      <c r="N73" s="20" t="str">
        <f>IFERROR(L73/M73, "")</f>
        <v/>
      </c>
      <c r="O73">
        <f t="shared" si="14"/>
        <v>317</v>
      </c>
      <c r="P73" s="116" t="str">
        <f>IF(L73="", "", L73/G73)</f>
        <v/>
      </c>
      <c r="Q73" s="13" t="s">
        <v>1238</v>
      </c>
    </row>
    <row r="74" spans="1:18" s="155" customFormat="1" x14ac:dyDescent="0.25">
      <c r="A74" t="s">
        <v>31</v>
      </c>
      <c r="B74" s="1" t="s">
        <v>161</v>
      </c>
      <c r="C74" t="str">
        <f>VLOOKUP(B74,'Planting GPS Points'!$B$3:$L$290,10,FALSE)</f>
        <v>WDFW</v>
      </c>
      <c r="D74" t="str">
        <f>VLOOKUP(B74,'Planting GPS Points'!$B$3:$AL$290,17,FALSE)</f>
        <v>test</v>
      </c>
      <c r="E74" s="27">
        <v>42933</v>
      </c>
      <c r="F74" s="20">
        <v>6</v>
      </c>
      <c r="G74" s="38">
        <v>1015</v>
      </c>
      <c r="H74" s="12" t="s">
        <v>49</v>
      </c>
      <c r="I74" s="27">
        <v>43624</v>
      </c>
      <c r="J74" s="19" t="s">
        <v>409</v>
      </c>
      <c r="K74" s="19" t="s">
        <v>1104</v>
      </c>
      <c r="L74" s="38">
        <v>0</v>
      </c>
      <c r="M74">
        <v>6</v>
      </c>
      <c r="N74" s="20">
        <f>IFERROR(L74/M74, "")</f>
        <v>0</v>
      </c>
      <c r="O74">
        <f t="shared" si="14"/>
        <v>691</v>
      </c>
      <c r="P74" s="116">
        <f>IF(L74="", "", L74/G74)</f>
        <v>0</v>
      </c>
      <c r="Q74" s="144" t="s">
        <v>1834</v>
      </c>
      <c r="R74"/>
    </row>
    <row r="75" spans="1:18" s="155" customFormat="1" x14ac:dyDescent="0.25">
      <c r="A75" t="s">
        <v>31</v>
      </c>
      <c r="B75" s="1" t="s">
        <v>161</v>
      </c>
      <c r="C75" t="str">
        <f>VLOOKUP(B75,'Planting GPS Points'!$B$3:$L$290,10,FALSE)</f>
        <v>WDFW</v>
      </c>
      <c r="D75" t="str">
        <f>VLOOKUP(B75,'Planting GPS Points'!$B$3:$AL$290,17,FALSE)</f>
        <v>test</v>
      </c>
      <c r="E75" s="27">
        <v>42933</v>
      </c>
      <c r="F75" s="20">
        <v>6</v>
      </c>
      <c r="G75" s="38">
        <v>1015</v>
      </c>
      <c r="H75" s="12" t="s">
        <v>165</v>
      </c>
      <c r="I75" s="27">
        <v>44316</v>
      </c>
      <c r="J75" s="19" t="s">
        <v>409</v>
      </c>
      <c r="K75" s="19" t="s">
        <v>1104</v>
      </c>
      <c r="L75" s="38"/>
      <c r="M75"/>
      <c r="N75" s="20"/>
      <c r="O75">
        <f t="shared" si="14"/>
        <v>1383</v>
      </c>
      <c r="P75" s="116"/>
      <c r="Q75" s="144" t="s">
        <v>2033</v>
      </c>
      <c r="R75"/>
    </row>
    <row r="76" spans="1:18" s="155" customFormat="1" x14ac:dyDescent="0.25">
      <c r="A76" t="s">
        <v>31</v>
      </c>
      <c r="B76" s="1" t="s">
        <v>2060</v>
      </c>
      <c r="C76" t="str">
        <f>VLOOKUP(B76,'Planting GPS Points'!$B$3:$L$290,10,FALSE)</f>
        <v>USACE</v>
      </c>
      <c r="D76" t="str">
        <f>VLOOKUP(B76,'Planting GPS Points'!$B$3:$AL$290,17,FALSE)</f>
        <v>large scale</v>
      </c>
      <c r="E76" s="134">
        <v>44350</v>
      </c>
      <c r="F76" s="20">
        <v>250</v>
      </c>
      <c r="G76">
        <v>12305</v>
      </c>
      <c r="H76" s="12" t="s">
        <v>165</v>
      </c>
      <c r="I76" s="27">
        <v>44701</v>
      </c>
      <c r="J76" s="19" t="s">
        <v>291</v>
      </c>
      <c r="K76" s="19" t="s">
        <v>169</v>
      </c>
      <c r="L76"/>
      <c r="M76"/>
      <c r="N76"/>
      <c r="O76">
        <f t="shared" ref="O76:O108" si="16">I76-E76</f>
        <v>351</v>
      </c>
      <c r="P76"/>
      <c r="Q76" t="s">
        <v>2090</v>
      </c>
      <c r="R76"/>
    </row>
    <row r="77" spans="1:18" s="155" customFormat="1" x14ac:dyDescent="0.25">
      <c r="A77" t="s">
        <v>31</v>
      </c>
      <c r="B77" s="1" t="s">
        <v>2060</v>
      </c>
      <c r="C77" t="str">
        <f>VLOOKUP(B77,'Planting GPS Points'!$B$3:$L$290,10,FALSE)</f>
        <v>USACE</v>
      </c>
      <c r="D77" t="str">
        <f>VLOOKUP(B77,'Planting GPS Points'!$B$3:$AL$290,17,FALSE)</f>
        <v>large scale</v>
      </c>
      <c r="E77" s="134">
        <v>44350</v>
      </c>
      <c r="F77" s="20">
        <v>250</v>
      </c>
      <c r="G77">
        <v>12305</v>
      </c>
      <c r="H77" s="12" t="s">
        <v>165</v>
      </c>
      <c r="I77" s="27">
        <v>44783</v>
      </c>
      <c r="J77" s="19" t="s">
        <v>291</v>
      </c>
      <c r="K77" s="19" t="s">
        <v>169</v>
      </c>
      <c r="L77"/>
      <c r="M77"/>
      <c r="N77"/>
      <c r="O77">
        <f t="shared" si="16"/>
        <v>433</v>
      </c>
      <c r="P77"/>
      <c r="Q77" t="s">
        <v>2101</v>
      </c>
      <c r="R77"/>
    </row>
    <row r="78" spans="1:18" s="155" customFormat="1" x14ac:dyDescent="0.25">
      <c r="A78" s="1" t="s">
        <v>31</v>
      </c>
      <c r="B78" s="1" t="s">
        <v>2060</v>
      </c>
      <c r="C78" t="str">
        <f>VLOOKUP(B78,'Planting GPS Points'!$B$3:$L$290,10,FALSE)</f>
        <v>USACE</v>
      </c>
      <c r="D78" t="str">
        <f>VLOOKUP(B78,'Planting GPS Points'!$B$3:$AL$290,17,FALSE)</f>
        <v>large scale</v>
      </c>
      <c r="E78" s="134">
        <v>44350</v>
      </c>
      <c r="F78" s="20">
        <v>250</v>
      </c>
      <c r="G78">
        <v>12305</v>
      </c>
      <c r="H78" s="12" t="s">
        <v>165</v>
      </c>
      <c r="I78" s="27">
        <v>45082</v>
      </c>
      <c r="J78" s="19" t="s">
        <v>291</v>
      </c>
      <c r="K78" s="19" t="s">
        <v>169</v>
      </c>
      <c r="L78"/>
      <c r="M78"/>
      <c r="N78"/>
      <c r="O78">
        <f t="shared" si="16"/>
        <v>732</v>
      </c>
      <c r="P78"/>
      <c r="Q78" t="s">
        <v>2138</v>
      </c>
      <c r="R78"/>
    </row>
    <row r="79" spans="1:18" x14ac:dyDescent="0.25">
      <c r="A79" s="1" t="s">
        <v>31</v>
      </c>
      <c r="B79" s="1" t="s">
        <v>2060</v>
      </c>
      <c r="C79" t="str">
        <f>VLOOKUP(B79,'Planting GPS Points'!$B$3:$L$290,10,FALSE)</f>
        <v>USACE</v>
      </c>
      <c r="D79" t="str">
        <f>VLOOKUP(B79,'Planting GPS Points'!$B$3:$AL$290,17,FALSE)</f>
        <v>large scale</v>
      </c>
      <c r="E79" s="134">
        <v>44350</v>
      </c>
      <c r="F79" s="20">
        <v>250</v>
      </c>
      <c r="G79">
        <v>12305</v>
      </c>
      <c r="H79" s="12" t="s">
        <v>165</v>
      </c>
      <c r="I79" s="27">
        <v>45095</v>
      </c>
      <c r="J79" s="19" t="s">
        <v>291</v>
      </c>
      <c r="K79" s="19" t="s">
        <v>169</v>
      </c>
      <c r="O79">
        <f t="shared" si="16"/>
        <v>745</v>
      </c>
    </row>
    <row r="80" spans="1:18" x14ac:dyDescent="0.25">
      <c r="A80" s="1" t="s">
        <v>31</v>
      </c>
      <c r="B80" s="1" t="s">
        <v>2060</v>
      </c>
      <c r="C80" t="str">
        <f>VLOOKUP(B80,'Planting GPS Points'!$B$3:$L$290,10,FALSE)</f>
        <v>USACE</v>
      </c>
      <c r="D80" t="str">
        <f>VLOOKUP(B80,'Planting GPS Points'!$B$3:$AL$290,17,FALSE)</f>
        <v>large scale</v>
      </c>
      <c r="E80" s="134">
        <v>44350</v>
      </c>
      <c r="F80" s="20">
        <v>250</v>
      </c>
      <c r="G80">
        <v>12305</v>
      </c>
      <c r="H80" s="12" t="s">
        <v>165</v>
      </c>
      <c r="I80" s="27">
        <v>45421</v>
      </c>
      <c r="J80" s="19" t="s">
        <v>291</v>
      </c>
      <c r="K80" s="19" t="s">
        <v>169</v>
      </c>
      <c r="O80">
        <f t="shared" si="16"/>
        <v>1071</v>
      </c>
      <c r="Q80" t="s">
        <v>2138</v>
      </c>
    </row>
    <row r="81" spans="1:18" x14ac:dyDescent="0.25">
      <c r="A81" s="1" t="s">
        <v>31</v>
      </c>
      <c r="B81" s="1" t="s">
        <v>2060</v>
      </c>
      <c r="C81" t="str">
        <f>VLOOKUP(B81,'Planting GPS Points'!$B$3:$L$290,10,FALSE)</f>
        <v>USACE</v>
      </c>
      <c r="D81" t="str">
        <f>VLOOKUP(B81,'Planting GPS Points'!$B$3:$AL$290,17,FALSE)</f>
        <v>large scale</v>
      </c>
      <c r="E81" s="134">
        <v>44350</v>
      </c>
      <c r="F81" s="20">
        <v>250</v>
      </c>
      <c r="G81">
        <v>12305</v>
      </c>
      <c r="H81" s="12" t="s">
        <v>165</v>
      </c>
      <c r="I81" s="27">
        <v>45748</v>
      </c>
      <c r="J81" s="19" t="s">
        <v>291</v>
      </c>
      <c r="K81" s="19" t="s">
        <v>169</v>
      </c>
      <c r="Q81" t="s">
        <v>2176</v>
      </c>
    </row>
    <row r="82" spans="1:18" s="155" customFormat="1" x14ac:dyDescent="0.25">
      <c r="A82" t="s">
        <v>31</v>
      </c>
      <c r="B82" t="s">
        <v>2018</v>
      </c>
      <c r="C82" t="str">
        <f>VLOOKUP(B82,'Planting GPS Points'!$B$3:$L$290,10,FALSE)</f>
        <v>USACE</v>
      </c>
      <c r="D82" t="str">
        <f>VLOOKUP(B82,'Planting GPS Points'!$B$3:$AL$290,17,FALSE)</f>
        <v>test</v>
      </c>
      <c r="E82" s="134">
        <v>44013</v>
      </c>
      <c r="F82" s="20">
        <v>6.75</v>
      </c>
      <c r="G82" s="38">
        <v>692</v>
      </c>
      <c r="H82" s="12" t="s">
        <v>165</v>
      </c>
      <c r="I82" s="27">
        <v>44316</v>
      </c>
      <c r="J82" s="19" t="s">
        <v>291</v>
      </c>
      <c r="K82" s="19" t="s">
        <v>169</v>
      </c>
      <c r="L82" s="38"/>
      <c r="M82"/>
      <c r="N82" s="20"/>
      <c r="O82">
        <f t="shared" si="16"/>
        <v>303</v>
      </c>
      <c r="P82" s="116"/>
      <c r="Q82" s="144" t="s">
        <v>2035</v>
      </c>
      <c r="R82"/>
    </row>
    <row r="83" spans="1:18" s="155" customFormat="1" x14ac:dyDescent="0.25">
      <c r="A83" t="s">
        <v>31</v>
      </c>
      <c r="B83" t="s">
        <v>2018</v>
      </c>
      <c r="C83" t="str">
        <f>VLOOKUP(B83,'Planting GPS Points'!$B$3:$L$290,10,FALSE)</f>
        <v>USACE</v>
      </c>
      <c r="D83" t="str">
        <f>VLOOKUP(B83,'Planting GPS Points'!$B$3:$AL$290,17,FALSE)</f>
        <v>test</v>
      </c>
      <c r="E83" s="27">
        <v>44013</v>
      </c>
      <c r="F83">
        <v>6.75</v>
      </c>
      <c r="G83">
        <v>692</v>
      </c>
      <c r="H83" s="12" t="s">
        <v>49</v>
      </c>
      <c r="I83" s="27">
        <v>44307</v>
      </c>
      <c r="J83" s="19" t="s">
        <v>291</v>
      </c>
      <c r="K83" s="19" t="s">
        <v>169</v>
      </c>
      <c r="L83">
        <v>873</v>
      </c>
      <c r="M83">
        <v>7.5</v>
      </c>
      <c r="N83" s="20">
        <f>IFERROR(L83/M83, "")</f>
        <v>116.4</v>
      </c>
      <c r="O83">
        <f t="shared" si="16"/>
        <v>294</v>
      </c>
      <c r="P83" s="116">
        <f t="shared" ref="P83:P89" si="17">IF(L83="", "", L83/G83)</f>
        <v>1.2615606936416186</v>
      </c>
      <c r="Q83" s="204" t="s">
        <v>2069</v>
      </c>
      <c r="R83" t="s">
        <v>2074</v>
      </c>
    </row>
    <row r="84" spans="1:18" s="155" customFormat="1" x14ac:dyDescent="0.25">
      <c r="A84" t="s">
        <v>31</v>
      </c>
      <c r="B84" t="s">
        <v>2018</v>
      </c>
      <c r="C84" t="str">
        <f>VLOOKUP(B84,'Planting GPS Points'!$B$3:$L$290,10,FALSE)</f>
        <v>USACE</v>
      </c>
      <c r="D84" t="str">
        <f>VLOOKUP(B84,'Planting GPS Points'!$B$3:$AL$290,17,FALSE)</f>
        <v>test</v>
      </c>
      <c r="E84" s="27">
        <v>44013</v>
      </c>
      <c r="F84">
        <v>6.75</v>
      </c>
      <c r="G84">
        <v>692</v>
      </c>
      <c r="H84" s="12" t="s">
        <v>165</v>
      </c>
      <c r="I84" s="27">
        <v>45748</v>
      </c>
      <c r="J84" s="19" t="s">
        <v>291</v>
      </c>
      <c r="K84" s="19" t="s">
        <v>169</v>
      </c>
      <c r="L84"/>
      <c r="M84"/>
      <c r="N84" s="20"/>
      <c r="O84"/>
      <c r="P84" s="116"/>
      <c r="Q84" s="205" t="s">
        <v>2176</v>
      </c>
      <c r="R84"/>
    </row>
    <row r="85" spans="1:18" s="155" customFormat="1" x14ac:dyDescent="0.25">
      <c r="A85" t="s">
        <v>31</v>
      </c>
      <c r="B85" t="s">
        <v>1171</v>
      </c>
      <c r="C85" t="str">
        <f>VLOOKUP(B85,'Planting GPS Points'!$B$3:$L$290,10,FALSE)</f>
        <v>WDFW</v>
      </c>
      <c r="D85" t="str">
        <f>VLOOKUP(B85,'Planting GPS Points'!$B$3:$AL$290,17,FALSE)</f>
        <v>test</v>
      </c>
      <c r="E85" s="27">
        <v>42481</v>
      </c>
      <c r="F85" s="20">
        <v>39</v>
      </c>
      <c r="G85" s="38">
        <v>780</v>
      </c>
      <c r="H85" s="12" t="s">
        <v>165</v>
      </c>
      <c r="I85" s="27">
        <v>42497</v>
      </c>
      <c r="J85" s="19" t="s">
        <v>291</v>
      </c>
      <c r="K85" s="19" t="s">
        <v>171</v>
      </c>
      <c r="L85"/>
      <c r="M85"/>
      <c r="N85" s="20" t="str">
        <f>IFERROR(L85/M85, "")</f>
        <v/>
      </c>
      <c r="O85">
        <f t="shared" si="16"/>
        <v>16</v>
      </c>
      <c r="P85" s="116" t="str">
        <f t="shared" si="17"/>
        <v/>
      </c>
      <c r="Q85" s="13" t="s">
        <v>974</v>
      </c>
      <c r="R85"/>
    </row>
    <row r="86" spans="1:18" x14ac:dyDescent="0.25">
      <c r="A86" t="s">
        <v>31</v>
      </c>
      <c r="B86" t="s">
        <v>1171</v>
      </c>
      <c r="C86" t="str">
        <f>VLOOKUP(B86,'Planting GPS Points'!$B$3:$L$290,10,FALSE)</f>
        <v>WDFW</v>
      </c>
      <c r="D86" t="str">
        <f>VLOOKUP(B86,'Planting GPS Points'!$B$3:$AL$290,17,FALSE)</f>
        <v>test</v>
      </c>
      <c r="E86" s="27">
        <v>42481</v>
      </c>
      <c r="F86" s="20">
        <v>39</v>
      </c>
      <c r="G86" s="38">
        <v>780</v>
      </c>
      <c r="H86" s="12" t="s">
        <v>1213</v>
      </c>
      <c r="I86" s="27">
        <v>42506</v>
      </c>
      <c r="J86" s="19" t="s">
        <v>291</v>
      </c>
      <c r="K86" s="19" t="s">
        <v>171</v>
      </c>
      <c r="N86" s="20" t="str">
        <f>IFERROR(L86/M86, "")</f>
        <v/>
      </c>
      <c r="O86">
        <f t="shared" si="16"/>
        <v>25</v>
      </c>
      <c r="P86" s="116" t="str">
        <f t="shared" si="17"/>
        <v/>
      </c>
      <c r="Q86" s="13" t="s">
        <v>1223</v>
      </c>
    </row>
    <row r="87" spans="1:18" x14ac:dyDescent="0.25">
      <c r="A87" t="s">
        <v>31</v>
      </c>
      <c r="B87" t="s">
        <v>1171</v>
      </c>
      <c r="C87" t="str">
        <f>VLOOKUP(B87,'Planting GPS Points'!$B$3:$L$290,10,FALSE)</f>
        <v>WDFW</v>
      </c>
      <c r="D87" t="str">
        <f>VLOOKUP(B87,'Planting GPS Points'!$B$3:$AL$290,17,FALSE)</f>
        <v>test</v>
      </c>
      <c r="E87" s="27">
        <v>42481</v>
      </c>
      <c r="F87" s="20">
        <v>39</v>
      </c>
      <c r="G87" s="38">
        <v>780</v>
      </c>
      <c r="H87" s="12" t="s">
        <v>1213</v>
      </c>
      <c r="I87" s="27">
        <v>42933</v>
      </c>
      <c r="J87" s="19" t="s">
        <v>291</v>
      </c>
      <c r="K87" s="19" t="s">
        <v>171</v>
      </c>
      <c r="L87">
        <v>1</v>
      </c>
      <c r="N87" s="20" t="str">
        <f>IFERROR(L87/M87, "")</f>
        <v/>
      </c>
      <c r="O87">
        <f t="shared" si="16"/>
        <v>452</v>
      </c>
      <c r="P87" s="116">
        <f t="shared" si="17"/>
        <v>1.2820512820512821E-3</v>
      </c>
      <c r="Q87" s="13" t="s">
        <v>1225</v>
      </c>
    </row>
    <row r="88" spans="1:18" x14ac:dyDescent="0.25">
      <c r="A88" s="155" t="s">
        <v>540</v>
      </c>
      <c r="B88" s="155" t="s">
        <v>1878</v>
      </c>
      <c r="C88" t="str">
        <f>VLOOKUP(B88,'Planting GPS Points'!$B$3:$L$290,10,FALSE)</f>
        <v>King County</v>
      </c>
      <c r="D88" t="str">
        <f>VLOOKUP(B88,'Planting GPS Points'!$B$3:$AL$290,17,FALSE)</f>
        <v>test</v>
      </c>
      <c r="E88" s="191">
        <v>44018</v>
      </c>
      <c r="F88" s="192">
        <v>1.5</v>
      </c>
      <c r="G88" s="155">
        <v>300</v>
      </c>
      <c r="H88" s="193" t="s">
        <v>165</v>
      </c>
      <c r="I88" s="191">
        <v>44062</v>
      </c>
      <c r="J88" s="194" t="s">
        <v>291</v>
      </c>
      <c r="K88" s="194" t="s">
        <v>169</v>
      </c>
      <c r="L88" s="155"/>
      <c r="M88" s="155"/>
      <c r="N88" s="155"/>
      <c r="O88" s="155">
        <f t="shared" si="16"/>
        <v>44</v>
      </c>
      <c r="P88" s="195" t="str">
        <f t="shared" si="17"/>
        <v/>
      </c>
      <c r="Q88" s="196" t="s">
        <v>1889</v>
      </c>
      <c r="R88" s="155"/>
    </row>
    <row r="89" spans="1:18" x14ac:dyDescent="0.25">
      <c r="A89" s="155" t="s">
        <v>540</v>
      </c>
      <c r="B89" s="155" t="s">
        <v>1878</v>
      </c>
      <c r="C89" t="str">
        <f>VLOOKUP(B89,'Planting GPS Points'!$B$3:$L$290,10,FALSE)</f>
        <v>King County</v>
      </c>
      <c r="D89" t="str">
        <f>VLOOKUP(B89,'Planting GPS Points'!$B$3:$AL$290,17,FALSE)</f>
        <v>test</v>
      </c>
      <c r="E89" s="191">
        <v>44018</v>
      </c>
      <c r="F89" s="192">
        <v>1.5</v>
      </c>
      <c r="G89" s="155">
        <v>300</v>
      </c>
      <c r="H89" s="193" t="s">
        <v>165</v>
      </c>
      <c r="I89" s="191">
        <v>44314</v>
      </c>
      <c r="J89" s="194" t="s">
        <v>291</v>
      </c>
      <c r="K89" s="194" t="s">
        <v>169</v>
      </c>
      <c r="L89" s="155"/>
      <c r="M89" s="155"/>
      <c r="N89" s="155"/>
      <c r="O89" s="155">
        <f t="shared" si="16"/>
        <v>296</v>
      </c>
      <c r="P89" s="195" t="str">
        <f t="shared" si="17"/>
        <v/>
      </c>
      <c r="Q89" s="196" t="s">
        <v>2032</v>
      </c>
      <c r="R89" s="155"/>
    </row>
    <row r="90" spans="1:18" x14ac:dyDescent="0.25">
      <c r="A90" s="155" t="s">
        <v>540</v>
      </c>
      <c r="B90" s="155" t="s">
        <v>1878</v>
      </c>
      <c r="C90" t="str">
        <f>VLOOKUP(B90,'Planting GPS Points'!$B$3:$L$290,10,FALSE)</f>
        <v>King County</v>
      </c>
      <c r="D90" t="str">
        <f>VLOOKUP(B90,'Planting GPS Points'!$B$3:$AL$290,17,FALSE)</f>
        <v>test</v>
      </c>
      <c r="E90" s="191">
        <v>44018</v>
      </c>
      <c r="F90" s="192">
        <v>1.5</v>
      </c>
      <c r="G90" s="155">
        <v>300</v>
      </c>
      <c r="H90" s="193" t="s">
        <v>165</v>
      </c>
      <c r="I90" s="191">
        <v>44329</v>
      </c>
      <c r="J90" s="194" t="s">
        <v>291</v>
      </c>
      <c r="K90" s="194" t="s">
        <v>169</v>
      </c>
      <c r="L90" s="155"/>
      <c r="M90" s="155"/>
      <c r="N90" s="155"/>
      <c r="O90" s="155">
        <f t="shared" si="16"/>
        <v>311</v>
      </c>
      <c r="P90" s="195"/>
      <c r="Q90" s="196" t="s">
        <v>2049</v>
      </c>
      <c r="R90" s="155"/>
    </row>
    <row r="91" spans="1:18" x14ac:dyDescent="0.25">
      <c r="A91" s="155" t="s">
        <v>540</v>
      </c>
      <c r="B91" s="155" t="s">
        <v>1878</v>
      </c>
      <c r="C91" t="str">
        <f>VLOOKUP(B91,'Planting GPS Points'!$B$3:$L$290,10,FALSE)</f>
        <v>King County</v>
      </c>
      <c r="D91" t="str">
        <f>VLOOKUP(B91,'Planting GPS Points'!$B$3:$AL$290,17,FALSE)</f>
        <v>test</v>
      </c>
      <c r="E91" s="191">
        <v>44018</v>
      </c>
      <c r="F91" s="192">
        <v>2.25</v>
      </c>
      <c r="G91" s="155">
        <v>180</v>
      </c>
      <c r="H91" s="193" t="s">
        <v>165</v>
      </c>
      <c r="I91" s="191">
        <v>44342</v>
      </c>
      <c r="J91" s="194" t="s">
        <v>291</v>
      </c>
      <c r="K91" s="194" t="s">
        <v>169</v>
      </c>
      <c r="L91" s="155"/>
      <c r="M91" s="155"/>
      <c r="N91" s="155"/>
      <c r="O91" s="155">
        <f t="shared" si="16"/>
        <v>324</v>
      </c>
      <c r="P91" s="195" t="str">
        <f>IF(L91="", "", L91/G91)</f>
        <v/>
      </c>
      <c r="Q91" s="196" t="s">
        <v>2049</v>
      </c>
      <c r="R91" s="155"/>
    </row>
    <row r="92" spans="1:18" x14ac:dyDescent="0.25">
      <c r="A92" s="155" t="s">
        <v>540</v>
      </c>
      <c r="B92" s="155" t="s">
        <v>1878</v>
      </c>
      <c r="C92" t="str">
        <f>VLOOKUP(B92,'Planting GPS Points'!$B$3:$L$290,10,FALSE)</f>
        <v>King County</v>
      </c>
      <c r="D92" t="str">
        <f>VLOOKUP(B92,'Planting GPS Points'!$B$3:$AL$290,17,FALSE)</f>
        <v>test</v>
      </c>
      <c r="E92" s="191">
        <v>44018</v>
      </c>
      <c r="F92" s="192">
        <v>1.5</v>
      </c>
      <c r="G92" s="155">
        <v>300</v>
      </c>
      <c r="H92" s="193" t="s">
        <v>165</v>
      </c>
      <c r="I92" s="191">
        <v>44358</v>
      </c>
      <c r="J92" s="194" t="s">
        <v>291</v>
      </c>
      <c r="K92" s="194" t="s">
        <v>169</v>
      </c>
      <c r="L92" s="155"/>
      <c r="M92" s="155"/>
      <c r="N92" s="155"/>
      <c r="O92" s="155">
        <f t="shared" si="16"/>
        <v>340</v>
      </c>
      <c r="P92" s="195"/>
      <c r="Q92" s="196" t="s">
        <v>2066</v>
      </c>
      <c r="R92" s="155"/>
    </row>
    <row r="93" spans="1:18" x14ac:dyDescent="0.25">
      <c r="A93" s="155" t="s">
        <v>540</v>
      </c>
      <c r="B93" s="155" t="s">
        <v>1878</v>
      </c>
      <c r="C93" t="str">
        <f>VLOOKUP(B93,'Planting GPS Points'!$B$3:$L$290,10,FALSE)</f>
        <v>King County</v>
      </c>
      <c r="D93" t="str">
        <f>VLOOKUP(B93,'Planting GPS Points'!$B$3:$AL$290,17,FALSE)</f>
        <v>test</v>
      </c>
      <c r="E93" s="191">
        <v>44018</v>
      </c>
      <c r="F93" s="192">
        <v>1.5</v>
      </c>
      <c r="G93" s="155">
        <v>300</v>
      </c>
      <c r="H93" s="193" t="s">
        <v>165</v>
      </c>
      <c r="I93" s="191">
        <v>44373</v>
      </c>
      <c r="J93" s="194" t="s">
        <v>291</v>
      </c>
      <c r="K93" s="194" t="s">
        <v>169</v>
      </c>
      <c r="L93" s="155"/>
      <c r="M93" s="155"/>
      <c r="N93" s="155"/>
      <c r="O93" s="155">
        <f t="shared" si="16"/>
        <v>355</v>
      </c>
      <c r="P93" s="195"/>
      <c r="Q93" s="196" t="s">
        <v>2049</v>
      </c>
      <c r="R93" s="155"/>
    </row>
    <row r="94" spans="1:18" x14ac:dyDescent="0.25">
      <c r="A94" s="155" t="s">
        <v>540</v>
      </c>
      <c r="B94" s="155" t="s">
        <v>1878</v>
      </c>
      <c r="C94" t="str">
        <f>VLOOKUP(B94,'Planting GPS Points'!$B$3:$L$290,10,FALSE)</f>
        <v>King County</v>
      </c>
      <c r="D94" t="str">
        <f>VLOOKUP(B94,'Planting GPS Points'!$B$3:$AL$290,17,FALSE)</f>
        <v>test</v>
      </c>
      <c r="E94" s="191">
        <v>44018</v>
      </c>
      <c r="F94" s="192">
        <v>2.25</v>
      </c>
      <c r="G94" s="155">
        <v>180</v>
      </c>
      <c r="H94" s="193" t="s">
        <v>165</v>
      </c>
      <c r="I94" s="191">
        <v>44387</v>
      </c>
      <c r="J94" s="194" t="s">
        <v>291</v>
      </c>
      <c r="K94" s="194" t="s">
        <v>169</v>
      </c>
      <c r="L94" s="155"/>
      <c r="M94" s="155"/>
      <c r="N94" s="155"/>
      <c r="O94" s="155">
        <f t="shared" si="16"/>
        <v>369</v>
      </c>
      <c r="P94" s="195"/>
      <c r="Q94" s="196" t="s">
        <v>2049</v>
      </c>
      <c r="R94" s="155"/>
    </row>
    <row r="95" spans="1:18" x14ac:dyDescent="0.25">
      <c r="A95" t="s">
        <v>540</v>
      </c>
      <c r="B95" t="s">
        <v>1878</v>
      </c>
      <c r="C95" t="str">
        <f>VLOOKUP(B95,'Planting GPS Points'!$B$3:$L$290,10,FALSE)</f>
        <v>King County</v>
      </c>
      <c r="D95" t="str">
        <f>VLOOKUP(B95,'Planting GPS Points'!$B$3:$AL$290,17,FALSE)</f>
        <v>test</v>
      </c>
      <c r="E95" s="27">
        <v>44018</v>
      </c>
      <c r="F95" s="20">
        <v>2.25</v>
      </c>
      <c r="G95">
        <v>180</v>
      </c>
      <c r="H95" s="12" t="s">
        <v>165</v>
      </c>
      <c r="I95" s="27">
        <v>45420</v>
      </c>
      <c r="J95" s="19" t="s">
        <v>291</v>
      </c>
      <c r="K95" s="19" t="s">
        <v>169</v>
      </c>
      <c r="O95">
        <f t="shared" si="16"/>
        <v>1402</v>
      </c>
      <c r="P95" s="116"/>
      <c r="Q95" s="13" t="s">
        <v>2174</v>
      </c>
    </row>
    <row r="96" spans="1:18" x14ac:dyDescent="0.25">
      <c r="A96" t="s">
        <v>540</v>
      </c>
      <c r="B96" t="s">
        <v>2029</v>
      </c>
      <c r="C96" t="str">
        <f>VLOOKUP(B96,'Planting GPS Points'!$B$3:$L$290,10,FALSE)</f>
        <v>King County</v>
      </c>
      <c r="D96" t="str">
        <f>VLOOKUP(B96,'Planting GPS Points'!$B$3:$AL$290,17,FALSE)</f>
        <v>test</v>
      </c>
      <c r="E96" s="27">
        <v>44314</v>
      </c>
      <c r="F96" s="20">
        <v>1</v>
      </c>
      <c r="G96">
        <v>300</v>
      </c>
      <c r="H96" s="12" t="s">
        <v>165</v>
      </c>
      <c r="I96" s="27">
        <v>44329</v>
      </c>
      <c r="J96" s="19" t="s">
        <v>291</v>
      </c>
      <c r="K96" s="19" t="s">
        <v>169</v>
      </c>
      <c r="O96">
        <f t="shared" si="16"/>
        <v>15</v>
      </c>
      <c r="P96" s="116"/>
      <c r="Q96" s="13" t="s">
        <v>2049</v>
      </c>
    </row>
    <row r="97" spans="1:17" x14ac:dyDescent="0.25">
      <c r="A97" t="s">
        <v>540</v>
      </c>
      <c r="B97" t="s">
        <v>2029</v>
      </c>
      <c r="C97" t="str">
        <f>VLOOKUP(B97,'Planting GPS Points'!$B$3:$L$290,10,FALSE)</f>
        <v>King County</v>
      </c>
      <c r="D97" t="str">
        <f>VLOOKUP(B97,'Planting GPS Points'!$B$3:$AL$290,17,FALSE)</f>
        <v>test</v>
      </c>
      <c r="E97" s="27">
        <v>44314</v>
      </c>
      <c r="F97" s="20">
        <v>1</v>
      </c>
      <c r="G97">
        <v>300</v>
      </c>
      <c r="H97" s="12" t="s">
        <v>165</v>
      </c>
      <c r="I97" s="27">
        <v>44342</v>
      </c>
      <c r="J97" s="19" t="s">
        <v>291</v>
      </c>
      <c r="K97" s="19" t="s">
        <v>169</v>
      </c>
      <c r="O97">
        <f t="shared" si="16"/>
        <v>28</v>
      </c>
      <c r="P97" s="116"/>
      <c r="Q97" s="13" t="s">
        <v>2049</v>
      </c>
    </row>
    <row r="98" spans="1:17" x14ac:dyDescent="0.25">
      <c r="A98" t="s">
        <v>540</v>
      </c>
      <c r="B98" t="s">
        <v>2029</v>
      </c>
      <c r="C98" t="str">
        <f>VLOOKUP(B98,'Planting GPS Points'!$B$3:$L$290,10,FALSE)</f>
        <v>King County</v>
      </c>
      <c r="D98" t="str">
        <f>VLOOKUP(B98,'Planting GPS Points'!$B$3:$AL$290,17,FALSE)</f>
        <v>test</v>
      </c>
      <c r="E98" s="27">
        <v>44314</v>
      </c>
      <c r="F98" s="20">
        <v>1</v>
      </c>
      <c r="G98">
        <v>300</v>
      </c>
      <c r="H98" s="12" t="s">
        <v>165</v>
      </c>
      <c r="I98" s="27">
        <v>44358</v>
      </c>
      <c r="J98" s="19" t="s">
        <v>291</v>
      </c>
      <c r="K98" s="19" t="s">
        <v>169</v>
      </c>
      <c r="O98">
        <f t="shared" si="16"/>
        <v>44</v>
      </c>
      <c r="P98" s="116"/>
      <c r="Q98" s="13" t="s">
        <v>2049</v>
      </c>
    </row>
    <row r="99" spans="1:17" x14ac:dyDescent="0.25">
      <c r="A99" t="s">
        <v>540</v>
      </c>
      <c r="B99" t="s">
        <v>2029</v>
      </c>
      <c r="C99" t="str">
        <f>VLOOKUP(B99,'Planting GPS Points'!$B$3:$L$290,10,FALSE)</f>
        <v>King County</v>
      </c>
      <c r="D99" t="str">
        <f>VLOOKUP(B99,'Planting GPS Points'!$B$3:$AL$290,17,FALSE)</f>
        <v>test</v>
      </c>
      <c r="E99" s="27">
        <v>44314</v>
      </c>
      <c r="F99" s="20">
        <v>1</v>
      </c>
      <c r="G99">
        <v>300</v>
      </c>
      <c r="H99" s="12" t="s">
        <v>165</v>
      </c>
      <c r="I99" s="27">
        <v>44373</v>
      </c>
      <c r="J99" s="19" t="s">
        <v>291</v>
      </c>
      <c r="K99" s="19" t="s">
        <v>169</v>
      </c>
      <c r="O99">
        <f t="shared" si="16"/>
        <v>59</v>
      </c>
      <c r="P99" s="116"/>
      <c r="Q99" s="13" t="s">
        <v>2049</v>
      </c>
    </row>
    <row r="100" spans="1:17" x14ac:dyDescent="0.25">
      <c r="A100" t="s">
        <v>540</v>
      </c>
      <c r="B100" t="s">
        <v>2029</v>
      </c>
      <c r="C100" t="str">
        <f>VLOOKUP(B100,'Planting GPS Points'!$B$3:$L$290,10,FALSE)</f>
        <v>King County</v>
      </c>
      <c r="D100" t="str">
        <f>VLOOKUP(B100,'Planting GPS Points'!$B$3:$AL$290,17,FALSE)</f>
        <v>test</v>
      </c>
      <c r="E100" s="27">
        <v>44314</v>
      </c>
      <c r="F100" s="20">
        <v>1</v>
      </c>
      <c r="G100">
        <v>300</v>
      </c>
      <c r="H100" s="12" t="s">
        <v>165</v>
      </c>
      <c r="I100" s="27">
        <v>44387</v>
      </c>
      <c r="J100" s="19" t="s">
        <v>291</v>
      </c>
      <c r="K100" s="19" t="s">
        <v>169</v>
      </c>
      <c r="O100">
        <f t="shared" si="16"/>
        <v>73</v>
      </c>
      <c r="P100" s="116"/>
      <c r="Q100" s="13" t="s">
        <v>2049</v>
      </c>
    </row>
    <row r="101" spans="1:17" x14ac:dyDescent="0.25">
      <c r="A101" t="s">
        <v>540</v>
      </c>
      <c r="B101" t="s">
        <v>2029</v>
      </c>
      <c r="C101" t="str">
        <f>VLOOKUP(B101,'Planting GPS Points'!$B$3:$L$290,10,FALSE)</f>
        <v>King County</v>
      </c>
      <c r="D101" t="str">
        <f>VLOOKUP(B101,'Planting GPS Points'!$B$3:$AL$290,17,FALSE)</f>
        <v>test</v>
      </c>
      <c r="E101" s="27">
        <v>44329</v>
      </c>
      <c r="F101" s="20">
        <v>0.75</v>
      </c>
      <c r="G101">
        <v>180</v>
      </c>
      <c r="H101" s="12" t="s">
        <v>165</v>
      </c>
      <c r="I101" s="27">
        <v>44342</v>
      </c>
      <c r="J101" s="19" t="s">
        <v>291</v>
      </c>
      <c r="K101" s="19" t="s">
        <v>169</v>
      </c>
      <c r="O101">
        <f t="shared" si="16"/>
        <v>13</v>
      </c>
      <c r="P101" s="116"/>
      <c r="Q101" s="13" t="s">
        <v>2049</v>
      </c>
    </row>
    <row r="102" spans="1:17" x14ac:dyDescent="0.25">
      <c r="A102" t="s">
        <v>540</v>
      </c>
      <c r="B102" t="s">
        <v>2029</v>
      </c>
      <c r="C102" t="str">
        <f>VLOOKUP(B102,'Planting GPS Points'!$B$3:$L$290,10,FALSE)</f>
        <v>King County</v>
      </c>
      <c r="D102" t="str">
        <f>VLOOKUP(B102,'Planting GPS Points'!$B$3:$AL$290,17,FALSE)</f>
        <v>test</v>
      </c>
      <c r="E102" s="27">
        <v>44329</v>
      </c>
      <c r="F102" s="20">
        <v>0.75</v>
      </c>
      <c r="G102">
        <v>180</v>
      </c>
      <c r="H102" s="12" t="s">
        <v>165</v>
      </c>
      <c r="I102" s="27">
        <v>44358</v>
      </c>
      <c r="J102" s="19" t="s">
        <v>291</v>
      </c>
      <c r="K102" s="19" t="s">
        <v>169</v>
      </c>
      <c r="O102">
        <f t="shared" si="16"/>
        <v>29</v>
      </c>
      <c r="P102" s="116"/>
      <c r="Q102" s="13" t="s">
        <v>2049</v>
      </c>
    </row>
    <row r="103" spans="1:17" x14ac:dyDescent="0.25">
      <c r="A103" t="s">
        <v>540</v>
      </c>
      <c r="B103" t="s">
        <v>2029</v>
      </c>
      <c r="C103" t="str">
        <f>VLOOKUP(B103,'Planting GPS Points'!$B$3:$L$290,10,FALSE)</f>
        <v>King County</v>
      </c>
      <c r="D103" t="str">
        <f>VLOOKUP(B103,'Planting GPS Points'!$B$3:$AL$290,17,FALSE)</f>
        <v>test</v>
      </c>
      <c r="E103" s="27">
        <v>44329</v>
      </c>
      <c r="F103" s="20">
        <v>0.75</v>
      </c>
      <c r="G103">
        <v>180</v>
      </c>
      <c r="H103" s="12" t="s">
        <v>165</v>
      </c>
      <c r="I103" s="27">
        <v>44373</v>
      </c>
      <c r="J103" s="19" t="s">
        <v>291</v>
      </c>
      <c r="K103" s="19" t="s">
        <v>169</v>
      </c>
      <c r="O103">
        <f t="shared" si="16"/>
        <v>44</v>
      </c>
      <c r="P103" s="116"/>
      <c r="Q103" s="13" t="s">
        <v>2049</v>
      </c>
    </row>
    <row r="104" spans="1:17" x14ac:dyDescent="0.25">
      <c r="A104" t="s">
        <v>540</v>
      </c>
      <c r="B104" t="s">
        <v>2029</v>
      </c>
      <c r="C104" t="str">
        <f>VLOOKUP(B104,'Planting GPS Points'!$B$3:$L$290,10,FALSE)</f>
        <v>King County</v>
      </c>
      <c r="D104" t="str">
        <f>VLOOKUP(B104,'Planting GPS Points'!$B$3:$AL$290,17,FALSE)</f>
        <v>test</v>
      </c>
      <c r="E104" s="27">
        <v>44329</v>
      </c>
      <c r="F104" s="20">
        <v>0.75</v>
      </c>
      <c r="G104">
        <v>180</v>
      </c>
      <c r="H104" s="12" t="s">
        <v>165</v>
      </c>
      <c r="I104" s="27">
        <v>44387</v>
      </c>
      <c r="J104" s="19" t="s">
        <v>291</v>
      </c>
      <c r="K104" s="19" t="s">
        <v>169</v>
      </c>
      <c r="O104">
        <f t="shared" si="16"/>
        <v>58</v>
      </c>
      <c r="P104" s="116"/>
      <c r="Q104" s="13" t="s">
        <v>2049</v>
      </c>
    </row>
    <row r="105" spans="1:17" x14ac:dyDescent="0.25">
      <c r="A105" t="s">
        <v>540</v>
      </c>
      <c r="B105" t="s">
        <v>2029</v>
      </c>
      <c r="C105" t="str">
        <f>VLOOKUP(B105,'Planting GPS Points'!$B$3:$L$290,10,FALSE)</f>
        <v>King County</v>
      </c>
      <c r="D105" t="str">
        <f>VLOOKUP(B105,'Planting GPS Points'!$B$3:$AL$290,17,FALSE)</f>
        <v>test</v>
      </c>
      <c r="E105" s="27">
        <v>44342</v>
      </c>
      <c r="F105" s="20">
        <v>0.75</v>
      </c>
      <c r="G105">
        <v>180</v>
      </c>
      <c r="H105" s="12" t="s">
        <v>165</v>
      </c>
      <c r="I105" s="27">
        <v>44358</v>
      </c>
      <c r="J105" s="19" t="s">
        <v>291</v>
      </c>
      <c r="K105" s="19" t="s">
        <v>169</v>
      </c>
      <c r="O105">
        <f t="shared" si="16"/>
        <v>16</v>
      </c>
      <c r="P105" s="116"/>
      <c r="Q105" s="13" t="s">
        <v>2053</v>
      </c>
    </row>
    <row r="106" spans="1:17" x14ac:dyDescent="0.25">
      <c r="A106" t="s">
        <v>540</v>
      </c>
      <c r="B106" t="s">
        <v>2029</v>
      </c>
      <c r="C106" t="str">
        <f>VLOOKUP(B106,'Planting GPS Points'!$B$3:$L$290,10,FALSE)</f>
        <v>King County</v>
      </c>
      <c r="D106" t="str">
        <f>VLOOKUP(B106,'Planting GPS Points'!$B$3:$AL$290,17,FALSE)</f>
        <v>test</v>
      </c>
      <c r="E106" s="27">
        <v>44342</v>
      </c>
      <c r="F106" s="20">
        <v>0.75</v>
      </c>
      <c r="G106">
        <v>180</v>
      </c>
      <c r="H106" s="12" t="s">
        <v>165</v>
      </c>
      <c r="I106" s="27">
        <v>44373</v>
      </c>
      <c r="J106" s="19" t="s">
        <v>291</v>
      </c>
      <c r="K106" s="19" t="s">
        <v>169</v>
      </c>
      <c r="O106">
        <f t="shared" si="16"/>
        <v>31</v>
      </c>
      <c r="P106" s="116"/>
      <c r="Q106" s="13" t="s">
        <v>2049</v>
      </c>
    </row>
    <row r="107" spans="1:17" x14ac:dyDescent="0.25">
      <c r="A107" t="s">
        <v>540</v>
      </c>
      <c r="B107" t="s">
        <v>2029</v>
      </c>
      <c r="C107" t="str">
        <f>VLOOKUP(B107,'Planting GPS Points'!$B$3:$L$290,10,FALSE)</f>
        <v>King County</v>
      </c>
      <c r="D107" t="str">
        <f>VLOOKUP(B107,'Planting GPS Points'!$B$3:$AL$290,17,FALSE)</f>
        <v>test</v>
      </c>
      <c r="E107" s="27">
        <v>44342</v>
      </c>
      <c r="F107" s="20">
        <v>0.75</v>
      </c>
      <c r="G107">
        <v>180</v>
      </c>
      <c r="H107" s="12" t="s">
        <v>165</v>
      </c>
      <c r="I107" s="27">
        <v>44387</v>
      </c>
      <c r="J107" s="19" t="s">
        <v>291</v>
      </c>
      <c r="K107" s="19" t="s">
        <v>169</v>
      </c>
      <c r="O107">
        <f t="shared" si="16"/>
        <v>45</v>
      </c>
      <c r="P107" s="116"/>
      <c r="Q107" s="13" t="s">
        <v>2054</v>
      </c>
    </row>
    <row r="108" spans="1:17" x14ac:dyDescent="0.25">
      <c r="A108" t="s">
        <v>540</v>
      </c>
      <c r="B108" t="s">
        <v>2029</v>
      </c>
      <c r="C108" t="str">
        <f>VLOOKUP(B108,'Planting GPS Points'!$B$3:$L$290,10,FALSE)</f>
        <v>King County</v>
      </c>
      <c r="D108" t="str">
        <f>VLOOKUP(B108,'Planting GPS Points'!$B$3:$AL$290,17,FALSE)</f>
        <v>test</v>
      </c>
      <c r="E108" s="27">
        <v>44373</v>
      </c>
      <c r="F108" s="20">
        <v>1.5</v>
      </c>
      <c r="G108">
        <v>270</v>
      </c>
      <c r="H108" s="12" t="s">
        <v>165</v>
      </c>
      <c r="I108" s="27">
        <v>44387</v>
      </c>
      <c r="J108" s="19" t="s">
        <v>291</v>
      </c>
      <c r="K108" s="19" t="s">
        <v>169</v>
      </c>
      <c r="O108">
        <f t="shared" si="16"/>
        <v>14</v>
      </c>
      <c r="P108" s="116"/>
      <c r="Q108" s="13" t="s">
        <v>2049</v>
      </c>
    </row>
    <row r="109" spans="1:17" x14ac:dyDescent="0.25">
      <c r="A109" t="s">
        <v>540</v>
      </c>
      <c r="B109" t="s">
        <v>2029</v>
      </c>
      <c r="C109" t="str">
        <f>VLOOKUP(B109,'Planting GPS Points'!$B$3:$L$290,10,FALSE)</f>
        <v>King County</v>
      </c>
      <c r="D109" t="str">
        <f>VLOOKUP(B109,'Planting GPS Points'!$B$3:$AL$290,17,FALSE)</f>
        <v>test</v>
      </c>
      <c r="E109" s="27">
        <v>44018</v>
      </c>
      <c r="F109">
        <v>5.5</v>
      </c>
      <c r="G109">
        <v>1230</v>
      </c>
      <c r="H109" s="12" t="s">
        <v>165</v>
      </c>
      <c r="I109" s="27">
        <v>44700</v>
      </c>
      <c r="J109" s="19" t="s">
        <v>291</v>
      </c>
      <c r="K109" s="19" t="s">
        <v>169</v>
      </c>
      <c r="O109">
        <f t="shared" ref="O109:O111" si="18">I109-E109</f>
        <v>682</v>
      </c>
      <c r="Q109" s="205" t="s">
        <v>2090</v>
      </c>
    </row>
    <row r="110" spans="1:17" x14ac:dyDescent="0.25">
      <c r="A110" t="s">
        <v>540</v>
      </c>
      <c r="B110" t="s">
        <v>2029</v>
      </c>
      <c r="C110" t="str">
        <f>VLOOKUP(B110,'Planting GPS Points'!$B$3:$L$290,10,FALSE)</f>
        <v>King County</v>
      </c>
      <c r="D110" t="str">
        <f>VLOOKUP(B110,'Planting GPS Points'!$B$3:$AL$290,17,FALSE)</f>
        <v>test</v>
      </c>
      <c r="E110" s="27">
        <v>44018</v>
      </c>
      <c r="F110">
        <v>5.5</v>
      </c>
      <c r="G110">
        <v>1230</v>
      </c>
      <c r="H110" s="12" t="s">
        <v>165</v>
      </c>
      <c r="I110" s="27">
        <v>44742</v>
      </c>
      <c r="J110" s="19" t="s">
        <v>291</v>
      </c>
      <c r="K110" s="19" t="s">
        <v>169</v>
      </c>
      <c r="O110">
        <f t="shared" si="18"/>
        <v>724</v>
      </c>
      <c r="Q110" t="s">
        <v>2115</v>
      </c>
    </row>
    <row r="111" spans="1:17" x14ac:dyDescent="0.25">
      <c r="A111" t="s">
        <v>540</v>
      </c>
      <c r="B111" t="s">
        <v>2029</v>
      </c>
      <c r="C111" t="str">
        <f>VLOOKUP(B111,'Planting GPS Points'!$B$3:$L$290,10,FALSE)</f>
        <v>King County</v>
      </c>
      <c r="D111" t="str">
        <f>VLOOKUP(B111,'Planting GPS Points'!$B$3:$AL$290,17,FALSE)</f>
        <v>test</v>
      </c>
      <c r="E111" s="27">
        <v>44373</v>
      </c>
      <c r="F111" s="20">
        <v>1.5</v>
      </c>
      <c r="G111">
        <v>270</v>
      </c>
      <c r="H111" s="12" t="s">
        <v>165</v>
      </c>
      <c r="I111" s="27">
        <v>44742</v>
      </c>
      <c r="J111" s="19" t="s">
        <v>291</v>
      </c>
      <c r="K111" s="19" t="s">
        <v>169</v>
      </c>
      <c r="O111">
        <f t="shared" si="18"/>
        <v>369</v>
      </c>
      <c r="Q111" t="s">
        <v>2115</v>
      </c>
    </row>
    <row r="112" spans="1:17" x14ac:dyDescent="0.25">
      <c r="A112" t="s">
        <v>540</v>
      </c>
      <c r="B112" t="s">
        <v>2029</v>
      </c>
      <c r="C112" t="str">
        <f>VLOOKUP(B112,'Planting GPS Points'!$B$3:$L$290,10,FALSE)</f>
        <v>King County</v>
      </c>
      <c r="D112" t="str">
        <f>VLOOKUP(B112,'Planting GPS Points'!$B$3:$AL$290,17,FALSE)</f>
        <v>test</v>
      </c>
      <c r="E112" s="27">
        <v>44373</v>
      </c>
      <c r="F112" s="20">
        <v>1.5</v>
      </c>
      <c r="G112">
        <v>270</v>
      </c>
      <c r="H112" s="12" t="s">
        <v>165</v>
      </c>
      <c r="I112" s="27">
        <v>44945</v>
      </c>
      <c r="J112" s="19" t="s">
        <v>291</v>
      </c>
      <c r="K112" s="19" t="s">
        <v>169</v>
      </c>
      <c r="O112">
        <f t="shared" ref="O112" si="19">I112-E112</f>
        <v>572</v>
      </c>
      <c r="Q112" t="s">
        <v>2126</v>
      </c>
    </row>
    <row r="113" spans="1:18" x14ac:dyDescent="0.25">
      <c r="A113" t="s">
        <v>540</v>
      </c>
      <c r="B113" t="s">
        <v>2029</v>
      </c>
      <c r="C113" t="str">
        <f>VLOOKUP(B113,'Planting GPS Points'!$B$3:$L$290,10,FALSE)</f>
        <v>King County</v>
      </c>
      <c r="D113" t="str">
        <f>VLOOKUP(B113,'Planting GPS Points'!$B$3:$AL$290,17,FALSE)</f>
        <v>test</v>
      </c>
      <c r="E113" s="27">
        <v>44373</v>
      </c>
      <c r="F113" s="20">
        <v>1.5</v>
      </c>
      <c r="G113">
        <v>270</v>
      </c>
      <c r="H113" s="12" t="s">
        <v>165</v>
      </c>
      <c r="I113" s="27">
        <v>45038</v>
      </c>
      <c r="J113" s="19" t="s">
        <v>291</v>
      </c>
      <c r="K113" s="19" t="s">
        <v>169</v>
      </c>
      <c r="O113">
        <f t="shared" ref="O113" si="20">I113-E113</f>
        <v>665</v>
      </c>
      <c r="Q113" t="s">
        <v>2125</v>
      </c>
    </row>
    <row r="114" spans="1:18" x14ac:dyDescent="0.25">
      <c r="A114" t="s">
        <v>540</v>
      </c>
      <c r="B114" t="s">
        <v>2107</v>
      </c>
      <c r="C114" t="str">
        <f>VLOOKUP(B114,'Planting GPS Points'!$B$3:$L$290,10,FALSE)</f>
        <v>King County</v>
      </c>
      <c r="D114" t="str">
        <f>VLOOKUP(B114,'Planting GPS Points'!$B$3:$AL$290,17,FALSE)</f>
        <v>test</v>
      </c>
      <c r="E114" s="27">
        <v>44700</v>
      </c>
      <c r="F114">
        <v>5</v>
      </c>
      <c r="G114">
        <v>400</v>
      </c>
      <c r="H114" s="12" t="s">
        <v>165</v>
      </c>
      <c r="I114" s="27">
        <v>44742</v>
      </c>
      <c r="J114" s="19" t="s">
        <v>291</v>
      </c>
      <c r="K114" s="19" t="s">
        <v>169</v>
      </c>
      <c r="O114">
        <f>I114-E114</f>
        <v>42</v>
      </c>
      <c r="Q114" t="s">
        <v>2115</v>
      </c>
    </row>
    <row r="115" spans="1:18" x14ac:dyDescent="0.25">
      <c r="A115" t="s">
        <v>540</v>
      </c>
      <c r="B115" t="s">
        <v>2107</v>
      </c>
      <c r="C115" t="str">
        <f>VLOOKUP(B115,'Planting GPS Points'!$B$3:$L$290,10,FALSE)</f>
        <v>King County</v>
      </c>
      <c r="D115" t="str">
        <f>VLOOKUP(B115,'Planting GPS Points'!$B$3:$AL$290,17,FALSE)</f>
        <v>test</v>
      </c>
      <c r="E115" s="27">
        <v>44700</v>
      </c>
      <c r="F115">
        <v>5</v>
      </c>
      <c r="G115">
        <v>400</v>
      </c>
      <c r="H115" s="12" t="s">
        <v>165</v>
      </c>
      <c r="I115" s="27">
        <v>44945</v>
      </c>
      <c r="J115" s="19" t="s">
        <v>291</v>
      </c>
      <c r="K115" s="19" t="s">
        <v>169</v>
      </c>
      <c r="O115">
        <f>I115-E115</f>
        <v>245</v>
      </c>
      <c r="Q115" t="s">
        <v>2126</v>
      </c>
    </row>
    <row r="116" spans="1:18" x14ac:dyDescent="0.25">
      <c r="A116" t="s">
        <v>540</v>
      </c>
      <c r="B116" t="s">
        <v>2107</v>
      </c>
      <c r="C116" t="str">
        <f>VLOOKUP(B116,'Planting GPS Points'!$B$3:$L$290,10,FALSE)</f>
        <v>King County</v>
      </c>
      <c r="D116" t="str">
        <f>VLOOKUP(B116,'Planting GPS Points'!$B$3:$AL$290,17,FALSE)</f>
        <v>test</v>
      </c>
      <c r="E116" s="27">
        <v>44700</v>
      </c>
      <c r="F116">
        <v>5</v>
      </c>
      <c r="G116">
        <v>400</v>
      </c>
      <c r="H116" s="12" t="s">
        <v>165</v>
      </c>
      <c r="I116" s="27">
        <v>45038</v>
      </c>
      <c r="J116" s="19" t="s">
        <v>291</v>
      </c>
      <c r="K116" s="19" t="s">
        <v>169</v>
      </c>
      <c r="O116">
        <f>I116-E116</f>
        <v>338</v>
      </c>
      <c r="Q116" t="s">
        <v>2125</v>
      </c>
    </row>
    <row r="117" spans="1:18" x14ac:dyDescent="0.25">
      <c r="A117" t="s">
        <v>540</v>
      </c>
      <c r="B117" t="s">
        <v>2106</v>
      </c>
      <c r="C117" t="str">
        <f>VLOOKUP(B117,'Planting GPS Points'!$B$3:$L$290,10,FALSE)</f>
        <v>King County</v>
      </c>
      <c r="D117" t="str">
        <f>VLOOKUP(B117,'Planting GPS Points'!$B$3:$AL$290,17,FALSE)</f>
        <v>test</v>
      </c>
      <c r="E117" s="27">
        <v>44728</v>
      </c>
      <c r="F117">
        <v>5</v>
      </c>
      <c r="G117">
        <v>720</v>
      </c>
      <c r="H117" s="12" t="s">
        <v>165</v>
      </c>
      <c r="I117" s="27">
        <v>44742</v>
      </c>
      <c r="J117" s="19" t="s">
        <v>291</v>
      </c>
      <c r="K117" s="19" t="s">
        <v>169</v>
      </c>
      <c r="O117">
        <f>I117-E117</f>
        <v>14</v>
      </c>
      <c r="Q117" t="s">
        <v>2115</v>
      </c>
    </row>
    <row r="118" spans="1:18" x14ac:dyDescent="0.25">
      <c r="A118" t="s">
        <v>540</v>
      </c>
      <c r="B118" t="s">
        <v>2106</v>
      </c>
      <c r="C118" t="str">
        <f>VLOOKUP(B118,'Planting GPS Points'!$B$3:$L$290,10,FALSE)</f>
        <v>King County</v>
      </c>
      <c r="D118" t="str">
        <f>VLOOKUP(B118,'Planting GPS Points'!$B$3:$AL$290,17,FALSE)</f>
        <v>test</v>
      </c>
      <c r="E118" s="27">
        <v>44700</v>
      </c>
      <c r="F118">
        <v>5</v>
      </c>
      <c r="G118">
        <v>400</v>
      </c>
      <c r="H118" s="12" t="s">
        <v>165</v>
      </c>
      <c r="I118" s="27">
        <v>44784</v>
      </c>
      <c r="J118" s="19" t="s">
        <v>291</v>
      </c>
      <c r="K118" s="19" t="s">
        <v>169</v>
      </c>
      <c r="O118">
        <f t="shared" ref="O118:O121" si="21">I118-E118</f>
        <v>84</v>
      </c>
      <c r="Q118" t="s">
        <v>2098</v>
      </c>
    </row>
    <row r="119" spans="1:18" x14ac:dyDescent="0.25">
      <c r="A119" t="s">
        <v>540</v>
      </c>
      <c r="B119" t="s">
        <v>2106</v>
      </c>
      <c r="C119" t="str">
        <f>VLOOKUP(B119,'Planting GPS Points'!$B$3:$L$290,10,FALSE)</f>
        <v>King County</v>
      </c>
      <c r="D119" t="str">
        <f>VLOOKUP(B119,'Planting GPS Points'!$B$3:$AL$290,17,FALSE)</f>
        <v>test</v>
      </c>
      <c r="E119" s="134">
        <v>44728</v>
      </c>
      <c r="F119">
        <v>5</v>
      </c>
      <c r="G119">
        <v>720</v>
      </c>
      <c r="H119" s="12" t="s">
        <v>165</v>
      </c>
      <c r="I119" s="27">
        <v>44784</v>
      </c>
      <c r="J119" s="19" t="s">
        <v>291</v>
      </c>
      <c r="K119" s="19" t="s">
        <v>169</v>
      </c>
      <c r="O119">
        <f t="shared" si="21"/>
        <v>56</v>
      </c>
      <c r="Q119" t="s">
        <v>2098</v>
      </c>
    </row>
    <row r="120" spans="1:18" x14ac:dyDescent="0.25">
      <c r="A120" t="s">
        <v>540</v>
      </c>
      <c r="B120" t="s">
        <v>2107</v>
      </c>
      <c r="C120" t="str">
        <f>VLOOKUP(B120,'Planting GPS Points'!$B$3:$L$290,10,FALSE)</f>
        <v>King County</v>
      </c>
      <c r="D120" t="str">
        <f>VLOOKUP(B120,'Planting GPS Points'!$B$3:$AL$290,17,FALSE)</f>
        <v>test</v>
      </c>
      <c r="E120" s="27">
        <v>44700</v>
      </c>
      <c r="F120">
        <v>5</v>
      </c>
      <c r="G120">
        <v>400</v>
      </c>
      <c r="H120" s="12" t="s">
        <v>165</v>
      </c>
      <c r="I120" s="27">
        <v>44728</v>
      </c>
      <c r="J120" s="19" t="s">
        <v>291</v>
      </c>
      <c r="K120" s="19" t="s">
        <v>169</v>
      </c>
      <c r="O120">
        <f t="shared" si="21"/>
        <v>28</v>
      </c>
      <c r="Q120" t="s">
        <v>2117</v>
      </c>
    </row>
    <row r="121" spans="1:18" x14ac:dyDescent="0.25">
      <c r="A121" t="s">
        <v>540</v>
      </c>
      <c r="B121" t="s">
        <v>2106</v>
      </c>
      <c r="C121" t="str">
        <f>VLOOKUP(B121,'Planting GPS Points'!$B$3:$L$290,10,FALSE)</f>
        <v>King County</v>
      </c>
      <c r="D121" t="str">
        <f>VLOOKUP(B121,'Planting GPS Points'!$B$3:$AL$290,17,FALSE)</f>
        <v>test</v>
      </c>
      <c r="E121" s="134">
        <v>44728</v>
      </c>
      <c r="F121">
        <v>5</v>
      </c>
      <c r="G121">
        <v>720</v>
      </c>
      <c r="H121" s="12" t="s">
        <v>165</v>
      </c>
      <c r="I121" s="27">
        <v>44784</v>
      </c>
      <c r="J121" s="19" t="s">
        <v>291</v>
      </c>
      <c r="K121" s="19" t="s">
        <v>169</v>
      </c>
      <c r="O121">
        <f t="shared" si="21"/>
        <v>56</v>
      </c>
      <c r="Q121" t="s">
        <v>2098</v>
      </c>
    </row>
    <row r="122" spans="1:18" x14ac:dyDescent="0.25">
      <c r="A122" t="s">
        <v>540</v>
      </c>
      <c r="B122" t="s">
        <v>2106</v>
      </c>
      <c r="C122" t="str">
        <f>VLOOKUP(B122,'Planting GPS Points'!$B$3:$L$290,10,FALSE)</f>
        <v>King County</v>
      </c>
      <c r="D122" t="str">
        <f>VLOOKUP(B122,'Planting GPS Points'!$B$3:$AL$290,17,FALSE)</f>
        <v>test</v>
      </c>
      <c r="E122" s="134">
        <v>44728</v>
      </c>
      <c r="F122">
        <v>5</v>
      </c>
      <c r="G122">
        <v>720</v>
      </c>
      <c r="H122" s="12" t="s">
        <v>165</v>
      </c>
      <c r="I122" s="27">
        <v>44945</v>
      </c>
      <c r="J122" s="19" t="s">
        <v>291</v>
      </c>
      <c r="K122" s="19" t="s">
        <v>169</v>
      </c>
      <c r="O122">
        <f t="shared" ref="O122" si="22">I122-E122</f>
        <v>217</v>
      </c>
      <c r="Q122" t="s">
        <v>2124</v>
      </c>
    </row>
    <row r="123" spans="1:18" x14ac:dyDescent="0.25">
      <c r="A123" t="s">
        <v>540</v>
      </c>
      <c r="B123" t="s">
        <v>2106</v>
      </c>
      <c r="C123" t="str">
        <f>VLOOKUP(B123,'Planting GPS Points'!$B$3:$L$290,10,FALSE)</f>
        <v>King County</v>
      </c>
      <c r="D123" t="str">
        <f>VLOOKUP(B123,'Planting GPS Points'!$B$3:$AL$290,17,FALSE)</f>
        <v>test</v>
      </c>
      <c r="E123" s="134">
        <v>44728</v>
      </c>
      <c r="F123">
        <v>5</v>
      </c>
      <c r="G123">
        <v>720</v>
      </c>
      <c r="H123" s="12" t="s">
        <v>165</v>
      </c>
      <c r="I123" s="27">
        <v>45038</v>
      </c>
      <c r="J123" s="19" t="s">
        <v>291</v>
      </c>
      <c r="K123" s="19" t="s">
        <v>169</v>
      </c>
      <c r="O123">
        <f t="shared" ref="O123" si="23">I123-E123</f>
        <v>310</v>
      </c>
      <c r="Q123" t="s">
        <v>2123</v>
      </c>
    </row>
    <row r="124" spans="1:18" x14ac:dyDescent="0.25">
      <c r="A124" t="s">
        <v>39</v>
      </c>
      <c r="B124" t="s">
        <v>209</v>
      </c>
      <c r="C124" t="str">
        <f>VLOOKUP(B124,'Planting GPS Points'!$B$3:$L$290,10,FALSE)</f>
        <v>DNR</v>
      </c>
      <c r="D124" t="str">
        <f>VLOOKUP(B124,'Planting GPS Points'!$B$3:$AL$290,17,FALSE)</f>
        <v>test</v>
      </c>
      <c r="E124" s="27">
        <v>42075</v>
      </c>
      <c r="F124" s="20">
        <v>25</v>
      </c>
      <c r="G124" s="5">
        <v>500</v>
      </c>
      <c r="H124" s="12" t="s">
        <v>49</v>
      </c>
      <c r="I124" s="27">
        <v>43166</v>
      </c>
      <c r="J124" s="19" t="s">
        <v>409</v>
      </c>
      <c r="K124" s="19" t="s">
        <v>168</v>
      </c>
      <c r="L124">
        <v>0</v>
      </c>
      <c r="M124">
        <v>25</v>
      </c>
      <c r="N124" s="20">
        <f t="shared" ref="N124:N135" si="24">IFERROR(L124/M124, "")</f>
        <v>0</v>
      </c>
      <c r="O124">
        <f t="shared" ref="O124:O172" si="25">I124-E124</f>
        <v>1091</v>
      </c>
      <c r="P124" s="116">
        <f t="shared" ref="P124:P207" si="26">IF(L124="", "", L124/G124)</f>
        <v>0</v>
      </c>
      <c r="Q124" s="13" t="s">
        <v>737</v>
      </c>
    </row>
    <row r="125" spans="1:18" x14ac:dyDescent="0.25">
      <c r="A125" t="s">
        <v>39</v>
      </c>
      <c r="B125" t="s">
        <v>2003</v>
      </c>
      <c r="C125" t="str">
        <f>VLOOKUP(B125,'Planting GPS Points'!$B$3:$L$290,10,FALSE)</f>
        <v>USACE</v>
      </c>
      <c r="D125" t="str">
        <f>VLOOKUP(B125,'Planting GPS Points'!$B$3:$AL$290,17,FALSE)</f>
        <v>test</v>
      </c>
      <c r="E125" s="27">
        <v>44013</v>
      </c>
      <c r="F125">
        <v>6.25</v>
      </c>
      <c r="G125">
        <v>625</v>
      </c>
      <c r="H125" s="12" t="s">
        <v>49</v>
      </c>
      <c r="I125" s="27">
        <v>44306</v>
      </c>
      <c r="J125" s="19" t="s">
        <v>409</v>
      </c>
      <c r="K125" s="19" t="s">
        <v>169</v>
      </c>
      <c r="L125">
        <v>0</v>
      </c>
      <c r="M125">
        <v>7.5</v>
      </c>
      <c r="N125" s="20">
        <f t="shared" si="24"/>
        <v>0</v>
      </c>
      <c r="O125">
        <f t="shared" si="25"/>
        <v>293</v>
      </c>
      <c r="P125" s="116">
        <f t="shared" si="26"/>
        <v>0</v>
      </c>
      <c r="Q125" s="204" t="s">
        <v>2069</v>
      </c>
      <c r="R125" t="s">
        <v>2075</v>
      </c>
    </row>
    <row r="126" spans="1:18" x14ac:dyDescent="0.25">
      <c r="A126" t="s">
        <v>39</v>
      </c>
      <c r="B126" t="s">
        <v>208</v>
      </c>
      <c r="C126" t="str">
        <f>VLOOKUP(B126,'Planting GPS Points'!$B$3:$L$290,10,FALSE)</f>
        <v>DNR</v>
      </c>
      <c r="D126" t="str">
        <f>VLOOKUP(B126,'Planting GPS Points'!$B$3:$AL$290,17,FALSE)</f>
        <v>test</v>
      </c>
      <c r="E126" s="27">
        <v>42075</v>
      </c>
      <c r="F126" s="20">
        <v>25</v>
      </c>
      <c r="G126" s="5">
        <v>500</v>
      </c>
      <c r="H126" s="12" t="s">
        <v>165</v>
      </c>
      <c r="I126" s="27">
        <v>42229</v>
      </c>
      <c r="J126" s="19" t="s">
        <v>291</v>
      </c>
      <c r="K126" s="19" t="s">
        <v>168</v>
      </c>
      <c r="N126" s="20" t="str">
        <f t="shared" si="24"/>
        <v/>
      </c>
      <c r="O126">
        <f t="shared" si="25"/>
        <v>154</v>
      </c>
      <c r="P126" s="116" t="str">
        <f t="shared" si="26"/>
        <v/>
      </c>
      <c r="Q126" s="13" t="s">
        <v>1216</v>
      </c>
    </row>
    <row r="127" spans="1:18" x14ac:dyDescent="0.25">
      <c r="A127" t="s">
        <v>39</v>
      </c>
      <c r="B127" t="s">
        <v>208</v>
      </c>
      <c r="C127" t="str">
        <f>VLOOKUP(B127,'Planting GPS Points'!$B$3:$L$290,10,FALSE)</f>
        <v>DNR</v>
      </c>
      <c r="D127" t="str">
        <f>VLOOKUP(B127,'Planting GPS Points'!$B$3:$AL$290,17,FALSE)</f>
        <v>test</v>
      </c>
      <c r="E127" s="27">
        <v>42075</v>
      </c>
      <c r="F127" s="20">
        <v>25</v>
      </c>
      <c r="G127" s="5">
        <v>500</v>
      </c>
      <c r="H127" s="12" t="s">
        <v>165</v>
      </c>
      <c r="I127" s="27">
        <v>42513</v>
      </c>
      <c r="J127" s="19" t="s">
        <v>409</v>
      </c>
      <c r="K127" s="19" t="s">
        <v>168</v>
      </c>
      <c r="L127">
        <v>0</v>
      </c>
      <c r="N127" s="20" t="str">
        <f t="shared" si="24"/>
        <v/>
      </c>
      <c r="O127">
        <f t="shared" si="25"/>
        <v>438</v>
      </c>
      <c r="P127" s="116">
        <f t="shared" si="26"/>
        <v>0</v>
      </c>
      <c r="Q127" s="13" t="s">
        <v>1254</v>
      </c>
    </row>
    <row r="128" spans="1:18" x14ac:dyDescent="0.25">
      <c r="A128" t="s">
        <v>39</v>
      </c>
      <c r="B128" t="s">
        <v>208</v>
      </c>
      <c r="C128" t="str">
        <f>VLOOKUP(B128,'Planting GPS Points'!$B$3:$L$290,10,FALSE)</f>
        <v>DNR</v>
      </c>
      <c r="D128" t="str">
        <f>VLOOKUP(B128,'Planting GPS Points'!$B$3:$AL$290,17,FALSE)</f>
        <v>test</v>
      </c>
      <c r="E128" s="27">
        <v>42075</v>
      </c>
      <c r="F128" s="20">
        <v>25</v>
      </c>
      <c r="G128" s="5">
        <v>500</v>
      </c>
      <c r="H128" s="12" t="s">
        <v>49</v>
      </c>
      <c r="I128" s="27">
        <v>43166</v>
      </c>
      <c r="J128" s="19" t="s">
        <v>409</v>
      </c>
      <c r="K128" s="19" t="s">
        <v>168</v>
      </c>
      <c r="L128">
        <v>0</v>
      </c>
      <c r="M128">
        <v>25</v>
      </c>
      <c r="N128" s="20">
        <f t="shared" si="24"/>
        <v>0</v>
      </c>
      <c r="O128">
        <f t="shared" si="25"/>
        <v>1091</v>
      </c>
      <c r="P128" s="116">
        <f t="shared" si="26"/>
        <v>0</v>
      </c>
      <c r="Q128" s="13" t="s">
        <v>738</v>
      </c>
    </row>
    <row r="129" spans="1:17" x14ac:dyDescent="0.25">
      <c r="A129" s="1" t="s">
        <v>78</v>
      </c>
      <c r="B129" s="1" t="s">
        <v>494</v>
      </c>
      <c r="C129" t="str">
        <f>VLOOKUP(B129,'Planting GPS Points'!$B$3:$L$290,10,FALSE)</f>
        <v>USACE</v>
      </c>
      <c r="D129" t="str">
        <f>VLOOKUP(B129,'Planting GPS Points'!$B$3:$AL$290,17,FALSE)</f>
        <v>test</v>
      </c>
      <c r="E129" s="27">
        <v>42593</v>
      </c>
      <c r="F129" s="20">
        <v>4</v>
      </c>
      <c r="G129">
        <v>500</v>
      </c>
      <c r="H129" s="12" t="s">
        <v>49</v>
      </c>
      <c r="I129" s="27">
        <v>42664</v>
      </c>
      <c r="J129" s="19" t="s">
        <v>291</v>
      </c>
      <c r="K129" s="19" t="s">
        <v>169</v>
      </c>
      <c r="M129">
        <v>4</v>
      </c>
      <c r="N129" s="20">
        <f t="shared" si="24"/>
        <v>0</v>
      </c>
      <c r="O129">
        <f t="shared" si="25"/>
        <v>71</v>
      </c>
      <c r="P129" s="116" t="str">
        <f t="shared" si="26"/>
        <v/>
      </c>
      <c r="Q129" s="13" t="s">
        <v>677</v>
      </c>
    </row>
    <row r="130" spans="1:17" x14ac:dyDescent="0.25">
      <c r="A130" s="1" t="s">
        <v>78</v>
      </c>
      <c r="B130" s="1" t="s">
        <v>494</v>
      </c>
      <c r="C130" t="str">
        <f>VLOOKUP(B130,'Planting GPS Points'!$B$3:$L$290,10,FALSE)</f>
        <v>USACE</v>
      </c>
      <c r="D130" t="str">
        <f>VLOOKUP(B130,'Planting GPS Points'!$B$3:$AL$290,17,FALSE)</f>
        <v>test</v>
      </c>
      <c r="E130" s="27">
        <v>42593</v>
      </c>
      <c r="F130" s="20">
        <v>4</v>
      </c>
      <c r="G130">
        <v>500</v>
      </c>
      <c r="H130" s="12" t="s">
        <v>49</v>
      </c>
      <c r="I130" s="27">
        <v>42842</v>
      </c>
      <c r="J130" s="19" t="s">
        <v>291</v>
      </c>
      <c r="K130" s="19" t="s">
        <v>169</v>
      </c>
      <c r="M130">
        <v>4</v>
      </c>
      <c r="N130" s="20">
        <f t="shared" si="24"/>
        <v>0</v>
      </c>
      <c r="O130">
        <f t="shared" si="25"/>
        <v>249</v>
      </c>
      <c r="P130" s="116" t="str">
        <f t="shared" si="26"/>
        <v/>
      </c>
      <c r="Q130" s="13" t="s">
        <v>679</v>
      </c>
    </row>
    <row r="131" spans="1:17" x14ac:dyDescent="0.25">
      <c r="A131" s="1" t="s">
        <v>78</v>
      </c>
      <c r="B131" s="1" t="s">
        <v>1506</v>
      </c>
      <c r="C131" t="str">
        <f>VLOOKUP(B131,'Planting GPS Points'!$B$3:$L$290,10,FALSE)</f>
        <v>USACE</v>
      </c>
      <c r="D131" t="str">
        <f>VLOOKUP(B131,'Planting GPS Points'!$B$3:$AL$290,17,FALSE)</f>
        <v>test</v>
      </c>
      <c r="E131" s="27">
        <v>42593</v>
      </c>
      <c r="F131" s="20">
        <v>4</v>
      </c>
      <c r="G131">
        <v>550</v>
      </c>
      <c r="H131" s="12" t="s">
        <v>49</v>
      </c>
      <c r="I131" s="27">
        <v>42664</v>
      </c>
      <c r="J131" s="19" t="s">
        <v>291</v>
      </c>
      <c r="K131" s="19" t="s">
        <v>169</v>
      </c>
      <c r="M131">
        <v>4</v>
      </c>
      <c r="N131" s="20">
        <f t="shared" si="24"/>
        <v>0</v>
      </c>
      <c r="O131">
        <f t="shared" si="25"/>
        <v>71</v>
      </c>
      <c r="P131" s="116" t="str">
        <f t="shared" si="26"/>
        <v/>
      </c>
      <c r="Q131" s="13" t="s">
        <v>678</v>
      </c>
    </row>
    <row r="132" spans="1:17" x14ac:dyDescent="0.25">
      <c r="A132" s="1" t="s">
        <v>78</v>
      </c>
      <c r="B132" s="1" t="s">
        <v>1506</v>
      </c>
      <c r="C132" t="str">
        <f>VLOOKUP(B132,'Planting GPS Points'!$B$3:$L$290,10,FALSE)</f>
        <v>USACE</v>
      </c>
      <c r="D132" t="str">
        <f>VLOOKUP(B132,'Planting GPS Points'!$B$3:$AL$290,17,FALSE)</f>
        <v>test</v>
      </c>
      <c r="E132" s="27">
        <v>42593</v>
      </c>
      <c r="F132" s="20">
        <v>4</v>
      </c>
      <c r="G132">
        <v>550</v>
      </c>
      <c r="H132" s="12" t="s">
        <v>49</v>
      </c>
      <c r="I132" s="27">
        <v>42842</v>
      </c>
      <c r="J132" s="19" t="s">
        <v>409</v>
      </c>
      <c r="K132" s="19" t="s">
        <v>169</v>
      </c>
      <c r="L132">
        <v>0</v>
      </c>
      <c r="M132">
        <v>4</v>
      </c>
      <c r="N132" s="20">
        <f t="shared" si="24"/>
        <v>0</v>
      </c>
      <c r="O132">
        <f t="shared" si="25"/>
        <v>249</v>
      </c>
      <c r="P132" s="116">
        <f t="shared" si="26"/>
        <v>0</v>
      </c>
      <c r="Q132" s="13" t="s">
        <v>680</v>
      </c>
    </row>
    <row r="133" spans="1:17" x14ac:dyDescent="0.25">
      <c r="A133" t="s">
        <v>164</v>
      </c>
      <c r="B133" s="1" t="s">
        <v>158</v>
      </c>
      <c r="C133" t="str">
        <f>VLOOKUP(B133,'Planting GPS Points'!$B$3:$L$290,10,FALSE)</f>
        <v>WDFW</v>
      </c>
      <c r="D133" t="str">
        <f>VLOOKUP(B133,'Planting GPS Points'!$B$3:$AL$290,17,FALSE)</f>
        <v>test</v>
      </c>
      <c r="E133" s="27">
        <v>42905</v>
      </c>
      <c r="F133" s="20">
        <v>6</v>
      </c>
      <c r="G133" s="38">
        <v>1160</v>
      </c>
      <c r="H133" s="12" t="s">
        <v>49</v>
      </c>
      <c r="I133" s="27">
        <v>43166</v>
      </c>
      <c r="J133" s="19" t="s">
        <v>291</v>
      </c>
      <c r="K133" s="19" t="s">
        <v>1104</v>
      </c>
      <c r="L133">
        <v>50</v>
      </c>
      <c r="N133" s="20" t="str">
        <f t="shared" si="24"/>
        <v/>
      </c>
      <c r="O133">
        <f t="shared" si="25"/>
        <v>261</v>
      </c>
      <c r="P133" s="116">
        <f t="shared" si="26"/>
        <v>4.3103448275862072E-2</v>
      </c>
      <c r="Q133" s="13" t="s">
        <v>770</v>
      </c>
    </row>
    <row r="134" spans="1:17" x14ac:dyDescent="0.25">
      <c r="A134" t="s">
        <v>164</v>
      </c>
      <c r="B134" s="1" t="s">
        <v>158</v>
      </c>
      <c r="C134" t="str">
        <f>VLOOKUP(B134,'Planting GPS Points'!$B$3:$L$290,10,FALSE)</f>
        <v>WDFW</v>
      </c>
      <c r="D134" t="str">
        <f>VLOOKUP(B134,'Planting GPS Points'!$B$3:$AL$290,17,FALSE)</f>
        <v>test</v>
      </c>
      <c r="E134" s="27">
        <v>42935</v>
      </c>
      <c r="F134" s="20">
        <v>6</v>
      </c>
      <c r="G134" s="38">
        <v>1160</v>
      </c>
      <c r="H134" s="73" t="s">
        <v>165</v>
      </c>
      <c r="I134" s="27">
        <v>43250</v>
      </c>
      <c r="J134" s="19" t="s">
        <v>409</v>
      </c>
      <c r="K134" s="19" t="s">
        <v>1104</v>
      </c>
      <c r="L134">
        <v>0</v>
      </c>
      <c r="N134" s="20" t="str">
        <f t="shared" si="24"/>
        <v/>
      </c>
      <c r="O134">
        <f t="shared" si="25"/>
        <v>315</v>
      </c>
      <c r="P134" s="116">
        <f t="shared" si="26"/>
        <v>0</v>
      </c>
      <c r="Q134" s="13" t="s">
        <v>1010</v>
      </c>
    </row>
    <row r="135" spans="1:17" x14ac:dyDescent="0.25">
      <c r="A135" s="34" t="s">
        <v>164</v>
      </c>
      <c r="B135" s="1" t="s">
        <v>1012</v>
      </c>
      <c r="C135" t="str">
        <f>VLOOKUP(B135,'Planting GPS Points'!$B$3:$L$290,10,FALSE)</f>
        <v>DNR</v>
      </c>
      <c r="D135" t="str">
        <f>VLOOKUP(B135,'Planting GPS Points'!$B$3:$AL$290,17,FALSE)</f>
        <v>test</v>
      </c>
      <c r="E135" s="134">
        <v>43263</v>
      </c>
      <c r="F135" s="20">
        <v>0.75</v>
      </c>
      <c r="G135" s="38">
        <v>225</v>
      </c>
      <c r="H135" s="73" t="s">
        <v>165</v>
      </c>
      <c r="I135" s="27">
        <v>43322</v>
      </c>
      <c r="J135" s="19" t="s">
        <v>291</v>
      </c>
      <c r="K135" s="19" t="s">
        <v>169</v>
      </c>
      <c r="L135">
        <v>299</v>
      </c>
      <c r="M135">
        <v>0.75</v>
      </c>
      <c r="N135" s="20">
        <f t="shared" si="24"/>
        <v>398.66666666666669</v>
      </c>
      <c r="O135">
        <f t="shared" si="25"/>
        <v>59</v>
      </c>
      <c r="P135" s="116">
        <f t="shared" si="26"/>
        <v>1.3288888888888888</v>
      </c>
      <c r="Q135" s="13" t="s">
        <v>1220</v>
      </c>
    </row>
    <row r="136" spans="1:17" x14ac:dyDescent="0.25">
      <c r="A136" t="s">
        <v>164</v>
      </c>
      <c r="B136" s="1" t="s">
        <v>225</v>
      </c>
      <c r="C136" t="str">
        <f>VLOOKUP(B136,'Planting GPS Points'!$B$3:$L$290,10,FALSE)</f>
        <v>DNR</v>
      </c>
      <c r="D136" t="str">
        <f>VLOOKUP(B136,'Planting GPS Points'!$B$3:$AL$290,17,FALSE)</f>
        <v>test</v>
      </c>
      <c r="E136" s="27">
        <v>42935</v>
      </c>
      <c r="F136" s="20">
        <v>1</v>
      </c>
      <c r="G136" s="38">
        <v>250</v>
      </c>
      <c r="H136" s="73" t="s">
        <v>165</v>
      </c>
      <c r="I136" s="27">
        <v>43250</v>
      </c>
      <c r="J136" s="19" t="s">
        <v>409</v>
      </c>
      <c r="K136" s="19" t="s">
        <v>169</v>
      </c>
      <c r="L136">
        <v>0</v>
      </c>
      <c r="N136" s="20"/>
      <c r="O136">
        <f t="shared" si="25"/>
        <v>315</v>
      </c>
      <c r="P136" s="116">
        <f t="shared" si="26"/>
        <v>0</v>
      </c>
      <c r="Q136" s="13" t="s">
        <v>1218</v>
      </c>
    </row>
    <row r="137" spans="1:17" x14ac:dyDescent="0.25">
      <c r="A137" t="s">
        <v>164</v>
      </c>
      <c r="B137" s="1" t="s">
        <v>156</v>
      </c>
      <c r="C137" t="str">
        <f>VLOOKUP(B137,'Planting GPS Points'!$B$3:$L$290,10,FALSE)</f>
        <v>WDFW</v>
      </c>
      <c r="D137" t="str">
        <f>VLOOKUP(B137,'Planting GPS Points'!$B$3:$AL$290,17,FALSE)</f>
        <v>test</v>
      </c>
      <c r="E137" s="27">
        <v>42935</v>
      </c>
      <c r="F137" s="20">
        <v>6</v>
      </c>
      <c r="G137" s="38">
        <v>1056</v>
      </c>
      <c r="H137" s="73" t="s">
        <v>165</v>
      </c>
      <c r="I137" s="27">
        <v>43250</v>
      </c>
      <c r="J137" s="19" t="s">
        <v>409</v>
      </c>
      <c r="K137" s="19" t="s">
        <v>1104</v>
      </c>
      <c r="L137">
        <v>0</v>
      </c>
      <c r="N137" s="20" t="str">
        <f t="shared" ref="N137:N179" si="27">IFERROR(L137/M137, "")</f>
        <v/>
      </c>
      <c r="O137">
        <f t="shared" si="25"/>
        <v>315</v>
      </c>
      <c r="P137" s="116">
        <f t="shared" si="26"/>
        <v>0</v>
      </c>
      <c r="Q137" s="13" t="s">
        <v>1010</v>
      </c>
    </row>
    <row r="138" spans="1:17" x14ac:dyDescent="0.25">
      <c r="A138" s="34" t="s">
        <v>164</v>
      </c>
      <c r="B138" s="1" t="s">
        <v>1009</v>
      </c>
      <c r="C138" t="str">
        <f>VLOOKUP(B138,'Planting GPS Points'!$B$3:$L$290,10,FALSE)</f>
        <v>DNR</v>
      </c>
      <c r="D138" t="str">
        <f>VLOOKUP(B138,'Planting GPS Points'!$B$3:$AL$290,17,FALSE)</f>
        <v>test</v>
      </c>
      <c r="E138" s="134">
        <v>43263</v>
      </c>
      <c r="F138" s="20">
        <v>0.75</v>
      </c>
      <c r="G138" s="38">
        <v>225</v>
      </c>
      <c r="H138" s="73" t="s">
        <v>165</v>
      </c>
      <c r="I138" s="27">
        <v>43322</v>
      </c>
      <c r="J138" s="19" t="s">
        <v>291</v>
      </c>
      <c r="K138" s="19" t="s">
        <v>169</v>
      </c>
      <c r="L138">
        <v>180</v>
      </c>
      <c r="M138">
        <v>0.75</v>
      </c>
      <c r="N138" s="20">
        <f t="shared" si="27"/>
        <v>240</v>
      </c>
      <c r="O138">
        <f t="shared" si="25"/>
        <v>59</v>
      </c>
      <c r="P138" s="116">
        <f t="shared" si="26"/>
        <v>0.8</v>
      </c>
      <c r="Q138" s="13" t="s">
        <v>1219</v>
      </c>
    </row>
    <row r="139" spans="1:17" x14ac:dyDescent="0.25">
      <c r="A139" t="s">
        <v>34</v>
      </c>
      <c r="B139" t="s">
        <v>983</v>
      </c>
      <c r="C139" t="str">
        <f>VLOOKUP(B139,'Planting GPS Points'!$B$3:$L$290,10,FALSE)</f>
        <v>DNR</v>
      </c>
      <c r="D139" t="str">
        <f>VLOOKUP(B139,'Planting GPS Points'!$B$3:$AL$290,17,FALSE)</f>
        <v>test</v>
      </c>
      <c r="E139" s="27">
        <v>42572</v>
      </c>
      <c r="F139" s="20">
        <v>0.25</v>
      </c>
      <c r="G139" s="130">
        <v>201</v>
      </c>
      <c r="H139" s="12" t="s">
        <v>165</v>
      </c>
      <c r="I139" s="27">
        <v>42600</v>
      </c>
      <c r="J139" s="19" t="s">
        <v>291</v>
      </c>
      <c r="K139" s="19" t="s">
        <v>169</v>
      </c>
      <c r="L139">
        <v>1</v>
      </c>
      <c r="N139" s="20" t="str">
        <f t="shared" si="27"/>
        <v/>
      </c>
      <c r="O139">
        <f t="shared" si="25"/>
        <v>28</v>
      </c>
      <c r="P139" s="116">
        <f t="shared" si="26"/>
        <v>4.9751243781094526E-3</v>
      </c>
      <c r="Q139" s="13" t="s">
        <v>984</v>
      </c>
    </row>
    <row r="140" spans="1:17" x14ac:dyDescent="0.25">
      <c r="A140" t="s">
        <v>34</v>
      </c>
      <c r="B140" t="s">
        <v>201</v>
      </c>
      <c r="C140" t="str">
        <f>VLOOKUP(B140,'Planting GPS Points'!$B$3:$L$290,10,FALSE)</f>
        <v>DNR</v>
      </c>
      <c r="D140" t="str">
        <f>VLOOKUP(B140,'Planting GPS Points'!$B$3:$AL$290,17,FALSE)</f>
        <v>test</v>
      </c>
      <c r="E140" s="27">
        <v>42075</v>
      </c>
      <c r="F140" s="20">
        <v>25</v>
      </c>
      <c r="G140" s="38">
        <v>500</v>
      </c>
      <c r="H140" s="12" t="s">
        <v>165</v>
      </c>
      <c r="I140" s="27">
        <v>42242</v>
      </c>
      <c r="J140" s="129" t="s">
        <v>409</v>
      </c>
      <c r="K140" s="129" t="s">
        <v>168</v>
      </c>
      <c r="L140">
        <v>0</v>
      </c>
      <c r="N140" s="20" t="str">
        <f t="shared" si="27"/>
        <v/>
      </c>
      <c r="O140">
        <f t="shared" si="25"/>
        <v>167</v>
      </c>
      <c r="P140" s="116">
        <f t="shared" si="26"/>
        <v>0</v>
      </c>
      <c r="Q140" s="13" t="s">
        <v>1215</v>
      </c>
    </row>
    <row r="141" spans="1:17" ht="17.25" x14ac:dyDescent="0.25">
      <c r="A141" t="s">
        <v>167</v>
      </c>
      <c r="B141" s="142" t="s">
        <v>1511</v>
      </c>
      <c r="C141" t="str">
        <f>VLOOKUP(B141,'Planting GPS Points'!$B$3:$L$290,10,FALSE)</f>
        <v>USFWS</v>
      </c>
      <c r="D141" t="str">
        <f>VLOOKUP(B141,'Planting GPS Points'!$B$3:$AL$290,17,FALSE)</f>
        <v>large scale</v>
      </c>
      <c r="E141" s="147">
        <v>43235</v>
      </c>
      <c r="F141" s="20">
        <v>138</v>
      </c>
      <c r="G141">
        <v>13800</v>
      </c>
      <c r="H141" s="12" t="s">
        <v>49</v>
      </c>
      <c r="I141" s="27">
        <v>43572</v>
      </c>
      <c r="J141" s="19" t="s">
        <v>291</v>
      </c>
      <c r="K141" s="19" t="s">
        <v>169</v>
      </c>
      <c r="L141">
        <v>1058</v>
      </c>
      <c r="M141">
        <v>138</v>
      </c>
      <c r="N141" s="20">
        <f t="shared" si="27"/>
        <v>7.666666666666667</v>
      </c>
      <c r="O141">
        <f t="shared" si="25"/>
        <v>337</v>
      </c>
      <c r="P141" s="116">
        <f t="shared" si="26"/>
        <v>7.6666666666666661E-2</v>
      </c>
      <c r="Q141" s="13" t="s">
        <v>1523</v>
      </c>
    </row>
    <row r="142" spans="1:17" x14ac:dyDescent="0.25">
      <c r="A142" t="s">
        <v>167</v>
      </c>
      <c r="B142" s="1" t="s">
        <v>1511</v>
      </c>
      <c r="C142" t="str">
        <f>VLOOKUP(B142,'Planting GPS Points'!$B$3:$L$290,10,FALSE)</f>
        <v>USFWS</v>
      </c>
      <c r="D142" t="str">
        <f>VLOOKUP(B142,'Planting GPS Points'!$B$3:$AL$290,17,FALSE)</f>
        <v>large scale</v>
      </c>
      <c r="E142" s="27">
        <v>43235</v>
      </c>
      <c r="F142" s="179" t="str">
        <f>VLOOKUP(B142,PLANTING,26,FALSE)</f>
        <v>rebar</v>
      </c>
      <c r="G142" s="148">
        <f>VLOOKUP(B142,PLANTING,29,FALSE)</f>
        <v>210</v>
      </c>
      <c r="H142" s="12" t="s">
        <v>49</v>
      </c>
      <c r="I142" s="27">
        <v>43964</v>
      </c>
      <c r="J142" s="19" t="s">
        <v>409</v>
      </c>
      <c r="K142" s="19" t="s">
        <v>169</v>
      </c>
      <c r="L142">
        <v>0</v>
      </c>
      <c r="M142" s="38"/>
      <c r="N142" s="20" t="str">
        <f t="shared" si="27"/>
        <v/>
      </c>
      <c r="O142">
        <f t="shared" si="25"/>
        <v>729</v>
      </c>
      <c r="P142" s="116">
        <f t="shared" si="26"/>
        <v>0</v>
      </c>
      <c r="Q142" s="13" t="s">
        <v>1839</v>
      </c>
    </row>
    <row r="143" spans="1:17" ht="17.25" x14ac:dyDescent="0.25">
      <c r="A143" t="s">
        <v>167</v>
      </c>
      <c r="B143" s="142" t="s">
        <v>1512</v>
      </c>
      <c r="C143" t="str">
        <f>VLOOKUP(B143,'Planting GPS Points'!$B$3:$L$290,10,FALSE)</f>
        <v>USACE</v>
      </c>
      <c r="D143" t="str">
        <f>VLOOKUP(B143,'Planting GPS Points'!$B$3:$AL$290,17,FALSE)</f>
        <v>large scale</v>
      </c>
      <c r="E143" s="147">
        <v>43265</v>
      </c>
      <c r="F143" s="20">
        <v>97</v>
      </c>
      <c r="G143">
        <v>9688</v>
      </c>
      <c r="H143" s="12" t="s">
        <v>49</v>
      </c>
      <c r="I143" s="27">
        <v>43572</v>
      </c>
      <c r="J143" s="19" t="s">
        <v>291</v>
      </c>
      <c r="K143" s="19" t="s">
        <v>169</v>
      </c>
      <c r="L143">
        <v>13252</v>
      </c>
      <c r="M143">
        <v>97</v>
      </c>
      <c r="N143" s="20">
        <f t="shared" si="27"/>
        <v>136.61855670103094</v>
      </c>
      <c r="O143">
        <f t="shared" si="25"/>
        <v>307</v>
      </c>
      <c r="P143" s="116">
        <f t="shared" si="26"/>
        <v>1.3678777869529315</v>
      </c>
      <c r="Q143" s="144" t="s">
        <v>1837</v>
      </c>
    </row>
    <row r="144" spans="1:17" ht="17.25" x14ac:dyDescent="0.25">
      <c r="A144" s="34" t="s">
        <v>167</v>
      </c>
      <c r="B144" s="1" t="s">
        <v>1512</v>
      </c>
      <c r="C144" t="str">
        <f>VLOOKUP(B144,'Planting GPS Points'!$B$3:$L$290,10,FALSE)</f>
        <v>USACE</v>
      </c>
      <c r="D144" t="str">
        <f>VLOOKUP(B144,'Planting GPS Points'!$B$3:$AL$290,17,FALSE)</f>
        <v>large scale</v>
      </c>
      <c r="E144" s="27">
        <v>43265</v>
      </c>
      <c r="F144" s="179" t="str">
        <f>VLOOKUP(B144,PLANTING,26,FALSE)</f>
        <v>rebar</v>
      </c>
      <c r="G144" s="148">
        <f>VLOOKUP(B144,PLANTING,29,FALSE)</f>
        <v>155</v>
      </c>
      <c r="H144" s="12" t="s">
        <v>49</v>
      </c>
      <c r="I144" s="27">
        <v>43964</v>
      </c>
      <c r="J144" s="19" t="s">
        <v>291</v>
      </c>
      <c r="K144" s="19" t="s">
        <v>169</v>
      </c>
      <c r="L144">
        <v>66057</v>
      </c>
      <c r="M144" s="38">
        <v>97</v>
      </c>
      <c r="N144" s="20">
        <f t="shared" si="27"/>
        <v>681</v>
      </c>
      <c r="O144">
        <f t="shared" si="25"/>
        <v>699</v>
      </c>
      <c r="P144" s="116">
        <f t="shared" si="26"/>
        <v>426.17419354838711</v>
      </c>
      <c r="Q144" s="13" t="s">
        <v>1840</v>
      </c>
    </row>
    <row r="145" spans="1:17" ht="17.25" x14ac:dyDescent="0.25">
      <c r="A145" t="s">
        <v>167</v>
      </c>
      <c r="B145" t="s">
        <v>1521</v>
      </c>
      <c r="C145" t="str">
        <f>VLOOKUP(B145,'Planting GPS Points'!$B$3:$L$290,10,FALSE)</f>
        <v>USFWS</v>
      </c>
      <c r="D145" t="str">
        <f>VLOOKUP(B145,'Planting GPS Points'!$B$3:$AL$290,17,FALSE)</f>
        <v>large scale</v>
      </c>
      <c r="E145" s="27">
        <v>43599</v>
      </c>
      <c r="F145" s="179" t="str">
        <f>VLOOKUP(B145,PLANTING,26,FALSE)</f>
        <v>rebar</v>
      </c>
      <c r="G145" s="148">
        <f>VLOOKUP(B145,PLANTING,29,FALSE)</f>
        <v>234</v>
      </c>
      <c r="H145" s="12" t="s">
        <v>49</v>
      </c>
      <c r="I145" s="27">
        <v>43964</v>
      </c>
      <c r="J145" s="19" t="s">
        <v>291</v>
      </c>
      <c r="K145" s="19" t="s">
        <v>169</v>
      </c>
      <c r="L145">
        <v>35065</v>
      </c>
      <c r="M145" s="38">
        <v>136.75</v>
      </c>
      <c r="N145" s="20">
        <f t="shared" si="27"/>
        <v>256.41681901279708</v>
      </c>
      <c r="O145">
        <f t="shared" si="25"/>
        <v>365</v>
      </c>
      <c r="P145" s="116">
        <f t="shared" si="26"/>
        <v>149.85042735042734</v>
      </c>
      <c r="Q145" s="13" t="s">
        <v>1838</v>
      </c>
    </row>
    <row r="146" spans="1:17" x14ac:dyDescent="0.25">
      <c r="A146" t="s">
        <v>167</v>
      </c>
      <c r="B146" s="142" t="s">
        <v>1511</v>
      </c>
      <c r="C146" t="str">
        <f>VLOOKUP(B146,'Planting GPS Points'!$B$3:$L$290,10,FALSE)</f>
        <v>USFWS</v>
      </c>
      <c r="D146" t="str">
        <f>VLOOKUP(B146,'Planting GPS Points'!$B$3:$AL$290,17,FALSE)</f>
        <v>large scale</v>
      </c>
      <c r="E146" s="147">
        <v>43235</v>
      </c>
      <c r="F146" s="20">
        <v>138</v>
      </c>
      <c r="G146">
        <v>13800</v>
      </c>
      <c r="H146" s="12" t="s">
        <v>49</v>
      </c>
      <c r="I146" s="27"/>
      <c r="J146" s="19"/>
      <c r="K146" s="19"/>
      <c r="M146" s="38"/>
      <c r="N146" s="20"/>
      <c r="P146" s="116"/>
      <c r="Q146" s="13"/>
    </row>
    <row r="147" spans="1:17" x14ac:dyDescent="0.25">
      <c r="A147" t="s">
        <v>167</v>
      </c>
      <c r="B147" s="1" t="s">
        <v>1511</v>
      </c>
      <c r="C147" t="str">
        <f>VLOOKUP(B147,'Planting GPS Points'!$B$3:$L$290,10,FALSE)</f>
        <v>USFWS</v>
      </c>
      <c r="D147" t="str">
        <f>VLOOKUP(B147,'Planting GPS Points'!$B$3:$AL$290,17,FALSE)</f>
        <v>large scale</v>
      </c>
      <c r="E147" s="27">
        <v>43235</v>
      </c>
      <c r="F147" s="179" t="str">
        <f>VLOOKUP(B147,PLANTING,26,FALSE)</f>
        <v>rebar</v>
      </c>
      <c r="G147" s="148">
        <f>VLOOKUP(B147,PLANTING,29,FALSE)</f>
        <v>210</v>
      </c>
      <c r="H147" s="12" t="s">
        <v>49</v>
      </c>
      <c r="I147" s="27"/>
      <c r="J147" s="19"/>
      <c r="K147" s="19"/>
      <c r="M147" s="38"/>
      <c r="N147" s="20"/>
      <c r="P147" s="116"/>
      <c r="Q147" s="13"/>
    </row>
    <row r="148" spans="1:17" x14ac:dyDescent="0.25">
      <c r="A148" t="s">
        <v>167</v>
      </c>
      <c r="B148" s="142" t="s">
        <v>1512</v>
      </c>
      <c r="C148" t="str">
        <f>VLOOKUP(B148,'Planting GPS Points'!$B$3:$L$290,10,FALSE)</f>
        <v>USACE</v>
      </c>
      <c r="D148" t="str">
        <f>VLOOKUP(B148,'Planting GPS Points'!$B$3:$AL$290,17,FALSE)</f>
        <v>large scale</v>
      </c>
      <c r="E148" s="147">
        <v>43265</v>
      </c>
      <c r="F148" s="20">
        <v>97</v>
      </c>
      <c r="G148">
        <v>9688</v>
      </c>
      <c r="H148" s="12" t="s">
        <v>49</v>
      </c>
      <c r="I148" s="27"/>
      <c r="J148" s="19"/>
      <c r="K148" s="19"/>
      <c r="M148" s="38"/>
      <c r="N148" s="20"/>
      <c r="P148" s="116"/>
      <c r="Q148" s="13"/>
    </row>
    <row r="149" spans="1:17" x14ac:dyDescent="0.25">
      <c r="A149" s="34" t="s">
        <v>167</v>
      </c>
      <c r="B149" s="1" t="s">
        <v>1512</v>
      </c>
      <c r="C149" t="str">
        <f>VLOOKUP(B149,'Planting GPS Points'!$B$3:$L$290,10,FALSE)</f>
        <v>USACE</v>
      </c>
      <c r="D149" t="str">
        <f>VLOOKUP(B149,'Planting GPS Points'!$B$3:$AL$290,17,FALSE)</f>
        <v>large scale</v>
      </c>
      <c r="E149" s="27">
        <v>43265</v>
      </c>
      <c r="F149" s="179" t="str">
        <f>VLOOKUP(B149,PLANTING,26,FALSE)</f>
        <v>rebar</v>
      </c>
      <c r="G149" s="148">
        <f>VLOOKUP(B149,PLANTING,29,FALSE)</f>
        <v>155</v>
      </c>
      <c r="H149" s="12" t="s">
        <v>49</v>
      </c>
      <c r="I149" s="27"/>
      <c r="J149" s="19"/>
      <c r="K149" s="19"/>
      <c r="M149" s="38"/>
      <c r="N149" s="20"/>
      <c r="P149" s="116"/>
      <c r="Q149" s="13"/>
    </row>
    <row r="150" spans="1:17" x14ac:dyDescent="0.25">
      <c r="A150" t="s">
        <v>167</v>
      </c>
      <c r="B150" t="s">
        <v>1521</v>
      </c>
      <c r="C150" t="str">
        <f>VLOOKUP(B150,'Planting GPS Points'!$B$3:$L$290,10,FALSE)</f>
        <v>USFWS</v>
      </c>
      <c r="D150" t="str">
        <f>VLOOKUP(B150,'Planting GPS Points'!$B$3:$AL$290,17,FALSE)</f>
        <v>large scale</v>
      </c>
      <c r="E150" s="27">
        <v>43599</v>
      </c>
      <c r="F150" s="179" t="str">
        <f>VLOOKUP(B150,PLANTING,26,FALSE)</f>
        <v>rebar</v>
      </c>
      <c r="G150" s="148">
        <f>VLOOKUP(B150,PLANTING,29,FALSE)</f>
        <v>234</v>
      </c>
      <c r="H150" s="12" t="s">
        <v>49</v>
      </c>
      <c r="I150" s="27"/>
      <c r="J150" s="19"/>
      <c r="K150" s="19"/>
      <c r="M150" s="38"/>
      <c r="N150" s="20"/>
      <c r="P150" s="116"/>
      <c r="Q150" s="13"/>
    </row>
    <row r="151" spans="1:17" x14ac:dyDescent="0.25">
      <c r="A151" t="s">
        <v>167</v>
      </c>
      <c r="B151" s="142" t="s">
        <v>1511</v>
      </c>
      <c r="C151" t="str">
        <f>VLOOKUP(B151,'Planting GPS Points'!$B$3:$L$290,10,FALSE)</f>
        <v>USFWS</v>
      </c>
      <c r="D151" t="str">
        <f>VLOOKUP(B151,'Planting GPS Points'!$B$3:$AL$290,17,FALSE)</f>
        <v>large scale</v>
      </c>
      <c r="E151" s="147">
        <v>43235</v>
      </c>
      <c r="F151" s="20">
        <v>138</v>
      </c>
      <c r="G151">
        <v>13800</v>
      </c>
      <c r="H151" s="12" t="s">
        <v>49</v>
      </c>
      <c r="I151" s="27"/>
      <c r="J151" s="19"/>
      <c r="K151" s="19"/>
      <c r="M151" s="38"/>
      <c r="N151" s="20"/>
      <c r="P151" s="116"/>
      <c r="Q151" s="13"/>
    </row>
    <row r="152" spans="1:17" x14ac:dyDescent="0.25">
      <c r="A152" t="s">
        <v>167</v>
      </c>
      <c r="B152" s="1" t="s">
        <v>1511</v>
      </c>
      <c r="C152" t="str">
        <f>VLOOKUP(B152,'Planting GPS Points'!$B$3:$L$290,10,FALSE)</f>
        <v>USFWS</v>
      </c>
      <c r="D152" t="str">
        <f>VLOOKUP(B152,'Planting GPS Points'!$B$3:$AL$290,17,FALSE)</f>
        <v>large scale</v>
      </c>
      <c r="E152" s="27">
        <v>43235</v>
      </c>
      <c r="F152" s="179" t="str">
        <f>VLOOKUP(B152,PLANTING,26,FALSE)</f>
        <v>rebar</v>
      </c>
      <c r="G152" s="148">
        <f>VLOOKUP(B152,PLANTING,29,FALSE)</f>
        <v>210</v>
      </c>
      <c r="H152" s="12" t="s">
        <v>49</v>
      </c>
      <c r="I152" s="27"/>
      <c r="J152" s="19"/>
      <c r="K152" s="19"/>
      <c r="M152" s="38"/>
      <c r="N152" s="20"/>
      <c r="P152" s="116"/>
      <c r="Q152" s="13"/>
    </row>
    <row r="153" spans="1:17" x14ac:dyDescent="0.25">
      <c r="A153" t="s">
        <v>167</v>
      </c>
      <c r="B153" s="142" t="s">
        <v>1512</v>
      </c>
      <c r="C153" t="str">
        <f>VLOOKUP(B153,'Planting GPS Points'!$B$3:$L$290,10,FALSE)</f>
        <v>USACE</v>
      </c>
      <c r="D153" t="str">
        <f>VLOOKUP(B153,'Planting GPS Points'!$B$3:$AL$290,17,FALSE)</f>
        <v>large scale</v>
      </c>
      <c r="E153" s="147">
        <v>43265</v>
      </c>
      <c r="F153" s="20">
        <v>97</v>
      </c>
      <c r="G153">
        <v>9688</v>
      </c>
      <c r="H153" s="12" t="s">
        <v>49</v>
      </c>
      <c r="I153" s="27"/>
      <c r="J153" s="19"/>
      <c r="K153" s="19"/>
      <c r="M153" s="38"/>
      <c r="N153" s="20"/>
      <c r="P153" s="116"/>
      <c r="Q153" s="13"/>
    </row>
    <row r="154" spans="1:17" x14ac:dyDescent="0.25">
      <c r="A154" s="34" t="s">
        <v>167</v>
      </c>
      <c r="B154" s="1" t="s">
        <v>1512</v>
      </c>
      <c r="C154" t="str">
        <f>VLOOKUP(B154,'Planting GPS Points'!$B$3:$L$290,10,FALSE)</f>
        <v>USACE</v>
      </c>
      <c r="D154" t="str">
        <f>VLOOKUP(B154,'Planting GPS Points'!$B$3:$AL$290,17,FALSE)</f>
        <v>large scale</v>
      </c>
      <c r="E154" s="27">
        <v>43265</v>
      </c>
      <c r="F154" s="179" t="str">
        <f>VLOOKUP(B154,PLANTING,26,FALSE)</f>
        <v>rebar</v>
      </c>
      <c r="G154" s="148">
        <f>VLOOKUP(B154,PLANTING,29,FALSE)</f>
        <v>155</v>
      </c>
      <c r="H154" s="12" t="s">
        <v>49</v>
      </c>
      <c r="I154" s="27"/>
      <c r="J154" s="19"/>
      <c r="K154" s="19"/>
      <c r="M154" s="38"/>
      <c r="N154" s="20"/>
      <c r="P154" s="116"/>
      <c r="Q154" s="13"/>
    </row>
    <row r="155" spans="1:17" x14ac:dyDescent="0.25">
      <c r="A155" t="s">
        <v>167</v>
      </c>
      <c r="B155" t="s">
        <v>1521</v>
      </c>
      <c r="C155" t="str">
        <f>VLOOKUP(B155,'Planting GPS Points'!$B$3:$L$290,10,FALSE)</f>
        <v>USFWS</v>
      </c>
      <c r="D155" t="str">
        <f>VLOOKUP(B155,'Planting GPS Points'!$B$3:$AL$290,17,FALSE)</f>
        <v>large scale</v>
      </c>
      <c r="E155" s="27">
        <v>43599</v>
      </c>
      <c r="F155" s="179" t="str">
        <f>VLOOKUP(B155,PLANTING,26,FALSE)</f>
        <v>rebar</v>
      </c>
      <c r="G155" s="148">
        <f>VLOOKUP(B155,PLANTING,29,FALSE)</f>
        <v>234</v>
      </c>
      <c r="H155" s="12" t="s">
        <v>49</v>
      </c>
      <c r="I155" s="27"/>
      <c r="J155" s="19"/>
      <c r="K155" s="19"/>
      <c r="M155" s="38"/>
      <c r="N155" s="20"/>
      <c r="P155" s="116"/>
      <c r="Q155" s="13"/>
    </row>
    <row r="156" spans="1:17" x14ac:dyDescent="0.25">
      <c r="A156" t="s">
        <v>167</v>
      </c>
      <c r="B156" s="142" t="s">
        <v>1511</v>
      </c>
      <c r="C156" t="str">
        <f>VLOOKUP(B156,'Planting GPS Points'!$B$3:$L$290,10,FALSE)</f>
        <v>USFWS</v>
      </c>
      <c r="D156" t="str">
        <f>VLOOKUP(B156,'Planting GPS Points'!$B$3:$AL$290,17,FALSE)</f>
        <v>large scale</v>
      </c>
      <c r="E156" s="147">
        <v>43235</v>
      </c>
      <c r="F156" s="20">
        <v>138</v>
      </c>
      <c r="G156">
        <v>13800</v>
      </c>
      <c r="H156" s="12" t="s">
        <v>49</v>
      </c>
      <c r="I156" s="27"/>
      <c r="J156" s="19"/>
      <c r="K156" s="19"/>
      <c r="M156" s="38"/>
      <c r="N156" s="20"/>
      <c r="P156" s="116"/>
      <c r="Q156" s="13"/>
    </row>
    <row r="157" spans="1:17" x14ac:dyDescent="0.25">
      <c r="A157" t="s">
        <v>167</v>
      </c>
      <c r="B157" s="1" t="s">
        <v>1511</v>
      </c>
      <c r="C157" t="str">
        <f>VLOOKUP(B157,'Planting GPS Points'!$B$3:$L$290,10,FALSE)</f>
        <v>USFWS</v>
      </c>
      <c r="D157" t="str">
        <f>VLOOKUP(B157,'Planting GPS Points'!$B$3:$AL$290,17,FALSE)</f>
        <v>large scale</v>
      </c>
      <c r="E157" s="27">
        <v>43235</v>
      </c>
      <c r="F157" s="179" t="str">
        <f>VLOOKUP(B157,PLANTING,26,FALSE)</f>
        <v>rebar</v>
      </c>
      <c r="G157" s="148">
        <f>VLOOKUP(B157,PLANTING,29,FALSE)</f>
        <v>210</v>
      </c>
      <c r="H157" s="12" t="s">
        <v>49</v>
      </c>
      <c r="I157" s="27"/>
      <c r="J157" s="19"/>
      <c r="K157" s="19"/>
      <c r="M157" s="38"/>
      <c r="N157" s="20"/>
      <c r="P157" s="116"/>
      <c r="Q157" s="13"/>
    </row>
    <row r="158" spans="1:17" x14ac:dyDescent="0.25">
      <c r="A158" t="s">
        <v>167</v>
      </c>
      <c r="B158" s="142" t="s">
        <v>1512</v>
      </c>
      <c r="C158" t="str">
        <f>VLOOKUP(B158,'Planting GPS Points'!$B$3:$L$290,10,FALSE)</f>
        <v>USACE</v>
      </c>
      <c r="D158" t="str">
        <f>VLOOKUP(B158,'Planting GPS Points'!$B$3:$AL$290,17,FALSE)</f>
        <v>large scale</v>
      </c>
      <c r="E158" s="147">
        <v>43265</v>
      </c>
      <c r="F158" s="20">
        <v>97</v>
      </c>
      <c r="G158">
        <v>9688</v>
      </c>
      <c r="H158" s="12" t="s">
        <v>49</v>
      </c>
      <c r="I158" s="27"/>
      <c r="J158" s="19"/>
      <c r="K158" s="19"/>
      <c r="M158" s="38"/>
      <c r="N158" s="20"/>
      <c r="P158" s="116"/>
      <c r="Q158" s="13"/>
    </row>
    <row r="159" spans="1:17" x14ac:dyDescent="0.25">
      <c r="A159" s="34" t="s">
        <v>167</v>
      </c>
      <c r="B159" s="1" t="s">
        <v>1512</v>
      </c>
      <c r="C159" t="str">
        <f>VLOOKUP(B159,'Planting GPS Points'!$B$3:$L$290,10,FALSE)</f>
        <v>USACE</v>
      </c>
      <c r="D159" t="str">
        <f>VLOOKUP(B159,'Planting GPS Points'!$B$3:$AL$290,17,FALSE)</f>
        <v>large scale</v>
      </c>
      <c r="E159" s="27">
        <v>43265</v>
      </c>
      <c r="F159" s="179" t="str">
        <f>VLOOKUP(B159,PLANTING,26,FALSE)</f>
        <v>rebar</v>
      </c>
      <c r="G159" s="148">
        <f>VLOOKUP(B159,PLANTING,29,FALSE)</f>
        <v>155</v>
      </c>
      <c r="H159" s="12" t="s">
        <v>49</v>
      </c>
      <c r="I159" s="27"/>
      <c r="J159" s="19"/>
      <c r="K159" s="19"/>
      <c r="M159" s="38"/>
      <c r="N159" s="20"/>
      <c r="P159" s="116"/>
      <c r="Q159" s="13"/>
    </row>
    <row r="160" spans="1:17" x14ac:dyDescent="0.25">
      <c r="A160" t="s">
        <v>167</v>
      </c>
      <c r="B160" t="s">
        <v>1521</v>
      </c>
      <c r="C160" t="str">
        <f>VLOOKUP(B160,'Planting GPS Points'!$B$3:$L$290,10,FALSE)</f>
        <v>USFWS</v>
      </c>
      <c r="D160" t="str">
        <f>VLOOKUP(B160,'Planting GPS Points'!$B$3:$AL$290,17,FALSE)</f>
        <v>large scale</v>
      </c>
      <c r="E160" s="27">
        <v>43599</v>
      </c>
      <c r="F160" s="179" t="str">
        <f>VLOOKUP(B160,PLANTING,26,FALSE)</f>
        <v>rebar</v>
      </c>
      <c r="G160" s="148">
        <f>VLOOKUP(B160,PLANTING,29,FALSE)</f>
        <v>234</v>
      </c>
      <c r="H160" s="12" t="s">
        <v>49</v>
      </c>
      <c r="I160" s="27"/>
      <c r="J160" s="19"/>
      <c r="K160" s="19"/>
      <c r="M160" s="38"/>
      <c r="N160" s="20"/>
      <c r="P160" s="116"/>
      <c r="Q160" s="13"/>
    </row>
    <row r="161" spans="1:18" x14ac:dyDescent="0.25">
      <c r="A161" t="s">
        <v>167</v>
      </c>
      <c r="B161" s="142" t="s">
        <v>1511</v>
      </c>
      <c r="C161" t="str">
        <f>VLOOKUP(B161,'Planting GPS Points'!$B$3:$L$290,10,FALSE)</f>
        <v>USFWS</v>
      </c>
      <c r="D161" t="str">
        <f>VLOOKUP(B161,'Planting GPS Points'!$B$3:$AL$290,17,FALSE)</f>
        <v>large scale</v>
      </c>
      <c r="E161" s="147">
        <v>43235</v>
      </c>
      <c r="F161" s="20">
        <v>138</v>
      </c>
      <c r="G161">
        <v>13800</v>
      </c>
      <c r="H161" s="12" t="s">
        <v>165</v>
      </c>
      <c r="I161" s="27">
        <v>45463</v>
      </c>
      <c r="J161" s="19" t="s">
        <v>409</v>
      </c>
      <c r="K161" s="19" t="s">
        <v>169</v>
      </c>
      <c r="M161" s="38"/>
      <c r="N161" s="20"/>
      <c r="P161" s="116"/>
      <c r="Q161" s="13"/>
    </row>
    <row r="162" spans="1:18" x14ac:dyDescent="0.25">
      <c r="A162" t="s">
        <v>167</v>
      </c>
      <c r="B162" s="1" t="s">
        <v>1511</v>
      </c>
      <c r="C162" t="str">
        <f>VLOOKUP(B162,'Planting GPS Points'!$B$3:$L$290,10,FALSE)</f>
        <v>USFWS</v>
      </c>
      <c r="D162" t="str">
        <f>VLOOKUP(B162,'Planting GPS Points'!$B$3:$AL$290,17,FALSE)</f>
        <v>large scale</v>
      </c>
      <c r="E162" s="27">
        <v>43235</v>
      </c>
      <c r="F162" s="179" t="str">
        <f>VLOOKUP(B162,PLANTING,26,FALSE)</f>
        <v>rebar</v>
      </c>
      <c r="G162" s="148">
        <f>VLOOKUP(B162,PLANTING,29,FALSE)</f>
        <v>210</v>
      </c>
      <c r="H162" s="12" t="s">
        <v>165</v>
      </c>
      <c r="I162" s="27">
        <v>45463</v>
      </c>
      <c r="J162" s="19" t="s">
        <v>409</v>
      </c>
      <c r="K162" s="19" t="s">
        <v>169</v>
      </c>
      <c r="M162" s="38"/>
      <c r="N162" s="20"/>
      <c r="P162" s="116"/>
      <c r="Q162" s="13"/>
    </row>
    <row r="163" spans="1:18" x14ac:dyDescent="0.25">
      <c r="A163" t="s">
        <v>167</v>
      </c>
      <c r="B163" s="142" t="s">
        <v>1512</v>
      </c>
      <c r="C163" t="str">
        <f>VLOOKUP(B163,'Planting GPS Points'!$B$3:$L$290,10,FALSE)</f>
        <v>USACE</v>
      </c>
      <c r="D163" t="str">
        <f>VLOOKUP(B163,'Planting GPS Points'!$B$3:$AL$290,17,FALSE)</f>
        <v>large scale</v>
      </c>
      <c r="E163" s="147">
        <v>43265</v>
      </c>
      <c r="F163" s="20">
        <v>97</v>
      </c>
      <c r="G163">
        <v>9688</v>
      </c>
      <c r="H163" s="12" t="s">
        <v>165</v>
      </c>
      <c r="I163" s="27">
        <v>45463</v>
      </c>
      <c r="J163" s="19" t="s">
        <v>409</v>
      </c>
      <c r="K163" s="19" t="s">
        <v>169</v>
      </c>
      <c r="M163" s="38"/>
      <c r="N163" s="20"/>
      <c r="P163" s="116"/>
      <c r="Q163" s="13"/>
    </row>
    <row r="164" spans="1:18" x14ac:dyDescent="0.25">
      <c r="A164" s="34" t="s">
        <v>167</v>
      </c>
      <c r="B164" s="1" t="s">
        <v>1512</v>
      </c>
      <c r="C164" t="str">
        <f>VLOOKUP(B164,'Planting GPS Points'!$B$3:$L$290,10,FALSE)</f>
        <v>USACE</v>
      </c>
      <c r="D164" t="str">
        <f>VLOOKUP(B164,'Planting GPS Points'!$B$3:$AL$290,17,FALSE)</f>
        <v>large scale</v>
      </c>
      <c r="E164" s="27">
        <v>43265</v>
      </c>
      <c r="F164" s="179" t="str">
        <f>VLOOKUP(B164,PLANTING,26,FALSE)</f>
        <v>rebar</v>
      </c>
      <c r="G164" s="148">
        <f>VLOOKUP(B164,PLANTING,29,FALSE)</f>
        <v>155</v>
      </c>
      <c r="H164" s="12" t="s">
        <v>165</v>
      </c>
      <c r="I164" s="27">
        <v>45463</v>
      </c>
      <c r="J164" s="19" t="s">
        <v>409</v>
      </c>
      <c r="K164" s="19" t="s">
        <v>169</v>
      </c>
      <c r="M164" s="38"/>
      <c r="N164" s="20"/>
      <c r="P164" s="116"/>
      <c r="Q164" s="13"/>
    </row>
    <row r="165" spans="1:18" x14ac:dyDescent="0.25">
      <c r="A165" t="s">
        <v>167</v>
      </c>
      <c r="B165" t="s">
        <v>1521</v>
      </c>
      <c r="C165" t="str">
        <f>VLOOKUP(B165,'Planting GPS Points'!$B$3:$L$290,10,FALSE)</f>
        <v>USFWS</v>
      </c>
      <c r="D165" t="str">
        <f>VLOOKUP(B165,'Planting GPS Points'!$B$3:$AL$290,17,FALSE)</f>
        <v>large scale</v>
      </c>
      <c r="E165" s="27">
        <v>43599</v>
      </c>
      <c r="F165" s="179" t="str">
        <f>VLOOKUP(B165,PLANTING,26,FALSE)</f>
        <v>rebar</v>
      </c>
      <c r="G165" s="148">
        <f>VLOOKUP(B165,PLANTING,29,FALSE)</f>
        <v>234</v>
      </c>
      <c r="H165" s="12" t="s">
        <v>165</v>
      </c>
      <c r="I165" s="27">
        <v>45463</v>
      </c>
      <c r="J165" s="19" t="s">
        <v>409</v>
      </c>
      <c r="K165" s="19" t="s">
        <v>169</v>
      </c>
      <c r="M165" s="38"/>
      <c r="N165" s="20"/>
      <c r="P165" s="116"/>
      <c r="Q165" s="13"/>
    </row>
    <row r="166" spans="1:18" x14ac:dyDescent="0.25">
      <c r="A166" s="1" t="s">
        <v>167</v>
      </c>
      <c r="B166" s="1" t="s">
        <v>508</v>
      </c>
      <c r="C166" t="str">
        <f>VLOOKUP(B166,'Planting GPS Points'!$B$3:$L$290,10,FALSE)</f>
        <v>USFWS</v>
      </c>
      <c r="D166" t="str">
        <f>VLOOKUP(B166,'Planting GPS Points'!$B$3:$AL$290,17,FALSE)</f>
        <v>test</v>
      </c>
      <c r="E166" s="35">
        <v>42893</v>
      </c>
      <c r="F166" s="36">
        <v>6</v>
      </c>
      <c r="G166" s="1">
        <v>1000</v>
      </c>
      <c r="H166" s="12" t="s">
        <v>49</v>
      </c>
      <c r="I166" s="27">
        <v>43165</v>
      </c>
      <c r="J166" s="19" t="s">
        <v>291</v>
      </c>
      <c r="K166" s="19" t="s">
        <v>169</v>
      </c>
      <c r="L166">
        <v>377</v>
      </c>
      <c r="M166" s="1">
        <v>6</v>
      </c>
      <c r="N166" s="20">
        <f t="shared" si="27"/>
        <v>62.833333333333336</v>
      </c>
      <c r="O166">
        <f t="shared" si="25"/>
        <v>272</v>
      </c>
      <c r="P166" s="116">
        <f t="shared" si="26"/>
        <v>0.377</v>
      </c>
      <c r="Q166" s="13" t="s">
        <v>733</v>
      </c>
    </row>
    <row r="167" spans="1:18" x14ac:dyDescent="0.25">
      <c r="A167" s="1" t="s">
        <v>167</v>
      </c>
      <c r="B167" s="1" t="s">
        <v>506</v>
      </c>
      <c r="C167" t="str">
        <f>VLOOKUP(B167,'Planting GPS Points'!$B$3:$L$290,10,FALSE)</f>
        <v>USFWS</v>
      </c>
      <c r="D167" t="str">
        <f>VLOOKUP(B167,'Planting GPS Points'!$B$3:$AL$290,17,FALSE)</f>
        <v>test</v>
      </c>
      <c r="E167" s="35">
        <v>42893</v>
      </c>
      <c r="F167" s="36">
        <v>6</v>
      </c>
      <c r="G167" s="1">
        <v>1000</v>
      </c>
      <c r="H167" s="12" t="s">
        <v>49</v>
      </c>
      <c r="I167" s="27">
        <v>43165</v>
      </c>
      <c r="J167" s="19" t="s">
        <v>291</v>
      </c>
      <c r="K167" s="19" t="s">
        <v>169</v>
      </c>
      <c r="L167">
        <v>623</v>
      </c>
      <c r="M167" s="1">
        <v>6</v>
      </c>
      <c r="N167" s="20">
        <f t="shared" si="27"/>
        <v>103.83333333333333</v>
      </c>
      <c r="O167">
        <f t="shared" si="25"/>
        <v>272</v>
      </c>
      <c r="P167" s="116">
        <f t="shared" si="26"/>
        <v>0.623</v>
      </c>
      <c r="Q167" s="13" t="s">
        <v>734</v>
      </c>
    </row>
    <row r="168" spans="1:18" x14ac:dyDescent="0.25">
      <c r="A168" s="1" t="s">
        <v>167</v>
      </c>
      <c r="B168" s="1" t="s">
        <v>507</v>
      </c>
      <c r="C168" t="str">
        <f>VLOOKUP(B168,'Planting GPS Points'!$B$3:$L$290,10,FALSE)</f>
        <v>USFWS</v>
      </c>
      <c r="D168" t="str">
        <f>VLOOKUP(B168,'Planting GPS Points'!$B$3:$AL$290,17,FALSE)</f>
        <v>test</v>
      </c>
      <c r="E168" s="35">
        <v>42893</v>
      </c>
      <c r="F168" s="36">
        <v>6</v>
      </c>
      <c r="G168" s="1">
        <v>1000</v>
      </c>
      <c r="H168" s="12" t="s">
        <v>49</v>
      </c>
      <c r="I168" s="27">
        <v>43165</v>
      </c>
      <c r="J168" s="19" t="s">
        <v>291</v>
      </c>
      <c r="K168" s="19" t="s">
        <v>169</v>
      </c>
      <c r="L168">
        <v>425</v>
      </c>
      <c r="M168" s="1">
        <v>6</v>
      </c>
      <c r="N168" s="20">
        <f t="shared" si="27"/>
        <v>70.833333333333329</v>
      </c>
      <c r="O168">
        <f t="shared" si="25"/>
        <v>272</v>
      </c>
      <c r="P168" s="116">
        <f t="shared" si="26"/>
        <v>0.42499999999999999</v>
      </c>
      <c r="Q168" s="13" t="s">
        <v>734</v>
      </c>
    </row>
    <row r="169" spans="1:18" x14ac:dyDescent="0.25">
      <c r="A169" s="131" t="s">
        <v>167</v>
      </c>
      <c r="B169" s="131" t="s">
        <v>1900</v>
      </c>
      <c r="C169" t="str">
        <f>VLOOKUP(B169,'Planting GPS Points'!$B$3:$L$290,10,FALSE)</f>
        <v>USFWS</v>
      </c>
      <c r="D169" t="str">
        <f>VLOOKUP(B169,'Planting GPS Points'!$B$3:$AL$290,17,FALSE)</f>
        <v>test</v>
      </c>
      <c r="E169" s="35">
        <v>42893</v>
      </c>
      <c r="F169" s="40">
        <v>6</v>
      </c>
      <c r="G169" s="131">
        <v>1000</v>
      </c>
      <c r="H169" s="12" t="s">
        <v>49</v>
      </c>
      <c r="I169" s="27">
        <v>43165</v>
      </c>
      <c r="J169" s="19" t="s">
        <v>291</v>
      </c>
      <c r="K169" s="19" t="s">
        <v>169</v>
      </c>
      <c r="L169">
        <v>164</v>
      </c>
      <c r="M169" s="131">
        <v>6</v>
      </c>
      <c r="N169" s="20">
        <f t="shared" si="27"/>
        <v>27.333333333333332</v>
      </c>
      <c r="O169">
        <f t="shared" si="25"/>
        <v>272</v>
      </c>
      <c r="P169" s="116">
        <f t="shared" si="26"/>
        <v>0.16400000000000001</v>
      </c>
      <c r="Q169" s="13" t="s">
        <v>735</v>
      </c>
    </row>
    <row r="170" spans="1:18" x14ac:dyDescent="0.25">
      <c r="A170" s="131" t="s">
        <v>167</v>
      </c>
      <c r="B170" s="131" t="s">
        <v>1899</v>
      </c>
      <c r="C170" t="str">
        <f>VLOOKUP(B170,'Planting GPS Points'!$B$3:$L$290,10,FALSE)</f>
        <v>USFWS</v>
      </c>
      <c r="D170" t="str">
        <f>VLOOKUP(B170,'Planting GPS Points'!$B$3:$AL$290,17,FALSE)</f>
        <v>test</v>
      </c>
      <c r="E170" s="35">
        <v>42893</v>
      </c>
      <c r="F170" s="40">
        <v>5</v>
      </c>
      <c r="G170" s="131">
        <v>800</v>
      </c>
      <c r="H170" s="12" t="s">
        <v>49</v>
      </c>
      <c r="I170" s="27">
        <v>43165</v>
      </c>
      <c r="J170" s="19" t="s">
        <v>291</v>
      </c>
      <c r="K170" s="19" t="s">
        <v>168</v>
      </c>
      <c r="L170">
        <v>113</v>
      </c>
      <c r="M170" s="131">
        <v>5</v>
      </c>
      <c r="N170" s="20">
        <f t="shared" si="27"/>
        <v>22.6</v>
      </c>
      <c r="O170">
        <f t="shared" si="25"/>
        <v>272</v>
      </c>
      <c r="P170" s="116">
        <f t="shared" si="26"/>
        <v>0.14124999999999999</v>
      </c>
      <c r="Q170" s="150" t="s">
        <v>736</v>
      </c>
    </row>
    <row r="171" spans="1:18" x14ac:dyDescent="0.25">
      <c r="A171" s="197" t="s">
        <v>167</v>
      </c>
      <c r="B171" s="197" t="s">
        <v>2002</v>
      </c>
      <c r="C171" t="str">
        <f>VLOOKUP(B171,'Planting GPS Points'!$B$3:$L$290,10,FALSE)</f>
        <v>USACE</v>
      </c>
      <c r="D171" t="str">
        <f>VLOOKUP(B171,'Planting GPS Points'!$B$3:$AL$290,17,FALSE)</f>
        <v>test</v>
      </c>
      <c r="E171" s="198">
        <v>44011</v>
      </c>
      <c r="F171" s="197">
        <v>5</v>
      </c>
      <c r="G171" s="197">
        <v>500</v>
      </c>
      <c r="H171" s="199" t="s">
        <v>49</v>
      </c>
      <c r="I171" s="198">
        <v>44306</v>
      </c>
      <c r="J171" s="200" t="s">
        <v>291</v>
      </c>
      <c r="K171" s="200" t="s">
        <v>169</v>
      </c>
      <c r="L171" s="197">
        <v>290</v>
      </c>
      <c r="M171" s="197">
        <v>6.25</v>
      </c>
      <c r="N171" s="201">
        <f t="shared" si="27"/>
        <v>46.4</v>
      </c>
      <c r="O171" s="197">
        <f t="shared" si="25"/>
        <v>295</v>
      </c>
      <c r="P171" s="202">
        <f t="shared" si="26"/>
        <v>0.57999999999999996</v>
      </c>
      <c r="Q171" s="229" t="s">
        <v>2069</v>
      </c>
      <c r="R171" s="197"/>
    </row>
    <row r="172" spans="1:18" x14ac:dyDescent="0.25">
      <c r="A172" s="197" t="s">
        <v>167</v>
      </c>
      <c r="B172" s="197" t="s">
        <v>2001</v>
      </c>
      <c r="C172" t="str">
        <f>VLOOKUP(B172,'Planting GPS Points'!$B$3:$L$290,10,FALSE)</f>
        <v>USACE</v>
      </c>
      <c r="D172" t="str">
        <f>VLOOKUP(B172,'Planting GPS Points'!$B$3:$AL$290,17,FALSE)</f>
        <v>test</v>
      </c>
      <c r="E172" s="198">
        <v>44011</v>
      </c>
      <c r="F172" s="197">
        <v>5</v>
      </c>
      <c r="G172" s="197">
        <v>500</v>
      </c>
      <c r="H172" s="199" t="s">
        <v>49</v>
      </c>
      <c r="I172" s="198">
        <v>44306</v>
      </c>
      <c r="J172" s="200" t="s">
        <v>291</v>
      </c>
      <c r="K172" s="200" t="s">
        <v>169</v>
      </c>
      <c r="L172" s="197">
        <v>291</v>
      </c>
      <c r="M172" s="197">
        <v>6.25</v>
      </c>
      <c r="N172" s="201">
        <f t="shared" si="27"/>
        <v>46.56</v>
      </c>
      <c r="O172" s="197">
        <f t="shared" si="25"/>
        <v>295</v>
      </c>
      <c r="P172" s="202">
        <f t="shared" si="26"/>
        <v>0.58199999999999996</v>
      </c>
      <c r="Q172" s="229" t="s">
        <v>2069</v>
      </c>
      <c r="R172" s="197" t="s">
        <v>2076</v>
      </c>
    </row>
    <row r="173" spans="1:18" x14ac:dyDescent="0.25">
      <c r="A173" t="s">
        <v>38</v>
      </c>
      <c r="B173" t="s">
        <v>771</v>
      </c>
      <c r="C173" t="str">
        <f>VLOOKUP(B173,'Planting GPS Points'!$B$3:$L$290,10,FALSE)</f>
        <v>DNR</v>
      </c>
      <c r="D173" t="str">
        <f>VLOOKUP(B173,'Planting GPS Points'!$B$3:$AL$290,17,FALSE)</f>
        <v>test</v>
      </c>
      <c r="E173" s="27">
        <v>42075</v>
      </c>
      <c r="F173" s="20">
        <v>25</v>
      </c>
      <c r="G173" s="38">
        <v>500</v>
      </c>
      <c r="H173" s="12" t="s">
        <v>165</v>
      </c>
      <c r="I173" s="27">
        <v>42553</v>
      </c>
      <c r="J173" s="129" t="s">
        <v>409</v>
      </c>
      <c r="K173" s="129" t="s">
        <v>168</v>
      </c>
      <c r="L173">
        <v>0</v>
      </c>
      <c r="N173" s="20" t="str">
        <f t="shared" si="27"/>
        <v/>
      </c>
      <c r="P173" s="116">
        <f t="shared" si="26"/>
        <v>0</v>
      </c>
      <c r="Q173" s="13" t="s">
        <v>1217</v>
      </c>
    </row>
    <row r="174" spans="1:18" x14ac:dyDescent="0.25">
      <c r="A174" t="s">
        <v>141</v>
      </c>
      <c r="B174" t="s">
        <v>207</v>
      </c>
      <c r="C174" t="str">
        <f>VLOOKUP(B174,'Planting GPS Points'!$B$3:$L$290,10,FALSE)</f>
        <v>DNR</v>
      </c>
      <c r="D174" t="str">
        <f>VLOOKUP(B174,'Planting GPS Points'!$B$3:$AL$290,17,FALSE)</f>
        <v>test</v>
      </c>
      <c r="E174" s="27">
        <v>42142</v>
      </c>
      <c r="F174" s="20">
        <v>25</v>
      </c>
      <c r="G174" s="38">
        <v>500</v>
      </c>
      <c r="H174" s="12" t="s">
        <v>165</v>
      </c>
      <c r="I174" s="27">
        <v>42229</v>
      </c>
      <c r="J174" s="129" t="s">
        <v>291</v>
      </c>
      <c r="K174" s="19" t="s">
        <v>168</v>
      </c>
      <c r="N174" s="20" t="str">
        <f t="shared" si="27"/>
        <v/>
      </c>
      <c r="O174">
        <f t="shared" ref="O174:O237" si="28">I174-E174</f>
        <v>87</v>
      </c>
      <c r="P174" s="116" t="str">
        <f t="shared" si="26"/>
        <v/>
      </c>
      <c r="Q174" s="13" t="s">
        <v>1250</v>
      </c>
    </row>
    <row r="175" spans="1:18" x14ac:dyDescent="0.25">
      <c r="A175" t="s">
        <v>141</v>
      </c>
      <c r="B175" t="s">
        <v>207</v>
      </c>
      <c r="C175" t="str">
        <f>VLOOKUP(B175,'Planting GPS Points'!$B$3:$L$290,10,FALSE)</f>
        <v>DNR</v>
      </c>
      <c r="D175" t="str">
        <f>VLOOKUP(B175,'Planting GPS Points'!$B$3:$AL$290,17,FALSE)</f>
        <v>test</v>
      </c>
      <c r="E175" s="27">
        <v>42142</v>
      </c>
      <c r="F175" s="20">
        <v>25</v>
      </c>
      <c r="G175" s="38">
        <v>500</v>
      </c>
      <c r="H175" s="12" t="s">
        <v>165</v>
      </c>
      <c r="I175" s="27">
        <v>42513</v>
      </c>
      <c r="J175" s="129" t="s">
        <v>291</v>
      </c>
      <c r="K175" s="19" t="s">
        <v>168</v>
      </c>
      <c r="N175" s="20" t="str">
        <f t="shared" si="27"/>
        <v/>
      </c>
      <c r="O175">
        <f t="shared" si="28"/>
        <v>371</v>
      </c>
      <c r="P175" s="116" t="str">
        <f t="shared" si="26"/>
        <v/>
      </c>
      <c r="Q175" s="13" t="s">
        <v>1253</v>
      </c>
    </row>
    <row r="176" spans="1:18" x14ac:dyDescent="0.25">
      <c r="A176" t="s">
        <v>141</v>
      </c>
      <c r="B176" t="s">
        <v>207</v>
      </c>
      <c r="C176" t="str">
        <f>VLOOKUP(B176,'Planting GPS Points'!$B$3:$L$290,10,FALSE)</f>
        <v>DNR</v>
      </c>
      <c r="D176" t="str">
        <f>VLOOKUP(B176,'Planting GPS Points'!$B$3:$AL$290,17,FALSE)</f>
        <v>test</v>
      </c>
      <c r="E176" s="27">
        <v>42142</v>
      </c>
      <c r="F176" s="20">
        <v>25</v>
      </c>
      <c r="G176" s="38">
        <v>500</v>
      </c>
      <c r="H176" s="12" t="s">
        <v>165</v>
      </c>
      <c r="I176" s="27">
        <v>42553</v>
      </c>
      <c r="J176" s="129" t="s">
        <v>291</v>
      </c>
      <c r="K176" s="19" t="s">
        <v>168</v>
      </c>
      <c r="N176" s="20" t="str">
        <f t="shared" si="27"/>
        <v/>
      </c>
      <c r="O176">
        <f t="shared" si="28"/>
        <v>411</v>
      </c>
      <c r="P176" s="116" t="str">
        <f t="shared" si="26"/>
        <v/>
      </c>
      <c r="Q176" s="13" t="s">
        <v>978</v>
      </c>
    </row>
    <row r="177" spans="1:18" x14ac:dyDescent="0.25">
      <c r="A177" t="s">
        <v>141</v>
      </c>
      <c r="B177" t="s">
        <v>207</v>
      </c>
      <c r="C177" t="str">
        <f>VLOOKUP(B177,'Planting GPS Points'!$B$3:$L$290,10,FALSE)</f>
        <v>DNR</v>
      </c>
      <c r="D177" t="str">
        <f>VLOOKUP(B177,'Planting GPS Points'!$B$3:$AL$290,17,FALSE)</f>
        <v>test</v>
      </c>
      <c r="E177" s="27">
        <v>42142</v>
      </c>
      <c r="F177" s="20">
        <v>25</v>
      </c>
      <c r="G177" s="38">
        <v>500</v>
      </c>
      <c r="H177" s="12" t="s">
        <v>165</v>
      </c>
      <c r="I177" s="27">
        <v>42569</v>
      </c>
      <c r="J177" s="129" t="s">
        <v>291</v>
      </c>
      <c r="K177" s="19" t="s">
        <v>168</v>
      </c>
      <c r="L177">
        <v>480</v>
      </c>
      <c r="N177" s="20" t="str">
        <f t="shared" si="27"/>
        <v/>
      </c>
      <c r="O177">
        <f t="shared" si="28"/>
        <v>427</v>
      </c>
      <c r="P177" s="116">
        <f t="shared" si="26"/>
        <v>0.96</v>
      </c>
      <c r="Q177" s="13" t="s">
        <v>1255</v>
      </c>
    </row>
    <row r="178" spans="1:18" x14ac:dyDescent="0.25">
      <c r="A178" t="s">
        <v>141</v>
      </c>
      <c r="B178" t="s">
        <v>207</v>
      </c>
      <c r="C178" t="str">
        <f>VLOOKUP(B178,'Planting GPS Points'!$B$3:$L$290,10,FALSE)</f>
        <v>DNR</v>
      </c>
      <c r="D178" t="str">
        <f>VLOOKUP(B178,'Planting GPS Points'!$B$3:$AL$290,17,FALSE)</f>
        <v>test</v>
      </c>
      <c r="E178" s="27">
        <v>42142</v>
      </c>
      <c r="F178" s="20">
        <v>25</v>
      </c>
      <c r="G178" s="38">
        <v>500</v>
      </c>
      <c r="H178" s="12" t="s">
        <v>165</v>
      </c>
      <c r="I178" s="27">
        <v>42600</v>
      </c>
      <c r="J178" s="129" t="s">
        <v>291</v>
      </c>
      <c r="K178" s="19" t="s">
        <v>168</v>
      </c>
      <c r="N178" s="20" t="str">
        <f t="shared" si="27"/>
        <v/>
      </c>
      <c r="O178">
        <f t="shared" si="28"/>
        <v>458</v>
      </c>
      <c r="P178" s="116" t="str">
        <f t="shared" si="26"/>
        <v/>
      </c>
      <c r="Q178" s="13" t="s">
        <v>1256</v>
      </c>
    </row>
    <row r="179" spans="1:18" x14ac:dyDescent="0.25">
      <c r="A179" t="s">
        <v>141</v>
      </c>
      <c r="B179" t="s">
        <v>207</v>
      </c>
      <c r="C179" t="str">
        <f>VLOOKUP(B179,'Planting GPS Points'!$B$3:$L$290,10,FALSE)</f>
        <v>DNR</v>
      </c>
      <c r="D179" t="str">
        <f>VLOOKUP(B179,'Planting GPS Points'!$B$3:$AL$290,17,FALSE)</f>
        <v>test</v>
      </c>
      <c r="E179" s="27">
        <v>42142</v>
      </c>
      <c r="F179" s="20">
        <v>25</v>
      </c>
      <c r="G179" s="38">
        <v>500</v>
      </c>
      <c r="H179" s="12" t="s">
        <v>165</v>
      </c>
      <c r="I179" s="27">
        <v>42882</v>
      </c>
      <c r="J179" s="129" t="s">
        <v>291</v>
      </c>
      <c r="K179" s="19" t="s">
        <v>168</v>
      </c>
      <c r="L179">
        <v>227</v>
      </c>
      <c r="N179" s="20" t="str">
        <f t="shared" si="27"/>
        <v/>
      </c>
      <c r="O179">
        <f t="shared" si="28"/>
        <v>740</v>
      </c>
      <c r="P179" s="116">
        <f t="shared" si="26"/>
        <v>0.45400000000000001</v>
      </c>
      <c r="Q179" s="13" t="s">
        <v>986</v>
      </c>
    </row>
    <row r="180" spans="1:18" x14ac:dyDescent="0.25">
      <c r="A180" t="s">
        <v>141</v>
      </c>
      <c r="B180" t="s">
        <v>207</v>
      </c>
      <c r="C180" t="str">
        <f>VLOOKUP(B180,'Planting GPS Points'!$B$3:$L$290,10,FALSE)</f>
        <v>DNR</v>
      </c>
      <c r="D180" t="str">
        <f>VLOOKUP(B180,'Planting GPS Points'!$B$3:$AL$290,17,FALSE)</f>
        <v>test</v>
      </c>
      <c r="E180" s="27">
        <v>42142</v>
      </c>
      <c r="F180" s="20">
        <v>25</v>
      </c>
      <c r="G180" s="38">
        <v>500</v>
      </c>
      <c r="H180" s="12" t="s">
        <v>165</v>
      </c>
      <c r="I180" s="27">
        <v>43691</v>
      </c>
      <c r="J180" s="19" t="s">
        <v>409</v>
      </c>
      <c r="K180" s="19" t="s">
        <v>168</v>
      </c>
      <c r="L180">
        <v>0</v>
      </c>
      <c r="O180">
        <f t="shared" si="28"/>
        <v>1549</v>
      </c>
      <c r="P180" s="116">
        <f t="shared" si="26"/>
        <v>0</v>
      </c>
      <c r="Q180" s="13" t="s">
        <v>1249</v>
      </c>
    </row>
    <row r="181" spans="1:18" x14ac:dyDescent="0.25">
      <c r="A181" t="s">
        <v>141</v>
      </c>
      <c r="B181" t="s">
        <v>2007</v>
      </c>
      <c r="C181" t="str">
        <f>VLOOKUP(B181,'Planting GPS Points'!$B$3:$L$290,10,FALSE)</f>
        <v>USACE</v>
      </c>
      <c r="D181" t="str">
        <f>VLOOKUP(B181,'Planting GPS Points'!$B$3:$AL$290,17,FALSE)</f>
        <v>test</v>
      </c>
      <c r="E181" s="27">
        <v>44011</v>
      </c>
      <c r="F181">
        <v>6</v>
      </c>
      <c r="G181">
        <v>600</v>
      </c>
      <c r="H181" s="12" t="s">
        <v>49</v>
      </c>
      <c r="I181" s="27">
        <v>44306</v>
      </c>
      <c r="J181" s="19" t="s">
        <v>409</v>
      </c>
      <c r="K181" s="19" t="s">
        <v>169</v>
      </c>
      <c r="L181">
        <v>6</v>
      </c>
      <c r="M181">
        <v>7.5</v>
      </c>
      <c r="N181" s="20">
        <f>IFERROR(L181/M181, "")</f>
        <v>0.8</v>
      </c>
      <c r="O181">
        <f t="shared" si="28"/>
        <v>295</v>
      </c>
      <c r="P181" s="116">
        <f t="shared" si="26"/>
        <v>0.01</v>
      </c>
      <c r="Q181" s="204" t="s">
        <v>2069</v>
      </c>
      <c r="R181" t="s">
        <v>2078</v>
      </c>
    </row>
    <row r="182" spans="1:18" x14ac:dyDescent="0.25">
      <c r="A182" t="s">
        <v>141</v>
      </c>
      <c r="B182" t="s">
        <v>401</v>
      </c>
      <c r="C182" t="str">
        <f>VLOOKUP(B182,'Planting GPS Points'!$B$3:$L$290,10,FALSE)</f>
        <v>DNR</v>
      </c>
      <c r="D182" t="str">
        <f>VLOOKUP(B182,'Planting GPS Points'!$B$3:$AL$290,17,FALSE)</f>
        <v>test</v>
      </c>
      <c r="E182" s="27">
        <v>42142</v>
      </c>
      <c r="F182" s="20">
        <v>25</v>
      </c>
      <c r="G182" s="38">
        <v>500</v>
      </c>
      <c r="H182" s="12" t="s">
        <v>165</v>
      </c>
      <c r="I182" s="27">
        <v>42229</v>
      </c>
      <c r="J182" s="129" t="s">
        <v>291</v>
      </c>
      <c r="K182" s="19" t="s">
        <v>168</v>
      </c>
      <c r="N182" s="20" t="str">
        <f>IFERROR(L182/M182, "")</f>
        <v/>
      </c>
      <c r="O182">
        <f t="shared" si="28"/>
        <v>87</v>
      </c>
      <c r="P182" s="116" t="str">
        <f t="shared" si="26"/>
        <v/>
      </c>
      <c r="Q182" s="13" t="s">
        <v>1251</v>
      </c>
    </row>
    <row r="183" spans="1:18" x14ac:dyDescent="0.25">
      <c r="A183" t="s">
        <v>141</v>
      </c>
      <c r="B183" t="s">
        <v>401</v>
      </c>
      <c r="C183" t="str">
        <f>VLOOKUP(B183,'Planting GPS Points'!$B$3:$L$290,10,FALSE)</f>
        <v>DNR</v>
      </c>
      <c r="D183" t="str">
        <f>VLOOKUP(B183,'Planting GPS Points'!$B$3:$AL$290,17,FALSE)</f>
        <v>test</v>
      </c>
      <c r="E183" s="27">
        <v>42142</v>
      </c>
      <c r="F183" s="20">
        <v>25</v>
      </c>
      <c r="G183" s="38">
        <v>500</v>
      </c>
      <c r="H183" s="12" t="s">
        <v>165</v>
      </c>
      <c r="I183" s="27">
        <v>42513</v>
      </c>
      <c r="J183" s="129" t="s">
        <v>409</v>
      </c>
      <c r="K183" s="19" t="s">
        <v>168</v>
      </c>
      <c r="L183">
        <v>0</v>
      </c>
      <c r="N183" s="20" t="str">
        <f>IFERROR(L183/M183, "")</f>
        <v/>
      </c>
      <c r="O183">
        <f t="shared" si="28"/>
        <v>371</v>
      </c>
      <c r="P183" s="116">
        <f t="shared" si="26"/>
        <v>0</v>
      </c>
      <c r="Q183" s="13" t="s">
        <v>1252</v>
      </c>
    </row>
    <row r="184" spans="1:18" x14ac:dyDescent="0.25">
      <c r="A184" t="s">
        <v>141</v>
      </c>
      <c r="B184" t="s">
        <v>401</v>
      </c>
      <c r="C184" t="str">
        <f>VLOOKUP(B184,'Planting GPS Points'!$B$3:$L$290,10,FALSE)</f>
        <v>DNR</v>
      </c>
      <c r="D184" t="str">
        <f>VLOOKUP(B184,'Planting GPS Points'!$B$3:$AL$290,17,FALSE)</f>
        <v>test</v>
      </c>
      <c r="E184" s="27">
        <v>42142</v>
      </c>
      <c r="F184" s="20">
        <v>25</v>
      </c>
      <c r="G184" s="38">
        <v>500</v>
      </c>
      <c r="H184" s="12" t="s">
        <v>165</v>
      </c>
      <c r="I184" s="27">
        <v>42882</v>
      </c>
      <c r="J184" s="129" t="s">
        <v>409</v>
      </c>
      <c r="K184" s="19" t="s">
        <v>168</v>
      </c>
      <c r="L184">
        <v>0</v>
      </c>
      <c r="N184" s="20"/>
      <c r="O184">
        <f t="shared" si="28"/>
        <v>740</v>
      </c>
      <c r="P184" s="116">
        <f t="shared" si="26"/>
        <v>0</v>
      </c>
      <c r="Q184" s="13" t="s">
        <v>1257</v>
      </c>
    </row>
    <row r="185" spans="1:18" x14ac:dyDescent="0.25">
      <c r="A185" t="s">
        <v>141</v>
      </c>
      <c r="B185" t="s">
        <v>2006</v>
      </c>
      <c r="C185" t="str">
        <f>VLOOKUP(B185,'Planting GPS Points'!$B$3:$L$290,10,FALSE)</f>
        <v>USACE</v>
      </c>
      <c r="D185" t="str">
        <f>VLOOKUP(B185,'Planting GPS Points'!$B$3:$AL$290,17,FALSE)</f>
        <v>test</v>
      </c>
      <c r="E185" s="27">
        <v>44011</v>
      </c>
      <c r="F185">
        <v>5</v>
      </c>
      <c r="G185">
        <v>500</v>
      </c>
      <c r="H185" s="12" t="s">
        <v>49</v>
      </c>
      <c r="I185" s="27">
        <v>44306</v>
      </c>
      <c r="J185" s="19" t="s">
        <v>409</v>
      </c>
      <c r="K185" s="19" t="s">
        <v>169</v>
      </c>
      <c r="L185">
        <v>0</v>
      </c>
      <c r="M185">
        <v>6.25</v>
      </c>
      <c r="N185" s="20">
        <f>IFERROR(L185/M185, "")</f>
        <v>0</v>
      </c>
      <c r="O185">
        <f t="shared" si="28"/>
        <v>295</v>
      </c>
      <c r="P185" s="116">
        <f t="shared" si="26"/>
        <v>0</v>
      </c>
      <c r="Q185" s="204" t="s">
        <v>2069</v>
      </c>
      <c r="R185" t="s">
        <v>2077</v>
      </c>
    </row>
    <row r="186" spans="1:18" x14ac:dyDescent="0.25">
      <c r="A186" s="34" t="s">
        <v>149</v>
      </c>
      <c r="B186" t="s">
        <v>1092</v>
      </c>
      <c r="C186" t="str">
        <f>VLOOKUP(B186,'Planting GPS Points'!$B$3:$L$290,10,FALSE)</f>
        <v>DNR</v>
      </c>
      <c r="D186" t="str">
        <f>VLOOKUP(B186,'Planting GPS Points'!$B$3:$AL$290,17,FALSE)</f>
        <v>test</v>
      </c>
      <c r="E186" s="134">
        <v>43295</v>
      </c>
      <c r="F186" s="20">
        <v>0.25</v>
      </c>
      <c r="G186" s="34">
        <v>63</v>
      </c>
      <c r="H186" s="12" t="s">
        <v>165</v>
      </c>
      <c r="I186" s="27">
        <v>43678</v>
      </c>
      <c r="J186" s="19" t="s">
        <v>291</v>
      </c>
      <c r="K186" s="19" t="s">
        <v>1190</v>
      </c>
      <c r="L186">
        <v>202</v>
      </c>
      <c r="M186">
        <v>0.25</v>
      </c>
      <c r="N186">
        <f>L186/M186</f>
        <v>808</v>
      </c>
      <c r="O186">
        <f t="shared" si="28"/>
        <v>383</v>
      </c>
      <c r="P186" s="116">
        <f t="shared" si="26"/>
        <v>3.2063492063492065</v>
      </c>
      <c r="Q186" s="13" t="s">
        <v>1087</v>
      </c>
      <c r="R186" s="13"/>
    </row>
    <row r="187" spans="1:18" x14ac:dyDescent="0.25">
      <c r="A187" s="117" t="s">
        <v>149</v>
      </c>
      <c r="B187" t="s">
        <v>1092</v>
      </c>
      <c r="C187" t="str">
        <f>VLOOKUP(B187,'Planting GPS Points'!$B$3:$L$290,10,FALSE)</f>
        <v>DNR</v>
      </c>
      <c r="D187" t="str">
        <f>VLOOKUP(B187,'Planting GPS Points'!$B$3:$AL$290,17,FALSE)</f>
        <v>test</v>
      </c>
      <c r="E187" s="134">
        <v>43295</v>
      </c>
      <c r="F187" s="20">
        <v>0.25</v>
      </c>
      <c r="G187" s="34">
        <v>63</v>
      </c>
      <c r="H187" s="12" t="s">
        <v>165</v>
      </c>
      <c r="I187" s="27">
        <v>44033</v>
      </c>
      <c r="J187" s="19" t="s">
        <v>291</v>
      </c>
      <c r="K187" s="19" t="s">
        <v>1190</v>
      </c>
      <c r="N187" s="20" t="str">
        <f>IFERROR(L187/M187, "")</f>
        <v/>
      </c>
      <c r="O187">
        <f t="shared" si="28"/>
        <v>738</v>
      </c>
      <c r="P187" s="116" t="str">
        <f t="shared" si="26"/>
        <v/>
      </c>
      <c r="Q187" s="13" t="s">
        <v>1087</v>
      </c>
    </row>
    <row r="188" spans="1:18" x14ac:dyDescent="0.25">
      <c r="A188" s="34" t="s">
        <v>149</v>
      </c>
      <c r="B188" t="s">
        <v>1093</v>
      </c>
      <c r="C188" t="str">
        <f>VLOOKUP(B188,'Planting GPS Points'!$B$3:$L$290,10,FALSE)</f>
        <v>DNR</v>
      </c>
      <c r="D188" t="str">
        <f>VLOOKUP(B188,'Planting GPS Points'!$B$3:$AL$290,17,FALSE)</f>
        <v>test</v>
      </c>
      <c r="E188" s="134">
        <v>43295</v>
      </c>
      <c r="F188" s="20">
        <v>0.25</v>
      </c>
      <c r="G188" s="34">
        <v>63</v>
      </c>
      <c r="H188" s="12" t="s">
        <v>165</v>
      </c>
      <c r="I188" s="27">
        <v>43678</v>
      </c>
      <c r="J188" s="19" t="s">
        <v>291</v>
      </c>
      <c r="K188" s="19" t="s">
        <v>1190</v>
      </c>
      <c r="L188">
        <v>386</v>
      </c>
      <c r="M188">
        <v>0.25</v>
      </c>
      <c r="N188">
        <f>L188/M188</f>
        <v>1544</v>
      </c>
      <c r="O188">
        <f t="shared" si="28"/>
        <v>383</v>
      </c>
      <c r="P188" s="116">
        <f t="shared" si="26"/>
        <v>6.1269841269841274</v>
      </c>
      <c r="Q188" s="13" t="s">
        <v>1089</v>
      </c>
      <c r="R188" s="13"/>
    </row>
    <row r="189" spans="1:18" x14ac:dyDescent="0.25">
      <c r="A189" s="117" t="s">
        <v>149</v>
      </c>
      <c r="B189" t="s">
        <v>1093</v>
      </c>
      <c r="C189" t="str">
        <f>VLOOKUP(B189,'Planting GPS Points'!$B$3:$L$290,10,FALSE)</f>
        <v>DNR</v>
      </c>
      <c r="D189" t="str">
        <f>VLOOKUP(B189,'Planting GPS Points'!$B$3:$AL$290,17,FALSE)</f>
        <v>test</v>
      </c>
      <c r="E189" s="134">
        <v>43295</v>
      </c>
      <c r="F189" s="20">
        <v>0.25</v>
      </c>
      <c r="G189" s="34">
        <v>63</v>
      </c>
      <c r="H189" s="12" t="s">
        <v>165</v>
      </c>
      <c r="I189" s="27">
        <v>44033</v>
      </c>
      <c r="J189" s="19" t="s">
        <v>291</v>
      </c>
      <c r="K189" s="19" t="s">
        <v>1190</v>
      </c>
      <c r="N189" s="20" t="str">
        <f>IFERROR(L189/M189, "")</f>
        <v/>
      </c>
      <c r="O189">
        <f t="shared" si="28"/>
        <v>738</v>
      </c>
      <c r="P189" s="116" t="str">
        <f t="shared" si="26"/>
        <v/>
      </c>
      <c r="Q189" s="13" t="s">
        <v>1089</v>
      </c>
    </row>
    <row r="190" spans="1:18" x14ac:dyDescent="0.25">
      <c r="A190" s="34" t="s">
        <v>149</v>
      </c>
      <c r="B190" t="s">
        <v>1096</v>
      </c>
      <c r="C190" t="str">
        <f>VLOOKUP(B190,'Planting GPS Points'!$B$3:$L$290,10,FALSE)</f>
        <v>DNR</v>
      </c>
      <c r="D190" t="str">
        <f>VLOOKUP(B190,'Planting GPS Points'!$B$3:$AL$290,17,FALSE)</f>
        <v>test</v>
      </c>
      <c r="E190" s="134">
        <v>43295</v>
      </c>
      <c r="F190" s="20">
        <v>0.25</v>
      </c>
      <c r="G190" s="34">
        <v>63</v>
      </c>
      <c r="H190" s="12" t="s">
        <v>165</v>
      </c>
      <c r="I190" s="27">
        <v>43678</v>
      </c>
      <c r="J190" s="19" t="s">
        <v>291</v>
      </c>
      <c r="K190" s="19" t="s">
        <v>1190</v>
      </c>
      <c r="L190">
        <v>92</v>
      </c>
      <c r="M190">
        <v>0.25</v>
      </c>
      <c r="N190">
        <f>L190/M190</f>
        <v>368</v>
      </c>
      <c r="O190">
        <f t="shared" si="28"/>
        <v>383</v>
      </c>
      <c r="P190" s="116">
        <f t="shared" si="26"/>
        <v>1.4603174603174602</v>
      </c>
      <c r="Q190" s="13" t="s">
        <v>1087</v>
      </c>
    </row>
    <row r="191" spans="1:18" x14ac:dyDescent="0.25">
      <c r="A191" s="117" t="s">
        <v>149</v>
      </c>
      <c r="B191" t="s">
        <v>1096</v>
      </c>
      <c r="C191" t="str">
        <f>VLOOKUP(B191,'Planting GPS Points'!$B$3:$L$290,10,FALSE)</f>
        <v>DNR</v>
      </c>
      <c r="D191" t="str">
        <f>VLOOKUP(B191,'Planting GPS Points'!$B$3:$AL$290,17,FALSE)</f>
        <v>test</v>
      </c>
      <c r="E191" s="134">
        <v>43295</v>
      </c>
      <c r="F191" s="20">
        <v>0.25</v>
      </c>
      <c r="G191" s="34">
        <v>63</v>
      </c>
      <c r="H191" s="12" t="s">
        <v>165</v>
      </c>
      <c r="I191" s="27">
        <v>44033</v>
      </c>
      <c r="J191" s="19" t="s">
        <v>291</v>
      </c>
      <c r="K191" s="19" t="s">
        <v>1190</v>
      </c>
      <c r="N191" s="20" t="str">
        <f>IFERROR(L191/M191, "")</f>
        <v/>
      </c>
      <c r="O191">
        <f t="shared" si="28"/>
        <v>738</v>
      </c>
      <c r="P191" s="116" t="str">
        <f t="shared" si="26"/>
        <v/>
      </c>
      <c r="Q191" s="13" t="s">
        <v>1087</v>
      </c>
    </row>
    <row r="192" spans="1:18" x14ac:dyDescent="0.25">
      <c r="A192" s="34" t="s">
        <v>149</v>
      </c>
      <c r="B192" t="s">
        <v>1091</v>
      </c>
      <c r="C192" t="str">
        <f>VLOOKUP(B192,'Planting GPS Points'!$B$3:$L$290,10,FALSE)</f>
        <v>DNR</v>
      </c>
      <c r="D192" t="str">
        <f>VLOOKUP(B192,'Planting GPS Points'!$B$3:$AL$290,17,FALSE)</f>
        <v>test</v>
      </c>
      <c r="E192" s="134">
        <v>43295</v>
      </c>
      <c r="F192" s="20">
        <v>0.25</v>
      </c>
      <c r="G192" s="34">
        <v>63</v>
      </c>
      <c r="H192" s="12" t="s">
        <v>165</v>
      </c>
      <c r="I192" s="27">
        <v>43678</v>
      </c>
      <c r="J192" s="19" t="s">
        <v>291</v>
      </c>
      <c r="K192" s="19" t="s">
        <v>169</v>
      </c>
      <c r="L192">
        <v>230</v>
      </c>
      <c r="M192">
        <v>0.25</v>
      </c>
      <c r="N192">
        <f>L192/M192</f>
        <v>920</v>
      </c>
      <c r="O192">
        <f t="shared" si="28"/>
        <v>383</v>
      </c>
      <c r="P192" s="116">
        <f t="shared" si="26"/>
        <v>3.6507936507936507</v>
      </c>
      <c r="Q192" s="13" t="s">
        <v>1088</v>
      </c>
    </row>
    <row r="193" spans="1:17" x14ac:dyDescent="0.25">
      <c r="A193" s="117" t="s">
        <v>149</v>
      </c>
      <c r="B193" t="s">
        <v>1091</v>
      </c>
      <c r="C193" t="str">
        <f>VLOOKUP(B193,'Planting GPS Points'!$B$3:$L$290,10,FALSE)</f>
        <v>DNR</v>
      </c>
      <c r="D193" t="str">
        <f>VLOOKUP(B193,'Planting GPS Points'!$B$3:$AL$290,17,FALSE)</f>
        <v>test</v>
      </c>
      <c r="E193" s="134">
        <v>43295</v>
      </c>
      <c r="F193" s="20">
        <v>0.25</v>
      </c>
      <c r="G193" s="34">
        <v>63</v>
      </c>
      <c r="H193" s="12" t="s">
        <v>165</v>
      </c>
      <c r="I193" s="27">
        <v>44033</v>
      </c>
      <c r="J193" s="19" t="s">
        <v>291</v>
      </c>
      <c r="K193" s="19" t="s">
        <v>169</v>
      </c>
      <c r="N193" s="20" t="str">
        <f>IFERROR(L193/M193, "")</f>
        <v/>
      </c>
      <c r="O193">
        <f t="shared" si="28"/>
        <v>738</v>
      </c>
      <c r="P193" s="116" t="str">
        <f t="shared" si="26"/>
        <v/>
      </c>
      <c r="Q193" s="13" t="s">
        <v>1088</v>
      </c>
    </row>
    <row r="194" spans="1:17" x14ac:dyDescent="0.25">
      <c r="A194" s="34" t="s">
        <v>149</v>
      </c>
      <c r="B194" t="s">
        <v>1094</v>
      </c>
      <c r="C194" t="str">
        <f>VLOOKUP(B194,'Planting GPS Points'!$B$3:$L$290,10,FALSE)</f>
        <v>DNR</v>
      </c>
      <c r="D194" t="str">
        <f>VLOOKUP(B194,'Planting GPS Points'!$B$3:$AL$290,17,FALSE)</f>
        <v>test</v>
      </c>
      <c r="E194" s="134">
        <v>43295</v>
      </c>
      <c r="F194" s="20">
        <v>0.25</v>
      </c>
      <c r="G194" s="34">
        <v>63</v>
      </c>
      <c r="H194" s="12" t="s">
        <v>165</v>
      </c>
      <c r="I194" s="27">
        <v>43678</v>
      </c>
      <c r="J194" s="19" t="s">
        <v>291</v>
      </c>
      <c r="K194" s="19" t="s">
        <v>169</v>
      </c>
      <c r="L194">
        <v>303</v>
      </c>
      <c r="M194">
        <v>0.25</v>
      </c>
      <c r="N194">
        <f>L194/M194</f>
        <v>1212</v>
      </c>
      <c r="O194">
        <f t="shared" si="28"/>
        <v>383</v>
      </c>
      <c r="P194" s="116">
        <f t="shared" si="26"/>
        <v>4.8095238095238093</v>
      </c>
      <c r="Q194" s="13" t="s">
        <v>1090</v>
      </c>
    </row>
    <row r="195" spans="1:17" x14ac:dyDescent="0.25">
      <c r="A195" s="117" t="s">
        <v>149</v>
      </c>
      <c r="B195" t="s">
        <v>1094</v>
      </c>
      <c r="C195" t="str">
        <f>VLOOKUP(B195,'Planting GPS Points'!$B$3:$L$290,10,FALSE)</f>
        <v>DNR</v>
      </c>
      <c r="D195" t="str">
        <f>VLOOKUP(B195,'Planting GPS Points'!$B$3:$AL$290,17,FALSE)</f>
        <v>test</v>
      </c>
      <c r="E195" s="134">
        <v>43295</v>
      </c>
      <c r="F195" s="20">
        <v>0.25</v>
      </c>
      <c r="G195" s="34">
        <v>63</v>
      </c>
      <c r="H195" s="12" t="s">
        <v>165</v>
      </c>
      <c r="I195" s="27">
        <v>44033</v>
      </c>
      <c r="J195" s="19" t="s">
        <v>291</v>
      </c>
      <c r="K195" s="19" t="s">
        <v>169</v>
      </c>
      <c r="N195" s="20" t="str">
        <f>IFERROR(L195/M195, "")</f>
        <v/>
      </c>
      <c r="O195">
        <f t="shared" si="28"/>
        <v>738</v>
      </c>
      <c r="P195" s="116" t="str">
        <f t="shared" si="26"/>
        <v/>
      </c>
      <c r="Q195" s="13" t="s">
        <v>1090</v>
      </c>
    </row>
    <row r="196" spans="1:17" x14ac:dyDescent="0.25">
      <c r="A196" s="34" t="s">
        <v>149</v>
      </c>
      <c r="B196" t="s">
        <v>1095</v>
      </c>
      <c r="C196" t="str">
        <f>VLOOKUP(B196,'Planting GPS Points'!$B$3:$L$290,10,FALSE)</f>
        <v>DNR</v>
      </c>
      <c r="D196" t="str">
        <f>VLOOKUP(B196,'Planting GPS Points'!$B$3:$AL$290,17,FALSE)</f>
        <v>test</v>
      </c>
      <c r="E196" s="134">
        <v>43295</v>
      </c>
      <c r="F196" s="20">
        <v>0.25</v>
      </c>
      <c r="G196" s="34">
        <v>63</v>
      </c>
      <c r="H196" s="12" t="s">
        <v>165</v>
      </c>
      <c r="I196" s="27">
        <v>43678</v>
      </c>
      <c r="J196" s="19" t="s">
        <v>291</v>
      </c>
      <c r="K196" s="19" t="s">
        <v>169</v>
      </c>
      <c r="L196">
        <v>235</v>
      </c>
      <c r="M196">
        <v>0.25</v>
      </c>
      <c r="N196">
        <f>L196/M196</f>
        <v>940</v>
      </c>
      <c r="O196">
        <f t="shared" si="28"/>
        <v>383</v>
      </c>
      <c r="P196" s="116">
        <f t="shared" si="26"/>
        <v>3.7301587301587302</v>
      </c>
      <c r="Q196" s="13" t="s">
        <v>1086</v>
      </c>
    </row>
    <row r="197" spans="1:17" x14ac:dyDescent="0.25">
      <c r="A197" s="117" t="s">
        <v>149</v>
      </c>
      <c r="B197" t="s">
        <v>1095</v>
      </c>
      <c r="C197" t="str">
        <f>VLOOKUP(B197,'Planting GPS Points'!$B$3:$L$290,10,FALSE)</f>
        <v>DNR</v>
      </c>
      <c r="D197" t="str">
        <f>VLOOKUP(B197,'Planting GPS Points'!$B$3:$AL$290,17,FALSE)</f>
        <v>test</v>
      </c>
      <c r="E197" s="134">
        <v>43295</v>
      </c>
      <c r="F197" s="20">
        <v>0.25</v>
      </c>
      <c r="G197" s="34">
        <v>63</v>
      </c>
      <c r="H197" s="12" t="s">
        <v>165</v>
      </c>
      <c r="I197" s="27">
        <v>44033</v>
      </c>
      <c r="J197" s="19" t="s">
        <v>291</v>
      </c>
      <c r="K197" s="19" t="s">
        <v>169</v>
      </c>
      <c r="N197" s="20" t="str">
        <f>IFERROR(L197/M197, "")</f>
        <v/>
      </c>
      <c r="O197">
        <f t="shared" si="28"/>
        <v>738</v>
      </c>
      <c r="P197" s="116" t="str">
        <f t="shared" si="26"/>
        <v/>
      </c>
      <c r="Q197" s="13" t="s">
        <v>1086</v>
      </c>
    </row>
    <row r="198" spans="1:17" x14ac:dyDescent="0.25">
      <c r="A198" t="s">
        <v>149</v>
      </c>
      <c r="B198" t="s">
        <v>1145</v>
      </c>
      <c r="C198" t="str">
        <f>VLOOKUP(B198,'Planting GPS Points'!$B$3:$L$290,10,FALSE)</f>
        <v>DNR</v>
      </c>
      <c r="D198" t="str">
        <f>VLOOKUP(B198,'Planting GPS Points'!$B$3:$AL$290,17,FALSE)</f>
        <v>test</v>
      </c>
      <c r="E198" s="27">
        <v>42164</v>
      </c>
      <c r="F198" s="20">
        <v>25</v>
      </c>
      <c r="G198" s="38">
        <v>500</v>
      </c>
      <c r="H198" s="12" t="s">
        <v>165</v>
      </c>
      <c r="I198" s="27">
        <v>42214</v>
      </c>
      <c r="J198" s="129" t="s">
        <v>291</v>
      </c>
      <c r="K198" s="129" t="s">
        <v>168</v>
      </c>
      <c r="N198" s="20" t="str">
        <f>IFERROR(L198/M198, "")</f>
        <v/>
      </c>
      <c r="O198">
        <f t="shared" si="28"/>
        <v>50</v>
      </c>
      <c r="P198" s="116" t="str">
        <f t="shared" si="26"/>
        <v/>
      </c>
      <c r="Q198" s="13" t="s">
        <v>1264</v>
      </c>
    </row>
    <row r="199" spans="1:17" x14ac:dyDescent="0.25">
      <c r="A199" s="1" t="s">
        <v>149</v>
      </c>
      <c r="B199" s="1" t="s">
        <v>1106</v>
      </c>
      <c r="C199" t="str">
        <f>VLOOKUP(B199,'Planting GPS Points'!$B$3:$L$290,10,FALSE)</f>
        <v>DNR</v>
      </c>
      <c r="D199" t="str">
        <f>VLOOKUP(B199,'Planting GPS Points'!$B$3:$AL$290,17,FALSE)</f>
        <v>test</v>
      </c>
      <c r="E199" s="27">
        <v>42880</v>
      </c>
      <c r="F199" s="20">
        <v>8.0000000000000002E-3</v>
      </c>
      <c r="G199">
        <v>12</v>
      </c>
      <c r="H199" s="12" t="s">
        <v>165</v>
      </c>
      <c r="I199" s="27">
        <v>42883</v>
      </c>
      <c r="J199" s="19" t="s">
        <v>291</v>
      </c>
      <c r="K199" s="19" t="s">
        <v>168</v>
      </c>
      <c r="L199">
        <v>11</v>
      </c>
      <c r="M199">
        <v>8.0000000000000002E-3</v>
      </c>
      <c r="N199">
        <f>L199/M199</f>
        <v>1375</v>
      </c>
      <c r="O199">
        <f t="shared" si="28"/>
        <v>3</v>
      </c>
      <c r="P199" s="116">
        <f t="shared" si="26"/>
        <v>0.91666666666666663</v>
      </c>
      <c r="Q199" s="13" t="s">
        <v>1071</v>
      </c>
    </row>
    <row r="200" spans="1:17" x14ac:dyDescent="0.25">
      <c r="A200" s="1" t="s">
        <v>149</v>
      </c>
      <c r="B200" s="1" t="s">
        <v>1106</v>
      </c>
      <c r="C200" t="str">
        <f>VLOOKUP(B200,'Planting GPS Points'!$B$3:$L$290,10,FALSE)</f>
        <v>DNR</v>
      </c>
      <c r="D200" t="str">
        <f>VLOOKUP(B200,'Planting GPS Points'!$B$3:$AL$290,17,FALSE)</f>
        <v>test</v>
      </c>
      <c r="E200" s="27">
        <v>42880</v>
      </c>
      <c r="F200" s="20">
        <v>8.0000000000000002E-3</v>
      </c>
      <c r="G200">
        <v>12</v>
      </c>
      <c r="H200" s="12" t="s">
        <v>165</v>
      </c>
      <c r="I200" s="27">
        <v>42938</v>
      </c>
      <c r="J200" s="19" t="s">
        <v>291</v>
      </c>
      <c r="K200" s="19" t="s">
        <v>168</v>
      </c>
      <c r="L200">
        <v>3</v>
      </c>
      <c r="M200">
        <v>8.0000000000000002E-3</v>
      </c>
      <c r="N200">
        <f>L200/M200</f>
        <v>375</v>
      </c>
      <c r="O200">
        <f t="shared" si="28"/>
        <v>58</v>
      </c>
      <c r="P200" s="116">
        <f t="shared" si="26"/>
        <v>0.25</v>
      </c>
      <c r="Q200" s="13" t="s">
        <v>1070</v>
      </c>
    </row>
    <row r="201" spans="1:17" x14ac:dyDescent="0.25">
      <c r="A201" s="1" t="s">
        <v>149</v>
      </c>
      <c r="B201" s="1" t="s">
        <v>1106</v>
      </c>
      <c r="C201" t="str">
        <f>VLOOKUP(B201,'Planting GPS Points'!$B$3:$L$290,10,FALSE)</f>
        <v>DNR</v>
      </c>
      <c r="D201" t="str">
        <f>VLOOKUP(B201,'Planting GPS Points'!$B$3:$AL$290,17,FALSE)</f>
        <v>test</v>
      </c>
      <c r="E201" s="27">
        <v>42880</v>
      </c>
      <c r="F201" s="20">
        <v>8.0000000000000002E-3</v>
      </c>
      <c r="G201">
        <v>12</v>
      </c>
      <c r="H201" s="12" t="s">
        <v>165</v>
      </c>
      <c r="I201" s="27">
        <v>42967</v>
      </c>
      <c r="J201" s="19" t="s">
        <v>409</v>
      </c>
      <c r="K201" s="19" t="s">
        <v>168</v>
      </c>
      <c r="L201">
        <v>0</v>
      </c>
      <c r="M201">
        <v>0</v>
      </c>
      <c r="O201">
        <f t="shared" si="28"/>
        <v>87</v>
      </c>
      <c r="P201" s="116">
        <f t="shared" si="26"/>
        <v>0</v>
      </c>
      <c r="Q201" s="13" t="s">
        <v>1070</v>
      </c>
    </row>
    <row r="202" spans="1:17" x14ac:dyDescent="0.25">
      <c r="A202" s="1" t="s">
        <v>149</v>
      </c>
      <c r="B202" s="1" t="s">
        <v>1106</v>
      </c>
      <c r="C202" t="str">
        <f>VLOOKUP(B202,'Planting GPS Points'!$B$3:$L$290,10,FALSE)</f>
        <v>DNR</v>
      </c>
      <c r="D202" t="str">
        <f>VLOOKUP(B202,'Planting GPS Points'!$B$3:$AL$290,17,FALSE)</f>
        <v>test</v>
      </c>
      <c r="E202" s="27">
        <v>42880</v>
      </c>
      <c r="F202" s="20">
        <v>8.0000000000000002E-3</v>
      </c>
      <c r="G202">
        <v>12</v>
      </c>
      <c r="H202" s="12" t="s">
        <v>165</v>
      </c>
      <c r="I202" s="27">
        <v>43073</v>
      </c>
      <c r="J202" s="19" t="s">
        <v>409</v>
      </c>
      <c r="K202" s="19" t="s">
        <v>168</v>
      </c>
      <c r="L202">
        <v>0</v>
      </c>
      <c r="N202" s="38"/>
      <c r="O202">
        <f t="shared" si="28"/>
        <v>193</v>
      </c>
      <c r="P202" s="116">
        <f t="shared" si="26"/>
        <v>0</v>
      </c>
      <c r="Q202" s="13" t="s">
        <v>992</v>
      </c>
    </row>
    <row r="203" spans="1:17" x14ac:dyDescent="0.25">
      <c r="A203" s="1" t="s">
        <v>149</v>
      </c>
      <c r="B203" s="1" t="s">
        <v>1106</v>
      </c>
      <c r="C203" t="str">
        <f>VLOOKUP(B203,'Planting GPS Points'!$B$3:$L$290,10,FALSE)</f>
        <v>DNR</v>
      </c>
      <c r="D203" t="str">
        <f>VLOOKUP(B203,'Planting GPS Points'!$B$3:$AL$290,17,FALSE)</f>
        <v>test</v>
      </c>
      <c r="E203" s="27">
        <v>42880</v>
      </c>
      <c r="F203" s="20">
        <v>8.0000000000000002E-3</v>
      </c>
      <c r="G203">
        <v>12</v>
      </c>
      <c r="H203" s="12" t="s">
        <v>165</v>
      </c>
      <c r="I203" s="27">
        <v>43130</v>
      </c>
      <c r="J203" s="19" t="s">
        <v>409</v>
      </c>
      <c r="K203" s="19" t="s">
        <v>168</v>
      </c>
      <c r="L203">
        <v>0</v>
      </c>
      <c r="M203">
        <v>0</v>
      </c>
      <c r="N203" s="38"/>
      <c r="O203">
        <f t="shared" si="28"/>
        <v>250</v>
      </c>
      <c r="P203" s="116">
        <f t="shared" si="26"/>
        <v>0</v>
      </c>
      <c r="Q203" s="13" t="s">
        <v>1073</v>
      </c>
    </row>
    <row r="204" spans="1:17" x14ac:dyDescent="0.25">
      <c r="A204" s="1" t="s">
        <v>149</v>
      </c>
      <c r="B204" s="1" t="s">
        <v>1106</v>
      </c>
      <c r="C204" t="str">
        <f>VLOOKUP(B204,'Planting GPS Points'!$B$3:$L$290,10,FALSE)</f>
        <v>DNR</v>
      </c>
      <c r="D204" t="str">
        <f>VLOOKUP(B204,'Planting GPS Points'!$B$3:$AL$290,17,FALSE)</f>
        <v>test</v>
      </c>
      <c r="E204" s="27">
        <v>42880</v>
      </c>
      <c r="F204" s="20">
        <v>8.0000000000000002E-3</v>
      </c>
      <c r="G204">
        <v>12</v>
      </c>
      <c r="H204" s="12" t="s">
        <v>165</v>
      </c>
      <c r="I204" s="27">
        <v>43235</v>
      </c>
      <c r="J204" s="19" t="s">
        <v>409</v>
      </c>
      <c r="K204" s="19" t="s">
        <v>168</v>
      </c>
      <c r="L204">
        <v>0</v>
      </c>
      <c r="N204" s="38"/>
      <c r="O204">
        <f t="shared" si="28"/>
        <v>355</v>
      </c>
      <c r="P204" s="116">
        <f t="shared" si="26"/>
        <v>0</v>
      </c>
      <c r="Q204" s="13" t="s">
        <v>989</v>
      </c>
    </row>
    <row r="205" spans="1:17" x14ac:dyDescent="0.25">
      <c r="A205" s="1" t="s">
        <v>149</v>
      </c>
      <c r="B205" s="1" t="s">
        <v>1106</v>
      </c>
      <c r="C205" t="str">
        <f>VLOOKUP(B205,'Planting GPS Points'!$B$3:$L$290,10,FALSE)</f>
        <v>DNR</v>
      </c>
      <c r="D205" t="str">
        <f>VLOOKUP(B205,'Planting GPS Points'!$B$3:$AL$290,17,FALSE)</f>
        <v>test</v>
      </c>
      <c r="E205" s="27">
        <v>42880</v>
      </c>
      <c r="F205" s="20">
        <v>8.0000000000000002E-3</v>
      </c>
      <c r="G205">
        <v>12</v>
      </c>
      <c r="H205" s="12" t="s">
        <v>165</v>
      </c>
      <c r="I205" s="27">
        <v>43292</v>
      </c>
      <c r="J205" s="19" t="s">
        <v>409</v>
      </c>
      <c r="K205" s="19" t="s">
        <v>168</v>
      </c>
      <c r="L205">
        <v>0</v>
      </c>
      <c r="N205" s="38"/>
      <c r="O205">
        <f t="shared" si="28"/>
        <v>412</v>
      </c>
      <c r="P205" s="116">
        <f t="shared" si="26"/>
        <v>0</v>
      </c>
      <c r="Q205" s="13"/>
    </row>
    <row r="206" spans="1:17" x14ac:dyDescent="0.25">
      <c r="A206" s="1" t="s">
        <v>149</v>
      </c>
      <c r="B206" s="1" t="s">
        <v>1106</v>
      </c>
      <c r="C206" t="str">
        <f>VLOOKUP(B206,'Planting GPS Points'!$B$3:$L$290,10,FALSE)</f>
        <v>DNR</v>
      </c>
      <c r="D206" t="str">
        <f>VLOOKUP(B206,'Planting GPS Points'!$B$3:$AL$290,17,FALSE)</f>
        <v>test</v>
      </c>
      <c r="E206" s="27">
        <v>42880</v>
      </c>
      <c r="F206" s="20">
        <v>8.0000000000000002E-3</v>
      </c>
      <c r="G206">
        <v>12</v>
      </c>
      <c r="H206" s="12" t="s">
        <v>165</v>
      </c>
      <c r="I206" s="27">
        <v>43320</v>
      </c>
      <c r="J206" s="19" t="s">
        <v>409</v>
      </c>
      <c r="K206" s="19" t="s">
        <v>168</v>
      </c>
      <c r="L206">
        <v>0</v>
      </c>
      <c r="N206" s="38"/>
      <c r="O206">
        <f t="shared" si="28"/>
        <v>440</v>
      </c>
      <c r="P206" s="116">
        <f t="shared" si="26"/>
        <v>0</v>
      </c>
      <c r="Q206" s="13"/>
    </row>
    <row r="207" spans="1:17" x14ac:dyDescent="0.25">
      <c r="A207" s="1" t="s">
        <v>149</v>
      </c>
      <c r="B207" s="1" t="s">
        <v>1106</v>
      </c>
      <c r="C207" t="str">
        <f>VLOOKUP(B207,'Planting GPS Points'!$B$3:$L$290,10,FALSE)</f>
        <v>DNR</v>
      </c>
      <c r="D207" t="str">
        <f>VLOOKUP(B207,'Planting GPS Points'!$B$3:$AL$290,17,FALSE)</f>
        <v>test</v>
      </c>
      <c r="E207" s="27">
        <v>42880</v>
      </c>
      <c r="F207" s="20">
        <v>8.0000000000000002E-3</v>
      </c>
      <c r="G207">
        <v>12</v>
      </c>
      <c r="H207" s="12" t="s">
        <v>165</v>
      </c>
      <c r="I207" s="27">
        <v>43676</v>
      </c>
      <c r="J207" s="19" t="s">
        <v>409</v>
      </c>
      <c r="K207" s="19" t="s">
        <v>168</v>
      </c>
      <c r="L207">
        <v>0</v>
      </c>
      <c r="N207" s="38"/>
      <c r="O207">
        <f t="shared" si="28"/>
        <v>796</v>
      </c>
      <c r="P207" s="116">
        <f t="shared" si="26"/>
        <v>0</v>
      </c>
      <c r="Q207" s="13"/>
    </row>
    <row r="208" spans="1:17" x14ac:dyDescent="0.25">
      <c r="A208" s="138" t="s">
        <v>149</v>
      </c>
      <c r="B208" s="1" t="s">
        <v>1106</v>
      </c>
      <c r="C208" t="str">
        <f>VLOOKUP(B208,'Planting GPS Points'!$B$3:$L$290,10,FALSE)</f>
        <v>DNR</v>
      </c>
      <c r="D208" t="str">
        <f>VLOOKUP(B208,'Planting GPS Points'!$B$3:$AL$290,17,FALSE)</f>
        <v>test</v>
      </c>
      <c r="E208" s="27">
        <v>42880</v>
      </c>
      <c r="F208" s="20">
        <v>8.0000000000000002E-3</v>
      </c>
      <c r="G208">
        <v>12</v>
      </c>
      <c r="H208" s="12" t="s">
        <v>165</v>
      </c>
      <c r="I208" s="27">
        <v>44033</v>
      </c>
      <c r="J208" s="19" t="s">
        <v>409</v>
      </c>
      <c r="K208" s="19" t="s">
        <v>168</v>
      </c>
      <c r="L208">
        <v>0</v>
      </c>
      <c r="N208" s="20" t="str">
        <f>IFERROR(L208/M208, "")</f>
        <v/>
      </c>
      <c r="O208">
        <f t="shared" si="28"/>
        <v>1153</v>
      </c>
      <c r="P208" s="116">
        <f t="shared" ref="P208:P271" si="29">IF(L208="", "", L208/G208)</f>
        <v>0</v>
      </c>
      <c r="Q208" s="13"/>
    </row>
    <row r="209" spans="1:18" x14ac:dyDescent="0.25">
      <c r="A209" s="1" t="s">
        <v>149</v>
      </c>
      <c r="B209" s="1" t="s">
        <v>1109</v>
      </c>
      <c r="C209" t="str">
        <f>VLOOKUP(B209,'Planting GPS Points'!$B$3:$L$290,10,FALSE)</f>
        <v>DNR</v>
      </c>
      <c r="D209" t="str">
        <f>VLOOKUP(B209,'Planting GPS Points'!$B$3:$AL$290,17,FALSE)</f>
        <v>test</v>
      </c>
      <c r="E209" s="27">
        <v>42880</v>
      </c>
      <c r="F209" s="20">
        <v>8.0000000000000002E-3</v>
      </c>
      <c r="G209">
        <v>12</v>
      </c>
      <c r="H209" s="12" t="s">
        <v>165</v>
      </c>
      <c r="I209" s="27">
        <v>42883</v>
      </c>
      <c r="J209" s="19" t="s">
        <v>291</v>
      </c>
      <c r="K209" s="19" t="s">
        <v>168</v>
      </c>
      <c r="L209">
        <v>9</v>
      </c>
      <c r="M209">
        <v>8.0000000000000002E-3</v>
      </c>
      <c r="N209">
        <f>L209/M209</f>
        <v>1125</v>
      </c>
      <c r="O209">
        <f t="shared" si="28"/>
        <v>3</v>
      </c>
      <c r="P209" s="116">
        <f t="shared" si="29"/>
        <v>0.75</v>
      </c>
      <c r="Q209" s="13" t="s">
        <v>1071</v>
      </c>
    </row>
    <row r="210" spans="1:18" x14ac:dyDescent="0.25">
      <c r="A210" s="1" t="s">
        <v>149</v>
      </c>
      <c r="B210" s="1" t="s">
        <v>1109</v>
      </c>
      <c r="C210" t="str">
        <f>VLOOKUP(B210,'Planting GPS Points'!$B$3:$L$290,10,FALSE)</f>
        <v>DNR</v>
      </c>
      <c r="D210" t="str">
        <f>VLOOKUP(B210,'Planting GPS Points'!$B$3:$AL$290,17,FALSE)</f>
        <v>test</v>
      </c>
      <c r="E210" s="27">
        <v>42880</v>
      </c>
      <c r="F210" s="20">
        <v>8.0000000000000002E-3</v>
      </c>
      <c r="G210">
        <v>12</v>
      </c>
      <c r="H210" s="12" t="s">
        <v>165</v>
      </c>
      <c r="I210" s="27">
        <v>42938</v>
      </c>
      <c r="J210" s="19" t="s">
        <v>291</v>
      </c>
      <c r="K210" s="19" t="s">
        <v>168</v>
      </c>
      <c r="L210">
        <v>4</v>
      </c>
      <c r="M210">
        <v>8.0000000000000002E-3</v>
      </c>
      <c r="N210">
        <f>L210/M210</f>
        <v>500</v>
      </c>
      <c r="O210">
        <f t="shared" si="28"/>
        <v>58</v>
      </c>
      <c r="P210" s="116">
        <f t="shared" si="29"/>
        <v>0.33333333333333331</v>
      </c>
      <c r="Q210" s="13" t="s">
        <v>1070</v>
      </c>
    </row>
    <row r="211" spans="1:18" x14ac:dyDescent="0.25">
      <c r="A211" s="1" t="s">
        <v>149</v>
      </c>
      <c r="B211" s="1" t="s">
        <v>1109</v>
      </c>
      <c r="C211" t="str">
        <f>VLOOKUP(B211,'Planting GPS Points'!$B$3:$L$290,10,FALSE)</f>
        <v>DNR</v>
      </c>
      <c r="D211" t="str">
        <f>VLOOKUP(B211,'Planting GPS Points'!$B$3:$AL$290,17,FALSE)</f>
        <v>test</v>
      </c>
      <c r="E211" s="27">
        <v>42880</v>
      </c>
      <c r="F211" s="20">
        <v>8.0000000000000002E-3</v>
      </c>
      <c r="G211">
        <v>12</v>
      </c>
      <c r="H211" s="12" t="s">
        <v>165</v>
      </c>
      <c r="I211" s="27">
        <v>42967</v>
      </c>
      <c r="J211" s="19" t="s">
        <v>409</v>
      </c>
      <c r="K211" s="19" t="s">
        <v>168</v>
      </c>
      <c r="L211">
        <v>0</v>
      </c>
      <c r="M211">
        <v>0</v>
      </c>
      <c r="O211">
        <f t="shared" si="28"/>
        <v>87</v>
      </c>
      <c r="P211" s="116">
        <f t="shared" si="29"/>
        <v>0</v>
      </c>
      <c r="Q211" s="13" t="s">
        <v>1070</v>
      </c>
    </row>
    <row r="212" spans="1:18" x14ac:dyDescent="0.25">
      <c r="A212" s="1" t="s">
        <v>149</v>
      </c>
      <c r="B212" s="1" t="s">
        <v>1109</v>
      </c>
      <c r="C212" t="str">
        <f>VLOOKUP(B212,'Planting GPS Points'!$B$3:$L$290,10,FALSE)</f>
        <v>DNR</v>
      </c>
      <c r="D212" t="str">
        <f>VLOOKUP(B212,'Planting GPS Points'!$B$3:$AL$290,17,FALSE)</f>
        <v>test</v>
      </c>
      <c r="E212" s="27">
        <v>42880</v>
      </c>
      <c r="F212" s="20">
        <v>8.0000000000000002E-3</v>
      </c>
      <c r="G212">
        <v>12</v>
      </c>
      <c r="H212" s="12" t="s">
        <v>165</v>
      </c>
      <c r="I212" s="27">
        <v>43073</v>
      </c>
      <c r="J212" s="19" t="s">
        <v>409</v>
      </c>
      <c r="K212" s="19" t="s">
        <v>168</v>
      </c>
      <c r="L212">
        <v>0</v>
      </c>
      <c r="N212" s="38"/>
      <c r="O212">
        <f t="shared" si="28"/>
        <v>193</v>
      </c>
      <c r="P212" s="116">
        <f t="shared" si="29"/>
        <v>0</v>
      </c>
      <c r="Q212" s="13" t="s">
        <v>992</v>
      </c>
      <c r="R212" s="110"/>
    </row>
    <row r="213" spans="1:18" x14ac:dyDescent="0.25">
      <c r="A213" s="1" t="s">
        <v>149</v>
      </c>
      <c r="B213" s="1" t="s">
        <v>1109</v>
      </c>
      <c r="C213" t="str">
        <f>VLOOKUP(B213,'Planting GPS Points'!$B$3:$L$290,10,FALSE)</f>
        <v>DNR</v>
      </c>
      <c r="D213" t="str">
        <f>VLOOKUP(B213,'Planting GPS Points'!$B$3:$AL$290,17,FALSE)</f>
        <v>test</v>
      </c>
      <c r="E213" s="27">
        <v>42880</v>
      </c>
      <c r="F213" s="20">
        <v>8.0000000000000002E-3</v>
      </c>
      <c r="G213">
        <v>12</v>
      </c>
      <c r="H213" s="12" t="s">
        <v>165</v>
      </c>
      <c r="I213" s="27">
        <v>43130</v>
      </c>
      <c r="J213" s="19" t="s">
        <v>409</v>
      </c>
      <c r="K213" s="19" t="s">
        <v>168</v>
      </c>
      <c r="L213">
        <v>0</v>
      </c>
      <c r="M213">
        <v>0</v>
      </c>
      <c r="N213" s="38"/>
      <c r="O213">
        <f t="shared" si="28"/>
        <v>250</v>
      </c>
      <c r="P213" s="116">
        <f t="shared" si="29"/>
        <v>0</v>
      </c>
      <c r="Q213" s="13" t="s">
        <v>1073</v>
      </c>
    </row>
    <row r="214" spans="1:18" x14ac:dyDescent="0.25">
      <c r="A214" s="1" t="s">
        <v>149</v>
      </c>
      <c r="B214" s="1" t="s">
        <v>1109</v>
      </c>
      <c r="C214" t="str">
        <f>VLOOKUP(B214,'Planting GPS Points'!$B$3:$L$290,10,FALSE)</f>
        <v>DNR</v>
      </c>
      <c r="D214" t="str">
        <f>VLOOKUP(B214,'Planting GPS Points'!$B$3:$AL$290,17,FALSE)</f>
        <v>test</v>
      </c>
      <c r="E214" s="27">
        <v>42880</v>
      </c>
      <c r="F214" s="20">
        <v>8.0000000000000002E-3</v>
      </c>
      <c r="G214">
        <v>12</v>
      </c>
      <c r="H214" s="12" t="s">
        <v>165</v>
      </c>
      <c r="I214" s="27">
        <v>43235</v>
      </c>
      <c r="J214" s="19" t="s">
        <v>409</v>
      </c>
      <c r="K214" s="19" t="s">
        <v>168</v>
      </c>
      <c r="L214">
        <v>0</v>
      </c>
      <c r="N214" s="38"/>
      <c r="O214">
        <f t="shared" si="28"/>
        <v>355</v>
      </c>
      <c r="P214" s="116">
        <f t="shared" si="29"/>
        <v>0</v>
      </c>
      <c r="Q214" s="13" t="s">
        <v>989</v>
      </c>
    </row>
    <row r="215" spans="1:18" x14ac:dyDescent="0.25">
      <c r="A215" s="1" t="s">
        <v>149</v>
      </c>
      <c r="B215" s="1" t="s">
        <v>1109</v>
      </c>
      <c r="C215" t="str">
        <f>VLOOKUP(B215,'Planting GPS Points'!$B$3:$L$290,10,FALSE)</f>
        <v>DNR</v>
      </c>
      <c r="D215" t="str">
        <f>VLOOKUP(B215,'Planting GPS Points'!$B$3:$AL$290,17,FALSE)</f>
        <v>test</v>
      </c>
      <c r="E215" s="27">
        <v>42880</v>
      </c>
      <c r="F215" s="20">
        <v>8.0000000000000002E-3</v>
      </c>
      <c r="G215">
        <v>12</v>
      </c>
      <c r="H215" s="12" t="s">
        <v>165</v>
      </c>
      <c r="I215" s="27">
        <v>43292</v>
      </c>
      <c r="J215" s="19" t="s">
        <v>409</v>
      </c>
      <c r="K215" s="19" t="s">
        <v>168</v>
      </c>
      <c r="L215">
        <v>0</v>
      </c>
      <c r="N215" s="38"/>
      <c r="O215">
        <f t="shared" si="28"/>
        <v>412</v>
      </c>
      <c r="P215" s="116">
        <f t="shared" si="29"/>
        <v>0</v>
      </c>
      <c r="Q215" s="13"/>
    </row>
    <row r="216" spans="1:18" x14ac:dyDescent="0.25">
      <c r="A216" s="1" t="s">
        <v>149</v>
      </c>
      <c r="B216" s="1" t="s">
        <v>1109</v>
      </c>
      <c r="C216" t="str">
        <f>VLOOKUP(B216,'Planting GPS Points'!$B$3:$L$290,10,FALSE)</f>
        <v>DNR</v>
      </c>
      <c r="D216" t="str">
        <f>VLOOKUP(B216,'Planting GPS Points'!$B$3:$AL$290,17,FALSE)</f>
        <v>test</v>
      </c>
      <c r="E216" s="27">
        <v>42880</v>
      </c>
      <c r="F216" s="20">
        <v>8.0000000000000002E-3</v>
      </c>
      <c r="G216">
        <v>12</v>
      </c>
      <c r="H216" s="12" t="s">
        <v>165</v>
      </c>
      <c r="I216" s="27">
        <v>43320</v>
      </c>
      <c r="J216" s="19" t="s">
        <v>409</v>
      </c>
      <c r="K216" s="19" t="s">
        <v>168</v>
      </c>
      <c r="L216">
        <v>0</v>
      </c>
      <c r="N216" s="38"/>
      <c r="O216">
        <f t="shared" si="28"/>
        <v>440</v>
      </c>
      <c r="P216" s="116">
        <f t="shared" si="29"/>
        <v>0</v>
      </c>
      <c r="Q216" s="13"/>
    </row>
    <row r="217" spans="1:18" x14ac:dyDescent="0.25">
      <c r="A217" s="1" t="s">
        <v>149</v>
      </c>
      <c r="B217" s="1" t="s">
        <v>1109</v>
      </c>
      <c r="C217" t="str">
        <f>VLOOKUP(B217,'Planting GPS Points'!$B$3:$L$290,10,FALSE)</f>
        <v>DNR</v>
      </c>
      <c r="D217" t="str">
        <f>VLOOKUP(B217,'Planting GPS Points'!$B$3:$AL$290,17,FALSE)</f>
        <v>test</v>
      </c>
      <c r="E217" s="27">
        <v>42880</v>
      </c>
      <c r="F217" s="20">
        <v>8.0000000000000002E-3</v>
      </c>
      <c r="G217">
        <v>12</v>
      </c>
      <c r="H217" s="12" t="s">
        <v>165</v>
      </c>
      <c r="I217" s="27">
        <v>43676</v>
      </c>
      <c r="J217" s="19" t="s">
        <v>409</v>
      </c>
      <c r="K217" s="19" t="s">
        <v>168</v>
      </c>
      <c r="L217">
        <v>0</v>
      </c>
      <c r="N217" s="38"/>
      <c r="O217">
        <f t="shared" si="28"/>
        <v>796</v>
      </c>
      <c r="P217" s="116">
        <f t="shared" si="29"/>
        <v>0</v>
      </c>
      <c r="Q217" s="13"/>
    </row>
    <row r="218" spans="1:18" x14ac:dyDescent="0.25">
      <c r="A218" s="138" t="s">
        <v>149</v>
      </c>
      <c r="B218" s="1" t="s">
        <v>1109</v>
      </c>
      <c r="C218" t="str">
        <f>VLOOKUP(B218,'Planting GPS Points'!$B$3:$L$290,10,FALSE)</f>
        <v>DNR</v>
      </c>
      <c r="D218" t="str">
        <f>VLOOKUP(B218,'Planting GPS Points'!$B$3:$AL$290,17,FALSE)</f>
        <v>test</v>
      </c>
      <c r="E218" s="27">
        <v>42880</v>
      </c>
      <c r="F218" s="20">
        <v>8.0000000000000002E-3</v>
      </c>
      <c r="G218">
        <v>12</v>
      </c>
      <c r="H218" s="12" t="s">
        <v>165</v>
      </c>
      <c r="I218" s="27">
        <v>44033</v>
      </c>
      <c r="J218" s="19" t="s">
        <v>409</v>
      </c>
      <c r="K218" s="19" t="s">
        <v>168</v>
      </c>
      <c r="L218">
        <v>0</v>
      </c>
      <c r="N218" s="20" t="str">
        <f>IFERROR(L218/M218, "")</f>
        <v/>
      </c>
      <c r="O218">
        <f t="shared" si="28"/>
        <v>1153</v>
      </c>
      <c r="P218" s="116">
        <f t="shared" si="29"/>
        <v>0</v>
      </c>
      <c r="Q218" s="13"/>
    </row>
    <row r="219" spans="1:18" x14ac:dyDescent="0.25">
      <c r="A219" s="1" t="s">
        <v>149</v>
      </c>
      <c r="B219" s="1" t="s">
        <v>1116</v>
      </c>
      <c r="C219" t="str">
        <f>VLOOKUP(B219,'Planting GPS Points'!$B$3:$L$290,10,FALSE)</f>
        <v>DNR</v>
      </c>
      <c r="D219" t="str">
        <f>VLOOKUP(B219,'Planting GPS Points'!$B$3:$AL$290,17,FALSE)</f>
        <v>test</v>
      </c>
      <c r="E219" s="27">
        <v>42880</v>
      </c>
      <c r="F219" s="20">
        <v>8.0000000000000002E-3</v>
      </c>
      <c r="G219">
        <v>12</v>
      </c>
      <c r="H219" s="12" t="s">
        <v>165</v>
      </c>
      <c r="I219" s="27">
        <v>42883</v>
      </c>
      <c r="J219" s="19" t="s">
        <v>291</v>
      </c>
      <c r="K219" s="19" t="s">
        <v>168</v>
      </c>
      <c r="L219">
        <v>9</v>
      </c>
      <c r="M219">
        <v>8.0000000000000002E-3</v>
      </c>
      <c r="N219">
        <f>L219/M219</f>
        <v>1125</v>
      </c>
      <c r="O219">
        <f t="shared" si="28"/>
        <v>3</v>
      </c>
      <c r="P219" s="116">
        <f t="shared" si="29"/>
        <v>0.75</v>
      </c>
      <c r="Q219" s="13" t="s">
        <v>1071</v>
      </c>
    </row>
    <row r="220" spans="1:18" x14ac:dyDescent="0.25">
      <c r="A220" s="1" t="s">
        <v>149</v>
      </c>
      <c r="B220" s="1" t="s">
        <v>1116</v>
      </c>
      <c r="C220" t="str">
        <f>VLOOKUP(B220,'Planting GPS Points'!$B$3:$L$290,10,FALSE)</f>
        <v>DNR</v>
      </c>
      <c r="D220" t="str">
        <f>VLOOKUP(B220,'Planting GPS Points'!$B$3:$AL$290,17,FALSE)</f>
        <v>test</v>
      </c>
      <c r="E220" s="27">
        <v>42880</v>
      </c>
      <c r="F220" s="20">
        <v>8.0000000000000002E-3</v>
      </c>
      <c r="G220">
        <v>12</v>
      </c>
      <c r="H220" s="12" t="s">
        <v>165</v>
      </c>
      <c r="I220" s="27">
        <v>42938</v>
      </c>
      <c r="J220" s="19" t="s">
        <v>291</v>
      </c>
      <c r="K220" s="19" t="s">
        <v>168</v>
      </c>
      <c r="L220">
        <v>2</v>
      </c>
      <c r="M220">
        <v>8.0000000000000002E-3</v>
      </c>
      <c r="N220">
        <f>L220/M220</f>
        <v>250</v>
      </c>
      <c r="O220">
        <f t="shared" si="28"/>
        <v>58</v>
      </c>
      <c r="P220" s="116">
        <f t="shared" si="29"/>
        <v>0.16666666666666666</v>
      </c>
      <c r="Q220" s="13" t="s">
        <v>1070</v>
      </c>
    </row>
    <row r="221" spans="1:18" x14ac:dyDescent="0.25">
      <c r="A221" s="1" t="s">
        <v>149</v>
      </c>
      <c r="B221" s="1" t="s">
        <v>1116</v>
      </c>
      <c r="C221" t="str">
        <f>VLOOKUP(B221,'Planting GPS Points'!$B$3:$L$290,10,FALSE)</f>
        <v>DNR</v>
      </c>
      <c r="D221" t="str">
        <f>VLOOKUP(B221,'Planting GPS Points'!$B$3:$AL$290,17,FALSE)</f>
        <v>test</v>
      </c>
      <c r="E221" s="27">
        <v>42880</v>
      </c>
      <c r="F221" s="20">
        <v>8.0000000000000002E-3</v>
      </c>
      <c r="G221">
        <v>12</v>
      </c>
      <c r="H221" s="12" t="s">
        <v>165</v>
      </c>
      <c r="I221" s="27">
        <v>42967</v>
      </c>
      <c r="J221" s="19" t="s">
        <v>409</v>
      </c>
      <c r="K221" s="19" t="s">
        <v>168</v>
      </c>
      <c r="L221">
        <v>0</v>
      </c>
      <c r="M221">
        <v>0</v>
      </c>
      <c r="O221">
        <f t="shared" si="28"/>
        <v>87</v>
      </c>
      <c r="P221" s="116">
        <f t="shared" si="29"/>
        <v>0</v>
      </c>
      <c r="Q221" s="13" t="s">
        <v>1070</v>
      </c>
    </row>
    <row r="222" spans="1:18" x14ac:dyDescent="0.25">
      <c r="A222" s="1" t="s">
        <v>149</v>
      </c>
      <c r="B222" s="1" t="s">
        <v>1116</v>
      </c>
      <c r="C222" t="str">
        <f>VLOOKUP(B222,'Planting GPS Points'!$B$3:$L$290,10,FALSE)</f>
        <v>DNR</v>
      </c>
      <c r="D222" t="str">
        <f>VLOOKUP(B222,'Planting GPS Points'!$B$3:$AL$290,17,FALSE)</f>
        <v>test</v>
      </c>
      <c r="E222" s="27">
        <v>42880</v>
      </c>
      <c r="F222" s="20">
        <v>8.0000000000000002E-3</v>
      </c>
      <c r="G222">
        <v>12</v>
      </c>
      <c r="H222" s="12" t="s">
        <v>165</v>
      </c>
      <c r="I222" s="27">
        <v>43073</v>
      </c>
      <c r="J222" s="19" t="s">
        <v>409</v>
      </c>
      <c r="K222" s="19" t="s">
        <v>168</v>
      </c>
      <c r="L222">
        <v>0</v>
      </c>
      <c r="N222" s="38"/>
      <c r="O222">
        <f t="shared" si="28"/>
        <v>193</v>
      </c>
      <c r="P222" s="116">
        <f t="shared" si="29"/>
        <v>0</v>
      </c>
      <c r="Q222" s="13" t="s">
        <v>992</v>
      </c>
    </row>
    <row r="223" spans="1:18" x14ac:dyDescent="0.25">
      <c r="A223" s="1" t="s">
        <v>149</v>
      </c>
      <c r="B223" s="1" t="s">
        <v>1116</v>
      </c>
      <c r="C223" t="str">
        <f>VLOOKUP(B223,'Planting GPS Points'!$B$3:$L$290,10,FALSE)</f>
        <v>DNR</v>
      </c>
      <c r="D223" t="str">
        <f>VLOOKUP(B223,'Planting GPS Points'!$B$3:$AL$290,17,FALSE)</f>
        <v>test</v>
      </c>
      <c r="E223" s="27">
        <v>42880</v>
      </c>
      <c r="F223" s="20">
        <v>8.0000000000000002E-3</v>
      </c>
      <c r="G223">
        <v>12</v>
      </c>
      <c r="H223" s="12" t="s">
        <v>165</v>
      </c>
      <c r="I223" s="27">
        <v>43130</v>
      </c>
      <c r="J223" s="19" t="s">
        <v>409</v>
      </c>
      <c r="K223" s="19" t="s">
        <v>168</v>
      </c>
      <c r="L223">
        <v>0</v>
      </c>
      <c r="M223">
        <v>0</v>
      </c>
      <c r="N223" s="38"/>
      <c r="O223">
        <f t="shared" si="28"/>
        <v>250</v>
      </c>
      <c r="P223" s="116">
        <f t="shared" si="29"/>
        <v>0</v>
      </c>
      <c r="Q223" s="13" t="s">
        <v>1073</v>
      </c>
    </row>
    <row r="224" spans="1:18" x14ac:dyDescent="0.25">
      <c r="A224" s="1" t="s">
        <v>149</v>
      </c>
      <c r="B224" s="1" t="s">
        <v>1116</v>
      </c>
      <c r="C224" t="str">
        <f>VLOOKUP(B224,'Planting GPS Points'!$B$3:$L$290,10,FALSE)</f>
        <v>DNR</v>
      </c>
      <c r="D224" t="str">
        <f>VLOOKUP(B224,'Planting GPS Points'!$B$3:$AL$290,17,FALSE)</f>
        <v>test</v>
      </c>
      <c r="E224" s="27">
        <v>42880</v>
      </c>
      <c r="F224" s="20">
        <v>8.0000000000000002E-3</v>
      </c>
      <c r="G224">
        <v>12</v>
      </c>
      <c r="H224" s="12" t="s">
        <v>165</v>
      </c>
      <c r="I224" s="27">
        <v>43235</v>
      </c>
      <c r="J224" s="19" t="s">
        <v>409</v>
      </c>
      <c r="K224" s="19" t="s">
        <v>168</v>
      </c>
      <c r="L224">
        <v>0</v>
      </c>
      <c r="N224" s="38"/>
      <c r="O224">
        <f t="shared" si="28"/>
        <v>355</v>
      </c>
      <c r="P224" s="116">
        <f t="shared" si="29"/>
        <v>0</v>
      </c>
      <c r="Q224" s="13" t="s">
        <v>989</v>
      </c>
    </row>
    <row r="225" spans="1:17" x14ac:dyDescent="0.25">
      <c r="A225" s="1" t="s">
        <v>149</v>
      </c>
      <c r="B225" s="1" t="s">
        <v>1116</v>
      </c>
      <c r="C225" t="str">
        <f>VLOOKUP(B225,'Planting GPS Points'!$B$3:$L$290,10,FALSE)</f>
        <v>DNR</v>
      </c>
      <c r="D225" t="str">
        <f>VLOOKUP(B225,'Planting GPS Points'!$B$3:$AL$290,17,FALSE)</f>
        <v>test</v>
      </c>
      <c r="E225" s="27">
        <v>42880</v>
      </c>
      <c r="F225" s="20">
        <v>8.0000000000000002E-3</v>
      </c>
      <c r="G225">
        <v>12</v>
      </c>
      <c r="H225" s="12" t="s">
        <v>165</v>
      </c>
      <c r="I225" s="27">
        <v>43292</v>
      </c>
      <c r="J225" s="19" t="s">
        <v>409</v>
      </c>
      <c r="K225" s="19" t="s">
        <v>168</v>
      </c>
      <c r="L225">
        <v>0</v>
      </c>
      <c r="N225" s="38"/>
      <c r="O225">
        <f t="shared" si="28"/>
        <v>412</v>
      </c>
      <c r="P225" s="116">
        <f t="shared" si="29"/>
        <v>0</v>
      </c>
      <c r="Q225" s="13"/>
    </row>
    <row r="226" spans="1:17" x14ac:dyDescent="0.25">
      <c r="A226" s="1" t="s">
        <v>149</v>
      </c>
      <c r="B226" s="1" t="s">
        <v>1116</v>
      </c>
      <c r="C226" t="str">
        <f>VLOOKUP(B226,'Planting GPS Points'!$B$3:$L$290,10,FALSE)</f>
        <v>DNR</v>
      </c>
      <c r="D226" t="str">
        <f>VLOOKUP(B226,'Planting GPS Points'!$B$3:$AL$290,17,FALSE)</f>
        <v>test</v>
      </c>
      <c r="E226" s="27">
        <v>42880</v>
      </c>
      <c r="F226" s="20">
        <v>8.0000000000000002E-3</v>
      </c>
      <c r="G226">
        <v>12</v>
      </c>
      <c r="H226" s="12" t="s">
        <v>165</v>
      </c>
      <c r="I226" s="27">
        <v>43320</v>
      </c>
      <c r="J226" s="19" t="s">
        <v>409</v>
      </c>
      <c r="K226" s="19" t="s">
        <v>168</v>
      </c>
      <c r="L226">
        <v>0</v>
      </c>
      <c r="N226" s="38"/>
      <c r="O226">
        <f t="shared" si="28"/>
        <v>440</v>
      </c>
      <c r="P226" s="116">
        <f t="shared" si="29"/>
        <v>0</v>
      </c>
      <c r="Q226" s="13"/>
    </row>
    <row r="227" spans="1:17" x14ac:dyDescent="0.25">
      <c r="A227" s="1" t="s">
        <v>149</v>
      </c>
      <c r="B227" s="1" t="s">
        <v>1116</v>
      </c>
      <c r="C227" t="str">
        <f>VLOOKUP(B227,'Planting GPS Points'!$B$3:$L$290,10,FALSE)</f>
        <v>DNR</v>
      </c>
      <c r="D227" t="str">
        <f>VLOOKUP(B227,'Planting GPS Points'!$B$3:$AL$290,17,FALSE)</f>
        <v>test</v>
      </c>
      <c r="E227" s="27">
        <v>42880</v>
      </c>
      <c r="F227" s="20">
        <v>8.0000000000000002E-3</v>
      </c>
      <c r="G227">
        <v>12</v>
      </c>
      <c r="H227" s="12" t="s">
        <v>165</v>
      </c>
      <c r="I227" s="27">
        <v>43676</v>
      </c>
      <c r="J227" s="19" t="s">
        <v>409</v>
      </c>
      <c r="K227" s="19" t="s">
        <v>168</v>
      </c>
      <c r="L227">
        <v>0</v>
      </c>
      <c r="N227" s="38"/>
      <c r="O227">
        <f t="shared" si="28"/>
        <v>796</v>
      </c>
      <c r="P227" s="116">
        <f t="shared" si="29"/>
        <v>0</v>
      </c>
      <c r="Q227" s="13"/>
    </row>
    <row r="228" spans="1:17" x14ac:dyDescent="0.25">
      <c r="A228" s="138" t="s">
        <v>149</v>
      </c>
      <c r="B228" s="1" t="s">
        <v>1116</v>
      </c>
      <c r="C228" t="str">
        <f>VLOOKUP(B228,'Planting GPS Points'!$B$3:$L$290,10,FALSE)</f>
        <v>DNR</v>
      </c>
      <c r="D228" t="str">
        <f>VLOOKUP(B228,'Planting GPS Points'!$B$3:$AL$290,17,FALSE)</f>
        <v>test</v>
      </c>
      <c r="E228" s="27">
        <v>42880</v>
      </c>
      <c r="F228" s="20">
        <v>8.0000000000000002E-3</v>
      </c>
      <c r="G228">
        <v>12</v>
      </c>
      <c r="H228" s="12" t="s">
        <v>165</v>
      </c>
      <c r="I228" s="27">
        <v>44033</v>
      </c>
      <c r="J228" s="19" t="s">
        <v>409</v>
      </c>
      <c r="K228" s="19" t="s">
        <v>168</v>
      </c>
      <c r="L228">
        <v>0</v>
      </c>
      <c r="N228" s="20" t="str">
        <f>IFERROR(L228/M228, "")</f>
        <v/>
      </c>
      <c r="O228">
        <f t="shared" si="28"/>
        <v>1153</v>
      </c>
      <c r="P228" s="116">
        <f t="shared" si="29"/>
        <v>0</v>
      </c>
      <c r="Q228" s="13"/>
    </row>
    <row r="229" spans="1:17" x14ac:dyDescent="0.25">
      <c r="A229" s="1" t="s">
        <v>149</v>
      </c>
      <c r="B229" s="1" t="s">
        <v>1117</v>
      </c>
      <c r="C229" t="str">
        <f>VLOOKUP(B229,'Planting GPS Points'!$B$3:$L$290,10,FALSE)</f>
        <v>DNR</v>
      </c>
      <c r="D229" t="str">
        <f>VLOOKUP(B229,'Planting GPS Points'!$B$3:$AL$290,17,FALSE)</f>
        <v>test</v>
      </c>
      <c r="E229" s="27">
        <v>42880</v>
      </c>
      <c r="F229" s="20">
        <v>8.0000000000000002E-3</v>
      </c>
      <c r="G229">
        <v>12</v>
      </c>
      <c r="H229" s="12" t="s">
        <v>165</v>
      </c>
      <c r="I229" s="27">
        <v>42883</v>
      </c>
      <c r="J229" s="19" t="s">
        <v>291</v>
      </c>
      <c r="K229" s="19" t="s">
        <v>168</v>
      </c>
      <c r="L229">
        <v>11</v>
      </c>
      <c r="M229">
        <v>8.0000000000000002E-3</v>
      </c>
      <c r="N229">
        <f>L229/M229</f>
        <v>1375</v>
      </c>
      <c r="O229">
        <f t="shared" si="28"/>
        <v>3</v>
      </c>
      <c r="P229" s="116">
        <f t="shared" si="29"/>
        <v>0.91666666666666663</v>
      </c>
      <c r="Q229" s="13" t="s">
        <v>1071</v>
      </c>
    </row>
    <row r="230" spans="1:17" x14ac:dyDescent="0.25">
      <c r="A230" s="1" t="s">
        <v>149</v>
      </c>
      <c r="B230" s="1" t="s">
        <v>1117</v>
      </c>
      <c r="C230" t="str">
        <f>VLOOKUP(B230,'Planting GPS Points'!$B$3:$L$290,10,FALSE)</f>
        <v>DNR</v>
      </c>
      <c r="D230" t="str">
        <f>VLOOKUP(B230,'Planting GPS Points'!$B$3:$AL$290,17,FALSE)</f>
        <v>test</v>
      </c>
      <c r="E230" s="27">
        <v>42880</v>
      </c>
      <c r="F230" s="20">
        <v>8.0000000000000002E-3</v>
      </c>
      <c r="G230">
        <v>12</v>
      </c>
      <c r="H230" s="12" t="s">
        <v>165</v>
      </c>
      <c r="I230" s="27">
        <v>42938</v>
      </c>
      <c r="J230" s="19" t="s">
        <v>291</v>
      </c>
      <c r="K230" s="19" t="s">
        <v>168</v>
      </c>
      <c r="L230">
        <v>11</v>
      </c>
      <c r="M230">
        <v>8.0000000000000002E-3</v>
      </c>
      <c r="N230">
        <f>L230/M230</f>
        <v>1375</v>
      </c>
      <c r="O230">
        <f t="shared" si="28"/>
        <v>58</v>
      </c>
      <c r="P230" s="116">
        <f t="shared" si="29"/>
        <v>0.91666666666666663</v>
      </c>
      <c r="Q230" s="13" t="s">
        <v>1070</v>
      </c>
    </row>
    <row r="231" spans="1:17" x14ac:dyDescent="0.25">
      <c r="A231" s="1" t="s">
        <v>149</v>
      </c>
      <c r="B231" s="1" t="s">
        <v>1117</v>
      </c>
      <c r="C231" t="str">
        <f>VLOOKUP(B231,'Planting GPS Points'!$B$3:$L$290,10,FALSE)</f>
        <v>DNR</v>
      </c>
      <c r="D231" t="str">
        <f>VLOOKUP(B231,'Planting GPS Points'!$B$3:$AL$290,17,FALSE)</f>
        <v>test</v>
      </c>
      <c r="E231" s="27">
        <v>42880</v>
      </c>
      <c r="F231" s="20">
        <v>8.0000000000000002E-3</v>
      </c>
      <c r="G231">
        <v>12</v>
      </c>
      <c r="H231" s="12" t="s">
        <v>165</v>
      </c>
      <c r="I231" s="27">
        <v>42967</v>
      </c>
      <c r="J231" s="19" t="s">
        <v>291</v>
      </c>
      <c r="K231" s="19" t="s">
        <v>168</v>
      </c>
      <c r="L231">
        <v>12</v>
      </c>
      <c r="M231">
        <v>1.1299999999999999E-2</v>
      </c>
      <c r="N231" s="38">
        <f>L231/M231</f>
        <v>1061.9469026548672</v>
      </c>
      <c r="O231">
        <f t="shared" si="28"/>
        <v>87</v>
      </c>
      <c r="P231" s="116">
        <f t="shared" si="29"/>
        <v>1</v>
      </c>
      <c r="Q231" s="13" t="s">
        <v>1070</v>
      </c>
    </row>
    <row r="232" spans="1:17" x14ac:dyDescent="0.25">
      <c r="A232" s="1" t="s">
        <v>149</v>
      </c>
      <c r="B232" s="1" t="s">
        <v>1117</v>
      </c>
      <c r="C232" t="str">
        <f>VLOOKUP(B232,'Planting GPS Points'!$B$3:$L$290,10,FALSE)</f>
        <v>DNR</v>
      </c>
      <c r="D232" t="str">
        <f>VLOOKUP(B232,'Planting GPS Points'!$B$3:$AL$290,17,FALSE)</f>
        <v>test</v>
      </c>
      <c r="E232" s="27">
        <v>42880</v>
      </c>
      <c r="F232" s="20">
        <v>8.0000000000000002E-3</v>
      </c>
      <c r="G232">
        <v>12</v>
      </c>
      <c r="H232" s="12" t="s">
        <v>165</v>
      </c>
      <c r="I232" s="27">
        <v>43073</v>
      </c>
      <c r="J232" s="19" t="s">
        <v>291</v>
      </c>
      <c r="K232" s="19" t="s">
        <v>168</v>
      </c>
      <c r="L232">
        <v>8</v>
      </c>
      <c r="N232" s="38"/>
      <c r="O232">
        <f t="shared" si="28"/>
        <v>193</v>
      </c>
      <c r="P232" s="116">
        <f t="shared" si="29"/>
        <v>0.66666666666666663</v>
      </c>
      <c r="Q232" s="13" t="s">
        <v>992</v>
      </c>
    </row>
    <row r="233" spans="1:17" x14ac:dyDescent="0.25">
      <c r="A233" s="1" t="s">
        <v>149</v>
      </c>
      <c r="B233" s="1" t="s">
        <v>1117</v>
      </c>
      <c r="C233" t="str">
        <f>VLOOKUP(B233,'Planting GPS Points'!$B$3:$L$290,10,FALSE)</f>
        <v>DNR</v>
      </c>
      <c r="D233" t="str">
        <f>VLOOKUP(B233,'Planting GPS Points'!$B$3:$AL$290,17,FALSE)</f>
        <v>test</v>
      </c>
      <c r="E233" s="27">
        <v>42880</v>
      </c>
      <c r="F233" s="20">
        <v>8.0000000000000002E-3</v>
      </c>
      <c r="G233">
        <v>12</v>
      </c>
      <c r="H233" s="12" t="s">
        <v>165</v>
      </c>
      <c r="I233" s="27">
        <v>43130</v>
      </c>
      <c r="J233" s="19" t="s">
        <v>291</v>
      </c>
      <c r="K233" s="19" t="s">
        <v>168</v>
      </c>
      <c r="L233">
        <v>10</v>
      </c>
      <c r="M233">
        <v>3.1399999999999997E-2</v>
      </c>
      <c r="N233" s="38">
        <f>L233/M233</f>
        <v>318.47133757961785</v>
      </c>
      <c r="O233">
        <f t="shared" si="28"/>
        <v>250</v>
      </c>
      <c r="P233" s="116">
        <f t="shared" si="29"/>
        <v>0.83333333333333337</v>
      </c>
      <c r="Q233" s="13" t="s">
        <v>1073</v>
      </c>
    </row>
    <row r="234" spans="1:17" x14ac:dyDescent="0.25">
      <c r="A234" s="1" t="s">
        <v>149</v>
      </c>
      <c r="B234" s="1" t="s">
        <v>1117</v>
      </c>
      <c r="C234" t="str">
        <f>VLOOKUP(B234,'Planting GPS Points'!$B$3:$L$290,10,FALSE)</f>
        <v>DNR</v>
      </c>
      <c r="D234" t="str">
        <f>VLOOKUP(B234,'Planting GPS Points'!$B$3:$AL$290,17,FALSE)</f>
        <v>test</v>
      </c>
      <c r="E234" s="27">
        <v>42880</v>
      </c>
      <c r="F234" s="20">
        <v>8.0000000000000002E-3</v>
      </c>
      <c r="G234">
        <v>12</v>
      </c>
      <c r="H234" s="12" t="s">
        <v>165</v>
      </c>
      <c r="I234" s="27">
        <v>43235</v>
      </c>
      <c r="J234" s="19" t="s">
        <v>291</v>
      </c>
      <c r="K234" s="19" t="s">
        <v>168</v>
      </c>
      <c r="L234">
        <v>8</v>
      </c>
      <c r="M234">
        <v>4.1526500000000001E-2</v>
      </c>
      <c r="N234" s="38">
        <f>L234/M234</f>
        <v>192.64806810109206</v>
      </c>
      <c r="O234">
        <f t="shared" si="28"/>
        <v>355</v>
      </c>
      <c r="P234" s="116">
        <f t="shared" si="29"/>
        <v>0.66666666666666663</v>
      </c>
      <c r="Q234" s="13" t="s">
        <v>991</v>
      </c>
    </row>
    <row r="235" spans="1:17" x14ac:dyDescent="0.25">
      <c r="A235" s="1" t="s">
        <v>149</v>
      </c>
      <c r="B235" s="1" t="s">
        <v>1117</v>
      </c>
      <c r="C235" t="str">
        <f>VLOOKUP(B235,'Planting GPS Points'!$B$3:$L$290,10,FALSE)</f>
        <v>DNR</v>
      </c>
      <c r="D235" t="str">
        <f>VLOOKUP(B235,'Planting GPS Points'!$B$3:$AL$290,17,FALSE)</f>
        <v>test</v>
      </c>
      <c r="E235" s="27">
        <v>42880</v>
      </c>
      <c r="F235" s="20">
        <v>8.0000000000000002E-3</v>
      </c>
      <c r="G235">
        <v>12</v>
      </c>
      <c r="H235" s="12" t="s">
        <v>165</v>
      </c>
      <c r="I235" s="27">
        <v>43292</v>
      </c>
      <c r="J235" s="19" t="s">
        <v>291</v>
      </c>
      <c r="K235" s="19" t="s">
        <v>168</v>
      </c>
      <c r="L235">
        <v>3</v>
      </c>
      <c r="M235">
        <v>1.5386000000000002E-2</v>
      </c>
      <c r="N235" s="38">
        <f>L235/M235</f>
        <v>194.98245157935784</v>
      </c>
      <c r="O235">
        <f t="shared" si="28"/>
        <v>412</v>
      </c>
      <c r="P235" s="116">
        <f t="shared" si="29"/>
        <v>0.25</v>
      </c>
      <c r="Q235" s="13" t="s">
        <v>988</v>
      </c>
    </row>
    <row r="236" spans="1:17" x14ac:dyDescent="0.25">
      <c r="A236" s="1" t="s">
        <v>149</v>
      </c>
      <c r="B236" s="1" t="s">
        <v>1117</v>
      </c>
      <c r="C236" t="str">
        <f>VLOOKUP(B236,'Planting GPS Points'!$B$3:$L$290,10,FALSE)</f>
        <v>DNR</v>
      </c>
      <c r="D236" t="str">
        <f>VLOOKUP(B236,'Planting GPS Points'!$B$3:$AL$290,17,FALSE)</f>
        <v>test</v>
      </c>
      <c r="E236" s="27">
        <v>42880</v>
      </c>
      <c r="F236" s="20">
        <v>8.0000000000000002E-3</v>
      </c>
      <c r="G236">
        <v>12</v>
      </c>
      <c r="H236" s="12" t="s">
        <v>165</v>
      </c>
      <c r="I236" s="27">
        <v>43320</v>
      </c>
      <c r="J236" s="19" t="s">
        <v>291</v>
      </c>
      <c r="K236" s="19" t="s">
        <v>168</v>
      </c>
      <c r="L236">
        <v>2</v>
      </c>
      <c r="M236">
        <v>7.8499999999999993E-3</v>
      </c>
      <c r="N236" s="38">
        <f>L236/M236</f>
        <v>254.77707006369428</v>
      </c>
      <c r="O236">
        <f t="shared" si="28"/>
        <v>440</v>
      </c>
      <c r="P236" s="116">
        <f t="shared" si="29"/>
        <v>0.16666666666666666</v>
      </c>
      <c r="Q236" s="13" t="s">
        <v>988</v>
      </c>
    </row>
    <row r="237" spans="1:17" x14ac:dyDescent="0.25">
      <c r="A237" s="1" t="s">
        <v>149</v>
      </c>
      <c r="B237" s="1" t="s">
        <v>1117</v>
      </c>
      <c r="C237" t="str">
        <f>VLOOKUP(B237,'Planting GPS Points'!$B$3:$L$290,10,FALSE)</f>
        <v>DNR</v>
      </c>
      <c r="D237" t="str">
        <f>VLOOKUP(B237,'Planting GPS Points'!$B$3:$AL$290,17,FALSE)</f>
        <v>test</v>
      </c>
      <c r="E237" s="27">
        <v>42880</v>
      </c>
      <c r="F237" s="20">
        <v>8.0000000000000002E-3</v>
      </c>
      <c r="G237">
        <v>12</v>
      </c>
      <c r="H237" s="12" t="s">
        <v>165</v>
      </c>
      <c r="I237" s="27">
        <v>43676</v>
      </c>
      <c r="J237" s="19" t="s">
        <v>409</v>
      </c>
      <c r="K237" s="19" t="s">
        <v>168</v>
      </c>
      <c r="L237">
        <v>0</v>
      </c>
      <c r="N237" s="38"/>
      <c r="O237">
        <f t="shared" si="28"/>
        <v>796</v>
      </c>
      <c r="P237" s="116">
        <f t="shared" si="29"/>
        <v>0</v>
      </c>
      <c r="Q237" s="13"/>
    </row>
    <row r="238" spans="1:17" x14ac:dyDescent="0.25">
      <c r="A238" s="138" t="s">
        <v>149</v>
      </c>
      <c r="B238" s="1" t="s">
        <v>1117</v>
      </c>
      <c r="C238" t="str">
        <f>VLOOKUP(B238,'Planting GPS Points'!$B$3:$L$290,10,FALSE)</f>
        <v>DNR</v>
      </c>
      <c r="D238" t="str">
        <f>VLOOKUP(B238,'Planting GPS Points'!$B$3:$AL$290,17,FALSE)</f>
        <v>test</v>
      </c>
      <c r="E238" s="27">
        <v>42880</v>
      </c>
      <c r="F238" s="20">
        <v>8.0000000000000002E-3</v>
      </c>
      <c r="G238">
        <v>12</v>
      </c>
      <c r="H238" s="12" t="s">
        <v>165</v>
      </c>
      <c r="I238" s="27">
        <v>44033</v>
      </c>
      <c r="J238" s="19" t="s">
        <v>409</v>
      </c>
      <c r="K238" s="19" t="s">
        <v>168</v>
      </c>
      <c r="L238">
        <v>0</v>
      </c>
      <c r="N238" s="20" t="str">
        <f>IFERROR(L238/M238, "")</f>
        <v/>
      </c>
      <c r="O238">
        <f t="shared" ref="O238:O301" si="30">I238-E238</f>
        <v>1153</v>
      </c>
      <c r="P238" s="116">
        <f t="shared" si="29"/>
        <v>0</v>
      </c>
      <c r="Q238" s="13"/>
    </row>
    <row r="239" spans="1:17" x14ac:dyDescent="0.25">
      <c r="A239" s="1" t="s">
        <v>149</v>
      </c>
      <c r="B239" s="1" t="s">
        <v>1107</v>
      </c>
      <c r="C239" t="str">
        <f>VLOOKUP(B239,'Planting GPS Points'!$B$3:$L$290,10,FALSE)</f>
        <v>DNR</v>
      </c>
      <c r="D239" t="str">
        <f>VLOOKUP(B239,'Planting GPS Points'!$B$3:$AL$290,17,FALSE)</f>
        <v>test</v>
      </c>
      <c r="E239" s="27">
        <v>42880</v>
      </c>
      <c r="F239" s="20">
        <v>8.0000000000000002E-3</v>
      </c>
      <c r="G239">
        <v>12</v>
      </c>
      <c r="H239" s="12" t="s">
        <v>165</v>
      </c>
      <c r="I239" s="27">
        <v>42883</v>
      </c>
      <c r="J239" s="19" t="s">
        <v>291</v>
      </c>
      <c r="K239" s="19" t="s">
        <v>168</v>
      </c>
      <c r="L239">
        <v>11</v>
      </c>
      <c r="M239">
        <v>8.0000000000000002E-3</v>
      </c>
      <c r="N239">
        <f>L239/M239</f>
        <v>1375</v>
      </c>
      <c r="O239">
        <f t="shared" si="30"/>
        <v>3</v>
      </c>
      <c r="P239" s="116">
        <f t="shared" si="29"/>
        <v>0.91666666666666663</v>
      </c>
      <c r="Q239" s="13" t="s">
        <v>1071</v>
      </c>
    </row>
    <row r="240" spans="1:17" x14ac:dyDescent="0.25">
      <c r="A240" s="1" t="s">
        <v>149</v>
      </c>
      <c r="B240" s="1" t="s">
        <v>1107</v>
      </c>
      <c r="C240" t="str">
        <f>VLOOKUP(B240,'Planting GPS Points'!$B$3:$L$290,10,FALSE)</f>
        <v>DNR</v>
      </c>
      <c r="D240" t="str">
        <f>VLOOKUP(B240,'Planting GPS Points'!$B$3:$AL$290,17,FALSE)</f>
        <v>test</v>
      </c>
      <c r="E240" s="27">
        <v>42880</v>
      </c>
      <c r="F240" s="20">
        <v>8.0000000000000002E-3</v>
      </c>
      <c r="G240">
        <v>12</v>
      </c>
      <c r="H240" s="12" t="s">
        <v>165</v>
      </c>
      <c r="I240" s="27">
        <v>42938</v>
      </c>
      <c r="J240" s="19" t="s">
        <v>291</v>
      </c>
      <c r="K240" s="19" t="s">
        <v>168</v>
      </c>
      <c r="L240">
        <v>16</v>
      </c>
      <c r="M240">
        <v>8.0000000000000002E-3</v>
      </c>
      <c r="N240">
        <f>L240/M240</f>
        <v>2000</v>
      </c>
      <c r="O240">
        <f t="shared" si="30"/>
        <v>58</v>
      </c>
      <c r="P240" s="116">
        <f t="shared" si="29"/>
        <v>1.3333333333333333</v>
      </c>
      <c r="Q240" s="13" t="s">
        <v>1070</v>
      </c>
    </row>
    <row r="241" spans="1:17" x14ac:dyDescent="0.25">
      <c r="A241" s="1" t="s">
        <v>149</v>
      </c>
      <c r="B241" s="1" t="s">
        <v>1107</v>
      </c>
      <c r="C241" t="str">
        <f>VLOOKUP(B241,'Planting GPS Points'!$B$3:$L$290,10,FALSE)</f>
        <v>DNR</v>
      </c>
      <c r="D241" t="str">
        <f>VLOOKUP(B241,'Planting GPS Points'!$B$3:$AL$290,17,FALSE)</f>
        <v>test</v>
      </c>
      <c r="E241" s="27">
        <v>42880</v>
      </c>
      <c r="F241" s="20">
        <v>8.0000000000000002E-3</v>
      </c>
      <c r="G241">
        <v>12</v>
      </c>
      <c r="H241" s="12" t="s">
        <v>165</v>
      </c>
      <c r="I241" s="27">
        <v>42967</v>
      </c>
      <c r="J241" s="19" t="s">
        <v>291</v>
      </c>
      <c r="K241" s="19" t="s">
        <v>168</v>
      </c>
      <c r="L241">
        <v>25</v>
      </c>
      <c r="M241">
        <v>3.1399999999999997E-2</v>
      </c>
      <c r="N241" s="38">
        <f>L241/M241</f>
        <v>796.17834394904469</v>
      </c>
      <c r="O241">
        <f t="shared" si="30"/>
        <v>87</v>
      </c>
      <c r="P241" s="116">
        <f t="shared" si="29"/>
        <v>2.0833333333333335</v>
      </c>
      <c r="Q241" s="13" t="s">
        <v>1072</v>
      </c>
    </row>
    <row r="242" spans="1:17" x14ac:dyDescent="0.25">
      <c r="A242" s="1" t="s">
        <v>149</v>
      </c>
      <c r="B242" s="1" t="s">
        <v>1107</v>
      </c>
      <c r="C242" t="str">
        <f>VLOOKUP(B242,'Planting GPS Points'!$B$3:$L$290,10,FALSE)</f>
        <v>DNR</v>
      </c>
      <c r="D242" t="str">
        <f>VLOOKUP(B242,'Planting GPS Points'!$B$3:$AL$290,17,FALSE)</f>
        <v>test</v>
      </c>
      <c r="E242" s="27">
        <v>42880</v>
      </c>
      <c r="F242" s="20">
        <v>8.0000000000000002E-3</v>
      </c>
      <c r="G242">
        <v>12</v>
      </c>
      <c r="H242" s="12" t="s">
        <v>165</v>
      </c>
      <c r="I242" s="27">
        <v>43073</v>
      </c>
      <c r="J242" s="19" t="s">
        <v>291</v>
      </c>
      <c r="K242" s="19" t="s">
        <v>168</v>
      </c>
      <c r="L242">
        <v>66</v>
      </c>
      <c r="N242" s="38"/>
      <c r="O242">
        <f t="shared" si="30"/>
        <v>193</v>
      </c>
      <c r="P242" s="116">
        <f t="shared" si="29"/>
        <v>5.5</v>
      </c>
      <c r="Q242" s="13" t="s">
        <v>992</v>
      </c>
    </row>
    <row r="243" spans="1:17" x14ac:dyDescent="0.25">
      <c r="A243" s="1" t="s">
        <v>149</v>
      </c>
      <c r="B243" s="1" t="s">
        <v>1107</v>
      </c>
      <c r="C243" t="str">
        <f>VLOOKUP(B243,'Planting GPS Points'!$B$3:$L$290,10,FALSE)</f>
        <v>DNR</v>
      </c>
      <c r="D243" t="str">
        <f>VLOOKUP(B243,'Planting GPS Points'!$B$3:$AL$290,17,FALSE)</f>
        <v>test</v>
      </c>
      <c r="E243" s="27">
        <v>42880</v>
      </c>
      <c r="F243" s="20">
        <v>8.0000000000000002E-3</v>
      </c>
      <c r="G243">
        <v>12</v>
      </c>
      <c r="H243" s="12" t="s">
        <v>165</v>
      </c>
      <c r="I243" s="27">
        <v>43130</v>
      </c>
      <c r="J243" s="19" t="s">
        <v>291</v>
      </c>
      <c r="K243" s="19" t="s">
        <v>168</v>
      </c>
      <c r="L243">
        <v>61</v>
      </c>
      <c r="M243">
        <v>9.0746000000000007E-2</v>
      </c>
      <c r="N243" s="38">
        <f>L243/M243</f>
        <v>672.20593745178849</v>
      </c>
      <c r="O243">
        <f t="shared" si="30"/>
        <v>250</v>
      </c>
      <c r="P243" s="116">
        <f t="shared" si="29"/>
        <v>5.083333333333333</v>
      </c>
      <c r="Q243" s="13" t="s">
        <v>1073</v>
      </c>
    </row>
    <row r="244" spans="1:17" x14ac:dyDescent="0.25">
      <c r="A244" s="1" t="s">
        <v>149</v>
      </c>
      <c r="B244" s="1" t="s">
        <v>1107</v>
      </c>
      <c r="C244" t="str">
        <f>VLOOKUP(B244,'Planting GPS Points'!$B$3:$L$290,10,FALSE)</f>
        <v>DNR</v>
      </c>
      <c r="D244" t="str">
        <f>VLOOKUP(B244,'Planting GPS Points'!$B$3:$AL$290,17,FALSE)</f>
        <v>test</v>
      </c>
      <c r="E244" s="27">
        <v>42880</v>
      </c>
      <c r="F244" s="20">
        <v>8.0000000000000002E-3</v>
      </c>
      <c r="G244">
        <v>12</v>
      </c>
      <c r="H244" s="12" t="s">
        <v>165</v>
      </c>
      <c r="I244" s="27">
        <v>43235</v>
      </c>
      <c r="J244" s="19" t="s">
        <v>291</v>
      </c>
      <c r="K244" s="19" t="s">
        <v>168</v>
      </c>
      <c r="L244">
        <v>46</v>
      </c>
      <c r="M244">
        <v>7.85E-2</v>
      </c>
      <c r="N244" s="38">
        <f>L244/M244</f>
        <v>585.98726114649685</v>
      </c>
      <c r="O244">
        <f t="shared" si="30"/>
        <v>355</v>
      </c>
      <c r="P244" s="116">
        <f t="shared" si="29"/>
        <v>3.8333333333333335</v>
      </c>
      <c r="Q244" s="13" t="s">
        <v>990</v>
      </c>
    </row>
    <row r="245" spans="1:17" x14ac:dyDescent="0.25">
      <c r="A245" s="1" t="s">
        <v>149</v>
      </c>
      <c r="B245" s="1" t="s">
        <v>1107</v>
      </c>
      <c r="C245" t="str">
        <f>VLOOKUP(B245,'Planting GPS Points'!$B$3:$L$290,10,FALSE)</f>
        <v>DNR</v>
      </c>
      <c r="D245" t="str">
        <f>VLOOKUP(B245,'Planting GPS Points'!$B$3:$AL$290,17,FALSE)</f>
        <v>test</v>
      </c>
      <c r="E245" s="27">
        <v>42880</v>
      </c>
      <c r="F245" s="20">
        <v>8.0000000000000002E-3</v>
      </c>
      <c r="G245">
        <v>12</v>
      </c>
      <c r="H245" s="12" t="s">
        <v>165</v>
      </c>
      <c r="I245" s="27">
        <v>43292</v>
      </c>
      <c r="J245" s="19" t="s">
        <v>291</v>
      </c>
      <c r="K245" s="19" t="s">
        <v>168</v>
      </c>
      <c r="L245">
        <v>8</v>
      </c>
      <c r="M245">
        <v>0.10746649999999999</v>
      </c>
      <c r="N245" s="38">
        <f>L245/M245</f>
        <v>74.441802794359177</v>
      </c>
      <c r="O245">
        <f t="shared" si="30"/>
        <v>412</v>
      </c>
      <c r="P245" s="116">
        <f t="shared" si="29"/>
        <v>0.66666666666666663</v>
      </c>
      <c r="Q245" s="13" t="s">
        <v>988</v>
      </c>
    </row>
    <row r="246" spans="1:17" x14ac:dyDescent="0.25">
      <c r="A246" s="1" t="s">
        <v>149</v>
      </c>
      <c r="B246" s="1" t="s">
        <v>1107</v>
      </c>
      <c r="C246" t="str">
        <f>VLOOKUP(B246,'Planting GPS Points'!$B$3:$L$290,10,FALSE)</f>
        <v>DNR</v>
      </c>
      <c r="D246" t="str">
        <f>VLOOKUP(B246,'Planting GPS Points'!$B$3:$AL$290,17,FALSE)</f>
        <v>test</v>
      </c>
      <c r="E246" s="27">
        <v>42880</v>
      </c>
      <c r="F246" s="20">
        <v>8.0000000000000002E-3</v>
      </c>
      <c r="G246">
        <v>12</v>
      </c>
      <c r="H246" s="12" t="s">
        <v>165</v>
      </c>
      <c r="I246" s="27">
        <v>43320</v>
      </c>
      <c r="J246" s="19" t="s">
        <v>409</v>
      </c>
      <c r="K246" s="19" t="s">
        <v>168</v>
      </c>
      <c r="L246">
        <v>0</v>
      </c>
      <c r="N246" s="38"/>
      <c r="O246">
        <f t="shared" si="30"/>
        <v>440</v>
      </c>
      <c r="P246" s="116">
        <f t="shared" si="29"/>
        <v>0</v>
      </c>
      <c r="Q246" s="13"/>
    </row>
    <row r="247" spans="1:17" x14ac:dyDescent="0.25">
      <c r="A247" s="1" t="s">
        <v>149</v>
      </c>
      <c r="B247" s="1" t="s">
        <v>1107</v>
      </c>
      <c r="C247" t="str">
        <f>VLOOKUP(B247,'Planting GPS Points'!$B$3:$L$290,10,FALSE)</f>
        <v>DNR</v>
      </c>
      <c r="D247" t="str">
        <f>VLOOKUP(B247,'Planting GPS Points'!$B$3:$AL$290,17,FALSE)</f>
        <v>test</v>
      </c>
      <c r="E247" s="27">
        <v>42880</v>
      </c>
      <c r="F247" s="20">
        <v>8.0000000000000002E-3</v>
      </c>
      <c r="G247">
        <v>12</v>
      </c>
      <c r="H247" s="12" t="s">
        <v>165</v>
      </c>
      <c r="I247" s="27">
        <v>43676</v>
      </c>
      <c r="J247" s="19" t="s">
        <v>409</v>
      </c>
      <c r="K247" s="19" t="s">
        <v>168</v>
      </c>
      <c r="L247">
        <v>0</v>
      </c>
      <c r="N247" s="38"/>
      <c r="O247">
        <f t="shared" si="30"/>
        <v>796</v>
      </c>
      <c r="P247" s="116">
        <f t="shared" si="29"/>
        <v>0</v>
      </c>
      <c r="Q247" s="13"/>
    </row>
    <row r="248" spans="1:17" x14ac:dyDescent="0.25">
      <c r="A248" s="138" t="s">
        <v>149</v>
      </c>
      <c r="B248" s="1" t="s">
        <v>1107</v>
      </c>
      <c r="C248" t="str">
        <f>VLOOKUP(B248,'Planting GPS Points'!$B$3:$L$290,10,FALSE)</f>
        <v>DNR</v>
      </c>
      <c r="D248" t="str">
        <f>VLOOKUP(B248,'Planting GPS Points'!$B$3:$AL$290,17,FALSE)</f>
        <v>test</v>
      </c>
      <c r="E248" s="27">
        <v>42880</v>
      </c>
      <c r="F248" s="20">
        <v>8.0000000000000002E-3</v>
      </c>
      <c r="G248">
        <v>12</v>
      </c>
      <c r="H248" s="12" t="s">
        <v>165</v>
      </c>
      <c r="I248" s="27">
        <v>44033</v>
      </c>
      <c r="J248" s="19" t="s">
        <v>409</v>
      </c>
      <c r="K248" s="19" t="s">
        <v>168</v>
      </c>
      <c r="L248">
        <v>0</v>
      </c>
      <c r="N248" s="20" t="str">
        <f>IFERROR(L248/M248, "")</f>
        <v/>
      </c>
      <c r="O248">
        <f t="shared" si="30"/>
        <v>1153</v>
      </c>
      <c r="P248" s="116">
        <f t="shared" si="29"/>
        <v>0</v>
      </c>
      <c r="Q248" s="13"/>
    </row>
    <row r="249" spans="1:17" x14ac:dyDescent="0.25">
      <c r="A249" s="1" t="s">
        <v>149</v>
      </c>
      <c r="B249" s="1" t="s">
        <v>1111</v>
      </c>
      <c r="C249" t="str">
        <f>VLOOKUP(B249,'Planting GPS Points'!$B$3:$L$290,10,FALSE)</f>
        <v>DNR</v>
      </c>
      <c r="D249" t="str">
        <f>VLOOKUP(B249,'Planting GPS Points'!$B$3:$AL$290,17,FALSE)</f>
        <v>test</v>
      </c>
      <c r="E249" s="27">
        <v>42880</v>
      </c>
      <c r="F249" s="20">
        <v>8.0000000000000002E-3</v>
      </c>
      <c r="G249">
        <v>12</v>
      </c>
      <c r="H249" s="12" t="s">
        <v>165</v>
      </c>
      <c r="I249" s="27">
        <v>42883</v>
      </c>
      <c r="J249" s="19" t="s">
        <v>291</v>
      </c>
      <c r="K249" s="19" t="s">
        <v>168</v>
      </c>
      <c r="L249">
        <v>12</v>
      </c>
      <c r="M249">
        <v>8.0000000000000002E-3</v>
      </c>
      <c r="N249">
        <f>L249/M249</f>
        <v>1500</v>
      </c>
      <c r="O249">
        <f t="shared" si="30"/>
        <v>3</v>
      </c>
      <c r="P249" s="116">
        <f t="shared" si="29"/>
        <v>1</v>
      </c>
      <c r="Q249" s="13" t="s">
        <v>1071</v>
      </c>
    </row>
    <row r="250" spans="1:17" x14ac:dyDescent="0.25">
      <c r="A250" s="1" t="s">
        <v>149</v>
      </c>
      <c r="B250" s="1" t="s">
        <v>1111</v>
      </c>
      <c r="C250" t="str">
        <f>VLOOKUP(B250,'Planting GPS Points'!$B$3:$L$290,10,FALSE)</f>
        <v>DNR</v>
      </c>
      <c r="D250" t="str">
        <f>VLOOKUP(B250,'Planting GPS Points'!$B$3:$AL$290,17,FALSE)</f>
        <v>test</v>
      </c>
      <c r="E250" s="27">
        <v>42880</v>
      </c>
      <c r="F250" s="20">
        <v>8.0000000000000002E-3</v>
      </c>
      <c r="G250">
        <v>12</v>
      </c>
      <c r="H250" s="12" t="s">
        <v>165</v>
      </c>
      <c r="I250" s="27">
        <v>42938</v>
      </c>
      <c r="J250" s="19" t="s">
        <v>291</v>
      </c>
      <c r="K250" s="19" t="s">
        <v>168</v>
      </c>
      <c r="L250">
        <v>17</v>
      </c>
      <c r="M250">
        <v>8.0000000000000002E-3</v>
      </c>
      <c r="N250">
        <f>L250/M250</f>
        <v>2125</v>
      </c>
      <c r="O250">
        <f t="shared" si="30"/>
        <v>58</v>
      </c>
      <c r="P250" s="116">
        <f t="shared" si="29"/>
        <v>1.4166666666666667</v>
      </c>
      <c r="Q250" s="13" t="s">
        <v>1070</v>
      </c>
    </row>
    <row r="251" spans="1:17" x14ac:dyDescent="0.25">
      <c r="A251" s="1" t="s">
        <v>149</v>
      </c>
      <c r="B251" s="1" t="s">
        <v>1111</v>
      </c>
      <c r="C251" t="str">
        <f>VLOOKUP(B251,'Planting GPS Points'!$B$3:$L$290,10,FALSE)</f>
        <v>DNR</v>
      </c>
      <c r="D251" t="str">
        <f>VLOOKUP(B251,'Planting GPS Points'!$B$3:$AL$290,17,FALSE)</f>
        <v>test</v>
      </c>
      <c r="E251" s="27">
        <v>42880</v>
      </c>
      <c r="F251" s="20">
        <v>8.0000000000000002E-3</v>
      </c>
      <c r="G251">
        <v>12</v>
      </c>
      <c r="H251" s="12" t="s">
        <v>165</v>
      </c>
      <c r="I251" s="27">
        <v>42967</v>
      </c>
      <c r="J251" s="19" t="s">
        <v>291</v>
      </c>
      <c r="K251" s="19" t="s">
        <v>168</v>
      </c>
      <c r="L251">
        <v>29</v>
      </c>
      <c r="M251">
        <v>4.9059999999999999E-2</v>
      </c>
      <c r="N251" s="38">
        <f>L251/M251</f>
        <v>591.11292295148803</v>
      </c>
      <c r="O251">
        <f t="shared" si="30"/>
        <v>87</v>
      </c>
      <c r="P251" s="116">
        <f t="shared" si="29"/>
        <v>2.4166666666666665</v>
      </c>
      <c r="Q251" s="13" t="s">
        <v>1070</v>
      </c>
    </row>
    <row r="252" spans="1:17" x14ac:dyDescent="0.25">
      <c r="A252" s="1" t="s">
        <v>149</v>
      </c>
      <c r="B252" s="1" t="s">
        <v>1111</v>
      </c>
      <c r="C252" t="str">
        <f>VLOOKUP(B252,'Planting GPS Points'!$B$3:$L$290,10,FALSE)</f>
        <v>DNR</v>
      </c>
      <c r="D252" t="str">
        <f>VLOOKUP(B252,'Planting GPS Points'!$B$3:$AL$290,17,FALSE)</f>
        <v>test</v>
      </c>
      <c r="E252" s="27">
        <v>42880</v>
      </c>
      <c r="F252" s="20">
        <v>8.0000000000000002E-3</v>
      </c>
      <c r="G252">
        <v>12</v>
      </c>
      <c r="H252" s="12" t="s">
        <v>165</v>
      </c>
      <c r="I252" s="27">
        <v>43073</v>
      </c>
      <c r="J252" s="19" t="s">
        <v>291</v>
      </c>
      <c r="K252" s="19" t="s">
        <v>168</v>
      </c>
      <c r="L252">
        <v>71</v>
      </c>
      <c r="N252" s="38"/>
      <c r="O252">
        <f t="shared" si="30"/>
        <v>193</v>
      </c>
      <c r="P252" s="116">
        <f t="shared" si="29"/>
        <v>5.916666666666667</v>
      </c>
      <c r="Q252" s="13" t="s">
        <v>992</v>
      </c>
    </row>
    <row r="253" spans="1:17" x14ac:dyDescent="0.25">
      <c r="A253" s="1" t="s">
        <v>149</v>
      </c>
      <c r="B253" s="1" t="s">
        <v>1111</v>
      </c>
      <c r="C253" t="str">
        <f>VLOOKUP(B253,'Planting GPS Points'!$B$3:$L$290,10,FALSE)</f>
        <v>DNR</v>
      </c>
      <c r="D253" t="str">
        <f>VLOOKUP(B253,'Planting GPS Points'!$B$3:$AL$290,17,FALSE)</f>
        <v>test</v>
      </c>
      <c r="E253" s="27">
        <v>42880</v>
      </c>
      <c r="F253" s="20">
        <v>8.0000000000000002E-3</v>
      </c>
      <c r="G253">
        <v>12</v>
      </c>
      <c r="H253" s="12" t="s">
        <v>165</v>
      </c>
      <c r="I253" s="27">
        <v>43130</v>
      </c>
      <c r="J253" s="19" t="s">
        <v>291</v>
      </c>
      <c r="K253" s="19" t="s">
        <v>168</v>
      </c>
      <c r="L253">
        <v>23</v>
      </c>
      <c r="M253">
        <v>0.228906</v>
      </c>
      <c r="N253" s="38">
        <f>L253/M253</f>
        <v>100.47792543664211</v>
      </c>
      <c r="O253">
        <f t="shared" si="30"/>
        <v>250</v>
      </c>
      <c r="P253" s="116">
        <f t="shared" si="29"/>
        <v>1.9166666666666667</v>
      </c>
      <c r="Q253" s="13" t="s">
        <v>1073</v>
      </c>
    </row>
    <row r="254" spans="1:17" x14ac:dyDescent="0.25">
      <c r="A254" s="1" t="s">
        <v>149</v>
      </c>
      <c r="B254" s="1" t="s">
        <v>1111</v>
      </c>
      <c r="C254" t="str">
        <f>VLOOKUP(B254,'Planting GPS Points'!$B$3:$L$290,10,FALSE)</f>
        <v>DNR</v>
      </c>
      <c r="D254" t="str">
        <f>VLOOKUP(B254,'Planting GPS Points'!$B$3:$AL$290,17,FALSE)</f>
        <v>test</v>
      </c>
      <c r="E254" s="27">
        <v>42880</v>
      </c>
      <c r="F254" s="20">
        <v>8.0000000000000002E-3</v>
      </c>
      <c r="G254">
        <v>12</v>
      </c>
      <c r="H254" s="12" t="s">
        <v>165</v>
      </c>
      <c r="I254" s="27">
        <v>43235</v>
      </c>
      <c r="J254" s="19" t="s">
        <v>291</v>
      </c>
      <c r="K254" s="19" t="s">
        <v>168</v>
      </c>
      <c r="L254">
        <v>27</v>
      </c>
      <c r="M254">
        <v>0.39563999999999999</v>
      </c>
      <c r="N254" s="38">
        <f>L254/M254</f>
        <v>68.243858052775252</v>
      </c>
      <c r="O254">
        <f t="shared" si="30"/>
        <v>355</v>
      </c>
      <c r="P254" s="116">
        <f t="shared" si="29"/>
        <v>2.25</v>
      </c>
      <c r="Q254" s="13" t="s">
        <v>990</v>
      </c>
    </row>
    <row r="255" spans="1:17" x14ac:dyDescent="0.25">
      <c r="A255" s="1" t="s">
        <v>149</v>
      </c>
      <c r="B255" s="1" t="s">
        <v>1111</v>
      </c>
      <c r="C255" t="str">
        <f>VLOOKUP(B255,'Planting GPS Points'!$B$3:$L$290,10,FALSE)</f>
        <v>DNR</v>
      </c>
      <c r="D255" t="str">
        <f>VLOOKUP(B255,'Planting GPS Points'!$B$3:$AL$290,17,FALSE)</f>
        <v>test</v>
      </c>
      <c r="E255" s="27">
        <v>42880</v>
      </c>
      <c r="F255" s="20">
        <v>8.0000000000000002E-3</v>
      </c>
      <c r="G255">
        <v>12</v>
      </c>
      <c r="H255" s="12" t="s">
        <v>165</v>
      </c>
      <c r="I255" s="27">
        <v>43292</v>
      </c>
      <c r="J255" s="19" t="s">
        <v>291</v>
      </c>
      <c r="K255" s="19" t="s">
        <v>168</v>
      </c>
      <c r="L255">
        <v>2</v>
      </c>
      <c r="M255">
        <v>0.15896250000000001</v>
      </c>
      <c r="N255" s="38">
        <f>L255/M255</f>
        <v>12.581583706849099</v>
      </c>
      <c r="O255">
        <f t="shared" si="30"/>
        <v>412</v>
      </c>
      <c r="P255" s="116">
        <f t="shared" si="29"/>
        <v>0.16666666666666666</v>
      </c>
      <c r="Q255" s="13" t="s">
        <v>988</v>
      </c>
    </row>
    <row r="256" spans="1:17" x14ac:dyDescent="0.25">
      <c r="A256" s="1" t="s">
        <v>149</v>
      </c>
      <c r="B256" s="1" t="s">
        <v>1111</v>
      </c>
      <c r="C256" t="str">
        <f>VLOOKUP(B256,'Planting GPS Points'!$B$3:$L$290,10,FALSE)</f>
        <v>DNR</v>
      </c>
      <c r="D256" t="str">
        <f>VLOOKUP(B256,'Planting GPS Points'!$B$3:$AL$290,17,FALSE)</f>
        <v>test</v>
      </c>
      <c r="E256" s="27">
        <v>42880</v>
      </c>
      <c r="F256" s="20">
        <v>8.0000000000000002E-3</v>
      </c>
      <c r="G256">
        <v>12</v>
      </c>
      <c r="H256" s="12" t="s">
        <v>165</v>
      </c>
      <c r="I256" s="27">
        <v>43320</v>
      </c>
      <c r="J256" s="19" t="s">
        <v>409</v>
      </c>
      <c r="K256" s="19" t="s">
        <v>168</v>
      </c>
      <c r="L256">
        <v>0</v>
      </c>
      <c r="N256" s="38"/>
      <c r="O256">
        <f t="shared" si="30"/>
        <v>440</v>
      </c>
      <c r="P256" s="116">
        <f t="shared" si="29"/>
        <v>0</v>
      </c>
      <c r="Q256" s="13"/>
    </row>
    <row r="257" spans="1:18" x14ac:dyDescent="0.25">
      <c r="A257" s="1" t="s">
        <v>149</v>
      </c>
      <c r="B257" s="1" t="s">
        <v>1111</v>
      </c>
      <c r="C257" t="str">
        <f>VLOOKUP(B257,'Planting GPS Points'!$B$3:$L$290,10,FALSE)</f>
        <v>DNR</v>
      </c>
      <c r="D257" t="str">
        <f>VLOOKUP(B257,'Planting GPS Points'!$B$3:$AL$290,17,FALSE)</f>
        <v>test</v>
      </c>
      <c r="E257" s="27">
        <v>42880</v>
      </c>
      <c r="F257" s="20">
        <v>8.0000000000000002E-3</v>
      </c>
      <c r="G257">
        <v>12</v>
      </c>
      <c r="H257" s="12" t="s">
        <v>165</v>
      </c>
      <c r="I257" s="27">
        <v>43676</v>
      </c>
      <c r="J257" s="19" t="s">
        <v>409</v>
      </c>
      <c r="K257" s="19" t="s">
        <v>168</v>
      </c>
      <c r="L257">
        <v>0</v>
      </c>
      <c r="N257" s="38"/>
      <c r="O257">
        <f t="shared" si="30"/>
        <v>796</v>
      </c>
      <c r="P257" s="116">
        <f t="shared" si="29"/>
        <v>0</v>
      </c>
      <c r="Q257" s="13"/>
    </row>
    <row r="258" spans="1:18" x14ac:dyDescent="0.25">
      <c r="A258" s="138" t="s">
        <v>149</v>
      </c>
      <c r="B258" s="1" t="s">
        <v>1111</v>
      </c>
      <c r="C258" t="str">
        <f>VLOOKUP(B258,'Planting GPS Points'!$B$3:$L$290,10,FALSE)</f>
        <v>DNR</v>
      </c>
      <c r="D258" t="str">
        <f>VLOOKUP(B258,'Planting GPS Points'!$B$3:$AL$290,17,FALSE)</f>
        <v>test</v>
      </c>
      <c r="E258" s="27">
        <v>42880</v>
      </c>
      <c r="F258" s="20">
        <v>8.0000000000000002E-3</v>
      </c>
      <c r="G258">
        <v>12</v>
      </c>
      <c r="H258" s="12" t="s">
        <v>165</v>
      </c>
      <c r="I258" s="27">
        <v>44033</v>
      </c>
      <c r="J258" s="19" t="s">
        <v>409</v>
      </c>
      <c r="K258" s="19" t="s">
        <v>168</v>
      </c>
      <c r="L258">
        <v>0</v>
      </c>
      <c r="N258" s="20" t="str">
        <f>IFERROR(L258/M258, "")</f>
        <v/>
      </c>
      <c r="O258">
        <f t="shared" si="30"/>
        <v>1153</v>
      </c>
      <c r="P258" s="116">
        <f t="shared" si="29"/>
        <v>0</v>
      </c>
      <c r="Q258" s="13"/>
    </row>
    <row r="259" spans="1:18" x14ac:dyDescent="0.25">
      <c r="A259" s="1" t="s">
        <v>149</v>
      </c>
      <c r="B259" s="1" t="s">
        <v>1113</v>
      </c>
      <c r="C259" t="str">
        <f>VLOOKUP(B259,'Planting GPS Points'!$B$3:$L$290,10,FALSE)</f>
        <v>DNR</v>
      </c>
      <c r="D259" t="str">
        <f>VLOOKUP(B259,'Planting GPS Points'!$B$3:$AL$290,17,FALSE)</f>
        <v>test</v>
      </c>
      <c r="E259" s="27">
        <v>42880</v>
      </c>
      <c r="F259" s="20">
        <v>8.0000000000000002E-3</v>
      </c>
      <c r="G259">
        <v>12</v>
      </c>
      <c r="H259" s="12" t="s">
        <v>165</v>
      </c>
      <c r="I259" s="27">
        <v>42883</v>
      </c>
      <c r="J259" s="19" t="s">
        <v>291</v>
      </c>
      <c r="K259" s="19" t="s">
        <v>168</v>
      </c>
      <c r="L259">
        <v>9</v>
      </c>
      <c r="M259">
        <v>8.0000000000000002E-3</v>
      </c>
      <c r="N259">
        <f>L259/M259</f>
        <v>1125</v>
      </c>
      <c r="O259">
        <f t="shared" si="30"/>
        <v>3</v>
      </c>
      <c r="P259" s="116">
        <f t="shared" si="29"/>
        <v>0.75</v>
      </c>
      <c r="Q259" s="13" t="s">
        <v>1071</v>
      </c>
    </row>
    <row r="260" spans="1:18" x14ac:dyDescent="0.25">
      <c r="A260" s="1" t="s">
        <v>149</v>
      </c>
      <c r="B260" s="1" t="s">
        <v>1113</v>
      </c>
      <c r="C260" t="str">
        <f>VLOOKUP(B260,'Planting GPS Points'!$B$3:$L$290,10,FALSE)</f>
        <v>DNR</v>
      </c>
      <c r="D260" t="str">
        <f>VLOOKUP(B260,'Planting GPS Points'!$B$3:$AL$290,17,FALSE)</f>
        <v>test</v>
      </c>
      <c r="E260" s="27">
        <v>42880</v>
      </c>
      <c r="F260" s="20">
        <v>8.0000000000000002E-3</v>
      </c>
      <c r="G260">
        <v>12</v>
      </c>
      <c r="H260" s="12" t="s">
        <v>165</v>
      </c>
      <c r="I260" s="27">
        <v>42938</v>
      </c>
      <c r="J260" s="19" t="s">
        <v>291</v>
      </c>
      <c r="K260" s="19" t="s">
        <v>168</v>
      </c>
      <c r="L260">
        <v>12</v>
      </c>
      <c r="M260">
        <v>8.0000000000000002E-3</v>
      </c>
      <c r="N260">
        <f>L260/M260</f>
        <v>1500</v>
      </c>
      <c r="O260">
        <f t="shared" si="30"/>
        <v>58</v>
      </c>
      <c r="P260" s="116">
        <f t="shared" si="29"/>
        <v>1</v>
      </c>
      <c r="Q260" s="13" t="s">
        <v>1070</v>
      </c>
    </row>
    <row r="261" spans="1:18" x14ac:dyDescent="0.25">
      <c r="A261" s="1" t="s">
        <v>149</v>
      </c>
      <c r="B261" s="1" t="s">
        <v>1113</v>
      </c>
      <c r="C261" t="str">
        <f>VLOOKUP(B261,'Planting GPS Points'!$B$3:$L$290,10,FALSE)</f>
        <v>DNR</v>
      </c>
      <c r="D261" t="str">
        <f>VLOOKUP(B261,'Planting GPS Points'!$B$3:$AL$290,17,FALSE)</f>
        <v>test</v>
      </c>
      <c r="E261" s="27">
        <v>42880</v>
      </c>
      <c r="F261" s="20">
        <v>8.0000000000000002E-3</v>
      </c>
      <c r="G261">
        <v>12</v>
      </c>
      <c r="H261" s="12" t="s">
        <v>165</v>
      </c>
      <c r="I261" s="27">
        <v>42967</v>
      </c>
      <c r="J261" s="19" t="s">
        <v>291</v>
      </c>
      <c r="K261" s="19" t="s">
        <v>168</v>
      </c>
      <c r="L261">
        <v>22</v>
      </c>
      <c r="M261">
        <v>5.3069999999999999E-2</v>
      </c>
      <c r="N261" s="38">
        <f>L261/M261</f>
        <v>414.54682494818167</v>
      </c>
      <c r="O261">
        <f t="shared" si="30"/>
        <v>87</v>
      </c>
      <c r="P261" s="116">
        <f t="shared" si="29"/>
        <v>1.8333333333333333</v>
      </c>
      <c r="Q261" s="13" t="s">
        <v>1070</v>
      </c>
    </row>
    <row r="262" spans="1:18" x14ac:dyDescent="0.25">
      <c r="A262" s="1" t="s">
        <v>149</v>
      </c>
      <c r="B262" s="1" t="s">
        <v>1113</v>
      </c>
      <c r="C262" t="str">
        <f>VLOOKUP(B262,'Planting GPS Points'!$B$3:$L$290,10,FALSE)</f>
        <v>DNR</v>
      </c>
      <c r="D262" t="str">
        <f>VLOOKUP(B262,'Planting GPS Points'!$B$3:$AL$290,17,FALSE)</f>
        <v>test</v>
      </c>
      <c r="E262" s="27">
        <v>42880</v>
      </c>
      <c r="F262" s="20">
        <v>8.0000000000000002E-3</v>
      </c>
      <c r="G262">
        <v>12</v>
      </c>
      <c r="H262" s="12" t="s">
        <v>165</v>
      </c>
      <c r="I262" s="27">
        <v>43073</v>
      </c>
      <c r="J262" s="19" t="s">
        <v>291</v>
      </c>
      <c r="K262" s="19" t="s">
        <v>168</v>
      </c>
      <c r="L262">
        <v>36</v>
      </c>
      <c r="N262" s="38"/>
      <c r="O262">
        <f t="shared" si="30"/>
        <v>193</v>
      </c>
      <c r="P262" s="116">
        <f t="shared" si="29"/>
        <v>3</v>
      </c>
      <c r="Q262" s="13" t="s">
        <v>992</v>
      </c>
    </row>
    <row r="263" spans="1:18" x14ac:dyDescent="0.25">
      <c r="A263" s="1" t="s">
        <v>149</v>
      </c>
      <c r="B263" s="1" t="s">
        <v>1113</v>
      </c>
      <c r="C263" t="str">
        <f>VLOOKUP(B263,'Planting GPS Points'!$B$3:$L$290,10,FALSE)</f>
        <v>DNR</v>
      </c>
      <c r="D263" t="str">
        <f>VLOOKUP(B263,'Planting GPS Points'!$B$3:$AL$290,17,FALSE)</f>
        <v>test</v>
      </c>
      <c r="E263" s="27">
        <v>42880</v>
      </c>
      <c r="F263" s="20">
        <v>8.0000000000000002E-3</v>
      </c>
      <c r="G263">
        <v>12</v>
      </c>
      <c r="H263" s="12" t="s">
        <v>165</v>
      </c>
      <c r="I263" s="27">
        <v>43130</v>
      </c>
      <c r="J263" s="19" t="s">
        <v>291</v>
      </c>
      <c r="K263" s="19" t="s">
        <v>168</v>
      </c>
      <c r="L263">
        <v>24</v>
      </c>
      <c r="M263">
        <v>4.9062500000000002E-2</v>
      </c>
      <c r="N263" s="38">
        <f>L263/M263</f>
        <v>489.171974522293</v>
      </c>
      <c r="O263">
        <f t="shared" si="30"/>
        <v>250</v>
      </c>
      <c r="P263" s="116">
        <f t="shared" si="29"/>
        <v>2</v>
      </c>
      <c r="Q263" s="13" t="s">
        <v>1073</v>
      </c>
    </row>
    <row r="264" spans="1:18" s="110" customFormat="1" x14ac:dyDescent="0.25">
      <c r="A264" s="1" t="s">
        <v>149</v>
      </c>
      <c r="B264" s="1" t="s">
        <v>1113</v>
      </c>
      <c r="C264" t="str">
        <f>VLOOKUP(B264,'Planting GPS Points'!$B$3:$L$290,10,FALSE)</f>
        <v>DNR</v>
      </c>
      <c r="D264" t="str">
        <f>VLOOKUP(B264,'Planting GPS Points'!$B$3:$AL$290,17,FALSE)</f>
        <v>test</v>
      </c>
      <c r="E264" s="27">
        <v>42880</v>
      </c>
      <c r="F264" s="20">
        <v>8.0000000000000002E-3</v>
      </c>
      <c r="G264">
        <v>12</v>
      </c>
      <c r="H264" s="12" t="s">
        <v>165</v>
      </c>
      <c r="I264" s="27">
        <v>43235</v>
      </c>
      <c r="J264" s="19" t="s">
        <v>291</v>
      </c>
      <c r="K264" s="19" t="s">
        <v>168</v>
      </c>
      <c r="L264">
        <v>67</v>
      </c>
      <c r="M264">
        <v>0.37366000000000005</v>
      </c>
      <c r="N264" s="38">
        <f>L264/M264</f>
        <v>179.30739174650751</v>
      </c>
      <c r="O264">
        <f t="shared" si="30"/>
        <v>355</v>
      </c>
      <c r="P264" s="116">
        <f t="shared" si="29"/>
        <v>5.583333333333333</v>
      </c>
      <c r="Q264" s="13" t="s">
        <v>1074</v>
      </c>
      <c r="R264"/>
    </row>
    <row r="265" spans="1:18" x14ac:dyDescent="0.25">
      <c r="A265" s="1" t="s">
        <v>149</v>
      </c>
      <c r="B265" s="1" t="s">
        <v>1113</v>
      </c>
      <c r="C265" t="str">
        <f>VLOOKUP(B265,'Planting GPS Points'!$B$3:$L$290,10,FALSE)</f>
        <v>DNR</v>
      </c>
      <c r="D265" t="str">
        <f>VLOOKUP(B265,'Planting GPS Points'!$B$3:$AL$290,17,FALSE)</f>
        <v>test</v>
      </c>
      <c r="E265" s="27">
        <v>42880</v>
      </c>
      <c r="F265" s="20">
        <v>8.0000000000000002E-3</v>
      </c>
      <c r="G265">
        <v>12</v>
      </c>
      <c r="H265" s="12" t="s">
        <v>165</v>
      </c>
      <c r="I265" s="27">
        <v>43292</v>
      </c>
      <c r="J265" s="19" t="s">
        <v>291</v>
      </c>
      <c r="K265" s="19" t="s">
        <v>168</v>
      </c>
      <c r="L265">
        <v>89</v>
      </c>
      <c r="M265">
        <v>0.51700100000000004</v>
      </c>
      <c r="N265" s="38">
        <f>L265/M265</f>
        <v>172.14666896195558</v>
      </c>
      <c r="O265">
        <f t="shared" si="30"/>
        <v>412</v>
      </c>
      <c r="P265" s="116">
        <f t="shared" si="29"/>
        <v>7.416666666666667</v>
      </c>
      <c r="Q265" s="13" t="s">
        <v>1075</v>
      </c>
    </row>
    <row r="266" spans="1:18" x14ac:dyDescent="0.25">
      <c r="A266" s="1" t="s">
        <v>149</v>
      </c>
      <c r="B266" s="1" t="s">
        <v>1113</v>
      </c>
      <c r="C266" t="str">
        <f>VLOOKUP(B266,'Planting GPS Points'!$B$3:$L$290,10,FALSE)</f>
        <v>DNR</v>
      </c>
      <c r="D266" t="str">
        <f>VLOOKUP(B266,'Planting GPS Points'!$B$3:$AL$290,17,FALSE)</f>
        <v>test</v>
      </c>
      <c r="E266" s="27">
        <v>42880</v>
      </c>
      <c r="F266" s="20">
        <v>8.0000000000000002E-3</v>
      </c>
      <c r="G266">
        <v>12</v>
      </c>
      <c r="H266" s="12" t="s">
        <v>165</v>
      </c>
      <c r="I266" s="27">
        <v>43320</v>
      </c>
      <c r="J266" s="19" t="s">
        <v>291</v>
      </c>
      <c r="K266" s="19" t="s">
        <v>168</v>
      </c>
      <c r="L266">
        <v>110</v>
      </c>
      <c r="M266">
        <v>0.40820000000000001</v>
      </c>
      <c r="N266" s="38">
        <f>L266/M266</f>
        <v>269.47574718275354</v>
      </c>
      <c r="O266">
        <f t="shared" si="30"/>
        <v>440</v>
      </c>
      <c r="P266" s="116">
        <f t="shared" si="29"/>
        <v>9.1666666666666661</v>
      </c>
      <c r="Q266" s="13" t="s">
        <v>1077</v>
      </c>
    </row>
    <row r="267" spans="1:18" s="110" customFormat="1" x14ac:dyDescent="0.25">
      <c r="A267" s="1" t="s">
        <v>149</v>
      </c>
      <c r="B267" s="1" t="s">
        <v>1113</v>
      </c>
      <c r="C267" t="str">
        <f>VLOOKUP(B267,'Planting GPS Points'!$B$3:$L$290,10,FALSE)</f>
        <v>DNR</v>
      </c>
      <c r="D267" t="str">
        <f>VLOOKUP(B267,'Planting GPS Points'!$B$3:$AL$290,17,FALSE)</f>
        <v>test</v>
      </c>
      <c r="E267" s="27">
        <v>42880</v>
      </c>
      <c r="F267" s="20">
        <v>8.0000000000000002E-3</v>
      </c>
      <c r="G267">
        <v>12</v>
      </c>
      <c r="H267" s="12" t="s">
        <v>165</v>
      </c>
      <c r="I267" s="27">
        <v>43676</v>
      </c>
      <c r="J267" s="19" t="s">
        <v>291</v>
      </c>
      <c r="K267" s="19" t="s">
        <v>168</v>
      </c>
      <c r="L267">
        <v>374</v>
      </c>
      <c r="M267" s="20">
        <v>2.9830000000000001</v>
      </c>
      <c r="N267" s="38">
        <f>L267/M267</f>
        <v>125.37713711029164</v>
      </c>
      <c r="O267">
        <f t="shared" si="30"/>
        <v>796</v>
      </c>
      <c r="P267" s="116">
        <f t="shared" si="29"/>
        <v>31.166666666666668</v>
      </c>
      <c r="Q267" s="13" t="s">
        <v>1079</v>
      </c>
      <c r="R267"/>
    </row>
    <row r="268" spans="1:18" s="110" customFormat="1" x14ac:dyDescent="0.25">
      <c r="A268" s="138" t="s">
        <v>149</v>
      </c>
      <c r="B268" s="1" t="s">
        <v>1113</v>
      </c>
      <c r="C268" t="str">
        <f>VLOOKUP(B268,'Planting GPS Points'!$B$3:$L$290,10,FALSE)</f>
        <v>DNR</v>
      </c>
      <c r="D268" t="str">
        <f>VLOOKUP(B268,'Planting GPS Points'!$B$3:$AL$290,17,FALSE)</f>
        <v>test</v>
      </c>
      <c r="E268" s="27">
        <v>42880</v>
      </c>
      <c r="F268" s="20">
        <v>8.0000000000000002E-3</v>
      </c>
      <c r="G268">
        <v>12</v>
      </c>
      <c r="H268" s="12" t="s">
        <v>165</v>
      </c>
      <c r="I268" s="27">
        <v>44033</v>
      </c>
      <c r="J268" s="19" t="s">
        <v>291</v>
      </c>
      <c r="K268" s="19" t="s">
        <v>168</v>
      </c>
      <c r="L268"/>
      <c r="M268" s="20"/>
      <c r="N268" s="20" t="str">
        <f>IFERROR(L268/M268, "")</f>
        <v/>
      </c>
      <c r="O268">
        <f t="shared" si="30"/>
        <v>1153</v>
      </c>
      <c r="P268" s="116" t="str">
        <f t="shared" si="29"/>
        <v/>
      </c>
      <c r="Q268" s="13" t="s">
        <v>1079</v>
      </c>
      <c r="R268"/>
    </row>
    <row r="269" spans="1:18" x14ac:dyDescent="0.25">
      <c r="A269" s="1" t="s">
        <v>149</v>
      </c>
      <c r="B269" s="1" t="s">
        <v>1115</v>
      </c>
      <c r="C269" t="str">
        <f>VLOOKUP(B269,'Planting GPS Points'!$B$3:$L$290,10,FALSE)</f>
        <v>DNR</v>
      </c>
      <c r="D269" t="str">
        <f>VLOOKUP(B269,'Planting GPS Points'!$B$3:$AL$290,17,FALSE)</f>
        <v>test</v>
      </c>
      <c r="E269" s="27">
        <v>42880</v>
      </c>
      <c r="F269" s="20">
        <v>8.0000000000000002E-3</v>
      </c>
      <c r="G269">
        <v>12</v>
      </c>
      <c r="H269" s="12" t="s">
        <v>165</v>
      </c>
      <c r="I269" s="27">
        <v>42883</v>
      </c>
      <c r="J269" s="19" t="s">
        <v>291</v>
      </c>
      <c r="K269" s="19" t="s">
        <v>168</v>
      </c>
      <c r="L269">
        <v>8</v>
      </c>
      <c r="M269">
        <v>8.0000000000000002E-3</v>
      </c>
      <c r="N269">
        <f>L269/M269</f>
        <v>1000</v>
      </c>
      <c r="O269">
        <f t="shared" si="30"/>
        <v>3</v>
      </c>
      <c r="P269" s="116">
        <f t="shared" si="29"/>
        <v>0.66666666666666663</v>
      </c>
      <c r="Q269" s="13" t="s">
        <v>1071</v>
      </c>
    </row>
    <row r="270" spans="1:18" x14ac:dyDescent="0.25">
      <c r="A270" s="1" t="s">
        <v>149</v>
      </c>
      <c r="B270" s="1" t="s">
        <v>1115</v>
      </c>
      <c r="C270" t="str">
        <f>VLOOKUP(B270,'Planting GPS Points'!$B$3:$L$290,10,FALSE)</f>
        <v>DNR</v>
      </c>
      <c r="D270" t="str">
        <f>VLOOKUP(B270,'Planting GPS Points'!$B$3:$AL$290,17,FALSE)</f>
        <v>test</v>
      </c>
      <c r="E270" s="27">
        <v>42880</v>
      </c>
      <c r="F270" s="20">
        <v>8.0000000000000002E-3</v>
      </c>
      <c r="G270">
        <v>12</v>
      </c>
      <c r="H270" s="12" t="s">
        <v>165</v>
      </c>
      <c r="I270" s="27">
        <v>42938</v>
      </c>
      <c r="J270" s="19" t="s">
        <v>291</v>
      </c>
      <c r="K270" s="19" t="s">
        <v>168</v>
      </c>
      <c r="L270">
        <v>18</v>
      </c>
      <c r="M270">
        <v>8.0000000000000002E-3</v>
      </c>
      <c r="N270">
        <f>L270/M270</f>
        <v>2250</v>
      </c>
      <c r="O270">
        <f t="shared" si="30"/>
        <v>58</v>
      </c>
      <c r="P270" s="116">
        <f t="shared" si="29"/>
        <v>1.5</v>
      </c>
      <c r="Q270" s="13" t="s">
        <v>1070</v>
      </c>
    </row>
    <row r="271" spans="1:18" x14ac:dyDescent="0.25">
      <c r="A271" s="1" t="s">
        <v>149</v>
      </c>
      <c r="B271" s="1" t="s">
        <v>1115</v>
      </c>
      <c r="C271" t="str">
        <f>VLOOKUP(B271,'Planting GPS Points'!$B$3:$L$290,10,FALSE)</f>
        <v>DNR</v>
      </c>
      <c r="D271" t="str">
        <f>VLOOKUP(B271,'Planting GPS Points'!$B$3:$AL$290,17,FALSE)</f>
        <v>test</v>
      </c>
      <c r="E271" s="27">
        <v>42880</v>
      </c>
      <c r="F271" s="20">
        <v>8.0000000000000002E-3</v>
      </c>
      <c r="G271">
        <v>12</v>
      </c>
      <c r="H271" s="12" t="s">
        <v>165</v>
      </c>
      <c r="I271" s="27">
        <v>42967</v>
      </c>
      <c r="J271" s="19" t="s">
        <v>291</v>
      </c>
      <c r="K271" s="19" t="s">
        <v>168</v>
      </c>
      <c r="L271">
        <v>34</v>
      </c>
      <c r="M271">
        <v>0.15198</v>
      </c>
      <c r="N271" s="38">
        <f>L271/M271</f>
        <v>223.71364653243847</v>
      </c>
      <c r="O271">
        <f t="shared" si="30"/>
        <v>87</v>
      </c>
      <c r="P271" s="116">
        <f t="shared" si="29"/>
        <v>2.8333333333333335</v>
      </c>
      <c r="Q271" s="13" t="s">
        <v>1070</v>
      </c>
    </row>
    <row r="272" spans="1:18" x14ac:dyDescent="0.25">
      <c r="A272" s="1" t="s">
        <v>149</v>
      </c>
      <c r="B272" s="1" t="s">
        <v>1115</v>
      </c>
      <c r="C272" t="str">
        <f>VLOOKUP(B272,'Planting GPS Points'!$B$3:$L$290,10,FALSE)</f>
        <v>DNR</v>
      </c>
      <c r="D272" t="str">
        <f>VLOOKUP(B272,'Planting GPS Points'!$B$3:$AL$290,17,FALSE)</f>
        <v>test</v>
      </c>
      <c r="E272" s="27">
        <v>42880</v>
      </c>
      <c r="F272" s="20">
        <v>8.0000000000000002E-3</v>
      </c>
      <c r="G272">
        <v>12</v>
      </c>
      <c r="H272" s="12" t="s">
        <v>165</v>
      </c>
      <c r="I272" s="27">
        <v>43073</v>
      </c>
      <c r="J272" s="19" t="s">
        <v>291</v>
      </c>
      <c r="K272" s="19" t="s">
        <v>168</v>
      </c>
      <c r="L272">
        <v>95</v>
      </c>
      <c r="N272" s="38"/>
      <c r="O272">
        <f t="shared" si="30"/>
        <v>193</v>
      </c>
      <c r="P272" s="116">
        <f t="shared" ref="P272:P335" si="31">IF(L272="", "", L272/G272)</f>
        <v>7.916666666666667</v>
      </c>
      <c r="Q272" s="13" t="s">
        <v>992</v>
      </c>
    </row>
    <row r="273" spans="1:17" x14ac:dyDescent="0.25">
      <c r="A273" s="1" t="s">
        <v>149</v>
      </c>
      <c r="B273" s="1" t="s">
        <v>1115</v>
      </c>
      <c r="C273" t="str">
        <f>VLOOKUP(B273,'Planting GPS Points'!$B$3:$L$290,10,FALSE)</f>
        <v>DNR</v>
      </c>
      <c r="D273" t="str">
        <f>VLOOKUP(B273,'Planting GPS Points'!$B$3:$AL$290,17,FALSE)</f>
        <v>test</v>
      </c>
      <c r="E273" s="27">
        <v>42880</v>
      </c>
      <c r="F273" s="20">
        <v>8.0000000000000002E-3</v>
      </c>
      <c r="G273">
        <v>12</v>
      </c>
      <c r="H273" s="12" t="s">
        <v>165</v>
      </c>
      <c r="I273" s="27">
        <v>43130</v>
      </c>
      <c r="J273" s="19" t="s">
        <v>291</v>
      </c>
      <c r="K273" s="19" t="s">
        <v>168</v>
      </c>
      <c r="L273">
        <v>78</v>
      </c>
      <c r="M273">
        <v>0.12559999999999999</v>
      </c>
      <c r="N273" s="38">
        <f>L273/M273</f>
        <v>621.01910828025484</v>
      </c>
      <c r="O273">
        <f t="shared" si="30"/>
        <v>250</v>
      </c>
      <c r="P273" s="116">
        <f t="shared" si="31"/>
        <v>6.5</v>
      </c>
      <c r="Q273" s="13" t="s">
        <v>1073</v>
      </c>
    </row>
    <row r="274" spans="1:17" x14ac:dyDescent="0.25">
      <c r="A274" s="1" t="s">
        <v>149</v>
      </c>
      <c r="B274" s="1" t="s">
        <v>1115</v>
      </c>
      <c r="C274" t="str">
        <f>VLOOKUP(B274,'Planting GPS Points'!$B$3:$L$290,10,FALSE)</f>
        <v>DNR</v>
      </c>
      <c r="D274" t="str">
        <f>VLOOKUP(B274,'Planting GPS Points'!$B$3:$AL$290,17,FALSE)</f>
        <v>test</v>
      </c>
      <c r="E274" s="27">
        <v>42880</v>
      </c>
      <c r="F274" s="20">
        <v>8.0000000000000002E-3</v>
      </c>
      <c r="G274">
        <v>12</v>
      </c>
      <c r="H274" s="12" t="s">
        <v>165</v>
      </c>
      <c r="I274" s="27">
        <v>43235</v>
      </c>
      <c r="J274" s="19" t="s">
        <v>291</v>
      </c>
      <c r="K274" s="19" t="s">
        <v>168</v>
      </c>
      <c r="L274">
        <v>118</v>
      </c>
      <c r="M274">
        <v>0.49454999999999999</v>
      </c>
      <c r="N274" s="38">
        <f>L274/M274</f>
        <v>238.60074815488829</v>
      </c>
      <c r="O274">
        <f t="shared" si="30"/>
        <v>355</v>
      </c>
      <c r="P274" s="116">
        <f t="shared" si="31"/>
        <v>9.8333333333333339</v>
      </c>
      <c r="Q274" s="13" t="s">
        <v>990</v>
      </c>
    </row>
    <row r="275" spans="1:17" x14ac:dyDescent="0.25">
      <c r="A275" s="1" t="s">
        <v>149</v>
      </c>
      <c r="B275" s="1" t="s">
        <v>1115</v>
      </c>
      <c r="C275" t="str">
        <f>VLOOKUP(B275,'Planting GPS Points'!$B$3:$L$290,10,FALSE)</f>
        <v>DNR</v>
      </c>
      <c r="D275" t="str">
        <f>VLOOKUP(B275,'Planting GPS Points'!$B$3:$AL$290,17,FALSE)</f>
        <v>test</v>
      </c>
      <c r="E275" s="27">
        <v>42880</v>
      </c>
      <c r="F275" s="20">
        <v>8.0000000000000002E-3</v>
      </c>
      <c r="G275">
        <v>12</v>
      </c>
      <c r="H275" s="12" t="s">
        <v>165</v>
      </c>
      <c r="I275" s="27">
        <v>43292</v>
      </c>
      <c r="J275" s="19" t="s">
        <v>291</v>
      </c>
      <c r="K275" s="19" t="s">
        <v>168</v>
      </c>
      <c r="L275">
        <v>143</v>
      </c>
      <c r="M275">
        <v>0.4891335</v>
      </c>
      <c r="N275" s="38">
        <f>L275/M275</f>
        <v>292.35372347222182</v>
      </c>
      <c r="O275">
        <f t="shared" si="30"/>
        <v>412</v>
      </c>
      <c r="P275" s="116">
        <f t="shared" si="31"/>
        <v>11.916666666666666</v>
      </c>
      <c r="Q275" s="13" t="s">
        <v>990</v>
      </c>
    </row>
    <row r="276" spans="1:17" x14ac:dyDescent="0.25">
      <c r="A276" s="1" t="s">
        <v>149</v>
      </c>
      <c r="B276" s="1" t="s">
        <v>1115</v>
      </c>
      <c r="C276" t="str">
        <f>VLOOKUP(B276,'Planting GPS Points'!$B$3:$L$290,10,FALSE)</f>
        <v>DNR</v>
      </c>
      <c r="D276" t="str">
        <f>VLOOKUP(B276,'Planting GPS Points'!$B$3:$AL$290,17,FALSE)</f>
        <v>test</v>
      </c>
      <c r="E276" s="27">
        <v>42880</v>
      </c>
      <c r="F276" s="20">
        <v>8.0000000000000002E-3</v>
      </c>
      <c r="G276">
        <v>12</v>
      </c>
      <c r="H276" s="12" t="s">
        <v>165</v>
      </c>
      <c r="I276" s="27">
        <v>43320</v>
      </c>
      <c r="J276" s="19" t="s">
        <v>291</v>
      </c>
      <c r="K276" s="19" t="s">
        <v>168</v>
      </c>
      <c r="L276">
        <v>107</v>
      </c>
      <c r="M276">
        <v>0.56049000000000004</v>
      </c>
      <c r="N276" s="38">
        <f>L276/M276</f>
        <v>190.90438723260004</v>
      </c>
      <c r="O276">
        <f t="shared" si="30"/>
        <v>440</v>
      </c>
      <c r="P276" s="116">
        <f t="shared" si="31"/>
        <v>8.9166666666666661</v>
      </c>
      <c r="Q276" s="13" t="s">
        <v>1069</v>
      </c>
    </row>
    <row r="277" spans="1:17" x14ac:dyDescent="0.25">
      <c r="A277" s="1" t="s">
        <v>149</v>
      </c>
      <c r="B277" s="1" t="s">
        <v>1115</v>
      </c>
      <c r="C277" t="str">
        <f>VLOOKUP(B277,'Planting GPS Points'!$B$3:$L$290,10,FALSE)</f>
        <v>DNR</v>
      </c>
      <c r="D277" t="str">
        <f>VLOOKUP(B277,'Planting GPS Points'!$B$3:$AL$290,17,FALSE)</f>
        <v>test</v>
      </c>
      <c r="E277" s="27">
        <v>42880</v>
      </c>
      <c r="F277" s="20">
        <v>8.0000000000000002E-3</v>
      </c>
      <c r="G277">
        <v>12</v>
      </c>
      <c r="H277" s="12" t="s">
        <v>165</v>
      </c>
      <c r="I277" s="27">
        <v>43676</v>
      </c>
      <c r="J277" s="19" t="s">
        <v>291</v>
      </c>
      <c r="K277" s="19" t="s">
        <v>168</v>
      </c>
      <c r="L277">
        <v>531</v>
      </c>
      <c r="M277" s="20">
        <v>1.7485875</v>
      </c>
      <c r="N277" s="38">
        <f>L277/M277</f>
        <v>303.6736794698578</v>
      </c>
      <c r="O277">
        <f t="shared" si="30"/>
        <v>796</v>
      </c>
      <c r="P277" s="116">
        <f t="shared" si="31"/>
        <v>44.25</v>
      </c>
      <c r="Q277" s="13" t="s">
        <v>990</v>
      </c>
    </row>
    <row r="278" spans="1:17" x14ac:dyDescent="0.25">
      <c r="A278" s="138" t="s">
        <v>149</v>
      </c>
      <c r="B278" s="1" t="s">
        <v>1115</v>
      </c>
      <c r="C278" t="str">
        <f>VLOOKUP(B278,'Planting GPS Points'!$B$3:$L$290,10,FALSE)</f>
        <v>DNR</v>
      </c>
      <c r="D278" t="str">
        <f>VLOOKUP(B278,'Planting GPS Points'!$B$3:$AL$290,17,FALSE)</f>
        <v>test</v>
      </c>
      <c r="E278" s="27">
        <v>42880</v>
      </c>
      <c r="F278" s="20">
        <v>8.0000000000000002E-3</v>
      </c>
      <c r="G278">
        <v>12</v>
      </c>
      <c r="H278" s="12" t="s">
        <v>165</v>
      </c>
      <c r="I278" s="27">
        <v>44033</v>
      </c>
      <c r="J278" s="19" t="s">
        <v>291</v>
      </c>
      <c r="K278" s="19" t="s">
        <v>168</v>
      </c>
      <c r="M278" s="20"/>
      <c r="N278" s="20" t="str">
        <f>IFERROR(L278/M278, "")</f>
        <v/>
      </c>
      <c r="O278">
        <f t="shared" si="30"/>
        <v>1153</v>
      </c>
      <c r="P278" s="116" t="str">
        <f t="shared" si="31"/>
        <v/>
      </c>
      <c r="Q278" s="13" t="s">
        <v>990</v>
      </c>
    </row>
    <row r="279" spans="1:17" x14ac:dyDescent="0.25">
      <c r="A279" s="1" t="s">
        <v>149</v>
      </c>
      <c r="B279" s="1" t="s">
        <v>1108</v>
      </c>
      <c r="C279" t="str">
        <f>VLOOKUP(B279,'Planting GPS Points'!$B$3:$L$290,10,FALSE)</f>
        <v>DNR</v>
      </c>
      <c r="D279" t="str">
        <f>VLOOKUP(B279,'Planting GPS Points'!$B$3:$AL$290,17,FALSE)</f>
        <v>test</v>
      </c>
      <c r="E279" s="27">
        <v>42880</v>
      </c>
      <c r="F279" s="20">
        <v>8.0000000000000002E-3</v>
      </c>
      <c r="G279">
        <v>12</v>
      </c>
      <c r="H279" s="12" t="s">
        <v>165</v>
      </c>
      <c r="I279" s="27">
        <v>42883</v>
      </c>
      <c r="J279" s="19" t="s">
        <v>291</v>
      </c>
      <c r="K279" s="19" t="s">
        <v>168</v>
      </c>
      <c r="L279">
        <v>12</v>
      </c>
      <c r="M279">
        <v>8.0000000000000002E-3</v>
      </c>
      <c r="N279">
        <f>L279/M279</f>
        <v>1500</v>
      </c>
      <c r="O279">
        <f t="shared" si="30"/>
        <v>3</v>
      </c>
      <c r="P279" s="116">
        <f t="shared" si="31"/>
        <v>1</v>
      </c>
      <c r="Q279" s="13" t="s">
        <v>1071</v>
      </c>
    </row>
    <row r="280" spans="1:17" x14ac:dyDescent="0.25">
      <c r="A280" s="1" t="s">
        <v>149</v>
      </c>
      <c r="B280" s="1" t="s">
        <v>1108</v>
      </c>
      <c r="C280" t="str">
        <f>VLOOKUP(B280,'Planting GPS Points'!$B$3:$L$290,10,FALSE)</f>
        <v>DNR</v>
      </c>
      <c r="D280" t="str">
        <f>VLOOKUP(B280,'Planting GPS Points'!$B$3:$AL$290,17,FALSE)</f>
        <v>test</v>
      </c>
      <c r="E280" s="27">
        <v>42880</v>
      </c>
      <c r="F280" s="20">
        <v>8.0000000000000002E-3</v>
      </c>
      <c r="G280">
        <v>12</v>
      </c>
      <c r="H280" s="12" t="s">
        <v>165</v>
      </c>
      <c r="I280" s="27">
        <v>42938</v>
      </c>
      <c r="J280" s="19" t="s">
        <v>291</v>
      </c>
      <c r="K280" s="19" t="s">
        <v>168</v>
      </c>
      <c r="L280">
        <v>13</v>
      </c>
      <c r="M280">
        <v>8.0000000000000002E-3</v>
      </c>
      <c r="N280">
        <f>L280/M280</f>
        <v>1625</v>
      </c>
      <c r="O280">
        <f t="shared" si="30"/>
        <v>58</v>
      </c>
      <c r="P280" s="116">
        <f t="shared" si="31"/>
        <v>1.0833333333333333</v>
      </c>
      <c r="Q280" s="13" t="s">
        <v>1070</v>
      </c>
    </row>
    <row r="281" spans="1:17" x14ac:dyDescent="0.25">
      <c r="A281" s="1" t="s">
        <v>149</v>
      </c>
      <c r="B281" s="1" t="s">
        <v>1108</v>
      </c>
      <c r="C281" t="str">
        <f>VLOOKUP(B281,'Planting GPS Points'!$B$3:$L$290,10,FALSE)</f>
        <v>DNR</v>
      </c>
      <c r="D281" t="str">
        <f>VLOOKUP(B281,'Planting GPS Points'!$B$3:$AL$290,17,FALSE)</f>
        <v>test</v>
      </c>
      <c r="E281" s="27">
        <v>42880</v>
      </c>
      <c r="F281" s="20">
        <v>8.0000000000000002E-3</v>
      </c>
      <c r="G281">
        <v>12</v>
      </c>
      <c r="H281" s="12" t="s">
        <v>165</v>
      </c>
      <c r="I281" s="27">
        <v>42967</v>
      </c>
      <c r="J281" s="19" t="s">
        <v>291</v>
      </c>
      <c r="K281" s="19" t="s">
        <v>168</v>
      </c>
      <c r="L281">
        <v>22</v>
      </c>
      <c r="M281">
        <v>9.0749999999999997E-2</v>
      </c>
      <c r="N281" s="38">
        <f>L281/M281</f>
        <v>242.42424242424244</v>
      </c>
      <c r="O281">
        <f t="shared" si="30"/>
        <v>87</v>
      </c>
      <c r="P281" s="116">
        <f t="shared" si="31"/>
        <v>1.8333333333333333</v>
      </c>
      <c r="Q281" s="13" t="s">
        <v>1070</v>
      </c>
    </row>
    <row r="282" spans="1:17" x14ac:dyDescent="0.25">
      <c r="A282" s="1" t="s">
        <v>149</v>
      </c>
      <c r="B282" s="1" t="s">
        <v>1108</v>
      </c>
      <c r="C282" t="str">
        <f>VLOOKUP(B282,'Planting GPS Points'!$B$3:$L$290,10,FALSE)</f>
        <v>DNR</v>
      </c>
      <c r="D282" t="str">
        <f>VLOOKUP(B282,'Planting GPS Points'!$B$3:$AL$290,17,FALSE)</f>
        <v>test</v>
      </c>
      <c r="E282" s="27">
        <v>42880</v>
      </c>
      <c r="F282" s="20">
        <v>8.0000000000000002E-3</v>
      </c>
      <c r="G282">
        <v>12</v>
      </c>
      <c r="H282" s="12" t="s">
        <v>165</v>
      </c>
      <c r="I282" s="27">
        <v>43073</v>
      </c>
      <c r="J282" s="19" t="s">
        <v>291</v>
      </c>
      <c r="K282" s="19" t="s">
        <v>168</v>
      </c>
      <c r="L282">
        <v>40</v>
      </c>
      <c r="N282" s="38"/>
      <c r="O282">
        <f t="shared" si="30"/>
        <v>193</v>
      </c>
      <c r="P282" s="116">
        <f t="shared" si="31"/>
        <v>3.3333333333333335</v>
      </c>
      <c r="Q282" s="13" t="s">
        <v>992</v>
      </c>
    </row>
    <row r="283" spans="1:17" x14ac:dyDescent="0.25">
      <c r="A283" s="1" t="s">
        <v>149</v>
      </c>
      <c r="B283" s="1" t="s">
        <v>1108</v>
      </c>
      <c r="C283" t="str">
        <f>VLOOKUP(B283,'Planting GPS Points'!$B$3:$L$290,10,FALSE)</f>
        <v>DNR</v>
      </c>
      <c r="D283" t="str">
        <f>VLOOKUP(B283,'Planting GPS Points'!$B$3:$AL$290,17,FALSE)</f>
        <v>test</v>
      </c>
      <c r="E283" s="27">
        <v>42880</v>
      </c>
      <c r="F283" s="20">
        <v>8.0000000000000002E-3</v>
      </c>
      <c r="G283">
        <v>12</v>
      </c>
      <c r="H283" s="12" t="s">
        <v>165</v>
      </c>
      <c r="I283" s="27">
        <v>43130</v>
      </c>
      <c r="J283" s="19" t="s">
        <v>291</v>
      </c>
      <c r="K283" s="19" t="s">
        <v>168</v>
      </c>
      <c r="L283">
        <v>56</v>
      </c>
      <c r="M283">
        <v>0.26407400000000003</v>
      </c>
      <c r="N283" s="38">
        <f>L283/M283</f>
        <v>212.0617705643115</v>
      </c>
      <c r="O283">
        <f t="shared" si="30"/>
        <v>250</v>
      </c>
      <c r="P283" s="116">
        <f t="shared" si="31"/>
        <v>4.666666666666667</v>
      </c>
      <c r="Q283" s="13" t="s">
        <v>1073</v>
      </c>
    </row>
    <row r="284" spans="1:17" x14ac:dyDescent="0.25">
      <c r="A284" s="1" t="s">
        <v>149</v>
      </c>
      <c r="B284" s="1" t="s">
        <v>1108</v>
      </c>
      <c r="C284" t="str">
        <f>VLOOKUP(B284,'Planting GPS Points'!$B$3:$L$290,10,FALSE)</f>
        <v>DNR</v>
      </c>
      <c r="D284" t="str">
        <f>VLOOKUP(B284,'Planting GPS Points'!$B$3:$AL$290,17,FALSE)</f>
        <v>test</v>
      </c>
      <c r="E284" s="27">
        <v>42880</v>
      </c>
      <c r="F284" s="20">
        <v>8.0000000000000002E-3</v>
      </c>
      <c r="G284">
        <v>12</v>
      </c>
      <c r="H284" s="12" t="s">
        <v>165</v>
      </c>
      <c r="I284" s="27">
        <v>43235</v>
      </c>
      <c r="J284" s="19" t="s">
        <v>291</v>
      </c>
      <c r="K284" s="19" t="s">
        <v>168</v>
      </c>
      <c r="L284">
        <v>45</v>
      </c>
      <c r="M284">
        <v>0.35325000000000001</v>
      </c>
      <c r="N284" s="38">
        <f>L284/M284</f>
        <v>127.38853503184713</v>
      </c>
      <c r="O284">
        <f t="shared" si="30"/>
        <v>355</v>
      </c>
      <c r="P284" s="116">
        <f t="shared" si="31"/>
        <v>3.75</v>
      </c>
      <c r="Q284" s="13" t="s">
        <v>990</v>
      </c>
    </row>
    <row r="285" spans="1:17" x14ac:dyDescent="0.25">
      <c r="A285" s="1" t="s">
        <v>149</v>
      </c>
      <c r="B285" s="1" t="s">
        <v>1108</v>
      </c>
      <c r="C285" t="str">
        <f>VLOOKUP(B285,'Planting GPS Points'!$B$3:$L$290,10,FALSE)</f>
        <v>DNR</v>
      </c>
      <c r="D285" t="str">
        <f>VLOOKUP(B285,'Planting GPS Points'!$B$3:$AL$290,17,FALSE)</f>
        <v>test</v>
      </c>
      <c r="E285" s="27">
        <v>42880</v>
      </c>
      <c r="F285" s="20">
        <v>8.0000000000000002E-3</v>
      </c>
      <c r="G285">
        <v>12</v>
      </c>
      <c r="H285" s="12" t="s">
        <v>165</v>
      </c>
      <c r="I285" s="27">
        <v>43292</v>
      </c>
      <c r="J285" s="19" t="s">
        <v>291</v>
      </c>
      <c r="K285" s="19" t="s">
        <v>168</v>
      </c>
      <c r="L285">
        <v>0</v>
      </c>
      <c r="N285" s="38"/>
      <c r="O285">
        <f t="shared" si="30"/>
        <v>412</v>
      </c>
      <c r="P285" s="116">
        <f t="shared" si="31"/>
        <v>0</v>
      </c>
      <c r="Q285" s="13"/>
    </row>
    <row r="286" spans="1:17" x14ac:dyDescent="0.25">
      <c r="A286" s="1" t="s">
        <v>149</v>
      </c>
      <c r="B286" s="1" t="s">
        <v>1108</v>
      </c>
      <c r="C286" t="str">
        <f>VLOOKUP(B286,'Planting GPS Points'!$B$3:$L$290,10,FALSE)</f>
        <v>DNR</v>
      </c>
      <c r="D286" t="str">
        <f>VLOOKUP(B286,'Planting GPS Points'!$B$3:$AL$290,17,FALSE)</f>
        <v>test</v>
      </c>
      <c r="E286" s="27">
        <v>42880</v>
      </c>
      <c r="F286" s="20">
        <v>8.0000000000000002E-3</v>
      </c>
      <c r="G286">
        <v>12</v>
      </c>
      <c r="H286" s="12" t="s">
        <v>165</v>
      </c>
      <c r="I286" s="27">
        <v>43320</v>
      </c>
      <c r="J286" s="19" t="s">
        <v>409</v>
      </c>
      <c r="K286" s="19" t="s">
        <v>168</v>
      </c>
      <c r="L286">
        <v>0</v>
      </c>
      <c r="N286" s="38"/>
      <c r="O286">
        <f t="shared" si="30"/>
        <v>440</v>
      </c>
      <c r="P286" s="116">
        <f t="shared" si="31"/>
        <v>0</v>
      </c>
      <c r="Q286" s="13"/>
    </row>
    <row r="287" spans="1:17" x14ac:dyDescent="0.25">
      <c r="A287" s="1" t="s">
        <v>149</v>
      </c>
      <c r="B287" s="1" t="s">
        <v>1108</v>
      </c>
      <c r="C287" t="str">
        <f>VLOOKUP(B287,'Planting GPS Points'!$B$3:$L$290,10,FALSE)</f>
        <v>DNR</v>
      </c>
      <c r="D287" t="str">
        <f>VLOOKUP(B287,'Planting GPS Points'!$B$3:$AL$290,17,FALSE)</f>
        <v>test</v>
      </c>
      <c r="E287" s="27">
        <v>42880</v>
      </c>
      <c r="F287" s="20">
        <v>8.0000000000000002E-3</v>
      </c>
      <c r="G287">
        <v>12</v>
      </c>
      <c r="H287" s="12" t="s">
        <v>165</v>
      </c>
      <c r="I287" s="27">
        <v>43676</v>
      </c>
      <c r="J287" s="19" t="s">
        <v>409</v>
      </c>
      <c r="K287" s="19" t="s">
        <v>168</v>
      </c>
      <c r="L287">
        <v>0</v>
      </c>
      <c r="N287" s="38"/>
      <c r="O287">
        <f t="shared" si="30"/>
        <v>796</v>
      </c>
      <c r="P287" s="116">
        <f t="shared" si="31"/>
        <v>0</v>
      </c>
      <c r="Q287" s="13"/>
    </row>
    <row r="288" spans="1:17" x14ac:dyDescent="0.25">
      <c r="A288" s="138" t="s">
        <v>149</v>
      </c>
      <c r="B288" s="1" t="s">
        <v>1108</v>
      </c>
      <c r="C288" t="str">
        <f>VLOOKUP(B288,'Planting GPS Points'!$B$3:$L$290,10,FALSE)</f>
        <v>DNR</v>
      </c>
      <c r="D288" t="str">
        <f>VLOOKUP(B288,'Planting GPS Points'!$B$3:$AL$290,17,FALSE)</f>
        <v>test</v>
      </c>
      <c r="E288" s="27">
        <v>42880</v>
      </c>
      <c r="F288" s="20">
        <v>8.0000000000000002E-3</v>
      </c>
      <c r="G288">
        <v>12</v>
      </c>
      <c r="H288" s="12" t="s">
        <v>165</v>
      </c>
      <c r="I288" s="27">
        <v>44033</v>
      </c>
      <c r="J288" s="19" t="s">
        <v>409</v>
      </c>
      <c r="K288" s="19" t="s">
        <v>168</v>
      </c>
      <c r="L288">
        <v>0</v>
      </c>
      <c r="N288" s="20" t="str">
        <f>IFERROR(L288/M288, "")</f>
        <v/>
      </c>
      <c r="O288">
        <f t="shared" si="30"/>
        <v>1153</v>
      </c>
      <c r="P288" s="116">
        <f t="shared" si="31"/>
        <v>0</v>
      </c>
      <c r="Q288" s="13"/>
    </row>
    <row r="289" spans="1:17" x14ac:dyDescent="0.25">
      <c r="A289" s="1" t="s">
        <v>149</v>
      </c>
      <c r="B289" s="1" t="s">
        <v>1110</v>
      </c>
      <c r="C289" t="str">
        <f>VLOOKUP(B289,'Planting GPS Points'!$B$3:$L$290,10,FALSE)</f>
        <v>DNR</v>
      </c>
      <c r="D289" t="str">
        <f>VLOOKUP(B289,'Planting GPS Points'!$B$3:$AL$290,17,FALSE)</f>
        <v>test</v>
      </c>
      <c r="E289" s="27">
        <v>42880</v>
      </c>
      <c r="F289" s="20">
        <v>8.0000000000000002E-3</v>
      </c>
      <c r="G289">
        <v>12</v>
      </c>
      <c r="H289" s="12" t="s">
        <v>165</v>
      </c>
      <c r="I289" s="27">
        <v>42883</v>
      </c>
      <c r="J289" s="19" t="s">
        <v>291</v>
      </c>
      <c r="K289" s="19" t="s">
        <v>168</v>
      </c>
      <c r="L289">
        <v>11</v>
      </c>
      <c r="M289">
        <v>8.0000000000000002E-3</v>
      </c>
      <c r="N289">
        <f>L289/M289</f>
        <v>1375</v>
      </c>
      <c r="O289">
        <f t="shared" si="30"/>
        <v>3</v>
      </c>
      <c r="P289" s="116">
        <f t="shared" si="31"/>
        <v>0.91666666666666663</v>
      </c>
      <c r="Q289" s="13" t="s">
        <v>1071</v>
      </c>
    </row>
    <row r="290" spans="1:17" x14ac:dyDescent="0.25">
      <c r="A290" s="1" t="s">
        <v>149</v>
      </c>
      <c r="B290" s="1" t="s">
        <v>1110</v>
      </c>
      <c r="C290" t="str">
        <f>VLOOKUP(B290,'Planting GPS Points'!$B$3:$L$290,10,FALSE)</f>
        <v>DNR</v>
      </c>
      <c r="D290" t="str">
        <f>VLOOKUP(B290,'Planting GPS Points'!$B$3:$AL$290,17,FALSE)</f>
        <v>test</v>
      </c>
      <c r="E290" s="27">
        <v>42880</v>
      </c>
      <c r="F290" s="20">
        <v>8.0000000000000002E-3</v>
      </c>
      <c r="G290">
        <v>12</v>
      </c>
      <c r="H290" s="12" t="s">
        <v>165</v>
      </c>
      <c r="I290" s="27">
        <v>42938</v>
      </c>
      <c r="J290" s="19" t="s">
        <v>291</v>
      </c>
      <c r="K290" s="19" t="s">
        <v>168</v>
      </c>
      <c r="L290">
        <v>12</v>
      </c>
      <c r="M290">
        <v>8.0000000000000002E-3</v>
      </c>
      <c r="N290">
        <f>L290/M290</f>
        <v>1500</v>
      </c>
      <c r="O290">
        <f t="shared" si="30"/>
        <v>58</v>
      </c>
      <c r="P290" s="116">
        <f t="shared" si="31"/>
        <v>1</v>
      </c>
      <c r="Q290" s="13" t="s">
        <v>1070</v>
      </c>
    </row>
    <row r="291" spans="1:17" x14ac:dyDescent="0.25">
      <c r="A291" s="1" t="s">
        <v>149</v>
      </c>
      <c r="B291" s="1" t="s">
        <v>1110</v>
      </c>
      <c r="C291" t="str">
        <f>VLOOKUP(B291,'Planting GPS Points'!$B$3:$L$290,10,FALSE)</f>
        <v>DNR</v>
      </c>
      <c r="D291" t="str">
        <f>VLOOKUP(B291,'Planting GPS Points'!$B$3:$AL$290,17,FALSE)</f>
        <v>test</v>
      </c>
      <c r="E291" s="27">
        <v>42880</v>
      </c>
      <c r="F291" s="20">
        <v>8.0000000000000002E-3</v>
      </c>
      <c r="G291">
        <v>12</v>
      </c>
      <c r="H291" s="12" t="s">
        <v>165</v>
      </c>
      <c r="I291" s="27">
        <v>42967</v>
      </c>
      <c r="J291" s="19" t="s">
        <v>291</v>
      </c>
      <c r="K291" s="19" t="s">
        <v>168</v>
      </c>
      <c r="L291">
        <v>14</v>
      </c>
      <c r="M291">
        <v>3.1399999999999997E-2</v>
      </c>
      <c r="N291" s="38">
        <f>L291/M291</f>
        <v>445.85987261146499</v>
      </c>
      <c r="O291">
        <f t="shared" si="30"/>
        <v>87</v>
      </c>
      <c r="P291" s="116">
        <f t="shared" si="31"/>
        <v>1.1666666666666667</v>
      </c>
      <c r="Q291" s="13" t="s">
        <v>1070</v>
      </c>
    </row>
    <row r="292" spans="1:17" x14ac:dyDescent="0.25">
      <c r="A292" s="1" t="s">
        <v>149</v>
      </c>
      <c r="B292" s="1" t="s">
        <v>1110</v>
      </c>
      <c r="C292" t="str">
        <f>VLOOKUP(B292,'Planting GPS Points'!$B$3:$L$290,10,FALSE)</f>
        <v>DNR</v>
      </c>
      <c r="D292" t="str">
        <f>VLOOKUP(B292,'Planting GPS Points'!$B$3:$AL$290,17,FALSE)</f>
        <v>test</v>
      </c>
      <c r="E292" s="27">
        <v>42880</v>
      </c>
      <c r="F292" s="20">
        <v>8.0000000000000002E-3</v>
      </c>
      <c r="G292">
        <v>12</v>
      </c>
      <c r="H292" s="12" t="s">
        <v>165</v>
      </c>
      <c r="I292" s="27">
        <v>43073</v>
      </c>
      <c r="J292" s="19" t="s">
        <v>291</v>
      </c>
      <c r="K292" s="19" t="s">
        <v>168</v>
      </c>
      <c r="L292">
        <v>24</v>
      </c>
      <c r="N292" s="38"/>
      <c r="O292">
        <f t="shared" si="30"/>
        <v>193</v>
      </c>
      <c r="P292" s="116">
        <f t="shared" si="31"/>
        <v>2</v>
      </c>
      <c r="Q292" s="13" t="s">
        <v>992</v>
      </c>
    </row>
    <row r="293" spans="1:17" x14ac:dyDescent="0.25">
      <c r="A293" s="1" t="s">
        <v>149</v>
      </c>
      <c r="B293" s="1" t="s">
        <v>1110</v>
      </c>
      <c r="C293" t="str">
        <f>VLOOKUP(B293,'Planting GPS Points'!$B$3:$L$290,10,FALSE)</f>
        <v>DNR</v>
      </c>
      <c r="D293" t="str">
        <f>VLOOKUP(B293,'Planting GPS Points'!$B$3:$AL$290,17,FALSE)</f>
        <v>test</v>
      </c>
      <c r="E293" s="27">
        <v>42880</v>
      </c>
      <c r="F293" s="20">
        <v>8.0000000000000002E-3</v>
      </c>
      <c r="G293">
        <v>12</v>
      </c>
      <c r="H293" s="12" t="s">
        <v>165</v>
      </c>
      <c r="I293" s="27">
        <v>43130</v>
      </c>
      <c r="J293" s="19" t="s">
        <v>291</v>
      </c>
      <c r="K293" s="19" t="s">
        <v>168</v>
      </c>
      <c r="L293">
        <v>28</v>
      </c>
      <c r="M293">
        <v>1.3266499999999999E-2</v>
      </c>
      <c r="N293" s="38">
        <f>L293/M293</f>
        <v>2110.579278634154</v>
      </c>
      <c r="O293">
        <f t="shared" si="30"/>
        <v>250</v>
      </c>
      <c r="P293" s="116">
        <f t="shared" si="31"/>
        <v>2.3333333333333335</v>
      </c>
      <c r="Q293" s="13" t="s">
        <v>1073</v>
      </c>
    </row>
    <row r="294" spans="1:17" x14ac:dyDescent="0.25">
      <c r="A294" s="1" t="s">
        <v>149</v>
      </c>
      <c r="B294" s="1" t="s">
        <v>1110</v>
      </c>
      <c r="C294" t="str">
        <f>VLOOKUP(B294,'Planting GPS Points'!$B$3:$L$290,10,FALSE)</f>
        <v>DNR</v>
      </c>
      <c r="D294" t="str">
        <f>VLOOKUP(B294,'Planting GPS Points'!$B$3:$AL$290,17,FALSE)</f>
        <v>test</v>
      </c>
      <c r="E294" s="27">
        <v>42880</v>
      </c>
      <c r="F294" s="20">
        <v>8.0000000000000002E-3</v>
      </c>
      <c r="G294">
        <v>12</v>
      </c>
      <c r="H294" s="12" t="s">
        <v>165</v>
      </c>
      <c r="I294" s="27">
        <v>43235</v>
      </c>
      <c r="J294" s="19" t="s">
        <v>291</v>
      </c>
      <c r="K294" s="19" t="s">
        <v>168</v>
      </c>
      <c r="L294">
        <v>8</v>
      </c>
      <c r="M294">
        <v>8.12475E-2</v>
      </c>
      <c r="N294" s="38">
        <f>L294/M294</f>
        <v>98.464568140558171</v>
      </c>
      <c r="O294">
        <f t="shared" si="30"/>
        <v>355</v>
      </c>
      <c r="P294" s="116">
        <f t="shared" si="31"/>
        <v>0.66666666666666663</v>
      </c>
      <c r="Q294" s="13" t="s">
        <v>990</v>
      </c>
    </row>
    <row r="295" spans="1:17" x14ac:dyDescent="0.25">
      <c r="A295" s="1" t="s">
        <v>149</v>
      </c>
      <c r="B295" s="1" t="s">
        <v>1110</v>
      </c>
      <c r="C295" t="str">
        <f>VLOOKUP(B295,'Planting GPS Points'!$B$3:$L$290,10,FALSE)</f>
        <v>DNR</v>
      </c>
      <c r="D295" t="str">
        <f>VLOOKUP(B295,'Planting GPS Points'!$B$3:$AL$290,17,FALSE)</f>
        <v>test</v>
      </c>
      <c r="E295" s="27">
        <v>42880</v>
      </c>
      <c r="F295" s="20">
        <v>8.0000000000000002E-3</v>
      </c>
      <c r="G295">
        <v>12</v>
      </c>
      <c r="H295" s="12" t="s">
        <v>165</v>
      </c>
      <c r="I295" s="27">
        <v>43292</v>
      </c>
      <c r="J295" s="19" t="s">
        <v>291</v>
      </c>
      <c r="K295" s="19" t="s">
        <v>168</v>
      </c>
      <c r="L295">
        <v>0</v>
      </c>
      <c r="N295" s="38"/>
      <c r="O295">
        <f t="shared" si="30"/>
        <v>412</v>
      </c>
      <c r="P295" s="116">
        <f t="shared" si="31"/>
        <v>0</v>
      </c>
      <c r="Q295" s="13"/>
    </row>
    <row r="296" spans="1:17" x14ac:dyDescent="0.25">
      <c r="A296" s="1" t="s">
        <v>149</v>
      </c>
      <c r="B296" s="1" t="s">
        <v>1110</v>
      </c>
      <c r="C296" t="str">
        <f>VLOOKUP(B296,'Planting GPS Points'!$B$3:$L$290,10,FALSE)</f>
        <v>DNR</v>
      </c>
      <c r="D296" t="str">
        <f>VLOOKUP(B296,'Planting GPS Points'!$B$3:$AL$290,17,FALSE)</f>
        <v>test</v>
      </c>
      <c r="E296" s="27">
        <v>42880</v>
      </c>
      <c r="F296" s="20">
        <v>8.0000000000000002E-3</v>
      </c>
      <c r="G296">
        <v>12</v>
      </c>
      <c r="H296" s="12" t="s">
        <v>165</v>
      </c>
      <c r="I296" s="27">
        <v>43320</v>
      </c>
      <c r="J296" s="19" t="s">
        <v>409</v>
      </c>
      <c r="K296" s="19" t="s">
        <v>168</v>
      </c>
      <c r="L296">
        <v>0</v>
      </c>
      <c r="N296" s="38"/>
      <c r="O296">
        <f t="shared" si="30"/>
        <v>440</v>
      </c>
      <c r="P296" s="116">
        <f t="shared" si="31"/>
        <v>0</v>
      </c>
      <c r="Q296" s="13"/>
    </row>
    <row r="297" spans="1:17" x14ac:dyDescent="0.25">
      <c r="A297" s="1" t="s">
        <v>149</v>
      </c>
      <c r="B297" s="1" t="s">
        <v>1110</v>
      </c>
      <c r="C297" t="str">
        <f>VLOOKUP(B297,'Planting GPS Points'!$B$3:$L$290,10,FALSE)</f>
        <v>DNR</v>
      </c>
      <c r="D297" t="str">
        <f>VLOOKUP(B297,'Planting GPS Points'!$B$3:$AL$290,17,FALSE)</f>
        <v>test</v>
      </c>
      <c r="E297" s="27">
        <v>42880</v>
      </c>
      <c r="F297" s="20">
        <v>8.0000000000000002E-3</v>
      </c>
      <c r="G297">
        <v>12</v>
      </c>
      <c r="H297" s="12" t="s">
        <v>165</v>
      </c>
      <c r="I297" s="27">
        <v>43676</v>
      </c>
      <c r="J297" s="19" t="s">
        <v>409</v>
      </c>
      <c r="K297" s="19" t="s">
        <v>168</v>
      </c>
      <c r="L297">
        <v>0</v>
      </c>
      <c r="N297" s="38"/>
      <c r="O297">
        <f t="shared" si="30"/>
        <v>796</v>
      </c>
      <c r="P297" s="116">
        <f t="shared" si="31"/>
        <v>0</v>
      </c>
      <c r="Q297" s="13"/>
    </row>
    <row r="298" spans="1:17" x14ac:dyDescent="0.25">
      <c r="A298" s="138" t="s">
        <v>149</v>
      </c>
      <c r="B298" s="1" t="s">
        <v>1110</v>
      </c>
      <c r="C298" t="str">
        <f>VLOOKUP(B298,'Planting GPS Points'!$B$3:$L$290,10,FALSE)</f>
        <v>DNR</v>
      </c>
      <c r="D298" t="str">
        <f>VLOOKUP(B298,'Planting GPS Points'!$B$3:$AL$290,17,FALSE)</f>
        <v>test</v>
      </c>
      <c r="E298" s="27">
        <v>42880</v>
      </c>
      <c r="F298" s="20">
        <v>8.0000000000000002E-3</v>
      </c>
      <c r="G298">
        <v>12</v>
      </c>
      <c r="H298" s="12" t="s">
        <v>165</v>
      </c>
      <c r="I298" s="27">
        <v>44033</v>
      </c>
      <c r="J298" s="19" t="s">
        <v>409</v>
      </c>
      <c r="K298" s="19" t="s">
        <v>168</v>
      </c>
      <c r="L298">
        <v>0</v>
      </c>
      <c r="N298" s="20" t="str">
        <f>IFERROR(L298/M298, "")</f>
        <v/>
      </c>
      <c r="O298">
        <f t="shared" si="30"/>
        <v>1153</v>
      </c>
      <c r="P298" s="116">
        <f t="shared" si="31"/>
        <v>0</v>
      </c>
      <c r="Q298" s="13"/>
    </row>
    <row r="299" spans="1:17" x14ac:dyDescent="0.25">
      <c r="A299" s="1" t="s">
        <v>149</v>
      </c>
      <c r="B299" s="1" t="s">
        <v>1112</v>
      </c>
      <c r="C299" t="str">
        <f>VLOOKUP(B299,'Planting GPS Points'!$B$3:$L$290,10,FALSE)</f>
        <v>DNR</v>
      </c>
      <c r="D299" t="str">
        <f>VLOOKUP(B299,'Planting GPS Points'!$B$3:$AL$290,17,FALSE)</f>
        <v>test</v>
      </c>
      <c r="E299" s="27">
        <v>42880</v>
      </c>
      <c r="F299" s="20">
        <v>8.0000000000000002E-3</v>
      </c>
      <c r="G299">
        <v>12</v>
      </c>
      <c r="H299" s="12" t="s">
        <v>165</v>
      </c>
      <c r="I299" s="27">
        <v>42883</v>
      </c>
      <c r="J299" s="19" t="s">
        <v>291</v>
      </c>
      <c r="K299" s="19" t="s">
        <v>168</v>
      </c>
      <c r="L299">
        <v>10</v>
      </c>
      <c r="M299">
        <v>8.0000000000000002E-3</v>
      </c>
      <c r="N299">
        <f>L299/M299</f>
        <v>1250</v>
      </c>
      <c r="O299">
        <f t="shared" si="30"/>
        <v>3</v>
      </c>
      <c r="P299" s="116">
        <f t="shared" si="31"/>
        <v>0.83333333333333337</v>
      </c>
      <c r="Q299" s="13" t="s">
        <v>1071</v>
      </c>
    </row>
    <row r="300" spans="1:17" x14ac:dyDescent="0.25">
      <c r="A300" s="1" t="s">
        <v>149</v>
      </c>
      <c r="B300" s="1" t="s">
        <v>1112</v>
      </c>
      <c r="C300" t="str">
        <f>VLOOKUP(B300,'Planting GPS Points'!$B$3:$L$290,10,FALSE)</f>
        <v>DNR</v>
      </c>
      <c r="D300" t="str">
        <f>VLOOKUP(B300,'Planting GPS Points'!$B$3:$AL$290,17,FALSE)</f>
        <v>test</v>
      </c>
      <c r="E300" s="27">
        <v>42880</v>
      </c>
      <c r="F300" s="20">
        <v>8.0000000000000002E-3</v>
      </c>
      <c r="G300">
        <v>12</v>
      </c>
      <c r="H300" s="12" t="s">
        <v>165</v>
      </c>
      <c r="I300" s="27">
        <v>42938</v>
      </c>
      <c r="J300" s="19" t="s">
        <v>291</v>
      </c>
      <c r="K300" s="19" t="s">
        <v>168</v>
      </c>
      <c r="L300">
        <v>18</v>
      </c>
      <c r="M300">
        <v>8.0000000000000002E-3</v>
      </c>
      <c r="N300">
        <f>L300/M300</f>
        <v>2250</v>
      </c>
      <c r="O300">
        <f t="shared" si="30"/>
        <v>58</v>
      </c>
      <c r="P300" s="116">
        <f t="shared" si="31"/>
        <v>1.5</v>
      </c>
      <c r="Q300" s="13" t="s">
        <v>1070</v>
      </c>
    </row>
    <row r="301" spans="1:17" x14ac:dyDescent="0.25">
      <c r="A301" s="1" t="s">
        <v>149</v>
      </c>
      <c r="B301" s="1" t="s">
        <v>1112</v>
      </c>
      <c r="C301" t="str">
        <f>VLOOKUP(B301,'Planting GPS Points'!$B$3:$L$290,10,FALSE)</f>
        <v>DNR</v>
      </c>
      <c r="D301" t="str">
        <f>VLOOKUP(B301,'Planting GPS Points'!$B$3:$AL$290,17,FALSE)</f>
        <v>test</v>
      </c>
      <c r="E301" s="27">
        <v>42880</v>
      </c>
      <c r="F301" s="20">
        <v>8.0000000000000002E-3</v>
      </c>
      <c r="G301">
        <v>12</v>
      </c>
      <c r="H301" s="12" t="s">
        <v>165</v>
      </c>
      <c r="I301" s="27">
        <v>42967</v>
      </c>
      <c r="J301" s="19" t="s">
        <v>291</v>
      </c>
      <c r="K301" s="19" t="s">
        <v>168</v>
      </c>
      <c r="L301">
        <v>23</v>
      </c>
      <c r="M301">
        <v>3.1399999999999997E-2</v>
      </c>
      <c r="N301" s="38">
        <f>L301/M301</f>
        <v>732.48407643312112</v>
      </c>
      <c r="O301">
        <f t="shared" si="30"/>
        <v>87</v>
      </c>
      <c r="P301" s="116">
        <f t="shared" si="31"/>
        <v>1.9166666666666667</v>
      </c>
      <c r="Q301" s="13" t="s">
        <v>1070</v>
      </c>
    </row>
    <row r="302" spans="1:17" x14ac:dyDescent="0.25">
      <c r="A302" s="1" t="s">
        <v>149</v>
      </c>
      <c r="B302" s="1" t="s">
        <v>1112</v>
      </c>
      <c r="C302" t="str">
        <f>VLOOKUP(B302,'Planting GPS Points'!$B$3:$L$290,10,FALSE)</f>
        <v>DNR</v>
      </c>
      <c r="D302" t="str">
        <f>VLOOKUP(B302,'Planting GPS Points'!$B$3:$AL$290,17,FALSE)</f>
        <v>test</v>
      </c>
      <c r="E302" s="27">
        <v>42880</v>
      </c>
      <c r="F302" s="20">
        <v>8.0000000000000002E-3</v>
      </c>
      <c r="G302">
        <v>12</v>
      </c>
      <c r="H302" s="12" t="s">
        <v>165</v>
      </c>
      <c r="I302" s="27">
        <v>43073</v>
      </c>
      <c r="J302" s="19" t="s">
        <v>291</v>
      </c>
      <c r="K302" s="19" t="s">
        <v>168</v>
      </c>
      <c r="L302">
        <v>36</v>
      </c>
      <c r="N302" s="38"/>
      <c r="O302">
        <f t="shared" ref="O302:O372" si="32">I302-E302</f>
        <v>193</v>
      </c>
      <c r="P302" s="116">
        <f t="shared" si="31"/>
        <v>3</v>
      </c>
      <c r="Q302" s="13" t="s">
        <v>992</v>
      </c>
    </row>
    <row r="303" spans="1:17" x14ac:dyDescent="0.25">
      <c r="A303" s="1" t="s">
        <v>149</v>
      </c>
      <c r="B303" s="1" t="s">
        <v>1112</v>
      </c>
      <c r="C303" t="str">
        <f>VLOOKUP(B303,'Planting GPS Points'!$B$3:$L$290,10,FALSE)</f>
        <v>DNR</v>
      </c>
      <c r="D303" t="str">
        <f>VLOOKUP(B303,'Planting GPS Points'!$B$3:$AL$290,17,FALSE)</f>
        <v>test</v>
      </c>
      <c r="E303" s="27">
        <v>42880</v>
      </c>
      <c r="F303" s="20">
        <v>8.0000000000000002E-3</v>
      </c>
      <c r="G303">
        <v>12</v>
      </c>
      <c r="H303" s="12" t="s">
        <v>165</v>
      </c>
      <c r="I303" s="27">
        <v>43130</v>
      </c>
      <c r="J303" s="19" t="s">
        <v>291</v>
      </c>
      <c r="K303" s="19" t="s">
        <v>168</v>
      </c>
      <c r="L303">
        <v>17</v>
      </c>
      <c r="M303">
        <v>1.1304E-2</v>
      </c>
      <c r="N303" s="38">
        <f>L303/M303</f>
        <v>1503.8924274593064</v>
      </c>
      <c r="O303">
        <f t="shared" si="32"/>
        <v>250</v>
      </c>
      <c r="P303" s="116">
        <f t="shared" si="31"/>
        <v>1.4166666666666667</v>
      </c>
      <c r="Q303" s="13" t="s">
        <v>1073</v>
      </c>
    </row>
    <row r="304" spans="1:17" x14ac:dyDescent="0.25">
      <c r="A304" s="1" t="s">
        <v>149</v>
      </c>
      <c r="B304" s="1" t="s">
        <v>1112</v>
      </c>
      <c r="C304" t="str">
        <f>VLOOKUP(B304,'Planting GPS Points'!$B$3:$L$290,10,FALSE)</f>
        <v>DNR</v>
      </c>
      <c r="D304" t="str">
        <f>VLOOKUP(B304,'Planting GPS Points'!$B$3:$AL$290,17,FALSE)</f>
        <v>test</v>
      </c>
      <c r="E304" s="27">
        <v>42880</v>
      </c>
      <c r="F304" s="20">
        <v>8.0000000000000002E-3</v>
      </c>
      <c r="G304">
        <v>12</v>
      </c>
      <c r="H304" s="12" t="s">
        <v>165</v>
      </c>
      <c r="I304" s="27">
        <v>43235</v>
      </c>
      <c r="J304" s="19" t="s">
        <v>291</v>
      </c>
      <c r="K304" s="19" t="s">
        <v>168</v>
      </c>
      <c r="L304">
        <v>19</v>
      </c>
      <c r="M304">
        <v>0.10362</v>
      </c>
      <c r="N304" s="38">
        <f>L304/M304</f>
        <v>183.36228527311329</v>
      </c>
      <c r="O304">
        <f t="shared" si="32"/>
        <v>355</v>
      </c>
      <c r="P304" s="116">
        <f t="shared" si="31"/>
        <v>1.5833333333333333</v>
      </c>
      <c r="Q304" s="13" t="s">
        <v>990</v>
      </c>
    </row>
    <row r="305" spans="1:17" x14ac:dyDescent="0.25">
      <c r="A305" s="1" t="s">
        <v>149</v>
      </c>
      <c r="B305" s="1" t="s">
        <v>1112</v>
      </c>
      <c r="C305" t="str">
        <f>VLOOKUP(B305,'Planting GPS Points'!$B$3:$L$290,10,FALSE)</f>
        <v>DNR</v>
      </c>
      <c r="D305" t="str">
        <f>VLOOKUP(B305,'Planting GPS Points'!$B$3:$AL$290,17,FALSE)</f>
        <v>test</v>
      </c>
      <c r="E305" s="27">
        <v>42880</v>
      </c>
      <c r="F305" s="20">
        <v>8.0000000000000002E-3</v>
      </c>
      <c r="G305">
        <v>12</v>
      </c>
      <c r="H305" s="12" t="s">
        <v>165</v>
      </c>
      <c r="I305" s="27">
        <v>43292</v>
      </c>
      <c r="J305" s="19" t="s">
        <v>291</v>
      </c>
      <c r="K305" s="19" t="s">
        <v>168</v>
      </c>
      <c r="L305">
        <v>0</v>
      </c>
      <c r="N305" s="38"/>
      <c r="O305">
        <f t="shared" si="32"/>
        <v>412</v>
      </c>
      <c r="P305" s="116">
        <f t="shared" si="31"/>
        <v>0</v>
      </c>
      <c r="Q305" s="13"/>
    </row>
    <row r="306" spans="1:17" x14ac:dyDescent="0.25">
      <c r="A306" s="1" t="s">
        <v>149</v>
      </c>
      <c r="B306" s="1" t="s">
        <v>1112</v>
      </c>
      <c r="C306" t="str">
        <f>VLOOKUP(B306,'Planting GPS Points'!$B$3:$L$290,10,FALSE)</f>
        <v>DNR</v>
      </c>
      <c r="D306" t="str">
        <f>VLOOKUP(B306,'Planting GPS Points'!$B$3:$AL$290,17,FALSE)</f>
        <v>test</v>
      </c>
      <c r="E306" s="27">
        <v>42880</v>
      </c>
      <c r="F306" s="20">
        <v>8.0000000000000002E-3</v>
      </c>
      <c r="G306">
        <v>12</v>
      </c>
      <c r="H306" s="12" t="s">
        <v>165</v>
      </c>
      <c r="I306" s="27">
        <v>43320</v>
      </c>
      <c r="J306" s="19" t="s">
        <v>409</v>
      </c>
      <c r="K306" s="19" t="s">
        <v>168</v>
      </c>
      <c r="L306">
        <v>0</v>
      </c>
      <c r="N306" s="38"/>
      <c r="O306">
        <f t="shared" si="32"/>
        <v>440</v>
      </c>
      <c r="P306" s="116">
        <f t="shared" si="31"/>
        <v>0</v>
      </c>
      <c r="Q306" s="13"/>
    </row>
    <row r="307" spans="1:17" x14ac:dyDescent="0.25">
      <c r="A307" s="1" t="s">
        <v>149</v>
      </c>
      <c r="B307" s="1" t="s">
        <v>1112</v>
      </c>
      <c r="C307" t="str">
        <f>VLOOKUP(B307,'Planting GPS Points'!$B$3:$L$290,10,FALSE)</f>
        <v>DNR</v>
      </c>
      <c r="D307" t="str">
        <f>VLOOKUP(B307,'Planting GPS Points'!$B$3:$AL$290,17,FALSE)</f>
        <v>test</v>
      </c>
      <c r="E307" s="27">
        <v>42880</v>
      </c>
      <c r="F307" s="20">
        <v>8.0000000000000002E-3</v>
      </c>
      <c r="G307">
        <v>12</v>
      </c>
      <c r="H307" s="12" t="s">
        <v>165</v>
      </c>
      <c r="I307" s="27">
        <v>43676</v>
      </c>
      <c r="J307" s="19" t="s">
        <v>409</v>
      </c>
      <c r="K307" s="19" t="s">
        <v>168</v>
      </c>
      <c r="L307">
        <v>0</v>
      </c>
      <c r="N307" s="38"/>
      <c r="O307">
        <f t="shared" si="32"/>
        <v>796</v>
      </c>
      <c r="P307" s="116">
        <f t="shared" si="31"/>
        <v>0</v>
      </c>
      <c r="Q307" s="13"/>
    </row>
    <row r="308" spans="1:17" x14ac:dyDescent="0.25">
      <c r="A308" s="138" t="s">
        <v>149</v>
      </c>
      <c r="B308" s="1" t="s">
        <v>1112</v>
      </c>
      <c r="C308" t="str">
        <f>VLOOKUP(B308,'Planting GPS Points'!$B$3:$L$290,10,FALSE)</f>
        <v>DNR</v>
      </c>
      <c r="D308" t="str">
        <f>VLOOKUP(B308,'Planting GPS Points'!$B$3:$AL$290,17,FALSE)</f>
        <v>test</v>
      </c>
      <c r="E308" s="27">
        <v>42880</v>
      </c>
      <c r="F308" s="20">
        <v>8.0000000000000002E-3</v>
      </c>
      <c r="G308">
        <v>12</v>
      </c>
      <c r="H308" s="12" t="s">
        <v>165</v>
      </c>
      <c r="I308" s="27">
        <v>44033</v>
      </c>
      <c r="J308" s="19" t="s">
        <v>409</v>
      </c>
      <c r="K308" s="19" t="s">
        <v>168</v>
      </c>
      <c r="L308">
        <v>0</v>
      </c>
      <c r="N308" s="20" t="str">
        <f>IFERROR(L308/M308, "")</f>
        <v/>
      </c>
      <c r="O308">
        <f t="shared" si="32"/>
        <v>1153</v>
      </c>
      <c r="P308" s="116">
        <f t="shared" si="31"/>
        <v>0</v>
      </c>
      <c r="Q308" s="13"/>
    </row>
    <row r="309" spans="1:17" x14ac:dyDescent="0.25">
      <c r="A309" s="1" t="s">
        <v>149</v>
      </c>
      <c r="B309" s="1" t="s">
        <v>1114</v>
      </c>
      <c r="C309" t="str">
        <f>VLOOKUP(B309,'Planting GPS Points'!$B$3:$L$290,10,FALSE)</f>
        <v>DNR</v>
      </c>
      <c r="D309" t="str">
        <f>VLOOKUP(B309,'Planting GPS Points'!$B$3:$AL$290,17,FALSE)</f>
        <v>test</v>
      </c>
      <c r="E309" s="27">
        <v>42880</v>
      </c>
      <c r="F309" s="20">
        <v>8.0000000000000002E-3</v>
      </c>
      <c r="G309">
        <v>12</v>
      </c>
      <c r="H309" s="12" t="s">
        <v>165</v>
      </c>
      <c r="I309" s="27">
        <v>42883</v>
      </c>
      <c r="J309" s="19" t="s">
        <v>291</v>
      </c>
      <c r="K309" s="19" t="s">
        <v>168</v>
      </c>
      <c r="L309">
        <v>10</v>
      </c>
      <c r="M309">
        <v>8.0000000000000002E-3</v>
      </c>
      <c r="N309">
        <f>L309/M309</f>
        <v>1250</v>
      </c>
      <c r="O309">
        <f t="shared" si="32"/>
        <v>3</v>
      </c>
      <c r="P309" s="116">
        <f t="shared" si="31"/>
        <v>0.83333333333333337</v>
      </c>
      <c r="Q309" s="13" t="s">
        <v>1071</v>
      </c>
    </row>
    <row r="310" spans="1:17" x14ac:dyDescent="0.25">
      <c r="A310" s="1" t="s">
        <v>149</v>
      </c>
      <c r="B310" s="1" t="s">
        <v>1114</v>
      </c>
      <c r="C310" t="str">
        <f>VLOOKUP(B310,'Planting GPS Points'!$B$3:$L$290,10,FALSE)</f>
        <v>DNR</v>
      </c>
      <c r="D310" t="str">
        <f>VLOOKUP(B310,'Planting GPS Points'!$B$3:$AL$290,17,FALSE)</f>
        <v>test</v>
      </c>
      <c r="E310" s="27">
        <v>42880</v>
      </c>
      <c r="F310" s="20">
        <v>8.0000000000000002E-3</v>
      </c>
      <c r="G310">
        <v>12</v>
      </c>
      <c r="H310" s="12" t="s">
        <v>165</v>
      </c>
      <c r="I310" s="27">
        <v>42938</v>
      </c>
      <c r="J310" s="19" t="s">
        <v>291</v>
      </c>
      <c r="K310" s="19" t="s">
        <v>168</v>
      </c>
      <c r="L310">
        <v>22</v>
      </c>
      <c r="M310">
        <v>8.0000000000000002E-3</v>
      </c>
      <c r="N310">
        <f>L310/M310</f>
        <v>2750</v>
      </c>
      <c r="O310">
        <f t="shared" si="32"/>
        <v>58</v>
      </c>
      <c r="P310" s="116">
        <f t="shared" si="31"/>
        <v>1.8333333333333333</v>
      </c>
      <c r="Q310" s="13" t="s">
        <v>1070</v>
      </c>
    </row>
    <row r="311" spans="1:17" x14ac:dyDescent="0.25">
      <c r="A311" s="1" t="s">
        <v>149</v>
      </c>
      <c r="B311" s="1" t="s">
        <v>1114</v>
      </c>
      <c r="C311" t="str">
        <f>VLOOKUP(B311,'Planting GPS Points'!$B$3:$L$290,10,FALSE)</f>
        <v>DNR</v>
      </c>
      <c r="D311" t="str">
        <f>VLOOKUP(B311,'Planting GPS Points'!$B$3:$AL$290,17,FALSE)</f>
        <v>test</v>
      </c>
      <c r="E311" s="27">
        <v>42880</v>
      </c>
      <c r="F311" s="20">
        <v>8.0000000000000002E-3</v>
      </c>
      <c r="G311">
        <v>12</v>
      </c>
      <c r="H311" s="12" t="s">
        <v>165</v>
      </c>
      <c r="I311" s="27">
        <v>42967</v>
      </c>
      <c r="J311" s="19" t="s">
        <v>291</v>
      </c>
      <c r="K311" s="19" t="s">
        <v>168</v>
      </c>
      <c r="L311">
        <v>45</v>
      </c>
      <c r="M311">
        <v>6.1539999999999997E-2</v>
      </c>
      <c r="N311" s="38">
        <f>L311/M311</f>
        <v>731.23171920701986</v>
      </c>
      <c r="O311">
        <f t="shared" si="32"/>
        <v>87</v>
      </c>
      <c r="P311" s="116">
        <f t="shared" si="31"/>
        <v>3.75</v>
      </c>
      <c r="Q311" s="13" t="s">
        <v>1070</v>
      </c>
    </row>
    <row r="312" spans="1:17" x14ac:dyDescent="0.25">
      <c r="A312" s="1" t="s">
        <v>149</v>
      </c>
      <c r="B312" s="1" t="s">
        <v>1114</v>
      </c>
      <c r="C312" t="str">
        <f>VLOOKUP(B312,'Planting GPS Points'!$B$3:$L$290,10,FALSE)</f>
        <v>DNR</v>
      </c>
      <c r="D312" t="str">
        <f>VLOOKUP(B312,'Planting GPS Points'!$B$3:$AL$290,17,FALSE)</f>
        <v>test</v>
      </c>
      <c r="E312" s="27">
        <v>42880</v>
      </c>
      <c r="F312" s="20">
        <v>8.0000000000000002E-3</v>
      </c>
      <c r="G312">
        <v>12</v>
      </c>
      <c r="H312" s="12" t="s">
        <v>165</v>
      </c>
      <c r="I312" s="27">
        <v>43073</v>
      </c>
      <c r="J312" s="19" t="s">
        <v>291</v>
      </c>
      <c r="K312" s="19" t="s">
        <v>168</v>
      </c>
      <c r="L312">
        <v>112</v>
      </c>
      <c r="N312" s="38"/>
      <c r="O312">
        <f t="shared" si="32"/>
        <v>193</v>
      </c>
      <c r="P312" s="116">
        <f t="shared" si="31"/>
        <v>9.3333333333333339</v>
      </c>
      <c r="Q312" s="13" t="s">
        <v>992</v>
      </c>
    </row>
    <row r="313" spans="1:17" x14ac:dyDescent="0.25">
      <c r="A313" s="1" t="s">
        <v>149</v>
      </c>
      <c r="B313" s="1" t="s">
        <v>1114</v>
      </c>
      <c r="C313" t="str">
        <f>VLOOKUP(B313,'Planting GPS Points'!$B$3:$L$290,10,FALSE)</f>
        <v>DNR</v>
      </c>
      <c r="D313" t="str">
        <f>VLOOKUP(B313,'Planting GPS Points'!$B$3:$AL$290,17,FALSE)</f>
        <v>test</v>
      </c>
      <c r="E313" s="27">
        <v>42880</v>
      </c>
      <c r="F313" s="20">
        <v>8.0000000000000002E-3</v>
      </c>
      <c r="G313">
        <v>12</v>
      </c>
      <c r="H313" s="12" t="s">
        <v>165</v>
      </c>
      <c r="I313" s="27">
        <v>43130</v>
      </c>
      <c r="J313" s="19" t="s">
        <v>291</v>
      </c>
      <c r="K313" s="19" t="s">
        <v>168</v>
      </c>
      <c r="L313">
        <v>45</v>
      </c>
      <c r="M313">
        <v>2.8338499999999999E-2</v>
      </c>
      <c r="N313" s="38">
        <f>L313/M313</f>
        <v>1587.9457275438008</v>
      </c>
      <c r="O313">
        <f t="shared" si="32"/>
        <v>250</v>
      </c>
      <c r="P313" s="116">
        <f t="shared" si="31"/>
        <v>3.75</v>
      </c>
      <c r="Q313" s="13" t="s">
        <v>1073</v>
      </c>
    </row>
    <row r="314" spans="1:17" x14ac:dyDescent="0.25">
      <c r="A314" s="1" t="s">
        <v>149</v>
      </c>
      <c r="B314" s="1" t="s">
        <v>1114</v>
      </c>
      <c r="C314" t="str">
        <f>VLOOKUP(B314,'Planting GPS Points'!$B$3:$L$290,10,FALSE)</f>
        <v>DNR</v>
      </c>
      <c r="D314" t="str">
        <f>VLOOKUP(B314,'Planting GPS Points'!$B$3:$AL$290,17,FALSE)</f>
        <v>test</v>
      </c>
      <c r="E314" s="27">
        <v>42880</v>
      </c>
      <c r="F314" s="20">
        <v>8.0000000000000002E-3</v>
      </c>
      <c r="G314">
        <v>12</v>
      </c>
      <c r="H314" s="12" t="s">
        <v>165</v>
      </c>
      <c r="I314" s="27">
        <v>43235</v>
      </c>
      <c r="J314" s="19" t="s">
        <v>291</v>
      </c>
      <c r="K314" s="19" t="s">
        <v>168</v>
      </c>
      <c r="L314">
        <v>67</v>
      </c>
      <c r="M314">
        <v>0.32969999999999999</v>
      </c>
      <c r="N314" s="38">
        <f>L314/M314</f>
        <v>203.2150439793752</v>
      </c>
      <c r="O314">
        <f t="shared" si="32"/>
        <v>355</v>
      </c>
      <c r="P314" s="116">
        <f t="shared" si="31"/>
        <v>5.583333333333333</v>
      </c>
      <c r="Q314" s="13" t="s">
        <v>990</v>
      </c>
    </row>
    <row r="315" spans="1:17" x14ac:dyDescent="0.25">
      <c r="A315" s="1" t="s">
        <v>149</v>
      </c>
      <c r="B315" s="1" t="s">
        <v>1114</v>
      </c>
      <c r="C315" t="str">
        <f>VLOOKUP(B315,'Planting GPS Points'!$B$3:$L$290,10,FALSE)</f>
        <v>DNR</v>
      </c>
      <c r="D315" t="str">
        <f>VLOOKUP(B315,'Planting GPS Points'!$B$3:$AL$290,17,FALSE)</f>
        <v>test</v>
      </c>
      <c r="E315" s="27">
        <v>42880</v>
      </c>
      <c r="F315" s="20">
        <v>8.0000000000000002E-3</v>
      </c>
      <c r="G315">
        <v>12</v>
      </c>
      <c r="H315" s="12" t="s">
        <v>165</v>
      </c>
      <c r="I315" s="27">
        <v>43292</v>
      </c>
      <c r="J315" s="19" t="s">
        <v>291</v>
      </c>
      <c r="K315" s="19" t="s">
        <v>168</v>
      </c>
      <c r="L315">
        <v>47</v>
      </c>
      <c r="M315">
        <v>0.29892800000000003</v>
      </c>
      <c r="N315" s="38">
        <f>L315/M315</f>
        <v>157.22849649413905</v>
      </c>
      <c r="O315">
        <f t="shared" si="32"/>
        <v>412</v>
      </c>
      <c r="P315" s="116">
        <f t="shared" si="31"/>
        <v>3.9166666666666665</v>
      </c>
      <c r="Q315" s="13" t="s">
        <v>1076</v>
      </c>
    </row>
    <row r="316" spans="1:17" x14ac:dyDescent="0.25">
      <c r="A316" s="1" t="s">
        <v>149</v>
      </c>
      <c r="B316" s="1" t="s">
        <v>1114</v>
      </c>
      <c r="C316" t="str">
        <f>VLOOKUP(B316,'Planting GPS Points'!$B$3:$L$290,10,FALSE)</f>
        <v>DNR</v>
      </c>
      <c r="D316" t="str">
        <f>VLOOKUP(B316,'Planting GPS Points'!$B$3:$AL$290,17,FALSE)</f>
        <v>test</v>
      </c>
      <c r="E316" s="27">
        <v>42880</v>
      </c>
      <c r="F316" s="20">
        <v>8.0000000000000002E-3</v>
      </c>
      <c r="G316">
        <v>12</v>
      </c>
      <c r="H316" s="12" t="s">
        <v>165</v>
      </c>
      <c r="I316" s="27">
        <v>43320</v>
      </c>
      <c r="J316" s="19" t="s">
        <v>291</v>
      </c>
      <c r="K316" s="19" t="s">
        <v>168</v>
      </c>
      <c r="L316">
        <v>97</v>
      </c>
      <c r="M316">
        <v>0.17858750000000001</v>
      </c>
      <c r="N316" s="38">
        <f>L316/M316</f>
        <v>543.15111639952397</v>
      </c>
      <c r="O316">
        <f t="shared" si="32"/>
        <v>440</v>
      </c>
      <c r="P316" s="116">
        <f t="shared" si="31"/>
        <v>8.0833333333333339</v>
      </c>
      <c r="Q316" s="13" t="s">
        <v>1078</v>
      </c>
    </row>
    <row r="317" spans="1:17" x14ac:dyDescent="0.25">
      <c r="A317" s="1" t="s">
        <v>149</v>
      </c>
      <c r="B317" s="1" t="s">
        <v>1114</v>
      </c>
      <c r="C317" t="str">
        <f>VLOOKUP(B317,'Planting GPS Points'!$B$3:$L$290,10,FALSE)</f>
        <v>DNR</v>
      </c>
      <c r="D317" t="str">
        <f>VLOOKUP(B317,'Planting GPS Points'!$B$3:$AL$290,17,FALSE)</f>
        <v>test</v>
      </c>
      <c r="E317" s="27">
        <v>42880</v>
      </c>
      <c r="F317" s="20">
        <v>8.0000000000000002E-3</v>
      </c>
      <c r="G317">
        <v>12</v>
      </c>
      <c r="H317" s="12" t="s">
        <v>165</v>
      </c>
      <c r="I317" s="27">
        <v>43676</v>
      </c>
      <c r="J317" s="19" t="s">
        <v>291</v>
      </c>
      <c r="K317" s="19" t="s">
        <v>168</v>
      </c>
      <c r="L317">
        <v>157</v>
      </c>
      <c r="M317" s="20">
        <v>1.2002649999999999</v>
      </c>
      <c r="N317" s="38">
        <f>L317/M317</f>
        <v>130.80444735120994</v>
      </c>
      <c r="O317">
        <f t="shared" si="32"/>
        <v>796</v>
      </c>
      <c r="P317" s="116">
        <f t="shared" si="31"/>
        <v>13.083333333333334</v>
      </c>
      <c r="Q317" s="13" t="s">
        <v>1080</v>
      </c>
    </row>
    <row r="318" spans="1:17" x14ac:dyDescent="0.25">
      <c r="A318" s="138" t="s">
        <v>149</v>
      </c>
      <c r="B318" s="1" t="s">
        <v>1114</v>
      </c>
      <c r="C318" t="str">
        <f>VLOOKUP(B318,'Planting GPS Points'!$B$3:$L$290,10,FALSE)</f>
        <v>DNR</v>
      </c>
      <c r="D318" t="str">
        <f>VLOOKUP(B318,'Planting GPS Points'!$B$3:$AL$290,17,FALSE)</f>
        <v>test</v>
      </c>
      <c r="E318" s="27">
        <v>42880</v>
      </c>
      <c r="F318" s="20">
        <v>8.0000000000000002E-3</v>
      </c>
      <c r="G318">
        <v>12</v>
      </c>
      <c r="H318" s="12" t="s">
        <v>165</v>
      </c>
      <c r="I318" s="27">
        <v>44033</v>
      </c>
      <c r="J318" s="19" t="s">
        <v>291</v>
      </c>
      <c r="K318" s="19" t="s">
        <v>168</v>
      </c>
      <c r="M318" s="20"/>
      <c r="N318" s="20" t="str">
        <f t="shared" ref="N318:N349" si="33">IFERROR(L318/M318, "")</f>
        <v/>
      </c>
      <c r="O318">
        <f t="shared" si="32"/>
        <v>1153</v>
      </c>
      <c r="P318" s="116" t="str">
        <f t="shared" si="31"/>
        <v/>
      </c>
      <c r="Q318" s="13" t="s">
        <v>1080</v>
      </c>
    </row>
    <row r="319" spans="1:17" x14ac:dyDescent="0.25">
      <c r="A319" s="1" t="s">
        <v>149</v>
      </c>
      <c r="B319" s="1" t="s">
        <v>1127</v>
      </c>
      <c r="C319" t="str">
        <f>VLOOKUP(B319,'Planting GPS Points'!$B$3:$L$290,10,FALSE)</f>
        <v>DNR</v>
      </c>
      <c r="D319" t="str">
        <f>VLOOKUP(B319,'Planting GPS Points'!$B$3:$AL$290,17,FALSE)</f>
        <v>test</v>
      </c>
      <c r="E319" s="27">
        <v>42881</v>
      </c>
      <c r="F319" s="20">
        <v>1.25</v>
      </c>
      <c r="G319">
        <v>90</v>
      </c>
      <c r="H319" s="12" t="s">
        <v>165</v>
      </c>
      <c r="I319" s="27">
        <v>42938</v>
      </c>
      <c r="J319" s="19" t="s">
        <v>291</v>
      </c>
      <c r="K319" s="19" t="s">
        <v>168</v>
      </c>
      <c r="L319">
        <v>164</v>
      </c>
      <c r="M319">
        <v>1.25</v>
      </c>
      <c r="N319" s="20">
        <f t="shared" si="33"/>
        <v>131.19999999999999</v>
      </c>
      <c r="O319">
        <f t="shared" si="32"/>
        <v>57</v>
      </c>
      <c r="P319" s="116">
        <f t="shared" si="31"/>
        <v>1.8222222222222222</v>
      </c>
      <c r="Q319" s="13" t="s">
        <v>1258</v>
      </c>
    </row>
    <row r="320" spans="1:17" x14ac:dyDescent="0.25">
      <c r="A320" s="1" t="s">
        <v>149</v>
      </c>
      <c r="B320" s="1" t="s">
        <v>1127</v>
      </c>
      <c r="C320" t="str">
        <f>VLOOKUP(B320,'Planting GPS Points'!$B$3:$L$290,10,FALSE)</f>
        <v>DNR</v>
      </c>
      <c r="D320" t="str">
        <f>VLOOKUP(B320,'Planting GPS Points'!$B$3:$AL$290,17,FALSE)</f>
        <v>test</v>
      </c>
      <c r="E320" s="27">
        <v>42881</v>
      </c>
      <c r="F320" s="20">
        <v>1.25</v>
      </c>
      <c r="G320">
        <v>90</v>
      </c>
      <c r="H320" s="12" t="s">
        <v>165</v>
      </c>
      <c r="I320" s="27">
        <v>42968</v>
      </c>
      <c r="J320" s="19" t="s">
        <v>291</v>
      </c>
      <c r="K320" s="19" t="s">
        <v>168</v>
      </c>
      <c r="L320">
        <v>257</v>
      </c>
      <c r="M320">
        <v>1.25</v>
      </c>
      <c r="N320" s="20">
        <f t="shared" si="33"/>
        <v>205.6</v>
      </c>
      <c r="O320">
        <f t="shared" si="32"/>
        <v>87</v>
      </c>
      <c r="P320" s="116">
        <f t="shared" si="31"/>
        <v>2.8555555555555556</v>
      </c>
      <c r="Q320" s="13" t="s">
        <v>1258</v>
      </c>
    </row>
    <row r="321" spans="1:17" x14ac:dyDescent="0.25">
      <c r="A321" s="1" t="s">
        <v>149</v>
      </c>
      <c r="B321" s="1" t="s">
        <v>1127</v>
      </c>
      <c r="C321" t="str">
        <f>VLOOKUP(B321,'Planting GPS Points'!$B$3:$L$290,10,FALSE)</f>
        <v>DNR</v>
      </c>
      <c r="D321" t="str">
        <f>VLOOKUP(B321,'Planting GPS Points'!$B$3:$AL$290,17,FALSE)</f>
        <v>test</v>
      </c>
      <c r="E321" s="27">
        <v>42881</v>
      </c>
      <c r="F321" s="20">
        <v>1.25</v>
      </c>
      <c r="G321">
        <v>90</v>
      </c>
      <c r="H321" s="12" t="s">
        <v>165</v>
      </c>
      <c r="I321" s="27">
        <v>43238</v>
      </c>
      <c r="J321" s="19" t="s">
        <v>291</v>
      </c>
      <c r="K321" s="19" t="s">
        <v>168</v>
      </c>
      <c r="L321">
        <v>640</v>
      </c>
      <c r="M321">
        <v>1.25</v>
      </c>
      <c r="N321" s="20">
        <f t="shared" si="33"/>
        <v>512</v>
      </c>
      <c r="O321">
        <f t="shared" si="32"/>
        <v>357</v>
      </c>
      <c r="P321" s="116">
        <f t="shared" si="31"/>
        <v>7.1111111111111107</v>
      </c>
      <c r="Q321" s="13" t="s">
        <v>1258</v>
      </c>
    </row>
    <row r="322" spans="1:17" x14ac:dyDescent="0.25">
      <c r="A322" s="1" t="s">
        <v>149</v>
      </c>
      <c r="B322" s="1" t="s">
        <v>1127</v>
      </c>
      <c r="C322" t="str">
        <f>VLOOKUP(B322,'Planting GPS Points'!$B$3:$L$290,10,FALSE)</f>
        <v>DNR</v>
      </c>
      <c r="D322" t="str">
        <f>VLOOKUP(B322,'Planting GPS Points'!$B$3:$AL$290,17,FALSE)</f>
        <v>test</v>
      </c>
      <c r="E322" s="27">
        <v>42881</v>
      </c>
      <c r="F322" s="20">
        <v>1.25</v>
      </c>
      <c r="G322">
        <v>90</v>
      </c>
      <c r="H322" s="12" t="s">
        <v>165</v>
      </c>
      <c r="I322" s="27">
        <v>43294</v>
      </c>
      <c r="J322" s="19" t="s">
        <v>291</v>
      </c>
      <c r="K322" s="19" t="s">
        <v>168</v>
      </c>
      <c r="L322">
        <v>804</v>
      </c>
      <c r="M322">
        <v>1.25</v>
      </c>
      <c r="N322" s="20">
        <f t="shared" si="33"/>
        <v>643.20000000000005</v>
      </c>
      <c r="O322">
        <f t="shared" si="32"/>
        <v>413</v>
      </c>
      <c r="P322" s="116">
        <f t="shared" si="31"/>
        <v>8.9333333333333336</v>
      </c>
      <c r="Q322" s="13" t="s">
        <v>1258</v>
      </c>
    </row>
    <row r="323" spans="1:17" x14ac:dyDescent="0.25">
      <c r="A323" s="1" t="s">
        <v>149</v>
      </c>
      <c r="B323" s="1" t="s">
        <v>1127</v>
      </c>
      <c r="C323" t="str">
        <f>VLOOKUP(B323,'Planting GPS Points'!$B$3:$L$290,10,FALSE)</f>
        <v>DNR</v>
      </c>
      <c r="D323" t="str">
        <f>VLOOKUP(B323,'Planting GPS Points'!$B$3:$AL$290,17,FALSE)</f>
        <v>test</v>
      </c>
      <c r="E323" s="27">
        <v>42881</v>
      </c>
      <c r="F323" s="20">
        <v>1.25</v>
      </c>
      <c r="G323">
        <v>90</v>
      </c>
      <c r="H323" s="12" t="s">
        <v>165</v>
      </c>
      <c r="I323" s="27">
        <v>43321</v>
      </c>
      <c r="J323" s="19" t="s">
        <v>291</v>
      </c>
      <c r="K323" s="19" t="s">
        <v>168</v>
      </c>
      <c r="L323">
        <v>1082</v>
      </c>
      <c r="M323">
        <v>1.25</v>
      </c>
      <c r="N323" s="20">
        <f t="shared" si="33"/>
        <v>865.6</v>
      </c>
      <c r="O323">
        <f t="shared" si="32"/>
        <v>440</v>
      </c>
      <c r="P323" s="116">
        <f t="shared" si="31"/>
        <v>12.022222222222222</v>
      </c>
      <c r="Q323" s="13" t="s">
        <v>1258</v>
      </c>
    </row>
    <row r="324" spans="1:17" x14ac:dyDescent="0.25">
      <c r="A324" s="1" t="s">
        <v>149</v>
      </c>
      <c r="B324" s="1" t="s">
        <v>1127</v>
      </c>
      <c r="C324" t="str">
        <f>VLOOKUP(B324,'Planting GPS Points'!$B$3:$L$290,10,FALSE)</f>
        <v>DNR</v>
      </c>
      <c r="D324" t="str">
        <f>VLOOKUP(B324,'Planting GPS Points'!$B$3:$AL$290,17,FALSE)</f>
        <v>test</v>
      </c>
      <c r="E324" s="27">
        <v>42881</v>
      </c>
      <c r="F324" s="20">
        <v>1.25</v>
      </c>
      <c r="G324">
        <v>90</v>
      </c>
      <c r="H324" s="12" t="s">
        <v>165</v>
      </c>
      <c r="I324" s="27">
        <v>43678</v>
      </c>
      <c r="J324" s="19" t="s">
        <v>291</v>
      </c>
      <c r="K324" s="19" t="s">
        <v>168</v>
      </c>
      <c r="L324">
        <v>1935</v>
      </c>
      <c r="M324">
        <v>1.25</v>
      </c>
      <c r="N324" s="20">
        <f t="shared" si="33"/>
        <v>1548</v>
      </c>
      <c r="O324">
        <f t="shared" si="32"/>
        <v>797</v>
      </c>
      <c r="P324" s="116">
        <f t="shared" si="31"/>
        <v>21.5</v>
      </c>
      <c r="Q324" s="13" t="s">
        <v>1258</v>
      </c>
    </row>
    <row r="325" spans="1:17" x14ac:dyDescent="0.25">
      <c r="A325" s="138" t="s">
        <v>149</v>
      </c>
      <c r="B325" s="1" t="s">
        <v>1127</v>
      </c>
      <c r="C325" t="str">
        <f>VLOOKUP(B325,'Planting GPS Points'!$B$3:$L$290,10,FALSE)</f>
        <v>DNR</v>
      </c>
      <c r="D325" t="str">
        <f>VLOOKUP(B325,'Planting GPS Points'!$B$3:$AL$290,17,FALSE)</f>
        <v>test</v>
      </c>
      <c r="E325" s="27">
        <v>42881</v>
      </c>
      <c r="F325" s="20">
        <v>1.25</v>
      </c>
      <c r="G325">
        <v>90</v>
      </c>
      <c r="H325" s="12" t="s">
        <v>165</v>
      </c>
      <c r="I325" s="27">
        <v>44033</v>
      </c>
      <c r="J325" s="19" t="s">
        <v>291</v>
      </c>
      <c r="K325" s="19" t="s">
        <v>168</v>
      </c>
      <c r="N325" s="20" t="str">
        <f t="shared" si="33"/>
        <v/>
      </c>
      <c r="O325">
        <f t="shared" si="32"/>
        <v>1152</v>
      </c>
      <c r="P325" s="116" t="str">
        <f t="shared" si="31"/>
        <v/>
      </c>
      <c r="Q325" s="13" t="s">
        <v>1897</v>
      </c>
    </row>
    <row r="326" spans="1:17" x14ac:dyDescent="0.25">
      <c r="A326" s="1" t="s">
        <v>149</v>
      </c>
      <c r="B326" s="1" t="s">
        <v>1128</v>
      </c>
      <c r="C326" t="str">
        <f>VLOOKUP(B326,'Planting GPS Points'!$B$3:$L$290,10,FALSE)</f>
        <v>DNR</v>
      </c>
      <c r="D326" t="str">
        <f>VLOOKUP(B326,'Planting GPS Points'!$B$3:$AL$290,17,FALSE)</f>
        <v>test</v>
      </c>
      <c r="E326" s="27">
        <v>42881</v>
      </c>
      <c r="F326" s="20">
        <v>1.25</v>
      </c>
      <c r="G326">
        <v>90</v>
      </c>
      <c r="H326" s="12" t="s">
        <v>165</v>
      </c>
      <c r="I326" s="27">
        <v>42938</v>
      </c>
      <c r="J326" s="19" t="s">
        <v>291</v>
      </c>
      <c r="K326" s="19" t="s">
        <v>169</v>
      </c>
      <c r="L326">
        <v>143</v>
      </c>
      <c r="M326">
        <v>1.25</v>
      </c>
      <c r="N326" s="20">
        <f t="shared" si="33"/>
        <v>114.4</v>
      </c>
      <c r="O326">
        <f t="shared" si="32"/>
        <v>57</v>
      </c>
      <c r="P326" s="116">
        <f t="shared" si="31"/>
        <v>1.5888888888888888</v>
      </c>
      <c r="Q326" s="13" t="s">
        <v>1258</v>
      </c>
    </row>
    <row r="327" spans="1:17" x14ac:dyDescent="0.25">
      <c r="A327" s="1" t="s">
        <v>149</v>
      </c>
      <c r="B327" s="1" t="s">
        <v>1128</v>
      </c>
      <c r="C327" t="str">
        <f>VLOOKUP(B327,'Planting GPS Points'!$B$3:$L$290,10,FALSE)</f>
        <v>DNR</v>
      </c>
      <c r="D327" t="str">
        <f>VLOOKUP(B327,'Planting GPS Points'!$B$3:$AL$290,17,FALSE)</f>
        <v>test</v>
      </c>
      <c r="E327" s="27">
        <v>42881</v>
      </c>
      <c r="F327" s="20">
        <v>1.25</v>
      </c>
      <c r="G327">
        <v>90</v>
      </c>
      <c r="H327" s="12" t="s">
        <v>165</v>
      </c>
      <c r="I327" s="27">
        <v>42968</v>
      </c>
      <c r="J327" s="19" t="s">
        <v>291</v>
      </c>
      <c r="K327" s="19" t="s">
        <v>169</v>
      </c>
      <c r="L327">
        <v>265</v>
      </c>
      <c r="M327">
        <v>1.25</v>
      </c>
      <c r="N327" s="20">
        <f t="shared" si="33"/>
        <v>212</v>
      </c>
      <c r="O327">
        <f t="shared" si="32"/>
        <v>87</v>
      </c>
      <c r="P327" s="116">
        <f t="shared" si="31"/>
        <v>2.9444444444444446</v>
      </c>
      <c r="Q327" s="13" t="s">
        <v>1258</v>
      </c>
    </row>
    <row r="328" spans="1:17" x14ac:dyDescent="0.25">
      <c r="A328" s="1" t="s">
        <v>149</v>
      </c>
      <c r="B328" s="1" t="s">
        <v>1128</v>
      </c>
      <c r="C328" t="str">
        <f>VLOOKUP(B328,'Planting GPS Points'!$B$3:$L$290,10,FALSE)</f>
        <v>DNR</v>
      </c>
      <c r="D328" t="str">
        <f>VLOOKUP(B328,'Planting GPS Points'!$B$3:$AL$290,17,FALSE)</f>
        <v>test</v>
      </c>
      <c r="E328" s="27">
        <v>42881</v>
      </c>
      <c r="F328" s="20">
        <v>1.25</v>
      </c>
      <c r="G328">
        <v>90</v>
      </c>
      <c r="H328" s="12" t="s">
        <v>165</v>
      </c>
      <c r="I328" s="27">
        <v>43238</v>
      </c>
      <c r="J328" s="19" t="s">
        <v>291</v>
      </c>
      <c r="K328" s="19" t="s">
        <v>169</v>
      </c>
      <c r="L328">
        <v>552</v>
      </c>
      <c r="M328">
        <v>1.25</v>
      </c>
      <c r="N328" s="20">
        <f t="shared" si="33"/>
        <v>441.6</v>
      </c>
      <c r="O328">
        <f t="shared" si="32"/>
        <v>357</v>
      </c>
      <c r="P328" s="116">
        <f t="shared" si="31"/>
        <v>6.1333333333333337</v>
      </c>
      <c r="Q328" s="13" t="s">
        <v>1258</v>
      </c>
    </row>
    <row r="329" spans="1:17" x14ac:dyDescent="0.25">
      <c r="A329" s="1" t="s">
        <v>149</v>
      </c>
      <c r="B329" s="1" t="s">
        <v>1128</v>
      </c>
      <c r="C329" t="str">
        <f>VLOOKUP(B329,'Planting GPS Points'!$B$3:$L$290,10,FALSE)</f>
        <v>DNR</v>
      </c>
      <c r="D329" t="str">
        <f>VLOOKUP(B329,'Planting GPS Points'!$B$3:$AL$290,17,FALSE)</f>
        <v>test</v>
      </c>
      <c r="E329" s="27">
        <v>42881</v>
      </c>
      <c r="F329" s="20">
        <v>1.25</v>
      </c>
      <c r="G329">
        <v>90</v>
      </c>
      <c r="H329" s="12" t="s">
        <v>165</v>
      </c>
      <c r="I329" s="27">
        <v>43294</v>
      </c>
      <c r="J329" s="19" t="s">
        <v>291</v>
      </c>
      <c r="K329" s="19" t="s">
        <v>169</v>
      </c>
      <c r="L329">
        <v>469</v>
      </c>
      <c r="M329">
        <v>1.25</v>
      </c>
      <c r="N329" s="20">
        <f t="shared" si="33"/>
        <v>375.2</v>
      </c>
      <c r="O329">
        <f t="shared" si="32"/>
        <v>413</v>
      </c>
      <c r="P329" s="116">
        <f t="shared" si="31"/>
        <v>5.2111111111111112</v>
      </c>
      <c r="Q329" s="13" t="s">
        <v>1258</v>
      </c>
    </row>
    <row r="330" spans="1:17" x14ac:dyDescent="0.25">
      <c r="A330" s="1" t="s">
        <v>149</v>
      </c>
      <c r="B330" s="1" t="s">
        <v>1128</v>
      </c>
      <c r="C330" t="str">
        <f>VLOOKUP(B330,'Planting GPS Points'!$B$3:$L$290,10,FALSE)</f>
        <v>DNR</v>
      </c>
      <c r="D330" t="str">
        <f>VLOOKUP(B330,'Planting GPS Points'!$B$3:$AL$290,17,FALSE)</f>
        <v>test</v>
      </c>
      <c r="E330" s="27">
        <v>42881</v>
      </c>
      <c r="F330" s="20">
        <v>1.25</v>
      </c>
      <c r="G330">
        <v>90</v>
      </c>
      <c r="H330" s="12" t="s">
        <v>165</v>
      </c>
      <c r="I330" s="27">
        <v>43321</v>
      </c>
      <c r="J330" s="19" t="s">
        <v>291</v>
      </c>
      <c r="K330" s="19" t="s">
        <v>169</v>
      </c>
      <c r="L330">
        <v>730</v>
      </c>
      <c r="M330">
        <v>1.25</v>
      </c>
      <c r="N330" s="20">
        <f t="shared" si="33"/>
        <v>584</v>
      </c>
      <c r="O330">
        <f t="shared" si="32"/>
        <v>440</v>
      </c>
      <c r="P330" s="116">
        <f t="shared" si="31"/>
        <v>8.1111111111111107</v>
      </c>
      <c r="Q330" s="13" t="s">
        <v>1258</v>
      </c>
    </row>
    <row r="331" spans="1:17" x14ac:dyDescent="0.25">
      <c r="A331" s="1" t="s">
        <v>149</v>
      </c>
      <c r="B331" s="1" t="s">
        <v>1128</v>
      </c>
      <c r="C331" t="str">
        <f>VLOOKUP(B331,'Planting GPS Points'!$B$3:$L$290,10,FALSE)</f>
        <v>DNR</v>
      </c>
      <c r="D331" t="str">
        <f>VLOOKUP(B331,'Planting GPS Points'!$B$3:$AL$290,17,FALSE)</f>
        <v>test</v>
      </c>
      <c r="E331" s="27">
        <v>42881</v>
      </c>
      <c r="F331" s="20">
        <v>1.25</v>
      </c>
      <c r="G331">
        <v>90</v>
      </c>
      <c r="H331" s="12" t="s">
        <v>165</v>
      </c>
      <c r="I331" s="27">
        <v>43678</v>
      </c>
      <c r="J331" s="19" t="s">
        <v>291</v>
      </c>
      <c r="K331" s="19" t="s">
        <v>169</v>
      </c>
      <c r="L331">
        <v>1763</v>
      </c>
      <c r="M331">
        <v>1.25</v>
      </c>
      <c r="N331" s="20">
        <f t="shared" si="33"/>
        <v>1410.4</v>
      </c>
      <c r="O331">
        <f t="shared" si="32"/>
        <v>797</v>
      </c>
      <c r="P331" s="116">
        <f t="shared" si="31"/>
        <v>19.588888888888889</v>
      </c>
      <c r="Q331" s="13" t="s">
        <v>1258</v>
      </c>
    </row>
    <row r="332" spans="1:17" x14ac:dyDescent="0.25">
      <c r="A332" s="138" t="s">
        <v>149</v>
      </c>
      <c r="B332" s="1" t="s">
        <v>1128</v>
      </c>
      <c r="C332" t="str">
        <f>VLOOKUP(B332,'Planting GPS Points'!$B$3:$L$290,10,FALSE)</f>
        <v>DNR</v>
      </c>
      <c r="D332" t="str">
        <f>VLOOKUP(B332,'Planting GPS Points'!$B$3:$AL$290,17,FALSE)</f>
        <v>test</v>
      </c>
      <c r="E332" s="27">
        <v>42881</v>
      </c>
      <c r="F332" s="20">
        <v>1.25</v>
      </c>
      <c r="G332">
        <v>90</v>
      </c>
      <c r="H332" s="12" t="s">
        <v>165</v>
      </c>
      <c r="I332" s="27">
        <v>44033</v>
      </c>
      <c r="J332" s="19" t="s">
        <v>291</v>
      </c>
      <c r="K332" s="19" t="s">
        <v>169</v>
      </c>
      <c r="N332" s="20" t="str">
        <f t="shared" si="33"/>
        <v/>
      </c>
      <c r="O332">
        <f t="shared" si="32"/>
        <v>1152</v>
      </c>
      <c r="P332" s="116" t="str">
        <f t="shared" si="31"/>
        <v/>
      </c>
      <c r="Q332" s="13" t="s">
        <v>1258</v>
      </c>
    </row>
    <row r="333" spans="1:17" x14ac:dyDescent="0.25">
      <c r="A333" t="s">
        <v>149</v>
      </c>
      <c r="B333" t="s">
        <v>1136</v>
      </c>
      <c r="C333" t="str">
        <f>VLOOKUP(B333,'Planting GPS Points'!$B$3:$L$290,10,FALSE)</f>
        <v>WDFW</v>
      </c>
      <c r="D333" t="str">
        <f>VLOOKUP(B333,'Planting GPS Points'!$B$3:$AL$290,17,FALSE)</f>
        <v>test</v>
      </c>
      <c r="E333" s="27">
        <v>41430</v>
      </c>
      <c r="F333" s="20">
        <v>36</v>
      </c>
      <c r="G333">
        <v>712</v>
      </c>
      <c r="H333" s="12" t="s">
        <v>49</v>
      </c>
      <c r="I333" s="27">
        <v>41613</v>
      </c>
      <c r="J333" s="19" t="s">
        <v>291</v>
      </c>
      <c r="K333" s="19" t="s">
        <v>168</v>
      </c>
      <c r="M333">
        <v>36</v>
      </c>
      <c r="N333" s="20">
        <f t="shared" si="33"/>
        <v>0</v>
      </c>
      <c r="O333">
        <f t="shared" si="32"/>
        <v>183</v>
      </c>
      <c r="P333" s="116" t="str">
        <f t="shared" si="31"/>
        <v/>
      </c>
      <c r="Q333" s="13" t="s">
        <v>635</v>
      </c>
    </row>
    <row r="334" spans="1:17" x14ac:dyDescent="0.25">
      <c r="A334" t="s">
        <v>149</v>
      </c>
      <c r="B334" t="s">
        <v>1136</v>
      </c>
      <c r="C334" t="str">
        <f>VLOOKUP(B334,'Planting GPS Points'!$B$3:$L$290,10,FALSE)</f>
        <v>WDFW</v>
      </c>
      <c r="D334" t="str">
        <f>VLOOKUP(B334,'Planting GPS Points'!$B$3:$AL$290,17,FALSE)</f>
        <v>test</v>
      </c>
      <c r="E334" s="27">
        <v>41430</v>
      </c>
      <c r="F334" s="20">
        <v>36</v>
      </c>
      <c r="G334">
        <v>712</v>
      </c>
      <c r="H334" s="12" t="s">
        <v>49</v>
      </c>
      <c r="I334" s="27">
        <v>41725</v>
      </c>
      <c r="J334" s="19" t="s">
        <v>291</v>
      </c>
      <c r="K334" s="19" t="s">
        <v>168</v>
      </c>
      <c r="L334">
        <v>930</v>
      </c>
      <c r="M334">
        <v>36</v>
      </c>
      <c r="N334" s="20">
        <f t="shared" si="33"/>
        <v>25.833333333333332</v>
      </c>
      <c r="O334">
        <f t="shared" si="32"/>
        <v>295</v>
      </c>
      <c r="P334" s="116">
        <f t="shared" si="31"/>
        <v>1.3061797752808988</v>
      </c>
      <c r="Q334" s="13"/>
    </row>
    <row r="335" spans="1:17" x14ac:dyDescent="0.25">
      <c r="A335" t="s">
        <v>149</v>
      </c>
      <c r="B335" t="s">
        <v>1135</v>
      </c>
      <c r="C335" t="str">
        <f>VLOOKUP(B335,'Planting GPS Points'!$B$3:$L$290,10,FALSE)</f>
        <v>WDFW</v>
      </c>
      <c r="D335" t="str">
        <f>VLOOKUP(B335,'Planting GPS Points'!$B$3:$AL$290,17,FALSE)</f>
        <v>test</v>
      </c>
      <c r="E335" s="27">
        <v>41430</v>
      </c>
      <c r="F335" s="20">
        <v>36</v>
      </c>
      <c r="G335">
        <v>712</v>
      </c>
      <c r="H335" s="12" t="s">
        <v>49</v>
      </c>
      <c r="I335" s="27">
        <v>41725</v>
      </c>
      <c r="J335" s="19" t="s">
        <v>291</v>
      </c>
      <c r="K335" s="19" t="s">
        <v>168</v>
      </c>
      <c r="L335">
        <v>775</v>
      </c>
      <c r="M335">
        <v>36</v>
      </c>
      <c r="N335" s="20">
        <f t="shared" si="33"/>
        <v>21.527777777777779</v>
      </c>
      <c r="O335">
        <f t="shared" si="32"/>
        <v>295</v>
      </c>
      <c r="P335" s="116">
        <f t="shared" si="31"/>
        <v>1.0884831460674158</v>
      </c>
      <c r="Q335" s="13" t="s">
        <v>724</v>
      </c>
    </row>
    <row r="336" spans="1:17" x14ac:dyDescent="0.25">
      <c r="A336" t="s">
        <v>149</v>
      </c>
      <c r="B336" t="s">
        <v>1135</v>
      </c>
      <c r="C336" t="str">
        <f>VLOOKUP(B336,'Planting GPS Points'!$B$3:$L$290,10,FALSE)</f>
        <v>WDFW</v>
      </c>
      <c r="D336" t="str">
        <f>VLOOKUP(B336,'Planting GPS Points'!$B$3:$AL$290,17,FALSE)</f>
        <v>test</v>
      </c>
      <c r="E336" s="27">
        <v>41430</v>
      </c>
      <c r="F336" s="20">
        <v>36</v>
      </c>
      <c r="G336">
        <v>712</v>
      </c>
      <c r="H336" s="12" t="s">
        <v>49</v>
      </c>
      <c r="I336" s="27">
        <v>42938</v>
      </c>
      <c r="J336" s="19" t="s">
        <v>291</v>
      </c>
      <c r="K336" s="19" t="s">
        <v>168</v>
      </c>
      <c r="L336">
        <v>11386</v>
      </c>
      <c r="M336">
        <v>27</v>
      </c>
      <c r="N336" s="20">
        <f t="shared" si="33"/>
        <v>421.7037037037037</v>
      </c>
      <c r="O336">
        <f t="shared" si="32"/>
        <v>1508</v>
      </c>
      <c r="P336" s="116">
        <f t="shared" ref="P336:P412" si="34">IF(L336="", "", L336/G336)</f>
        <v>15.991573033707866</v>
      </c>
      <c r="Q336" s="13" t="s">
        <v>1270</v>
      </c>
    </row>
    <row r="337" spans="1:17" x14ac:dyDescent="0.25">
      <c r="A337" t="s">
        <v>149</v>
      </c>
      <c r="B337" t="s">
        <v>1135</v>
      </c>
      <c r="C337" t="str">
        <f>VLOOKUP(B337,'Planting GPS Points'!$B$3:$L$290,10,FALSE)</f>
        <v>WDFW</v>
      </c>
      <c r="D337" t="str">
        <f>VLOOKUP(B337,'Planting GPS Points'!$B$3:$AL$290,17,FALSE)</f>
        <v>test</v>
      </c>
      <c r="E337" s="27">
        <v>41430</v>
      </c>
      <c r="F337" s="20">
        <v>36</v>
      </c>
      <c r="G337">
        <v>712</v>
      </c>
      <c r="H337" s="12" t="s">
        <v>49</v>
      </c>
      <c r="I337" s="27">
        <v>43705</v>
      </c>
      <c r="J337" s="19" t="s">
        <v>291</v>
      </c>
      <c r="K337" s="19" t="s">
        <v>168</v>
      </c>
      <c r="L337" s="38">
        <v>11911.193685612687</v>
      </c>
      <c r="M337">
        <v>33.6</v>
      </c>
      <c r="N337" s="20">
        <f t="shared" si="33"/>
        <v>354.49981207180616</v>
      </c>
      <c r="O337">
        <f t="shared" si="32"/>
        <v>2275</v>
      </c>
      <c r="P337" s="116">
        <f t="shared" si="34"/>
        <v>16.72920461462456</v>
      </c>
      <c r="Q337" s="13" t="s">
        <v>1267</v>
      </c>
    </row>
    <row r="338" spans="1:17" x14ac:dyDescent="0.25">
      <c r="A338" s="138" t="s">
        <v>149</v>
      </c>
      <c r="B338" t="s">
        <v>1135</v>
      </c>
      <c r="C338" t="str">
        <f>VLOOKUP(B338,'Planting GPS Points'!$B$3:$L$290,10,FALSE)</f>
        <v>WDFW</v>
      </c>
      <c r="D338" t="str">
        <f>VLOOKUP(B338,'Planting GPS Points'!$B$3:$AL$290,17,FALSE)</f>
        <v>test</v>
      </c>
      <c r="E338" s="27">
        <v>41430</v>
      </c>
      <c r="F338" s="20">
        <v>36</v>
      </c>
      <c r="G338">
        <v>712</v>
      </c>
      <c r="H338" s="12" t="s">
        <v>49</v>
      </c>
      <c r="I338" s="27">
        <v>44031</v>
      </c>
      <c r="J338" s="19" t="s">
        <v>291</v>
      </c>
      <c r="K338" s="19" t="s">
        <v>168</v>
      </c>
      <c r="L338" s="38"/>
      <c r="N338" s="20" t="str">
        <f t="shared" si="33"/>
        <v/>
      </c>
      <c r="O338">
        <f t="shared" si="32"/>
        <v>2601</v>
      </c>
      <c r="P338" s="116" t="str">
        <f t="shared" si="34"/>
        <v/>
      </c>
      <c r="Q338" s="13" t="s">
        <v>1267</v>
      </c>
    </row>
    <row r="339" spans="1:17" x14ac:dyDescent="0.25">
      <c r="A339" s="1" t="s">
        <v>149</v>
      </c>
      <c r="B339" s="1" t="s">
        <v>1125</v>
      </c>
      <c r="C339" t="str">
        <f>VLOOKUP(B339,'Planting GPS Points'!$B$3:$L$290,10,FALSE)</f>
        <v>DNR</v>
      </c>
      <c r="D339" t="str">
        <f>VLOOKUP(B339,'Planting GPS Points'!$B$3:$AL$290,17,FALSE)</f>
        <v>test</v>
      </c>
      <c r="E339" s="27">
        <v>42881</v>
      </c>
      <c r="F339" s="20">
        <v>1.25</v>
      </c>
      <c r="G339">
        <v>90</v>
      </c>
      <c r="H339" s="12" t="s">
        <v>165</v>
      </c>
      <c r="I339" s="27">
        <v>42938</v>
      </c>
      <c r="J339" s="19" t="s">
        <v>291</v>
      </c>
      <c r="K339" s="19" t="s">
        <v>171</v>
      </c>
      <c r="L339">
        <v>151</v>
      </c>
      <c r="M339">
        <v>1.25</v>
      </c>
      <c r="N339" s="20">
        <f t="shared" si="33"/>
        <v>120.8</v>
      </c>
      <c r="O339">
        <f t="shared" si="32"/>
        <v>57</v>
      </c>
      <c r="P339" s="116">
        <f t="shared" si="34"/>
        <v>1.6777777777777778</v>
      </c>
      <c r="Q339" s="13" t="s">
        <v>1258</v>
      </c>
    </row>
    <row r="340" spans="1:17" x14ac:dyDescent="0.25">
      <c r="A340" s="1" t="s">
        <v>149</v>
      </c>
      <c r="B340" s="1" t="s">
        <v>1125</v>
      </c>
      <c r="C340" t="str">
        <f>VLOOKUP(B340,'Planting GPS Points'!$B$3:$L$290,10,FALSE)</f>
        <v>DNR</v>
      </c>
      <c r="D340" t="str">
        <f>VLOOKUP(B340,'Planting GPS Points'!$B$3:$AL$290,17,FALSE)</f>
        <v>test</v>
      </c>
      <c r="E340" s="27">
        <v>42881</v>
      </c>
      <c r="F340" s="20">
        <v>1.25</v>
      </c>
      <c r="G340">
        <v>90</v>
      </c>
      <c r="H340" s="12" t="s">
        <v>165</v>
      </c>
      <c r="I340" s="27">
        <v>42968</v>
      </c>
      <c r="J340" s="19" t="s">
        <v>291</v>
      </c>
      <c r="K340" s="19" t="s">
        <v>171</v>
      </c>
      <c r="L340">
        <v>249</v>
      </c>
      <c r="M340">
        <v>1.25</v>
      </c>
      <c r="N340" s="20">
        <f t="shared" si="33"/>
        <v>199.2</v>
      </c>
      <c r="O340">
        <f t="shared" si="32"/>
        <v>87</v>
      </c>
      <c r="P340" s="116">
        <f t="shared" si="34"/>
        <v>2.7666666666666666</v>
      </c>
      <c r="Q340" s="13" t="s">
        <v>1258</v>
      </c>
    </row>
    <row r="341" spans="1:17" x14ac:dyDescent="0.25">
      <c r="A341" s="1" t="s">
        <v>149</v>
      </c>
      <c r="B341" s="1" t="s">
        <v>1125</v>
      </c>
      <c r="C341" t="str">
        <f>VLOOKUP(B341,'Planting GPS Points'!$B$3:$L$290,10,FALSE)</f>
        <v>DNR</v>
      </c>
      <c r="D341" t="str">
        <f>VLOOKUP(B341,'Planting GPS Points'!$B$3:$AL$290,17,FALSE)</f>
        <v>test</v>
      </c>
      <c r="E341" s="27">
        <v>42881</v>
      </c>
      <c r="F341" s="20">
        <v>1.25</v>
      </c>
      <c r="G341">
        <v>90</v>
      </c>
      <c r="H341" s="12" t="s">
        <v>165</v>
      </c>
      <c r="I341" s="27">
        <v>43238</v>
      </c>
      <c r="J341" s="19" t="s">
        <v>291</v>
      </c>
      <c r="K341" s="19" t="s">
        <v>171</v>
      </c>
      <c r="L341">
        <v>492</v>
      </c>
      <c r="M341">
        <v>1.25</v>
      </c>
      <c r="N341" s="20">
        <f t="shared" si="33"/>
        <v>393.6</v>
      </c>
      <c r="O341">
        <f t="shared" si="32"/>
        <v>357</v>
      </c>
      <c r="P341" s="116">
        <f t="shared" si="34"/>
        <v>5.4666666666666668</v>
      </c>
      <c r="Q341" s="13" t="s">
        <v>1258</v>
      </c>
    </row>
    <row r="342" spans="1:17" x14ac:dyDescent="0.25">
      <c r="A342" s="1" t="s">
        <v>149</v>
      </c>
      <c r="B342" s="1" t="s">
        <v>1125</v>
      </c>
      <c r="C342" t="str">
        <f>VLOOKUP(B342,'Planting GPS Points'!$B$3:$L$290,10,FALSE)</f>
        <v>DNR</v>
      </c>
      <c r="D342" t="str">
        <f>VLOOKUP(B342,'Planting GPS Points'!$B$3:$AL$290,17,FALSE)</f>
        <v>test</v>
      </c>
      <c r="E342" s="27">
        <v>42881</v>
      </c>
      <c r="F342" s="20">
        <v>1.25</v>
      </c>
      <c r="G342">
        <v>90</v>
      </c>
      <c r="H342" s="12" t="s">
        <v>165</v>
      </c>
      <c r="I342" s="27">
        <v>43294</v>
      </c>
      <c r="J342" s="19" t="s">
        <v>291</v>
      </c>
      <c r="K342" s="19" t="s">
        <v>171</v>
      </c>
      <c r="L342">
        <v>465</v>
      </c>
      <c r="M342">
        <v>1.25</v>
      </c>
      <c r="N342" s="20">
        <f t="shared" si="33"/>
        <v>372</v>
      </c>
      <c r="O342">
        <f t="shared" si="32"/>
        <v>413</v>
      </c>
      <c r="P342" s="116">
        <f t="shared" si="34"/>
        <v>5.166666666666667</v>
      </c>
      <c r="Q342" s="13" t="s">
        <v>1258</v>
      </c>
    </row>
    <row r="343" spans="1:17" x14ac:dyDescent="0.25">
      <c r="A343" s="1" t="s">
        <v>149</v>
      </c>
      <c r="B343" s="1" t="s">
        <v>1125</v>
      </c>
      <c r="C343" t="str">
        <f>VLOOKUP(B343,'Planting GPS Points'!$B$3:$L$290,10,FALSE)</f>
        <v>DNR</v>
      </c>
      <c r="D343" t="str">
        <f>VLOOKUP(B343,'Planting GPS Points'!$B$3:$AL$290,17,FALSE)</f>
        <v>test</v>
      </c>
      <c r="E343" s="27">
        <v>42881</v>
      </c>
      <c r="F343" s="20">
        <v>1.25</v>
      </c>
      <c r="G343">
        <v>90</v>
      </c>
      <c r="H343" s="12" t="s">
        <v>165</v>
      </c>
      <c r="I343" s="27">
        <v>43321</v>
      </c>
      <c r="J343" s="19" t="s">
        <v>291</v>
      </c>
      <c r="K343" s="19" t="s">
        <v>171</v>
      </c>
      <c r="L343">
        <v>839</v>
      </c>
      <c r="M343">
        <v>1.25</v>
      </c>
      <c r="N343" s="20">
        <f t="shared" si="33"/>
        <v>671.2</v>
      </c>
      <c r="O343">
        <f t="shared" si="32"/>
        <v>440</v>
      </c>
      <c r="P343" s="116">
        <f t="shared" si="34"/>
        <v>9.3222222222222229</v>
      </c>
      <c r="Q343" s="13" t="s">
        <v>1258</v>
      </c>
    </row>
    <row r="344" spans="1:17" x14ac:dyDescent="0.25">
      <c r="A344" s="1" t="s">
        <v>149</v>
      </c>
      <c r="B344" s="1" t="s">
        <v>1125</v>
      </c>
      <c r="C344" t="str">
        <f>VLOOKUP(B344,'Planting GPS Points'!$B$3:$L$290,10,FALSE)</f>
        <v>DNR</v>
      </c>
      <c r="D344" t="str">
        <f>VLOOKUP(B344,'Planting GPS Points'!$B$3:$AL$290,17,FALSE)</f>
        <v>test</v>
      </c>
      <c r="E344" s="27">
        <v>42881</v>
      </c>
      <c r="F344" s="20">
        <v>1.25</v>
      </c>
      <c r="G344">
        <v>90</v>
      </c>
      <c r="H344" s="12" t="s">
        <v>165</v>
      </c>
      <c r="I344" s="27">
        <v>43678</v>
      </c>
      <c r="J344" s="19" t="s">
        <v>291</v>
      </c>
      <c r="K344" s="19" t="s">
        <v>171</v>
      </c>
      <c r="L344">
        <v>2136</v>
      </c>
      <c r="M344">
        <v>1.25</v>
      </c>
      <c r="N344" s="20">
        <f t="shared" si="33"/>
        <v>1708.8</v>
      </c>
      <c r="O344">
        <f t="shared" si="32"/>
        <v>797</v>
      </c>
      <c r="P344" s="116">
        <f t="shared" si="34"/>
        <v>23.733333333333334</v>
      </c>
      <c r="Q344" s="13" t="s">
        <v>1258</v>
      </c>
    </row>
    <row r="345" spans="1:17" x14ac:dyDescent="0.25">
      <c r="A345" s="138" t="s">
        <v>149</v>
      </c>
      <c r="B345" s="1" t="s">
        <v>1125</v>
      </c>
      <c r="C345" t="str">
        <f>VLOOKUP(B345,'Planting GPS Points'!$B$3:$L$290,10,FALSE)</f>
        <v>DNR</v>
      </c>
      <c r="D345" t="str">
        <f>VLOOKUP(B345,'Planting GPS Points'!$B$3:$AL$290,17,FALSE)</f>
        <v>test</v>
      </c>
      <c r="E345" s="27">
        <v>42881</v>
      </c>
      <c r="F345" s="20">
        <v>1.25</v>
      </c>
      <c r="G345">
        <v>90</v>
      </c>
      <c r="H345" s="12" t="s">
        <v>165</v>
      </c>
      <c r="I345" s="27">
        <v>44033</v>
      </c>
      <c r="J345" s="19" t="s">
        <v>291</v>
      </c>
      <c r="K345" s="19" t="s">
        <v>171</v>
      </c>
      <c r="N345" s="20" t="str">
        <f t="shared" si="33"/>
        <v/>
      </c>
      <c r="O345">
        <f t="shared" si="32"/>
        <v>1152</v>
      </c>
      <c r="P345" s="116" t="str">
        <f t="shared" si="34"/>
        <v/>
      </c>
      <c r="Q345" s="13" t="s">
        <v>1258</v>
      </c>
    </row>
    <row r="346" spans="1:17" x14ac:dyDescent="0.25">
      <c r="A346" s="1" t="s">
        <v>149</v>
      </c>
      <c r="B346" s="1" t="s">
        <v>1126</v>
      </c>
      <c r="C346" t="str">
        <f>VLOOKUP(B346,'Planting GPS Points'!$B$3:$L$290,10,FALSE)</f>
        <v>DNR</v>
      </c>
      <c r="D346" t="str">
        <f>VLOOKUP(B346,'Planting GPS Points'!$B$3:$AL$290,17,FALSE)</f>
        <v>test</v>
      </c>
      <c r="E346" s="27">
        <v>42881</v>
      </c>
      <c r="F346" s="20">
        <v>1.25</v>
      </c>
      <c r="G346">
        <v>90</v>
      </c>
      <c r="H346" s="12" t="s">
        <v>165</v>
      </c>
      <c r="I346" s="27">
        <v>42938</v>
      </c>
      <c r="J346" s="19" t="s">
        <v>291</v>
      </c>
      <c r="K346" s="19" t="s">
        <v>1187</v>
      </c>
      <c r="L346">
        <v>134</v>
      </c>
      <c r="M346">
        <v>1.25</v>
      </c>
      <c r="N346" s="20">
        <f t="shared" si="33"/>
        <v>107.2</v>
      </c>
      <c r="O346">
        <f t="shared" si="32"/>
        <v>57</v>
      </c>
      <c r="P346" s="116">
        <f t="shared" si="34"/>
        <v>1.4888888888888889</v>
      </c>
      <c r="Q346" s="13" t="s">
        <v>1258</v>
      </c>
    </row>
    <row r="347" spans="1:17" x14ac:dyDescent="0.25">
      <c r="A347" s="1" t="s">
        <v>149</v>
      </c>
      <c r="B347" s="1" t="s">
        <v>1126</v>
      </c>
      <c r="C347" t="str">
        <f>VLOOKUP(B347,'Planting GPS Points'!$B$3:$L$290,10,FALSE)</f>
        <v>DNR</v>
      </c>
      <c r="D347" t="str">
        <f>VLOOKUP(B347,'Planting GPS Points'!$B$3:$AL$290,17,FALSE)</f>
        <v>test</v>
      </c>
      <c r="E347" s="27">
        <v>42881</v>
      </c>
      <c r="F347" s="20">
        <v>1.25</v>
      </c>
      <c r="G347">
        <v>90</v>
      </c>
      <c r="H347" s="12" t="s">
        <v>165</v>
      </c>
      <c r="I347" s="27">
        <v>42968</v>
      </c>
      <c r="J347" s="19" t="s">
        <v>291</v>
      </c>
      <c r="K347" s="19" t="s">
        <v>1187</v>
      </c>
      <c r="L347">
        <v>272</v>
      </c>
      <c r="M347">
        <v>1.25</v>
      </c>
      <c r="N347" s="20">
        <f t="shared" si="33"/>
        <v>217.6</v>
      </c>
      <c r="O347">
        <f t="shared" si="32"/>
        <v>87</v>
      </c>
      <c r="P347" s="116">
        <f t="shared" si="34"/>
        <v>3.0222222222222221</v>
      </c>
      <c r="Q347" s="13" t="s">
        <v>1258</v>
      </c>
    </row>
    <row r="348" spans="1:17" x14ac:dyDescent="0.25">
      <c r="A348" s="1" t="s">
        <v>149</v>
      </c>
      <c r="B348" s="1" t="s">
        <v>1126</v>
      </c>
      <c r="C348" t="str">
        <f>VLOOKUP(B348,'Planting GPS Points'!$B$3:$L$290,10,FALSE)</f>
        <v>DNR</v>
      </c>
      <c r="D348" t="str">
        <f>VLOOKUP(B348,'Planting GPS Points'!$B$3:$AL$290,17,FALSE)</f>
        <v>test</v>
      </c>
      <c r="E348" s="27">
        <v>42881</v>
      </c>
      <c r="F348" s="20">
        <v>1.25</v>
      </c>
      <c r="G348">
        <v>90</v>
      </c>
      <c r="H348" s="12" t="s">
        <v>165</v>
      </c>
      <c r="I348" s="27">
        <v>43238</v>
      </c>
      <c r="J348" s="19" t="s">
        <v>291</v>
      </c>
      <c r="K348" s="19" t="s">
        <v>1187</v>
      </c>
      <c r="L348">
        <v>523</v>
      </c>
      <c r="M348">
        <v>1.25</v>
      </c>
      <c r="N348" s="20">
        <f t="shared" si="33"/>
        <v>418.4</v>
      </c>
      <c r="O348">
        <f t="shared" si="32"/>
        <v>357</v>
      </c>
      <c r="P348" s="116">
        <f t="shared" si="34"/>
        <v>5.8111111111111109</v>
      </c>
      <c r="Q348" s="13" t="s">
        <v>1258</v>
      </c>
    </row>
    <row r="349" spans="1:17" x14ac:dyDescent="0.25">
      <c r="A349" s="1" t="s">
        <v>149</v>
      </c>
      <c r="B349" s="1" t="s">
        <v>1126</v>
      </c>
      <c r="C349" t="str">
        <f>VLOOKUP(B349,'Planting GPS Points'!$B$3:$L$290,10,FALSE)</f>
        <v>DNR</v>
      </c>
      <c r="D349" t="str">
        <f>VLOOKUP(B349,'Planting GPS Points'!$B$3:$AL$290,17,FALSE)</f>
        <v>test</v>
      </c>
      <c r="E349" s="27">
        <v>42881</v>
      </c>
      <c r="F349" s="20">
        <v>1.25</v>
      </c>
      <c r="G349">
        <v>90</v>
      </c>
      <c r="H349" s="12" t="s">
        <v>165</v>
      </c>
      <c r="I349" s="27">
        <v>43294</v>
      </c>
      <c r="J349" s="19" t="s">
        <v>291</v>
      </c>
      <c r="K349" s="19" t="s">
        <v>1187</v>
      </c>
      <c r="L349">
        <v>408</v>
      </c>
      <c r="M349">
        <v>1.25</v>
      </c>
      <c r="N349" s="20">
        <f t="shared" si="33"/>
        <v>326.39999999999998</v>
      </c>
      <c r="O349">
        <f t="shared" si="32"/>
        <v>413</v>
      </c>
      <c r="P349" s="116">
        <f t="shared" si="34"/>
        <v>4.5333333333333332</v>
      </c>
      <c r="Q349" s="13" t="s">
        <v>1258</v>
      </c>
    </row>
    <row r="350" spans="1:17" x14ac:dyDescent="0.25">
      <c r="A350" s="1" t="s">
        <v>149</v>
      </c>
      <c r="B350" s="1" t="s">
        <v>1126</v>
      </c>
      <c r="C350" t="str">
        <f>VLOOKUP(B350,'Planting GPS Points'!$B$3:$L$290,10,FALSE)</f>
        <v>DNR</v>
      </c>
      <c r="D350" t="str">
        <f>VLOOKUP(B350,'Planting GPS Points'!$B$3:$AL$290,17,FALSE)</f>
        <v>test</v>
      </c>
      <c r="E350" s="27">
        <v>42881</v>
      </c>
      <c r="F350" s="20">
        <v>1.25</v>
      </c>
      <c r="G350">
        <v>90</v>
      </c>
      <c r="H350" s="12" t="s">
        <v>165</v>
      </c>
      <c r="I350" s="27">
        <v>43321</v>
      </c>
      <c r="J350" s="19" t="s">
        <v>291</v>
      </c>
      <c r="K350" s="19" t="s">
        <v>1187</v>
      </c>
      <c r="L350">
        <v>810</v>
      </c>
      <c r="M350">
        <v>1.25</v>
      </c>
      <c r="N350" s="20">
        <f t="shared" ref="N350:N394" si="35">IFERROR(L350/M350, "")</f>
        <v>648</v>
      </c>
      <c r="O350">
        <f t="shared" si="32"/>
        <v>440</v>
      </c>
      <c r="P350" s="116">
        <f t="shared" si="34"/>
        <v>9</v>
      </c>
      <c r="Q350" s="13" t="s">
        <v>1258</v>
      </c>
    </row>
    <row r="351" spans="1:17" x14ac:dyDescent="0.25">
      <c r="A351" s="1" t="s">
        <v>149</v>
      </c>
      <c r="B351" s="1" t="s">
        <v>1126</v>
      </c>
      <c r="C351" t="str">
        <f>VLOOKUP(B351,'Planting GPS Points'!$B$3:$L$290,10,FALSE)</f>
        <v>DNR</v>
      </c>
      <c r="D351" t="str">
        <f>VLOOKUP(B351,'Planting GPS Points'!$B$3:$AL$290,17,FALSE)</f>
        <v>test</v>
      </c>
      <c r="E351" s="27">
        <v>42881</v>
      </c>
      <c r="F351" s="20">
        <v>1.25</v>
      </c>
      <c r="G351">
        <v>90</v>
      </c>
      <c r="H351" s="12" t="s">
        <v>165</v>
      </c>
      <c r="I351" s="27">
        <v>43678</v>
      </c>
      <c r="J351" s="19" t="s">
        <v>291</v>
      </c>
      <c r="K351" s="19" t="s">
        <v>1187</v>
      </c>
      <c r="L351">
        <v>2209</v>
      </c>
      <c r="M351">
        <v>1.25</v>
      </c>
      <c r="N351" s="20">
        <f t="shared" si="35"/>
        <v>1767.2</v>
      </c>
      <c r="O351">
        <f t="shared" si="32"/>
        <v>797</v>
      </c>
      <c r="P351" s="116">
        <f t="shared" si="34"/>
        <v>24.544444444444444</v>
      </c>
      <c r="Q351" s="13" t="s">
        <v>1258</v>
      </c>
    </row>
    <row r="352" spans="1:17" x14ac:dyDescent="0.25">
      <c r="A352" s="138" t="s">
        <v>149</v>
      </c>
      <c r="B352" s="1" t="s">
        <v>1126</v>
      </c>
      <c r="C352" t="str">
        <f>VLOOKUP(B352,'Planting GPS Points'!$B$3:$L$290,10,FALSE)</f>
        <v>DNR</v>
      </c>
      <c r="D352" t="str">
        <f>VLOOKUP(B352,'Planting GPS Points'!$B$3:$AL$290,17,FALSE)</f>
        <v>test</v>
      </c>
      <c r="E352" s="27">
        <v>42881</v>
      </c>
      <c r="F352" s="20">
        <v>1.25</v>
      </c>
      <c r="G352">
        <v>90</v>
      </c>
      <c r="H352" s="12" t="s">
        <v>165</v>
      </c>
      <c r="I352" s="27">
        <v>44033</v>
      </c>
      <c r="J352" s="19" t="s">
        <v>291</v>
      </c>
      <c r="K352" s="19" t="s">
        <v>1187</v>
      </c>
      <c r="N352" s="20" t="str">
        <f t="shared" si="35"/>
        <v/>
      </c>
      <c r="O352">
        <f t="shared" si="32"/>
        <v>1152</v>
      </c>
      <c r="P352" s="116" t="str">
        <f t="shared" si="34"/>
        <v/>
      </c>
      <c r="Q352" s="13" t="s">
        <v>1258</v>
      </c>
    </row>
    <row r="353" spans="1:17" x14ac:dyDescent="0.25">
      <c r="A353" t="s">
        <v>149</v>
      </c>
      <c r="B353" t="s">
        <v>1141</v>
      </c>
      <c r="C353" t="str">
        <f>VLOOKUP(B353,'Planting GPS Points'!$B$3:$L$290,10,FALSE)</f>
        <v>DNR</v>
      </c>
      <c r="D353" t="str">
        <f>VLOOKUP(B353,'Planting GPS Points'!$B$3:$AL$290,17,FALSE)</f>
        <v>large scale</v>
      </c>
      <c r="E353" s="27">
        <v>42162</v>
      </c>
      <c r="F353" s="20">
        <v>151</v>
      </c>
      <c r="G353" s="38">
        <v>12000</v>
      </c>
      <c r="H353" s="12" t="s">
        <v>1213</v>
      </c>
      <c r="I353" s="27">
        <v>42506</v>
      </c>
      <c r="J353" s="129" t="s">
        <v>291</v>
      </c>
      <c r="K353" s="19" t="s">
        <v>168</v>
      </c>
      <c r="N353" s="20" t="str">
        <f t="shared" si="35"/>
        <v/>
      </c>
      <c r="O353">
        <f t="shared" si="32"/>
        <v>344</v>
      </c>
      <c r="P353" s="116" t="str">
        <f t="shared" si="34"/>
        <v/>
      </c>
      <c r="Q353" s="13" t="s">
        <v>1222</v>
      </c>
    </row>
    <row r="354" spans="1:17" x14ac:dyDescent="0.25">
      <c r="A354" t="s">
        <v>149</v>
      </c>
      <c r="B354" t="s">
        <v>1141</v>
      </c>
      <c r="C354" t="str">
        <f>VLOOKUP(B354,'Planting GPS Points'!$B$3:$L$290,10,FALSE)</f>
        <v>DNR</v>
      </c>
      <c r="D354" t="str">
        <f>VLOOKUP(B354,'Planting GPS Points'!$B$3:$AL$290,17,FALSE)</f>
        <v>large scale</v>
      </c>
      <c r="E354" s="27">
        <v>42162</v>
      </c>
      <c r="F354" s="20">
        <v>151</v>
      </c>
      <c r="G354" s="38">
        <v>12000</v>
      </c>
      <c r="H354" s="12" t="s">
        <v>165</v>
      </c>
      <c r="I354" s="27">
        <v>42527</v>
      </c>
      <c r="J354" s="129" t="s">
        <v>291</v>
      </c>
      <c r="K354" s="19" t="s">
        <v>168</v>
      </c>
      <c r="L354">
        <v>2286</v>
      </c>
      <c r="M354">
        <v>38</v>
      </c>
      <c r="N354" s="20">
        <f t="shared" si="35"/>
        <v>60.157894736842103</v>
      </c>
      <c r="O354">
        <f t="shared" si="32"/>
        <v>365</v>
      </c>
      <c r="P354" s="116">
        <f t="shared" si="34"/>
        <v>0.1905</v>
      </c>
      <c r="Q354" s="13" t="s">
        <v>1268</v>
      </c>
    </row>
    <row r="355" spans="1:17" x14ac:dyDescent="0.25">
      <c r="A355" t="s">
        <v>149</v>
      </c>
      <c r="B355" t="s">
        <v>1141</v>
      </c>
      <c r="C355" t="str">
        <f>VLOOKUP(B355,'Planting GPS Points'!$B$3:$L$290,10,FALSE)</f>
        <v>DNR</v>
      </c>
      <c r="D355" t="str">
        <f>VLOOKUP(B355,'Planting GPS Points'!$B$3:$AL$290,17,FALSE)</f>
        <v>large scale</v>
      </c>
      <c r="E355" s="27">
        <v>42162</v>
      </c>
      <c r="F355" s="20">
        <v>151</v>
      </c>
      <c r="G355" s="38">
        <v>12000</v>
      </c>
      <c r="H355" s="12" t="s">
        <v>165</v>
      </c>
      <c r="I355" s="27">
        <v>42909</v>
      </c>
      <c r="J355" s="129" t="s">
        <v>291</v>
      </c>
      <c r="K355" s="19" t="s">
        <v>168</v>
      </c>
      <c r="L355">
        <v>37078</v>
      </c>
      <c r="M355">
        <v>148.9</v>
      </c>
      <c r="N355" s="20">
        <f t="shared" si="35"/>
        <v>249.01276024177298</v>
      </c>
      <c r="O355">
        <f t="shared" si="32"/>
        <v>747</v>
      </c>
      <c r="P355" s="116">
        <f t="shared" si="34"/>
        <v>3.0898333333333334</v>
      </c>
      <c r="Q355" s="13" t="s">
        <v>1271</v>
      </c>
    </row>
    <row r="356" spans="1:17" x14ac:dyDescent="0.25">
      <c r="A356" t="s">
        <v>149</v>
      </c>
      <c r="B356" t="s">
        <v>1141</v>
      </c>
      <c r="C356" t="str">
        <f>VLOOKUP(B356,'Planting GPS Points'!$B$3:$L$290,10,FALSE)</f>
        <v>DNR</v>
      </c>
      <c r="D356" t="str">
        <f>VLOOKUP(B356,'Planting GPS Points'!$B$3:$AL$290,17,FALSE)</f>
        <v>large scale</v>
      </c>
      <c r="E356" s="27">
        <v>42162</v>
      </c>
      <c r="F356" s="20">
        <v>151</v>
      </c>
      <c r="G356" s="38">
        <v>12000</v>
      </c>
      <c r="H356" s="12" t="s">
        <v>165</v>
      </c>
      <c r="I356" s="27">
        <v>43267</v>
      </c>
      <c r="J356" s="129" t="s">
        <v>291</v>
      </c>
      <c r="K356" s="19" t="s">
        <v>168</v>
      </c>
      <c r="L356">
        <v>5769</v>
      </c>
      <c r="M356">
        <v>86</v>
      </c>
      <c r="N356" s="20">
        <f t="shared" si="35"/>
        <v>67.081395348837205</v>
      </c>
      <c r="O356">
        <f t="shared" si="32"/>
        <v>1105</v>
      </c>
      <c r="P356" s="116">
        <f t="shared" si="34"/>
        <v>0.48075000000000001</v>
      </c>
      <c r="Q356" s="13" t="s">
        <v>1272</v>
      </c>
    </row>
    <row r="357" spans="1:17" x14ac:dyDescent="0.25">
      <c r="A357" t="s">
        <v>149</v>
      </c>
      <c r="B357" t="s">
        <v>1141</v>
      </c>
      <c r="C357" t="str">
        <f>VLOOKUP(B357,'Planting GPS Points'!$B$3:$L$290,10,FALSE)</f>
        <v>DNR</v>
      </c>
      <c r="D357" t="str">
        <f>VLOOKUP(B357,'Planting GPS Points'!$B$3:$AL$290,17,FALSE)</f>
        <v>large scale</v>
      </c>
      <c r="E357" s="27">
        <v>42162</v>
      </c>
      <c r="F357" s="20">
        <v>151</v>
      </c>
      <c r="G357" s="38">
        <v>12000</v>
      </c>
      <c r="H357" s="12" t="s">
        <v>165</v>
      </c>
      <c r="I357" s="27">
        <v>43705</v>
      </c>
      <c r="J357" s="129" t="s">
        <v>291</v>
      </c>
      <c r="K357" s="19" t="s">
        <v>168</v>
      </c>
      <c r="L357">
        <v>7340</v>
      </c>
      <c r="M357">
        <v>23.4</v>
      </c>
      <c r="N357" s="20">
        <f t="shared" si="35"/>
        <v>313.67521367521368</v>
      </c>
      <c r="O357">
        <f t="shared" si="32"/>
        <v>1543</v>
      </c>
      <c r="P357" s="116">
        <f t="shared" si="34"/>
        <v>0.61166666666666669</v>
      </c>
      <c r="Q357" s="13" t="s">
        <v>1267</v>
      </c>
    </row>
    <row r="358" spans="1:17" x14ac:dyDescent="0.25">
      <c r="A358" s="138" t="s">
        <v>149</v>
      </c>
      <c r="B358" t="s">
        <v>1141</v>
      </c>
      <c r="C358" t="str">
        <f>VLOOKUP(B358,'Planting GPS Points'!$B$3:$L$290,10,FALSE)</f>
        <v>DNR</v>
      </c>
      <c r="D358" t="str">
        <f>VLOOKUP(B358,'Planting GPS Points'!$B$3:$AL$290,17,FALSE)</f>
        <v>large scale</v>
      </c>
      <c r="E358" s="27">
        <v>42162</v>
      </c>
      <c r="F358" s="20">
        <v>151</v>
      </c>
      <c r="G358" s="38">
        <v>12000</v>
      </c>
      <c r="H358" s="12" t="s">
        <v>165</v>
      </c>
      <c r="I358" s="27">
        <v>44030</v>
      </c>
      <c r="J358" s="129" t="s">
        <v>291</v>
      </c>
      <c r="K358" s="19" t="s">
        <v>168</v>
      </c>
      <c r="N358" s="20" t="str">
        <f t="shared" si="35"/>
        <v/>
      </c>
      <c r="O358">
        <f t="shared" si="32"/>
        <v>1868</v>
      </c>
      <c r="P358" s="116" t="str">
        <f t="shared" si="34"/>
        <v/>
      </c>
      <c r="Q358" s="13" t="s">
        <v>1898</v>
      </c>
    </row>
    <row r="359" spans="1:17" x14ac:dyDescent="0.25">
      <c r="A359" s="138" t="s">
        <v>149</v>
      </c>
      <c r="B359" t="s">
        <v>1141</v>
      </c>
      <c r="C359" t="str">
        <f>VLOOKUP(B359,'Planting GPS Points'!$B$3:$L$290,10,FALSE)</f>
        <v>DNR</v>
      </c>
      <c r="D359" t="str">
        <f>VLOOKUP(B359,'Planting GPS Points'!$B$3:$AL$290,17,FALSE)</f>
        <v>large scale</v>
      </c>
      <c r="E359" s="27">
        <v>42162</v>
      </c>
      <c r="F359" s="20">
        <v>151</v>
      </c>
      <c r="G359" s="38">
        <v>12000</v>
      </c>
      <c r="H359" s="12" t="s">
        <v>165</v>
      </c>
      <c r="I359" s="169">
        <v>44395</v>
      </c>
      <c r="J359" s="237" t="s">
        <v>291</v>
      </c>
      <c r="K359" s="172" t="s">
        <v>168</v>
      </c>
      <c r="L359" s="110"/>
      <c r="M359" s="110"/>
      <c r="N359" s="173"/>
      <c r="O359" s="110"/>
      <c r="P359" s="174"/>
      <c r="Q359" s="168"/>
    </row>
    <row r="360" spans="1:17" x14ac:dyDescent="0.25">
      <c r="A360" s="138" t="s">
        <v>149</v>
      </c>
      <c r="B360" t="s">
        <v>1141</v>
      </c>
      <c r="C360" t="str">
        <f>VLOOKUP(B360,'Planting GPS Points'!$B$3:$L$290,10,FALSE)</f>
        <v>DNR</v>
      </c>
      <c r="D360" t="str">
        <f>VLOOKUP(B360,'Planting GPS Points'!$B$3:$AL$290,17,FALSE)</f>
        <v>large scale</v>
      </c>
      <c r="E360" s="27">
        <v>42162</v>
      </c>
      <c r="F360" s="20">
        <v>151</v>
      </c>
      <c r="G360" s="38">
        <v>12000</v>
      </c>
      <c r="H360" s="12" t="s">
        <v>165</v>
      </c>
      <c r="I360" s="169">
        <v>44760</v>
      </c>
      <c r="J360" s="237" t="s">
        <v>291</v>
      </c>
      <c r="K360" s="172" t="s">
        <v>168</v>
      </c>
      <c r="L360" s="110"/>
      <c r="M360" s="110"/>
      <c r="N360" s="173"/>
      <c r="O360" s="110"/>
      <c r="P360" s="174"/>
      <c r="Q360" s="168"/>
    </row>
    <row r="361" spans="1:17" x14ac:dyDescent="0.25">
      <c r="A361" s="138" t="s">
        <v>149</v>
      </c>
      <c r="B361" t="s">
        <v>1141</v>
      </c>
      <c r="C361" t="str">
        <f>VLOOKUP(B361,'Planting GPS Points'!$B$3:$L$290,10,FALSE)</f>
        <v>DNR</v>
      </c>
      <c r="D361" t="str">
        <f>VLOOKUP(B361,'Planting GPS Points'!$B$3:$AL$290,17,FALSE)</f>
        <v>large scale</v>
      </c>
      <c r="E361" s="27">
        <v>42162</v>
      </c>
      <c r="F361" s="20">
        <v>151</v>
      </c>
      <c r="G361" s="38">
        <v>12000</v>
      </c>
      <c r="H361" s="12" t="s">
        <v>165</v>
      </c>
      <c r="I361" s="169">
        <v>45125</v>
      </c>
      <c r="J361" s="237" t="s">
        <v>291</v>
      </c>
      <c r="K361" s="172" t="s">
        <v>168</v>
      </c>
      <c r="L361" s="110"/>
      <c r="M361" s="110"/>
      <c r="N361" s="173"/>
      <c r="O361" s="110"/>
      <c r="P361" s="174"/>
      <c r="Q361" s="168"/>
    </row>
    <row r="362" spans="1:17" x14ac:dyDescent="0.25">
      <c r="A362" s="138" t="s">
        <v>149</v>
      </c>
      <c r="B362" t="s">
        <v>1141</v>
      </c>
      <c r="C362" t="str">
        <f>VLOOKUP(B362,'Planting GPS Points'!$B$3:$L$290,10,FALSE)</f>
        <v>DNR</v>
      </c>
      <c r="D362" t="str">
        <f>VLOOKUP(B362,'Planting GPS Points'!$B$3:$AL$290,17,FALSE)</f>
        <v>large scale</v>
      </c>
      <c r="E362" s="27">
        <v>42162</v>
      </c>
      <c r="F362" s="20">
        <v>151</v>
      </c>
      <c r="G362" s="38">
        <v>12000</v>
      </c>
      <c r="H362" s="12" t="s">
        <v>165</v>
      </c>
      <c r="I362" s="169">
        <v>45491</v>
      </c>
      <c r="J362" s="237" t="s">
        <v>291</v>
      </c>
      <c r="K362" s="172" t="s">
        <v>168</v>
      </c>
      <c r="L362" s="110"/>
      <c r="M362" s="110"/>
      <c r="N362" s="173"/>
      <c r="O362" s="110"/>
      <c r="P362" s="174"/>
      <c r="Q362" s="168"/>
    </row>
    <row r="363" spans="1:17" x14ac:dyDescent="0.25">
      <c r="A363" s="138" t="s">
        <v>149</v>
      </c>
      <c r="B363" t="s">
        <v>1141</v>
      </c>
      <c r="C363" t="str">
        <f>VLOOKUP(B363,'Planting GPS Points'!$B$3:$L$290,10,FALSE)</f>
        <v>DNR</v>
      </c>
      <c r="D363" t="str">
        <f>VLOOKUP(B363,'Planting GPS Points'!$B$3:$AL$290,17,FALSE)</f>
        <v>large scale</v>
      </c>
      <c r="E363" s="27">
        <v>42162</v>
      </c>
      <c r="F363" s="20">
        <v>151</v>
      </c>
      <c r="G363" s="38">
        <v>12000</v>
      </c>
      <c r="H363" s="12" t="s">
        <v>165</v>
      </c>
      <c r="I363" s="27">
        <v>45748</v>
      </c>
      <c r="J363" s="129" t="s">
        <v>291</v>
      </c>
      <c r="K363" s="19" t="s">
        <v>168</v>
      </c>
      <c r="N363" s="20"/>
      <c r="P363" s="116"/>
      <c r="Q363" s="13" t="s">
        <v>2180</v>
      </c>
    </row>
    <row r="364" spans="1:17" x14ac:dyDescent="0.25">
      <c r="A364" s="138" t="s">
        <v>149</v>
      </c>
      <c r="B364" t="s">
        <v>1141</v>
      </c>
      <c r="C364" t="str">
        <f>VLOOKUP(B364,'Planting GPS Points'!$B$3:$L$290,10,FALSE)</f>
        <v>DNR</v>
      </c>
      <c r="D364" t="str">
        <f>VLOOKUP(B364,'Planting GPS Points'!$B$3:$AL$290,17,FALSE)</f>
        <v>large scale</v>
      </c>
      <c r="E364" s="27">
        <v>42162</v>
      </c>
      <c r="F364" s="20">
        <v>151</v>
      </c>
      <c r="G364" s="38">
        <v>12000</v>
      </c>
      <c r="H364" s="12" t="s">
        <v>165</v>
      </c>
      <c r="I364" s="27">
        <v>45750</v>
      </c>
      <c r="J364" s="129" t="s">
        <v>291</v>
      </c>
      <c r="K364" s="19" t="s">
        <v>168</v>
      </c>
      <c r="N364" s="20"/>
      <c r="P364" s="116"/>
      <c r="Q364" s="13" t="s">
        <v>2181</v>
      </c>
    </row>
    <row r="365" spans="1:17" x14ac:dyDescent="0.25">
      <c r="A365" s="138"/>
      <c r="E365" s="27"/>
      <c r="F365" s="20"/>
      <c r="G365" s="38"/>
      <c r="H365" s="12"/>
      <c r="I365" s="27"/>
      <c r="J365" s="129"/>
      <c r="K365" s="19"/>
      <c r="N365" s="20"/>
      <c r="P365" s="116"/>
      <c r="Q365" s="13"/>
    </row>
    <row r="366" spans="1:17" x14ac:dyDescent="0.25">
      <c r="A366" t="s">
        <v>149</v>
      </c>
      <c r="B366" t="s">
        <v>1137</v>
      </c>
      <c r="C366" t="str">
        <f>VLOOKUP(B366,'Planting GPS Points'!$B$3:$L$290,10,FALSE)</f>
        <v>DNR</v>
      </c>
      <c r="D366" t="str">
        <f>VLOOKUP(B366,'Planting GPS Points'!$B$3:$AL$290,17,FALSE)</f>
        <v>large scale</v>
      </c>
      <c r="E366" s="27">
        <v>42141</v>
      </c>
      <c r="F366" s="181">
        <v>126</v>
      </c>
      <c r="G366" s="119">
        <v>10200</v>
      </c>
      <c r="H366" s="12" t="s">
        <v>165</v>
      </c>
      <c r="I366" s="27">
        <v>42527</v>
      </c>
      <c r="J366" s="129" t="s">
        <v>291</v>
      </c>
      <c r="K366" s="19" t="s">
        <v>168</v>
      </c>
      <c r="L366">
        <v>4326</v>
      </c>
      <c r="M366">
        <v>31</v>
      </c>
      <c r="N366" s="20">
        <f t="shared" si="35"/>
        <v>139.54838709677421</v>
      </c>
      <c r="O366">
        <f t="shared" si="32"/>
        <v>386</v>
      </c>
      <c r="P366" s="116">
        <f t="shared" si="34"/>
        <v>0.42411764705882354</v>
      </c>
      <c r="Q366" s="13" t="s">
        <v>1269</v>
      </c>
    </row>
    <row r="367" spans="1:17" x14ac:dyDescent="0.25">
      <c r="A367" t="s">
        <v>149</v>
      </c>
      <c r="B367" t="s">
        <v>1137</v>
      </c>
      <c r="C367" t="str">
        <f>VLOOKUP(B367,'Planting GPS Points'!$B$3:$L$290,10,FALSE)</f>
        <v>DNR</v>
      </c>
      <c r="D367" t="str">
        <f>VLOOKUP(B367,'Planting GPS Points'!$B$3:$AL$290,17,FALSE)</f>
        <v>large scale</v>
      </c>
      <c r="E367" s="27">
        <v>42141</v>
      </c>
      <c r="F367" s="181">
        <v>126</v>
      </c>
      <c r="G367" s="119">
        <v>10200</v>
      </c>
      <c r="H367" s="12" t="s">
        <v>165</v>
      </c>
      <c r="I367" s="27">
        <v>42909</v>
      </c>
      <c r="J367" s="129" t="s">
        <v>291</v>
      </c>
      <c r="K367" s="19" t="s">
        <v>168</v>
      </c>
      <c r="L367">
        <v>80680</v>
      </c>
      <c r="M367">
        <v>198</v>
      </c>
      <c r="N367" s="20">
        <f t="shared" si="35"/>
        <v>407.47474747474746</v>
      </c>
      <c r="O367">
        <f t="shared" si="32"/>
        <v>768</v>
      </c>
      <c r="P367" s="116">
        <f t="shared" si="34"/>
        <v>7.9098039215686278</v>
      </c>
      <c r="Q367" s="13" t="s">
        <v>987</v>
      </c>
    </row>
    <row r="368" spans="1:17" x14ac:dyDescent="0.25">
      <c r="A368" t="s">
        <v>149</v>
      </c>
      <c r="B368" t="s">
        <v>1137</v>
      </c>
      <c r="C368" t="str">
        <f>VLOOKUP(B368,'Planting GPS Points'!$B$3:$L$290,10,FALSE)</f>
        <v>DNR</v>
      </c>
      <c r="D368" t="str">
        <f>VLOOKUP(B368,'Planting GPS Points'!$B$3:$AL$290,17,FALSE)</f>
        <v>large scale</v>
      </c>
      <c r="E368" s="27">
        <v>42141</v>
      </c>
      <c r="F368" s="181">
        <v>126</v>
      </c>
      <c r="G368" s="119">
        <v>10200</v>
      </c>
      <c r="H368" s="12" t="s">
        <v>165</v>
      </c>
      <c r="I368" s="27">
        <v>43267</v>
      </c>
      <c r="J368" s="129" t="s">
        <v>291</v>
      </c>
      <c r="K368" s="19" t="s">
        <v>168</v>
      </c>
      <c r="L368">
        <v>62649</v>
      </c>
      <c r="M368">
        <v>271</v>
      </c>
      <c r="N368" s="20">
        <f t="shared" si="35"/>
        <v>231.17712177121771</v>
      </c>
      <c r="O368">
        <f t="shared" si="32"/>
        <v>1126</v>
      </c>
      <c r="P368" s="116">
        <f t="shared" si="34"/>
        <v>6.1420588235294113</v>
      </c>
      <c r="Q368" s="13" t="s">
        <v>977</v>
      </c>
    </row>
    <row r="369" spans="1:17" x14ac:dyDescent="0.25">
      <c r="A369" t="s">
        <v>149</v>
      </c>
      <c r="B369" t="s">
        <v>1137</v>
      </c>
      <c r="C369" t="str">
        <f>VLOOKUP(B369,'Planting GPS Points'!$B$3:$L$290,10,FALSE)</f>
        <v>DNR</v>
      </c>
      <c r="D369" t="str">
        <f>VLOOKUP(B369,'Planting GPS Points'!$B$3:$AL$290,17,FALSE)</f>
        <v>large scale</v>
      </c>
      <c r="E369" s="27">
        <v>42141</v>
      </c>
      <c r="F369" s="181">
        <v>126</v>
      </c>
      <c r="G369" s="119">
        <v>10200</v>
      </c>
      <c r="H369" s="12" t="s">
        <v>165</v>
      </c>
      <c r="I369" s="27">
        <v>43705</v>
      </c>
      <c r="J369" s="129" t="s">
        <v>291</v>
      </c>
      <c r="K369" s="19" t="s">
        <v>168</v>
      </c>
      <c r="L369" s="38">
        <v>246003.20592695041</v>
      </c>
      <c r="M369" s="38">
        <v>351.04979667205527</v>
      </c>
      <c r="N369" s="20">
        <f t="shared" si="35"/>
        <v>700.76441649890035</v>
      </c>
      <c r="O369">
        <f t="shared" si="32"/>
        <v>1564</v>
      </c>
      <c r="P369" s="116">
        <f t="shared" si="34"/>
        <v>24.117961365387295</v>
      </c>
      <c r="Q369" s="13" t="s">
        <v>1267</v>
      </c>
    </row>
    <row r="370" spans="1:17" x14ac:dyDescent="0.25">
      <c r="A370" s="138" t="s">
        <v>149</v>
      </c>
      <c r="B370" t="s">
        <v>1137</v>
      </c>
      <c r="C370" t="str">
        <f>VLOOKUP(B370,'Planting GPS Points'!$B$3:$L$290,10,FALSE)</f>
        <v>DNR</v>
      </c>
      <c r="D370" t="str">
        <f>VLOOKUP(B370,'Planting GPS Points'!$B$3:$AL$290,17,FALSE)</f>
        <v>large scale</v>
      </c>
      <c r="E370" s="27">
        <v>42141</v>
      </c>
      <c r="F370" s="181">
        <v>126</v>
      </c>
      <c r="G370" s="119">
        <v>10200</v>
      </c>
      <c r="H370" s="12" t="s">
        <v>165</v>
      </c>
      <c r="I370" s="27">
        <v>44032</v>
      </c>
      <c r="J370" s="129" t="s">
        <v>291</v>
      </c>
      <c r="K370" s="19" t="s">
        <v>168</v>
      </c>
      <c r="L370" s="38"/>
      <c r="M370" s="38"/>
      <c r="N370" s="20" t="str">
        <f t="shared" si="35"/>
        <v/>
      </c>
      <c r="O370">
        <f t="shared" si="32"/>
        <v>1891</v>
      </c>
      <c r="P370" s="116" t="str">
        <f t="shared" si="34"/>
        <v/>
      </c>
      <c r="Q370" s="13" t="s">
        <v>1898</v>
      </c>
    </row>
    <row r="371" spans="1:17" x14ac:dyDescent="0.25">
      <c r="A371" s="1" t="s">
        <v>149</v>
      </c>
      <c r="B371" t="s">
        <v>1137</v>
      </c>
      <c r="C371" t="str">
        <f>VLOOKUP(B371,'Planting GPS Points'!$B$3:$L$290,10,FALSE)</f>
        <v>DNR</v>
      </c>
      <c r="D371" t="str">
        <f>VLOOKUP(B371,'Planting GPS Points'!$B$3:$AL$290,17,FALSE)</f>
        <v>large scale</v>
      </c>
      <c r="E371" s="27">
        <v>42141</v>
      </c>
      <c r="F371" s="181">
        <v>126</v>
      </c>
      <c r="G371" s="119">
        <v>10200</v>
      </c>
      <c r="H371" s="12" t="s">
        <v>165</v>
      </c>
      <c r="I371" s="27">
        <v>44783</v>
      </c>
      <c r="J371" s="129" t="s">
        <v>291</v>
      </c>
      <c r="K371" s="19" t="s">
        <v>168</v>
      </c>
      <c r="L371" s="38"/>
      <c r="M371" s="38"/>
      <c r="N371" s="20" t="str">
        <f t="shared" si="35"/>
        <v/>
      </c>
      <c r="O371">
        <f t="shared" si="32"/>
        <v>2642</v>
      </c>
      <c r="P371" s="116" t="str">
        <f t="shared" si="34"/>
        <v/>
      </c>
      <c r="Q371" s="13" t="s">
        <v>2099</v>
      </c>
    </row>
    <row r="372" spans="1:17" x14ac:dyDescent="0.25">
      <c r="A372" s="1" t="s">
        <v>149</v>
      </c>
      <c r="B372" t="s">
        <v>1137</v>
      </c>
      <c r="C372" t="str">
        <f>VLOOKUP(B372,'Planting GPS Points'!$B$3:$L$290,10,FALSE)</f>
        <v>DNR</v>
      </c>
      <c r="D372" t="str">
        <f>VLOOKUP(B372,'Planting GPS Points'!$B$3:$AL$290,17,FALSE)</f>
        <v>large scale</v>
      </c>
      <c r="E372" s="27">
        <v>42141</v>
      </c>
      <c r="F372" s="181">
        <v>126</v>
      </c>
      <c r="G372" s="119">
        <v>10200</v>
      </c>
      <c r="H372" s="12" t="s">
        <v>165</v>
      </c>
      <c r="I372" s="27">
        <v>44753</v>
      </c>
      <c r="J372" s="129" t="s">
        <v>291</v>
      </c>
      <c r="K372" s="19" t="s">
        <v>168</v>
      </c>
      <c r="L372" s="38"/>
      <c r="M372" s="38"/>
      <c r="N372" s="20" t="str">
        <f t="shared" si="35"/>
        <v/>
      </c>
      <c r="O372">
        <f t="shared" si="32"/>
        <v>2612</v>
      </c>
      <c r="P372" s="116" t="str">
        <f t="shared" si="34"/>
        <v/>
      </c>
      <c r="Q372" s="13" t="s">
        <v>2100</v>
      </c>
    </row>
    <row r="373" spans="1:17" x14ac:dyDescent="0.25">
      <c r="A373" s="1" t="s">
        <v>149</v>
      </c>
      <c r="B373" t="s">
        <v>1137</v>
      </c>
      <c r="C373" t="str">
        <f>VLOOKUP(B373,'Planting GPS Points'!$B$3:$L$290,10,FALSE)</f>
        <v>DNR</v>
      </c>
      <c r="D373" t="str">
        <f>VLOOKUP(B373,'Planting GPS Points'!$B$3:$AL$290,17,FALSE)</f>
        <v>large scale</v>
      </c>
      <c r="E373" s="27">
        <v>42141</v>
      </c>
      <c r="F373" s="181">
        <v>126</v>
      </c>
      <c r="G373" s="119">
        <v>10200</v>
      </c>
      <c r="H373" s="12" t="s">
        <v>165</v>
      </c>
      <c r="I373" s="27">
        <v>44754</v>
      </c>
      <c r="J373" s="129" t="s">
        <v>291</v>
      </c>
      <c r="K373" s="19" t="s">
        <v>168</v>
      </c>
      <c r="L373" s="38"/>
      <c r="M373" s="38"/>
      <c r="N373" s="20" t="str">
        <f t="shared" si="35"/>
        <v/>
      </c>
      <c r="O373">
        <f t="shared" ref="O373:O442" si="36">I373-E373</f>
        <v>2613</v>
      </c>
      <c r="P373" s="116" t="str">
        <f t="shared" si="34"/>
        <v/>
      </c>
      <c r="Q373" s="13" t="s">
        <v>2100</v>
      </c>
    </row>
    <row r="374" spans="1:17" x14ac:dyDescent="0.25">
      <c r="A374" s="1" t="s">
        <v>149</v>
      </c>
      <c r="B374" t="s">
        <v>1137</v>
      </c>
      <c r="C374" t="str">
        <f>VLOOKUP(B374,'Planting GPS Points'!$B$3:$L$290,10,FALSE)</f>
        <v>DNR</v>
      </c>
      <c r="D374" t="str">
        <f>VLOOKUP(B374,'Planting GPS Points'!$B$3:$AL$290,17,FALSE)</f>
        <v>large scale</v>
      </c>
      <c r="E374" s="27">
        <v>42141</v>
      </c>
      <c r="F374" s="181">
        <v>126</v>
      </c>
      <c r="G374" s="119">
        <v>10200</v>
      </c>
      <c r="H374" s="12" t="s">
        <v>165</v>
      </c>
      <c r="I374" s="27">
        <v>45037</v>
      </c>
      <c r="J374" s="129" t="s">
        <v>291</v>
      </c>
      <c r="K374" s="19" t="s">
        <v>168</v>
      </c>
      <c r="L374" s="38"/>
      <c r="M374" s="38"/>
      <c r="N374" s="20" t="str">
        <f t="shared" ref="N374" si="37">IFERROR(L374/M374, "")</f>
        <v/>
      </c>
      <c r="O374">
        <f t="shared" ref="O374" si="38">I374-E374</f>
        <v>2896</v>
      </c>
      <c r="P374" s="116" t="str">
        <f t="shared" ref="P374" si="39">IF(L374="", "", L374/G374)</f>
        <v/>
      </c>
      <c r="Q374" s="13" t="s">
        <v>2127</v>
      </c>
    </row>
    <row r="375" spans="1:17" s="110" customFormat="1" x14ac:dyDescent="0.25">
      <c r="A375" s="138" t="s">
        <v>149</v>
      </c>
      <c r="B375" s="110" t="s">
        <v>1137</v>
      </c>
      <c r="C375" t="str">
        <f>VLOOKUP(B375,'Planting GPS Points'!$B$3:$L$290,10,FALSE)</f>
        <v>DNR</v>
      </c>
      <c r="D375" t="str">
        <f>VLOOKUP(B375,'Planting GPS Points'!$B$3:$AL$290,17,FALSE)</f>
        <v>large scale</v>
      </c>
      <c r="E375" s="169">
        <v>42141</v>
      </c>
      <c r="F375" s="238">
        <v>126</v>
      </c>
      <c r="G375" s="239">
        <v>10200</v>
      </c>
      <c r="H375" s="171" t="s">
        <v>165</v>
      </c>
      <c r="I375" s="169">
        <v>45403</v>
      </c>
      <c r="J375" s="237" t="s">
        <v>291</v>
      </c>
      <c r="K375" s="172" t="s">
        <v>168</v>
      </c>
      <c r="L375" s="167"/>
      <c r="M375" s="167"/>
      <c r="N375" s="173" t="str">
        <f t="shared" ref="N375:N377" si="40">IFERROR(L375/M375, "")</f>
        <v/>
      </c>
      <c r="O375" s="110">
        <f t="shared" ref="O375" si="41">I375-E375</f>
        <v>3262</v>
      </c>
      <c r="P375" s="174" t="str">
        <f t="shared" ref="P375:P377" si="42">IF(L375="", "", L375/G375)</f>
        <v/>
      </c>
      <c r="Q375" s="168" t="s">
        <v>2127</v>
      </c>
    </row>
    <row r="376" spans="1:17" x14ac:dyDescent="0.25">
      <c r="A376" s="1" t="s">
        <v>149</v>
      </c>
      <c r="B376" t="s">
        <v>1137</v>
      </c>
      <c r="C376" t="str">
        <f>VLOOKUP(B376,'Planting GPS Points'!$B$3:$L$290,10,FALSE)</f>
        <v>DNR</v>
      </c>
      <c r="D376" t="str">
        <f>VLOOKUP(B376,'Planting GPS Points'!$B$3:$AL$290,17,FALSE)</f>
        <v>large scale</v>
      </c>
      <c r="E376" s="27">
        <v>42141</v>
      </c>
      <c r="F376" s="181">
        <v>126</v>
      </c>
      <c r="G376" s="119">
        <v>10200</v>
      </c>
      <c r="H376" s="12" t="s">
        <v>165</v>
      </c>
      <c r="I376" s="27">
        <v>45748</v>
      </c>
      <c r="J376" s="129" t="s">
        <v>291</v>
      </c>
      <c r="K376" s="19" t="s">
        <v>168</v>
      </c>
      <c r="L376" s="38"/>
      <c r="M376" s="38"/>
      <c r="N376" s="20" t="str">
        <f t="shared" si="40"/>
        <v/>
      </c>
      <c r="P376" s="116" t="str">
        <f t="shared" si="42"/>
        <v/>
      </c>
      <c r="Q376" s="13" t="s">
        <v>2180</v>
      </c>
    </row>
    <row r="377" spans="1:17" x14ac:dyDescent="0.25">
      <c r="A377" s="1" t="s">
        <v>149</v>
      </c>
      <c r="B377" t="s">
        <v>1137</v>
      </c>
      <c r="C377" t="str">
        <f>VLOOKUP(B377,'Planting GPS Points'!$B$3:$L$290,10,FALSE)</f>
        <v>DNR</v>
      </c>
      <c r="D377" t="str">
        <f>VLOOKUP(B377,'Planting GPS Points'!$B$3:$AL$290,17,FALSE)</f>
        <v>large scale</v>
      </c>
      <c r="E377" s="27">
        <v>42141</v>
      </c>
      <c r="F377" s="181">
        <v>126</v>
      </c>
      <c r="G377" s="119">
        <v>10200</v>
      </c>
      <c r="H377" s="12" t="s">
        <v>165</v>
      </c>
      <c r="I377" s="27">
        <v>45750</v>
      </c>
      <c r="J377" s="129" t="s">
        <v>291</v>
      </c>
      <c r="K377" s="19" t="s">
        <v>168</v>
      </c>
      <c r="L377" s="38"/>
      <c r="M377" s="38"/>
      <c r="N377" s="20" t="str">
        <f t="shared" si="40"/>
        <v/>
      </c>
      <c r="P377" s="116" t="str">
        <f t="shared" si="42"/>
        <v/>
      </c>
      <c r="Q377" s="13" t="s">
        <v>2181</v>
      </c>
    </row>
    <row r="378" spans="1:17" x14ac:dyDescent="0.25">
      <c r="A378" s="1"/>
      <c r="E378" s="27"/>
      <c r="F378" s="181"/>
      <c r="G378" s="119"/>
      <c r="H378" s="12"/>
      <c r="I378" s="27"/>
      <c r="J378" s="129"/>
      <c r="K378" s="19"/>
      <c r="L378" s="38"/>
      <c r="M378" s="38"/>
      <c r="N378" s="20"/>
      <c r="P378" s="116"/>
      <c r="Q378" s="13"/>
    </row>
    <row r="379" spans="1:17" x14ac:dyDescent="0.25">
      <c r="A379" s="1"/>
      <c r="E379" s="27"/>
      <c r="F379" s="181"/>
      <c r="G379" s="119"/>
      <c r="H379" s="12"/>
      <c r="I379" s="27"/>
      <c r="J379" s="129"/>
      <c r="K379" s="19"/>
      <c r="L379" s="38"/>
      <c r="M379" s="38"/>
      <c r="N379" s="20"/>
      <c r="P379" s="116"/>
      <c r="Q379" s="13"/>
    </row>
    <row r="380" spans="1:17" x14ac:dyDescent="0.25">
      <c r="A380" s="1" t="s">
        <v>149</v>
      </c>
      <c r="B380" s="1" t="s">
        <v>1123</v>
      </c>
      <c r="C380" t="str">
        <f>VLOOKUP(B380,'Planting GPS Points'!$B$3:$L$290,10,FALSE)</f>
        <v>DNR</v>
      </c>
      <c r="D380" t="str">
        <f>VLOOKUP(B380,'Planting GPS Points'!$B$3:$AL$290,17,FALSE)</f>
        <v>test</v>
      </c>
      <c r="E380" s="27">
        <v>42881</v>
      </c>
      <c r="F380" s="20">
        <v>1.25</v>
      </c>
      <c r="G380">
        <v>90</v>
      </c>
      <c r="H380" s="12" t="s">
        <v>165</v>
      </c>
      <c r="I380" s="27">
        <v>42938</v>
      </c>
      <c r="J380" s="19" t="s">
        <v>291</v>
      </c>
      <c r="K380" s="19" t="s">
        <v>168</v>
      </c>
      <c r="L380">
        <v>112</v>
      </c>
      <c r="M380">
        <v>1.25</v>
      </c>
      <c r="N380" s="20">
        <f t="shared" si="35"/>
        <v>89.6</v>
      </c>
      <c r="O380">
        <f t="shared" si="36"/>
        <v>57</v>
      </c>
      <c r="P380" s="116">
        <f t="shared" si="34"/>
        <v>1.2444444444444445</v>
      </c>
      <c r="Q380" s="13" t="s">
        <v>1258</v>
      </c>
    </row>
    <row r="381" spans="1:17" x14ac:dyDescent="0.25">
      <c r="A381" s="1" t="s">
        <v>149</v>
      </c>
      <c r="B381" s="1" t="s">
        <v>1123</v>
      </c>
      <c r="C381" t="str">
        <f>VLOOKUP(B381,'Planting GPS Points'!$B$3:$L$290,10,FALSE)</f>
        <v>DNR</v>
      </c>
      <c r="D381" t="str">
        <f>VLOOKUP(B381,'Planting GPS Points'!$B$3:$AL$290,17,FALSE)</f>
        <v>test</v>
      </c>
      <c r="E381" s="27">
        <v>42881</v>
      </c>
      <c r="F381" s="20">
        <v>1.25</v>
      </c>
      <c r="G381">
        <v>90</v>
      </c>
      <c r="H381" s="12" t="s">
        <v>165</v>
      </c>
      <c r="I381" s="27">
        <v>42968</v>
      </c>
      <c r="J381" s="19" t="s">
        <v>291</v>
      </c>
      <c r="K381" s="19" t="s">
        <v>168</v>
      </c>
      <c r="L381">
        <v>137</v>
      </c>
      <c r="M381">
        <v>1.25</v>
      </c>
      <c r="N381" s="20">
        <f t="shared" si="35"/>
        <v>109.6</v>
      </c>
      <c r="O381">
        <f t="shared" si="36"/>
        <v>87</v>
      </c>
      <c r="P381" s="116">
        <f t="shared" si="34"/>
        <v>1.5222222222222221</v>
      </c>
      <c r="Q381" s="13" t="s">
        <v>1258</v>
      </c>
    </row>
    <row r="382" spans="1:17" x14ac:dyDescent="0.25">
      <c r="A382" s="1" t="s">
        <v>149</v>
      </c>
      <c r="B382" s="1" t="s">
        <v>1123</v>
      </c>
      <c r="C382" t="str">
        <f>VLOOKUP(B382,'Planting GPS Points'!$B$3:$L$290,10,FALSE)</f>
        <v>DNR</v>
      </c>
      <c r="D382" t="str">
        <f>VLOOKUP(B382,'Planting GPS Points'!$B$3:$AL$290,17,FALSE)</f>
        <v>test</v>
      </c>
      <c r="E382" s="27">
        <v>42881</v>
      </c>
      <c r="F382" s="20">
        <v>1.25</v>
      </c>
      <c r="G382">
        <v>90</v>
      </c>
      <c r="H382" s="12" t="s">
        <v>165</v>
      </c>
      <c r="I382" s="27">
        <v>43238</v>
      </c>
      <c r="J382" s="19" t="s">
        <v>291</v>
      </c>
      <c r="K382" s="19" t="s">
        <v>168</v>
      </c>
      <c r="L382">
        <v>29</v>
      </c>
      <c r="M382">
        <v>1.25</v>
      </c>
      <c r="N382" s="20">
        <f t="shared" si="35"/>
        <v>23.2</v>
      </c>
      <c r="O382">
        <f t="shared" si="36"/>
        <v>357</v>
      </c>
      <c r="P382" s="116">
        <f t="shared" si="34"/>
        <v>0.32222222222222224</v>
      </c>
      <c r="Q382" s="13" t="s">
        <v>1258</v>
      </c>
    </row>
    <row r="383" spans="1:17" x14ac:dyDescent="0.25">
      <c r="A383" s="1" t="s">
        <v>149</v>
      </c>
      <c r="B383" s="1" t="s">
        <v>1123</v>
      </c>
      <c r="C383" t="str">
        <f>VLOOKUP(B383,'Planting GPS Points'!$B$3:$L$290,10,FALSE)</f>
        <v>DNR</v>
      </c>
      <c r="D383" t="str">
        <f>VLOOKUP(B383,'Planting GPS Points'!$B$3:$AL$290,17,FALSE)</f>
        <v>test</v>
      </c>
      <c r="E383" s="27">
        <v>42881</v>
      </c>
      <c r="F383" s="20">
        <v>1.25</v>
      </c>
      <c r="G383">
        <v>90</v>
      </c>
      <c r="H383" s="12" t="s">
        <v>165</v>
      </c>
      <c r="I383" s="27">
        <v>43294</v>
      </c>
      <c r="J383" s="19" t="s">
        <v>291</v>
      </c>
      <c r="K383" s="19" t="s">
        <v>168</v>
      </c>
      <c r="L383">
        <v>8</v>
      </c>
      <c r="M383">
        <v>1.25</v>
      </c>
      <c r="N383" s="20">
        <f t="shared" si="35"/>
        <v>6.4</v>
      </c>
      <c r="O383">
        <f t="shared" si="36"/>
        <v>413</v>
      </c>
      <c r="P383" s="116">
        <f t="shared" si="34"/>
        <v>8.8888888888888892E-2</v>
      </c>
      <c r="Q383" s="13" t="s">
        <v>1258</v>
      </c>
    </row>
    <row r="384" spans="1:17" x14ac:dyDescent="0.25">
      <c r="A384" s="1" t="s">
        <v>149</v>
      </c>
      <c r="B384" s="1" t="s">
        <v>1123</v>
      </c>
      <c r="C384" t="str">
        <f>VLOOKUP(B384,'Planting GPS Points'!$B$3:$L$290,10,FALSE)</f>
        <v>DNR</v>
      </c>
      <c r="D384" t="str">
        <f>VLOOKUP(B384,'Planting GPS Points'!$B$3:$AL$290,17,FALSE)</f>
        <v>test</v>
      </c>
      <c r="E384" s="27">
        <v>42881</v>
      </c>
      <c r="F384" s="20">
        <v>1.25</v>
      </c>
      <c r="G384">
        <v>90</v>
      </c>
      <c r="H384" s="12" t="s">
        <v>165</v>
      </c>
      <c r="I384" s="27">
        <v>43321</v>
      </c>
      <c r="J384" s="19" t="s">
        <v>291</v>
      </c>
      <c r="K384" s="19" t="s">
        <v>168</v>
      </c>
      <c r="L384">
        <v>9</v>
      </c>
      <c r="M384">
        <v>1.25</v>
      </c>
      <c r="N384" s="20">
        <f t="shared" si="35"/>
        <v>7.2</v>
      </c>
      <c r="O384">
        <f t="shared" si="36"/>
        <v>440</v>
      </c>
      <c r="P384" s="116">
        <f t="shared" si="34"/>
        <v>0.1</v>
      </c>
      <c r="Q384" s="13" t="s">
        <v>1258</v>
      </c>
    </row>
    <row r="385" spans="1:17" x14ac:dyDescent="0.25">
      <c r="A385" s="1" t="s">
        <v>149</v>
      </c>
      <c r="B385" s="1" t="s">
        <v>1123</v>
      </c>
      <c r="C385" t="str">
        <f>VLOOKUP(B385,'Planting GPS Points'!$B$3:$L$290,10,FALSE)</f>
        <v>DNR</v>
      </c>
      <c r="D385" t="str">
        <f>VLOOKUP(B385,'Planting GPS Points'!$B$3:$AL$290,17,FALSE)</f>
        <v>test</v>
      </c>
      <c r="E385" s="27">
        <v>42881</v>
      </c>
      <c r="F385" s="20">
        <v>1.25</v>
      </c>
      <c r="G385">
        <v>90</v>
      </c>
      <c r="H385" s="12" t="s">
        <v>165</v>
      </c>
      <c r="I385" s="27">
        <v>43678</v>
      </c>
      <c r="J385" s="19" t="s">
        <v>291</v>
      </c>
      <c r="K385" s="19" t="s">
        <v>168</v>
      </c>
      <c r="L385">
        <v>98</v>
      </c>
      <c r="M385">
        <v>1.25</v>
      </c>
      <c r="N385" s="20">
        <f t="shared" si="35"/>
        <v>78.400000000000006</v>
      </c>
      <c r="O385">
        <f t="shared" si="36"/>
        <v>797</v>
      </c>
      <c r="P385" s="116">
        <f t="shared" si="34"/>
        <v>1.0888888888888888</v>
      </c>
      <c r="Q385" s="13" t="s">
        <v>1258</v>
      </c>
    </row>
    <row r="386" spans="1:17" ht="17.25" x14ac:dyDescent="0.25">
      <c r="A386" s="1" t="s">
        <v>149</v>
      </c>
      <c r="B386" s="1" t="s">
        <v>1123</v>
      </c>
      <c r="C386" t="str">
        <f>VLOOKUP(B386,'Planting GPS Points'!$B$3:$L$290,10,FALSE)</f>
        <v>DNR</v>
      </c>
      <c r="D386" t="str">
        <f>VLOOKUP(B386,'Planting GPS Points'!$B$3:$AL$290,17,FALSE)</f>
        <v>test</v>
      </c>
      <c r="E386" s="27">
        <v>42881</v>
      </c>
      <c r="F386" s="20">
        <v>1.25</v>
      </c>
      <c r="G386">
        <v>90</v>
      </c>
      <c r="H386" s="12" t="s">
        <v>165</v>
      </c>
      <c r="I386" s="27">
        <v>44033</v>
      </c>
      <c r="J386" s="19" t="s">
        <v>291</v>
      </c>
      <c r="K386" s="19" t="s">
        <v>168</v>
      </c>
      <c r="L386">
        <v>241</v>
      </c>
      <c r="M386">
        <v>2</v>
      </c>
      <c r="N386" s="20">
        <f t="shared" si="35"/>
        <v>120.5</v>
      </c>
      <c r="O386">
        <f t="shared" si="36"/>
        <v>1152</v>
      </c>
      <c r="P386" s="116">
        <f t="shared" si="34"/>
        <v>2.6777777777777776</v>
      </c>
      <c r="Q386" s="13" t="s">
        <v>1896</v>
      </c>
    </row>
    <row r="387" spans="1:17" x14ac:dyDescent="0.25">
      <c r="A387" t="s">
        <v>149</v>
      </c>
      <c r="B387" t="s">
        <v>1146</v>
      </c>
      <c r="C387" t="str">
        <f>VLOOKUP(B387,'Planting GPS Points'!$B$3:$L$290,10,FALSE)</f>
        <v>WDFW</v>
      </c>
      <c r="D387" t="str">
        <f>VLOOKUP(B387,'Planting GPS Points'!$B$3:$AL$290,17,FALSE)</f>
        <v>test</v>
      </c>
      <c r="E387" s="27">
        <v>42507</v>
      </c>
      <c r="F387" s="20">
        <v>75</v>
      </c>
      <c r="G387" s="130">
        <v>780</v>
      </c>
      <c r="H387" s="12" t="s">
        <v>165</v>
      </c>
      <c r="I387" s="27">
        <v>42557</v>
      </c>
      <c r="J387" s="19" t="s">
        <v>291</v>
      </c>
      <c r="K387" s="19" t="s">
        <v>171</v>
      </c>
      <c r="N387" s="20" t="str">
        <f t="shared" si="35"/>
        <v/>
      </c>
      <c r="O387">
        <f t="shared" si="36"/>
        <v>50</v>
      </c>
      <c r="P387" s="116" t="str">
        <f t="shared" si="34"/>
        <v/>
      </c>
      <c r="Q387" s="13" t="s">
        <v>1206</v>
      </c>
    </row>
    <row r="388" spans="1:17" x14ac:dyDescent="0.25">
      <c r="A388" t="s">
        <v>149</v>
      </c>
      <c r="B388" t="s">
        <v>1146</v>
      </c>
      <c r="C388" t="str">
        <f>VLOOKUP(B388,'Planting GPS Points'!$B$3:$L$290,10,FALSE)</f>
        <v>WDFW</v>
      </c>
      <c r="D388" t="str">
        <f>VLOOKUP(B388,'Planting GPS Points'!$B$3:$AL$290,17,FALSE)</f>
        <v>test</v>
      </c>
      <c r="E388" s="27">
        <v>42507</v>
      </c>
      <c r="F388" s="20">
        <v>75</v>
      </c>
      <c r="G388" s="38">
        <v>780</v>
      </c>
      <c r="H388" s="12" t="s">
        <v>165</v>
      </c>
      <c r="I388" s="27">
        <v>42600</v>
      </c>
      <c r="J388" s="19" t="s">
        <v>291</v>
      </c>
      <c r="K388" s="19" t="s">
        <v>171</v>
      </c>
      <c r="N388" s="20" t="str">
        <f t="shared" si="35"/>
        <v/>
      </c>
      <c r="O388">
        <f t="shared" si="36"/>
        <v>93</v>
      </c>
      <c r="P388" s="116" t="str">
        <f t="shared" si="34"/>
        <v/>
      </c>
      <c r="Q388" s="13" t="s">
        <v>1207</v>
      </c>
    </row>
    <row r="389" spans="1:17" x14ac:dyDescent="0.25">
      <c r="A389" t="s">
        <v>149</v>
      </c>
      <c r="B389" t="s">
        <v>1146</v>
      </c>
      <c r="C389" t="str">
        <f>VLOOKUP(B389,'Planting GPS Points'!$B$3:$L$290,10,FALSE)</f>
        <v>WDFW</v>
      </c>
      <c r="D389" t="str">
        <f>VLOOKUP(B389,'Planting GPS Points'!$B$3:$AL$290,17,FALSE)</f>
        <v>test</v>
      </c>
      <c r="E389" s="27">
        <v>42507</v>
      </c>
      <c r="F389" s="20">
        <v>75</v>
      </c>
      <c r="G389" s="38">
        <v>780</v>
      </c>
      <c r="H389" s="12" t="s">
        <v>165</v>
      </c>
      <c r="I389" s="27">
        <v>43267</v>
      </c>
      <c r="J389" s="19" t="s">
        <v>409</v>
      </c>
      <c r="K389" s="19" t="s">
        <v>171</v>
      </c>
      <c r="L389">
        <v>0</v>
      </c>
      <c r="N389" s="20" t="str">
        <f t="shared" si="35"/>
        <v/>
      </c>
      <c r="O389">
        <f t="shared" si="36"/>
        <v>760</v>
      </c>
      <c r="P389" s="116">
        <f t="shared" si="34"/>
        <v>0</v>
      </c>
      <c r="Q389" s="13" t="s">
        <v>1098</v>
      </c>
    </row>
    <row r="390" spans="1:17" x14ac:dyDescent="0.25">
      <c r="A390" s="1" t="s">
        <v>149</v>
      </c>
      <c r="B390" s="1" t="s">
        <v>1124</v>
      </c>
      <c r="C390" t="str">
        <f>VLOOKUP(B390,'Planting GPS Points'!$B$3:$L$290,10,FALSE)</f>
        <v>DNR</v>
      </c>
      <c r="D390" t="str">
        <f>VLOOKUP(B390,'Planting GPS Points'!$B$3:$AL$290,17,FALSE)</f>
        <v>test</v>
      </c>
      <c r="E390" s="27">
        <v>42881</v>
      </c>
      <c r="F390" s="20">
        <v>1.25</v>
      </c>
      <c r="G390">
        <v>90</v>
      </c>
      <c r="H390" s="12" t="s">
        <v>165</v>
      </c>
      <c r="I390" s="27">
        <v>42938</v>
      </c>
      <c r="J390" s="19" t="s">
        <v>291</v>
      </c>
      <c r="K390" s="19" t="s">
        <v>169</v>
      </c>
      <c r="L390">
        <v>95</v>
      </c>
      <c r="M390">
        <v>1.25</v>
      </c>
      <c r="N390" s="20">
        <f t="shared" si="35"/>
        <v>76</v>
      </c>
      <c r="O390">
        <f t="shared" si="36"/>
        <v>57</v>
      </c>
      <c r="P390" s="116">
        <f t="shared" si="34"/>
        <v>1.0555555555555556</v>
      </c>
      <c r="Q390" s="13" t="s">
        <v>1258</v>
      </c>
    </row>
    <row r="391" spans="1:17" x14ac:dyDescent="0.25">
      <c r="A391" s="1" t="s">
        <v>149</v>
      </c>
      <c r="B391" s="1" t="s">
        <v>1124</v>
      </c>
      <c r="C391" t="str">
        <f>VLOOKUP(B391,'Planting GPS Points'!$B$3:$L$290,10,FALSE)</f>
        <v>DNR</v>
      </c>
      <c r="D391" t="str">
        <f>VLOOKUP(B391,'Planting GPS Points'!$B$3:$AL$290,17,FALSE)</f>
        <v>test</v>
      </c>
      <c r="E391" s="27">
        <v>42881</v>
      </c>
      <c r="F391" s="20">
        <v>1.25</v>
      </c>
      <c r="G391">
        <v>90</v>
      </c>
      <c r="H391" s="12" t="s">
        <v>165</v>
      </c>
      <c r="I391" s="27">
        <v>42968</v>
      </c>
      <c r="J391" s="19" t="s">
        <v>291</v>
      </c>
      <c r="K391" s="19" t="s">
        <v>169</v>
      </c>
      <c r="L391">
        <v>93</v>
      </c>
      <c r="M391">
        <v>1.25</v>
      </c>
      <c r="N391" s="20">
        <f t="shared" si="35"/>
        <v>74.400000000000006</v>
      </c>
      <c r="O391">
        <f t="shared" si="36"/>
        <v>87</v>
      </c>
      <c r="P391" s="116">
        <f t="shared" si="34"/>
        <v>1.0333333333333334</v>
      </c>
      <c r="Q391" s="13" t="s">
        <v>1258</v>
      </c>
    </row>
    <row r="392" spans="1:17" x14ac:dyDescent="0.25">
      <c r="A392" s="1" t="s">
        <v>149</v>
      </c>
      <c r="B392" s="1" t="s">
        <v>1124</v>
      </c>
      <c r="C392" t="str">
        <f>VLOOKUP(B392,'Planting GPS Points'!$B$3:$L$290,10,FALSE)</f>
        <v>DNR</v>
      </c>
      <c r="D392" t="str">
        <f>VLOOKUP(B392,'Planting GPS Points'!$B$3:$AL$290,17,FALSE)</f>
        <v>test</v>
      </c>
      <c r="E392" s="27">
        <v>42881</v>
      </c>
      <c r="F392" s="20">
        <v>1.25</v>
      </c>
      <c r="G392">
        <v>90</v>
      </c>
      <c r="H392" s="12" t="s">
        <v>165</v>
      </c>
      <c r="I392" s="27">
        <v>43238</v>
      </c>
      <c r="J392" s="19" t="s">
        <v>291</v>
      </c>
      <c r="K392" s="19" t="s">
        <v>169</v>
      </c>
      <c r="L392">
        <v>36</v>
      </c>
      <c r="M392">
        <v>1.25</v>
      </c>
      <c r="N392" s="20">
        <f t="shared" si="35"/>
        <v>28.8</v>
      </c>
      <c r="O392">
        <f t="shared" si="36"/>
        <v>357</v>
      </c>
      <c r="P392" s="116">
        <f t="shared" si="34"/>
        <v>0.4</v>
      </c>
      <c r="Q392" s="13" t="s">
        <v>1258</v>
      </c>
    </row>
    <row r="393" spans="1:17" x14ac:dyDescent="0.25">
      <c r="A393" s="1" t="s">
        <v>149</v>
      </c>
      <c r="B393" s="1" t="s">
        <v>1124</v>
      </c>
      <c r="C393" t="str">
        <f>VLOOKUP(B393,'Planting GPS Points'!$B$3:$L$290,10,FALSE)</f>
        <v>DNR</v>
      </c>
      <c r="D393" t="str">
        <f>VLOOKUP(B393,'Planting GPS Points'!$B$3:$AL$290,17,FALSE)</f>
        <v>test</v>
      </c>
      <c r="E393" s="27">
        <v>42881</v>
      </c>
      <c r="F393" s="20">
        <v>1.25</v>
      </c>
      <c r="G393">
        <v>90</v>
      </c>
      <c r="H393" s="12" t="s">
        <v>165</v>
      </c>
      <c r="I393" s="27">
        <v>43294</v>
      </c>
      <c r="J393" s="19" t="s">
        <v>291</v>
      </c>
      <c r="K393" s="19" t="s">
        <v>169</v>
      </c>
      <c r="L393">
        <v>13</v>
      </c>
      <c r="M393">
        <v>1.25</v>
      </c>
      <c r="N393" s="20">
        <f t="shared" si="35"/>
        <v>10.4</v>
      </c>
      <c r="O393">
        <f t="shared" si="36"/>
        <v>413</v>
      </c>
      <c r="P393" s="116">
        <f t="shared" si="34"/>
        <v>0.14444444444444443</v>
      </c>
      <c r="Q393" s="13" t="s">
        <v>1258</v>
      </c>
    </row>
    <row r="394" spans="1:17" x14ac:dyDescent="0.25">
      <c r="A394" s="1" t="s">
        <v>149</v>
      </c>
      <c r="B394" s="1" t="s">
        <v>1124</v>
      </c>
      <c r="C394" t="str">
        <f>VLOOKUP(B394,'Planting GPS Points'!$B$3:$L$290,10,FALSE)</f>
        <v>DNR</v>
      </c>
      <c r="D394" t="str">
        <f>VLOOKUP(B394,'Planting GPS Points'!$B$3:$AL$290,17,FALSE)</f>
        <v>test</v>
      </c>
      <c r="E394" s="27">
        <v>42881</v>
      </c>
      <c r="F394" s="20">
        <v>1.25</v>
      </c>
      <c r="G394">
        <v>90</v>
      </c>
      <c r="H394" s="12" t="s">
        <v>165</v>
      </c>
      <c r="I394" s="27">
        <v>43321</v>
      </c>
      <c r="J394" s="19" t="s">
        <v>291</v>
      </c>
      <c r="K394" s="19" t="s">
        <v>169</v>
      </c>
      <c r="L394">
        <v>15</v>
      </c>
      <c r="M394">
        <v>1.25</v>
      </c>
      <c r="N394" s="20">
        <f t="shared" si="35"/>
        <v>12</v>
      </c>
      <c r="O394">
        <f t="shared" si="36"/>
        <v>440</v>
      </c>
      <c r="P394" s="116">
        <f t="shared" si="34"/>
        <v>0.16666666666666666</v>
      </c>
      <c r="Q394" s="13" t="s">
        <v>1258</v>
      </c>
    </row>
    <row r="395" spans="1:17" x14ac:dyDescent="0.25">
      <c r="A395" s="1" t="s">
        <v>149</v>
      </c>
      <c r="B395" s="1" t="s">
        <v>1124</v>
      </c>
      <c r="C395" t="str">
        <f>VLOOKUP(B395,'Planting GPS Points'!$B$3:$L$290,10,FALSE)</f>
        <v>DNR</v>
      </c>
      <c r="D395" t="str">
        <f>VLOOKUP(B395,'Planting GPS Points'!$B$3:$AL$290,17,FALSE)</f>
        <v>test</v>
      </c>
      <c r="E395" s="27">
        <v>42881</v>
      </c>
      <c r="F395" s="20">
        <v>1.25</v>
      </c>
      <c r="G395">
        <v>90</v>
      </c>
      <c r="H395" s="12" t="s">
        <v>165</v>
      </c>
      <c r="I395" s="27">
        <v>43678</v>
      </c>
      <c r="J395" s="19" t="s">
        <v>409</v>
      </c>
      <c r="K395" s="19" t="s">
        <v>169</v>
      </c>
      <c r="L395">
        <v>0</v>
      </c>
      <c r="M395">
        <v>1.25</v>
      </c>
      <c r="N395" s="20">
        <f t="shared" ref="N395:N403" si="43">IFERROR(L395/M395, "")</f>
        <v>0</v>
      </c>
      <c r="O395">
        <f t="shared" si="36"/>
        <v>797</v>
      </c>
      <c r="P395" s="116">
        <f t="shared" si="34"/>
        <v>0</v>
      </c>
      <c r="Q395" s="13" t="s">
        <v>1258</v>
      </c>
    </row>
    <row r="396" spans="1:17" x14ac:dyDescent="0.25">
      <c r="A396" s="1" t="s">
        <v>149</v>
      </c>
      <c r="B396" s="1" t="s">
        <v>1124</v>
      </c>
      <c r="C396" t="str">
        <f>VLOOKUP(B396,'Planting GPS Points'!$B$3:$L$290,10,FALSE)</f>
        <v>DNR</v>
      </c>
      <c r="D396" t="str">
        <f>VLOOKUP(B396,'Planting GPS Points'!$B$3:$AL$290,17,FALSE)</f>
        <v>test</v>
      </c>
      <c r="E396" s="27">
        <v>42881</v>
      </c>
      <c r="F396" s="20">
        <v>1.25</v>
      </c>
      <c r="G396">
        <v>90</v>
      </c>
      <c r="H396" s="12" t="s">
        <v>165</v>
      </c>
      <c r="I396" s="27">
        <v>44033</v>
      </c>
      <c r="J396" s="19" t="s">
        <v>409</v>
      </c>
      <c r="K396" s="19" t="s">
        <v>169</v>
      </c>
      <c r="L396">
        <v>0</v>
      </c>
      <c r="N396" s="20" t="str">
        <f t="shared" si="43"/>
        <v/>
      </c>
      <c r="O396">
        <f t="shared" si="36"/>
        <v>1152</v>
      </c>
      <c r="P396" s="116">
        <f t="shared" si="34"/>
        <v>0</v>
      </c>
      <c r="Q396" s="13" t="s">
        <v>1258</v>
      </c>
    </row>
    <row r="397" spans="1:17" x14ac:dyDescent="0.25">
      <c r="A397" s="1" t="s">
        <v>149</v>
      </c>
      <c r="B397" s="1" t="s">
        <v>1118</v>
      </c>
      <c r="C397" t="str">
        <f>VLOOKUP(B397,'Planting GPS Points'!$B$3:$L$290,10,FALSE)</f>
        <v>DNR</v>
      </c>
      <c r="D397" t="str">
        <f>VLOOKUP(B397,'Planting GPS Points'!$B$3:$AL$290,17,FALSE)</f>
        <v>test</v>
      </c>
      <c r="E397" s="27">
        <v>42881</v>
      </c>
      <c r="F397" s="20">
        <v>1.25</v>
      </c>
      <c r="G397">
        <v>90</v>
      </c>
      <c r="H397" s="12" t="s">
        <v>165</v>
      </c>
      <c r="I397" s="27">
        <v>42938</v>
      </c>
      <c r="J397" s="19" t="s">
        <v>291</v>
      </c>
      <c r="K397" s="19" t="s">
        <v>171</v>
      </c>
      <c r="L397">
        <v>112</v>
      </c>
      <c r="M397">
        <v>1.25</v>
      </c>
      <c r="N397" s="20">
        <f t="shared" si="43"/>
        <v>89.6</v>
      </c>
      <c r="O397">
        <f t="shared" si="36"/>
        <v>57</v>
      </c>
      <c r="P397" s="116">
        <f t="shared" si="34"/>
        <v>1.2444444444444445</v>
      </c>
      <c r="Q397" s="13" t="s">
        <v>1258</v>
      </c>
    </row>
    <row r="398" spans="1:17" x14ac:dyDescent="0.25">
      <c r="A398" s="1" t="s">
        <v>149</v>
      </c>
      <c r="B398" s="1" t="s">
        <v>1118</v>
      </c>
      <c r="C398" t="str">
        <f>VLOOKUP(B398,'Planting GPS Points'!$B$3:$L$290,10,FALSE)</f>
        <v>DNR</v>
      </c>
      <c r="D398" t="str">
        <f>VLOOKUP(B398,'Planting GPS Points'!$B$3:$AL$290,17,FALSE)</f>
        <v>test</v>
      </c>
      <c r="E398" s="27">
        <v>42881</v>
      </c>
      <c r="F398" s="20">
        <v>1.25</v>
      </c>
      <c r="G398">
        <v>90</v>
      </c>
      <c r="H398" s="12" t="s">
        <v>165</v>
      </c>
      <c r="I398" s="27">
        <v>42968</v>
      </c>
      <c r="J398" s="19" t="s">
        <v>291</v>
      </c>
      <c r="K398" s="19" t="s">
        <v>171</v>
      </c>
      <c r="L398">
        <v>162</v>
      </c>
      <c r="M398">
        <v>1.25</v>
      </c>
      <c r="N398" s="20">
        <f t="shared" si="43"/>
        <v>129.6</v>
      </c>
      <c r="O398">
        <f t="shared" si="36"/>
        <v>87</v>
      </c>
      <c r="P398" s="116">
        <f t="shared" si="34"/>
        <v>1.8</v>
      </c>
      <c r="Q398" s="13" t="s">
        <v>1258</v>
      </c>
    </row>
    <row r="399" spans="1:17" x14ac:dyDescent="0.25">
      <c r="A399" s="1" t="s">
        <v>149</v>
      </c>
      <c r="B399" s="1" t="s">
        <v>1118</v>
      </c>
      <c r="C399" t="str">
        <f>VLOOKUP(B399,'Planting GPS Points'!$B$3:$L$290,10,FALSE)</f>
        <v>DNR</v>
      </c>
      <c r="D399" t="str">
        <f>VLOOKUP(B399,'Planting GPS Points'!$B$3:$AL$290,17,FALSE)</f>
        <v>test</v>
      </c>
      <c r="E399" s="27">
        <v>42881</v>
      </c>
      <c r="F399" s="20">
        <v>1.25</v>
      </c>
      <c r="G399">
        <v>90</v>
      </c>
      <c r="H399" s="12" t="s">
        <v>165</v>
      </c>
      <c r="I399" s="27">
        <v>43238</v>
      </c>
      <c r="J399" s="19" t="s">
        <v>291</v>
      </c>
      <c r="K399" s="19" t="s">
        <v>171</v>
      </c>
      <c r="L399">
        <v>30</v>
      </c>
      <c r="M399">
        <v>1.25</v>
      </c>
      <c r="N399" s="20">
        <f t="shared" si="43"/>
        <v>24</v>
      </c>
      <c r="O399">
        <f t="shared" si="36"/>
        <v>357</v>
      </c>
      <c r="P399" s="116">
        <f t="shared" si="34"/>
        <v>0.33333333333333331</v>
      </c>
      <c r="Q399" s="13" t="s">
        <v>1258</v>
      </c>
    </row>
    <row r="400" spans="1:17" x14ac:dyDescent="0.25">
      <c r="A400" s="1" t="s">
        <v>149</v>
      </c>
      <c r="B400" s="1" t="s">
        <v>1118</v>
      </c>
      <c r="C400" t="str">
        <f>VLOOKUP(B400,'Planting GPS Points'!$B$3:$L$290,10,FALSE)</f>
        <v>DNR</v>
      </c>
      <c r="D400" t="str">
        <f>VLOOKUP(B400,'Planting GPS Points'!$B$3:$AL$290,17,FALSE)</f>
        <v>test</v>
      </c>
      <c r="E400" s="27">
        <v>42881</v>
      </c>
      <c r="F400" s="20">
        <v>1.25</v>
      </c>
      <c r="G400">
        <v>90</v>
      </c>
      <c r="H400" s="12" t="s">
        <v>165</v>
      </c>
      <c r="I400" s="27">
        <v>43294</v>
      </c>
      <c r="J400" s="19" t="s">
        <v>291</v>
      </c>
      <c r="K400" s="19" t="s">
        <v>171</v>
      </c>
      <c r="L400">
        <v>14</v>
      </c>
      <c r="M400">
        <v>1.25</v>
      </c>
      <c r="N400" s="20">
        <f t="shared" si="43"/>
        <v>11.2</v>
      </c>
      <c r="O400">
        <f t="shared" si="36"/>
        <v>413</v>
      </c>
      <c r="P400" s="116">
        <f t="shared" si="34"/>
        <v>0.15555555555555556</v>
      </c>
      <c r="Q400" s="13" t="s">
        <v>1258</v>
      </c>
    </row>
    <row r="401" spans="1:18" x14ac:dyDescent="0.25">
      <c r="A401" s="1" t="s">
        <v>149</v>
      </c>
      <c r="B401" s="1" t="s">
        <v>1118</v>
      </c>
      <c r="C401" t="str">
        <f>VLOOKUP(B401,'Planting GPS Points'!$B$3:$L$290,10,FALSE)</f>
        <v>DNR</v>
      </c>
      <c r="D401" t="str">
        <f>VLOOKUP(B401,'Planting GPS Points'!$B$3:$AL$290,17,FALSE)</f>
        <v>test</v>
      </c>
      <c r="E401" s="27">
        <v>42881</v>
      </c>
      <c r="F401" s="20">
        <v>1.25</v>
      </c>
      <c r="G401">
        <v>90</v>
      </c>
      <c r="H401" s="12" t="s">
        <v>165</v>
      </c>
      <c r="I401" s="27">
        <v>43321</v>
      </c>
      <c r="J401" s="19" t="s">
        <v>291</v>
      </c>
      <c r="K401" s="19" t="s">
        <v>171</v>
      </c>
      <c r="L401">
        <v>7</v>
      </c>
      <c r="M401">
        <v>1.25</v>
      </c>
      <c r="N401" s="20">
        <f t="shared" si="43"/>
        <v>5.6</v>
      </c>
      <c r="O401">
        <f t="shared" si="36"/>
        <v>440</v>
      </c>
      <c r="P401" s="116">
        <f t="shared" si="34"/>
        <v>7.7777777777777779E-2</v>
      </c>
      <c r="Q401" s="13" t="s">
        <v>1258</v>
      </c>
    </row>
    <row r="402" spans="1:18" x14ac:dyDescent="0.25">
      <c r="A402" s="1" t="s">
        <v>149</v>
      </c>
      <c r="B402" s="1" t="s">
        <v>1118</v>
      </c>
      <c r="C402" t="str">
        <f>VLOOKUP(B402,'Planting GPS Points'!$B$3:$L$290,10,FALSE)</f>
        <v>DNR</v>
      </c>
      <c r="D402" t="str">
        <f>VLOOKUP(B402,'Planting GPS Points'!$B$3:$AL$290,17,FALSE)</f>
        <v>test</v>
      </c>
      <c r="E402" s="27">
        <v>42881</v>
      </c>
      <c r="F402" s="20">
        <v>1.25</v>
      </c>
      <c r="G402">
        <v>90</v>
      </c>
      <c r="H402" s="12" t="s">
        <v>165</v>
      </c>
      <c r="I402" s="27">
        <v>43678</v>
      </c>
      <c r="J402" s="19" t="s">
        <v>409</v>
      </c>
      <c r="K402" s="19" t="s">
        <v>171</v>
      </c>
      <c r="L402">
        <v>0</v>
      </c>
      <c r="M402">
        <v>1.25</v>
      </c>
      <c r="N402" s="20">
        <f t="shared" si="43"/>
        <v>0</v>
      </c>
      <c r="O402">
        <f t="shared" si="36"/>
        <v>797</v>
      </c>
      <c r="P402" s="116">
        <f t="shared" si="34"/>
        <v>0</v>
      </c>
      <c r="Q402" s="13" t="s">
        <v>1258</v>
      </c>
    </row>
    <row r="403" spans="1:18" x14ac:dyDescent="0.25">
      <c r="A403" s="1" t="s">
        <v>149</v>
      </c>
      <c r="B403" s="1" t="s">
        <v>1118</v>
      </c>
      <c r="C403" t="str">
        <f>VLOOKUP(B403,'Planting GPS Points'!$B$3:$L$290,10,FALSE)</f>
        <v>DNR</v>
      </c>
      <c r="D403" t="str">
        <f>VLOOKUP(B403,'Planting GPS Points'!$B$3:$AL$290,17,FALSE)</f>
        <v>test</v>
      </c>
      <c r="E403" s="27">
        <v>42881</v>
      </c>
      <c r="F403" s="20">
        <v>1.25</v>
      </c>
      <c r="G403">
        <v>90</v>
      </c>
      <c r="H403" s="12" t="s">
        <v>165</v>
      </c>
      <c r="I403" s="27">
        <v>44033</v>
      </c>
      <c r="J403" s="19" t="s">
        <v>409</v>
      </c>
      <c r="K403" s="19" t="s">
        <v>171</v>
      </c>
      <c r="L403">
        <v>0</v>
      </c>
      <c r="N403" s="20" t="str">
        <f t="shared" si="43"/>
        <v/>
      </c>
      <c r="O403">
        <f t="shared" si="36"/>
        <v>1152</v>
      </c>
      <c r="P403" s="116">
        <f t="shared" si="34"/>
        <v>0</v>
      </c>
      <c r="Q403" s="13" t="s">
        <v>1258</v>
      </c>
      <c r="R403" s="13"/>
    </row>
    <row r="404" spans="1:18" x14ac:dyDescent="0.25">
      <c r="A404" t="s">
        <v>149</v>
      </c>
      <c r="B404" t="s">
        <v>1099</v>
      </c>
      <c r="C404" t="str">
        <f>VLOOKUP(B404,'Planting GPS Points'!$B$3:$L$290,10,FALSE)</f>
        <v>WDFW</v>
      </c>
      <c r="D404" t="str">
        <f>VLOOKUP(B404,'Planting GPS Points'!$B$3:$AL$290,17,FALSE)</f>
        <v>test</v>
      </c>
      <c r="E404" s="27">
        <v>42859</v>
      </c>
      <c r="F404" s="20">
        <v>39</v>
      </c>
      <c r="G404">
        <v>1042</v>
      </c>
      <c r="H404" s="12" t="s">
        <v>1213</v>
      </c>
      <c r="I404" s="27">
        <v>42934</v>
      </c>
      <c r="J404" s="19" t="s">
        <v>291</v>
      </c>
      <c r="K404" s="19" t="s">
        <v>1104</v>
      </c>
      <c r="L404">
        <v>265</v>
      </c>
      <c r="O404">
        <f t="shared" si="36"/>
        <v>75</v>
      </c>
      <c r="P404" s="116">
        <f t="shared" si="34"/>
        <v>0.2543186180422265</v>
      </c>
      <c r="Q404" s="13" t="s">
        <v>1266</v>
      </c>
    </row>
    <row r="405" spans="1:18" x14ac:dyDescent="0.25">
      <c r="A405" t="s">
        <v>149</v>
      </c>
      <c r="B405" t="s">
        <v>1099</v>
      </c>
      <c r="C405" t="str">
        <f>VLOOKUP(B405,'Planting GPS Points'!$B$3:$L$290,10,FALSE)</f>
        <v>WDFW</v>
      </c>
      <c r="D405" t="str">
        <f>VLOOKUP(B405,'Planting GPS Points'!$B$3:$AL$290,17,FALSE)</f>
        <v>test</v>
      </c>
      <c r="E405" s="27">
        <v>42859</v>
      </c>
      <c r="F405" s="20">
        <v>39</v>
      </c>
      <c r="G405">
        <v>1042</v>
      </c>
      <c r="H405" s="12" t="s">
        <v>165</v>
      </c>
      <c r="I405" s="27">
        <v>43267</v>
      </c>
      <c r="J405" s="19" t="s">
        <v>409</v>
      </c>
      <c r="K405" s="19" t="s">
        <v>1104</v>
      </c>
      <c r="L405">
        <v>0</v>
      </c>
      <c r="O405">
        <f t="shared" si="36"/>
        <v>408</v>
      </c>
      <c r="P405" s="116">
        <f t="shared" si="34"/>
        <v>0</v>
      </c>
      <c r="Q405" s="13" t="s">
        <v>1242</v>
      </c>
    </row>
    <row r="406" spans="1:18" x14ac:dyDescent="0.25">
      <c r="A406" t="s">
        <v>149</v>
      </c>
      <c r="B406" t="s">
        <v>1099</v>
      </c>
      <c r="C406" t="str">
        <f>VLOOKUP(B406,'Planting GPS Points'!$B$3:$L$290,10,FALSE)</f>
        <v>WDFW</v>
      </c>
      <c r="D406" t="str">
        <f>VLOOKUP(B406,'Planting GPS Points'!$B$3:$AL$290,17,FALSE)</f>
        <v>test</v>
      </c>
      <c r="E406" s="27">
        <v>42859</v>
      </c>
      <c r="F406" s="20">
        <v>39</v>
      </c>
      <c r="G406">
        <v>1042</v>
      </c>
      <c r="H406" s="12" t="s">
        <v>165</v>
      </c>
      <c r="I406" s="27">
        <v>43691</v>
      </c>
      <c r="J406" s="19" t="s">
        <v>409</v>
      </c>
      <c r="K406" s="19" t="s">
        <v>1104</v>
      </c>
      <c r="L406">
        <v>0</v>
      </c>
      <c r="O406">
        <f t="shared" si="36"/>
        <v>832</v>
      </c>
      <c r="P406" s="116">
        <f t="shared" si="34"/>
        <v>0</v>
      </c>
      <c r="Q406" s="13" t="s">
        <v>1098</v>
      </c>
    </row>
    <row r="407" spans="1:18" x14ac:dyDescent="0.25">
      <c r="A407" t="s">
        <v>149</v>
      </c>
      <c r="B407" t="s">
        <v>1101</v>
      </c>
      <c r="C407" t="str">
        <f>VLOOKUP(B407,'Planting GPS Points'!$B$3:$L$290,10,FALSE)</f>
        <v>WDFW</v>
      </c>
      <c r="D407" t="str">
        <f>VLOOKUP(B407,'Planting GPS Points'!$B$3:$AL$290,17,FALSE)</f>
        <v>test</v>
      </c>
      <c r="E407" s="27">
        <v>42859</v>
      </c>
      <c r="F407" s="20">
        <v>39</v>
      </c>
      <c r="G407">
        <v>1052</v>
      </c>
      <c r="H407" s="12" t="s">
        <v>1213</v>
      </c>
      <c r="I407" s="27">
        <v>42934</v>
      </c>
      <c r="J407" s="19" t="s">
        <v>291</v>
      </c>
      <c r="K407" s="19" t="s">
        <v>1104</v>
      </c>
      <c r="L407">
        <v>468</v>
      </c>
      <c r="O407">
        <f t="shared" si="36"/>
        <v>75</v>
      </c>
      <c r="P407" s="116">
        <f t="shared" si="34"/>
        <v>0.44486692015209123</v>
      </c>
      <c r="Q407" s="13" t="s">
        <v>1266</v>
      </c>
    </row>
    <row r="408" spans="1:18" x14ac:dyDescent="0.25">
      <c r="A408" t="s">
        <v>149</v>
      </c>
      <c r="B408" t="s">
        <v>1101</v>
      </c>
      <c r="C408" t="str">
        <f>VLOOKUP(B408,'Planting GPS Points'!$B$3:$L$290,10,FALSE)</f>
        <v>WDFW</v>
      </c>
      <c r="D408" t="str">
        <f>VLOOKUP(B408,'Planting GPS Points'!$B$3:$AL$290,17,FALSE)</f>
        <v>test</v>
      </c>
      <c r="E408" s="27">
        <v>42859</v>
      </c>
      <c r="F408" s="20">
        <v>39</v>
      </c>
      <c r="G408">
        <v>1052</v>
      </c>
      <c r="H408" s="12" t="s">
        <v>165</v>
      </c>
      <c r="I408" s="27">
        <v>43267</v>
      </c>
      <c r="J408" s="19" t="s">
        <v>409</v>
      </c>
      <c r="K408" s="19" t="s">
        <v>1104</v>
      </c>
      <c r="L408">
        <v>0</v>
      </c>
      <c r="O408">
        <f t="shared" si="36"/>
        <v>408</v>
      </c>
      <c r="P408" s="116">
        <f t="shared" si="34"/>
        <v>0</v>
      </c>
      <c r="Q408" s="13" t="s">
        <v>1242</v>
      </c>
    </row>
    <row r="409" spans="1:18" x14ac:dyDescent="0.25">
      <c r="A409" t="s">
        <v>149</v>
      </c>
      <c r="B409" t="s">
        <v>1101</v>
      </c>
      <c r="C409" t="str">
        <f>VLOOKUP(B409,'Planting GPS Points'!$B$3:$L$290,10,FALSE)</f>
        <v>WDFW</v>
      </c>
      <c r="D409" t="str">
        <f>VLOOKUP(B409,'Planting GPS Points'!$B$3:$AL$290,17,FALSE)</f>
        <v>test</v>
      </c>
      <c r="E409" s="27">
        <v>42859</v>
      </c>
      <c r="F409" s="20">
        <v>39</v>
      </c>
      <c r="G409">
        <v>1052</v>
      </c>
      <c r="H409" s="12" t="s">
        <v>165</v>
      </c>
      <c r="I409" s="27">
        <v>43691</v>
      </c>
      <c r="J409" s="19" t="s">
        <v>409</v>
      </c>
      <c r="K409" s="19" t="s">
        <v>1104</v>
      </c>
      <c r="L409">
        <v>0</v>
      </c>
      <c r="O409">
        <f t="shared" si="36"/>
        <v>832</v>
      </c>
      <c r="P409" s="116">
        <f t="shared" si="34"/>
        <v>0</v>
      </c>
      <c r="Q409" s="13" t="s">
        <v>1098</v>
      </c>
    </row>
    <row r="410" spans="1:18" x14ac:dyDescent="0.25">
      <c r="A410" s="1" t="s">
        <v>149</v>
      </c>
      <c r="B410" s="1" t="s">
        <v>1122</v>
      </c>
      <c r="C410" t="str">
        <f>VLOOKUP(B410,'Planting GPS Points'!$B$3:$L$290,10,FALSE)</f>
        <v>DNR</v>
      </c>
      <c r="D410" t="str">
        <f>VLOOKUP(B410,'Planting GPS Points'!$B$3:$AL$290,17,FALSE)</f>
        <v>test</v>
      </c>
      <c r="E410" s="27">
        <v>42881</v>
      </c>
      <c r="F410" s="20">
        <v>1.25</v>
      </c>
      <c r="G410">
        <v>90</v>
      </c>
      <c r="H410" s="12" t="s">
        <v>165</v>
      </c>
      <c r="I410" s="27">
        <v>42938</v>
      </c>
      <c r="J410" s="19" t="s">
        <v>291</v>
      </c>
      <c r="K410" s="19" t="s">
        <v>1187</v>
      </c>
      <c r="L410">
        <v>106</v>
      </c>
      <c r="M410">
        <v>1.25</v>
      </c>
      <c r="N410" s="20">
        <f t="shared" ref="N410:N443" si="44">IFERROR(L410/M410, "")</f>
        <v>84.8</v>
      </c>
      <c r="O410">
        <f t="shared" si="36"/>
        <v>57</v>
      </c>
      <c r="P410" s="116">
        <f t="shared" si="34"/>
        <v>1.1777777777777778</v>
      </c>
      <c r="Q410" s="13" t="s">
        <v>1258</v>
      </c>
    </row>
    <row r="411" spans="1:18" x14ac:dyDescent="0.25">
      <c r="A411" s="1" t="s">
        <v>149</v>
      </c>
      <c r="B411" s="1" t="s">
        <v>1122</v>
      </c>
      <c r="C411" t="str">
        <f>VLOOKUP(B411,'Planting GPS Points'!$B$3:$L$290,10,FALSE)</f>
        <v>DNR</v>
      </c>
      <c r="D411" t="str">
        <f>VLOOKUP(B411,'Planting GPS Points'!$B$3:$AL$290,17,FALSE)</f>
        <v>test</v>
      </c>
      <c r="E411" s="27">
        <v>42881</v>
      </c>
      <c r="F411" s="20">
        <v>1.25</v>
      </c>
      <c r="G411">
        <v>90</v>
      </c>
      <c r="H411" s="12" t="s">
        <v>165</v>
      </c>
      <c r="I411" s="27">
        <v>42968</v>
      </c>
      <c r="J411" s="19" t="s">
        <v>291</v>
      </c>
      <c r="K411" s="19" t="s">
        <v>1187</v>
      </c>
      <c r="L411">
        <v>160</v>
      </c>
      <c r="M411">
        <v>1.25</v>
      </c>
      <c r="N411" s="20">
        <f t="shared" si="44"/>
        <v>128</v>
      </c>
      <c r="O411">
        <f t="shared" si="36"/>
        <v>87</v>
      </c>
      <c r="P411" s="116">
        <f t="shared" si="34"/>
        <v>1.7777777777777777</v>
      </c>
      <c r="Q411" s="13" t="s">
        <v>1258</v>
      </c>
    </row>
    <row r="412" spans="1:18" x14ac:dyDescent="0.25">
      <c r="A412" s="1" t="s">
        <v>149</v>
      </c>
      <c r="B412" s="1" t="s">
        <v>1122</v>
      </c>
      <c r="C412" t="str">
        <f>VLOOKUP(B412,'Planting GPS Points'!$B$3:$L$290,10,FALSE)</f>
        <v>DNR</v>
      </c>
      <c r="D412" t="str">
        <f>VLOOKUP(B412,'Planting GPS Points'!$B$3:$AL$290,17,FALSE)</f>
        <v>test</v>
      </c>
      <c r="E412" s="27">
        <v>42881</v>
      </c>
      <c r="F412" s="20">
        <v>1.25</v>
      </c>
      <c r="G412">
        <v>90</v>
      </c>
      <c r="H412" s="12" t="s">
        <v>165</v>
      </c>
      <c r="I412" s="27">
        <v>43238</v>
      </c>
      <c r="J412" s="19" t="s">
        <v>291</v>
      </c>
      <c r="K412" s="19" t="s">
        <v>1187</v>
      </c>
      <c r="L412">
        <v>40</v>
      </c>
      <c r="M412">
        <v>1.25</v>
      </c>
      <c r="N412" s="20">
        <f t="shared" si="44"/>
        <v>32</v>
      </c>
      <c r="O412">
        <f t="shared" si="36"/>
        <v>357</v>
      </c>
      <c r="P412" s="116">
        <f t="shared" si="34"/>
        <v>0.44444444444444442</v>
      </c>
      <c r="Q412" s="13" t="s">
        <v>1258</v>
      </c>
    </row>
    <row r="413" spans="1:18" x14ac:dyDescent="0.25">
      <c r="A413" s="1" t="s">
        <v>149</v>
      </c>
      <c r="B413" s="1" t="s">
        <v>1122</v>
      </c>
      <c r="C413" t="str">
        <f>VLOOKUP(B413,'Planting GPS Points'!$B$3:$L$290,10,FALSE)</f>
        <v>DNR</v>
      </c>
      <c r="D413" t="str">
        <f>VLOOKUP(B413,'Planting GPS Points'!$B$3:$AL$290,17,FALSE)</f>
        <v>test</v>
      </c>
      <c r="E413" s="27">
        <v>42881</v>
      </c>
      <c r="F413" s="20">
        <v>1.25</v>
      </c>
      <c r="G413">
        <v>90</v>
      </c>
      <c r="H413" s="12" t="s">
        <v>165</v>
      </c>
      <c r="I413" s="27">
        <v>43294</v>
      </c>
      <c r="J413" s="19" t="s">
        <v>291</v>
      </c>
      <c r="K413" s="19" t="s">
        <v>1187</v>
      </c>
      <c r="L413">
        <v>14</v>
      </c>
      <c r="M413">
        <v>1.25</v>
      </c>
      <c r="N413" s="20">
        <f t="shared" si="44"/>
        <v>11.2</v>
      </c>
      <c r="O413">
        <f t="shared" si="36"/>
        <v>413</v>
      </c>
      <c r="P413" s="116">
        <f t="shared" ref="P413:P483" si="45">IF(L413="", "", L413/G413)</f>
        <v>0.15555555555555556</v>
      </c>
      <c r="Q413" s="13" t="s">
        <v>1258</v>
      </c>
    </row>
    <row r="414" spans="1:18" x14ac:dyDescent="0.25">
      <c r="A414" s="1" t="s">
        <v>149</v>
      </c>
      <c r="B414" s="1" t="s">
        <v>1122</v>
      </c>
      <c r="C414" t="str">
        <f>VLOOKUP(B414,'Planting GPS Points'!$B$3:$L$290,10,FALSE)</f>
        <v>DNR</v>
      </c>
      <c r="D414" t="str">
        <f>VLOOKUP(B414,'Planting GPS Points'!$B$3:$AL$290,17,FALSE)</f>
        <v>test</v>
      </c>
      <c r="E414" s="27">
        <v>42881</v>
      </c>
      <c r="F414" s="20">
        <v>1.25</v>
      </c>
      <c r="G414">
        <v>90</v>
      </c>
      <c r="H414" s="12" t="s">
        <v>165</v>
      </c>
      <c r="I414" s="27">
        <v>43321</v>
      </c>
      <c r="J414" s="19" t="s">
        <v>291</v>
      </c>
      <c r="K414" s="19" t="s">
        <v>1187</v>
      </c>
      <c r="L414">
        <v>10</v>
      </c>
      <c r="M414">
        <v>1.25</v>
      </c>
      <c r="N414" s="20">
        <f t="shared" si="44"/>
        <v>8</v>
      </c>
      <c r="O414">
        <f t="shared" si="36"/>
        <v>440</v>
      </c>
      <c r="P414" s="116">
        <f t="shared" si="45"/>
        <v>0.1111111111111111</v>
      </c>
      <c r="Q414" s="13" t="s">
        <v>1258</v>
      </c>
    </row>
    <row r="415" spans="1:18" x14ac:dyDescent="0.25">
      <c r="A415" s="1" t="s">
        <v>149</v>
      </c>
      <c r="B415" s="1" t="s">
        <v>1122</v>
      </c>
      <c r="C415" t="str">
        <f>VLOOKUP(B415,'Planting GPS Points'!$B$3:$L$290,10,FALSE)</f>
        <v>DNR</v>
      </c>
      <c r="D415" t="str">
        <f>VLOOKUP(B415,'Planting GPS Points'!$B$3:$AL$290,17,FALSE)</f>
        <v>test</v>
      </c>
      <c r="E415" s="27">
        <v>42881</v>
      </c>
      <c r="F415" s="20">
        <v>1.25</v>
      </c>
      <c r="G415">
        <v>90</v>
      </c>
      <c r="H415" s="12" t="s">
        <v>165</v>
      </c>
      <c r="I415" s="27">
        <v>43678</v>
      </c>
      <c r="J415" s="19" t="s">
        <v>409</v>
      </c>
      <c r="K415" s="19" t="s">
        <v>1187</v>
      </c>
      <c r="L415">
        <v>0</v>
      </c>
      <c r="M415">
        <v>1.25</v>
      </c>
      <c r="N415" s="20">
        <f t="shared" si="44"/>
        <v>0</v>
      </c>
      <c r="O415">
        <f t="shared" si="36"/>
        <v>797</v>
      </c>
      <c r="P415" s="116">
        <f t="shared" si="45"/>
        <v>0</v>
      </c>
      <c r="Q415" s="13" t="s">
        <v>1258</v>
      </c>
    </row>
    <row r="416" spans="1:18" x14ac:dyDescent="0.25">
      <c r="A416" s="1" t="s">
        <v>149</v>
      </c>
      <c r="B416" s="1" t="s">
        <v>1122</v>
      </c>
      <c r="C416" t="str">
        <f>VLOOKUP(B416,'Planting GPS Points'!$B$3:$L$290,10,FALSE)</f>
        <v>DNR</v>
      </c>
      <c r="D416" t="str">
        <f>VLOOKUP(B416,'Planting GPS Points'!$B$3:$AL$290,17,FALSE)</f>
        <v>test</v>
      </c>
      <c r="E416" s="27">
        <v>42881</v>
      </c>
      <c r="F416" s="20">
        <v>1.25</v>
      </c>
      <c r="G416">
        <v>90</v>
      </c>
      <c r="H416" s="12" t="s">
        <v>165</v>
      </c>
      <c r="I416" s="27">
        <v>44033</v>
      </c>
      <c r="J416" s="19" t="s">
        <v>409</v>
      </c>
      <c r="K416" s="19" t="s">
        <v>1187</v>
      </c>
      <c r="L416">
        <v>0</v>
      </c>
      <c r="N416" s="20" t="str">
        <f t="shared" si="44"/>
        <v/>
      </c>
      <c r="O416">
        <f t="shared" si="36"/>
        <v>1152</v>
      </c>
      <c r="P416" s="116">
        <f t="shared" si="45"/>
        <v>0</v>
      </c>
      <c r="Q416" s="13" t="s">
        <v>1258</v>
      </c>
      <c r="R416" s="13"/>
    </row>
    <row r="417" spans="1:17" x14ac:dyDescent="0.25">
      <c r="A417" s="1" t="s">
        <v>149</v>
      </c>
      <c r="B417" s="1" t="s">
        <v>1131</v>
      </c>
      <c r="C417" t="str">
        <f>VLOOKUP(B417,'Planting GPS Points'!$B$3:$L$290,10,FALSE)</f>
        <v>DNR</v>
      </c>
      <c r="D417" t="str">
        <f>VLOOKUP(B417,'Planting GPS Points'!$B$3:$AL$290,17,FALSE)</f>
        <v>test</v>
      </c>
      <c r="E417" s="27">
        <v>42881</v>
      </c>
      <c r="F417" s="20">
        <v>1.25</v>
      </c>
      <c r="G417">
        <v>90</v>
      </c>
      <c r="H417" s="12" t="s">
        <v>165</v>
      </c>
      <c r="I417" s="27">
        <v>42938</v>
      </c>
      <c r="J417" s="19" t="s">
        <v>291</v>
      </c>
      <c r="K417" s="19" t="s">
        <v>168</v>
      </c>
      <c r="L417">
        <v>119</v>
      </c>
      <c r="M417">
        <v>1.25</v>
      </c>
      <c r="N417" s="20">
        <f t="shared" si="44"/>
        <v>95.2</v>
      </c>
      <c r="O417">
        <f t="shared" si="36"/>
        <v>57</v>
      </c>
      <c r="P417" s="116">
        <f t="shared" si="45"/>
        <v>1.3222222222222222</v>
      </c>
      <c r="Q417" s="13" t="s">
        <v>1258</v>
      </c>
    </row>
    <row r="418" spans="1:17" x14ac:dyDescent="0.25">
      <c r="A418" s="1" t="s">
        <v>149</v>
      </c>
      <c r="B418" s="1" t="s">
        <v>1131</v>
      </c>
      <c r="C418" t="str">
        <f>VLOOKUP(B418,'Planting GPS Points'!$B$3:$L$290,10,FALSE)</f>
        <v>DNR</v>
      </c>
      <c r="D418" t="str">
        <f>VLOOKUP(B418,'Planting GPS Points'!$B$3:$AL$290,17,FALSE)</f>
        <v>test</v>
      </c>
      <c r="E418" s="27">
        <v>42881</v>
      </c>
      <c r="F418" s="20">
        <v>1.25</v>
      </c>
      <c r="G418">
        <v>90</v>
      </c>
      <c r="H418" s="12" t="s">
        <v>165</v>
      </c>
      <c r="I418" s="27">
        <v>42968</v>
      </c>
      <c r="J418" s="19" t="s">
        <v>291</v>
      </c>
      <c r="K418" s="19" t="s">
        <v>168</v>
      </c>
      <c r="L418">
        <v>234</v>
      </c>
      <c r="M418">
        <v>1.25</v>
      </c>
      <c r="N418" s="20">
        <f t="shared" si="44"/>
        <v>187.2</v>
      </c>
      <c r="O418">
        <f t="shared" si="36"/>
        <v>87</v>
      </c>
      <c r="P418" s="116">
        <f t="shared" si="45"/>
        <v>2.6</v>
      </c>
      <c r="Q418" s="13" t="s">
        <v>1258</v>
      </c>
    </row>
    <row r="419" spans="1:17" x14ac:dyDescent="0.25">
      <c r="A419" s="1" t="s">
        <v>149</v>
      </c>
      <c r="B419" s="1" t="s">
        <v>1131</v>
      </c>
      <c r="C419" t="str">
        <f>VLOOKUP(B419,'Planting GPS Points'!$B$3:$L$290,10,FALSE)</f>
        <v>DNR</v>
      </c>
      <c r="D419" t="str">
        <f>VLOOKUP(B419,'Planting GPS Points'!$B$3:$AL$290,17,FALSE)</f>
        <v>test</v>
      </c>
      <c r="E419" s="27">
        <v>42881</v>
      </c>
      <c r="F419" s="20">
        <v>1.25</v>
      </c>
      <c r="G419">
        <v>90</v>
      </c>
      <c r="H419" s="12" t="s">
        <v>165</v>
      </c>
      <c r="I419" s="27">
        <v>43238</v>
      </c>
      <c r="J419" s="19" t="s">
        <v>291</v>
      </c>
      <c r="K419" s="19" t="s">
        <v>168</v>
      </c>
      <c r="L419">
        <v>301</v>
      </c>
      <c r="M419">
        <v>1.25</v>
      </c>
      <c r="N419" s="20">
        <f t="shared" si="44"/>
        <v>240.8</v>
      </c>
      <c r="O419">
        <f t="shared" si="36"/>
        <v>357</v>
      </c>
      <c r="P419" s="116">
        <f t="shared" si="45"/>
        <v>3.3444444444444446</v>
      </c>
      <c r="Q419" s="13" t="s">
        <v>1258</v>
      </c>
    </row>
    <row r="420" spans="1:17" x14ac:dyDescent="0.25">
      <c r="A420" s="1" t="s">
        <v>149</v>
      </c>
      <c r="B420" s="1" t="s">
        <v>1131</v>
      </c>
      <c r="C420" t="str">
        <f>VLOOKUP(B420,'Planting GPS Points'!$B$3:$L$290,10,FALSE)</f>
        <v>DNR</v>
      </c>
      <c r="D420" t="str">
        <f>VLOOKUP(B420,'Planting GPS Points'!$B$3:$AL$290,17,FALSE)</f>
        <v>test</v>
      </c>
      <c r="E420" s="27">
        <v>42881</v>
      </c>
      <c r="F420" s="20">
        <v>1.25</v>
      </c>
      <c r="G420">
        <v>90</v>
      </c>
      <c r="H420" s="12" t="s">
        <v>165</v>
      </c>
      <c r="I420" s="27">
        <v>43294</v>
      </c>
      <c r="J420" s="19" t="s">
        <v>291</v>
      </c>
      <c r="K420" s="19" t="s">
        <v>168</v>
      </c>
      <c r="L420">
        <v>100</v>
      </c>
      <c r="M420">
        <v>1.25</v>
      </c>
      <c r="N420" s="20">
        <f t="shared" si="44"/>
        <v>80</v>
      </c>
      <c r="O420">
        <f t="shared" si="36"/>
        <v>413</v>
      </c>
      <c r="P420" s="116">
        <f t="shared" si="45"/>
        <v>1.1111111111111112</v>
      </c>
      <c r="Q420" s="13" t="s">
        <v>1258</v>
      </c>
    </row>
    <row r="421" spans="1:17" x14ac:dyDescent="0.25">
      <c r="A421" s="1" t="s">
        <v>149</v>
      </c>
      <c r="B421" s="1" t="s">
        <v>1131</v>
      </c>
      <c r="C421" t="str">
        <f>VLOOKUP(B421,'Planting GPS Points'!$B$3:$L$290,10,FALSE)</f>
        <v>DNR</v>
      </c>
      <c r="D421" t="str">
        <f>VLOOKUP(B421,'Planting GPS Points'!$B$3:$AL$290,17,FALSE)</f>
        <v>test</v>
      </c>
      <c r="E421" s="27">
        <v>42881</v>
      </c>
      <c r="F421" s="20">
        <v>1.25</v>
      </c>
      <c r="G421">
        <v>90</v>
      </c>
      <c r="H421" s="12" t="s">
        <v>165</v>
      </c>
      <c r="I421" s="27">
        <v>43321</v>
      </c>
      <c r="J421" s="19" t="s">
        <v>291</v>
      </c>
      <c r="K421" s="19" t="s">
        <v>168</v>
      </c>
      <c r="L421">
        <v>136</v>
      </c>
      <c r="M421">
        <v>1.25</v>
      </c>
      <c r="N421" s="20">
        <f t="shared" si="44"/>
        <v>108.8</v>
      </c>
      <c r="O421">
        <f t="shared" si="36"/>
        <v>440</v>
      </c>
      <c r="P421" s="116">
        <f t="shared" si="45"/>
        <v>1.5111111111111111</v>
      </c>
      <c r="Q421" s="13" t="s">
        <v>1258</v>
      </c>
    </row>
    <row r="422" spans="1:17" x14ac:dyDescent="0.25">
      <c r="A422" s="1" t="s">
        <v>149</v>
      </c>
      <c r="B422" s="1" t="s">
        <v>1131</v>
      </c>
      <c r="C422" t="str">
        <f>VLOOKUP(B422,'Planting GPS Points'!$B$3:$L$290,10,FALSE)</f>
        <v>DNR</v>
      </c>
      <c r="D422" t="str">
        <f>VLOOKUP(B422,'Planting GPS Points'!$B$3:$AL$290,17,FALSE)</f>
        <v>test</v>
      </c>
      <c r="E422" s="27">
        <v>42881</v>
      </c>
      <c r="F422" s="20">
        <v>1.25</v>
      </c>
      <c r="G422">
        <v>90</v>
      </c>
      <c r="H422" s="12" t="s">
        <v>165</v>
      </c>
      <c r="I422" s="27">
        <v>43678</v>
      </c>
      <c r="J422" s="19" t="s">
        <v>291</v>
      </c>
      <c r="K422" s="19" t="s">
        <v>168</v>
      </c>
      <c r="L422">
        <v>200</v>
      </c>
      <c r="M422">
        <v>1.25</v>
      </c>
      <c r="N422" s="20">
        <f t="shared" si="44"/>
        <v>160</v>
      </c>
      <c r="O422">
        <f t="shared" si="36"/>
        <v>797</v>
      </c>
      <c r="P422" s="116">
        <f t="shared" si="45"/>
        <v>2.2222222222222223</v>
      </c>
      <c r="Q422" s="13" t="s">
        <v>1258</v>
      </c>
    </row>
    <row r="423" spans="1:17" x14ac:dyDescent="0.25">
      <c r="A423" s="138" t="s">
        <v>149</v>
      </c>
      <c r="B423" s="1" t="s">
        <v>1131</v>
      </c>
      <c r="C423" t="str">
        <f>VLOOKUP(B423,'Planting GPS Points'!$B$3:$L$290,10,FALSE)</f>
        <v>DNR</v>
      </c>
      <c r="D423" t="str">
        <f>VLOOKUP(B423,'Planting GPS Points'!$B$3:$AL$290,17,FALSE)</f>
        <v>test</v>
      </c>
      <c r="E423" s="27">
        <v>42881</v>
      </c>
      <c r="F423" s="20">
        <v>1.25</v>
      </c>
      <c r="G423">
        <v>90</v>
      </c>
      <c r="H423" s="12" t="s">
        <v>165</v>
      </c>
      <c r="I423" s="27">
        <v>44032</v>
      </c>
      <c r="J423" s="19" t="s">
        <v>291</v>
      </c>
      <c r="K423" s="19" t="s">
        <v>168</v>
      </c>
      <c r="N423" s="20" t="str">
        <f t="shared" si="44"/>
        <v/>
      </c>
      <c r="O423">
        <f t="shared" si="36"/>
        <v>1151</v>
      </c>
      <c r="P423" s="116" t="str">
        <f t="shared" si="45"/>
        <v/>
      </c>
      <c r="Q423" s="13" t="s">
        <v>1897</v>
      </c>
    </row>
    <row r="424" spans="1:17" x14ac:dyDescent="0.25">
      <c r="A424" s="1" t="s">
        <v>149</v>
      </c>
      <c r="B424" s="1" t="s">
        <v>1132</v>
      </c>
      <c r="C424" t="str">
        <f>VLOOKUP(B424,'Planting GPS Points'!$B$3:$L$290,10,FALSE)</f>
        <v>DNR</v>
      </c>
      <c r="D424" t="str">
        <f>VLOOKUP(B424,'Planting GPS Points'!$B$3:$AL$290,17,FALSE)</f>
        <v>test</v>
      </c>
      <c r="E424" s="27">
        <v>42881</v>
      </c>
      <c r="F424" s="20">
        <v>1.25</v>
      </c>
      <c r="G424">
        <v>90</v>
      </c>
      <c r="H424" s="12" t="s">
        <v>165</v>
      </c>
      <c r="I424" s="27">
        <v>42938</v>
      </c>
      <c r="J424" s="19" t="s">
        <v>291</v>
      </c>
      <c r="K424" s="19" t="s">
        <v>169</v>
      </c>
      <c r="L424">
        <v>134</v>
      </c>
      <c r="M424">
        <v>1.25</v>
      </c>
      <c r="N424" s="20">
        <f t="shared" si="44"/>
        <v>107.2</v>
      </c>
      <c r="O424">
        <f t="shared" si="36"/>
        <v>57</v>
      </c>
      <c r="P424" s="116">
        <f t="shared" si="45"/>
        <v>1.4888888888888889</v>
      </c>
      <c r="Q424" s="13" t="s">
        <v>1258</v>
      </c>
    </row>
    <row r="425" spans="1:17" x14ac:dyDescent="0.25">
      <c r="A425" s="1" t="s">
        <v>149</v>
      </c>
      <c r="B425" s="1" t="s">
        <v>1132</v>
      </c>
      <c r="C425" t="str">
        <f>VLOOKUP(B425,'Planting GPS Points'!$B$3:$L$290,10,FALSE)</f>
        <v>DNR</v>
      </c>
      <c r="D425" t="str">
        <f>VLOOKUP(B425,'Planting GPS Points'!$B$3:$AL$290,17,FALSE)</f>
        <v>test</v>
      </c>
      <c r="E425" s="27">
        <v>42881</v>
      </c>
      <c r="F425" s="20">
        <v>1.25</v>
      </c>
      <c r="G425">
        <v>90</v>
      </c>
      <c r="H425" s="12" t="s">
        <v>165</v>
      </c>
      <c r="I425" s="27">
        <v>42968</v>
      </c>
      <c r="J425" s="19" t="s">
        <v>291</v>
      </c>
      <c r="K425" s="19" t="s">
        <v>169</v>
      </c>
      <c r="L425">
        <v>295</v>
      </c>
      <c r="M425">
        <v>1.25</v>
      </c>
      <c r="N425" s="20">
        <f t="shared" si="44"/>
        <v>236</v>
      </c>
      <c r="O425">
        <f t="shared" si="36"/>
        <v>87</v>
      </c>
      <c r="P425" s="116">
        <f t="shared" si="45"/>
        <v>3.2777777777777777</v>
      </c>
      <c r="Q425" s="13" t="s">
        <v>1258</v>
      </c>
    </row>
    <row r="426" spans="1:17" x14ac:dyDescent="0.25">
      <c r="A426" s="1" t="s">
        <v>149</v>
      </c>
      <c r="B426" s="1" t="s">
        <v>1132</v>
      </c>
      <c r="C426" t="str">
        <f>VLOOKUP(B426,'Planting GPS Points'!$B$3:$L$290,10,FALSE)</f>
        <v>DNR</v>
      </c>
      <c r="D426" t="str">
        <f>VLOOKUP(B426,'Planting GPS Points'!$B$3:$AL$290,17,FALSE)</f>
        <v>test</v>
      </c>
      <c r="E426" s="27">
        <v>42881</v>
      </c>
      <c r="F426" s="20">
        <v>1.25</v>
      </c>
      <c r="G426">
        <v>90</v>
      </c>
      <c r="H426" s="12" t="s">
        <v>165</v>
      </c>
      <c r="I426" s="27">
        <v>43238</v>
      </c>
      <c r="J426" s="19" t="s">
        <v>291</v>
      </c>
      <c r="K426" s="19" t="s">
        <v>169</v>
      </c>
      <c r="L426">
        <v>846</v>
      </c>
      <c r="M426">
        <v>1.25</v>
      </c>
      <c r="N426" s="20">
        <f t="shared" si="44"/>
        <v>676.8</v>
      </c>
      <c r="O426">
        <f t="shared" si="36"/>
        <v>357</v>
      </c>
      <c r="P426" s="116">
        <f t="shared" si="45"/>
        <v>9.4</v>
      </c>
      <c r="Q426" s="13" t="s">
        <v>1258</v>
      </c>
    </row>
    <row r="427" spans="1:17" x14ac:dyDescent="0.25">
      <c r="A427" s="1" t="s">
        <v>149</v>
      </c>
      <c r="B427" s="1" t="s">
        <v>1132</v>
      </c>
      <c r="C427" t="str">
        <f>VLOOKUP(B427,'Planting GPS Points'!$B$3:$L$290,10,FALSE)</f>
        <v>DNR</v>
      </c>
      <c r="D427" t="str">
        <f>VLOOKUP(B427,'Planting GPS Points'!$B$3:$AL$290,17,FALSE)</f>
        <v>test</v>
      </c>
      <c r="E427" s="27">
        <v>42881</v>
      </c>
      <c r="F427" s="20">
        <v>1.25</v>
      </c>
      <c r="G427">
        <v>90</v>
      </c>
      <c r="H427" s="12" t="s">
        <v>165</v>
      </c>
      <c r="I427" s="27">
        <v>43294</v>
      </c>
      <c r="J427" s="19" t="s">
        <v>291</v>
      </c>
      <c r="K427" s="19" t="s">
        <v>169</v>
      </c>
      <c r="L427">
        <v>694</v>
      </c>
      <c r="M427">
        <v>1.25</v>
      </c>
      <c r="N427" s="20">
        <f t="shared" si="44"/>
        <v>555.20000000000005</v>
      </c>
      <c r="O427">
        <f t="shared" si="36"/>
        <v>413</v>
      </c>
      <c r="P427" s="116">
        <f t="shared" si="45"/>
        <v>7.7111111111111112</v>
      </c>
      <c r="Q427" s="13" t="s">
        <v>1258</v>
      </c>
    </row>
    <row r="428" spans="1:17" x14ac:dyDescent="0.25">
      <c r="A428" s="1" t="s">
        <v>149</v>
      </c>
      <c r="B428" s="1" t="s">
        <v>1132</v>
      </c>
      <c r="C428" t="str">
        <f>VLOOKUP(B428,'Planting GPS Points'!$B$3:$L$290,10,FALSE)</f>
        <v>DNR</v>
      </c>
      <c r="D428" t="str">
        <f>VLOOKUP(B428,'Planting GPS Points'!$B$3:$AL$290,17,FALSE)</f>
        <v>test</v>
      </c>
      <c r="E428" s="27">
        <v>42881</v>
      </c>
      <c r="F428" s="20">
        <v>1.25</v>
      </c>
      <c r="G428">
        <v>90</v>
      </c>
      <c r="H428" s="12" t="s">
        <v>165</v>
      </c>
      <c r="I428" s="27">
        <v>43321</v>
      </c>
      <c r="J428" s="19" t="s">
        <v>291</v>
      </c>
      <c r="K428" s="19" t="s">
        <v>169</v>
      </c>
      <c r="L428">
        <v>946</v>
      </c>
      <c r="M428">
        <v>1.25</v>
      </c>
      <c r="N428" s="20">
        <f t="shared" si="44"/>
        <v>756.8</v>
      </c>
      <c r="O428">
        <f t="shared" si="36"/>
        <v>440</v>
      </c>
      <c r="P428" s="116">
        <f t="shared" si="45"/>
        <v>10.511111111111111</v>
      </c>
      <c r="Q428" s="13" t="s">
        <v>1258</v>
      </c>
    </row>
    <row r="429" spans="1:17" x14ac:dyDescent="0.25">
      <c r="A429" s="1" t="s">
        <v>149</v>
      </c>
      <c r="B429" s="1" t="s">
        <v>1132</v>
      </c>
      <c r="C429" t="str">
        <f>VLOOKUP(B429,'Planting GPS Points'!$B$3:$L$290,10,FALSE)</f>
        <v>DNR</v>
      </c>
      <c r="D429" t="str">
        <f>VLOOKUP(B429,'Planting GPS Points'!$B$3:$AL$290,17,FALSE)</f>
        <v>test</v>
      </c>
      <c r="E429" s="27">
        <v>42881</v>
      </c>
      <c r="F429" s="20">
        <v>1.25</v>
      </c>
      <c r="G429">
        <v>90</v>
      </c>
      <c r="H429" s="12" t="s">
        <v>165</v>
      </c>
      <c r="I429" s="27">
        <v>43678</v>
      </c>
      <c r="J429" s="19" t="s">
        <v>291</v>
      </c>
      <c r="K429" s="19" t="s">
        <v>169</v>
      </c>
      <c r="L429">
        <v>448</v>
      </c>
      <c r="M429">
        <v>1.25</v>
      </c>
      <c r="N429" s="20">
        <f t="shared" si="44"/>
        <v>358.4</v>
      </c>
      <c r="O429">
        <f t="shared" si="36"/>
        <v>797</v>
      </c>
      <c r="P429" s="116">
        <f t="shared" si="45"/>
        <v>4.9777777777777779</v>
      </c>
      <c r="Q429" s="13" t="s">
        <v>1258</v>
      </c>
    </row>
    <row r="430" spans="1:17" x14ac:dyDescent="0.25">
      <c r="A430" s="138" t="s">
        <v>149</v>
      </c>
      <c r="B430" s="1" t="s">
        <v>1132</v>
      </c>
      <c r="C430" t="str">
        <f>VLOOKUP(B430,'Planting GPS Points'!$B$3:$L$290,10,FALSE)</f>
        <v>DNR</v>
      </c>
      <c r="D430" t="str">
        <f>VLOOKUP(B430,'Planting GPS Points'!$B$3:$AL$290,17,FALSE)</f>
        <v>test</v>
      </c>
      <c r="E430" s="27">
        <v>42881</v>
      </c>
      <c r="F430" s="20">
        <v>1.25</v>
      </c>
      <c r="G430">
        <v>90</v>
      </c>
      <c r="H430" s="12" t="s">
        <v>165</v>
      </c>
      <c r="I430" s="27">
        <v>44032</v>
      </c>
      <c r="J430" s="19" t="s">
        <v>291</v>
      </c>
      <c r="K430" s="19" t="s">
        <v>169</v>
      </c>
      <c r="N430" s="20" t="str">
        <f t="shared" si="44"/>
        <v/>
      </c>
      <c r="O430">
        <f t="shared" si="36"/>
        <v>1151</v>
      </c>
      <c r="P430" s="116" t="str">
        <f t="shared" si="45"/>
        <v/>
      </c>
      <c r="Q430" s="13" t="s">
        <v>1258</v>
      </c>
    </row>
    <row r="431" spans="1:17" x14ac:dyDescent="0.25">
      <c r="A431" s="1" t="s">
        <v>149</v>
      </c>
      <c r="B431" s="1" t="s">
        <v>1129</v>
      </c>
      <c r="C431" t="str">
        <f>VLOOKUP(B431,'Planting GPS Points'!$B$3:$L$290,10,FALSE)</f>
        <v>DNR</v>
      </c>
      <c r="D431" t="str">
        <f>VLOOKUP(B431,'Planting GPS Points'!$B$3:$AL$290,17,FALSE)</f>
        <v>test</v>
      </c>
      <c r="E431" s="27">
        <v>42881</v>
      </c>
      <c r="F431" s="20">
        <v>1.25</v>
      </c>
      <c r="G431">
        <v>90</v>
      </c>
      <c r="H431" s="12" t="s">
        <v>165</v>
      </c>
      <c r="I431" s="27">
        <v>42938</v>
      </c>
      <c r="J431" s="19" t="s">
        <v>291</v>
      </c>
      <c r="K431" s="19" t="s">
        <v>171</v>
      </c>
      <c r="L431">
        <v>106</v>
      </c>
      <c r="M431">
        <v>1.25</v>
      </c>
      <c r="N431" s="20">
        <f t="shared" si="44"/>
        <v>84.8</v>
      </c>
      <c r="O431">
        <f t="shared" si="36"/>
        <v>57</v>
      </c>
      <c r="P431" s="116">
        <f t="shared" si="45"/>
        <v>1.1777777777777778</v>
      </c>
      <c r="Q431" s="13" t="s">
        <v>1258</v>
      </c>
    </row>
    <row r="432" spans="1:17" x14ac:dyDescent="0.25">
      <c r="A432" s="1" t="s">
        <v>149</v>
      </c>
      <c r="B432" s="1" t="s">
        <v>1129</v>
      </c>
      <c r="C432" t="str">
        <f>VLOOKUP(B432,'Planting GPS Points'!$B$3:$L$290,10,FALSE)</f>
        <v>DNR</v>
      </c>
      <c r="D432" t="str">
        <f>VLOOKUP(B432,'Planting GPS Points'!$B$3:$AL$290,17,FALSE)</f>
        <v>test</v>
      </c>
      <c r="E432" s="27">
        <v>42881</v>
      </c>
      <c r="F432" s="20">
        <v>1.25</v>
      </c>
      <c r="G432">
        <v>90</v>
      </c>
      <c r="H432" s="12" t="s">
        <v>165</v>
      </c>
      <c r="I432" s="27">
        <v>42968</v>
      </c>
      <c r="J432" s="19" t="s">
        <v>291</v>
      </c>
      <c r="K432" s="19" t="s">
        <v>171</v>
      </c>
      <c r="L432">
        <v>217</v>
      </c>
      <c r="M432">
        <v>1.25</v>
      </c>
      <c r="N432" s="20">
        <f t="shared" si="44"/>
        <v>173.6</v>
      </c>
      <c r="O432">
        <f t="shared" si="36"/>
        <v>87</v>
      </c>
      <c r="P432" s="116">
        <f t="shared" si="45"/>
        <v>2.411111111111111</v>
      </c>
      <c r="Q432" s="13" t="s">
        <v>1258</v>
      </c>
    </row>
    <row r="433" spans="1:18" x14ac:dyDescent="0.25">
      <c r="A433" s="1" t="s">
        <v>149</v>
      </c>
      <c r="B433" s="1" t="s">
        <v>1129</v>
      </c>
      <c r="C433" t="str">
        <f>VLOOKUP(B433,'Planting GPS Points'!$B$3:$L$290,10,FALSE)</f>
        <v>DNR</v>
      </c>
      <c r="D433" t="str">
        <f>VLOOKUP(B433,'Planting GPS Points'!$B$3:$AL$290,17,FALSE)</f>
        <v>test</v>
      </c>
      <c r="E433" s="27">
        <v>42881</v>
      </c>
      <c r="F433" s="20">
        <v>1.25</v>
      </c>
      <c r="G433">
        <v>90</v>
      </c>
      <c r="H433" s="12" t="s">
        <v>165</v>
      </c>
      <c r="I433" s="27">
        <v>43238</v>
      </c>
      <c r="J433" s="19" t="s">
        <v>291</v>
      </c>
      <c r="K433" s="19" t="s">
        <v>171</v>
      </c>
      <c r="L433">
        <v>390</v>
      </c>
      <c r="M433">
        <v>1.25</v>
      </c>
      <c r="N433" s="20">
        <f t="shared" si="44"/>
        <v>312</v>
      </c>
      <c r="O433">
        <f t="shared" si="36"/>
        <v>357</v>
      </c>
      <c r="P433" s="116">
        <f t="shared" si="45"/>
        <v>4.333333333333333</v>
      </c>
      <c r="Q433" s="13" t="s">
        <v>1258</v>
      </c>
    </row>
    <row r="434" spans="1:18" x14ac:dyDescent="0.25">
      <c r="A434" s="1" t="s">
        <v>149</v>
      </c>
      <c r="B434" s="1" t="s">
        <v>1129</v>
      </c>
      <c r="C434" t="str">
        <f>VLOOKUP(B434,'Planting GPS Points'!$B$3:$L$290,10,FALSE)</f>
        <v>DNR</v>
      </c>
      <c r="D434" t="str">
        <f>VLOOKUP(B434,'Planting GPS Points'!$B$3:$AL$290,17,FALSE)</f>
        <v>test</v>
      </c>
      <c r="E434" s="27">
        <v>42881</v>
      </c>
      <c r="F434" s="20">
        <v>1.25</v>
      </c>
      <c r="G434">
        <v>90</v>
      </c>
      <c r="H434" s="12" t="s">
        <v>165</v>
      </c>
      <c r="I434" s="27">
        <v>43294</v>
      </c>
      <c r="J434" s="19" t="s">
        <v>291</v>
      </c>
      <c r="K434" s="19" t="s">
        <v>171</v>
      </c>
      <c r="L434">
        <v>172</v>
      </c>
      <c r="M434">
        <v>1.25</v>
      </c>
      <c r="N434" s="20">
        <f t="shared" si="44"/>
        <v>137.6</v>
      </c>
      <c r="O434">
        <f t="shared" si="36"/>
        <v>413</v>
      </c>
      <c r="P434" s="116">
        <f t="shared" si="45"/>
        <v>1.9111111111111112</v>
      </c>
      <c r="Q434" s="13" t="s">
        <v>1258</v>
      </c>
    </row>
    <row r="435" spans="1:18" x14ac:dyDescent="0.25">
      <c r="A435" s="1" t="s">
        <v>149</v>
      </c>
      <c r="B435" s="1" t="s">
        <v>1129</v>
      </c>
      <c r="C435" t="str">
        <f>VLOOKUP(B435,'Planting GPS Points'!$B$3:$L$290,10,FALSE)</f>
        <v>DNR</v>
      </c>
      <c r="D435" t="str">
        <f>VLOOKUP(B435,'Planting GPS Points'!$B$3:$AL$290,17,FALSE)</f>
        <v>test</v>
      </c>
      <c r="E435" s="27">
        <v>42881</v>
      </c>
      <c r="F435" s="20">
        <v>1.25</v>
      </c>
      <c r="G435">
        <v>90</v>
      </c>
      <c r="H435" s="12" t="s">
        <v>165</v>
      </c>
      <c r="I435" s="27">
        <v>43321</v>
      </c>
      <c r="J435" s="19" t="s">
        <v>291</v>
      </c>
      <c r="K435" s="19" t="s">
        <v>171</v>
      </c>
      <c r="L435">
        <v>335</v>
      </c>
      <c r="M435">
        <v>1.25</v>
      </c>
      <c r="N435" s="20">
        <f t="shared" si="44"/>
        <v>268</v>
      </c>
      <c r="O435">
        <f t="shared" si="36"/>
        <v>440</v>
      </c>
      <c r="P435" s="116">
        <f t="shared" si="45"/>
        <v>3.7222222222222223</v>
      </c>
      <c r="Q435" s="13" t="s">
        <v>1258</v>
      </c>
    </row>
    <row r="436" spans="1:18" x14ac:dyDescent="0.25">
      <c r="A436" s="1" t="s">
        <v>149</v>
      </c>
      <c r="B436" s="1" t="s">
        <v>1129</v>
      </c>
      <c r="C436" t="str">
        <f>VLOOKUP(B436,'Planting GPS Points'!$B$3:$L$290,10,FALSE)</f>
        <v>DNR</v>
      </c>
      <c r="D436" t="str">
        <f>VLOOKUP(B436,'Planting GPS Points'!$B$3:$AL$290,17,FALSE)</f>
        <v>test</v>
      </c>
      <c r="E436" s="27">
        <v>42881</v>
      </c>
      <c r="F436" s="20">
        <v>1.25</v>
      </c>
      <c r="G436">
        <v>90</v>
      </c>
      <c r="H436" s="12" t="s">
        <v>165</v>
      </c>
      <c r="I436" s="27">
        <v>43678</v>
      </c>
      <c r="J436" s="19" t="s">
        <v>291</v>
      </c>
      <c r="K436" s="19" t="s">
        <v>171</v>
      </c>
      <c r="L436">
        <v>435</v>
      </c>
      <c r="M436">
        <v>1.25</v>
      </c>
      <c r="N436" s="20">
        <f t="shared" si="44"/>
        <v>348</v>
      </c>
      <c r="O436">
        <f t="shared" si="36"/>
        <v>797</v>
      </c>
      <c r="P436" s="116">
        <f t="shared" si="45"/>
        <v>4.833333333333333</v>
      </c>
      <c r="Q436" s="13" t="s">
        <v>1258</v>
      </c>
    </row>
    <row r="437" spans="1:18" x14ac:dyDescent="0.25">
      <c r="A437" s="138" t="s">
        <v>149</v>
      </c>
      <c r="B437" s="1" t="s">
        <v>1129</v>
      </c>
      <c r="C437" t="str">
        <f>VLOOKUP(B437,'Planting GPS Points'!$B$3:$L$290,10,FALSE)</f>
        <v>DNR</v>
      </c>
      <c r="D437" t="str">
        <f>VLOOKUP(B437,'Planting GPS Points'!$B$3:$AL$290,17,FALSE)</f>
        <v>test</v>
      </c>
      <c r="E437" s="27">
        <v>42881</v>
      </c>
      <c r="F437" s="20">
        <v>1.25</v>
      </c>
      <c r="G437">
        <v>90</v>
      </c>
      <c r="H437" s="12" t="s">
        <v>165</v>
      </c>
      <c r="I437" s="27">
        <v>44032</v>
      </c>
      <c r="J437" s="19" t="s">
        <v>291</v>
      </c>
      <c r="K437" s="19" t="s">
        <v>171</v>
      </c>
      <c r="N437" s="20" t="str">
        <f t="shared" si="44"/>
        <v/>
      </c>
      <c r="O437">
        <f t="shared" si="36"/>
        <v>1151</v>
      </c>
      <c r="P437" s="116" t="str">
        <f t="shared" si="45"/>
        <v/>
      </c>
      <c r="Q437" s="13" t="s">
        <v>1258</v>
      </c>
    </row>
    <row r="438" spans="1:18" x14ac:dyDescent="0.25">
      <c r="A438" t="s">
        <v>149</v>
      </c>
      <c r="B438" t="s">
        <v>1147</v>
      </c>
      <c r="C438" t="str">
        <f>VLOOKUP(B438,'Planting GPS Points'!$B$3:$L$290,10,FALSE)</f>
        <v>WDFW</v>
      </c>
      <c r="D438" t="str">
        <f>VLOOKUP(B438,'Planting GPS Points'!$B$3:$AL$290,17,FALSE)</f>
        <v>large scale</v>
      </c>
      <c r="E438" s="27">
        <v>42576</v>
      </c>
      <c r="F438" s="20">
        <v>160</v>
      </c>
      <c r="G438" s="38">
        <v>20260</v>
      </c>
      <c r="H438" s="12" t="s">
        <v>165</v>
      </c>
      <c r="I438" s="27">
        <v>42913</v>
      </c>
      <c r="J438" s="19" t="s">
        <v>291</v>
      </c>
      <c r="K438" s="19" t="s">
        <v>171</v>
      </c>
      <c r="L438">
        <v>26960</v>
      </c>
      <c r="M438">
        <v>40</v>
      </c>
      <c r="N438" s="20">
        <f t="shared" si="44"/>
        <v>674</v>
      </c>
      <c r="O438">
        <f t="shared" si="36"/>
        <v>337</v>
      </c>
      <c r="P438" s="116">
        <f t="shared" si="45"/>
        <v>1.3307008884501481</v>
      </c>
      <c r="Q438" s="13" t="s">
        <v>1192</v>
      </c>
    </row>
    <row r="439" spans="1:18" x14ac:dyDescent="0.25">
      <c r="A439" t="s">
        <v>149</v>
      </c>
      <c r="B439" t="s">
        <v>1147</v>
      </c>
      <c r="C439" t="str">
        <f>VLOOKUP(B439,'Planting GPS Points'!$B$3:$L$290,10,FALSE)</f>
        <v>WDFW</v>
      </c>
      <c r="D439" t="str">
        <f>VLOOKUP(B439,'Planting GPS Points'!$B$3:$AL$290,17,FALSE)</f>
        <v>large scale</v>
      </c>
      <c r="E439" s="27">
        <v>42576</v>
      </c>
      <c r="F439" s="20">
        <v>160</v>
      </c>
      <c r="G439" s="38">
        <v>20260</v>
      </c>
      <c r="H439" s="12" t="s">
        <v>165</v>
      </c>
      <c r="I439" s="27">
        <v>43228</v>
      </c>
      <c r="J439" s="19" t="s">
        <v>291</v>
      </c>
      <c r="K439" s="19" t="s">
        <v>171</v>
      </c>
      <c r="L439">
        <v>39840</v>
      </c>
      <c r="M439">
        <v>160</v>
      </c>
      <c r="N439" s="20">
        <f t="shared" si="44"/>
        <v>249</v>
      </c>
      <c r="O439">
        <f t="shared" si="36"/>
        <v>652</v>
      </c>
      <c r="P439" s="116">
        <f t="shared" si="45"/>
        <v>1.9664363277393879</v>
      </c>
      <c r="Q439" s="13" t="s">
        <v>1205</v>
      </c>
    </row>
    <row r="440" spans="1:18" x14ac:dyDescent="0.25">
      <c r="A440" t="s">
        <v>149</v>
      </c>
      <c r="B440" t="s">
        <v>1147</v>
      </c>
      <c r="C440" t="str">
        <f>VLOOKUP(B440,'Planting GPS Points'!$B$3:$L$290,10,FALSE)</f>
        <v>WDFW</v>
      </c>
      <c r="D440" t="str">
        <f>VLOOKUP(B440,'Planting GPS Points'!$B$3:$AL$290,17,FALSE)</f>
        <v>large scale</v>
      </c>
      <c r="E440" s="27">
        <v>42576</v>
      </c>
      <c r="F440" s="20">
        <v>160</v>
      </c>
      <c r="G440" s="38">
        <v>20260</v>
      </c>
      <c r="H440" s="12" t="s">
        <v>165</v>
      </c>
      <c r="I440" s="27">
        <v>43324</v>
      </c>
      <c r="J440" s="19" t="s">
        <v>291</v>
      </c>
      <c r="K440" s="19" t="s">
        <v>171</v>
      </c>
      <c r="L440">
        <v>225600</v>
      </c>
      <c r="M440">
        <v>160</v>
      </c>
      <c r="N440" s="20">
        <f t="shared" si="44"/>
        <v>1410</v>
      </c>
      <c r="O440">
        <f t="shared" si="36"/>
        <v>748</v>
      </c>
      <c r="P440" s="116">
        <f t="shared" si="45"/>
        <v>11.135241855873643</v>
      </c>
      <c r="Q440" s="13" t="s">
        <v>1204</v>
      </c>
    </row>
    <row r="441" spans="1:18" x14ac:dyDescent="0.25">
      <c r="A441" t="s">
        <v>149</v>
      </c>
      <c r="B441" t="s">
        <v>1147</v>
      </c>
      <c r="C441" t="str">
        <f>VLOOKUP(B441,'Planting GPS Points'!$B$3:$L$290,10,FALSE)</f>
        <v>WDFW</v>
      </c>
      <c r="D441" t="str">
        <f>VLOOKUP(B441,'Planting GPS Points'!$B$3:$AL$290,17,FALSE)</f>
        <v>large scale</v>
      </c>
      <c r="E441" s="27">
        <v>42576</v>
      </c>
      <c r="F441" s="20">
        <v>160</v>
      </c>
      <c r="G441" s="38">
        <v>20260</v>
      </c>
      <c r="H441" s="12" t="s">
        <v>165</v>
      </c>
      <c r="I441" s="27">
        <v>43348</v>
      </c>
      <c r="J441" s="19" t="s">
        <v>291</v>
      </c>
      <c r="K441" s="19" t="s">
        <v>171</v>
      </c>
      <c r="L441">
        <v>215520</v>
      </c>
      <c r="M441">
        <v>160</v>
      </c>
      <c r="N441" s="20">
        <f t="shared" si="44"/>
        <v>1347</v>
      </c>
      <c r="O441">
        <f t="shared" si="36"/>
        <v>772</v>
      </c>
      <c r="P441" s="116">
        <f t="shared" si="45"/>
        <v>10.637709772951629</v>
      </c>
      <c r="Q441" s="13" t="s">
        <v>1203</v>
      </c>
    </row>
    <row r="442" spans="1:18" x14ac:dyDescent="0.25">
      <c r="A442" t="s">
        <v>149</v>
      </c>
      <c r="B442" t="s">
        <v>1147</v>
      </c>
      <c r="C442" t="str">
        <f>VLOOKUP(B442,'Planting GPS Points'!$B$3:$L$290,10,FALSE)</f>
        <v>WDFW</v>
      </c>
      <c r="D442" t="str">
        <f>VLOOKUP(B442,'Planting GPS Points'!$B$3:$AL$290,17,FALSE)</f>
        <v>large scale</v>
      </c>
      <c r="E442" s="27">
        <v>42576</v>
      </c>
      <c r="F442" s="20">
        <v>160</v>
      </c>
      <c r="G442" s="38">
        <v>20260</v>
      </c>
      <c r="H442" s="12" t="s">
        <v>165</v>
      </c>
      <c r="I442" s="27">
        <v>43675</v>
      </c>
      <c r="J442" s="19" t="s">
        <v>291</v>
      </c>
      <c r="K442" s="19" t="s">
        <v>171</v>
      </c>
      <c r="L442">
        <v>346419</v>
      </c>
      <c r="M442">
        <v>191</v>
      </c>
      <c r="N442" s="20">
        <f t="shared" si="44"/>
        <v>1813.7120418848167</v>
      </c>
      <c r="O442">
        <f t="shared" si="36"/>
        <v>1099</v>
      </c>
      <c r="P442" s="116">
        <f t="shared" si="45"/>
        <v>17.098667324777889</v>
      </c>
      <c r="Q442" s="13" t="s">
        <v>1193</v>
      </c>
    </row>
    <row r="443" spans="1:18" x14ac:dyDescent="0.25">
      <c r="A443" s="138" t="s">
        <v>149</v>
      </c>
      <c r="B443" t="s">
        <v>1147</v>
      </c>
      <c r="C443" t="str">
        <f>VLOOKUP(B443,'Planting GPS Points'!$B$3:$L$290,10,FALSE)</f>
        <v>WDFW</v>
      </c>
      <c r="D443" t="str">
        <f>VLOOKUP(B443,'Planting GPS Points'!$B$3:$AL$290,17,FALSE)</f>
        <v>large scale</v>
      </c>
      <c r="E443" s="27">
        <v>42576</v>
      </c>
      <c r="F443" s="20">
        <v>160</v>
      </c>
      <c r="G443" s="38">
        <v>20260</v>
      </c>
      <c r="H443" s="12" t="s">
        <v>165</v>
      </c>
      <c r="I443" s="27">
        <v>44032</v>
      </c>
      <c r="J443" s="19" t="s">
        <v>291</v>
      </c>
      <c r="K443" s="19" t="s">
        <v>171</v>
      </c>
      <c r="N443" s="20" t="str">
        <f t="shared" si="44"/>
        <v/>
      </c>
      <c r="O443">
        <f t="shared" ref="O443:O514" si="46">I443-E443</f>
        <v>1456</v>
      </c>
      <c r="P443" s="116" t="str">
        <f t="shared" si="45"/>
        <v/>
      </c>
      <c r="Q443" s="13" t="s">
        <v>1895</v>
      </c>
      <c r="R443" s="26"/>
    </row>
    <row r="444" spans="1:18" x14ac:dyDescent="0.25">
      <c r="A444" s="138" t="s">
        <v>149</v>
      </c>
      <c r="B444" t="s">
        <v>1147</v>
      </c>
      <c r="C444" t="str">
        <f>VLOOKUP(B444,'Planting GPS Points'!$B$3:$L$290,10,FALSE)</f>
        <v>WDFW</v>
      </c>
      <c r="D444" t="str">
        <f>VLOOKUP(B444,'Planting GPS Points'!$B$3:$AL$290,17,FALSE)</f>
        <v>large scale</v>
      </c>
      <c r="E444" s="27">
        <v>42576</v>
      </c>
      <c r="F444" s="20">
        <v>160</v>
      </c>
      <c r="G444" s="38">
        <v>20260</v>
      </c>
      <c r="H444" s="12" t="s">
        <v>165</v>
      </c>
      <c r="I444" s="27">
        <v>44378</v>
      </c>
      <c r="J444" s="19" t="s">
        <v>291</v>
      </c>
      <c r="K444" s="19" t="s">
        <v>171</v>
      </c>
      <c r="N444" s="20"/>
      <c r="P444" s="116"/>
      <c r="Q444" s="13"/>
      <c r="R444" s="26"/>
    </row>
    <row r="445" spans="1:18" x14ac:dyDescent="0.25">
      <c r="A445" s="138" t="s">
        <v>149</v>
      </c>
      <c r="B445" t="s">
        <v>1147</v>
      </c>
      <c r="C445" t="str">
        <f>VLOOKUP(B445,'Planting GPS Points'!$B$3:$L$290,10,FALSE)</f>
        <v>WDFW</v>
      </c>
      <c r="D445" t="str">
        <f>VLOOKUP(B445,'Planting GPS Points'!$B$3:$AL$290,17,FALSE)</f>
        <v>large scale</v>
      </c>
      <c r="E445" s="27">
        <v>42576</v>
      </c>
      <c r="F445" s="20">
        <v>160</v>
      </c>
      <c r="G445" s="38">
        <v>20260</v>
      </c>
      <c r="H445" s="12" t="s">
        <v>165</v>
      </c>
      <c r="I445" s="27">
        <v>44743</v>
      </c>
      <c r="J445" s="19" t="s">
        <v>291</v>
      </c>
      <c r="K445" s="19" t="s">
        <v>171</v>
      </c>
      <c r="N445" s="20"/>
      <c r="P445" s="116"/>
      <c r="Q445" s="13"/>
      <c r="R445" s="26"/>
    </row>
    <row r="446" spans="1:18" x14ac:dyDescent="0.25">
      <c r="A446" s="138" t="s">
        <v>149</v>
      </c>
      <c r="B446" t="s">
        <v>1147</v>
      </c>
      <c r="C446" t="str">
        <f>VLOOKUP(B446,'Planting GPS Points'!$B$3:$L$290,10,FALSE)</f>
        <v>WDFW</v>
      </c>
      <c r="D446" t="str">
        <f>VLOOKUP(B446,'Planting GPS Points'!$B$3:$AL$290,17,FALSE)</f>
        <v>large scale</v>
      </c>
      <c r="E446" s="27">
        <v>42576</v>
      </c>
      <c r="F446" s="20">
        <v>160</v>
      </c>
      <c r="G446" s="38">
        <v>20260</v>
      </c>
      <c r="H446" s="12" t="s">
        <v>165</v>
      </c>
      <c r="I446" s="27">
        <v>45108</v>
      </c>
      <c r="J446" s="19" t="s">
        <v>291</v>
      </c>
      <c r="K446" s="19" t="s">
        <v>171</v>
      </c>
      <c r="N446" s="20"/>
      <c r="P446" s="116"/>
      <c r="Q446" s="13"/>
      <c r="R446" s="26"/>
    </row>
    <row r="447" spans="1:18" x14ac:dyDescent="0.25">
      <c r="A447" s="138" t="s">
        <v>149</v>
      </c>
      <c r="B447" t="s">
        <v>1147</v>
      </c>
      <c r="C447" t="str">
        <f>VLOOKUP(B447,'Planting GPS Points'!$B$3:$L$290,10,FALSE)</f>
        <v>WDFW</v>
      </c>
      <c r="D447" t="str">
        <f>VLOOKUP(B447,'Planting GPS Points'!$B$3:$AL$290,17,FALSE)</f>
        <v>large scale</v>
      </c>
      <c r="E447" s="27">
        <v>42576</v>
      </c>
      <c r="F447" s="20">
        <v>160</v>
      </c>
      <c r="G447" s="38">
        <v>20260</v>
      </c>
      <c r="H447" s="12" t="s">
        <v>165</v>
      </c>
      <c r="I447" s="27">
        <v>45474</v>
      </c>
      <c r="J447" s="19" t="s">
        <v>291</v>
      </c>
      <c r="K447" s="19" t="s">
        <v>171</v>
      </c>
      <c r="N447" s="20"/>
      <c r="P447" s="116"/>
      <c r="Q447" s="13"/>
      <c r="R447" s="26"/>
    </row>
    <row r="448" spans="1:18" x14ac:dyDescent="0.25">
      <c r="A448" s="138" t="s">
        <v>149</v>
      </c>
      <c r="B448" t="s">
        <v>1147</v>
      </c>
      <c r="C448" t="str">
        <f>VLOOKUP(B448,'Planting GPS Points'!$B$3:$L$290,10,FALSE)</f>
        <v>WDFW</v>
      </c>
      <c r="D448" t="str">
        <f>VLOOKUP(B448,'Planting GPS Points'!$B$3:$AL$290,17,FALSE)</f>
        <v>large scale</v>
      </c>
      <c r="E448" s="27">
        <v>42576</v>
      </c>
      <c r="F448" s="20">
        <v>160</v>
      </c>
      <c r="G448" s="38">
        <v>20260</v>
      </c>
      <c r="H448" s="12" t="s">
        <v>165</v>
      </c>
      <c r="I448" s="27">
        <v>45748</v>
      </c>
      <c r="J448" s="19" t="s">
        <v>291</v>
      </c>
      <c r="K448" s="19" t="s">
        <v>171</v>
      </c>
      <c r="N448" s="20"/>
      <c r="P448" s="116"/>
      <c r="Q448" s="13" t="s">
        <v>2180</v>
      </c>
      <c r="R448" s="26"/>
    </row>
    <row r="449" spans="1:18" x14ac:dyDescent="0.25">
      <c r="A449" s="138" t="s">
        <v>149</v>
      </c>
      <c r="B449" t="s">
        <v>1147</v>
      </c>
      <c r="C449" t="str">
        <f>VLOOKUP(B449,'Planting GPS Points'!$B$3:$L$290,10,FALSE)</f>
        <v>WDFW</v>
      </c>
      <c r="D449" t="str">
        <f>VLOOKUP(B449,'Planting GPS Points'!$B$3:$AL$290,17,FALSE)</f>
        <v>large scale</v>
      </c>
      <c r="E449" s="27">
        <v>42576</v>
      </c>
      <c r="F449" s="20">
        <v>160</v>
      </c>
      <c r="G449" s="38">
        <v>20260</v>
      </c>
      <c r="H449" s="12" t="s">
        <v>165</v>
      </c>
      <c r="I449" s="27">
        <v>45750</v>
      </c>
      <c r="J449" s="19" t="s">
        <v>291</v>
      </c>
      <c r="K449" s="19" t="s">
        <v>171</v>
      </c>
      <c r="N449" s="20"/>
      <c r="P449" s="116"/>
      <c r="Q449" s="13" t="s">
        <v>2181</v>
      </c>
      <c r="R449" s="26"/>
    </row>
    <row r="450" spans="1:18" x14ac:dyDescent="0.25">
      <c r="A450" s="138"/>
      <c r="E450" s="27"/>
      <c r="F450" s="20"/>
      <c r="G450" s="38"/>
      <c r="H450" s="12"/>
      <c r="I450" s="27"/>
      <c r="J450" s="19"/>
      <c r="K450" s="19"/>
      <c r="N450" s="20"/>
      <c r="P450" s="116"/>
      <c r="Q450" s="13"/>
      <c r="R450" s="26"/>
    </row>
    <row r="451" spans="1:18" x14ac:dyDescent="0.25">
      <c r="A451" t="s">
        <v>149</v>
      </c>
      <c r="B451" t="s">
        <v>1151</v>
      </c>
      <c r="C451" t="str">
        <f>VLOOKUP(B451,'Planting GPS Points'!$B$3:$L$290,10,FALSE)</f>
        <v>WDFW</v>
      </c>
      <c r="D451" t="str">
        <f>VLOOKUP(B451,'Planting GPS Points'!$B$3:$AL$290,17,FALSE)</f>
        <v>large scale</v>
      </c>
      <c r="E451" s="27">
        <v>42862</v>
      </c>
      <c r="F451" s="20">
        <v>160</v>
      </c>
      <c r="G451">
        <v>16570</v>
      </c>
      <c r="H451" s="12" t="s">
        <v>165</v>
      </c>
      <c r="I451" s="27">
        <v>43228</v>
      </c>
      <c r="J451" s="19" t="s">
        <v>291</v>
      </c>
      <c r="K451" s="19" t="s">
        <v>1104</v>
      </c>
      <c r="O451">
        <f t="shared" si="46"/>
        <v>366</v>
      </c>
      <c r="P451" s="116" t="str">
        <f t="shared" si="45"/>
        <v/>
      </c>
      <c r="Q451" s="13" t="s">
        <v>1194</v>
      </c>
    </row>
    <row r="452" spans="1:18" x14ac:dyDescent="0.25">
      <c r="A452" t="s">
        <v>149</v>
      </c>
      <c r="B452" t="s">
        <v>1151</v>
      </c>
      <c r="C452" t="str">
        <f>VLOOKUP(B452,'Planting GPS Points'!$B$3:$L$290,10,FALSE)</f>
        <v>WDFW</v>
      </c>
      <c r="D452" t="str">
        <f>VLOOKUP(B452,'Planting GPS Points'!$B$3:$AL$290,17,FALSE)</f>
        <v>large scale</v>
      </c>
      <c r="E452" s="27">
        <v>42862</v>
      </c>
      <c r="F452" s="20">
        <v>160</v>
      </c>
      <c r="G452">
        <v>16570</v>
      </c>
      <c r="H452" s="12" t="s">
        <v>165</v>
      </c>
      <c r="I452" s="27">
        <v>43322</v>
      </c>
      <c r="J452" s="19" t="s">
        <v>291</v>
      </c>
      <c r="K452" s="19" t="s">
        <v>1104</v>
      </c>
      <c r="O452">
        <f t="shared" si="46"/>
        <v>460</v>
      </c>
      <c r="P452" s="116" t="str">
        <f t="shared" si="45"/>
        <v/>
      </c>
      <c r="Q452" s="13" t="s">
        <v>1197</v>
      </c>
    </row>
    <row r="453" spans="1:18" x14ac:dyDescent="0.25">
      <c r="A453" t="s">
        <v>149</v>
      </c>
      <c r="B453" t="s">
        <v>1151</v>
      </c>
      <c r="C453" t="str">
        <f>VLOOKUP(B453,'Planting GPS Points'!$B$3:$L$290,10,FALSE)</f>
        <v>WDFW</v>
      </c>
      <c r="D453" t="str">
        <f>VLOOKUP(B453,'Planting GPS Points'!$B$3:$AL$290,17,FALSE)</f>
        <v>large scale</v>
      </c>
      <c r="E453" s="27">
        <v>42862</v>
      </c>
      <c r="F453" s="20">
        <v>160</v>
      </c>
      <c r="G453">
        <v>16570</v>
      </c>
      <c r="H453" s="12" t="s">
        <v>165</v>
      </c>
      <c r="I453" s="27">
        <v>43348</v>
      </c>
      <c r="J453" s="19" t="s">
        <v>291</v>
      </c>
      <c r="K453" s="19" t="s">
        <v>1104</v>
      </c>
      <c r="O453">
        <f t="shared" si="46"/>
        <v>486</v>
      </c>
      <c r="P453" s="116" t="str">
        <f t="shared" si="45"/>
        <v/>
      </c>
      <c r="Q453" s="13" t="s">
        <v>1194</v>
      </c>
    </row>
    <row r="454" spans="1:18" x14ac:dyDescent="0.25">
      <c r="A454" t="s">
        <v>149</v>
      </c>
      <c r="B454" t="s">
        <v>1151</v>
      </c>
      <c r="C454" t="str">
        <f>VLOOKUP(B454,'Planting GPS Points'!$B$3:$L$290,10,FALSE)</f>
        <v>WDFW</v>
      </c>
      <c r="D454" t="str">
        <f>VLOOKUP(B454,'Planting GPS Points'!$B$3:$AL$290,17,FALSE)</f>
        <v>large scale</v>
      </c>
      <c r="E454" s="27">
        <v>42862</v>
      </c>
      <c r="F454" s="20">
        <v>80</v>
      </c>
      <c r="G454">
        <v>16570</v>
      </c>
      <c r="H454" s="12" t="s">
        <v>165</v>
      </c>
      <c r="I454" s="27">
        <v>43707</v>
      </c>
      <c r="J454" s="19" t="s">
        <v>291</v>
      </c>
      <c r="K454" s="19" t="s">
        <v>1104</v>
      </c>
      <c r="O454">
        <f t="shared" si="46"/>
        <v>845</v>
      </c>
      <c r="P454" s="116" t="str">
        <f t="shared" si="45"/>
        <v/>
      </c>
      <c r="Q454" s="13" t="s">
        <v>1199</v>
      </c>
    </row>
    <row r="455" spans="1:18" x14ac:dyDescent="0.25">
      <c r="A455" s="138" t="s">
        <v>149</v>
      </c>
      <c r="B455" t="s">
        <v>1151</v>
      </c>
      <c r="C455" t="str">
        <f>VLOOKUP(B455,'Planting GPS Points'!$B$3:$L$290,10,FALSE)</f>
        <v>WDFW</v>
      </c>
      <c r="D455" t="str">
        <f>VLOOKUP(B455,'Planting GPS Points'!$B$3:$AL$290,17,FALSE)</f>
        <v>large scale</v>
      </c>
      <c r="E455" s="27">
        <v>42862</v>
      </c>
      <c r="F455" s="20">
        <v>80</v>
      </c>
      <c r="G455">
        <v>16570</v>
      </c>
      <c r="H455" s="12" t="s">
        <v>165</v>
      </c>
      <c r="I455" s="27">
        <v>44031</v>
      </c>
      <c r="J455" s="19" t="s">
        <v>291</v>
      </c>
      <c r="K455" s="19" t="s">
        <v>1104</v>
      </c>
      <c r="N455" s="20" t="str">
        <f>IFERROR(L455/M455, "")</f>
        <v/>
      </c>
      <c r="O455">
        <f t="shared" si="46"/>
        <v>1169</v>
      </c>
      <c r="P455" s="116" t="str">
        <f t="shared" si="45"/>
        <v/>
      </c>
      <c r="Q455" s="13" t="s">
        <v>1893</v>
      </c>
    </row>
    <row r="456" spans="1:18" x14ac:dyDescent="0.25">
      <c r="A456" t="s">
        <v>149</v>
      </c>
      <c r="B456" t="s">
        <v>2108</v>
      </c>
      <c r="C456" t="str">
        <f>VLOOKUP(B456,'Planting GPS Points'!$B$3:$L$290,10,FALSE)</f>
        <v>WDFW</v>
      </c>
      <c r="D456" t="str">
        <f>VLOOKUP(B456,'Planting GPS Points'!$B$3:$AL$290,17,FALSE)</f>
        <v>large scale</v>
      </c>
      <c r="E456" s="27">
        <v>42874</v>
      </c>
      <c r="F456" s="20">
        <v>155</v>
      </c>
      <c r="G456">
        <v>24734</v>
      </c>
      <c r="H456" s="12" t="s">
        <v>165</v>
      </c>
      <c r="I456" s="27">
        <v>43228</v>
      </c>
      <c r="J456" s="19" t="s">
        <v>291</v>
      </c>
      <c r="K456" s="19" t="s">
        <v>1104</v>
      </c>
      <c r="O456">
        <f t="shared" si="46"/>
        <v>354</v>
      </c>
      <c r="P456" s="116" t="str">
        <f t="shared" si="45"/>
        <v/>
      </c>
      <c r="Q456" s="13" t="s">
        <v>1195</v>
      </c>
    </row>
    <row r="457" spans="1:18" x14ac:dyDescent="0.25">
      <c r="A457" t="s">
        <v>149</v>
      </c>
      <c r="B457" t="s">
        <v>2108</v>
      </c>
      <c r="C457" t="str">
        <f>VLOOKUP(B457,'Planting GPS Points'!$B$3:$L$290,10,FALSE)</f>
        <v>WDFW</v>
      </c>
      <c r="D457" t="str">
        <f>VLOOKUP(B457,'Planting GPS Points'!$B$3:$AL$290,17,FALSE)</f>
        <v>large scale</v>
      </c>
      <c r="E457" s="27">
        <v>42874</v>
      </c>
      <c r="F457" s="20">
        <v>155</v>
      </c>
      <c r="G457">
        <v>24734</v>
      </c>
      <c r="H457" s="12" t="s">
        <v>165</v>
      </c>
      <c r="I457" s="27">
        <v>43322</v>
      </c>
      <c r="J457" s="19" t="s">
        <v>291</v>
      </c>
      <c r="K457" s="19" t="s">
        <v>1104</v>
      </c>
      <c r="O457">
        <f t="shared" si="46"/>
        <v>448</v>
      </c>
      <c r="P457" s="116" t="str">
        <f t="shared" si="45"/>
        <v/>
      </c>
      <c r="Q457" s="13" t="s">
        <v>1202</v>
      </c>
    </row>
    <row r="458" spans="1:18" x14ac:dyDescent="0.25">
      <c r="A458" t="s">
        <v>149</v>
      </c>
      <c r="B458" t="s">
        <v>2108</v>
      </c>
      <c r="C458" t="str">
        <f>VLOOKUP(B458,'Planting GPS Points'!$B$3:$L$290,10,FALSE)</f>
        <v>WDFW</v>
      </c>
      <c r="D458" t="str">
        <f>VLOOKUP(B458,'Planting GPS Points'!$B$3:$AL$290,17,FALSE)</f>
        <v>large scale</v>
      </c>
      <c r="E458" s="27">
        <v>42874</v>
      </c>
      <c r="F458" s="20">
        <v>155</v>
      </c>
      <c r="G458">
        <v>24734</v>
      </c>
      <c r="H458" s="12" t="s">
        <v>165</v>
      </c>
      <c r="I458" s="27">
        <v>43348</v>
      </c>
      <c r="J458" s="19" t="s">
        <v>291</v>
      </c>
      <c r="K458" s="19" t="s">
        <v>1104</v>
      </c>
      <c r="O458">
        <f t="shared" si="46"/>
        <v>474</v>
      </c>
      <c r="P458" s="116" t="str">
        <f t="shared" si="45"/>
        <v/>
      </c>
      <c r="Q458" s="13" t="s">
        <v>1198</v>
      </c>
    </row>
    <row r="459" spans="1:18" x14ac:dyDescent="0.25">
      <c r="A459" t="s">
        <v>149</v>
      </c>
      <c r="B459" t="s">
        <v>2108</v>
      </c>
      <c r="C459" t="str">
        <f>VLOOKUP(B459,'Planting GPS Points'!$B$3:$L$290,10,FALSE)</f>
        <v>WDFW</v>
      </c>
      <c r="D459" t="str">
        <f>VLOOKUP(B459,'Planting GPS Points'!$B$3:$AL$290,17,FALSE)</f>
        <v>large scale</v>
      </c>
      <c r="E459" s="27">
        <v>42874</v>
      </c>
      <c r="F459" s="20">
        <v>77.5</v>
      </c>
      <c r="G459">
        <v>24734</v>
      </c>
      <c r="H459" s="12" t="s">
        <v>165</v>
      </c>
      <c r="I459" s="27">
        <v>43707</v>
      </c>
      <c r="J459" s="19" t="s">
        <v>291</v>
      </c>
      <c r="K459" s="19" t="s">
        <v>1104</v>
      </c>
      <c r="O459">
        <f t="shared" si="46"/>
        <v>833</v>
      </c>
      <c r="P459" s="116" t="str">
        <f t="shared" si="45"/>
        <v/>
      </c>
      <c r="Q459" s="13" t="s">
        <v>1199</v>
      </c>
    </row>
    <row r="460" spans="1:18" x14ac:dyDescent="0.25">
      <c r="A460" s="138" t="s">
        <v>149</v>
      </c>
      <c r="B460" t="s">
        <v>2108</v>
      </c>
      <c r="C460" t="str">
        <f>VLOOKUP(B460,'Planting GPS Points'!$B$3:$L$290,10,FALSE)</f>
        <v>WDFW</v>
      </c>
      <c r="D460" t="str">
        <f>VLOOKUP(B460,'Planting GPS Points'!$B$3:$AL$290,17,FALSE)</f>
        <v>large scale</v>
      </c>
      <c r="E460" s="27">
        <v>42874</v>
      </c>
      <c r="F460" s="20">
        <v>77.5</v>
      </c>
      <c r="G460">
        <v>24734</v>
      </c>
      <c r="H460" s="12" t="s">
        <v>165</v>
      </c>
      <c r="I460" s="27">
        <v>44033</v>
      </c>
      <c r="J460" s="19" t="s">
        <v>291</v>
      </c>
      <c r="K460" s="19" t="s">
        <v>1104</v>
      </c>
      <c r="N460" s="20" t="str">
        <f>IFERROR(L460/M460, "")</f>
        <v/>
      </c>
      <c r="O460">
        <f t="shared" si="46"/>
        <v>1159</v>
      </c>
      <c r="P460" s="116" t="str">
        <f t="shared" si="45"/>
        <v/>
      </c>
      <c r="Q460" s="13" t="s">
        <v>1894</v>
      </c>
    </row>
    <row r="461" spans="1:18" x14ac:dyDescent="0.25">
      <c r="A461" t="s">
        <v>149</v>
      </c>
      <c r="B461" t="s">
        <v>2109</v>
      </c>
      <c r="C461" t="str">
        <f>VLOOKUP(B461,'Planting GPS Points'!$B$3:$L$290,10,FALSE)</f>
        <v>WDFW</v>
      </c>
      <c r="D461" t="str">
        <f>VLOOKUP(B461,'Planting GPS Points'!$B$3:$AL$290,17,FALSE)</f>
        <v>large scale</v>
      </c>
      <c r="E461" s="27">
        <v>42877</v>
      </c>
      <c r="F461" s="20">
        <v>160</v>
      </c>
      <c r="G461">
        <v>26149</v>
      </c>
      <c r="H461" s="12" t="s">
        <v>165</v>
      </c>
      <c r="I461" s="27">
        <v>43228</v>
      </c>
      <c r="J461" s="19" t="s">
        <v>291</v>
      </c>
      <c r="K461" s="19" t="s">
        <v>1104</v>
      </c>
      <c r="O461">
        <f t="shared" si="46"/>
        <v>351</v>
      </c>
      <c r="P461" s="116" t="str">
        <f t="shared" si="45"/>
        <v/>
      </c>
      <c r="Q461" s="13" t="s">
        <v>1196</v>
      </c>
    </row>
    <row r="462" spans="1:18" x14ac:dyDescent="0.25">
      <c r="A462" t="s">
        <v>149</v>
      </c>
      <c r="B462" t="s">
        <v>2109</v>
      </c>
      <c r="C462" t="str">
        <f>VLOOKUP(B462,'Planting GPS Points'!$B$3:$L$290,10,FALSE)</f>
        <v>WDFW</v>
      </c>
      <c r="D462" t="str">
        <f>VLOOKUP(B462,'Planting GPS Points'!$B$3:$AL$290,17,FALSE)</f>
        <v>large scale</v>
      </c>
      <c r="E462" s="27">
        <v>42877</v>
      </c>
      <c r="F462" s="20">
        <v>160</v>
      </c>
      <c r="G462">
        <v>26149</v>
      </c>
      <c r="H462" s="12" t="s">
        <v>165</v>
      </c>
      <c r="I462" s="27">
        <v>43323</v>
      </c>
      <c r="J462" s="19" t="s">
        <v>291</v>
      </c>
      <c r="K462" s="19" t="s">
        <v>1104</v>
      </c>
      <c r="O462">
        <f t="shared" si="46"/>
        <v>446</v>
      </c>
      <c r="P462" s="116" t="str">
        <f t="shared" si="45"/>
        <v/>
      </c>
      <c r="Q462" s="13" t="s">
        <v>1201</v>
      </c>
    </row>
    <row r="463" spans="1:18" x14ac:dyDescent="0.25">
      <c r="A463" t="s">
        <v>149</v>
      </c>
      <c r="B463" t="s">
        <v>2109</v>
      </c>
      <c r="C463" t="str">
        <f>VLOOKUP(B463,'Planting GPS Points'!$B$3:$L$290,10,FALSE)</f>
        <v>WDFW</v>
      </c>
      <c r="D463" t="str">
        <f>VLOOKUP(B463,'Planting GPS Points'!$B$3:$AL$290,17,FALSE)</f>
        <v>large scale</v>
      </c>
      <c r="E463" s="27">
        <v>42877</v>
      </c>
      <c r="F463" s="20">
        <v>160</v>
      </c>
      <c r="G463">
        <v>26149</v>
      </c>
      <c r="H463" s="12" t="s">
        <v>165</v>
      </c>
      <c r="I463" s="27">
        <v>43348</v>
      </c>
      <c r="J463" s="19" t="s">
        <v>291</v>
      </c>
      <c r="K463" s="19" t="s">
        <v>1104</v>
      </c>
      <c r="O463">
        <f t="shared" si="46"/>
        <v>471</v>
      </c>
      <c r="P463" s="116" t="str">
        <f t="shared" si="45"/>
        <v/>
      </c>
      <c r="Q463" s="13" t="s">
        <v>1200</v>
      </c>
    </row>
    <row r="464" spans="1:18" x14ac:dyDescent="0.25">
      <c r="A464" t="s">
        <v>149</v>
      </c>
      <c r="B464" t="s">
        <v>2109</v>
      </c>
      <c r="C464" t="str">
        <f>VLOOKUP(B464,'Planting GPS Points'!$B$3:$L$290,10,FALSE)</f>
        <v>WDFW</v>
      </c>
      <c r="D464" t="str">
        <f>VLOOKUP(B464,'Planting GPS Points'!$B$3:$AL$290,17,FALSE)</f>
        <v>large scale</v>
      </c>
      <c r="E464" s="27">
        <v>42877</v>
      </c>
      <c r="F464" s="20">
        <v>80</v>
      </c>
      <c r="G464">
        <v>26149</v>
      </c>
      <c r="H464" s="12" t="s">
        <v>165</v>
      </c>
      <c r="I464" s="27">
        <v>43707</v>
      </c>
      <c r="J464" s="19" t="s">
        <v>291</v>
      </c>
      <c r="K464" s="19" t="s">
        <v>1104</v>
      </c>
      <c r="O464">
        <f t="shared" si="46"/>
        <v>830</v>
      </c>
      <c r="P464" s="116" t="str">
        <f t="shared" si="45"/>
        <v/>
      </c>
      <c r="Q464" s="13" t="s">
        <v>1199</v>
      </c>
    </row>
    <row r="465" spans="1:18" x14ac:dyDescent="0.25">
      <c r="A465" t="s">
        <v>149</v>
      </c>
      <c r="B465" t="s">
        <v>2109</v>
      </c>
      <c r="C465" t="str">
        <f>VLOOKUP(B465,'Planting GPS Points'!$B$3:$L$290,10,FALSE)</f>
        <v>WDFW</v>
      </c>
      <c r="D465" t="str">
        <f>VLOOKUP(B465,'Planting GPS Points'!$B$3:$AL$290,17,FALSE)</f>
        <v>large scale</v>
      </c>
      <c r="E465" s="27">
        <v>42877</v>
      </c>
      <c r="F465" s="179" t="str">
        <f>VLOOKUP(B465,PLANTING,26,FALSE)</f>
        <v>turf</v>
      </c>
      <c r="G465" s="148">
        <f>VLOOKUP(B465,PLANTING,29,FALSE)</f>
        <v>160</v>
      </c>
      <c r="H465" s="12" t="s">
        <v>49</v>
      </c>
      <c r="I465" s="27">
        <v>43965</v>
      </c>
      <c r="J465" s="19" t="s">
        <v>291</v>
      </c>
      <c r="K465" s="19" t="s">
        <v>1104</v>
      </c>
      <c r="L465">
        <v>12916</v>
      </c>
      <c r="M465" s="38">
        <v>22</v>
      </c>
      <c r="N465" s="20">
        <f t="shared" ref="N465:N501" si="47">IFERROR(L465/M465, "")</f>
        <v>587.09090909090912</v>
      </c>
      <c r="O465">
        <f t="shared" si="46"/>
        <v>1088</v>
      </c>
      <c r="P465" s="116">
        <f t="shared" si="45"/>
        <v>80.724999999999994</v>
      </c>
      <c r="Q465" s="149" t="s">
        <v>1833</v>
      </c>
    </row>
    <row r="466" spans="1:18" x14ac:dyDescent="0.25">
      <c r="A466" s="138" t="s">
        <v>149</v>
      </c>
      <c r="B466" t="s">
        <v>2109</v>
      </c>
      <c r="C466" t="str">
        <f>VLOOKUP(B466,'Planting GPS Points'!$B$3:$L$290,10,FALSE)</f>
        <v>WDFW</v>
      </c>
      <c r="D466" t="str">
        <f>VLOOKUP(B466,'Planting GPS Points'!$B$3:$AL$290,17,FALSE)</f>
        <v>large scale</v>
      </c>
      <c r="E466" s="27">
        <v>42877</v>
      </c>
      <c r="F466" s="20">
        <v>80</v>
      </c>
      <c r="G466">
        <v>26149</v>
      </c>
      <c r="H466" s="12" t="s">
        <v>165</v>
      </c>
      <c r="I466" s="27">
        <v>44034</v>
      </c>
      <c r="J466" s="19" t="s">
        <v>291</v>
      </c>
      <c r="K466" s="19" t="s">
        <v>1104</v>
      </c>
      <c r="N466" s="20" t="str">
        <f t="shared" si="47"/>
        <v/>
      </c>
      <c r="O466">
        <f t="shared" si="46"/>
        <v>1157</v>
      </c>
      <c r="P466" s="116" t="str">
        <f t="shared" si="45"/>
        <v/>
      </c>
      <c r="Q466" s="13" t="s">
        <v>1892</v>
      </c>
    </row>
    <row r="467" spans="1:18" x14ac:dyDescent="0.25">
      <c r="A467" s="1" t="s">
        <v>149</v>
      </c>
      <c r="B467" s="1" t="s">
        <v>1130</v>
      </c>
      <c r="C467" t="str">
        <f>VLOOKUP(B467,'Planting GPS Points'!$B$3:$L$290,10,FALSE)</f>
        <v>DNR</v>
      </c>
      <c r="D467" t="str">
        <f>VLOOKUP(B467,'Planting GPS Points'!$B$3:$AL$290,17,FALSE)</f>
        <v>test</v>
      </c>
      <c r="E467" s="27">
        <v>42881</v>
      </c>
      <c r="F467" s="20">
        <v>1.25</v>
      </c>
      <c r="G467">
        <v>90</v>
      </c>
      <c r="H467" s="12" t="s">
        <v>165</v>
      </c>
      <c r="I467" s="27">
        <v>42938</v>
      </c>
      <c r="J467" s="19" t="s">
        <v>291</v>
      </c>
      <c r="K467" s="19" t="s">
        <v>1187</v>
      </c>
      <c r="L467">
        <v>124</v>
      </c>
      <c r="M467">
        <v>1.25</v>
      </c>
      <c r="N467" s="20">
        <f t="shared" si="47"/>
        <v>99.2</v>
      </c>
      <c r="O467">
        <f t="shared" si="46"/>
        <v>57</v>
      </c>
      <c r="P467" s="116">
        <f t="shared" si="45"/>
        <v>1.3777777777777778</v>
      </c>
      <c r="Q467" s="13" t="s">
        <v>1258</v>
      </c>
    </row>
    <row r="468" spans="1:18" x14ac:dyDescent="0.25">
      <c r="A468" s="1" t="s">
        <v>149</v>
      </c>
      <c r="B468" s="1" t="s">
        <v>1130</v>
      </c>
      <c r="C468" t="str">
        <f>VLOOKUP(B468,'Planting GPS Points'!$B$3:$L$290,10,FALSE)</f>
        <v>DNR</v>
      </c>
      <c r="D468" t="str">
        <f>VLOOKUP(B468,'Planting GPS Points'!$B$3:$AL$290,17,FALSE)</f>
        <v>test</v>
      </c>
      <c r="E468" s="27">
        <v>42881</v>
      </c>
      <c r="F468" s="20">
        <v>1.25</v>
      </c>
      <c r="G468">
        <v>90</v>
      </c>
      <c r="H468" s="12" t="s">
        <v>165</v>
      </c>
      <c r="I468" s="27">
        <v>42968</v>
      </c>
      <c r="J468" s="19" t="s">
        <v>291</v>
      </c>
      <c r="K468" s="19" t="s">
        <v>1187</v>
      </c>
      <c r="L468">
        <v>259</v>
      </c>
      <c r="M468">
        <v>1.25</v>
      </c>
      <c r="N468" s="20">
        <f t="shared" si="47"/>
        <v>207.2</v>
      </c>
      <c r="O468">
        <f t="shared" si="46"/>
        <v>87</v>
      </c>
      <c r="P468" s="116">
        <f t="shared" si="45"/>
        <v>2.8777777777777778</v>
      </c>
      <c r="Q468" s="13" t="s">
        <v>1258</v>
      </c>
    </row>
    <row r="469" spans="1:18" x14ac:dyDescent="0.25">
      <c r="A469" s="1" t="s">
        <v>149</v>
      </c>
      <c r="B469" s="1" t="s">
        <v>1130</v>
      </c>
      <c r="C469" t="str">
        <f>VLOOKUP(B469,'Planting GPS Points'!$B$3:$L$290,10,FALSE)</f>
        <v>DNR</v>
      </c>
      <c r="D469" t="str">
        <f>VLOOKUP(B469,'Planting GPS Points'!$B$3:$AL$290,17,FALSE)</f>
        <v>test</v>
      </c>
      <c r="E469" s="27">
        <v>42881</v>
      </c>
      <c r="F469" s="20">
        <v>1.25</v>
      </c>
      <c r="G469">
        <v>90</v>
      </c>
      <c r="H469" s="12" t="s">
        <v>165</v>
      </c>
      <c r="I469" s="27">
        <v>43238</v>
      </c>
      <c r="J469" s="19" t="s">
        <v>291</v>
      </c>
      <c r="K469" s="19" t="s">
        <v>1187</v>
      </c>
      <c r="L469">
        <v>711</v>
      </c>
      <c r="M469">
        <v>1.25</v>
      </c>
      <c r="N469" s="20">
        <f t="shared" si="47"/>
        <v>568.79999999999995</v>
      </c>
      <c r="O469">
        <f t="shared" si="46"/>
        <v>357</v>
      </c>
      <c r="P469" s="116">
        <f t="shared" si="45"/>
        <v>7.9</v>
      </c>
      <c r="Q469" s="13" t="s">
        <v>1258</v>
      </c>
    </row>
    <row r="470" spans="1:18" x14ac:dyDescent="0.25">
      <c r="A470" s="1" t="s">
        <v>149</v>
      </c>
      <c r="B470" s="1" t="s">
        <v>1130</v>
      </c>
      <c r="C470" t="str">
        <f>VLOOKUP(B470,'Planting GPS Points'!$B$3:$L$290,10,FALSE)</f>
        <v>DNR</v>
      </c>
      <c r="D470" t="str">
        <f>VLOOKUP(B470,'Planting GPS Points'!$B$3:$AL$290,17,FALSE)</f>
        <v>test</v>
      </c>
      <c r="E470" s="27">
        <v>42881</v>
      </c>
      <c r="F470" s="20">
        <v>1.25</v>
      </c>
      <c r="G470">
        <v>90</v>
      </c>
      <c r="H470" s="12" t="s">
        <v>165</v>
      </c>
      <c r="I470" s="27">
        <v>43294</v>
      </c>
      <c r="J470" s="19" t="s">
        <v>291</v>
      </c>
      <c r="K470" s="19" t="s">
        <v>1187</v>
      </c>
      <c r="L470">
        <v>755</v>
      </c>
      <c r="M470">
        <v>1.25</v>
      </c>
      <c r="N470" s="20">
        <f t="shared" si="47"/>
        <v>604</v>
      </c>
      <c r="O470">
        <f t="shared" si="46"/>
        <v>413</v>
      </c>
      <c r="P470" s="116">
        <f t="shared" si="45"/>
        <v>8.3888888888888893</v>
      </c>
      <c r="Q470" s="13" t="s">
        <v>1258</v>
      </c>
    </row>
    <row r="471" spans="1:18" x14ac:dyDescent="0.25">
      <c r="A471" s="1" t="s">
        <v>149</v>
      </c>
      <c r="B471" s="1" t="s">
        <v>1130</v>
      </c>
      <c r="C471" t="str">
        <f>VLOOKUP(B471,'Planting GPS Points'!$B$3:$L$290,10,FALSE)</f>
        <v>DNR</v>
      </c>
      <c r="D471" t="str">
        <f>VLOOKUP(B471,'Planting GPS Points'!$B$3:$AL$290,17,FALSE)</f>
        <v>test</v>
      </c>
      <c r="E471" s="27">
        <v>42881</v>
      </c>
      <c r="F471" s="20">
        <v>1.25</v>
      </c>
      <c r="G471">
        <v>90</v>
      </c>
      <c r="H471" s="12" t="s">
        <v>165</v>
      </c>
      <c r="I471" s="27">
        <v>43321</v>
      </c>
      <c r="J471" s="19" t="s">
        <v>291</v>
      </c>
      <c r="K471" s="19" t="s">
        <v>1187</v>
      </c>
      <c r="L471">
        <v>989</v>
      </c>
      <c r="M471">
        <v>1.25</v>
      </c>
      <c r="N471" s="20">
        <f t="shared" si="47"/>
        <v>791.2</v>
      </c>
      <c r="O471">
        <f t="shared" si="46"/>
        <v>440</v>
      </c>
      <c r="P471" s="116">
        <f t="shared" si="45"/>
        <v>10.988888888888889</v>
      </c>
      <c r="Q471" s="13" t="s">
        <v>1258</v>
      </c>
    </row>
    <row r="472" spans="1:18" x14ac:dyDescent="0.25">
      <c r="A472" s="1" t="s">
        <v>149</v>
      </c>
      <c r="B472" s="1" t="s">
        <v>1130</v>
      </c>
      <c r="C472" t="str">
        <f>VLOOKUP(B472,'Planting GPS Points'!$B$3:$L$290,10,FALSE)</f>
        <v>DNR</v>
      </c>
      <c r="D472" t="str">
        <f>VLOOKUP(B472,'Planting GPS Points'!$B$3:$AL$290,17,FALSE)</f>
        <v>test</v>
      </c>
      <c r="E472" s="27">
        <v>42881</v>
      </c>
      <c r="F472" s="20">
        <v>1.25</v>
      </c>
      <c r="G472">
        <v>90</v>
      </c>
      <c r="H472" s="12" t="s">
        <v>165</v>
      </c>
      <c r="I472" s="27">
        <v>43678</v>
      </c>
      <c r="J472" s="19" t="s">
        <v>291</v>
      </c>
      <c r="K472" s="19" t="s">
        <v>1187</v>
      </c>
      <c r="L472">
        <v>1197</v>
      </c>
      <c r="M472">
        <v>1.25</v>
      </c>
      <c r="N472" s="20">
        <f t="shared" si="47"/>
        <v>957.6</v>
      </c>
      <c r="O472">
        <f t="shared" si="46"/>
        <v>797</v>
      </c>
      <c r="P472" s="116">
        <f t="shared" si="45"/>
        <v>13.3</v>
      </c>
      <c r="Q472" s="13" t="s">
        <v>1258</v>
      </c>
    </row>
    <row r="473" spans="1:18" x14ac:dyDescent="0.25">
      <c r="A473" s="138" t="s">
        <v>149</v>
      </c>
      <c r="B473" s="1" t="s">
        <v>1130</v>
      </c>
      <c r="C473" t="str">
        <f>VLOOKUP(B473,'Planting GPS Points'!$B$3:$L$290,10,FALSE)</f>
        <v>DNR</v>
      </c>
      <c r="D473" t="str">
        <f>VLOOKUP(B473,'Planting GPS Points'!$B$3:$AL$290,17,FALSE)</f>
        <v>test</v>
      </c>
      <c r="E473" s="27">
        <v>42881</v>
      </c>
      <c r="F473" s="20">
        <v>1.25</v>
      </c>
      <c r="G473">
        <v>90</v>
      </c>
      <c r="H473" s="12" t="s">
        <v>165</v>
      </c>
      <c r="I473" s="27">
        <v>44032</v>
      </c>
      <c r="J473" s="19" t="s">
        <v>291</v>
      </c>
      <c r="K473" s="19" t="s">
        <v>1187</v>
      </c>
      <c r="N473" s="20" t="str">
        <f t="shared" si="47"/>
        <v/>
      </c>
      <c r="O473">
        <f t="shared" si="46"/>
        <v>1151</v>
      </c>
      <c r="P473" s="116" t="str">
        <f t="shared" si="45"/>
        <v/>
      </c>
      <c r="Q473" s="13" t="s">
        <v>1258</v>
      </c>
    </row>
    <row r="474" spans="1:18" x14ac:dyDescent="0.25">
      <c r="A474" s="182" t="s">
        <v>149</v>
      </c>
      <c r="B474" s="182" t="s">
        <v>2004</v>
      </c>
      <c r="C474" t="str">
        <f>VLOOKUP(B474,'Planting GPS Points'!$B$3:$L$290,10,FALSE)</f>
        <v>USACE</v>
      </c>
      <c r="D474" t="str">
        <f>VLOOKUP(B474,'Planting GPS Points'!$B$3:$AL$290,17,FALSE)</f>
        <v>test</v>
      </c>
      <c r="E474" s="183">
        <v>44011</v>
      </c>
      <c r="F474" s="182">
        <v>5</v>
      </c>
      <c r="G474" s="182">
        <v>500</v>
      </c>
      <c r="H474" s="188" t="s">
        <v>49</v>
      </c>
      <c r="I474" s="183">
        <v>44306</v>
      </c>
      <c r="J474" s="184" t="s">
        <v>409</v>
      </c>
      <c r="K474" s="184" t="s">
        <v>169</v>
      </c>
      <c r="L474" s="182">
        <v>0</v>
      </c>
      <c r="M474" s="182">
        <v>6.25</v>
      </c>
      <c r="N474" s="186">
        <f t="shared" si="47"/>
        <v>0</v>
      </c>
      <c r="O474" s="182">
        <f t="shared" si="46"/>
        <v>295</v>
      </c>
      <c r="P474" s="185">
        <f t="shared" si="45"/>
        <v>0</v>
      </c>
      <c r="Q474" s="225" t="s">
        <v>2069</v>
      </c>
      <c r="R474" t="s">
        <v>2079</v>
      </c>
    </row>
    <row r="475" spans="1:18" x14ac:dyDescent="0.25">
      <c r="A475" s="182" t="s">
        <v>2008</v>
      </c>
      <c r="B475" s="182" t="s">
        <v>2010</v>
      </c>
      <c r="C475" t="str">
        <f>VLOOKUP(B475,'Planting GPS Points'!$B$3:$L$290,10,FALSE)</f>
        <v>USACE</v>
      </c>
      <c r="D475" t="str">
        <f>VLOOKUP(B475,'Planting GPS Points'!$B$3:$AL$290,17,FALSE)</f>
        <v>test</v>
      </c>
      <c r="E475" s="183">
        <v>44012</v>
      </c>
      <c r="F475" s="182">
        <v>4.75</v>
      </c>
      <c r="G475" s="182">
        <v>475</v>
      </c>
      <c r="H475" s="188" t="s">
        <v>49</v>
      </c>
      <c r="I475" s="183">
        <v>44307</v>
      </c>
      <c r="J475" s="184" t="s">
        <v>409</v>
      </c>
      <c r="K475" s="184" t="s">
        <v>169</v>
      </c>
      <c r="L475" s="182">
        <v>0</v>
      </c>
      <c r="M475" s="182">
        <v>6.25</v>
      </c>
      <c r="N475" s="186">
        <f t="shared" si="47"/>
        <v>0</v>
      </c>
      <c r="O475" s="182">
        <f t="shared" si="46"/>
        <v>295</v>
      </c>
      <c r="P475" s="185">
        <f t="shared" si="45"/>
        <v>0</v>
      </c>
      <c r="Q475" s="225" t="s">
        <v>2069</v>
      </c>
      <c r="R475" t="s">
        <v>2080</v>
      </c>
    </row>
    <row r="476" spans="1:18" s="110" customFormat="1" x14ac:dyDescent="0.25">
      <c r="A476" s="182" t="s">
        <v>23</v>
      </c>
      <c r="B476" s="182" t="s">
        <v>721</v>
      </c>
      <c r="C476" t="str">
        <f>VLOOKUP(B476,'Planting GPS Points'!$B$3:$L$290,10,FALSE)</f>
        <v>WDFW</v>
      </c>
      <c r="D476" t="str">
        <f>VLOOKUP(B476,'Planting GPS Points'!$B$3:$AL$290,17,FALSE)</f>
        <v>test</v>
      </c>
      <c r="E476" s="183">
        <v>41432</v>
      </c>
      <c r="F476" s="186">
        <v>36</v>
      </c>
      <c r="G476" s="182">
        <v>720</v>
      </c>
      <c r="H476" s="188" t="s">
        <v>49</v>
      </c>
      <c r="I476" s="183">
        <v>41716</v>
      </c>
      <c r="J476" s="184" t="s">
        <v>409</v>
      </c>
      <c r="K476" s="184" t="s">
        <v>168</v>
      </c>
      <c r="L476" s="182">
        <v>3</v>
      </c>
      <c r="M476" s="182">
        <v>36</v>
      </c>
      <c r="N476" s="186">
        <f t="shared" si="47"/>
        <v>8.3333333333333329E-2</v>
      </c>
      <c r="O476" s="182">
        <f t="shared" si="46"/>
        <v>284</v>
      </c>
      <c r="P476" s="185">
        <f t="shared" si="45"/>
        <v>4.1666666666666666E-3</v>
      </c>
      <c r="Q476" s="189"/>
      <c r="R476"/>
    </row>
    <row r="477" spans="1:18" s="177" customFormat="1" x14ac:dyDescent="0.25">
      <c r="A477" s="182" t="s">
        <v>23</v>
      </c>
      <c r="B477" s="182" t="s">
        <v>722</v>
      </c>
      <c r="C477" t="str">
        <f>VLOOKUP(B477,'Planting GPS Points'!$B$3:$L$290,10,FALSE)</f>
        <v>WDFW</v>
      </c>
      <c r="D477" t="str">
        <f>VLOOKUP(B477,'Planting GPS Points'!$B$3:$AL$290,17,FALSE)</f>
        <v>test</v>
      </c>
      <c r="E477" s="183">
        <v>41432</v>
      </c>
      <c r="F477" s="186">
        <v>30</v>
      </c>
      <c r="G477" s="182">
        <v>600</v>
      </c>
      <c r="H477" s="188" t="s">
        <v>49</v>
      </c>
      <c r="I477" s="183">
        <v>41716</v>
      </c>
      <c r="J477" s="184" t="s">
        <v>409</v>
      </c>
      <c r="K477" s="184" t="s">
        <v>168</v>
      </c>
      <c r="L477" s="182">
        <v>8</v>
      </c>
      <c r="M477" s="182">
        <v>30</v>
      </c>
      <c r="N477" s="186">
        <f t="shared" si="47"/>
        <v>0.26666666666666666</v>
      </c>
      <c r="O477" s="182">
        <f t="shared" si="46"/>
        <v>284</v>
      </c>
      <c r="P477" s="185">
        <f t="shared" si="45"/>
        <v>1.3333333333333334E-2</v>
      </c>
      <c r="Q477" s="189"/>
      <c r="R477"/>
    </row>
    <row r="478" spans="1:18" s="177" customFormat="1" x14ac:dyDescent="0.25">
      <c r="A478" s="208" t="s">
        <v>151</v>
      </c>
      <c r="B478" s="208" t="s">
        <v>2009</v>
      </c>
      <c r="C478" t="str">
        <f>VLOOKUP(B478,'Planting GPS Points'!$B$3:$L$290,10,FALSE)</f>
        <v>USACE</v>
      </c>
      <c r="D478" t="str">
        <f>VLOOKUP(B478,'Planting GPS Points'!$B$3:$AL$290,17,FALSE)</f>
        <v>test</v>
      </c>
      <c r="E478" s="211">
        <v>44012</v>
      </c>
      <c r="F478" s="208">
        <v>5</v>
      </c>
      <c r="G478" s="208">
        <v>500</v>
      </c>
      <c r="H478" s="216" t="s">
        <v>49</v>
      </c>
      <c r="I478" s="211">
        <v>44307</v>
      </c>
      <c r="J478" s="219" t="s">
        <v>291</v>
      </c>
      <c r="K478" s="219" t="s">
        <v>169</v>
      </c>
      <c r="L478" s="208">
        <v>66</v>
      </c>
      <c r="M478" s="208">
        <v>6.25</v>
      </c>
      <c r="N478" s="222">
        <f t="shared" si="47"/>
        <v>10.56</v>
      </c>
      <c r="O478" s="208">
        <f t="shared" si="46"/>
        <v>295</v>
      </c>
      <c r="P478" s="224">
        <f t="shared" si="45"/>
        <v>0.13200000000000001</v>
      </c>
      <c r="Q478" s="227" t="s">
        <v>2069</v>
      </c>
      <c r="R478" s="197" t="s">
        <v>2081</v>
      </c>
    </row>
    <row r="479" spans="1:18" s="177" customFormat="1" x14ac:dyDescent="0.25">
      <c r="A479" s="182" t="s">
        <v>151</v>
      </c>
      <c r="B479" s="182" t="s">
        <v>154</v>
      </c>
      <c r="C479" t="str">
        <f>VLOOKUP(B479,'Planting GPS Points'!$B$3:$L$290,10,FALSE)</f>
        <v>WDFW</v>
      </c>
      <c r="D479" t="str">
        <f>VLOOKUP(B479,'Planting GPS Points'!$B$3:$AL$290,17,FALSE)</f>
        <v>test</v>
      </c>
      <c r="E479" s="183">
        <v>42859</v>
      </c>
      <c r="F479" s="186">
        <v>25</v>
      </c>
      <c r="G479" s="187">
        <v>994</v>
      </c>
      <c r="H479" s="188" t="s">
        <v>1213</v>
      </c>
      <c r="I479" s="183">
        <v>42933</v>
      </c>
      <c r="J479" s="184" t="s">
        <v>409</v>
      </c>
      <c r="K479" s="184" t="s">
        <v>1104</v>
      </c>
      <c r="L479" s="182">
        <v>0</v>
      </c>
      <c r="M479" s="182">
        <v>0</v>
      </c>
      <c r="N479" s="186" t="str">
        <f t="shared" si="47"/>
        <v/>
      </c>
      <c r="O479" s="182">
        <f t="shared" si="46"/>
        <v>74</v>
      </c>
      <c r="P479" s="185">
        <f t="shared" si="45"/>
        <v>0</v>
      </c>
      <c r="Q479" s="189" t="s">
        <v>1214</v>
      </c>
      <c r="R479"/>
    </row>
    <row r="480" spans="1:18" x14ac:dyDescent="0.25">
      <c r="A480" s="182" t="s">
        <v>151</v>
      </c>
      <c r="B480" s="182" t="s">
        <v>152</v>
      </c>
      <c r="C480" t="str">
        <f>VLOOKUP(B480,'Planting GPS Points'!$B$3:$L$290,10,FALSE)</f>
        <v>WDFW</v>
      </c>
      <c r="D480" t="str">
        <f>VLOOKUP(B480,'Planting GPS Points'!$B$3:$AL$290,17,FALSE)</f>
        <v>test</v>
      </c>
      <c r="E480" s="183">
        <v>42859</v>
      </c>
      <c r="F480" s="186">
        <v>25</v>
      </c>
      <c r="G480" s="187">
        <v>998</v>
      </c>
      <c r="H480" s="188" t="s">
        <v>1213</v>
      </c>
      <c r="I480" s="183">
        <v>42933</v>
      </c>
      <c r="J480" s="184" t="s">
        <v>409</v>
      </c>
      <c r="K480" s="184" t="s">
        <v>1104</v>
      </c>
      <c r="L480" s="182">
        <v>0</v>
      </c>
      <c r="M480" s="182">
        <v>0</v>
      </c>
      <c r="N480" s="186" t="str">
        <f t="shared" si="47"/>
        <v/>
      </c>
      <c r="O480" s="182">
        <f t="shared" si="46"/>
        <v>74</v>
      </c>
      <c r="P480" s="185">
        <f t="shared" si="45"/>
        <v>0</v>
      </c>
      <c r="Q480" s="189" t="s">
        <v>1214</v>
      </c>
    </row>
    <row r="481" spans="1:18" x14ac:dyDescent="0.25">
      <c r="A481" s="209" t="s">
        <v>33</v>
      </c>
      <c r="B481" s="209" t="s">
        <v>509</v>
      </c>
      <c r="C481" t="str">
        <f>VLOOKUP(B481,'Planting GPS Points'!$B$3:$L$290,10,FALSE)</f>
        <v>USFWS</v>
      </c>
      <c r="D481" t="str">
        <f>VLOOKUP(B481,'Planting GPS Points'!$B$3:$AL$290,17,FALSE)</f>
        <v>test</v>
      </c>
      <c r="E481" s="212">
        <v>42893</v>
      </c>
      <c r="F481" s="214">
        <v>5</v>
      </c>
      <c r="G481" s="209">
        <v>500</v>
      </c>
      <c r="H481" s="188" t="s">
        <v>49</v>
      </c>
      <c r="I481" s="183">
        <v>43164</v>
      </c>
      <c r="J481" s="184" t="s">
        <v>409</v>
      </c>
      <c r="K481" s="184" t="s">
        <v>169</v>
      </c>
      <c r="L481" s="182">
        <v>0</v>
      </c>
      <c r="M481" s="187">
        <v>5</v>
      </c>
      <c r="N481" s="186">
        <f t="shared" si="47"/>
        <v>0</v>
      </c>
      <c r="O481" s="182">
        <f t="shared" si="46"/>
        <v>271</v>
      </c>
      <c r="P481" s="185">
        <f t="shared" si="45"/>
        <v>0</v>
      </c>
      <c r="Q481" s="189" t="s">
        <v>728</v>
      </c>
    </row>
    <row r="482" spans="1:18" x14ac:dyDescent="0.25">
      <c r="A482" s="209" t="s">
        <v>33</v>
      </c>
      <c r="B482" s="209" t="s">
        <v>510</v>
      </c>
      <c r="C482" t="str">
        <f>VLOOKUP(B482,'Planting GPS Points'!$B$3:$L$290,10,FALSE)</f>
        <v>USFWS</v>
      </c>
      <c r="D482" t="str">
        <f>VLOOKUP(B482,'Planting GPS Points'!$B$3:$AL$290,17,FALSE)</f>
        <v>test</v>
      </c>
      <c r="E482" s="212">
        <v>42893</v>
      </c>
      <c r="F482" s="214">
        <v>5</v>
      </c>
      <c r="G482" s="209">
        <v>500</v>
      </c>
      <c r="H482" s="188" t="s">
        <v>49</v>
      </c>
      <c r="I482" s="183">
        <v>43164</v>
      </c>
      <c r="J482" s="184" t="s">
        <v>409</v>
      </c>
      <c r="K482" s="184" t="s">
        <v>169</v>
      </c>
      <c r="L482" s="182">
        <v>0</v>
      </c>
      <c r="M482" s="187">
        <v>5</v>
      </c>
      <c r="N482" s="186">
        <f t="shared" si="47"/>
        <v>0</v>
      </c>
      <c r="O482" s="182">
        <f t="shared" si="46"/>
        <v>271</v>
      </c>
      <c r="P482" s="185">
        <f t="shared" si="45"/>
        <v>0</v>
      </c>
      <c r="Q482" s="228" t="s">
        <v>729</v>
      </c>
    </row>
    <row r="483" spans="1:18" x14ac:dyDescent="0.25">
      <c r="A483" s="34" t="s">
        <v>33</v>
      </c>
      <c r="B483" s="131" t="s">
        <v>613</v>
      </c>
      <c r="C483" t="str">
        <f>VLOOKUP(B483,'Planting GPS Points'!$B$3:$L$290,10,FALSE)</f>
        <v>USFWS</v>
      </c>
      <c r="D483" t="str">
        <f>VLOOKUP(B483,'Planting GPS Points'!$B$3:$AL$290,17,FALSE)</f>
        <v>large scale</v>
      </c>
      <c r="E483" s="35">
        <v>42923</v>
      </c>
      <c r="F483" s="36">
        <v>40</v>
      </c>
      <c r="G483" s="1">
        <v>2000</v>
      </c>
      <c r="H483" s="12" t="s">
        <v>49</v>
      </c>
      <c r="I483" s="27">
        <v>43164</v>
      </c>
      <c r="J483" s="19" t="s">
        <v>291</v>
      </c>
      <c r="K483" s="19" t="s">
        <v>169</v>
      </c>
      <c r="N483" s="20" t="str">
        <f t="shared" si="47"/>
        <v/>
      </c>
      <c r="O483">
        <f t="shared" si="46"/>
        <v>241</v>
      </c>
      <c r="P483" s="116" t="str">
        <f t="shared" si="45"/>
        <v/>
      </c>
      <c r="Q483" s="13" t="s">
        <v>732</v>
      </c>
    </row>
    <row r="484" spans="1:18" x14ac:dyDescent="0.25">
      <c r="A484" t="s">
        <v>33</v>
      </c>
      <c r="B484" s="142" t="s">
        <v>613</v>
      </c>
      <c r="C484" t="str">
        <f>VLOOKUP(B484,'Planting GPS Points'!$B$3:$L$290,10,FALSE)</f>
        <v>USFWS</v>
      </c>
      <c r="D484" t="str">
        <f>VLOOKUP(B484,'Planting GPS Points'!$B$3:$AL$290,17,FALSE)</f>
        <v>large scale</v>
      </c>
      <c r="E484" s="151">
        <v>42923</v>
      </c>
      <c r="F484" s="179">
        <v>20</v>
      </c>
      <c r="G484" s="142">
        <v>2000</v>
      </c>
      <c r="H484" s="12" t="s">
        <v>49</v>
      </c>
      <c r="I484" s="27">
        <v>43573</v>
      </c>
      <c r="J484" s="19" t="s">
        <v>409</v>
      </c>
      <c r="K484" s="19" t="s">
        <v>169</v>
      </c>
      <c r="L484">
        <v>0</v>
      </c>
      <c r="M484">
        <v>20</v>
      </c>
      <c r="N484" s="20">
        <f t="shared" si="47"/>
        <v>0</v>
      </c>
      <c r="O484">
        <f t="shared" si="46"/>
        <v>650</v>
      </c>
      <c r="P484" s="116">
        <f t="shared" ref="P484:P519" si="48">IF(L484="", "", L484/G484)</f>
        <v>0</v>
      </c>
      <c r="Q484" t="s">
        <v>1526</v>
      </c>
    </row>
    <row r="485" spans="1:18" x14ac:dyDescent="0.25">
      <c r="A485" s="34" t="s">
        <v>33</v>
      </c>
      <c r="B485" s="131" t="s">
        <v>611</v>
      </c>
      <c r="C485" t="str">
        <f>VLOOKUP(B485,'Planting GPS Points'!$B$3:$L$290,10,FALSE)</f>
        <v>USFWS</v>
      </c>
      <c r="D485" t="str">
        <f>VLOOKUP(B485,'Planting GPS Points'!$B$3:$AL$290,17,FALSE)</f>
        <v>large scale</v>
      </c>
      <c r="E485" s="134">
        <v>42922</v>
      </c>
      <c r="F485" s="57">
        <v>120</v>
      </c>
      <c r="G485" s="34">
        <v>5825</v>
      </c>
      <c r="H485" s="12" t="s">
        <v>49</v>
      </c>
      <c r="I485" s="27">
        <v>43164</v>
      </c>
      <c r="J485" s="19" t="s">
        <v>291</v>
      </c>
      <c r="K485" s="19" t="s">
        <v>169</v>
      </c>
      <c r="N485" s="20" t="str">
        <f t="shared" si="47"/>
        <v/>
      </c>
      <c r="O485">
        <f t="shared" si="46"/>
        <v>242</v>
      </c>
      <c r="P485" s="116" t="str">
        <f t="shared" si="48"/>
        <v/>
      </c>
      <c r="Q485" s="13" t="s">
        <v>730</v>
      </c>
    </row>
    <row r="486" spans="1:18" x14ac:dyDescent="0.25">
      <c r="A486" t="s">
        <v>33</v>
      </c>
      <c r="B486" s="142" t="s">
        <v>611</v>
      </c>
      <c r="C486" t="str">
        <f>VLOOKUP(B486,'Planting GPS Points'!$B$3:$L$290,10,FALSE)</f>
        <v>USFWS</v>
      </c>
      <c r="D486" t="str">
        <f>VLOOKUP(B486,'Planting GPS Points'!$B$3:$AL$290,17,FALSE)</f>
        <v>large scale</v>
      </c>
      <c r="E486" s="151">
        <v>42922</v>
      </c>
      <c r="F486" s="179">
        <v>58.25</v>
      </c>
      <c r="G486" s="142">
        <v>5825</v>
      </c>
      <c r="H486" s="12" t="s">
        <v>49</v>
      </c>
      <c r="I486" s="27">
        <v>43573</v>
      </c>
      <c r="J486" s="19" t="s">
        <v>291</v>
      </c>
      <c r="K486" s="19" t="s">
        <v>169</v>
      </c>
      <c r="L486">
        <v>310</v>
      </c>
      <c r="M486">
        <v>58.25</v>
      </c>
      <c r="N486" s="20">
        <f t="shared" si="47"/>
        <v>5.3218884120171674</v>
      </c>
      <c r="O486">
        <f t="shared" si="46"/>
        <v>651</v>
      </c>
      <c r="P486" s="116">
        <f t="shared" si="48"/>
        <v>5.3218884120171672E-2</v>
      </c>
      <c r="Q486" s="144" t="s">
        <v>1525</v>
      </c>
    </row>
    <row r="487" spans="1:18" x14ac:dyDescent="0.25">
      <c r="A487" s="1" t="s">
        <v>33</v>
      </c>
      <c r="B487" s="156" t="s">
        <v>611</v>
      </c>
      <c r="C487" t="str">
        <f>VLOOKUP(B487,'Planting GPS Points'!$B$3:$L$290,10,FALSE)</f>
        <v>USFWS</v>
      </c>
      <c r="D487" t="str">
        <f>VLOOKUP(B487,'Planting GPS Points'!$B$3:$AL$290,17,FALSE)</f>
        <v>large scale</v>
      </c>
      <c r="E487" s="134">
        <v>42922</v>
      </c>
      <c r="F487" s="20">
        <v>58.25</v>
      </c>
      <c r="G487">
        <v>5825</v>
      </c>
      <c r="H487" s="12" t="s">
        <v>49</v>
      </c>
      <c r="I487" s="27">
        <v>44132</v>
      </c>
      <c r="J487" s="19" t="s">
        <v>291</v>
      </c>
      <c r="K487" s="19" t="s">
        <v>169</v>
      </c>
      <c r="L487">
        <v>26</v>
      </c>
      <c r="M487">
        <v>58.25</v>
      </c>
      <c r="N487" s="20">
        <f t="shared" si="47"/>
        <v>0.44635193133047213</v>
      </c>
      <c r="O487">
        <f t="shared" si="46"/>
        <v>1210</v>
      </c>
      <c r="P487" s="116">
        <f t="shared" si="48"/>
        <v>4.4635193133047207E-3</v>
      </c>
      <c r="Q487" s="156" t="s">
        <v>1994</v>
      </c>
    </row>
    <row r="488" spans="1:18" x14ac:dyDescent="0.25">
      <c r="A488" s="34" t="s">
        <v>33</v>
      </c>
      <c r="B488" s="131" t="s">
        <v>612</v>
      </c>
      <c r="C488" t="str">
        <f>VLOOKUP(B488,'Planting GPS Points'!$B$3:$L$290,10,FALSE)</f>
        <v>USFWS</v>
      </c>
      <c r="D488" t="str">
        <f>VLOOKUP(B488,'Planting GPS Points'!$B$3:$AL$290,17,FALSE)</f>
        <v>large scale</v>
      </c>
      <c r="E488" s="134">
        <v>42924</v>
      </c>
      <c r="F488" s="57">
        <v>80</v>
      </c>
      <c r="G488" s="34">
        <v>4000</v>
      </c>
      <c r="H488" s="12" t="s">
        <v>49</v>
      </c>
      <c r="I488" s="27">
        <v>43164</v>
      </c>
      <c r="J488" s="19" t="s">
        <v>291</v>
      </c>
      <c r="K488" s="19" t="s">
        <v>169</v>
      </c>
      <c r="N488" s="20" t="str">
        <f t="shared" si="47"/>
        <v/>
      </c>
      <c r="O488">
        <f t="shared" si="46"/>
        <v>240</v>
      </c>
      <c r="P488" s="116" t="str">
        <f t="shared" si="48"/>
        <v/>
      </c>
      <c r="Q488" s="13" t="s">
        <v>731</v>
      </c>
    </row>
    <row r="489" spans="1:18" x14ac:dyDescent="0.25">
      <c r="A489" t="s">
        <v>33</v>
      </c>
      <c r="B489" s="142" t="s">
        <v>612</v>
      </c>
      <c r="C489" t="str">
        <f>VLOOKUP(B489,'Planting GPS Points'!$B$3:$L$290,10,FALSE)</f>
        <v>USFWS</v>
      </c>
      <c r="D489" t="str">
        <f>VLOOKUP(B489,'Planting GPS Points'!$B$3:$AL$290,17,FALSE)</f>
        <v>large scale</v>
      </c>
      <c r="E489" s="151">
        <v>42924</v>
      </c>
      <c r="F489" s="179">
        <v>40</v>
      </c>
      <c r="G489" s="142">
        <v>4000</v>
      </c>
      <c r="H489" s="12" t="s">
        <v>49</v>
      </c>
      <c r="I489" s="27">
        <v>43573</v>
      </c>
      <c r="J489" s="19" t="s">
        <v>291</v>
      </c>
      <c r="K489" s="19" t="s">
        <v>169</v>
      </c>
      <c r="L489">
        <v>2050</v>
      </c>
      <c r="M489">
        <v>40</v>
      </c>
      <c r="N489" s="20">
        <f t="shared" si="47"/>
        <v>51.25</v>
      </c>
      <c r="O489">
        <f t="shared" si="46"/>
        <v>649</v>
      </c>
      <c r="P489" s="116">
        <f t="shared" si="48"/>
        <v>0.51249999999999996</v>
      </c>
      <c r="Q489" t="s">
        <v>1527</v>
      </c>
    </row>
    <row r="490" spans="1:18" x14ac:dyDescent="0.25">
      <c r="A490" s="1" t="s">
        <v>33</v>
      </c>
      <c r="B490" s="156" t="s">
        <v>612</v>
      </c>
      <c r="C490" t="str">
        <f>VLOOKUP(B490,'Planting GPS Points'!$B$3:$L$290,10,FALSE)</f>
        <v>USFWS</v>
      </c>
      <c r="D490" t="str">
        <f>VLOOKUP(B490,'Planting GPS Points'!$B$3:$AL$290,17,FALSE)</f>
        <v>large scale</v>
      </c>
      <c r="E490" s="134">
        <v>42924</v>
      </c>
      <c r="F490" s="173">
        <v>40</v>
      </c>
      <c r="G490" s="110">
        <v>4000</v>
      </c>
      <c r="H490" s="12" t="s">
        <v>49</v>
      </c>
      <c r="I490" s="27">
        <v>44132</v>
      </c>
      <c r="J490" s="19" t="s">
        <v>291</v>
      </c>
      <c r="K490" s="19" t="s">
        <v>169</v>
      </c>
      <c r="L490">
        <v>1194</v>
      </c>
      <c r="M490">
        <v>40</v>
      </c>
      <c r="N490" s="20">
        <f t="shared" si="47"/>
        <v>29.85</v>
      </c>
      <c r="O490">
        <f t="shared" si="46"/>
        <v>1208</v>
      </c>
      <c r="P490" s="116">
        <f t="shared" si="48"/>
        <v>0.29849999999999999</v>
      </c>
      <c r="Q490" s="156" t="s">
        <v>1995</v>
      </c>
    </row>
    <row r="491" spans="1:18" x14ac:dyDescent="0.25">
      <c r="A491" t="s">
        <v>33</v>
      </c>
      <c r="B491" t="s">
        <v>605</v>
      </c>
      <c r="C491" t="str">
        <f>VLOOKUP(B491,'Planting GPS Points'!$B$3:$L$290,10,FALSE)</f>
        <v>USFWS</v>
      </c>
      <c r="D491" t="str">
        <f>VLOOKUP(B491,'Planting GPS Points'!$B$3:$AL$290,17,FALSE)</f>
        <v>test</v>
      </c>
      <c r="E491" s="27">
        <v>42634</v>
      </c>
      <c r="F491" s="20">
        <v>6.25</v>
      </c>
      <c r="G491">
        <v>500</v>
      </c>
      <c r="H491" s="12" t="s">
        <v>49</v>
      </c>
      <c r="I491" s="27">
        <v>42836</v>
      </c>
      <c r="J491" s="19" t="s">
        <v>291</v>
      </c>
      <c r="K491" s="19" t="s">
        <v>169</v>
      </c>
      <c r="L491" s="19"/>
      <c r="M491" s="19">
        <v>6.25</v>
      </c>
      <c r="N491" s="20">
        <f t="shared" si="47"/>
        <v>0</v>
      </c>
      <c r="O491" s="19">
        <f t="shared" si="46"/>
        <v>202</v>
      </c>
      <c r="P491" s="116" t="str">
        <f t="shared" si="48"/>
        <v/>
      </c>
      <c r="Q491" s="13" t="s">
        <v>755</v>
      </c>
    </row>
    <row r="492" spans="1:18" x14ac:dyDescent="0.25">
      <c r="A492" t="s">
        <v>33</v>
      </c>
      <c r="B492" t="s">
        <v>606</v>
      </c>
      <c r="C492" t="str">
        <f>VLOOKUP(B492,'Planting GPS Points'!$B$3:$L$290,10,FALSE)</f>
        <v>USFWS</v>
      </c>
      <c r="D492" t="str">
        <f>VLOOKUP(B492,'Planting GPS Points'!$B$3:$AL$290,17,FALSE)</f>
        <v>test</v>
      </c>
      <c r="E492" s="27">
        <v>42634</v>
      </c>
      <c r="F492" s="20">
        <v>6.25</v>
      </c>
      <c r="G492">
        <v>500</v>
      </c>
      <c r="H492" s="12" t="s">
        <v>49</v>
      </c>
      <c r="I492" s="27">
        <v>42836</v>
      </c>
      <c r="J492" s="19" t="s">
        <v>291</v>
      </c>
      <c r="K492" s="19" t="s">
        <v>169</v>
      </c>
      <c r="L492">
        <v>28</v>
      </c>
      <c r="M492">
        <v>6.25</v>
      </c>
      <c r="N492" s="20">
        <f t="shared" si="47"/>
        <v>4.4800000000000004</v>
      </c>
      <c r="O492" s="19">
        <f t="shared" si="46"/>
        <v>202</v>
      </c>
      <c r="P492" s="116">
        <f t="shared" si="48"/>
        <v>5.6000000000000001E-2</v>
      </c>
      <c r="Q492" s="13" t="s">
        <v>754</v>
      </c>
    </row>
    <row r="493" spans="1:18" x14ac:dyDescent="0.25">
      <c r="A493" t="s">
        <v>33</v>
      </c>
      <c r="B493" t="s">
        <v>604</v>
      </c>
      <c r="C493" t="str">
        <f>VLOOKUP(B493,'Planting GPS Points'!$B$3:$L$290,10,FALSE)</f>
        <v>USFWS</v>
      </c>
      <c r="D493" t="str">
        <f>VLOOKUP(B493,'Planting GPS Points'!$B$3:$AL$290,17,FALSE)</f>
        <v>test</v>
      </c>
      <c r="E493" s="27">
        <v>42634</v>
      </c>
      <c r="F493" s="20">
        <v>6.25</v>
      </c>
      <c r="G493">
        <v>500</v>
      </c>
      <c r="H493" s="12" t="s">
        <v>49</v>
      </c>
      <c r="I493" s="27">
        <v>42836</v>
      </c>
      <c r="J493" s="19" t="s">
        <v>291</v>
      </c>
      <c r="K493" s="19" t="s">
        <v>169</v>
      </c>
      <c r="L493">
        <v>81</v>
      </c>
      <c r="M493">
        <v>6.25</v>
      </c>
      <c r="N493" s="20">
        <f t="shared" si="47"/>
        <v>12.96</v>
      </c>
      <c r="O493" s="19">
        <f t="shared" si="46"/>
        <v>202</v>
      </c>
      <c r="P493" s="116">
        <f t="shared" si="48"/>
        <v>0.16200000000000001</v>
      </c>
      <c r="Q493" s="13" t="s">
        <v>753</v>
      </c>
      <c r="R493" s="13"/>
    </row>
    <row r="494" spans="1:18" x14ac:dyDescent="0.25">
      <c r="A494" s="1" t="s">
        <v>33</v>
      </c>
      <c r="B494" s="1" t="s">
        <v>607</v>
      </c>
      <c r="C494" t="str">
        <f>VLOOKUP(B494,'Planting GPS Points'!$B$3:$L$290,10,FALSE)</f>
        <v>USFWS</v>
      </c>
      <c r="D494" t="str">
        <f>VLOOKUP(B494,'Planting GPS Points'!$B$3:$AL$290,17,FALSE)</f>
        <v>test</v>
      </c>
      <c r="E494" s="27">
        <v>42634</v>
      </c>
      <c r="F494" s="20">
        <v>6.25</v>
      </c>
      <c r="G494">
        <v>500</v>
      </c>
      <c r="H494" s="12" t="s">
        <v>49</v>
      </c>
      <c r="I494" s="27">
        <v>42835</v>
      </c>
      <c r="J494" s="19" t="s">
        <v>409</v>
      </c>
      <c r="K494" s="19" t="s">
        <v>169</v>
      </c>
      <c r="L494">
        <v>0</v>
      </c>
      <c r="M494">
        <v>6.25</v>
      </c>
      <c r="N494" s="20">
        <f t="shared" si="47"/>
        <v>0</v>
      </c>
      <c r="O494">
        <f t="shared" si="46"/>
        <v>201</v>
      </c>
      <c r="P494" s="116">
        <f t="shared" si="48"/>
        <v>0</v>
      </c>
      <c r="Q494" s="13" t="s">
        <v>752</v>
      </c>
      <c r="R494" s="13"/>
    </row>
    <row r="495" spans="1:18" x14ac:dyDescent="0.25">
      <c r="A495" s="1" t="s">
        <v>33</v>
      </c>
      <c r="B495" s="1" t="s">
        <v>609</v>
      </c>
      <c r="C495" t="str">
        <f>VLOOKUP(B495,'Planting GPS Points'!$B$3:$L$290,10,FALSE)</f>
        <v>USFWS</v>
      </c>
      <c r="D495" t="str">
        <f>VLOOKUP(B495,'Planting GPS Points'!$B$3:$AL$290,17,FALSE)</f>
        <v>test</v>
      </c>
      <c r="E495" s="35">
        <v>42634</v>
      </c>
      <c r="F495" s="57">
        <v>5</v>
      </c>
      <c r="G495" s="1">
        <v>500</v>
      </c>
      <c r="H495" s="12" t="s">
        <v>49</v>
      </c>
      <c r="I495" s="27">
        <v>42835</v>
      </c>
      <c r="J495" s="19" t="s">
        <v>409</v>
      </c>
      <c r="K495" s="19" t="s">
        <v>169</v>
      </c>
      <c r="L495">
        <v>0</v>
      </c>
      <c r="M495" s="34">
        <v>5</v>
      </c>
      <c r="N495" s="20">
        <f t="shared" si="47"/>
        <v>0</v>
      </c>
      <c r="O495">
        <f t="shared" si="46"/>
        <v>201</v>
      </c>
      <c r="P495" s="116">
        <f t="shared" si="48"/>
        <v>0</v>
      </c>
      <c r="Q495" s="13" t="s">
        <v>752</v>
      </c>
      <c r="R495" s="13"/>
    </row>
    <row r="496" spans="1:18" x14ac:dyDescent="0.25">
      <c r="A496" s="1" t="s">
        <v>33</v>
      </c>
      <c r="B496" s="1" t="s">
        <v>608</v>
      </c>
      <c r="C496" t="str">
        <f>VLOOKUP(B496,'Planting GPS Points'!$B$3:$L$290,10,FALSE)</f>
        <v>USFWS</v>
      </c>
      <c r="D496" t="str">
        <f>VLOOKUP(B496,'Planting GPS Points'!$B$3:$AL$290,17,FALSE)</f>
        <v>test</v>
      </c>
      <c r="E496" s="35">
        <v>42634</v>
      </c>
      <c r="F496" s="57">
        <v>5</v>
      </c>
      <c r="G496" s="1">
        <v>500</v>
      </c>
      <c r="H496" s="12" t="s">
        <v>49</v>
      </c>
      <c r="I496" s="27">
        <v>42835</v>
      </c>
      <c r="J496" s="19" t="s">
        <v>409</v>
      </c>
      <c r="K496" s="19" t="s">
        <v>168</v>
      </c>
      <c r="L496">
        <v>0</v>
      </c>
      <c r="M496" s="34">
        <v>5</v>
      </c>
      <c r="N496" s="20">
        <f t="shared" si="47"/>
        <v>0</v>
      </c>
      <c r="O496">
        <f t="shared" si="46"/>
        <v>201</v>
      </c>
      <c r="P496" s="116">
        <f t="shared" si="48"/>
        <v>0</v>
      </c>
      <c r="Q496" s="13" t="s">
        <v>752</v>
      </c>
      <c r="R496" s="13"/>
    </row>
    <row r="497" spans="1:18" x14ac:dyDescent="0.25">
      <c r="A497" s="131" t="s">
        <v>398</v>
      </c>
      <c r="B497" s="131" t="s">
        <v>663</v>
      </c>
      <c r="C497" t="str">
        <f>VLOOKUP(B497,'Planting GPS Points'!$B$3:$L$290,10,FALSE)</f>
        <v>USFWS</v>
      </c>
      <c r="D497" t="str">
        <f>VLOOKUP(B497,'Planting GPS Points'!$B$3:$AL$290,17,FALSE)</f>
        <v>test</v>
      </c>
      <c r="E497" s="132">
        <v>42978</v>
      </c>
      <c r="F497" s="40">
        <v>5.75</v>
      </c>
      <c r="G497" s="131">
        <v>450</v>
      </c>
      <c r="H497" s="12" t="s">
        <v>49</v>
      </c>
      <c r="I497" s="27">
        <v>43167</v>
      </c>
      <c r="J497" s="19" t="s">
        <v>291</v>
      </c>
      <c r="K497" s="19" t="s">
        <v>169</v>
      </c>
      <c r="L497">
        <v>170</v>
      </c>
      <c r="M497" s="131">
        <v>5.75</v>
      </c>
      <c r="N497" s="20">
        <f t="shared" si="47"/>
        <v>29.565217391304348</v>
      </c>
      <c r="O497">
        <f t="shared" si="46"/>
        <v>189</v>
      </c>
      <c r="P497" s="116">
        <f t="shared" si="48"/>
        <v>0.37777777777777777</v>
      </c>
      <c r="Q497" s="137" t="s">
        <v>741</v>
      </c>
    </row>
    <row r="498" spans="1:18" x14ac:dyDescent="0.25">
      <c r="A498" s="131" t="s">
        <v>398</v>
      </c>
      <c r="B498" s="131" t="s">
        <v>663</v>
      </c>
      <c r="C498" t="str">
        <f>VLOOKUP(B498,'Planting GPS Points'!$B$3:$L$290,10,FALSE)</f>
        <v>USFWS</v>
      </c>
      <c r="D498" t="str">
        <f>VLOOKUP(B498,'Planting GPS Points'!$B$3:$AL$290,17,FALSE)</f>
        <v>test</v>
      </c>
      <c r="E498" s="132">
        <v>42978</v>
      </c>
      <c r="F498" s="179" t="str">
        <f>VLOOKUP(B498,PLANTING,26,FALSE)</f>
        <v>rebar</v>
      </c>
      <c r="G498" s="148">
        <f>VLOOKUP(B498,PLANTING,29,FALSE)</f>
        <v>6.25</v>
      </c>
      <c r="H498" s="12" t="s">
        <v>49</v>
      </c>
      <c r="I498" s="27">
        <v>43963</v>
      </c>
      <c r="J498" s="19" t="s">
        <v>291</v>
      </c>
      <c r="K498" s="19" t="s">
        <v>169</v>
      </c>
      <c r="L498">
        <v>0</v>
      </c>
      <c r="M498" s="38">
        <v>4.5</v>
      </c>
      <c r="N498" s="20">
        <f t="shared" si="47"/>
        <v>0</v>
      </c>
      <c r="O498">
        <f t="shared" si="46"/>
        <v>985</v>
      </c>
      <c r="P498" s="223">
        <f t="shared" si="48"/>
        <v>0</v>
      </c>
      <c r="Q498" s="13" t="s">
        <v>1843</v>
      </c>
    </row>
    <row r="499" spans="1:18" x14ac:dyDescent="0.25">
      <c r="A499" s="131" t="s">
        <v>398</v>
      </c>
      <c r="B499" s="131" t="s">
        <v>664</v>
      </c>
      <c r="C499" t="str">
        <f>VLOOKUP(B499,'Planting GPS Points'!$B$3:$L$290,10,FALSE)</f>
        <v>USFWS</v>
      </c>
      <c r="D499" t="str">
        <f>VLOOKUP(B499,'Planting GPS Points'!$B$3:$AL$290,17,FALSE)</f>
        <v>test</v>
      </c>
      <c r="E499" s="132">
        <v>42978</v>
      </c>
      <c r="F499" s="40">
        <v>6.25</v>
      </c>
      <c r="G499" s="131">
        <v>500</v>
      </c>
      <c r="H499" s="12" t="s">
        <v>49</v>
      </c>
      <c r="I499" s="27">
        <v>43167</v>
      </c>
      <c r="J499" s="19" t="s">
        <v>291</v>
      </c>
      <c r="K499" s="19" t="s">
        <v>169</v>
      </c>
      <c r="L499">
        <v>219</v>
      </c>
      <c r="M499" s="131">
        <v>6.25</v>
      </c>
      <c r="N499" s="20">
        <f t="shared" si="47"/>
        <v>35.04</v>
      </c>
      <c r="O499">
        <f t="shared" si="46"/>
        <v>189</v>
      </c>
      <c r="P499" s="116">
        <f t="shared" si="48"/>
        <v>0.438</v>
      </c>
      <c r="Q499" s="13" t="s">
        <v>742</v>
      </c>
    </row>
    <row r="500" spans="1:18" x14ac:dyDescent="0.25">
      <c r="A500" s="131" t="s">
        <v>398</v>
      </c>
      <c r="B500" s="131" t="s">
        <v>664</v>
      </c>
      <c r="C500" t="str">
        <f>VLOOKUP(B500,'Planting GPS Points'!$B$3:$L$290,10,FALSE)</f>
        <v>USFWS</v>
      </c>
      <c r="D500" t="str">
        <f>VLOOKUP(B500,'Planting GPS Points'!$B$3:$AL$290,17,FALSE)</f>
        <v>test</v>
      </c>
      <c r="E500" s="132">
        <v>42978</v>
      </c>
      <c r="F500" s="179" t="str">
        <f>VLOOKUP(B500,PLANTING,26,FALSE)</f>
        <v>rebar</v>
      </c>
      <c r="G500" s="148">
        <f>VLOOKUP(B500,PLANTING,29,FALSE)</f>
        <v>6.25</v>
      </c>
      <c r="H500" s="12" t="s">
        <v>49</v>
      </c>
      <c r="I500" s="27">
        <v>43963</v>
      </c>
      <c r="J500" s="19" t="s">
        <v>291</v>
      </c>
      <c r="K500" s="19" t="s">
        <v>169</v>
      </c>
      <c r="L500">
        <v>18</v>
      </c>
      <c r="M500" s="38">
        <v>5</v>
      </c>
      <c r="N500" s="20">
        <f t="shared" si="47"/>
        <v>3.6</v>
      </c>
      <c r="O500">
        <f t="shared" si="46"/>
        <v>985</v>
      </c>
      <c r="P500" s="223">
        <f t="shared" si="48"/>
        <v>2.88</v>
      </c>
      <c r="Q500" s="13" t="s">
        <v>1844</v>
      </c>
    </row>
    <row r="501" spans="1:18" x14ac:dyDescent="0.25">
      <c r="A501" t="s">
        <v>2041</v>
      </c>
      <c r="B501" t="s">
        <v>2042</v>
      </c>
      <c r="C501" t="str">
        <f>VLOOKUP(B501,'Planting GPS Points'!$B$3:$L$290,10,FALSE)</f>
        <v>King County</v>
      </c>
      <c r="D501" t="str">
        <f>VLOOKUP(B501,'Planting GPS Points'!$B$3:$AL$290,17,FALSE)</f>
        <v>test</v>
      </c>
      <c r="E501" s="27">
        <v>44344</v>
      </c>
      <c r="F501">
        <v>6.75</v>
      </c>
      <c r="G501">
        <v>540</v>
      </c>
      <c r="H501" s="12" t="s">
        <v>165</v>
      </c>
      <c r="I501" s="27">
        <v>44684</v>
      </c>
      <c r="J501" s="19" t="s">
        <v>291</v>
      </c>
      <c r="K501" s="19" t="s">
        <v>169</v>
      </c>
      <c r="L501">
        <v>3</v>
      </c>
      <c r="M501">
        <v>0.25</v>
      </c>
      <c r="N501" s="20">
        <f t="shared" si="47"/>
        <v>12</v>
      </c>
      <c r="O501" s="197">
        <f t="shared" si="46"/>
        <v>340</v>
      </c>
      <c r="P501" s="202">
        <f t="shared" si="48"/>
        <v>5.5555555555555558E-3</v>
      </c>
      <c r="Q501" s="205" t="s">
        <v>2082</v>
      </c>
    </row>
    <row r="502" spans="1:18" x14ac:dyDescent="0.25">
      <c r="A502" s="207" t="s">
        <v>1854</v>
      </c>
      <c r="B502" s="177" t="s">
        <v>2043</v>
      </c>
      <c r="C502" t="str">
        <f>VLOOKUP(B502,'Planting GPS Points'!$B$3:$L$290,10,FALSE)</f>
        <v>King County</v>
      </c>
      <c r="D502" t="str">
        <f>VLOOKUP(B502,'Planting GPS Points'!$B$3:$AL$290,17,FALSE)</f>
        <v>test</v>
      </c>
      <c r="E502" s="210">
        <v>44344</v>
      </c>
      <c r="F502" s="179">
        <v>1</v>
      </c>
      <c r="G502" s="148">
        <v>240</v>
      </c>
      <c r="H502" s="215" t="s">
        <v>165</v>
      </c>
      <c r="I502" s="217">
        <v>44356</v>
      </c>
      <c r="J502" s="218" t="s">
        <v>291</v>
      </c>
      <c r="K502" s="218" t="s">
        <v>169</v>
      </c>
      <c r="L502" s="177"/>
      <c r="M502" s="220"/>
      <c r="N502" s="221"/>
      <c r="O502" s="177">
        <f t="shared" si="46"/>
        <v>12</v>
      </c>
      <c r="P502" s="202" t="str">
        <f t="shared" si="48"/>
        <v/>
      </c>
      <c r="Q502" s="226" t="s">
        <v>2063</v>
      </c>
      <c r="R502" s="177"/>
    </row>
    <row r="503" spans="1:18" x14ac:dyDescent="0.25">
      <c r="A503" s="207" t="s">
        <v>1854</v>
      </c>
      <c r="B503" s="177" t="s">
        <v>2043</v>
      </c>
      <c r="C503" t="str">
        <f>VLOOKUP(B503,'Planting GPS Points'!$B$3:$L$290,10,FALSE)</f>
        <v>King County</v>
      </c>
      <c r="D503" t="str">
        <f>VLOOKUP(B503,'Planting GPS Points'!$B$3:$AL$290,17,FALSE)</f>
        <v>test</v>
      </c>
      <c r="E503" s="210">
        <v>44344</v>
      </c>
      <c r="F503" s="179">
        <v>1</v>
      </c>
      <c r="G503" s="148">
        <v>240</v>
      </c>
      <c r="H503" s="215" t="s">
        <v>165</v>
      </c>
      <c r="I503" s="217">
        <v>44388</v>
      </c>
      <c r="J503" s="218" t="s">
        <v>291</v>
      </c>
      <c r="K503" s="218" t="s">
        <v>169</v>
      </c>
      <c r="L503" s="177"/>
      <c r="M503" s="220"/>
      <c r="N503" s="221"/>
      <c r="O503" s="177">
        <f t="shared" si="46"/>
        <v>44</v>
      </c>
      <c r="P503" s="202" t="str">
        <f t="shared" si="48"/>
        <v/>
      </c>
      <c r="Q503" s="226" t="s">
        <v>2064</v>
      </c>
      <c r="R503" s="177"/>
    </row>
    <row r="504" spans="1:18" x14ac:dyDescent="0.25">
      <c r="A504" s="206" t="s">
        <v>1854</v>
      </c>
      <c r="B504" s="110" t="s">
        <v>2042</v>
      </c>
      <c r="C504" t="str">
        <f>VLOOKUP(B504,'Planting GPS Points'!$B$3:$L$290,10,FALSE)</f>
        <v>King County</v>
      </c>
      <c r="D504" t="str">
        <f>VLOOKUP(B504,'Planting GPS Points'!$B$3:$AL$290,17,FALSE)</f>
        <v>test</v>
      </c>
      <c r="E504" s="213">
        <v>44344</v>
      </c>
      <c r="F504" s="180">
        <v>1.5</v>
      </c>
      <c r="G504" s="170">
        <v>300</v>
      </c>
      <c r="H504" s="171" t="s">
        <v>165</v>
      </c>
      <c r="I504" s="169">
        <v>44356</v>
      </c>
      <c r="J504" s="172" t="s">
        <v>291</v>
      </c>
      <c r="K504" s="172" t="s">
        <v>169</v>
      </c>
      <c r="L504" s="110"/>
      <c r="M504" s="167"/>
      <c r="N504" s="173"/>
      <c r="O504" s="110">
        <f t="shared" si="46"/>
        <v>12</v>
      </c>
      <c r="P504" s="202" t="str">
        <f t="shared" si="48"/>
        <v/>
      </c>
      <c r="Q504" s="168" t="s">
        <v>2063</v>
      </c>
      <c r="R504" s="110"/>
    </row>
    <row r="505" spans="1:18" x14ac:dyDescent="0.25">
      <c r="A505" s="207" t="s">
        <v>1854</v>
      </c>
      <c r="B505" s="177" t="s">
        <v>2042</v>
      </c>
      <c r="C505" t="str">
        <f>VLOOKUP(B505,'Planting GPS Points'!$B$3:$L$290,10,FALSE)</f>
        <v>King County</v>
      </c>
      <c r="D505" t="str">
        <f>VLOOKUP(B505,'Planting GPS Points'!$B$3:$AL$290,17,FALSE)</f>
        <v>test</v>
      </c>
      <c r="E505" s="210">
        <v>44344</v>
      </c>
      <c r="F505" s="179">
        <v>1.5</v>
      </c>
      <c r="G505" s="148">
        <v>300</v>
      </c>
      <c r="H505" s="215" t="s">
        <v>165</v>
      </c>
      <c r="I505" s="217">
        <v>44388</v>
      </c>
      <c r="J505" s="218" t="s">
        <v>291</v>
      </c>
      <c r="K505" s="218" t="s">
        <v>169</v>
      </c>
      <c r="L505" s="177"/>
      <c r="M505" s="220"/>
      <c r="N505" s="221"/>
      <c r="O505" s="177">
        <f t="shared" si="46"/>
        <v>44</v>
      </c>
      <c r="P505" s="202" t="str">
        <f t="shared" si="48"/>
        <v/>
      </c>
      <c r="Q505" s="226" t="s">
        <v>2064</v>
      </c>
      <c r="R505" s="177"/>
    </row>
    <row r="506" spans="1:18" x14ac:dyDescent="0.25">
      <c r="A506" s="207" t="s">
        <v>1854</v>
      </c>
      <c r="B506" t="s">
        <v>2042</v>
      </c>
      <c r="C506" t="str">
        <f>VLOOKUP(B506,'Planting GPS Points'!$B$3:$L$290,10,FALSE)</f>
        <v>King County</v>
      </c>
      <c r="D506" t="str">
        <f>VLOOKUP(B506,'Planting GPS Points'!$B$3:$AL$290,17,FALSE)</f>
        <v>test</v>
      </c>
      <c r="E506" s="27">
        <v>44344</v>
      </c>
      <c r="F506">
        <v>1.5</v>
      </c>
      <c r="G506">
        <v>300</v>
      </c>
      <c r="H506" s="12" t="s">
        <v>165</v>
      </c>
      <c r="I506" s="27">
        <v>44684</v>
      </c>
      <c r="J506" s="19" t="s">
        <v>291</v>
      </c>
      <c r="K506" s="19" t="s">
        <v>169</v>
      </c>
      <c r="O506">
        <f t="shared" si="46"/>
        <v>340</v>
      </c>
      <c r="P506" s="202" t="str">
        <f t="shared" si="48"/>
        <v/>
      </c>
      <c r="Q506" t="s">
        <v>2111</v>
      </c>
    </row>
    <row r="507" spans="1:18" x14ac:dyDescent="0.25">
      <c r="A507" s="207" t="s">
        <v>1854</v>
      </c>
      <c r="B507" t="s">
        <v>2084</v>
      </c>
      <c r="C507" t="str">
        <f>VLOOKUP(B507,'Planting GPS Points'!$B$3:$L$290,10,FALSE)</f>
        <v>King County</v>
      </c>
      <c r="D507" t="str">
        <f>VLOOKUP(B507,'Planting GPS Points'!$B$3:$AL$290,17,FALSE)</f>
        <v>test</v>
      </c>
      <c r="E507" s="27">
        <v>44698</v>
      </c>
      <c r="F507">
        <v>1.5</v>
      </c>
      <c r="G507">
        <v>120</v>
      </c>
      <c r="H507" s="12" t="s">
        <v>165</v>
      </c>
      <c r="I507" s="27">
        <v>44713</v>
      </c>
      <c r="J507" s="19" t="s">
        <v>291</v>
      </c>
      <c r="K507" s="19" t="s">
        <v>169</v>
      </c>
      <c r="O507">
        <f t="shared" si="46"/>
        <v>15</v>
      </c>
      <c r="P507" s="202" t="str">
        <f t="shared" si="48"/>
        <v/>
      </c>
      <c r="Q507" t="s">
        <v>2096</v>
      </c>
    </row>
    <row r="508" spans="1:18" x14ac:dyDescent="0.25">
      <c r="A508" s="207" t="s">
        <v>1854</v>
      </c>
      <c r="B508" t="s">
        <v>2084</v>
      </c>
      <c r="C508" t="str">
        <f>VLOOKUP(B508,'Planting GPS Points'!$B$3:$L$290,10,FALSE)</f>
        <v>King County</v>
      </c>
      <c r="D508" t="str">
        <f>VLOOKUP(B508,'Planting GPS Points'!$B$3:$AL$290,17,FALSE)</f>
        <v>test</v>
      </c>
      <c r="E508" s="27">
        <v>44698</v>
      </c>
      <c r="F508">
        <v>1.5</v>
      </c>
      <c r="G508">
        <v>120</v>
      </c>
      <c r="H508" s="12" t="s">
        <v>165</v>
      </c>
      <c r="I508" s="27">
        <v>44740</v>
      </c>
      <c r="J508" s="19"/>
      <c r="K508" s="19" t="s">
        <v>169</v>
      </c>
      <c r="O508">
        <f t="shared" si="46"/>
        <v>42</v>
      </c>
      <c r="P508" s="202" t="str">
        <f t="shared" si="48"/>
        <v/>
      </c>
      <c r="Q508" t="s">
        <v>2097</v>
      </c>
    </row>
    <row r="509" spans="1:18" x14ac:dyDescent="0.25">
      <c r="A509" s="207" t="s">
        <v>1854</v>
      </c>
      <c r="B509" t="s">
        <v>2084</v>
      </c>
      <c r="C509" t="str">
        <f>VLOOKUP(B509,'Planting GPS Points'!$B$3:$L$290,10,FALSE)</f>
        <v>King County</v>
      </c>
      <c r="D509" t="str">
        <f>VLOOKUP(B509,'Planting GPS Points'!$B$3:$AL$290,17,FALSE)</f>
        <v>test</v>
      </c>
      <c r="E509" s="27">
        <v>44698</v>
      </c>
      <c r="F509">
        <v>1.5</v>
      </c>
      <c r="G509">
        <v>120</v>
      </c>
      <c r="H509" s="12" t="s">
        <v>165</v>
      </c>
      <c r="I509" s="27">
        <v>44782</v>
      </c>
      <c r="J509" s="19" t="s">
        <v>291</v>
      </c>
      <c r="K509" s="19" t="s">
        <v>169</v>
      </c>
      <c r="O509">
        <f t="shared" si="46"/>
        <v>84</v>
      </c>
      <c r="P509" s="202" t="str">
        <f t="shared" si="48"/>
        <v/>
      </c>
      <c r="Q509" t="s">
        <v>2103</v>
      </c>
    </row>
    <row r="510" spans="1:18" x14ac:dyDescent="0.25">
      <c r="A510" s="207" t="s">
        <v>1854</v>
      </c>
      <c r="B510" t="s">
        <v>2084</v>
      </c>
      <c r="C510" t="str">
        <f>VLOOKUP(B510,'Planting GPS Points'!$B$3:$L$290,10,FALSE)</f>
        <v>King County</v>
      </c>
      <c r="D510" t="str">
        <f>VLOOKUP(B510,'Planting GPS Points'!$B$3:$AL$290,17,FALSE)</f>
        <v>test</v>
      </c>
      <c r="E510" s="27">
        <v>44698</v>
      </c>
      <c r="F510">
        <v>1.5</v>
      </c>
      <c r="G510">
        <v>120</v>
      </c>
      <c r="H510" s="12" t="s">
        <v>165</v>
      </c>
      <c r="I510" s="27">
        <v>44813</v>
      </c>
      <c r="J510" s="19" t="s">
        <v>291</v>
      </c>
      <c r="K510" s="19" t="s">
        <v>169</v>
      </c>
      <c r="O510">
        <f t="shared" si="46"/>
        <v>115</v>
      </c>
      <c r="P510" s="202" t="str">
        <f t="shared" si="48"/>
        <v/>
      </c>
      <c r="Q510" t="s">
        <v>2102</v>
      </c>
    </row>
    <row r="511" spans="1:18" x14ac:dyDescent="0.25">
      <c r="A511" s="207" t="s">
        <v>1854</v>
      </c>
      <c r="B511" t="s">
        <v>2084</v>
      </c>
      <c r="C511" t="str">
        <f>VLOOKUP(B511,'Planting GPS Points'!$B$3:$L$290,10,FALSE)</f>
        <v>King County</v>
      </c>
      <c r="D511" t="str">
        <f>VLOOKUP(B511,'Planting GPS Points'!$B$3:$AL$290,17,FALSE)</f>
        <v>test</v>
      </c>
      <c r="E511" s="27">
        <v>44698</v>
      </c>
      <c r="F511">
        <v>1.5</v>
      </c>
      <c r="G511">
        <v>120</v>
      </c>
      <c r="H511" s="12" t="s">
        <v>165</v>
      </c>
      <c r="I511" s="27">
        <v>44756</v>
      </c>
      <c r="J511" s="19" t="s">
        <v>291</v>
      </c>
      <c r="K511" s="19" t="s">
        <v>169</v>
      </c>
      <c r="O511">
        <f t="shared" si="46"/>
        <v>58</v>
      </c>
      <c r="P511" s="202" t="str">
        <f t="shared" si="48"/>
        <v/>
      </c>
      <c r="Q511" t="s">
        <v>2112</v>
      </c>
    </row>
    <row r="512" spans="1:18" x14ac:dyDescent="0.25">
      <c r="A512" s="207" t="s">
        <v>1854</v>
      </c>
      <c r="B512" t="s">
        <v>2084</v>
      </c>
      <c r="C512" t="str">
        <f>VLOOKUP(B512,'Planting GPS Points'!$B$3:$L$290,10,FALSE)</f>
        <v>King County</v>
      </c>
      <c r="D512" t="str">
        <f>VLOOKUP(B512,'Planting GPS Points'!$B$3:$AL$290,17,FALSE)</f>
        <v>test</v>
      </c>
      <c r="E512" s="27">
        <v>44698</v>
      </c>
      <c r="F512">
        <v>1.5</v>
      </c>
      <c r="G512">
        <v>120</v>
      </c>
      <c r="H512" s="12" t="s">
        <v>165</v>
      </c>
      <c r="I512" s="27">
        <v>45039</v>
      </c>
      <c r="J512" s="19" t="s">
        <v>291</v>
      </c>
      <c r="K512" s="19" t="s">
        <v>169</v>
      </c>
      <c r="L512">
        <v>10</v>
      </c>
      <c r="O512">
        <f>I512-E512</f>
        <v>341</v>
      </c>
      <c r="P512" s="202">
        <f t="shared" si="48"/>
        <v>8.3333333333333329E-2</v>
      </c>
      <c r="Q512" t="s">
        <v>2121</v>
      </c>
    </row>
    <row r="513" spans="1:17" x14ac:dyDescent="0.25">
      <c r="A513" s="207" t="s">
        <v>1854</v>
      </c>
      <c r="B513" t="s">
        <v>2083</v>
      </c>
      <c r="C513" t="str">
        <f>VLOOKUP(B513,'Planting GPS Points'!$B$3:$L$290,10,FALSE)</f>
        <v>King County</v>
      </c>
      <c r="D513" t="str">
        <f>VLOOKUP(B513,'Planting GPS Points'!$B$3:$AL$290,17,FALSE)</f>
        <v>test</v>
      </c>
      <c r="E513" s="27">
        <v>44698</v>
      </c>
      <c r="F513">
        <v>7.75</v>
      </c>
      <c r="G513">
        <v>620</v>
      </c>
      <c r="H513" s="12" t="s">
        <v>165</v>
      </c>
      <c r="I513" s="27">
        <v>44713</v>
      </c>
      <c r="J513" s="19" t="s">
        <v>291</v>
      </c>
      <c r="K513" s="19" t="s">
        <v>169</v>
      </c>
      <c r="O513">
        <f t="shared" si="46"/>
        <v>15</v>
      </c>
      <c r="P513" s="202" t="str">
        <f t="shared" si="48"/>
        <v/>
      </c>
      <c r="Q513" t="s">
        <v>2096</v>
      </c>
    </row>
    <row r="514" spans="1:17" x14ac:dyDescent="0.25">
      <c r="A514" s="207" t="s">
        <v>1854</v>
      </c>
      <c r="B514" t="s">
        <v>2083</v>
      </c>
      <c r="C514" t="str">
        <f>VLOOKUP(B514,'Planting GPS Points'!$B$3:$L$290,10,FALSE)</f>
        <v>King County</v>
      </c>
      <c r="D514" t="str">
        <f>VLOOKUP(B514,'Planting GPS Points'!$B$3:$AL$290,17,FALSE)</f>
        <v>test</v>
      </c>
      <c r="E514" s="27">
        <v>44698</v>
      </c>
      <c r="F514">
        <v>7.75</v>
      </c>
      <c r="G514">
        <v>620</v>
      </c>
      <c r="H514" s="12" t="s">
        <v>165</v>
      </c>
      <c r="I514" s="27">
        <v>44740</v>
      </c>
      <c r="J514" s="19"/>
      <c r="K514" s="19" t="s">
        <v>169</v>
      </c>
      <c r="O514">
        <f t="shared" si="46"/>
        <v>42</v>
      </c>
      <c r="P514" s="202" t="str">
        <f t="shared" si="48"/>
        <v/>
      </c>
      <c r="Q514" t="s">
        <v>2097</v>
      </c>
    </row>
    <row r="515" spans="1:17" x14ac:dyDescent="0.25">
      <c r="A515" s="207" t="s">
        <v>1854</v>
      </c>
      <c r="B515" t="s">
        <v>2083</v>
      </c>
      <c r="C515" t="str">
        <f>VLOOKUP(B515,'Planting GPS Points'!$B$3:$L$290,10,FALSE)</f>
        <v>King County</v>
      </c>
      <c r="D515" t="str">
        <f>VLOOKUP(B515,'Planting GPS Points'!$B$3:$AL$290,17,FALSE)</f>
        <v>test</v>
      </c>
      <c r="E515" s="27">
        <v>44698</v>
      </c>
      <c r="F515">
        <v>7.75</v>
      </c>
      <c r="G515">
        <v>620</v>
      </c>
      <c r="H515" s="12" t="s">
        <v>165</v>
      </c>
      <c r="I515" s="27">
        <v>44782</v>
      </c>
      <c r="J515" s="19"/>
      <c r="K515" s="19" t="s">
        <v>169</v>
      </c>
      <c r="O515">
        <f t="shared" ref="O515:O580" si="49">I515-E515</f>
        <v>84</v>
      </c>
      <c r="P515" s="202" t="str">
        <f t="shared" si="48"/>
        <v/>
      </c>
      <c r="Q515" t="s">
        <v>2110</v>
      </c>
    </row>
    <row r="516" spans="1:17" x14ac:dyDescent="0.25">
      <c r="A516" s="207" t="s">
        <v>1854</v>
      </c>
      <c r="B516" t="s">
        <v>2083</v>
      </c>
      <c r="C516" t="str">
        <f>VLOOKUP(B516,'Planting GPS Points'!$B$3:$L$290,10,FALSE)</f>
        <v>King County</v>
      </c>
      <c r="D516" t="str">
        <f>VLOOKUP(B516,'Planting GPS Points'!$B$3:$AL$290,17,FALSE)</f>
        <v>test</v>
      </c>
      <c r="E516" s="27">
        <v>44698</v>
      </c>
      <c r="F516">
        <v>7.75</v>
      </c>
      <c r="G516">
        <v>620</v>
      </c>
      <c r="H516" s="12" t="s">
        <v>165</v>
      </c>
      <c r="I516" s="27">
        <v>44813</v>
      </c>
      <c r="J516" s="19" t="s">
        <v>291</v>
      </c>
      <c r="K516" s="19" t="s">
        <v>169</v>
      </c>
      <c r="O516">
        <f t="shared" si="49"/>
        <v>115</v>
      </c>
      <c r="P516" s="202" t="str">
        <f t="shared" si="48"/>
        <v/>
      </c>
      <c r="Q516" t="s">
        <v>2102</v>
      </c>
    </row>
    <row r="517" spans="1:17" x14ac:dyDescent="0.25">
      <c r="A517" s="207" t="s">
        <v>1854</v>
      </c>
      <c r="B517" t="s">
        <v>2083</v>
      </c>
      <c r="C517" t="str">
        <f>VLOOKUP(B517,'Planting GPS Points'!$B$3:$L$290,10,FALSE)</f>
        <v>King County</v>
      </c>
      <c r="D517" t="str">
        <f>VLOOKUP(B517,'Planting GPS Points'!$B$3:$AL$290,17,FALSE)</f>
        <v>test</v>
      </c>
      <c r="E517" s="27">
        <v>44698</v>
      </c>
      <c r="F517">
        <v>7.75</v>
      </c>
      <c r="G517">
        <v>620</v>
      </c>
      <c r="H517" s="12" t="s">
        <v>165</v>
      </c>
      <c r="I517" s="27">
        <v>44756</v>
      </c>
      <c r="J517" s="19"/>
      <c r="K517" s="19" t="s">
        <v>169</v>
      </c>
      <c r="O517">
        <f t="shared" si="49"/>
        <v>58</v>
      </c>
      <c r="P517" s="202" t="str">
        <f t="shared" si="48"/>
        <v/>
      </c>
      <c r="Q517" t="s">
        <v>2113</v>
      </c>
    </row>
    <row r="518" spans="1:17" x14ac:dyDescent="0.25">
      <c r="A518" s="207" t="s">
        <v>1854</v>
      </c>
      <c r="B518" t="s">
        <v>2083</v>
      </c>
      <c r="C518" t="str">
        <f>VLOOKUP(B518,'Planting GPS Points'!$B$3:$L$290,10,FALSE)</f>
        <v>King County</v>
      </c>
      <c r="D518" t="str">
        <f>VLOOKUP(B518,'Planting GPS Points'!$B$3:$AL$290,17,FALSE)</f>
        <v>test</v>
      </c>
      <c r="E518" s="27">
        <v>44698</v>
      </c>
      <c r="F518">
        <v>7.75</v>
      </c>
      <c r="G518">
        <v>620</v>
      </c>
      <c r="H518" s="12" t="s">
        <v>165</v>
      </c>
      <c r="I518" s="27">
        <v>45039</v>
      </c>
      <c r="J518" s="19" t="s">
        <v>291</v>
      </c>
      <c r="K518" s="19" t="s">
        <v>169</v>
      </c>
      <c r="L518">
        <v>50</v>
      </c>
      <c r="O518">
        <f t="shared" si="49"/>
        <v>341</v>
      </c>
      <c r="P518" s="202">
        <f t="shared" si="48"/>
        <v>8.0645161290322578E-2</v>
      </c>
      <c r="Q518" t="s">
        <v>2122</v>
      </c>
    </row>
    <row r="519" spans="1:17" x14ac:dyDescent="0.25">
      <c r="A519" s="207" t="s">
        <v>1854</v>
      </c>
      <c r="B519" t="s">
        <v>2083</v>
      </c>
      <c r="C519" t="str">
        <f>VLOOKUP(B519,'Planting GPS Points'!$B$3:$L$290,10,FALSE)</f>
        <v>King County</v>
      </c>
      <c r="D519" t="str">
        <f>VLOOKUP(B519,'Planting GPS Points'!$B$3:$AL$290,17,FALSE)</f>
        <v>test</v>
      </c>
      <c r="E519" s="27">
        <v>44698</v>
      </c>
      <c r="F519">
        <v>7.75</v>
      </c>
      <c r="G519">
        <v>620</v>
      </c>
      <c r="H519" s="12" t="s">
        <v>165</v>
      </c>
      <c r="I519" s="27">
        <v>45480</v>
      </c>
      <c r="J519" s="19" t="s">
        <v>291</v>
      </c>
      <c r="K519" s="19" t="s">
        <v>169</v>
      </c>
      <c r="L519">
        <v>8</v>
      </c>
      <c r="O519">
        <f t="shared" si="49"/>
        <v>782</v>
      </c>
      <c r="P519" s="202">
        <f t="shared" si="48"/>
        <v>1.2903225806451613E-2</v>
      </c>
      <c r="Q519" t="s">
        <v>2175</v>
      </c>
    </row>
    <row r="520" spans="1:17" x14ac:dyDescent="0.25">
      <c r="A520" t="s">
        <v>28</v>
      </c>
      <c r="B520" t="s">
        <v>199</v>
      </c>
      <c r="C520" t="str">
        <f>VLOOKUP(B520,'Planting GPS Points'!$B$3:$L$290,10,FALSE)</f>
        <v>DNR</v>
      </c>
      <c r="D520" t="str">
        <f>VLOOKUP(B520,'Planting GPS Points'!$B$3:$AL$290,17,FALSE)</f>
        <v>test</v>
      </c>
      <c r="E520" s="27">
        <v>42053</v>
      </c>
      <c r="F520" s="20">
        <v>25</v>
      </c>
      <c r="G520" s="5">
        <v>500</v>
      </c>
      <c r="H520" s="12" t="s">
        <v>165</v>
      </c>
      <c r="I520" s="27">
        <v>42244</v>
      </c>
      <c r="J520" s="19" t="s">
        <v>409</v>
      </c>
      <c r="K520" s="19" t="s">
        <v>168</v>
      </c>
      <c r="L520">
        <v>0</v>
      </c>
      <c r="N520" s="20" t="str">
        <f>IFERROR(L520/M520, "")</f>
        <v/>
      </c>
      <c r="O520">
        <f t="shared" si="49"/>
        <v>191</v>
      </c>
      <c r="P520" s="223">
        <f t="shared" ref="P520:P533" si="50">IF(L520="", "", L520/G520)</f>
        <v>0</v>
      </c>
      <c r="Q520" s="13" t="s">
        <v>1209</v>
      </c>
    </row>
    <row r="521" spans="1:17" x14ac:dyDescent="0.25">
      <c r="A521" t="s">
        <v>32</v>
      </c>
      <c r="B521" t="s">
        <v>212</v>
      </c>
      <c r="C521" t="str">
        <f>VLOOKUP(B521,'Planting GPS Points'!$B$3:$L$290,10,FALSE)</f>
        <v>WDFW</v>
      </c>
      <c r="D521" t="str">
        <f>VLOOKUP(B521,'Planting GPS Points'!$B$3:$AL$290,17,FALSE)</f>
        <v>test</v>
      </c>
      <c r="E521" s="27">
        <v>42510</v>
      </c>
      <c r="F521" s="20">
        <v>75</v>
      </c>
      <c r="G521" s="38">
        <v>780</v>
      </c>
      <c r="H521" s="12" t="s">
        <v>1213</v>
      </c>
      <c r="I521" s="27">
        <v>42533</v>
      </c>
      <c r="J521" s="19" t="s">
        <v>291</v>
      </c>
      <c r="K521" s="19" t="s">
        <v>171</v>
      </c>
      <c r="N521" s="20" t="str">
        <f>IFERROR(L521/M521, "")</f>
        <v/>
      </c>
      <c r="O521">
        <f t="shared" si="49"/>
        <v>23</v>
      </c>
      <c r="P521" s="223" t="str">
        <f t="shared" si="50"/>
        <v/>
      </c>
      <c r="Q521" s="13" t="s">
        <v>1229</v>
      </c>
    </row>
    <row r="522" spans="1:17" x14ac:dyDescent="0.25">
      <c r="A522" t="s">
        <v>32</v>
      </c>
      <c r="B522" t="s">
        <v>212</v>
      </c>
      <c r="C522" t="str">
        <f>VLOOKUP(B522,'Planting GPS Points'!$B$3:$L$290,10,FALSE)</f>
        <v>WDFW</v>
      </c>
      <c r="D522" t="str">
        <f>VLOOKUP(B522,'Planting GPS Points'!$B$3:$AL$290,17,FALSE)</f>
        <v>test</v>
      </c>
      <c r="E522" s="27">
        <v>42510</v>
      </c>
      <c r="F522" s="20">
        <v>75</v>
      </c>
      <c r="G522" s="38">
        <v>780</v>
      </c>
      <c r="H522" s="12" t="s">
        <v>1213</v>
      </c>
      <c r="I522" s="27">
        <v>42933</v>
      </c>
      <c r="J522" s="19" t="s">
        <v>291</v>
      </c>
      <c r="K522" s="19" t="s">
        <v>171</v>
      </c>
      <c r="L522">
        <v>4</v>
      </c>
      <c r="M522">
        <v>0.1</v>
      </c>
      <c r="N522" s="20">
        <f>IFERROR(L522/M522, "")</f>
        <v>40</v>
      </c>
      <c r="O522">
        <f t="shared" si="49"/>
        <v>423</v>
      </c>
      <c r="P522" s="223">
        <f t="shared" si="50"/>
        <v>5.1282051282051282E-3</v>
      </c>
      <c r="Q522" s="13" t="s">
        <v>1226</v>
      </c>
    </row>
    <row r="523" spans="1:17" x14ac:dyDescent="0.25">
      <c r="A523" t="s">
        <v>7</v>
      </c>
      <c r="B523" t="s">
        <v>616</v>
      </c>
      <c r="C523" t="str">
        <f>VLOOKUP(B523,'Planting GPS Points'!$B$3:$L$290,10,FALSE)</f>
        <v>Ecology</v>
      </c>
      <c r="D523" t="str">
        <f>VLOOKUP(B523,'Planting GPS Points'!$B$3:$AL$290,17,FALSE)</f>
        <v>large scale</v>
      </c>
      <c r="E523" s="27">
        <v>42095</v>
      </c>
      <c r="F523" s="20">
        <v>240</v>
      </c>
      <c r="G523" s="38">
        <v>4800</v>
      </c>
      <c r="H523" s="12" t="s">
        <v>165</v>
      </c>
      <c r="I523" s="27">
        <v>42526</v>
      </c>
      <c r="J523" s="19" t="s">
        <v>409</v>
      </c>
      <c r="K523" s="19" t="s">
        <v>168</v>
      </c>
      <c r="L523">
        <v>0</v>
      </c>
      <c r="N523" s="20"/>
      <c r="O523">
        <f t="shared" si="49"/>
        <v>431</v>
      </c>
      <c r="P523" s="116">
        <f t="shared" si="50"/>
        <v>0</v>
      </c>
      <c r="Q523" s="13" t="s">
        <v>1261</v>
      </c>
    </row>
    <row r="524" spans="1:17" x14ac:dyDescent="0.25">
      <c r="A524" t="s">
        <v>7</v>
      </c>
      <c r="B524" t="s">
        <v>620</v>
      </c>
      <c r="C524" t="str">
        <f>VLOOKUP(B524,'Planting GPS Points'!$B$3:$L$290,10,FALSE)</f>
        <v>Ecology</v>
      </c>
      <c r="D524" t="str">
        <f>VLOOKUP(B524,'Planting GPS Points'!$B$3:$AL$290,17,FALSE)</f>
        <v>large scale</v>
      </c>
      <c r="E524" s="27">
        <v>42095</v>
      </c>
      <c r="F524" s="20">
        <v>320</v>
      </c>
      <c r="G524" s="38">
        <v>6330</v>
      </c>
      <c r="H524" s="12" t="s">
        <v>165</v>
      </c>
      <c r="I524" s="27">
        <v>42526</v>
      </c>
      <c r="J524" s="19" t="s">
        <v>409</v>
      </c>
      <c r="K524" s="19" t="s">
        <v>168</v>
      </c>
      <c r="L524">
        <v>0</v>
      </c>
      <c r="N524" s="20"/>
      <c r="O524">
        <f t="shared" si="49"/>
        <v>431</v>
      </c>
      <c r="P524" s="116">
        <f t="shared" si="50"/>
        <v>0</v>
      </c>
      <c r="Q524" s="13" t="s">
        <v>1261</v>
      </c>
    </row>
    <row r="525" spans="1:17" x14ac:dyDescent="0.25">
      <c r="A525" t="s">
        <v>7</v>
      </c>
      <c r="B525" t="s">
        <v>624</v>
      </c>
      <c r="C525" t="str">
        <f>VLOOKUP(B525,'Planting GPS Points'!$B$3:$L$290,10,FALSE)</f>
        <v>Ecology</v>
      </c>
      <c r="D525" t="str">
        <f>VLOOKUP(B525,'Planting GPS Points'!$B$3:$AL$290,17,FALSE)</f>
        <v>large scale</v>
      </c>
      <c r="E525" s="27">
        <v>42095</v>
      </c>
      <c r="F525" s="20">
        <v>320</v>
      </c>
      <c r="G525" s="38">
        <v>6400</v>
      </c>
      <c r="H525" s="12" t="s">
        <v>165</v>
      </c>
      <c r="I525" s="27">
        <v>42526</v>
      </c>
      <c r="J525" s="19" t="s">
        <v>409</v>
      </c>
      <c r="K525" s="19" t="s">
        <v>168</v>
      </c>
      <c r="L525">
        <v>0</v>
      </c>
      <c r="N525" s="20"/>
      <c r="O525">
        <f t="shared" si="49"/>
        <v>431</v>
      </c>
      <c r="P525" s="116">
        <f t="shared" si="50"/>
        <v>0</v>
      </c>
      <c r="Q525" s="13" t="s">
        <v>1261</v>
      </c>
    </row>
    <row r="526" spans="1:17" x14ac:dyDescent="0.25">
      <c r="A526" t="s">
        <v>7</v>
      </c>
      <c r="B526" t="s">
        <v>628</v>
      </c>
      <c r="C526" t="str">
        <f>VLOOKUP(B526,'Planting GPS Points'!$B$3:$L$290,10,FALSE)</f>
        <v>Ecology</v>
      </c>
      <c r="D526" t="str">
        <f>VLOOKUP(B526,'Planting GPS Points'!$B$3:$AL$290,17,FALSE)</f>
        <v>large scale</v>
      </c>
      <c r="E526" s="27">
        <v>42095</v>
      </c>
      <c r="F526" s="20">
        <v>320</v>
      </c>
      <c r="G526" s="38">
        <v>6372</v>
      </c>
      <c r="H526" s="12" t="s">
        <v>165</v>
      </c>
      <c r="I526" s="27">
        <v>42526</v>
      </c>
      <c r="J526" s="19" t="s">
        <v>409</v>
      </c>
      <c r="K526" s="19" t="s">
        <v>168</v>
      </c>
      <c r="L526">
        <v>0</v>
      </c>
      <c r="N526" s="20"/>
      <c r="O526">
        <f t="shared" si="49"/>
        <v>431</v>
      </c>
      <c r="P526" s="116">
        <f t="shared" si="50"/>
        <v>0</v>
      </c>
      <c r="Q526" s="13" t="s">
        <v>1261</v>
      </c>
    </row>
    <row r="527" spans="1:17" x14ac:dyDescent="0.25">
      <c r="A527" t="s">
        <v>7</v>
      </c>
      <c r="B527" t="s">
        <v>192</v>
      </c>
      <c r="C527" t="str">
        <f>VLOOKUP(B527,'Planting GPS Points'!$B$3:$L$290,10,FALSE)</f>
        <v>Ecology</v>
      </c>
      <c r="D527" t="str">
        <f>VLOOKUP(B527,'Planting GPS Points'!$B$3:$AL$290,17,FALSE)</f>
        <v>test</v>
      </c>
      <c r="E527" s="27">
        <v>41963</v>
      </c>
      <c r="F527" s="20">
        <v>25</v>
      </c>
      <c r="G527">
        <v>500</v>
      </c>
      <c r="H527" s="12" t="s">
        <v>49</v>
      </c>
      <c r="I527" s="27">
        <v>42088</v>
      </c>
      <c r="J527" s="19" t="s">
        <v>291</v>
      </c>
      <c r="K527" s="19" t="s">
        <v>168</v>
      </c>
      <c r="L527">
        <v>50</v>
      </c>
      <c r="M527">
        <v>25</v>
      </c>
      <c r="N527" s="20">
        <f t="shared" ref="N527:N532" si="51">IFERROR(L527/M527, "")</f>
        <v>2</v>
      </c>
      <c r="O527">
        <f t="shared" si="49"/>
        <v>125</v>
      </c>
      <c r="P527" s="116">
        <f t="shared" si="50"/>
        <v>0.1</v>
      </c>
      <c r="Q527" s="13"/>
    </row>
    <row r="528" spans="1:17" x14ac:dyDescent="0.25">
      <c r="A528" t="s">
        <v>7</v>
      </c>
      <c r="B528" t="s">
        <v>193</v>
      </c>
      <c r="C528" t="str">
        <f>VLOOKUP(B528,'Planting GPS Points'!$B$3:$L$290,10,FALSE)</f>
        <v>Ecology</v>
      </c>
      <c r="D528" t="str">
        <f>VLOOKUP(B528,'Planting GPS Points'!$B$3:$AL$290,17,FALSE)</f>
        <v>test</v>
      </c>
      <c r="E528" s="27">
        <v>41962</v>
      </c>
      <c r="F528" s="20">
        <v>25</v>
      </c>
      <c r="G528">
        <v>500</v>
      </c>
      <c r="H528" s="12" t="s">
        <v>49</v>
      </c>
      <c r="I528" s="27">
        <v>42088</v>
      </c>
      <c r="J528" s="19" t="s">
        <v>291</v>
      </c>
      <c r="K528" s="19" t="s">
        <v>168</v>
      </c>
      <c r="L528">
        <v>22</v>
      </c>
      <c r="M528">
        <v>25</v>
      </c>
      <c r="N528" s="20">
        <f t="shared" si="51"/>
        <v>0.88</v>
      </c>
      <c r="O528">
        <f t="shared" si="49"/>
        <v>126</v>
      </c>
      <c r="P528" s="116">
        <f t="shared" si="50"/>
        <v>4.3999999999999997E-2</v>
      </c>
      <c r="Q528" s="13"/>
    </row>
    <row r="529" spans="1:17" x14ac:dyDescent="0.25">
      <c r="A529" t="s">
        <v>7</v>
      </c>
      <c r="B529" t="s">
        <v>194</v>
      </c>
      <c r="C529" t="str">
        <f>VLOOKUP(B529,'Planting GPS Points'!$B$3:$L$290,10,FALSE)</f>
        <v>Ecology</v>
      </c>
      <c r="D529" t="str">
        <f>VLOOKUP(B529,'Planting GPS Points'!$B$3:$AL$290,17,FALSE)</f>
        <v>test</v>
      </c>
      <c r="E529" s="27">
        <v>41962</v>
      </c>
      <c r="F529" s="20">
        <v>25</v>
      </c>
      <c r="G529">
        <v>500</v>
      </c>
      <c r="H529" s="12" t="s">
        <v>49</v>
      </c>
      <c r="I529" s="27">
        <v>42088</v>
      </c>
      <c r="J529" s="19" t="s">
        <v>291</v>
      </c>
      <c r="K529" s="19" t="s">
        <v>168</v>
      </c>
      <c r="L529">
        <v>90</v>
      </c>
      <c r="M529">
        <v>25</v>
      </c>
      <c r="N529" s="20">
        <f t="shared" si="51"/>
        <v>3.6</v>
      </c>
      <c r="O529">
        <f t="shared" si="49"/>
        <v>126</v>
      </c>
      <c r="P529" s="116">
        <f t="shared" si="50"/>
        <v>0.18</v>
      </c>
      <c r="Q529" s="13"/>
    </row>
    <row r="530" spans="1:17" x14ac:dyDescent="0.25">
      <c r="A530" t="s">
        <v>7</v>
      </c>
      <c r="B530" t="s">
        <v>195</v>
      </c>
      <c r="C530" t="str">
        <f>VLOOKUP(B530,'Planting GPS Points'!$B$3:$L$290,10,FALSE)</f>
        <v>Ecology</v>
      </c>
      <c r="D530" t="str">
        <f>VLOOKUP(B530,'Planting GPS Points'!$B$3:$AL$290,17,FALSE)</f>
        <v>test</v>
      </c>
      <c r="E530" s="27">
        <v>41962</v>
      </c>
      <c r="F530" s="20">
        <v>25</v>
      </c>
      <c r="G530">
        <v>500</v>
      </c>
      <c r="H530" s="12" t="s">
        <v>49</v>
      </c>
      <c r="I530" s="27">
        <v>42088</v>
      </c>
      <c r="J530" s="19" t="s">
        <v>291</v>
      </c>
      <c r="K530" s="19" t="s">
        <v>168</v>
      </c>
      <c r="L530">
        <v>4</v>
      </c>
      <c r="M530">
        <v>25</v>
      </c>
      <c r="N530" s="20">
        <f t="shared" si="51"/>
        <v>0.16</v>
      </c>
      <c r="O530">
        <f t="shared" si="49"/>
        <v>126</v>
      </c>
      <c r="P530" s="116">
        <f t="shared" si="50"/>
        <v>8.0000000000000002E-3</v>
      </c>
      <c r="Q530" s="13"/>
    </row>
    <row r="531" spans="1:17" x14ac:dyDescent="0.25">
      <c r="A531" t="s">
        <v>7</v>
      </c>
      <c r="B531" t="s">
        <v>196</v>
      </c>
      <c r="C531" t="str">
        <f>VLOOKUP(B531,'Planting GPS Points'!$B$3:$L$290,10,FALSE)</f>
        <v>Ecology</v>
      </c>
      <c r="D531" t="str">
        <f>VLOOKUP(B531,'Planting GPS Points'!$B$3:$AL$290,17,FALSE)</f>
        <v>test</v>
      </c>
      <c r="E531" s="27">
        <v>41961</v>
      </c>
      <c r="F531" s="20">
        <v>25</v>
      </c>
      <c r="G531">
        <v>500</v>
      </c>
      <c r="H531" s="12" t="s">
        <v>49</v>
      </c>
      <c r="I531" s="27">
        <v>42088</v>
      </c>
      <c r="J531" s="19" t="s">
        <v>291</v>
      </c>
      <c r="K531" s="19" t="s">
        <v>168</v>
      </c>
      <c r="L531">
        <v>23</v>
      </c>
      <c r="M531">
        <v>25</v>
      </c>
      <c r="N531" s="20">
        <f t="shared" si="51"/>
        <v>0.92</v>
      </c>
      <c r="O531">
        <f t="shared" si="49"/>
        <v>127</v>
      </c>
      <c r="P531" s="116">
        <f t="shared" si="50"/>
        <v>4.5999999999999999E-2</v>
      </c>
      <c r="Q531" s="13"/>
    </row>
    <row r="532" spans="1:17" x14ac:dyDescent="0.25">
      <c r="A532" t="s">
        <v>7</v>
      </c>
      <c r="B532" t="s">
        <v>197</v>
      </c>
      <c r="C532" t="str">
        <f>VLOOKUP(B532,'Planting GPS Points'!$B$3:$L$290,10,FALSE)</f>
        <v>Ecology</v>
      </c>
      <c r="D532" t="str">
        <f>VLOOKUP(B532,'Planting GPS Points'!$B$3:$AL$290,17,FALSE)</f>
        <v>test</v>
      </c>
      <c r="E532" s="27">
        <v>41963</v>
      </c>
      <c r="F532" s="20">
        <v>25</v>
      </c>
      <c r="G532">
        <v>500</v>
      </c>
      <c r="H532" s="12" t="s">
        <v>49</v>
      </c>
      <c r="I532" s="27">
        <v>42088</v>
      </c>
      <c r="J532" s="19" t="s">
        <v>291</v>
      </c>
      <c r="K532" s="19" t="s">
        <v>168</v>
      </c>
      <c r="L532">
        <v>29</v>
      </c>
      <c r="M532">
        <v>25</v>
      </c>
      <c r="N532" s="20">
        <f t="shared" si="51"/>
        <v>1.1599999999999999</v>
      </c>
      <c r="O532">
        <f t="shared" si="49"/>
        <v>125</v>
      </c>
      <c r="P532" s="116">
        <f t="shared" si="50"/>
        <v>5.8000000000000003E-2</v>
      </c>
      <c r="Q532" s="13"/>
    </row>
    <row r="533" spans="1:17" x14ac:dyDescent="0.25">
      <c r="A533" t="s">
        <v>380</v>
      </c>
      <c r="B533" s="1" t="s">
        <v>668</v>
      </c>
      <c r="C533" t="str">
        <f>VLOOKUP(B533,'Planting GPS Points'!$B$3:$L$290,10,FALSE)</f>
        <v>USFWS</v>
      </c>
      <c r="D533" t="str">
        <f>VLOOKUP(B533,'Planting GPS Points'!$B$3:$AL$290,17,FALSE)</f>
        <v>test</v>
      </c>
      <c r="E533" s="27">
        <v>43250</v>
      </c>
      <c r="F533" s="20">
        <v>12</v>
      </c>
      <c r="G533">
        <v>600</v>
      </c>
      <c r="H533" s="12" t="s">
        <v>165</v>
      </c>
      <c r="I533" s="27">
        <v>43297</v>
      </c>
      <c r="J533" s="19" t="s">
        <v>291</v>
      </c>
      <c r="K533" s="19" t="s">
        <v>169</v>
      </c>
      <c r="O533">
        <f t="shared" si="49"/>
        <v>47</v>
      </c>
      <c r="P533" s="116" t="str">
        <f t="shared" si="50"/>
        <v/>
      </c>
      <c r="Q533" s="13" t="s">
        <v>1018</v>
      </c>
    </row>
    <row r="534" spans="1:17" x14ac:dyDescent="0.25">
      <c r="A534" t="s">
        <v>380</v>
      </c>
      <c r="B534" s="142" t="s">
        <v>668</v>
      </c>
      <c r="C534" t="str">
        <f>VLOOKUP(B534,'Planting GPS Points'!$B$3:$L$290,10,FALSE)</f>
        <v>USFWS</v>
      </c>
      <c r="D534" t="str">
        <f>VLOOKUP(B534,'Planting GPS Points'!$B$3:$AL$290,17,FALSE)</f>
        <v>test</v>
      </c>
      <c r="E534" s="147">
        <v>43250</v>
      </c>
      <c r="F534" s="178">
        <v>12</v>
      </c>
      <c r="G534" s="143">
        <v>600</v>
      </c>
      <c r="H534" s="12" t="s">
        <v>49</v>
      </c>
      <c r="I534" s="27">
        <v>43570</v>
      </c>
      <c r="J534" s="19" t="s">
        <v>291</v>
      </c>
      <c r="K534" s="19" t="s">
        <v>169</v>
      </c>
      <c r="L534">
        <v>22</v>
      </c>
      <c r="M534" s="143">
        <v>12</v>
      </c>
      <c r="N534" s="20">
        <v>1.8333333333333333</v>
      </c>
      <c r="O534">
        <f t="shared" si="49"/>
        <v>320</v>
      </c>
      <c r="P534" s="116">
        <v>3.6666666666666667E-2</v>
      </c>
      <c r="Q534" s="143" t="s">
        <v>1507</v>
      </c>
    </row>
    <row r="535" spans="1:17" x14ac:dyDescent="0.25">
      <c r="A535" t="s">
        <v>380</v>
      </c>
      <c r="B535" s="1" t="s">
        <v>667</v>
      </c>
      <c r="C535" t="str">
        <f>VLOOKUP(B535,'Planting GPS Points'!$B$3:$L$290,10,FALSE)</f>
        <v>USFWS</v>
      </c>
      <c r="D535" t="str">
        <f>VLOOKUP(B535,'Planting GPS Points'!$B$3:$AL$290,17,FALSE)</f>
        <v>test</v>
      </c>
      <c r="E535" s="27">
        <v>43250</v>
      </c>
      <c r="F535" s="20">
        <v>12</v>
      </c>
      <c r="G535">
        <v>600</v>
      </c>
      <c r="H535" s="12" t="s">
        <v>165</v>
      </c>
      <c r="I535" s="27">
        <v>43297</v>
      </c>
      <c r="J535" s="19" t="s">
        <v>291</v>
      </c>
      <c r="K535" s="19" t="s">
        <v>169</v>
      </c>
      <c r="O535">
        <f t="shared" si="49"/>
        <v>47</v>
      </c>
      <c r="P535" s="116" t="str">
        <f>IF(L535="", "", L535/G535)</f>
        <v/>
      </c>
      <c r="Q535" s="13" t="s">
        <v>1018</v>
      </c>
    </row>
    <row r="536" spans="1:17" x14ac:dyDescent="0.25">
      <c r="A536" t="s">
        <v>380</v>
      </c>
      <c r="B536" s="142" t="s">
        <v>667</v>
      </c>
      <c r="C536" t="str">
        <f>VLOOKUP(B536,'Planting GPS Points'!$B$3:$L$290,10,FALSE)</f>
        <v>USFWS</v>
      </c>
      <c r="D536" t="str">
        <f>VLOOKUP(B536,'Planting GPS Points'!$B$3:$AL$290,17,FALSE)</f>
        <v>test</v>
      </c>
      <c r="E536" s="147">
        <v>43250</v>
      </c>
      <c r="F536" s="178">
        <v>12</v>
      </c>
      <c r="G536" s="143">
        <v>600</v>
      </c>
      <c r="H536" s="12" t="s">
        <v>49</v>
      </c>
      <c r="I536" s="27">
        <v>43570</v>
      </c>
      <c r="J536" s="19" t="s">
        <v>291</v>
      </c>
      <c r="K536" s="19" t="s">
        <v>169</v>
      </c>
      <c r="L536">
        <v>6</v>
      </c>
      <c r="M536" s="143">
        <v>12</v>
      </c>
      <c r="N536" s="20">
        <v>0.5</v>
      </c>
      <c r="O536">
        <f t="shared" si="49"/>
        <v>320</v>
      </c>
      <c r="P536" s="116">
        <v>0.01</v>
      </c>
      <c r="Q536" s="143" t="s">
        <v>1507</v>
      </c>
    </row>
    <row r="537" spans="1:17" x14ac:dyDescent="0.25">
      <c r="A537" t="s">
        <v>380</v>
      </c>
      <c r="B537" s="1" t="s">
        <v>669</v>
      </c>
      <c r="C537" t="str">
        <f>VLOOKUP(B537,'Planting GPS Points'!$B$3:$L$290,10,FALSE)</f>
        <v>USFWS</v>
      </c>
      <c r="D537" t="str">
        <f>VLOOKUP(B537,'Planting GPS Points'!$B$3:$AL$290,17,FALSE)</f>
        <v>test</v>
      </c>
      <c r="E537" s="27">
        <v>43252</v>
      </c>
      <c r="F537" s="20">
        <v>12</v>
      </c>
      <c r="G537">
        <v>600</v>
      </c>
      <c r="H537" s="12" t="s">
        <v>165</v>
      </c>
      <c r="I537" s="27">
        <v>43297</v>
      </c>
      <c r="J537" s="19" t="s">
        <v>291</v>
      </c>
      <c r="K537" s="19" t="s">
        <v>169</v>
      </c>
      <c r="O537">
        <f t="shared" si="49"/>
        <v>45</v>
      </c>
      <c r="P537" s="116" t="str">
        <f>IF(L537="", "", L537/G537)</f>
        <v/>
      </c>
      <c r="Q537" s="13" t="s">
        <v>1068</v>
      </c>
    </row>
    <row r="538" spans="1:17" x14ac:dyDescent="0.25">
      <c r="A538" t="s">
        <v>380</v>
      </c>
      <c r="B538" s="142" t="s">
        <v>669</v>
      </c>
      <c r="C538" t="str">
        <f>VLOOKUP(B538,'Planting GPS Points'!$B$3:$L$290,10,FALSE)</f>
        <v>USFWS</v>
      </c>
      <c r="D538" t="str">
        <f>VLOOKUP(B538,'Planting GPS Points'!$B$3:$AL$290,17,FALSE)</f>
        <v>test</v>
      </c>
      <c r="E538" s="147">
        <v>43252</v>
      </c>
      <c r="F538" s="178">
        <v>12</v>
      </c>
      <c r="G538" s="143">
        <v>600</v>
      </c>
      <c r="H538" s="12" t="s">
        <v>49</v>
      </c>
      <c r="I538" s="27">
        <v>43570</v>
      </c>
      <c r="J538" s="19" t="s">
        <v>291</v>
      </c>
      <c r="K538" s="19" t="s">
        <v>169</v>
      </c>
      <c r="L538">
        <v>7</v>
      </c>
      <c r="M538" s="143">
        <v>12</v>
      </c>
      <c r="N538" s="20">
        <v>0.58333333333333337</v>
      </c>
      <c r="O538">
        <f t="shared" si="49"/>
        <v>318</v>
      </c>
      <c r="P538" s="116">
        <v>1.1666666666666667E-2</v>
      </c>
      <c r="Q538" s="143" t="s">
        <v>1507</v>
      </c>
    </row>
    <row r="539" spans="1:17" x14ac:dyDescent="0.25">
      <c r="A539" t="s">
        <v>380</v>
      </c>
      <c r="B539" s="1" t="s">
        <v>671</v>
      </c>
      <c r="C539" t="str">
        <f>VLOOKUP(B539,'Planting GPS Points'!$B$3:$L$290,10,FALSE)</f>
        <v>USFWS</v>
      </c>
      <c r="D539" t="str">
        <f>VLOOKUP(B539,'Planting GPS Points'!$B$3:$AL$290,17,FALSE)</f>
        <v>test</v>
      </c>
      <c r="E539" s="27">
        <v>43252</v>
      </c>
      <c r="F539" s="20">
        <v>12</v>
      </c>
      <c r="G539">
        <v>600</v>
      </c>
      <c r="H539" s="12" t="s">
        <v>165</v>
      </c>
      <c r="I539" s="27">
        <v>43297</v>
      </c>
      <c r="J539" s="19" t="s">
        <v>291</v>
      </c>
      <c r="K539" s="19" t="s">
        <v>169</v>
      </c>
      <c r="O539">
        <f t="shared" si="49"/>
        <v>45</v>
      </c>
      <c r="P539" s="116" t="str">
        <f>IF(L539="", "", L539/G539)</f>
        <v/>
      </c>
      <c r="Q539" s="13" t="s">
        <v>1014</v>
      </c>
    </row>
    <row r="540" spans="1:17" x14ac:dyDescent="0.25">
      <c r="A540" t="s">
        <v>380</v>
      </c>
      <c r="B540" s="142" t="s">
        <v>671</v>
      </c>
      <c r="C540" t="str">
        <f>VLOOKUP(B540,'Planting GPS Points'!$B$3:$L$290,10,FALSE)</f>
        <v>USFWS</v>
      </c>
      <c r="D540" t="str">
        <f>VLOOKUP(B540,'Planting GPS Points'!$B$3:$AL$290,17,FALSE)</f>
        <v>test</v>
      </c>
      <c r="E540" s="147">
        <v>43252</v>
      </c>
      <c r="F540" s="178">
        <v>12</v>
      </c>
      <c r="G540" s="143">
        <v>600</v>
      </c>
      <c r="H540" s="12" t="s">
        <v>49</v>
      </c>
      <c r="I540" s="27">
        <v>43570</v>
      </c>
      <c r="J540" s="19" t="s">
        <v>409</v>
      </c>
      <c r="K540" s="19" t="s">
        <v>169</v>
      </c>
      <c r="L540">
        <v>0</v>
      </c>
      <c r="M540" s="143">
        <v>12</v>
      </c>
      <c r="N540" s="20">
        <v>0</v>
      </c>
      <c r="O540">
        <f t="shared" si="49"/>
        <v>318</v>
      </c>
      <c r="P540" s="116">
        <v>0</v>
      </c>
      <c r="Q540" s="143" t="s">
        <v>1507</v>
      </c>
    </row>
    <row r="541" spans="1:17" x14ac:dyDescent="0.25">
      <c r="A541" t="s">
        <v>380</v>
      </c>
      <c r="B541" s="1" t="s">
        <v>670</v>
      </c>
      <c r="C541" t="str">
        <f>VLOOKUP(B541,'Planting GPS Points'!$B$3:$L$290,10,FALSE)</f>
        <v>USFWS</v>
      </c>
      <c r="D541" t="str">
        <f>VLOOKUP(B541,'Planting GPS Points'!$B$3:$AL$290,17,FALSE)</f>
        <v>test</v>
      </c>
      <c r="E541" s="27">
        <v>43252</v>
      </c>
      <c r="F541" s="20">
        <v>12</v>
      </c>
      <c r="G541">
        <v>600</v>
      </c>
      <c r="H541" s="12" t="s">
        <v>165</v>
      </c>
      <c r="I541" s="27">
        <v>43297</v>
      </c>
      <c r="J541" s="19" t="s">
        <v>291</v>
      </c>
      <c r="K541" s="19" t="s">
        <v>169</v>
      </c>
      <c r="O541">
        <f t="shared" si="49"/>
        <v>45</v>
      </c>
      <c r="P541" s="116" t="str">
        <f>IF(L541="", "", L541/G541)</f>
        <v/>
      </c>
      <c r="Q541" s="13" t="s">
        <v>1014</v>
      </c>
    </row>
    <row r="542" spans="1:17" x14ac:dyDescent="0.25">
      <c r="A542" t="s">
        <v>380</v>
      </c>
      <c r="B542" s="142" t="s">
        <v>670</v>
      </c>
      <c r="C542" t="str">
        <f>VLOOKUP(B542,'Planting GPS Points'!$B$3:$L$290,10,FALSE)</f>
        <v>USFWS</v>
      </c>
      <c r="D542" t="str">
        <f>VLOOKUP(B542,'Planting GPS Points'!$B$3:$AL$290,17,FALSE)</f>
        <v>test</v>
      </c>
      <c r="E542" s="147">
        <v>43252</v>
      </c>
      <c r="F542" s="178">
        <v>12</v>
      </c>
      <c r="G542" s="143">
        <v>600</v>
      </c>
      <c r="H542" s="12" t="s">
        <v>49</v>
      </c>
      <c r="I542" s="27">
        <v>43570</v>
      </c>
      <c r="J542" s="19" t="s">
        <v>409</v>
      </c>
      <c r="K542" s="19" t="s">
        <v>169</v>
      </c>
      <c r="L542">
        <v>1</v>
      </c>
      <c r="M542" s="143">
        <v>12</v>
      </c>
      <c r="N542" s="20">
        <v>8.3333333333333329E-2</v>
      </c>
      <c r="O542">
        <f t="shared" si="49"/>
        <v>318</v>
      </c>
      <c r="P542" s="116">
        <v>1.6666666666666668E-3</v>
      </c>
      <c r="Q542" s="143" t="s">
        <v>1507</v>
      </c>
    </row>
    <row r="543" spans="1:17" x14ac:dyDescent="0.25">
      <c r="A543" t="s">
        <v>380</v>
      </c>
      <c r="B543" s="1" t="s">
        <v>673</v>
      </c>
      <c r="C543" t="str">
        <f>VLOOKUP(B543,'Planting GPS Points'!$B$3:$L$290,10,FALSE)</f>
        <v>USFWS</v>
      </c>
      <c r="D543" t="str">
        <f>VLOOKUP(B543,'Planting GPS Points'!$B$3:$AL$290,17,FALSE)</f>
        <v>test</v>
      </c>
      <c r="E543" s="27">
        <v>43250</v>
      </c>
      <c r="F543" s="20">
        <v>12</v>
      </c>
      <c r="G543">
        <v>600</v>
      </c>
      <c r="H543" s="12" t="s">
        <v>165</v>
      </c>
      <c r="I543" s="27">
        <v>43297</v>
      </c>
      <c r="J543" s="19" t="s">
        <v>291</v>
      </c>
      <c r="K543" s="19" t="s">
        <v>169</v>
      </c>
      <c r="O543">
        <f t="shared" si="49"/>
        <v>47</v>
      </c>
      <c r="P543" s="116" t="str">
        <f>IF(L543="", "", L543/G543)</f>
        <v/>
      </c>
      <c r="Q543" s="13" t="s">
        <v>1015</v>
      </c>
    </row>
    <row r="544" spans="1:17" x14ac:dyDescent="0.25">
      <c r="A544" t="s">
        <v>380</v>
      </c>
      <c r="B544" s="142" t="s">
        <v>673</v>
      </c>
      <c r="C544" t="str">
        <f>VLOOKUP(B544,'Planting GPS Points'!$B$3:$L$290,10,FALSE)</f>
        <v>USFWS</v>
      </c>
      <c r="D544" t="str">
        <f>VLOOKUP(B544,'Planting GPS Points'!$B$3:$AL$290,17,FALSE)</f>
        <v>test</v>
      </c>
      <c r="E544" s="147">
        <v>43250</v>
      </c>
      <c r="F544" s="178">
        <v>12</v>
      </c>
      <c r="G544" s="143">
        <v>600</v>
      </c>
      <c r="H544" s="12" t="s">
        <v>49</v>
      </c>
      <c r="I544" s="27">
        <v>43571</v>
      </c>
      <c r="J544" s="19" t="s">
        <v>291</v>
      </c>
      <c r="K544" s="19" t="s">
        <v>169</v>
      </c>
      <c r="L544">
        <v>24</v>
      </c>
      <c r="M544" s="143">
        <v>12</v>
      </c>
      <c r="N544" s="20">
        <v>2</v>
      </c>
      <c r="O544">
        <f t="shared" si="49"/>
        <v>321</v>
      </c>
      <c r="P544" s="116">
        <v>0.04</v>
      </c>
      <c r="Q544" s="143" t="s">
        <v>1508</v>
      </c>
    </row>
    <row r="545" spans="1:17" x14ac:dyDescent="0.25">
      <c r="A545" t="s">
        <v>380</v>
      </c>
      <c r="B545" s="1" t="s">
        <v>672</v>
      </c>
      <c r="C545" t="str">
        <f>VLOOKUP(B545,'Planting GPS Points'!$B$3:$L$290,10,FALSE)</f>
        <v>USFWS</v>
      </c>
      <c r="D545" t="str">
        <f>VLOOKUP(B545,'Planting GPS Points'!$B$3:$AL$290,17,FALSE)</f>
        <v>test</v>
      </c>
      <c r="E545" s="27">
        <v>43250</v>
      </c>
      <c r="F545" s="20">
        <v>12</v>
      </c>
      <c r="G545">
        <v>600</v>
      </c>
      <c r="H545" s="12" t="s">
        <v>165</v>
      </c>
      <c r="I545" s="27">
        <v>43297</v>
      </c>
      <c r="J545" s="19" t="s">
        <v>291</v>
      </c>
      <c r="K545" s="19" t="s">
        <v>169</v>
      </c>
      <c r="O545">
        <f t="shared" si="49"/>
        <v>47</v>
      </c>
      <c r="P545" s="116" t="str">
        <f>IF(L545="", "", L545/G545)</f>
        <v/>
      </c>
      <c r="Q545" s="13" t="s">
        <v>1015</v>
      </c>
    </row>
    <row r="546" spans="1:17" x14ac:dyDescent="0.25">
      <c r="A546" t="s">
        <v>380</v>
      </c>
      <c r="B546" s="142" t="s">
        <v>672</v>
      </c>
      <c r="C546" t="str">
        <f>VLOOKUP(B546,'Planting GPS Points'!$B$3:$L$290,10,FALSE)</f>
        <v>USFWS</v>
      </c>
      <c r="D546" t="str">
        <f>VLOOKUP(B546,'Planting GPS Points'!$B$3:$AL$290,17,FALSE)</f>
        <v>test</v>
      </c>
      <c r="E546" s="147">
        <v>43250</v>
      </c>
      <c r="F546" s="178">
        <v>12</v>
      </c>
      <c r="G546" s="143">
        <v>600</v>
      </c>
      <c r="H546" s="12" t="s">
        <v>49</v>
      </c>
      <c r="I546" s="27">
        <v>43571</v>
      </c>
      <c r="J546" s="19" t="s">
        <v>291</v>
      </c>
      <c r="K546" s="19" t="s">
        <v>169</v>
      </c>
      <c r="L546">
        <v>7</v>
      </c>
      <c r="M546" s="143">
        <v>12</v>
      </c>
      <c r="N546" s="20">
        <v>0.58333333333333337</v>
      </c>
      <c r="O546">
        <f t="shared" si="49"/>
        <v>321</v>
      </c>
      <c r="P546" s="116">
        <v>1.1666666666666667E-2</v>
      </c>
      <c r="Q546" s="143" t="s">
        <v>1509</v>
      </c>
    </row>
    <row r="547" spans="1:17" x14ac:dyDescent="0.25">
      <c r="A547" t="s">
        <v>380</v>
      </c>
      <c r="B547" s="1" t="s">
        <v>2037</v>
      </c>
      <c r="C547" t="str">
        <f>VLOOKUP(B547,'Planting GPS Points'!$B$3:$L$290,10,FALSE)</f>
        <v>King County</v>
      </c>
      <c r="D547" t="str">
        <f>VLOOKUP(B547,'Planting GPS Points'!$B$3:$AL$290,17,FALSE)</f>
        <v>test</v>
      </c>
      <c r="E547" s="27">
        <v>44329</v>
      </c>
      <c r="F547" s="20">
        <v>3</v>
      </c>
      <c r="G547" s="38">
        <v>240</v>
      </c>
      <c r="H547" s="12" t="s">
        <v>165</v>
      </c>
      <c r="I547" s="27">
        <v>44342</v>
      </c>
      <c r="J547" s="19" t="s">
        <v>409</v>
      </c>
      <c r="K547" s="19" t="s">
        <v>169</v>
      </c>
      <c r="L547">
        <v>0</v>
      </c>
      <c r="M547" s="143"/>
      <c r="N547" s="20"/>
      <c r="O547">
        <f t="shared" si="49"/>
        <v>13</v>
      </c>
      <c r="P547" s="116">
        <v>1.6666666666666668E-3</v>
      </c>
      <c r="Q547" s="143" t="s">
        <v>2047</v>
      </c>
    </row>
    <row r="548" spans="1:17" x14ac:dyDescent="0.25">
      <c r="A548" t="s">
        <v>380</v>
      </c>
      <c r="B548" s="1" t="s">
        <v>2037</v>
      </c>
      <c r="C548" t="str">
        <f>VLOOKUP(B548,'Planting GPS Points'!$B$3:$L$290,10,FALSE)</f>
        <v>King County</v>
      </c>
      <c r="D548" t="str">
        <f>VLOOKUP(B548,'Planting GPS Points'!$B$3:$AL$290,17,FALSE)</f>
        <v>test</v>
      </c>
      <c r="E548" s="27">
        <v>44330</v>
      </c>
      <c r="F548" s="20">
        <v>3.75</v>
      </c>
      <c r="G548" s="38">
        <v>375</v>
      </c>
      <c r="H548" s="12" t="s">
        <v>165</v>
      </c>
      <c r="I548" s="27">
        <v>44342</v>
      </c>
      <c r="J548" s="19" t="s">
        <v>409</v>
      </c>
      <c r="K548" s="19" t="s">
        <v>169</v>
      </c>
      <c r="L548">
        <v>0</v>
      </c>
      <c r="M548" s="143"/>
      <c r="N548" s="20"/>
      <c r="O548">
        <f t="shared" si="49"/>
        <v>12</v>
      </c>
      <c r="P548" s="116">
        <v>1.6666666666666668E-3</v>
      </c>
      <c r="Q548" s="143" t="s">
        <v>2047</v>
      </c>
    </row>
    <row r="549" spans="1:17" x14ac:dyDescent="0.25">
      <c r="A549" t="s">
        <v>380</v>
      </c>
      <c r="B549" s="1" t="s">
        <v>2037</v>
      </c>
      <c r="C549" t="str">
        <f>VLOOKUP(B549,'Planting GPS Points'!$B$3:$L$290,10,FALSE)</f>
        <v>King County</v>
      </c>
      <c r="D549" t="str">
        <f>VLOOKUP(B549,'Planting GPS Points'!$B$3:$AL$290,17,FALSE)</f>
        <v>test</v>
      </c>
      <c r="E549" s="27">
        <v>44330</v>
      </c>
      <c r="F549" s="20"/>
      <c r="G549" s="38">
        <v>375</v>
      </c>
      <c r="H549" s="12" t="s">
        <v>165</v>
      </c>
      <c r="I549" s="27">
        <v>44373</v>
      </c>
      <c r="J549" s="19" t="s">
        <v>409</v>
      </c>
      <c r="K549" s="19" t="s">
        <v>169</v>
      </c>
      <c r="L549">
        <v>0</v>
      </c>
      <c r="M549" s="143"/>
      <c r="N549" s="20"/>
      <c r="O549">
        <f t="shared" si="49"/>
        <v>43</v>
      </c>
      <c r="P549" s="116">
        <v>1.6666666666666668E-3</v>
      </c>
      <c r="Q549" s="143" t="s">
        <v>2065</v>
      </c>
    </row>
    <row r="550" spans="1:17" x14ac:dyDescent="0.25">
      <c r="A550" t="s">
        <v>380</v>
      </c>
      <c r="B550" s="1" t="s">
        <v>2087</v>
      </c>
      <c r="C550" t="str">
        <f>VLOOKUP(B550,'Planting GPS Points'!$B$3:$L$290,10,FALSE)</f>
        <v>King County</v>
      </c>
      <c r="D550" t="str">
        <f>VLOOKUP(B550,'Planting GPS Points'!$B$3:$AL$290,17,FALSE)</f>
        <v>test</v>
      </c>
      <c r="E550" s="27">
        <v>44700</v>
      </c>
      <c r="F550">
        <v>0.75</v>
      </c>
      <c r="G550">
        <v>75</v>
      </c>
      <c r="H550" s="12" t="s">
        <v>165</v>
      </c>
      <c r="I550" s="27">
        <v>44712</v>
      </c>
      <c r="J550" s="19" t="s">
        <v>409</v>
      </c>
      <c r="K550" s="19" t="s">
        <v>2088</v>
      </c>
      <c r="O550">
        <f t="shared" si="49"/>
        <v>12</v>
      </c>
      <c r="Q550" t="s">
        <v>2114</v>
      </c>
    </row>
    <row r="551" spans="1:17" x14ac:dyDescent="0.25">
      <c r="A551" t="s">
        <v>380</v>
      </c>
      <c r="B551" s="1" t="s">
        <v>2038</v>
      </c>
      <c r="C551" t="str">
        <f>VLOOKUP(B551,'Planting GPS Points'!$B$3:$L$290,10,FALSE)</f>
        <v>King County</v>
      </c>
      <c r="D551" t="str">
        <f>VLOOKUP(B551,'Planting GPS Points'!$B$3:$AL$290,17,FALSE)</f>
        <v>test</v>
      </c>
      <c r="E551" s="27">
        <v>44329</v>
      </c>
      <c r="F551" s="20">
        <v>2.25</v>
      </c>
      <c r="G551" s="38">
        <v>180</v>
      </c>
      <c r="H551" s="12" t="s">
        <v>165</v>
      </c>
      <c r="I551" s="27">
        <v>44342</v>
      </c>
      <c r="J551" s="19" t="s">
        <v>409</v>
      </c>
      <c r="K551" s="19" t="s">
        <v>169</v>
      </c>
      <c r="L551">
        <v>0</v>
      </c>
      <c r="M551" s="143"/>
      <c r="N551" s="20"/>
      <c r="O551">
        <f t="shared" si="49"/>
        <v>13</v>
      </c>
      <c r="P551" s="116">
        <v>1.6666666666666668E-3</v>
      </c>
      <c r="Q551" s="143" t="s">
        <v>2048</v>
      </c>
    </row>
    <row r="552" spans="1:17" x14ac:dyDescent="0.25">
      <c r="A552" t="s">
        <v>380</v>
      </c>
      <c r="B552" s="1" t="s">
        <v>2038</v>
      </c>
      <c r="C552" t="str">
        <f>VLOOKUP(B552,'Planting GPS Points'!$B$3:$L$290,10,FALSE)</f>
        <v>King County</v>
      </c>
      <c r="D552" t="str">
        <f>VLOOKUP(B552,'Planting GPS Points'!$B$3:$AL$290,17,FALSE)</f>
        <v>test</v>
      </c>
      <c r="E552" s="27">
        <v>44330</v>
      </c>
      <c r="F552" s="20">
        <v>2.25</v>
      </c>
      <c r="G552" s="38">
        <v>180</v>
      </c>
      <c r="H552" s="12" t="s">
        <v>165</v>
      </c>
      <c r="I552" s="27">
        <v>44342</v>
      </c>
      <c r="J552" s="19" t="s">
        <v>409</v>
      </c>
      <c r="K552" s="19" t="s">
        <v>169</v>
      </c>
      <c r="L552">
        <v>0</v>
      </c>
      <c r="M552" s="143"/>
      <c r="N552" s="20"/>
      <c r="O552">
        <f t="shared" si="49"/>
        <v>12</v>
      </c>
      <c r="P552" s="116">
        <v>1.6666666666666668E-3</v>
      </c>
      <c r="Q552" s="143" t="s">
        <v>2048</v>
      </c>
    </row>
    <row r="553" spans="1:17" x14ac:dyDescent="0.25">
      <c r="A553" t="s">
        <v>380</v>
      </c>
      <c r="B553" s="1" t="s">
        <v>675</v>
      </c>
      <c r="C553" t="str">
        <f>VLOOKUP(B553,'Planting GPS Points'!$B$3:$L$290,10,FALSE)</f>
        <v>USFWS</v>
      </c>
      <c r="D553" t="str">
        <f>VLOOKUP(B553,'Planting GPS Points'!$B$3:$AL$290,17,FALSE)</f>
        <v>test</v>
      </c>
      <c r="E553" s="27">
        <v>43251</v>
      </c>
      <c r="F553" s="20">
        <v>12</v>
      </c>
      <c r="G553">
        <v>600</v>
      </c>
      <c r="H553" s="12" t="s">
        <v>165</v>
      </c>
      <c r="I553" s="27">
        <v>43297</v>
      </c>
      <c r="J553" s="19" t="s">
        <v>291</v>
      </c>
      <c r="K553" s="19" t="s">
        <v>169</v>
      </c>
      <c r="O553">
        <f t="shared" si="49"/>
        <v>46</v>
      </c>
      <c r="P553" s="116" t="str">
        <f>IF(L553="", "", L553/G553)</f>
        <v/>
      </c>
      <c r="Q553" s="13" t="s">
        <v>1017</v>
      </c>
    </row>
    <row r="554" spans="1:17" x14ac:dyDescent="0.25">
      <c r="A554" t="s">
        <v>380</v>
      </c>
      <c r="B554" s="142" t="s">
        <v>675</v>
      </c>
      <c r="C554" t="str">
        <f>VLOOKUP(B554,'Planting GPS Points'!$B$3:$L$290,10,FALSE)</f>
        <v>USFWS</v>
      </c>
      <c r="D554" t="str">
        <f>VLOOKUP(B554,'Planting GPS Points'!$B$3:$AL$290,17,FALSE)</f>
        <v>test</v>
      </c>
      <c r="E554" s="147">
        <v>43251</v>
      </c>
      <c r="F554" s="178">
        <v>12</v>
      </c>
      <c r="G554" s="143">
        <v>600</v>
      </c>
      <c r="H554" s="12" t="s">
        <v>49</v>
      </c>
      <c r="I554" s="27">
        <v>43571</v>
      </c>
      <c r="J554" s="19" t="s">
        <v>409</v>
      </c>
      <c r="K554" s="19" t="s">
        <v>169</v>
      </c>
      <c r="L554">
        <v>0</v>
      </c>
      <c r="M554" s="143">
        <v>12</v>
      </c>
      <c r="N554" s="20">
        <v>0</v>
      </c>
      <c r="O554">
        <f t="shared" si="49"/>
        <v>320</v>
      </c>
      <c r="P554" s="116">
        <v>0</v>
      </c>
      <c r="Q554" s="143" t="s">
        <v>1510</v>
      </c>
    </row>
    <row r="555" spans="1:17" x14ac:dyDescent="0.25">
      <c r="A555" t="s">
        <v>380</v>
      </c>
      <c r="B555" s="1" t="s">
        <v>674</v>
      </c>
      <c r="C555" t="str">
        <f>VLOOKUP(B555,'Planting GPS Points'!$B$3:$L$290,10,FALSE)</f>
        <v>USFWS</v>
      </c>
      <c r="D555" t="str">
        <f>VLOOKUP(B555,'Planting GPS Points'!$B$3:$AL$290,17,FALSE)</f>
        <v>test</v>
      </c>
      <c r="E555" s="27">
        <v>43251</v>
      </c>
      <c r="F555" s="20">
        <v>12</v>
      </c>
      <c r="G555">
        <v>600</v>
      </c>
      <c r="H555" s="12" t="s">
        <v>165</v>
      </c>
      <c r="I555" s="27">
        <v>43297</v>
      </c>
      <c r="J555" s="19" t="s">
        <v>291</v>
      </c>
      <c r="K555" s="19" t="s">
        <v>169</v>
      </c>
      <c r="O555">
        <f t="shared" si="49"/>
        <v>46</v>
      </c>
      <c r="P555" s="116" t="str">
        <f>IF(L555="", "", L555/G555)</f>
        <v/>
      </c>
      <c r="Q555" s="13" t="s">
        <v>1016</v>
      </c>
    </row>
    <row r="556" spans="1:17" x14ac:dyDescent="0.25">
      <c r="A556" t="s">
        <v>380</v>
      </c>
      <c r="B556" s="142" t="s">
        <v>674</v>
      </c>
      <c r="C556" t="str">
        <f>VLOOKUP(B556,'Planting GPS Points'!$B$3:$L$290,10,FALSE)</f>
        <v>USFWS</v>
      </c>
      <c r="D556" t="str">
        <f>VLOOKUP(B556,'Planting GPS Points'!$B$3:$AL$290,17,FALSE)</f>
        <v>test</v>
      </c>
      <c r="E556" s="147">
        <v>43251</v>
      </c>
      <c r="F556" s="178">
        <v>12</v>
      </c>
      <c r="G556" s="143">
        <v>600</v>
      </c>
      <c r="H556" s="12" t="s">
        <v>49</v>
      </c>
      <c r="I556" s="27">
        <v>43571</v>
      </c>
      <c r="J556" s="19" t="s">
        <v>409</v>
      </c>
      <c r="K556" s="19" t="s">
        <v>169</v>
      </c>
      <c r="L556">
        <v>0</v>
      </c>
      <c r="M556" s="143">
        <v>12</v>
      </c>
      <c r="N556" s="20">
        <v>0</v>
      </c>
      <c r="O556">
        <f t="shared" si="49"/>
        <v>320</v>
      </c>
      <c r="P556" s="116">
        <v>0</v>
      </c>
      <c r="Q556" s="143" t="s">
        <v>1510</v>
      </c>
    </row>
    <row r="557" spans="1:17" x14ac:dyDescent="0.25">
      <c r="A557" t="s">
        <v>27</v>
      </c>
      <c r="B557" t="s">
        <v>226</v>
      </c>
      <c r="C557" t="str">
        <f>VLOOKUP(B557,'Planting GPS Points'!$B$3:$L$290,10,FALSE)</f>
        <v>DNR</v>
      </c>
      <c r="D557" t="str">
        <f>VLOOKUP(B557,'Planting GPS Points'!$B$3:$AL$290,17,FALSE)</f>
        <v>test</v>
      </c>
      <c r="E557" s="27">
        <v>41967</v>
      </c>
      <c r="F557" s="20">
        <v>25</v>
      </c>
      <c r="G557" s="5">
        <v>500</v>
      </c>
      <c r="H557" s="12" t="s">
        <v>49</v>
      </c>
      <c r="I557" s="27">
        <v>42466</v>
      </c>
      <c r="J557" s="19" t="s">
        <v>409</v>
      </c>
      <c r="K557" s="19" t="s">
        <v>168</v>
      </c>
      <c r="L557">
        <v>0</v>
      </c>
      <c r="M557">
        <v>25</v>
      </c>
      <c r="N557" s="20">
        <f t="shared" ref="N557:N572" si="52">IFERROR(L557/M557, "")</f>
        <v>0</v>
      </c>
      <c r="O557">
        <f t="shared" si="49"/>
        <v>499</v>
      </c>
      <c r="P557" s="116">
        <f t="shared" ref="P557:P606" si="53">IF(L557="", "", L557/G557)</f>
        <v>0</v>
      </c>
      <c r="Q557" s="13" t="s">
        <v>676</v>
      </c>
    </row>
    <row r="558" spans="1:17" x14ac:dyDescent="0.25">
      <c r="A558" s="1" t="s">
        <v>145</v>
      </c>
      <c r="B558" s="1" t="s">
        <v>597</v>
      </c>
      <c r="C558" t="str">
        <f>VLOOKUP(B558,'Planting GPS Points'!$B$3:$L$290,10,FALSE)</f>
        <v>USACE</v>
      </c>
      <c r="D558" t="str">
        <f>VLOOKUP(B558,'Planting GPS Points'!$B$3:$AL$290,17,FALSE)</f>
        <v>test</v>
      </c>
      <c r="E558" s="35">
        <v>42551</v>
      </c>
      <c r="F558" s="20">
        <v>4</v>
      </c>
      <c r="G558">
        <v>240</v>
      </c>
      <c r="H558" s="12" t="s">
        <v>49</v>
      </c>
      <c r="I558" s="27">
        <v>42843</v>
      </c>
      <c r="J558" s="19" t="s">
        <v>409</v>
      </c>
      <c r="K558" s="19" t="s">
        <v>168</v>
      </c>
      <c r="L558">
        <v>0</v>
      </c>
      <c r="M558">
        <v>4</v>
      </c>
      <c r="N558" s="20">
        <f t="shared" si="52"/>
        <v>0</v>
      </c>
      <c r="O558">
        <f t="shared" si="49"/>
        <v>292</v>
      </c>
      <c r="P558" s="116">
        <f t="shared" si="53"/>
        <v>0</v>
      </c>
      <c r="Q558" s="13" t="s">
        <v>689</v>
      </c>
    </row>
    <row r="559" spans="1:17" x14ac:dyDescent="0.25">
      <c r="A559" s="1" t="s">
        <v>145</v>
      </c>
      <c r="B559" s="1" t="s">
        <v>598</v>
      </c>
      <c r="C559" t="str">
        <f>VLOOKUP(B559,'Planting GPS Points'!$B$3:$L$290,10,FALSE)</f>
        <v>USACE</v>
      </c>
      <c r="D559" t="str">
        <f>VLOOKUP(B559,'Planting GPS Points'!$B$3:$AL$290,17,FALSE)</f>
        <v>test</v>
      </c>
      <c r="E559" s="35">
        <v>42551</v>
      </c>
      <c r="F559" s="20">
        <v>4</v>
      </c>
      <c r="G559">
        <v>240</v>
      </c>
      <c r="H559" s="12" t="s">
        <v>49</v>
      </c>
      <c r="I559" s="27">
        <v>42843</v>
      </c>
      <c r="J559" s="19" t="s">
        <v>409</v>
      </c>
      <c r="K559" s="19" t="s">
        <v>168</v>
      </c>
      <c r="L559">
        <v>0</v>
      </c>
      <c r="M559">
        <v>4</v>
      </c>
      <c r="N559" s="20">
        <f t="shared" si="52"/>
        <v>0</v>
      </c>
      <c r="O559">
        <f t="shared" si="49"/>
        <v>292</v>
      </c>
      <c r="P559" s="116">
        <f t="shared" si="53"/>
        <v>0</v>
      </c>
      <c r="Q559" s="13" t="s">
        <v>689</v>
      </c>
    </row>
    <row r="560" spans="1:17" x14ac:dyDescent="0.25">
      <c r="A560" s="1" t="s">
        <v>145</v>
      </c>
      <c r="B560" s="1" t="s">
        <v>599</v>
      </c>
      <c r="C560" t="str">
        <f>VLOOKUP(B560,'Planting GPS Points'!$B$3:$L$290,10,FALSE)</f>
        <v>USACE</v>
      </c>
      <c r="D560" t="str">
        <f>VLOOKUP(B560,'Planting GPS Points'!$B$3:$AL$290,17,FALSE)</f>
        <v>test</v>
      </c>
      <c r="E560" s="35">
        <v>42551</v>
      </c>
      <c r="F560" s="20">
        <v>4</v>
      </c>
      <c r="G560">
        <v>240</v>
      </c>
      <c r="H560" s="12" t="s">
        <v>49</v>
      </c>
      <c r="I560" s="27">
        <v>42843</v>
      </c>
      <c r="J560" s="19" t="s">
        <v>409</v>
      </c>
      <c r="K560" s="19" t="s">
        <v>168</v>
      </c>
      <c r="L560">
        <v>1</v>
      </c>
      <c r="M560">
        <v>4</v>
      </c>
      <c r="N560" s="20">
        <f t="shared" si="52"/>
        <v>0.25</v>
      </c>
      <c r="O560">
        <f t="shared" si="49"/>
        <v>292</v>
      </c>
      <c r="P560" s="116">
        <f t="shared" si="53"/>
        <v>4.1666666666666666E-3</v>
      </c>
      <c r="Q560" s="13" t="s">
        <v>689</v>
      </c>
    </row>
    <row r="561" spans="1:18" x14ac:dyDescent="0.25">
      <c r="A561" s="1" t="s">
        <v>145</v>
      </c>
      <c r="B561" s="1" t="s">
        <v>594</v>
      </c>
      <c r="C561" t="str">
        <f>VLOOKUP(B561,'Planting GPS Points'!$B$3:$L$290,10,FALSE)</f>
        <v>USACE</v>
      </c>
      <c r="D561" t="str">
        <f>VLOOKUP(B561,'Planting GPS Points'!$B$3:$AL$290,17,FALSE)</f>
        <v>test</v>
      </c>
      <c r="E561" s="35">
        <v>42551</v>
      </c>
      <c r="F561" s="20">
        <v>4</v>
      </c>
      <c r="G561">
        <v>240</v>
      </c>
      <c r="H561" s="12" t="s">
        <v>49</v>
      </c>
      <c r="I561" s="27">
        <v>42843</v>
      </c>
      <c r="J561" s="19" t="s">
        <v>409</v>
      </c>
      <c r="K561" s="19" t="s">
        <v>168</v>
      </c>
      <c r="L561">
        <v>2</v>
      </c>
      <c r="M561">
        <v>4</v>
      </c>
      <c r="N561" s="20">
        <f t="shared" si="52"/>
        <v>0.5</v>
      </c>
      <c r="O561">
        <f t="shared" si="49"/>
        <v>292</v>
      </c>
      <c r="P561" s="116">
        <f t="shared" si="53"/>
        <v>8.3333333333333332E-3</v>
      </c>
      <c r="Q561" s="13" t="s">
        <v>688</v>
      </c>
    </row>
    <row r="562" spans="1:18" x14ac:dyDescent="0.25">
      <c r="A562" s="1" t="s">
        <v>145</v>
      </c>
      <c r="B562" s="1" t="s">
        <v>595</v>
      </c>
      <c r="C562" t="str">
        <f>VLOOKUP(B562,'Planting GPS Points'!$B$3:$L$290,10,FALSE)</f>
        <v>USACE</v>
      </c>
      <c r="D562" t="str">
        <f>VLOOKUP(B562,'Planting GPS Points'!$B$3:$AL$290,17,FALSE)</f>
        <v>test</v>
      </c>
      <c r="E562" s="35">
        <v>42551</v>
      </c>
      <c r="F562" s="20">
        <v>4</v>
      </c>
      <c r="G562">
        <v>240</v>
      </c>
      <c r="H562" s="12" t="s">
        <v>49</v>
      </c>
      <c r="I562" s="27">
        <v>42843</v>
      </c>
      <c r="J562" s="19" t="s">
        <v>409</v>
      </c>
      <c r="K562" s="19" t="s">
        <v>168</v>
      </c>
      <c r="L562">
        <v>0</v>
      </c>
      <c r="M562">
        <v>4</v>
      </c>
      <c r="N562" s="20">
        <f t="shared" si="52"/>
        <v>0</v>
      </c>
      <c r="O562">
        <f t="shared" si="49"/>
        <v>292</v>
      </c>
      <c r="P562" s="116">
        <f t="shared" si="53"/>
        <v>0</v>
      </c>
      <c r="Q562" s="13" t="s">
        <v>689</v>
      </c>
    </row>
    <row r="563" spans="1:18" x14ac:dyDescent="0.25">
      <c r="A563" s="1" t="s">
        <v>145</v>
      </c>
      <c r="B563" s="1" t="s">
        <v>596</v>
      </c>
      <c r="C563" t="str">
        <f>VLOOKUP(B563,'Planting GPS Points'!$B$3:$L$290,10,FALSE)</f>
        <v>USACE</v>
      </c>
      <c r="D563" t="str">
        <f>VLOOKUP(B563,'Planting GPS Points'!$B$3:$AL$290,17,FALSE)</f>
        <v>test</v>
      </c>
      <c r="E563" s="35">
        <v>42551</v>
      </c>
      <c r="F563" s="20">
        <v>4</v>
      </c>
      <c r="G563">
        <v>240</v>
      </c>
      <c r="H563" s="12" t="s">
        <v>49</v>
      </c>
      <c r="I563" s="27">
        <v>42843</v>
      </c>
      <c r="J563" s="19" t="s">
        <v>409</v>
      </c>
      <c r="K563" s="19" t="s">
        <v>168</v>
      </c>
      <c r="L563">
        <v>0</v>
      </c>
      <c r="M563">
        <v>4</v>
      </c>
      <c r="N563" s="20">
        <f t="shared" si="52"/>
        <v>0</v>
      </c>
      <c r="O563">
        <f t="shared" si="49"/>
        <v>292</v>
      </c>
      <c r="P563" s="116">
        <f t="shared" si="53"/>
        <v>0</v>
      </c>
      <c r="Q563" s="13" t="s">
        <v>689</v>
      </c>
    </row>
    <row r="564" spans="1:18" x14ac:dyDescent="0.25">
      <c r="A564" s="1" t="s">
        <v>145</v>
      </c>
      <c r="B564" s="1" t="s">
        <v>600</v>
      </c>
      <c r="C564" t="str">
        <f>VLOOKUP(B564,'Planting GPS Points'!$B$3:$L$290,10,FALSE)</f>
        <v>USACE</v>
      </c>
      <c r="D564" t="str">
        <f>VLOOKUP(B564,'Planting GPS Points'!$B$3:$AL$290,17,FALSE)</f>
        <v>test</v>
      </c>
      <c r="E564" s="35">
        <v>42551</v>
      </c>
      <c r="F564" s="20">
        <v>4</v>
      </c>
      <c r="G564">
        <v>240</v>
      </c>
      <c r="H564" s="12" t="s">
        <v>49</v>
      </c>
      <c r="I564" s="27">
        <v>42843</v>
      </c>
      <c r="J564" s="19" t="s">
        <v>409</v>
      </c>
      <c r="K564" s="19" t="s">
        <v>168</v>
      </c>
      <c r="L564">
        <v>0</v>
      </c>
      <c r="M564">
        <v>4</v>
      </c>
      <c r="N564" s="20">
        <f t="shared" si="52"/>
        <v>0</v>
      </c>
      <c r="O564">
        <f t="shared" si="49"/>
        <v>292</v>
      </c>
      <c r="P564" s="116">
        <f t="shared" si="53"/>
        <v>0</v>
      </c>
      <c r="Q564" s="13" t="s">
        <v>689</v>
      </c>
    </row>
    <row r="565" spans="1:18" x14ac:dyDescent="0.25">
      <c r="A565" s="1" t="s">
        <v>145</v>
      </c>
      <c r="B565" s="1" t="s">
        <v>601</v>
      </c>
      <c r="C565" t="str">
        <f>VLOOKUP(B565,'Planting GPS Points'!$B$3:$L$290,10,FALSE)</f>
        <v>USACE</v>
      </c>
      <c r="D565" t="str">
        <f>VLOOKUP(B565,'Planting GPS Points'!$B$3:$AL$290,17,FALSE)</f>
        <v>test</v>
      </c>
      <c r="E565" s="35">
        <v>42551</v>
      </c>
      <c r="F565" s="20">
        <v>4</v>
      </c>
      <c r="G565">
        <v>240</v>
      </c>
      <c r="H565" s="12" t="s">
        <v>49</v>
      </c>
      <c r="I565" s="27">
        <v>42843</v>
      </c>
      <c r="J565" s="19" t="s">
        <v>409</v>
      </c>
      <c r="K565" s="19" t="s">
        <v>168</v>
      </c>
      <c r="L565">
        <v>0</v>
      </c>
      <c r="M565">
        <v>4</v>
      </c>
      <c r="N565" s="20">
        <f t="shared" si="52"/>
        <v>0</v>
      </c>
      <c r="O565">
        <f t="shared" si="49"/>
        <v>292</v>
      </c>
      <c r="P565" s="116">
        <f t="shared" si="53"/>
        <v>0</v>
      </c>
      <c r="Q565" s="13" t="s">
        <v>689</v>
      </c>
    </row>
    <row r="566" spans="1:18" x14ac:dyDescent="0.25">
      <c r="A566" s="1" t="s">
        <v>145</v>
      </c>
      <c r="B566" s="1" t="s">
        <v>602</v>
      </c>
      <c r="C566" t="str">
        <f>VLOOKUP(B566,'Planting GPS Points'!$B$3:$L$290,10,FALSE)</f>
        <v>USACE</v>
      </c>
      <c r="D566" t="str">
        <f>VLOOKUP(B566,'Planting GPS Points'!$B$3:$AL$290,17,FALSE)</f>
        <v>test</v>
      </c>
      <c r="E566" s="35">
        <v>42551</v>
      </c>
      <c r="F566" s="20">
        <v>4</v>
      </c>
      <c r="G566">
        <v>240</v>
      </c>
      <c r="H566" s="12" t="s">
        <v>49</v>
      </c>
      <c r="I566" s="27">
        <v>42843</v>
      </c>
      <c r="J566" s="19" t="s">
        <v>409</v>
      </c>
      <c r="K566" s="19" t="s">
        <v>168</v>
      </c>
      <c r="L566">
        <v>1</v>
      </c>
      <c r="M566">
        <v>4</v>
      </c>
      <c r="N566" s="20">
        <f t="shared" si="52"/>
        <v>0.25</v>
      </c>
      <c r="O566">
        <f t="shared" si="49"/>
        <v>292</v>
      </c>
      <c r="P566" s="116">
        <f t="shared" si="53"/>
        <v>4.1666666666666666E-3</v>
      </c>
      <c r="Q566" s="13" t="s">
        <v>689</v>
      </c>
    </row>
    <row r="567" spans="1:18" s="197" customFormat="1" x14ac:dyDescent="0.25">
      <c r="A567" t="s">
        <v>79</v>
      </c>
      <c r="B567" s="1" t="s">
        <v>414</v>
      </c>
      <c r="C567" t="str">
        <f>VLOOKUP(B567,'Planting GPS Points'!$B$3:$L$290,10,FALSE)</f>
        <v>USACE</v>
      </c>
      <c r="D567" t="str">
        <f>VLOOKUP(B567,'Planting GPS Points'!$B$3:$AL$290,17,FALSE)</f>
        <v>test</v>
      </c>
      <c r="E567" s="27">
        <v>42621</v>
      </c>
      <c r="F567" s="20">
        <v>4</v>
      </c>
      <c r="G567">
        <v>500</v>
      </c>
      <c r="H567" s="12" t="s">
        <v>49</v>
      </c>
      <c r="I567" s="27">
        <v>42962</v>
      </c>
      <c r="J567" s="19" t="s">
        <v>291</v>
      </c>
      <c r="K567" s="19" t="s">
        <v>169</v>
      </c>
      <c r="L567"/>
      <c r="M567">
        <v>4</v>
      </c>
      <c r="N567" s="20">
        <f t="shared" si="52"/>
        <v>0</v>
      </c>
      <c r="O567">
        <f t="shared" si="49"/>
        <v>341</v>
      </c>
      <c r="P567" s="116" t="str">
        <f t="shared" si="53"/>
        <v/>
      </c>
      <c r="Q567" s="13" t="s">
        <v>714</v>
      </c>
      <c r="R567"/>
    </row>
    <row r="568" spans="1:18" s="197" customFormat="1" x14ac:dyDescent="0.25">
      <c r="A568" t="s">
        <v>79</v>
      </c>
      <c r="B568" s="1" t="s">
        <v>415</v>
      </c>
      <c r="C568" t="str">
        <f>VLOOKUP(B568,'Planting GPS Points'!$B$3:$L$290,10,FALSE)</f>
        <v>USACE</v>
      </c>
      <c r="D568" t="str">
        <f>VLOOKUP(B568,'Planting GPS Points'!$B$3:$AL$290,17,FALSE)</f>
        <v>test</v>
      </c>
      <c r="E568" s="27">
        <v>42621</v>
      </c>
      <c r="F568" s="20">
        <v>2</v>
      </c>
      <c r="G568">
        <v>500</v>
      </c>
      <c r="H568" s="12" t="s">
        <v>49</v>
      </c>
      <c r="I568" s="27">
        <v>42962</v>
      </c>
      <c r="J568" s="19" t="s">
        <v>291</v>
      </c>
      <c r="K568" s="19" t="s">
        <v>169</v>
      </c>
      <c r="L568"/>
      <c r="M568">
        <v>2</v>
      </c>
      <c r="N568" s="20">
        <f t="shared" si="52"/>
        <v>0</v>
      </c>
      <c r="O568">
        <f t="shared" si="49"/>
        <v>341</v>
      </c>
      <c r="P568" s="116" t="str">
        <f t="shared" si="53"/>
        <v/>
      </c>
      <c r="Q568" s="13" t="s">
        <v>1890</v>
      </c>
      <c r="R568"/>
    </row>
    <row r="569" spans="1:18" s="197" customFormat="1" x14ac:dyDescent="0.25">
      <c r="A569" t="s">
        <v>79</v>
      </c>
      <c r="B569" s="1" t="s">
        <v>416</v>
      </c>
      <c r="C569" t="str">
        <f>VLOOKUP(B569,'Planting GPS Points'!$B$3:$L$290,10,FALSE)</f>
        <v>USACE</v>
      </c>
      <c r="D569" t="str">
        <f>VLOOKUP(B569,'Planting GPS Points'!$B$3:$AL$290,17,FALSE)</f>
        <v>test</v>
      </c>
      <c r="E569" s="27">
        <v>42622</v>
      </c>
      <c r="F569" s="20">
        <v>3</v>
      </c>
      <c r="G569">
        <v>400</v>
      </c>
      <c r="H569" s="12" t="s">
        <v>49</v>
      </c>
      <c r="I569" s="27">
        <v>42962</v>
      </c>
      <c r="J569" s="19" t="s">
        <v>291</v>
      </c>
      <c r="K569" s="19" t="s">
        <v>169</v>
      </c>
      <c r="L569"/>
      <c r="M569">
        <v>3</v>
      </c>
      <c r="N569" s="20">
        <f t="shared" si="52"/>
        <v>0</v>
      </c>
      <c r="O569">
        <f t="shared" si="49"/>
        <v>340</v>
      </c>
      <c r="P569" s="116" t="str">
        <f t="shared" si="53"/>
        <v/>
      </c>
      <c r="Q569" s="13" t="s">
        <v>715</v>
      </c>
      <c r="R569"/>
    </row>
    <row r="570" spans="1:18" s="197" customFormat="1" x14ac:dyDescent="0.25">
      <c r="A570" t="s">
        <v>79</v>
      </c>
      <c r="B570" s="1" t="s">
        <v>417</v>
      </c>
      <c r="C570" t="str">
        <f>VLOOKUP(B570,'Planting GPS Points'!$B$3:$L$290,10,FALSE)</f>
        <v>USACE</v>
      </c>
      <c r="D570" t="str">
        <f>VLOOKUP(B570,'Planting GPS Points'!$B$3:$AL$290,17,FALSE)</f>
        <v>test</v>
      </c>
      <c r="E570" s="27">
        <v>42622</v>
      </c>
      <c r="F570" s="20">
        <v>3</v>
      </c>
      <c r="G570">
        <v>400</v>
      </c>
      <c r="H570" s="12" t="s">
        <v>49</v>
      </c>
      <c r="I570" s="27">
        <v>42962</v>
      </c>
      <c r="J570" s="19" t="s">
        <v>291</v>
      </c>
      <c r="K570" s="19" t="s">
        <v>169</v>
      </c>
      <c r="L570"/>
      <c r="M570">
        <v>3</v>
      </c>
      <c r="N570" s="20">
        <f t="shared" si="52"/>
        <v>0</v>
      </c>
      <c r="O570">
        <f t="shared" si="49"/>
        <v>340</v>
      </c>
      <c r="P570" s="116" t="str">
        <f t="shared" si="53"/>
        <v/>
      </c>
      <c r="Q570" s="13" t="s">
        <v>1891</v>
      </c>
      <c r="R570"/>
    </row>
    <row r="571" spans="1:18" x14ac:dyDescent="0.25">
      <c r="A571" t="s">
        <v>36</v>
      </c>
      <c r="B571" t="s">
        <v>206</v>
      </c>
      <c r="C571" t="str">
        <f>VLOOKUP(B571,'Planting GPS Points'!$B$3:$L$290,10,FALSE)</f>
        <v>DNR</v>
      </c>
      <c r="D571" t="str">
        <f>VLOOKUP(B571,'Planting GPS Points'!$B$3:$AL$290,17,FALSE)</f>
        <v>test</v>
      </c>
      <c r="E571" s="27">
        <v>42075</v>
      </c>
      <c r="F571" s="20">
        <v>25</v>
      </c>
      <c r="G571" s="38">
        <v>500</v>
      </c>
      <c r="H571" s="12" t="s">
        <v>165</v>
      </c>
      <c r="I571" s="27">
        <v>42553</v>
      </c>
      <c r="J571" s="129" t="s">
        <v>409</v>
      </c>
      <c r="K571" s="129" t="s">
        <v>168</v>
      </c>
      <c r="L571">
        <v>0</v>
      </c>
      <c r="N571" s="20" t="str">
        <f t="shared" si="52"/>
        <v/>
      </c>
      <c r="O571">
        <f t="shared" si="49"/>
        <v>478</v>
      </c>
      <c r="P571" s="116">
        <f t="shared" si="53"/>
        <v>0</v>
      </c>
      <c r="Q571" s="13" t="s">
        <v>1262</v>
      </c>
    </row>
    <row r="572" spans="1:18" x14ac:dyDescent="0.25">
      <c r="A572" t="s">
        <v>146</v>
      </c>
      <c r="B572" t="s">
        <v>210</v>
      </c>
      <c r="C572" t="str">
        <f>VLOOKUP(B572,'Planting GPS Points'!$B$3:$L$290,10,FALSE)</f>
        <v>WDFW</v>
      </c>
      <c r="D572" t="str">
        <f>VLOOKUP(B572,'Planting GPS Points'!$B$3:$AL$290,17,FALSE)</f>
        <v>test</v>
      </c>
      <c r="E572" s="27">
        <v>42509</v>
      </c>
      <c r="F572" s="20">
        <v>75</v>
      </c>
      <c r="G572" s="130">
        <v>780</v>
      </c>
      <c r="H572" s="12" t="s">
        <v>165</v>
      </c>
      <c r="I572" s="27">
        <v>42557</v>
      </c>
      <c r="J572" s="19" t="s">
        <v>291</v>
      </c>
      <c r="K572" s="19" t="s">
        <v>171</v>
      </c>
      <c r="N572" s="20" t="str">
        <f t="shared" si="52"/>
        <v/>
      </c>
      <c r="O572">
        <f t="shared" si="49"/>
        <v>48</v>
      </c>
      <c r="P572" s="116" t="str">
        <f t="shared" si="53"/>
        <v/>
      </c>
      <c r="Q572" s="13" t="s">
        <v>1208</v>
      </c>
    </row>
    <row r="573" spans="1:18" s="197" customFormat="1" x14ac:dyDescent="0.25">
      <c r="A573" t="s">
        <v>146</v>
      </c>
      <c r="B573" t="s">
        <v>210</v>
      </c>
      <c r="C573" t="str">
        <f>VLOOKUP(B573,'Planting GPS Points'!$B$3:$L$290,10,FALSE)</f>
        <v>WDFW</v>
      </c>
      <c r="D573" t="str">
        <f>VLOOKUP(B573,'Planting GPS Points'!$B$3:$AL$290,17,FALSE)</f>
        <v>test</v>
      </c>
      <c r="E573" s="27">
        <v>42509</v>
      </c>
      <c r="F573" s="20">
        <v>75</v>
      </c>
      <c r="G573" s="130">
        <v>780</v>
      </c>
      <c r="H573" s="12" t="s">
        <v>1213</v>
      </c>
      <c r="I573" s="27">
        <v>42934</v>
      </c>
      <c r="J573" s="19" t="s">
        <v>409</v>
      </c>
      <c r="K573" s="19" t="s">
        <v>171</v>
      </c>
      <c r="L573">
        <v>0</v>
      </c>
      <c r="M573"/>
      <c r="N573" s="20"/>
      <c r="O573">
        <f t="shared" si="49"/>
        <v>425</v>
      </c>
      <c r="P573" s="116">
        <f t="shared" si="53"/>
        <v>0</v>
      </c>
      <c r="Q573" s="13" t="s">
        <v>1265</v>
      </c>
      <c r="R573"/>
    </row>
    <row r="574" spans="1:18" s="197" customFormat="1" x14ac:dyDescent="0.25">
      <c r="A574" t="s">
        <v>24</v>
      </c>
      <c r="B574" t="s">
        <v>2011</v>
      </c>
      <c r="C574" t="str">
        <f>VLOOKUP(B574,'Planting GPS Points'!$B$3:$L$290,10,FALSE)</f>
        <v>DNR</v>
      </c>
      <c r="D574" t="str">
        <f>VLOOKUP(B574,'Planting GPS Points'!$B$3:$AL$290,17,FALSE)</f>
        <v>test</v>
      </c>
      <c r="E574" s="134">
        <v>44044</v>
      </c>
      <c r="F574" s="20">
        <v>2</v>
      </c>
      <c r="G574" s="34">
        <v>640</v>
      </c>
      <c r="H574" s="12" t="s">
        <v>49</v>
      </c>
      <c r="I574" s="27">
        <v>44106</v>
      </c>
      <c r="J574" s="19" t="s">
        <v>291</v>
      </c>
      <c r="K574" s="19" t="s">
        <v>169</v>
      </c>
      <c r="L574">
        <v>223</v>
      </c>
      <c r="M574">
        <v>2</v>
      </c>
      <c r="N574" s="20">
        <f t="shared" ref="N574:N601" si="54">IFERROR(L574/M574, "")</f>
        <v>111.5</v>
      </c>
      <c r="O574">
        <f t="shared" si="49"/>
        <v>62</v>
      </c>
      <c r="P574" s="116">
        <f t="shared" si="53"/>
        <v>0.34843750000000001</v>
      </c>
      <c r="Q574" s="13" t="s">
        <v>1999</v>
      </c>
      <c r="R574"/>
    </row>
    <row r="575" spans="1:18" x14ac:dyDescent="0.25">
      <c r="A575" t="s">
        <v>24</v>
      </c>
      <c r="B575" t="s">
        <v>2012</v>
      </c>
      <c r="C575" t="str">
        <f>VLOOKUP(B575,'Planting GPS Points'!$B$3:$L$290,10,FALSE)</f>
        <v>DNR</v>
      </c>
      <c r="D575" t="str">
        <f>VLOOKUP(B575,'Planting GPS Points'!$B$3:$AL$290,17,FALSE)</f>
        <v>test</v>
      </c>
      <c r="E575" s="134">
        <v>44044</v>
      </c>
      <c r="F575" s="20">
        <v>0.25</v>
      </c>
      <c r="G575">
        <v>60</v>
      </c>
      <c r="H575" s="12" t="s">
        <v>49</v>
      </c>
      <c r="I575" s="27">
        <v>44106</v>
      </c>
      <c r="J575" s="19" t="s">
        <v>291</v>
      </c>
      <c r="K575" s="19" t="s">
        <v>169</v>
      </c>
      <c r="L575">
        <v>13</v>
      </c>
      <c r="M575">
        <v>0.25</v>
      </c>
      <c r="N575" s="20">
        <f t="shared" si="54"/>
        <v>52</v>
      </c>
      <c r="O575">
        <f t="shared" si="49"/>
        <v>62</v>
      </c>
      <c r="P575" s="116">
        <f t="shared" si="53"/>
        <v>0.21666666666666667</v>
      </c>
      <c r="Q575" s="13"/>
    </row>
    <row r="576" spans="1:18" x14ac:dyDescent="0.25">
      <c r="A576" t="s">
        <v>24</v>
      </c>
      <c r="B576" t="s">
        <v>2013</v>
      </c>
      <c r="C576" t="str">
        <f>VLOOKUP(B576,'Planting GPS Points'!$B$3:$L$290,10,FALSE)</f>
        <v>DNR</v>
      </c>
      <c r="D576" t="str">
        <f>VLOOKUP(B576,'Planting GPS Points'!$B$3:$AL$290,17,FALSE)</f>
        <v>test</v>
      </c>
      <c r="E576" s="134">
        <v>44044</v>
      </c>
      <c r="F576" s="20">
        <v>0.75</v>
      </c>
      <c r="G576">
        <v>135</v>
      </c>
      <c r="H576" s="12" t="s">
        <v>49</v>
      </c>
      <c r="I576" s="27">
        <v>44106</v>
      </c>
      <c r="J576" s="19" t="s">
        <v>291</v>
      </c>
      <c r="K576" s="19" t="s">
        <v>169</v>
      </c>
      <c r="L576">
        <v>85</v>
      </c>
      <c r="M576">
        <v>0.75</v>
      </c>
      <c r="N576" s="20">
        <f t="shared" si="54"/>
        <v>113.33333333333333</v>
      </c>
      <c r="O576">
        <f t="shared" si="49"/>
        <v>62</v>
      </c>
      <c r="P576" s="116">
        <f t="shared" si="53"/>
        <v>0.62962962962962965</v>
      </c>
      <c r="Q576" s="13"/>
    </row>
    <row r="577" spans="1:18" x14ac:dyDescent="0.25">
      <c r="A577" t="s">
        <v>24</v>
      </c>
      <c r="B577" t="s">
        <v>2015</v>
      </c>
      <c r="C577" t="str">
        <f>VLOOKUP(B577,'Planting GPS Points'!$B$3:$L$290,10,FALSE)</f>
        <v>DNR</v>
      </c>
      <c r="D577" t="str">
        <f>VLOOKUP(B577,'Planting GPS Points'!$B$3:$AL$290,17,FALSE)</f>
        <v>test</v>
      </c>
      <c r="E577" s="134">
        <v>44044</v>
      </c>
      <c r="F577" s="20">
        <v>0.75</v>
      </c>
      <c r="G577">
        <v>275</v>
      </c>
      <c r="H577" s="12" t="s">
        <v>49</v>
      </c>
      <c r="I577" s="27">
        <v>44106</v>
      </c>
      <c r="J577" s="19" t="s">
        <v>291</v>
      </c>
      <c r="K577" s="19" t="s">
        <v>169</v>
      </c>
      <c r="L577">
        <v>54</v>
      </c>
      <c r="M577">
        <v>0.75</v>
      </c>
      <c r="N577" s="20">
        <f t="shared" si="54"/>
        <v>72</v>
      </c>
      <c r="O577">
        <f t="shared" si="49"/>
        <v>62</v>
      </c>
      <c r="P577" s="116">
        <f t="shared" si="53"/>
        <v>0.19636363636363635</v>
      </c>
      <c r="Q577" s="13"/>
    </row>
    <row r="578" spans="1:18" x14ac:dyDescent="0.25">
      <c r="A578" t="s">
        <v>24</v>
      </c>
      <c r="B578" t="s">
        <v>2014</v>
      </c>
      <c r="C578" t="str">
        <f>VLOOKUP(B578,'Planting GPS Points'!$B$3:$L$290,10,FALSE)</f>
        <v>DNR</v>
      </c>
      <c r="D578" t="str">
        <f>VLOOKUP(B578,'Planting GPS Points'!$B$3:$AL$290,17,FALSE)</f>
        <v>test</v>
      </c>
      <c r="E578" s="134">
        <v>44044</v>
      </c>
      <c r="F578" s="20">
        <v>1.25</v>
      </c>
      <c r="G578">
        <v>210</v>
      </c>
      <c r="H578" s="12" t="s">
        <v>49</v>
      </c>
      <c r="I578" s="27">
        <v>44106</v>
      </c>
      <c r="J578" s="19" t="s">
        <v>291</v>
      </c>
      <c r="K578" s="19" t="s">
        <v>169</v>
      </c>
      <c r="L578">
        <v>84</v>
      </c>
      <c r="M578">
        <v>1.25</v>
      </c>
      <c r="N578" s="20">
        <f t="shared" si="54"/>
        <v>67.2</v>
      </c>
      <c r="O578">
        <f t="shared" si="49"/>
        <v>62</v>
      </c>
      <c r="P578" s="116">
        <f t="shared" si="53"/>
        <v>0.4</v>
      </c>
      <c r="Q578" s="13"/>
    </row>
    <row r="579" spans="1:18" x14ac:dyDescent="0.25">
      <c r="A579" t="s">
        <v>24</v>
      </c>
      <c r="B579" s="1" t="s">
        <v>496</v>
      </c>
      <c r="C579" t="str">
        <f>VLOOKUP(B579,'Planting GPS Points'!$B$3:$L$290,10,FALSE)</f>
        <v>USFWS</v>
      </c>
      <c r="D579" t="str">
        <f>VLOOKUP(B579,'Planting GPS Points'!$B$3:$AL$290,17,FALSE)</f>
        <v>test</v>
      </c>
      <c r="E579" s="27">
        <v>42887</v>
      </c>
      <c r="F579" s="20">
        <v>6.25</v>
      </c>
      <c r="G579">
        <v>500</v>
      </c>
      <c r="H579" s="12" t="s">
        <v>49</v>
      </c>
      <c r="I579" s="27">
        <v>43012</v>
      </c>
      <c r="J579" s="19" t="s">
        <v>291</v>
      </c>
      <c r="K579" s="19" t="s">
        <v>169</v>
      </c>
      <c r="L579">
        <v>223</v>
      </c>
      <c r="M579" s="20">
        <v>6.25</v>
      </c>
      <c r="N579" s="20">
        <f t="shared" si="54"/>
        <v>35.68</v>
      </c>
      <c r="O579">
        <f t="shared" si="49"/>
        <v>125</v>
      </c>
      <c r="P579" s="116">
        <f t="shared" si="53"/>
        <v>0.44600000000000001</v>
      </c>
      <c r="Q579" s="13" t="s">
        <v>717</v>
      </c>
    </row>
    <row r="580" spans="1:18" x14ac:dyDescent="0.25">
      <c r="A580" t="s">
        <v>24</v>
      </c>
      <c r="B580" s="1" t="s">
        <v>496</v>
      </c>
      <c r="C580" t="str">
        <f>VLOOKUP(B580,'Planting GPS Points'!$B$3:$L$290,10,FALSE)</f>
        <v>USFWS</v>
      </c>
      <c r="D580" t="str">
        <f>VLOOKUP(B580,'Planting GPS Points'!$B$3:$AL$290,17,FALSE)</f>
        <v>test</v>
      </c>
      <c r="E580" s="27">
        <v>42887</v>
      </c>
      <c r="F580" s="20">
        <v>6.25</v>
      </c>
      <c r="G580">
        <v>500</v>
      </c>
      <c r="H580" s="12" t="s">
        <v>49</v>
      </c>
      <c r="I580" s="27">
        <v>43188</v>
      </c>
      <c r="J580" s="19" t="s">
        <v>291</v>
      </c>
      <c r="K580" s="19" t="s">
        <v>169</v>
      </c>
      <c r="L580">
        <v>63</v>
      </c>
      <c r="M580" s="20">
        <v>6.25</v>
      </c>
      <c r="N580" s="20">
        <f t="shared" si="54"/>
        <v>10.08</v>
      </c>
      <c r="O580">
        <f t="shared" si="49"/>
        <v>301</v>
      </c>
      <c r="P580" s="116">
        <f t="shared" si="53"/>
        <v>0.126</v>
      </c>
      <c r="Q580" s="59" t="s">
        <v>743</v>
      </c>
    </row>
    <row r="581" spans="1:18" x14ac:dyDescent="0.25">
      <c r="A581" t="s">
        <v>24</v>
      </c>
      <c r="B581" s="1" t="s">
        <v>496</v>
      </c>
      <c r="C581" t="str">
        <f>VLOOKUP(B581,'Planting GPS Points'!$B$3:$L$290,10,FALSE)</f>
        <v>USFWS</v>
      </c>
      <c r="D581" t="str">
        <f>VLOOKUP(B581,'Planting GPS Points'!$B$3:$AL$290,17,FALSE)</f>
        <v>test</v>
      </c>
      <c r="E581" s="27">
        <v>42887</v>
      </c>
      <c r="F581" s="20">
        <v>6.25</v>
      </c>
      <c r="G581">
        <v>500</v>
      </c>
      <c r="H581" s="12" t="s">
        <v>49</v>
      </c>
      <c r="I581" s="27">
        <v>43292</v>
      </c>
      <c r="J581" s="19" t="s">
        <v>291</v>
      </c>
      <c r="K581" s="19" t="s">
        <v>169</v>
      </c>
      <c r="L581" s="19">
        <v>30</v>
      </c>
      <c r="M581" s="20">
        <v>6.25</v>
      </c>
      <c r="N581" s="20">
        <f t="shared" si="54"/>
        <v>4.8</v>
      </c>
      <c r="O581" s="19">
        <f t="shared" ref="O581:O606" si="55">I581-E581</f>
        <v>405</v>
      </c>
      <c r="P581" s="116">
        <f t="shared" si="53"/>
        <v>0.06</v>
      </c>
      <c r="Q581" s="59" t="s">
        <v>747</v>
      </c>
    </row>
    <row r="582" spans="1:18" s="197" customFormat="1" x14ac:dyDescent="0.25">
      <c r="A582" s="1" t="s">
        <v>24</v>
      </c>
      <c r="B582" s="1" t="s">
        <v>496</v>
      </c>
      <c r="C582" t="str">
        <f>VLOOKUP(B582,'Planting GPS Points'!$B$3:$L$290,10,FALSE)</f>
        <v>USFWS</v>
      </c>
      <c r="D582" t="str">
        <f>VLOOKUP(B582,'Planting GPS Points'!$B$3:$AL$290,17,FALSE)</f>
        <v>test</v>
      </c>
      <c r="E582" s="27">
        <v>42887</v>
      </c>
      <c r="F582" s="20">
        <v>5</v>
      </c>
      <c r="G582" s="38">
        <v>500</v>
      </c>
      <c r="H582" s="12" t="s">
        <v>49</v>
      </c>
      <c r="I582" s="27">
        <v>44106</v>
      </c>
      <c r="J582" s="19" t="s">
        <v>291</v>
      </c>
      <c r="K582" s="19" t="s">
        <v>169</v>
      </c>
      <c r="L582">
        <v>23</v>
      </c>
      <c r="M582">
        <v>5</v>
      </c>
      <c r="N582" s="20">
        <f t="shared" si="54"/>
        <v>4.5999999999999996</v>
      </c>
      <c r="O582">
        <f t="shared" si="55"/>
        <v>1219</v>
      </c>
      <c r="P582" s="116">
        <f t="shared" si="53"/>
        <v>4.5999999999999999E-2</v>
      </c>
      <c r="Q582" s="13" t="s">
        <v>1998</v>
      </c>
      <c r="R582"/>
    </row>
    <row r="583" spans="1:18" x14ac:dyDescent="0.25">
      <c r="A583" t="s">
        <v>24</v>
      </c>
      <c r="B583" s="1" t="s">
        <v>495</v>
      </c>
      <c r="C583" t="str">
        <f>VLOOKUP(B583,'Planting GPS Points'!$B$3:$L$290,10,FALSE)</f>
        <v>USFWS</v>
      </c>
      <c r="D583" t="str">
        <f>VLOOKUP(B583,'Planting GPS Points'!$B$3:$AL$290,17,FALSE)</f>
        <v>test</v>
      </c>
      <c r="E583" s="27">
        <v>42887</v>
      </c>
      <c r="F583" s="20">
        <v>6.25</v>
      </c>
      <c r="G583">
        <v>500</v>
      </c>
      <c r="H583" s="12" t="s">
        <v>49</v>
      </c>
      <c r="I583" s="27">
        <v>43012</v>
      </c>
      <c r="J583" s="19" t="s">
        <v>291</v>
      </c>
      <c r="K583" s="19" t="s">
        <v>169</v>
      </c>
      <c r="L583">
        <f>68+78+64+58+84</f>
        <v>352</v>
      </c>
      <c r="M583" s="20">
        <v>6.25</v>
      </c>
      <c r="N583" s="20">
        <f t="shared" si="54"/>
        <v>56.32</v>
      </c>
      <c r="O583">
        <f t="shared" si="55"/>
        <v>125</v>
      </c>
      <c r="P583" s="116">
        <f t="shared" si="53"/>
        <v>0.70399999999999996</v>
      </c>
      <c r="Q583" s="13" t="s">
        <v>718</v>
      </c>
    </row>
    <row r="584" spans="1:18" x14ac:dyDescent="0.25">
      <c r="A584" t="s">
        <v>24</v>
      </c>
      <c r="B584" s="1" t="s">
        <v>495</v>
      </c>
      <c r="C584" t="str">
        <f>VLOOKUP(B584,'Planting GPS Points'!$B$3:$L$290,10,FALSE)</f>
        <v>USFWS</v>
      </c>
      <c r="D584" t="str">
        <f>VLOOKUP(B584,'Planting GPS Points'!$B$3:$AL$290,17,FALSE)</f>
        <v>test</v>
      </c>
      <c r="E584" s="27">
        <v>42887</v>
      </c>
      <c r="F584" s="20">
        <v>6.25</v>
      </c>
      <c r="G584">
        <v>500</v>
      </c>
      <c r="H584" s="12" t="s">
        <v>49</v>
      </c>
      <c r="I584" s="27">
        <v>43188</v>
      </c>
      <c r="J584" s="19" t="s">
        <v>291</v>
      </c>
      <c r="K584" s="19" t="s">
        <v>169</v>
      </c>
      <c r="L584">
        <v>131</v>
      </c>
      <c r="M584" s="20">
        <v>6.25</v>
      </c>
      <c r="N584" s="20">
        <f t="shared" si="54"/>
        <v>20.96</v>
      </c>
      <c r="O584">
        <f t="shared" si="55"/>
        <v>301</v>
      </c>
      <c r="P584" s="116">
        <f t="shared" si="53"/>
        <v>0.26200000000000001</v>
      </c>
      <c r="Q584" s="59" t="s">
        <v>744</v>
      </c>
    </row>
    <row r="585" spans="1:18" x14ac:dyDescent="0.25">
      <c r="A585" t="s">
        <v>24</v>
      </c>
      <c r="B585" s="1" t="s">
        <v>495</v>
      </c>
      <c r="C585" t="str">
        <f>VLOOKUP(B585,'Planting GPS Points'!$B$3:$L$290,10,FALSE)</f>
        <v>USFWS</v>
      </c>
      <c r="D585" t="str">
        <f>VLOOKUP(B585,'Planting GPS Points'!$B$3:$AL$290,17,FALSE)</f>
        <v>test</v>
      </c>
      <c r="E585" s="27">
        <v>42887</v>
      </c>
      <c r="F585" s="20">
        <v>6.25</v>
      </c>
      <c r="G585">
        <v>500</v>
      </c>
      <c r="H585" s="12" t="s">
        <v>49</v>
      </c>
      <c r="I585" s="27">
        <v>43292</v>
      </c>
      <c r="J585" s="19" t="s">
        <v>291</v>
      </c>
      <c r="K585" s="19" t="s">
        <v>169</v>
      </c>
      <c r="L585" s="19">
        <v>80</v>
      </c>
      <c r="M585" s="20">
        <v>6.25</v>
      </c>
      <c r="N585" s="20">
        <f t="shared" si="54"/>
        <v>12.8</v>
      </c>
      <c r="O585" s="19">
        <f t="shared" si="55"/>
        <v>405</v>
      </c>
      <c r="P585" s="116">
        <f t="shared" si="53"/>
        <v>0.16</v>
      </c>
      <c r="Q585" s="13" t="s">
        <v>748</v>
      </c>
    </row>
    <row r="586" spans="1:18" x14ac:dyDescent="0.25">
      <c r="A586" s="1" t="s">
        <v>24</v>
      </c>
      <c r="B586" s="1" t="s">
        <v>495</v>
      </c>
      <c r="C586" t="str">
        <f>VLOOKUP(B586,'Planting GPS Points'!$B$3:$L$290,10,FALSE)</f>
        <v>USFWS</v>
      </c>
      <c r="D586" t="str">
        <f>VLOOKUP(B586,'Planting GPS Points'!$B$3:$AL$290,17,FALSE)</f>
        <v>test</v>
      </c>
      <c r="E586" s="27">
        <v>42887</v>
      </c>
      <c r="F586" s="20">
        <v>5</v>
      </c>
      <c r="G586" s="38">
        <v>500</v>
      </c>
      <c r="H586" s="12" t="s">
        <v>49</v>
      </c>
      <c r="I586" s="27">
        <v>44106</v>
      </c>
      <c r="J586" s="19" t="s">
        <v>291</v>
      </c>
      <c r="K586" s="19" t="s">
        <v>169</v>
      </c>
      <c r="L586">
        <v>108</v>
      </c>
      <c r="M586">
        <v>5</v>
      </c>
      <c r="N586" s="20">
        <f t="shared" si="54"/>
        <v>21.6</v>
      </c>
      <c r="O586">
        <f t="shared" si="55"/>
        <v>1219</v>
      </c>
      <c r="P586" s="116">
        <f t="shared" si="53"/>
        <v>0.216</v>
      </c>
      <c r="Q586" s="13" t="s">
        <v>1996</v>
      </c>
    </row>
    <row r="587" spans="1:18" x14ac:dyDescent="0.25">
      <c r="A587" t="s">
        <v>24</v>
      </c>
      <c r="B587" s="1" t="s">
        <v>497</v>
      </c>
      <c r="C587" t="str">
        <f>VLOOKUP(B587,'Planting GPS Points'!$B$3:$L$290,10,FALSE)</f>
        <v>USFWS</v>
      </c>
      <c r="D587" t="str">
        <f>VLOOKUP(B587,'Planting GPS Points'!$B$3:$AL$290,17,FALSE)</f>
        <v>test</v>
      </c>
      <c r="E587" s="27">
        <v>42888</v>
      </c>
      <c r="F587" s="20">
        <v>6.25</v>
      </c>
      <c r="G587">
        <v>475</v>
      </c>
      <c r="H587" s="12" t="s">
        <v>49</v>
      </c>
      <c r="I587" s="27">
        <v>43012</v>
      </c>
      <c r="J587" s="19" t="s">
        <v>291</v>
      </c>
      <c r="K587" s="19" t="s">
        <v>169</v>
      </c>
      <c r="L587">
        <f>45+62+43+54+40</f>
        <v>244</v>
      </c>
      <c r="M587" s="20">
        <v>6.25</v>
      </c>
      <c r="N587" s="20">
        <f t="shared" si="54"/>
        <v>39.04</v>
      </c>
      <c r="O587">
        <f t="shared" si="55"/>
        <v>124</v>
      </c>
      <c r="P587" s="116">
        <f t="shared" si="53"/>
        <v>0.51368421052631574</v>
      </c>
      <c r="Q587" s="13" t="s">
        <v>719</v>
      </c>
    </row>
    <row r="588" spans="1:18" x14ac:dyDescent="0.25">
      <c r="A588" t="s">
        <v>24</v>
      </c>
      <c r="B588" s="1" t="s">
        <v>497</v>
      </c>
      <c r="C588" t="str">
        <f>VLOOKUP(B588,'Planting GPS Points'!$B$3:$L$290,10,FALSE)</f>
        <v>USFWS</v>
      </c>
      <c r="D588" t="str">
        <f>VLOOKUP(B588,'Planting GPS Points'!$B$3:$AL$290,17,FALSE)</f>
        <v>test</v>
      </c>
      <c r="E588" s="27">
        <v>42888</v>
      </c>
      <c r="F588" s="20">
        <v>6.25</v>
      </c>
      <c r="G588">
        <v>475</v>
      </c>
      <c r="H588" s="12" t="s">
        <v>49</v>
      </c>
      <c r="I588" s="27">
        <v>43188</v>
      </c>
      <c r="J588" s="19" t="s">
        <v>291</v>
      </c>
      <c r="K588" s="19" t="s">
        <v>169</v>
      </c>
      <c r="L588">
        <v>65</v>
      </c>
      <c r="M588" s="20">
        <v>6.25</v>
      </c>
      <c r="N588" s="20">
        <f t="shared" si="54"/>
        <v>10.4</v>
      </c>
      <c r="O588">
        <f t="shared" si="55"/>
        <v>300</v>
      </c>
      <c r="P588" s="116">
        <f t="shared" si="53"/>
        <v>0.1368421052631579</v>
      </c>
      <c r="Q588" s="59" t="s">
        <v>745</v>
      </c>
    </row>
    <row r="589" spans="1:18" x14ac:dyDescent="0.25">
      <c r="A589" t="s">
        <v>24</v>
      </c>
      <c r="B589" s="1" t="s">
        <v>497</v>
      </c>
      <c r="C589" t="str">
        <f>VLOOKUP(B589,'Planting GPS Points'!$B$3:$L$290,10,FALSE)</f>
        <v>USFWS</v>
      </c>
      <c r="D589" t="str">
        <f>VLOOKUP(B589,'Planting GPS Points'!$B$3:$AL$290,17,FALSE)</f>
        <v>test</v>
      </c>
      <c r="E589" s="27">
        <v>42888</v>
      </c>
      <c r="F589" s="20">
        <v>6.25</v>
      </c>
      <c r="G589">
        <v>475</v>
      </c>
      <c r="H589" s="12" t="s">
        <v>49</v>
      </c>
      <c r="I589" s="27">
        <v>43292</v>
      </c>
      <c r="J589" s="19" t="s">
        <v>291</v>
      </c>
      <c r="K589" s="19" t="s">
        <v>169</v>
      </c>
      <c r="L589" s="19">
        <v>40</v>
      </c>
      <c r="M589" s="20">
        <v>6.25</v>
      </c>
      <c r="N589" s="20">
        <f t="shared" si="54"/>
        <v>6.4</v>
      </c>
      <c r="O589" s="19">
        <f t="shared" si="55"/>
        <v>404</v>
      </c>
      <c r="P589" s="116">
        <f t="shared" si="53"/>
        <v>8.4210526315789472E-2</v>
      </c>
      <c r="Q589" s="13" t="s">
        <v>749</v>
      </c>
    </row>
    <row r="590" spans="1:18" x14ac:dyDescent="0.25">
      <c r="A590" s="1" t="s">
        <v>24</v>
      </c>
      <c r="B590" s="1" t="s">
        <v>497</v>
      </c>
      <c r="C590" t="str">
        <f>VLOOKUP(B590,'Planting GPS Points'!$B$3:$L$290,10,FALSE)</f>
        <v>USFWS</v>
      </c>
      <c r="D590" t="str">
        <f>VLOOKUP(B590,'Planting GPS Points'!$B$3:$AL$290,17,FALSE)</f>
        <v>test</v>
      </c>
      <c r="E590" s="27">
        <v>42888</v>
      </c>
      <c r="F590" s="20">
        <v>4.75</v>
      </c>
      <c r="G590" s="38">
        <v>475</v>
      </c>
      <c r="H590" s="12" t="s">
        <v>49</v>
      </c>
      <c r="I590" s="27">
        <v>44106</v>
      </c>
      <c r="J590" s="19" t="s">
        <v>409</v>
      </c>
      <c r="K590" s="19" t="s">
        <v>169</v>
      </c>
      <c r="L590">
        <v>0</v>
      </c>
      <c r="M590">
        <v>4.75</v>
      </c>
      <c r="N590" s="20">
        <f t="shared" si="54"/>
        <v>0</v>
      </c>
      <c r="O590">
        <f t="shared" si="55"/>
        <v>1218</v>
      </c>
      <c r="P590" s="116">
        <f t="shared" si="53"/>
        <v>0</v>
      </c>
      <c r="Q590" s="13" t="s">
        <v>1997</v>
      </c>
    </row>
    <row r="591" spans="1:18" x14ac:dyDescent="0.25">
      <c r="A591" t="s">
        <v>24</v>
      </c>
      <c r="B591" s="1" t="s">
        <v>498</v>
      </c>
      <c r="C591" t="str">
        <f>VLOOKUP(B591,'Planting GPS Points'!$B$3:$L$290,10,FALSE)</f>
        <v>USFWS</v>
      </c>
      <c r="D591" t="str">
        <f>VLOOKUP(B591,'Planting GPS Points'!$B$3:$AL$290,17,FALSE)</f>
        <v>test</v>
      </c>
      <c r="E591" s="27">
        <v>42888</v>
      </c>
      <c r="F591" s="20">
        <v>7.5</v>
      </c>
      <c r="G591">
        <v>618</v>
      </c>
      <c r="H591" s="12" t="s">
        <v>49</v>
      </c>
      <c r="I591" s="27">
        <v>43012</v>
      </c>
      <c r="J591" s="19" t="s">
        <v>291</v>
      </c>
      <c r="K591" s="19" t="s">
        <v>169</v>
      </c>
      <c r="L591">
        <f>38+82+67+66+51</f>
        <v>304</v>
      </c>
      <c r="M591">
        <v>7.5</v>
      </c>
      <c r="N591" s="20">
        <f t="shared" si="54"/>
        <v>40.533333333333331</v>
      </c>
      <c r="O591">
        <f t="shared" si="55"/>
        <v>124</v>
      </c>
      <c r="P591" s="116">
        <f t="shared" si="53"/>
        <v>0.49190938511326859</v>
      </c>
      <c r="Q591" s="13" t="s">
        <v>720</v>
      </c>
    </row>
    <row r="592" spans="1:18" x14ac:dyDescent="0.25">
      <c r="A592" t="s">
        <v>24</v>
      </c>
      <c r="B592" s="1" t="s">
        <v>498</v>
      </c>
      <c r="C592" t="str">
        <f>VLOOKUP(B592,'Planting GPS Points'!$B$3:$L$290,10,FALSE)</f>
        <v>USFWS</v>
      </c>
      <c r="D592" t="str">
        <f>VLOOKUP(B592,'Planting GPS Points'!$B$3:$AL$290,17,FALSE)</f>
        <v>test</v>
      </c>
      <c r="E592" s="27">
        <v>42888</v>
      </c>
      <c r="F592" s="20">
        <v>7.5</v>
      </c>
      <c r="G592">
        <v>618</v>
      </c>
      <c r="H592" s="12" t="s">
        <v>49</v>
      </c>
      <c r="I592" s="27">
        <v>43188</v>
      </c>
      <c r="J592" s="19" t="s">
        <v>291</v>
      </c>
      <c r="K592" s="19" t="s">
        <v>169</v>
      </c>
      <c r="L592">
        <v>72</v>
      </c>
      <c r="M592">
        <v>7.5</v>
      </c>
      <c r="N592" s="20">
        <f t="shared" si="54"/>
        <v>9.6</v>
      </c>
      <c r="O592">
        <f t="shared" si="55"/>
        <v>300</v>
      </c>
      <c r="P592" s="116">
        <f t="shared" si="53"/>
        <v>0.11650485436893204</v>
      </c>
      <c r="Q592" s="60" t="s">
        <v>746</v>
      </c>
    </row>
    <row r="593" spans="1:17" x14ac:dyDescent="0.25">
      <c r="A593" t="s">
        <v>24</v>
      </c>
      <c r="B593" s="1" t="s">
        <v>498</v>
      </c>
      <c r="C593" t="str">
        <f>VLOOKUP(B593,'Planting GPS Points'!$B$3:$L$290,10,FALSE)</f>
        <v>USFWS</v>
      </c>
      <c r="D593" t="str">
        <f>VLOOKUP(B593,'Planting GPS Points'!$B$3:$AL$290,17,FALSE)</f>
        <v>test</v>
      </c>
      <c r="E593" s="27">
        <v>42888</v>
      </c>
      <c r="F593" s="20">
        <v>7.5</v>
      </c>
      <c r="G593">
        <v>618</v>
      </c>
      <c r="H593" s="12" t="s">
        <v>49</v>
      </c>
      <c r="I593" s="27">
        <v>43292</v>
      </c>
      <c r="J593" s="19" t="s">
        <v>409</v>
      </c>
      <c r="K593" s="19" t="s">
        <v>169</v>
      </c>
      <c r="L593" s="19">
        <v>0</v>
      </c>
      <c r="M593">
        <v>7.5</v>
      </c>
      <c r="N593" s="20">
        <f t="shared" si="54"/>
        <v>0</v>
      </c>
      <c r="O593" s="19">
        <f t="shared" si="55"/>
        <v>404</v>
      </c>
      <c r="P593" s="116">
        <f t="shared" si="53"/>
        <v>0</v>
      </c>
      <c r="Q593" s="13" t="s">
        <v>750</v>
      </c>
    </row>
    <row r="594" spans="1:17" x14ac:dyDescent="0.25">
      <c r="A594" s="182" t="s">
        <v>24</v>
      </c>
      <c r="B594" t="s">
        <v>190</v>
      </c>
      <c r="C594" t="str">
        <f>VLOOKUP(B594,'Planting GPS Points'!$B$3:$L$290,10,FALSE)</f>
        <v>WDFW</v>
      </c>
      <c r="D594" t="str">
        <f>VLOOKUP(B594,'Planting GPS Points'!$B$3:$AL$290,17,FALSE)</f>
        <v>test</v>
      </c>
      <c r="E594" s="27">
        <v>41439</v>
      </c>
      <c r="F594" s="20">
        <v>25</v>
      </c>
      <c r="G594">
        <v>448</v>
      </c>
      <c r="H594" s="12" t="s">
        <v>49</v>
      </c>
      <c r="I594" s="27">
        <v>41621</v>
      </c>
      <c r="J594" s="19" t="s">
        <v>409</v>
      </c>
      <c r="K594" s="19" t="s">
        <v>168</v>
      </c>
      <c r="L594">
        <v>0</v>
      </c>
      <c r="M594">
        <v>25</v>
      </c>
      <c r="N594" s="20">
        <f t="shared" si="54"/>
        <v>0</v>
      </c>
      <c r="O594">
        <f t="shared" si="55"/>
        <v>182</v>
      </c>
      <c r="P594" s="116">
        <f t="shared" si="53"/>
        <v>0</v>
      </c>
      <c r="Q594" s="13"/>
    </row>
    <row r="595" spans="1:17" x14ac:dyDescent="0.25">
      <c r="A595" s="182" t="s">
        <v>24</v>
      </c>
      <c r="B595" t="s">
        <v>190</v>
      </c>
      <c r="C595" t="str">
        <f>VLOOKUP(B595,'Planting GPS Points'!$B$3:$L$290,10,FALSE)</f>
        <v>WDFW</v>
      </c>
      <c r="D595" t="str">
        <f>VLOOKUP(B595,'Planting GPS Points'!$B$3:$AL$290,17,FALSE)</f>
        <v>test</v>
      </c>
      <c r="E595" s="27">
        <v>41439</v>
      </c>
      <c r="F595" s="20">
        <v>25</v>
      </c>
      <c r="G595">
        <v>448</v>
      </c>
      <c r="H595" s="12" t="s">
        <v>49</v>
      </c>
      <c r="I595" s="27">
        <v>41709</v>
      </c>
      <c r="J595" s="19" t="s">
        <v>409</v>
      </c>
      <c r="K595" s="19" t="s">
        <v>168</v>
      </c>
      <c r="L595">
        <v>0</v>
      </c>
      <c r="M595">
        <v>25</v>
      </c>
      <c r="N595" s="20">
        <f t="shared" si="54"/>
        <v>0</v>
      </c>
      <c r="O595">
        <f t="shared" si="55"/>
        <v>270</v>
      </c>
      <c r="P595" s="116">
        <f t="shared" si="53"/>
        <v>0</v>
      </c>
      <c r="Q595" s="13"/>
    </row>
    <row r="596" spans="1:17" x14ac:dyDescent="0.25">
      <c r="A596" s="182" t="s">
        <v>24</v>
      </c>
      <c r="B596" t="s">
        <v>191</v>
      </c>
      <c r="C596" t="str">
        <f>VLOOKUP(B596,'Planting GPS Points'!$B$3:$L$290,10,FALSE)</f>
        <v>WDFW</v>
      </c>
      <c r="D596" t="str">
        <f>VLOOKUP(B596,'Planting GPS Points'!$B$3:$AL$290,17,FALSE)</f>
        <v>test</v>
      </c>
      <c r="E596" s="27">
        <v>41439</v>
      </c>
      <c r="F596" s="20">
        <v>25</v>
      </c>
      <c r="G596">
        <v>472</v>
      </c>
      <c r="H596" s="12" t="s">
        <v>49</v>
      </c>
      <c r="I596" s="27">
        <v>41621</v>
      </c>
      <c r="J596" s="19" t="s">
        <v>291</v>
      </c>
      <c r="K596" s="19" t="s">
        <v>168</v>
      </c>
      <c r="M596">
        <v>25</v>
      </c>
      <c r="N596" s="20">
        <f t="shared" si="54"/>
        <v>0</v>
      </c>
      <c r="O596">
        <f t="shared" si="55"/>
        <v>182</v>
      </c>
      <c r="P596" s="116" t="str">
        <f t="shared" si="53"/>
        <v/>
      </c>
      <c r="Q596" s="13" t="s">
        <v>636</v>
      </c>
    </row>
    <row r="597" spans="1:17" x14ac:dyDescent="0.25">
      <c r="A597" s="182" t="s">
        <v>24</v>
      </c>
      <c r="B597" t="s">
        <v>191</v>
      </c>
      <c r="C597" t="str">
        <f>VLOOKUP(B597,'Planting GPS Points'!$B$3:$L$290,10,FALSE)</f>
        <v>WDFW</v>
      </c>
      <c r="D597" t="str">
        <f>VLOOKUP(B597,'Planting GPS Points'!$B$3:$AL$290,17,FALSE)</f>
        <v>test</v>
      </c>
      <c r="E597" s="27">
        <v>41439</v>
      </c>
      <c r="F597" s="20">
        <v>25</v>
      </c>
      <c r="G597">
        <v>472</v>
      </c>
      <c r="H597" s="12" t="s">
        <v>49</v>
      </c>
      <c r="I597" s="27">
        <v>41709</v>
      </c>
      <c r="J597" s="19" t="s">
        <v>291</v>
      </c>
      <c r="K597" s="19" t="s">
        <v>168</v>
      </c>
      <c r="L597">
        <v>81</v>
      </c>
      <c r="M597">
        <v>25</v>
      </c>
      <c r="N597" s="20">
        <f t="shared" si="54"/>
        <v>3.24</v>
      </c>
      <c r="O597">
        <f t="shared" si="55"/>
        <v>270</v>
      </c>
      <c r="P597" s="116">
        <f t="shared" si="53"/>
        <v>0.17161016949152541</v>
      </c>
      <c r="Q597" s="13"/>
    </row>
    <row r="598" spans="1:17" x14ac:dyDescent="0.25">
      <c r="A598" s="182" t="s">
        <v>24</v>
      </c>
      <c r="B598" t="s">
        <v>191</v>
      </c>
      <c r="C598" t="str">
        <f>VLOOKUP(B598,'Planting GPS Points'!$B$3:$L$290,10,FALSE)</f>
        <v>WDFW</v>
      </c>
      <c r="D598" t="str">
        <f>VLOOKUP(B598,'Planting GPS Points'!$B$3:$AL$290,17,FALSE)</f>
        <v>test</v>
      </c>
      <c r="E598" s="27">
        <v>41439</v>
      </c>
      <c r="F598" s="20">
        <v>25</v>
      </c>
      <c r="G598">
        <v>472</v>
      </c>
      <c r="H598" s="12" t="s">
        <v>49</v>
      </c>
      <c r="I598" s="27">
        <v>42881</v>
      </c>
      <c r="J598" s="19" t="s">
        <v>409</v>
      </c>
      <c r="K598" s="19" t="s">
        <v>168</v>
      </c>
      <c r="L598">
        <v>1</v>
      </c>
      <c r="M598">
        <v>25</v>
      </c>
      <c r="N598" s="20">
        <f t="shared" si="54"/>
        <v>0.04</v>
      </c>
      <c r="O598">
        <f t="shared" si="55"/>
        <v>1442</v>
      </c>
      <c r="P598" s="116">
        <f t="shared" si="53"/>
        <v>2.1186440677966102E-3</v>
      </c>
      <c r="Q598" s="13" t="s">
        <v>716</v>
      </c>
    </row>
    <row r="599" spans="1:17" x14ac:dyDescent="0.25">
      <c r="A599" s="182" t="s">
        <v>14</v>
      </c>
      <c r="B599" t="s">
        <v>996</v>
      </c>
      <c r="C599" t="str">
        <f>VLOOKUP(B599,'Planting GPS Points'!$B$3:$L$290,10,FALSE)</f>
        <v>DNR</v>
      </c>
      <c r="D599" t="str">
        <f>VLOOKUP(B599,'Planting GPS Points'!$B$3:$AL$290,17,FALSE)</f>
        <v>test</v>
      </c>
      <c r="E599" s="27">
        <v>42527</v>
      </c>
      <c r="F599" s="20">
        <v>6.25E-2</v>
      </c>
      <c r="G599" s="130">
        <v>40</v>
      </c>
      <c r="H599" s="12" t="s">
        <v>165</v>
      </c>
      <c r="I599" s="27">
        <v>42553</v>
      </c>
      <c r="J599" s="19" t="s">
        <v>291</v>
      </c>
      <c r="K599" s="19" t="s">
        <v>169</v>
      </c>
      <c r="N599" s="20" t="str">
        <f t="shared" si="54"/>
        <v/>
      </c>
      <c r="O599">
        <f t="shared" si="55"/>
        <v>26</v>
      </c>
      <c r="P599" s="116" t="str">
        <f t="shared" si="53"/>
        <v/>
      </c>
      <c r="Q599" s="13" t="s">
        <v>979</v>
      </c>
    </row>
    <row r="600" spans="1:17" x14ac:dyDescent="0.25">
      <c r="A600" s="182" t="s">
        <v>14</v>
      </c>
      <c r="B600" t="s">
        <v>996</v>
      </c>
      <c r="C600" t="str">
        <f>VLOOKUP(B600,'Planting GPS Points'!$B$3:$L$290,10,FALSE)</f>
        <v>DNR</v>
      </c>
      <c r="D600" t="str">
        <f>VLOOKUP(B600,'Planting GPS Points'!$B$3:$AL$290,17,FALSE)</f>
        <v>test</v>
      </c>
      <c r="E600" s="27">
        <v>42527</v>
      </c>
      <c r="F600" s="20">
        <v>6.25E-2</v>
      </c>
      <c r="G600" s="130">
        <v>40</v>
      </c>
      <c r="H600" s="12" t="s">
        <v>165</v>
      </c>
      <c r="I600" s="27">
        <v>42600</v>
      </c>
      <c r="J600" s="19" t="s">
        <v>409</v>
      </c>
      <c r="K600" s="19" t="s">
        <v>169</v>
      </c>
      <c r="L600">
        <v>0</v>
      </c>
      <c r="N600" s="20" t="str">
        <f t="shared" si="54"/>
        <v/>
      </c>
      <c r="O600">
        <f t="shared" si="55"/>
        <v>73</v>
      </c>
      <c r="P600" s="116">
        <f t="shared" si="53"/>
        <v>0</v>
      </c>
      <c r="Q600" s="13" t="s">
        <v>1210</v>
      </c>
    </row>
    <row r="601" spans="1:17" x14ac:dyDescent="0.25">
      <c r="A601" s="182" t="s">
        <v>14</v>
      </c>
      <c r="B601" t="s">
        <v>997</v>
      </c>
      <c r="C601" t="str">
        <f>VLOOKUP(B601,'Planting GPS Points'!$B$3:$L$290,10,FALSE)</f>
        <v>DNR</v>
      </c>
      <c r="D601" t="str">
        <f>VLOOKUP(B601,'Planting GPS Points'!$B$3:$AL$290,17,FALSE)</f>
        <v>test</v>
      </c>
      <c r="E601" s="27">
        <v>42572</v>
      </c>
      <c r="F601" s="20">
        <v>0.25</v>
      </c>
      <c r="G601" s="130">
        <v>200</v>
      </c>
      <c r="H601" s="12" t="s">
        <v>165</v>
      </c>
      <c r="I601" s="27">
        <v>42600</v>
      </c>
      <c r="J601" s="19" t="s">
        <v>409</v>
      </c>
      <c r="K601" s="19" t="s">
        <v>169</v>
      </c>
      <c r="L601">
        <v>0</v>
      </c>
      <c r="N601" s="20" t="str">
        <f t="shared" si="54"/>
        <v/>
      </c>
      <c r="O601">
        <f t="shared" si="55"/>
        <v>28</v>
      </c>
      <c r="P601" s="116">
        <f t="shared" si="53"/>
        <v>0</v>
      </c>
      <c r="Q601" s="13" t="s">
        <v>1263</v>
      </c>
    </row>
    <row r="602" spans="1:17" x14ac:dyDescent="0.25">
      <c r="A602" s="182" t="s">
        <v>14</v>
      </c>
      <c r="B602" t="s">
        <v>189</v>
      </c>
      <c r="C602" t="str">
        <f>VLOOKUP(B602,'Planting GPS Points'!$B$3:$L$290,10,FALSE)</f>
        <v>WDFW</v>
      </c>
      <c r="D602" t="str">
        <f>VLOOKUP(B602,'Planting GPS Points'!$B$3:$AL$290,17,FALSE)</f>
        <v>test</v>
      </c>
      <c r="E602" s="27">
        <v>41431</v>
      </c>
      <c r="F602" s="20">
        <v>45</v>
      </c>
      <c r="G602">
        <v>872</v>
      </c>
      <c r="H602" s="12" t="s">
        <v>49</v>
      </c>
      <c r="I602" s="27">
        <v>41613</v>
      </c>
      <c r="J602" s="19" t="s">
        <v>291</v>
      </c>
      <c r="K602" s="19" t="s">
        <v>168</v>
      </c>
      <c r="M602">
        <v>45</v>
      </c>
      <c r="N602" s="20"/>
      <c r="O602">
        <f t="shared" si="55"/>
        <v>182</v>
      </c>
      <c r="P602" s="116" t="str">
        <f t="shared" si="53"/>
        <v/>
      </c>
      <c r="Q602" s="13" t="s">
        <v>632</v>
      </c>
    </row>
    <row r="603" spans="1:17" x14ac:dyDescent="0.25">
      <c r="A603" s="182" t="s">
        <v>14</v>
      </c>
      <c r="B603" t="s">
        <v>189</v>
      </c>
      <c r="C603" t="str">
        <f>VLOOKUP(B603,'Planting GPS Points'!$B$3:$L$290,10,FALSE)</f>
        <v>WDFW</v>
      </c>
      <c r="D603" t="str">
        <f>VLOOKUP(B603,'Planting GPS Points'!$B$3:$AL$290,17,FALSE)</f>
        <v>test</v>
      </c>
      <c r="E603" s="27">
        <v>41431</v>
      </c>
      <c r="F603" s="20">
        <v>45</v>
      </c>
      <c r="G603">
        <v>872</v>
      </c>
      <c r="H603" s="12" t="s">
        <v>49</v>
      </c>
      <c r="I603" s="27">
        <v>41725</v>
      </c>
      <c r="J603" s="19" t="s">
        <v>291</v>
      </c>
      <c r="K603" s="19" t="s">
        <v>168</v>
      </c>
      <c r="L603">
        <v>539</v>
      </c>
      <c r="M603">
        <v>45</v>
      </c>
      <c r="N603" s="20">
        <f>IFERROR(L603/M603, "")</f>
        <v>11.977777777777778</v>
      </c>
      <c r="O603">
        <f t="shared" si="55"/>
        <v>294</v>
      </c>
      <c r="P603" s="116">
        <f t="shared" si="53"/>
        <v>0.61811926605504586</v>
      </c>
      <c r="Q603" s="13" t="s">
        <v>723</v>
      </c>
    </row>
    <row r="604" spans="1:17" x14ac:dyDescent="0.25">
      <c r="A604" s="182" t="s">
        <v>14</v>
      </c>
      <c r="B604" t="s">
        <v>189</v>
      </c>
      <c r="C604" t="str">
        <f>VLOOKUP(B604,'Planting GPS Points'!$B$3:$L$290,10,FALSE)</f>
        <v>WDFW</v>
      </c>
      <c r="D604" t="str">
        <f>VLOOKUP(B604,'Planting GPS Points'!$B$3:$AL$290,17,FALSE)</f>
        <v>test</v>
      </c>
      <c r="E604" s="27">
        <v>41431</v>
      </c>
      <c r="F604" s="20">
        <v>45</v>
      </c>
      <c r="G604">
        <v>872</v>
      </c>
      <c r="H604" s="12" t="s">
        <v>49</v>
      </c>
      <c r="I604" s="27">
        <v>41775</v>
      </c>
      <c r="J604" s="19" t="s">
        <v>291</v>
      </c>
      <c r="K604" s="19" t="s">
        <v>168</v>
      </c>
      <c r="M604">
        <v>45</v>
      </c>
      <c r="N604" s="20"/>
      <c r="O604">
        <f t="shared" si="55"/>
        <v>344</v>
      </c>
      <c r="P604" s="116"/>
      <c r="Q604" s="13" t="s">
        <v>2155</v>
      </c>
    </row>
    <row r="605" spans="1:17" x14ac:dyDescent="0.25">
      <c r="A605" s="182" t="s">
        <v>14</v>
      </c>
      <c r="B605" t="s">
        <v>189</v>
      </c>
      <c r="C605" t="str">
        <f>VLOOKUP(B605,'Planting GPS Points'!$B$3:$L$290,10,FALSE)</f>
        <v>WDFW</v>
      </c>
      <c r="D605" t="str">
        <f>VLOOKUP(B605,'Planting GPS Points'!$B$3:$AL$290,17,FALSE)</f>
        <v>test</v>
      </c>
      <c r="E605" s="27">
        <v>41431</v>
      </c>
      <c r="F605" s="20">
        <v>45</v>
      </c>
      <c r="G605">
        <v>872</v>
      </c>
      <c r="H605" s="12" t="s">
        <v>49</v>
      </c>
      <c r="I605" s="27">
        <v>41506</v>
      </c>
      <c r="J605" s="19" t="s">
        <v>291</v>
      </c>
      <c r="K605" s="19" t="s">
        <v>168</v>
      </c>
      <c r="M605">
        <v>45</v>
      </c>
      <c r="N605" s="20"/>
      <c r="O605">
        <f t="shared" si="55"/>
        <v>75</v>
      </c>
      <c r="P605" s="116"/>
      <c r="Q605" s="13" t="s">
        <v>2156</v>
      </c>
    </row>
    <row r="606" spans="1:17" x14ac:dyDescent="0.25">
      <c r="A606" s="182" t="s">
        <v>14</v>
      </c>
      <c r="B606" t="s">
        <v>402</v>
      </c>
      <c r="C606" t="str">
        <f>VLOOKUP(B606,'Planting GPS Points'!$B$3:$L$290,10,FALSE)</f>
        <v>DNR</v>
      </c>
      <c r="D606" t="str">
        <f>VLOOKUP(B606,'Planting GPS Points'!$B$3:$AL$290,17,FALSE)</f>
        <v>test</v>
      </c>
      <c r="E606" s="27">
        <v>42130</v>
      </c>
      <c r="F606" s="20">
        <v>25</v>
      </c>
      <c r="G606" s="130">
        <v>500</v>
      </c>
      <c r="H606" s="12" t="s">
        <v>165</v>
      </c>
      <c r="I606" s="27">
        <v>42513</v>
      </c>
      <c r="J606" s="19" t="s">
        <v>409</v>
      </c>
      <c r="K606" s="19" t="s">
        <v>168</v>
      </c>
      <c r="L606">
        <v>0</v>
      </c>
      <c r="N606" s="20" t="str">
        <f>IFERROR(L606/M606, "")</f>
        <v/>
      </c>
      <c r="O606">
        <f t="shared" si="55"/>
        <v>383</v>
      </c>
      <c r="P606" s="116">
        <f t="shared" si="53"/>
        <v>0</v>
      </c>
      <c r="Q606" s="13" t="s">
        <v>1260</v>
      </c>
    </row>
    <row r="607" spans="1:17" x14ac:dyDescent="0.25">
      <c r="A607" t="s">
        <v>540</v>
      </c>
      <c r="B607" t="s">
        <v>2106</v>
      </c>
      <c r="C607" t="str">
        <f>VLOOKUP(B607,'Planting GPS Points'!$B$3:$L$290,10,FALSE)</f>
        <v>King County</v>
      </c>
      <c r="D607" t="str">
        <f>VLOOKUP(B607,'Planting GPS Points'!$B$3:$AL$290,17,FALSE)</f>
        <v>test</v>
      </c>
      <c r="E607" s="27">
        <v>44700</v>
      </c>
      <c r="F607">
        <v>5</v>
      </c>
      <c r="G607">
        <v>400</v>
      </c>
      <c r="H607" s="12" t="s">
        <v>165</v>
      </c>
      <c r="I607" s="27">
        <v>44712</v>
      </c>
      <c r="J607" s="19" t="s">
        <v>291</v>
      </c>
      <c r="K607" s="19" t="s">
        <v>169</v>
      </c>
      <c r="O607">
        <f t="shared" ref="O607:O609" si="56">I607-E607</f>
        <v>12</v>
      </c>
      <c r="Q607" t="s">
        <v>2116</v>
      </c>
    </row>
    <row r="608" spans="1:17" x14ac:dyDescent="0.25">
      <c r="A608" t="s">
        <v>380</v>
      </c>
      <c r="B608" s="1" t="s">
        <v>2038</v>
      </c>
      <c r="C608" t="str">
        <f>VLOOKUP(B608,'Planting GPS Points'!$B$3:$L$290,10,FALSE)</f>
        <v>King County</v>
      </c>
      <c r="D608" t="str">
        <f>VLOOKUP(B608,'Planting GPS Points'!$B$3:$AL$290,17,FALSE)</f>
        <v>test</v>
      </c>
      <c r="E608" s="27">
        <v>44329</v>
      </c>
      <c r="F608" s="20">
        <v>2.25</v>
      </c>
      <c r="G608" s="38">
        <v>180</v>
      </c>
      <c r="H608" s="12" t="s">
        <v>165</v>
      </c>
      <c r="I608" s="27">
        <v>44373</v>
      </c>
      <c r="J608" s="19" t="s">
        <v>409</v>
      </c>
      <c r="K608" s="19" t="s">
        <v>169</v>
      </c>
      <c r="L608">
        <v>0</v>
      </c>
      <c r="M608" s="143"/>
      <c r="N608" s="20"/>
      <c r="O608">
        <f t="shared" si="56"/>
        <v>44</v>
      </c>
      <c r="P608" s="116">
        <v>1.6666666666666668E-3</v>
      </c>
      <c r="Q608" s="143" t="s">
        <v>2048</v>
      </c>
    </row>
    <row r="609" spans="1:17" x14ac:dyDescent="0.25">
      <c r="A609" t="s">
        <v>380</v>
      </c>
      <c r="B609" s="1" t="s">
        <v>2038</v>
      </c>
      <c r="C609" t="str">
        <f>VLOOKUP(B609,'Planting GPS Points'!$B$3:$L$290,10,FALSE)</f>
        <v>King County</v>
      </c>
      <c r="D609" t="str">
        <f>VLOOKUP(B609,'Planting GPS Points'!$B$3:$AL$290,17,FALSE)</f>
        <v>test</v>
      </c>
      <c r="E609" s="27">
        <v>44330</v>
      </c>
      <c r="F609" s="20">
        <v>2.25</v>
      </c>
      <c r="G609" s="38">
        <v>180</v>
      </c>
      <c r="H609" s="12" t="s">
        <v>165</v>
      </c>
      <c r="I609" s="27">
        <v>44373</v>
      </c>
      <c r="J609" s="19" t="s">
        <v>409</v>
      </c>
      <c r="K609" s="19" t="s">
        <v>169</v>
      </c>
      <c r="L609">
        <v>0</v>
      </c>
      <c r="M609" s="143"/>
      <c r="N609" s="20"/>
      <c r="O609">
        <f t="shared" si="56"/>
        <v>43</v>
      </c>
      <c r="P609" s="116">
        <v>1.6666666666666668E-3</v>
      </c>
      <c r="Q609" s="143" t="s">
        <v>2048</v>
      </c>
    </row>
    <row r="610" spans="1:17" x14ac:dyDescent="0.25">
      <c r="A610" t="s">
        <v>380</v>
      </c>
      <c r="B610" s="1" t="s">
        <v>2038</v>
      </c>
      <c r="C610" t="str">
        <f>VLOOKUP(B610,'Planting GPS Points'!$B$3:$L$290,10,FALSE)</f>
        <v>King County</v>
      </c>
      <c r="D610" t="str">
        <f>VLOOKUP(B610,'Planting GPS Points'!$B$3:$AL$290,17,FALSE)</f>
        <v>test</v>
      </c>
      <c r="E610" s="27">
        <v>44329</v>
      </c>
      <c r="F610" s="20">
        <v>2.25</v>
      </c>
      <c r="G610" s="38">
        <v>180</v>
      </c>
      <c r="H610" s="12" t="s">
        <v>165</v>
      </c>
      <c r="I610" s="27">
        <v>44712</v>
      </c>
      <c r="J610" s="19" t="s">
        <v>409</v>
      </c>
      <c r="K610" s="19" t="s">
        <v>169</v>
      </c>
      <c r="L610">
        <v>0</v>
      </c>
      <c r="M610" s="143"/>
      <c r="N610" s="20"/>
      <c r="O610">
        <f t="shared" ref="O610:O611" si="57">I610-E610</f>
        <v>383</v>
      </c>
      <c r="P610" s="116">
        <v>1.6666666666666668E-3</v>
      </c>
      <c r="Q610" s="143" t="s">
        <v>2120</v>
      </c>
    </row>
    <row r="611" spans="1:17" x14ac:dyDescent="0.25">
      <c r="A611" t="s">
        <v>380</v>
      </c>
      <c r="B611" s="1" t="s">
        <v>2038</v>
      </c>
      <c r="C611" t="str">
        <f>VLOOKUP(B611,'Planting GPS Points'!$B$3:$L$290,10,FALSE)</f>
        <v>King County</v>
      </c>
      <c r="D611" t="str">
        <f>VLOOKUP(B611,'Planting GPS Points'!$B$3:$AL$290,17,FALSE)</f>
        <v>test</v>
      </c>
      <c r="E611" s="27">
        <v>44330</v>
      </c>
      <c r="F611" s="20">
        <v>2.25</v>
      </c>
      <c r="G611" s="38">
        <v>180</v>
      </c>
      <c r="H611" s="12" t="s">
        <v>165</v>
      </c>
      <c r="I611" s="27">
        <v>44712</v>
      </c>
      <c r="J611" s="19" t="s">
        <v>409</v>
      </c>
      <c r="K611" s="19" t="s">
        <v>169</v>
      </c>
      <c r="L611">
        <v>0</v>
      </c>
      <c r="M611" s="143"/>
      <c r="N611" s="20"/>
      <c r="O611">
        <f t="shared" si="57"/>
        <v>382</v>
      </c>
      <c r="P611" s="116">
        <v>1.6666666666666668E-3</v>
      </c>
      <c r="Q611" s="143" t="s">
        <v>2120</v>
      </c>
    </row>
    <row r="619" spans="1:17" x14ac:dyDescent="0.25">
      <c r="B619" s="190" t="s">
        <v>31</v>
      </c>
      <c r="C619" s="190" t="s">
        <v>2060</v>
      </c>
    </row>
    <row r="627" spans="1:3" x14ac:dyDescent="0.25">
      <c r="B627" s="16"/>
      <c r="C627" s="16"/>
    </row>
    <row r="630" spans="1:3" x14ac:dyDescent="0.25">
      <c r="A630" s="4"/>
      <c r="B630" s="4"/>
    </row>
    <row r="645" spans="1:2" x14ac:dyDescent="0.25">
      <c r="A645" s="16"/>
      <c r="B645" s="16"/>
    </row>
    <row r="660" spans="1:17" x14ac:dyDescent="0.25">
      <c r="D660" s="4"/>
      <c r="E660" s="4"/>
    </row>
    <row r="663" spans="1:17" x14ac:dyDescent="0.25">
      <c r="A663" t="s">
        <v>9</v>
      </c>
      <c r="B663" t="s">
        <v>2020</v>
      </c>
      <c r="C663" t="str">
        <f>VLOOKUP(B663,'Planting GPS Points'!$B$3:$L$290,10,FALSE)</f>
        <v>USACE</v>
      </c>
      <c r="D663" t="str">
        <f>VLOOKUP(B663,'Planting GPS Points'!$B$3:$AL$290,17,FALSE)</f>
        <v>test</v>
      </c>
      <c r="E663" s="27">
        <v>44012</v>
      </c>
      <c r="F663">
        <v>5</v>
      </c>
      <c r="G663">
        <v>500</v>
      </c>
      <c r="H663" s="12" t="s">
        <v>165</v>
      </c>
      <c r="I663" s="27">
        <v>45832</v>
      </c>
      <c r="J663" s="19" t="s">
        <v>410</v>
      </c>
      <c r="K663" s="19" t="s">
        <v>169</v>
      </c>
      <c r="Q663" t="s">
        <v>2191</v>
      </c>
    </row>
    <row r="664" spans="1:17" x14ac:dyDescent="0.25">
      <c r="A664" s="1" t="s">
        <v>31</v>
      </c>
      <c r="B664" s="1" t="s">
        <v>2060</v>
      </c>
      <c r="C664" t="str">
        <f>VLOOKUP(B664,'Planting GPS Points'!$B$3:$L$290,10,FALSE)</f>
        <v>USACE</v>
      </c>
      <c r="D664" t="str">
        <f>VLOOKUP(B664,'Planting GPS Points'!$B$3:$AL$290,17,FALSE)</f>
        <v>large scale</v>
      </c>
      <c r="E664" s="134">
        <v>44350</v>
      </c>
      <c r="F664" s="20">
        <v>250</v>
      </c>
      <c r="G664">
        <v>12305</v>
      </c>
      <c r="H664" s="12" t="s">
        <v>165</v>
      </c>
      <c r="I664" s="27">
        <v>45832</v>
      </c>
      <c r="J664" s="19" t="s">
        <v>291</v>
      </c>
      <c r="K664" s="19" t="s">
        <v>169</v>
      </c>
      <c r="Q664" t="s">
        <v>2197</v>
      </c>
    </row>
    <row r="665" spans="1:17" x14ac:dyDescent="0.25">
      <c r="A665" t="s">
        <v>167</v>
      </c>
      <c r="B665" s="142" t="s">
        <v>1511</v>
      </c>
      <c r="C665" t="str">
        <f>VLOOKUP(B665,'Planting GPS Points'!$B$3:$L$290,10,FALSE)</f>
        <v>USFWS</v>
      </c>
      <c r="D665" t="str">
        <f>VLOOKUP(B665,'Planting GPS Points'!$B$3:$AL$290,17,FALSE)</f>
        <v>large scale</v>
      </c>
      <c r="E665" s="147">
        <v>43235</v>
      </c>
      <c r="F665" s="20">
        <v>138</v>
      </c>
      <c r="G665">
        <v>13800</v>
      </c>
      <c r="H665" s="12" t="s">
        <v>165</v>
      </c>
      <c r="I665" s="27">
        <v>45820</v>
      </c>
      <c r="J665" s="19" t="s">
        <v>409</v>
      </c>
      <c r="K665" s="19" t="s">
        <v>169</v>
      </c>
      <c r="Q665" t="s">
        <v>2193</v>
      </c>
    </row>
    <row r="666" spans="1:17" x14ac:dyDescent="0.25">
      <c r="A666" s="243" t="s">
        <v>167</v>
      </c>
      <c r="B666" s="244" t="s">
        <v>1512</v>
      </c>
      <c r="C666" t="str">
        <f>VLOOKUP(B666,'Planting GPS Points'!$B$3:$L$290,10,FALSE)</f>
        <v>USACE</v>
      </c>
      <c r="D666" t="str">
        <f>VLOOKUP(B666,'Planting GPS Points'!$B$3:$AL$290,17,FALSE)</f>
        <v>large scale</v>
      </c>
      <c r="E666" s="147">
        <v>43265</v>
      </c>
      <c r="F666" s="20">
        <v>97</v>
      </c>
      <c r="G666">
        <v>9688</v>
      </c>
      <c r="H666" s="12" t="s">
        <v>165</v>
      </c>
      <c r="I666" s="27">
        <v>45820</v>
      </c>
      <c r="J666" s="19" t="s">
        <v>409</v>
      </c>
      <c r="K666" s="19" t="s">
        <v>169</v>
      </c>
      <c r="Q666" t="s">
        <v>2193</v>
      </c>
    </row>
    <row r="667" spans="1:17" x14ac:dyDescent="0.25">
      <c r="A667" s="240" t="s">
        <v>167</v>
      </c>
      <c r="B667" s="240" t="s">
        <v>1521</v>
      </c>
      <c r="C667" t="str">
        <f>VLOOKUP(B667,'Planting GPS Points'!$B$3:$L$290,10,FALSE)</f>
        <v>USFWS</v>
      </c>
      <c r="D667" t="str">
        <f>VLOOKUP(B667,'Planting GPS Points'!$B$3:$AL$290,17,FALSE)</f>
        <v>large scale</v>
      </c>
      <c r="E667" s="27">
        <v>43599</v>
      </c>
      <c r="F667" s="179" t="str">
        <f>VLOOKUP(B667,PLANTING,26,FALSE)</f>
        <v>rebar</v>
      </c>
      <c r="G667" s="148">
        <f>VLOOKUP(B667,PLANTING,29,FALSE)</f>
        <v>234</v>
      </c>
      <c r="H667" s="12" t="s">
        <v>165</v>
      </c>
      <c r="I667" s="27">
        <v>45820</v>
      </c>
      <c r="J667" s="19" t="s">
        <v>409</v>
      </c>
      <c r="K667" s="19" t="s">
        <v>169</v>
      </c>
      <c r="Q667" t="s">
        <v>2193</v>
      </c>
    </row>
    <row r="668" spans="1:17" x14ac:dyDescent="0.25">
      <c r="A668" s="240" t="s">
        <v>9</v>
      </c>
      <c r="B668" s="241" t="s">
        <v>183</v>
      </c>
      <c r="C668" t="str">
        <f>VLOOKUP(B668,'Planting GPS Points'!$B$3:$L$290,10,FALSE)</f>
        <v>USACE</v>
      </c>
      <c r="D668" t="str">
        <f>VLOOKUP(B668,'Planting GPS Points'!$B$3:$AL$290,17,FALSE)</f>
        <v>large scale</v>
      </c>
      <c r="E668" s="27">
        <v>42955</v>
      </c>
      <c r="F668">
        <v>105.25</v>
      </c>
      <c r="G668" s="120">
        <v>10525</v>
      </c>
      <c r="H668" s="12" t="s">
        <v>165</v>
      </c>
      <c r="I668" s="27">
        <v>45833</v>
      </c>
      <c r="J668" s="19" t="s">
        <v>291</v>
      </c>
      <c r="K668" s="19" t="s">
        <v>169</v>
      </c>
      <c r="Q668" t="s">
        <v>2198</v>
      </c>
    </row>
    <row r="669" spans="1:17" x14ac:dyDescent="0.25">
      <c r="A669" s="242" t="s">
        <v>1854</v>
      </c>
      <c r="B669" s="240" t="s">
        <v>2083</v>
      </c>
      <c r="C669" t="str">
        <f>VLOOKUP(B669,'Planting GPS Points'!$B$3:$L$290,10,FALSE)</f>
        <v>King County</v>
      </c>
      <c r="D669" t="str">
        <f>VLOOKUP(B669,'Planting GPS Points'!$B$3:$AL$290,17,FALSE)</f>
        <v>test</v>
      </c>
      <c r="E669" s="27">
        <v>44698</v>
      </c>
      <c r="F669">
        <v>7.75</v>
      </c>
      <c r="G669">
        <v>620</v>
      </c>
      <c r="H669" s="12" t="s">
        <v>165</v>
      </c>
      <c r="I669" s="27">
        <v>45818</v>
      </c>
      <c r="J669" s="19" t="s">
        <v>409</v>
      </c>
      <c r="K669" s="19" t="s">
        <v>169</v>
      </c>
      <c r="Q669" t="s">
        <v>2192</v>
      </c>
    </row>
    <row r="670" spans="1:17" x14ac:dyDescent="0.25">
      <c r="A670" s="1" t="s">
        <v>149</v>
      </c>
      <c r="B670" t="s">
        <v>1141</v>
      </c>
      <c r="C670" t="str">
        <f>VLOOKUP(B670,'Planting GPS Points'!$B$3:$L$290,10,FALSE)</f>
        <v>DNR</v>
      </c>
      <c r="D670" t="str">
        <f>VLOOKUP(B670,'Planting GPS Points'!$B$3:$AL$290,17,FALSE)</f>
        <v>large scale</v>
      </c>
      <c r="E670" s="27">
        <v>42162</v>
      </c>
      <c r="F670" s="20">
        <v>151</v>
      </c>
      <c r="G670" s="38">
        <v>12000</v>
      </c>
      <c r="H670" s="12" t="s">
        <v>165</v>
      </c>
      <c r="I670" s="27">
        <v>45847</v>
      </c>
      <c r="J670" s="129" t="s">
        <v>291</v>
      </c>
      <c r="K670" s="19" t="s">
        <v>168</v>
      </c>
      <c r="Q670" t="s">
        <v>2194</v>
      </c>
    </row>
    <row r="671" spans="1:17" x14ac:dyDescent="0.25">
      <c r="A671" s="1" t="s">
        <v>149</v>
      </c>
      <c r="B671" t="s">
        <v>1147</v>
      </c>
      <c r="C671" t="str">
        <f>VLOOKUP(B671,'Planting GPS Points'!$B$3:$L$290,10,FALSE)</f>
        <v>WDFW</v>
      </c>
      <c r="D671" t="str">
        <f>VLOOKUP(B671,'Planting GPS Points'!$B$3:$AL$290,17,FALSE)</f>
        <v>large scale</v>
      </c>
      <c r="E671" s="27">
        <v>42576</v>
      </c>
      <c r="F671" s="20">
        <v>160</v>
      </c>
      <c r="G671" s="38">
        <v>20260</v>
      </c>
      <c r="H671" s="12" t="s">
        <v>165</v>
      </c>
      <c r="I671" s="27">
        <v>45831</v>
      </c>
      <c r="J671" s="19" t="s">
        <v>291</v>
      </c>
      <c r="K671" s="19" t="s">
        <v>171</v>
      </c>
      <c r="Q671" t="s">
        <v>2195</v>
      </c>
    </row>
    <row r="672" spans="1:17" x14ac:dyDescent="0.25">
      <c r="A672" s="1" t="s">
        <v>149</v>
      </c>
      <c r="B672" t="s">
        <v>1147</v>
      </c>
      <c r="C672" t="str">
        <f>VLOOKUP(B672,'Planting GPS Points'!$B$3:$L$290,10,FALSE)</f>
        <v>WDFW</v>
      </c>
      <c r="D672" t="str">
        <f>VLOOKUP(B672,'Planting GPS Points'!$B$3:$AL$290,17,FALSE)</f>
        <v>large scale</v>
      </c>
      <c r="E672" s="27">
        <v>42576</v>
      </c>
      <c r="F672" s="20">
        <v>160</v>
      </c>
      <c r="G672" s="38">
        <v>20260</v>
      </c>
      <c r="H672" s="12" t="s">
        <v>165</v>
      </c>
      <c r="I672" s="27">
        <v>45846</v>
      </c>
      <c r="J672" s="19" t="s">
        <v>291</v>
      </c>
      <c r="K672" s="19" t="s">
        <v>171</v>
      </c>
      <c r="Q672" t="s">
        <v>2196</v>
      </c>
    </row>
    <row r="673" spans="1:17" x14ac:dyDescent="0.25">
      <c r="A673" s="1" t="s">
        <v>149</v>
      </c>
      <c r="B673" t="s">
        <v>1903</v>
      </c>
      <c r="C673" t="str">
        <f>VLOOKUP(B673,'Planting GPS Points'!$B$3:$L$290,10,FALSE)</f>
        <v>DNR</v>
      </c>
      <c r="D673" t="str">
        <f>VLOOKUP(B673,'Planting GPS Points'!$B$3:$AL$290,17,FALSE)</f>
        <v>test</v>
      </c>
      <c r="E673" s="134">
        <v>42854</v>
      </c>
      <c r="H673" s="12" t="s">
        <v>165</v>
      </c>
      <c r="I673" s="27">
        <v>45846</v>
      </c>
      <c r="J673" s="19" t="s">
        <v>291</v>
      </c>
      <c r="K673" s="19" t="s">
        <v>168</v>
      </c>
      <c r="Q673" t="s">
        <v>2199</v>
      </c>
    </row>
    <row r="674" spans="1:17" x14ac:dyDescent="0.25">
      <c r="A674" s="1" t="s">
        <v>149</v>
      </c>
      <c r="B674" t="s">
        <v>2200</v>
      </c>
      <c r="C674" t="e">
        <f>VLOOKUP(B674,'Planting GPS Points'!$B$3:$L$290,10,FALSE)</f>
        <v>#N/A</v>
      </c>
      <c r="D674" t="e">
        <f>VLOOKUP(B674,'Planting GPS Points'!$B$3:$AL$290,17,FALSE)</f>
        <v>#N/A</v>
      </c>
      <c r="E674" s="134">
        <v>43295</v>
      </c>
      <c r="F674" s="20">
        <v>0.25</v>
      </c>
      <c r="G674" s="38">
        <v>63</v>
      </c>
      <c r="H674" s="12" t="s">
        <v>165</v>
      </c>
      <c r="I674" s="27">
        <v>45846</v>
      </c>
      <c r="J674" s="19" t="s">
        <v>291</v>
      </c>
      <c r="K674" s="19" t="s">
        <v>169</v>
      </c>
      <c r="Q674" t="s">
        <v>2201</v>
      </c>
    </row>
    <row r="675" spans="1:17" x14ac:dyDescent="0.25">
      <c r="A675" s="1" t="s">
        <v>149</v>
      </c>
      <c r="B675" t="s">
        <v>2202</v>
      </c>
      <c r="C675" t="e">
        <f>VLOOKUP(B675,'Planting GPS Points'!$B$3:$L$290,10,FALSE)</f>
        <v>#N/A</v>
      </c>
      <c r="D675" t="e">
        <f>VLOOKUP(B675,'Planting GPS Points'!$B$3:$AL$290,17,FALSE)</f>
        <v>#N/A</v>
      </c>
      <c r="E675" s="134">
        <v>44018</v>
      </c>
      <c r="F675" s="20">
        <v>1</v>
      </c>
      <c r="G675" s="38">
        <v>240</v>
      </c>
      <c r="H675" s="12" t="s">
        <v>165</v>
      </c>
      <c r="I675" s="27">
        <v>45846</v>
      </c>
      <c r="J675" s="19" t="s">
        <v>291</v>
      </c>
      <c r="K675" s="19" t="s">
        <v>169</v>
      </c>
      <c r="Q675" t="s">
        <v>2201</v>
      </c>
    </row>
    <row r="676" spans="1:17" x14ac:dyDescent="0.25">
      <c r="A676" s="1" t="s">
        <v>149</v>
      </c>
      <c r="B676" t="s">
        <v>1142</v>
      </c>
      <c r="C676" t="str">
        <f>VLOOKUP(B676,'Planting GPS Points'!$B$3:$L$290,10,FALSE)</f>
        <v>DNR</v>
      </c>
      <c r="D676" t="str">
        <f>VLOOKUP(B676,'Planting GPS Points'!$B$3:$AL$290,17,FALSE)</f>
        <v>large scale</v>
      </c>
      <c r="E676" s="134">
        <v>42162</v>
      </c>
      <c r="F676" s="20">
        <v>151</v>
      </c>
      <c r="G676" s="38">
        <v>12000</v>
      </c>
      <c r="H676" s="12" t="s">
        <v>165</v>
      </c>
      <c r="I676" s="27">
        <v>45846</v>
      </c>
      <c r="J676" s="19" t="s">
        <v>291</v>
      </c>
      <c r="K676" s="19" t="s">
        <v>168</v>
      </c>
      <c r="Q676" t="s">
        <v>2203</v>
      </c>
    </row>
    <row r="677" spans="1:17" x14ac:dyDescent="0.25">
      <c r="A677" s="1" t="s">
        <v>149</v>
      </c>
      <c r="B677" t="s">
        <v>1135</v>
      </c>
      <c r="C677" t="str">
        <f>VLOOKUP(B677,'Planting GPS Points'!$B$3:$L$290,10,FALSE)</f>
        <v>WDFW</v>
      </c>
      <c r="D677" t="str">
        <f>VLOOKUP(B677,'Planting GPS Points'!$B$3:$AL$290,17,FALSE)</f>
        <v>test</v>
      </c>
      <c r="E677" s="134">
        <v>41430</v>
      </c>
      <c r="F677" s="20">
        <v>36</v>
      </c>
      <c r="G677" s="38">
        <v>712</v>
      </c>
      <c r="H677" s="12" t="s">
        <v>165</v>
      </c>
      <c r="I677" s="27">
        <v>45846</v>
      </c>
      <c r="J677" s="19" t="s">
        <v>409</v>
      </c>
      <c r="K677" s="19" t="s">
        <v>168</v>
      </c>
      <c r="Q677" t="s">
        <v>2204</v>
      </c>
    </row>
    <row r="678" spans="1:17" x14ac:dyDescent="0.25">
      <c r="A678" s="1" t="s">
        <v>149</v>
      </c>
      <c r="B678" t="s">
        <v>1273</v>
      </c>
      <c r="C678" t="str">
        <f>VLOOKUP(B678,'Planting GPS Points'!$B$3:$L$290,10,FALSE)</f>
        <v>DNR</v>
      </c>
      <c r="D678" t="str">
        <f>VLOOKUP(B678,'Planting GPS Points'!$B$3:$AL$290,17,FALSE)</f>
        <v>test</v>
      </c>
      <c r="E678" s="134">
        <v>42514</v>
      </c>
      <c r="F678" s="20">
        <v>0.56000000000000005</v>
      </c>
      <c r="G678" s="38">
        <v>360</v>
      </c>
      <c r="H678" s="12" t="s">
        <v>165</v>
      </c>
      <c r="I678" s="27">
        <v>45847</v>
      </c>
      <c r="J678" s="19" t="s">
        <v>291</v>
      </c>
      <c r="K678" s="19" t="s">
        <v>169</v>
      </c>
      <c r="Q678" t="s">
        <v>2205</v>
      </c>
    </row>
    <row r="679" spans="1:17" x14ac:dyDescent="0.25">
      <c r="A679" s="1" t="s">
        <v>149</v>
      </c>
      <c r="B679" t="s">
        <v>2109</v>
      </c>
      <c r="C679" t="str">
        <f>VLOOKUP(B679,'Planting GPS Points'!$B$3:$L$290,10,FALSE)</f>
        <v>WDFW</v>
      </c>
      <c r="D679" t="str">
        <f>VLOOKUP(B679,'Planting GPS Points'!$B$3:$AL$290,17,FALSE)</f>
        <v>large scale</v>
      </c>
      <c r="E679" s="134">
        <v>42877</v>
      </c>
      <c r="F679" s="20">
        <v>80</v>
      </c>
      <c r="G679" s="38">
        <v>26149</v>
      </c>
      <c r="H679" s="12" t="s">
        <v>165</v>
      </c>
      <c r="I679" s="27">
        <v>45831</v>
      </c>
      <c r="J679" s="19" t="s">
        <v>409</v>
      </c>
      <c r="K679" s="19" t="s">
        <v>168</v>
      </c>
      <c r="Q679" t="s">
        <v>2204</v>
      </c>
    </row>
    <row r="680" spans="1:17" x14ac:dyDescent="0.25">
      <c r="A680" s="1" t="s">
        <v>149</v>
      </c>
      <c r="B680" s="1" t="s">
        <v>1129</v>
      </c>
      <c r="C680" t="str">
        <f>VLOOKUP(B680,'Planting GPS Points'!$B$3:$L$290,10,FALSE)</f>
        <v>DNR</v>
      </c>
      <c r="D680" t="str">
        <f>VLOOKUP(B680,'Planting GPS Points'!$B$3:$AL$290,17,FALSE)</f>
        <v>test</v>
      </c>
      <c r="E680" s="134">
        <v>42881</v>
      </c>
      <c r="F680" s="20">
        <v>1.25</v>
      </c>
      <c r="G680" s="38">
        <v>90</v>
      </c>
      <c r="H680" s="12" t="s">
        <v>165</v>
      </c>
      <c r="I680" s="27">
        <v>45831</v>
      </c>
      <c r="J680" s="19" t="s">
        <v>409</v>
      </c>
      <c r="K680" s="19"/>
      <c r="Q680" t="s">
        <v>2204</v>
      </c>
    </row>
    <row r="681" spans="1:17" x14ac:dyDescent="0.25">
      <c r="A681" s="1" t="s">
        <v>149</v>
      </c>
      <c r="B681" t="s">
        <v>1138</v>
      </c>
      <c r="C681" t="str">
        <f>VLOOKUP(B681,'Planting GPS Points'!$B$3:$L$290,10,FALSE)</f>
        <v>DNR</v>
      </c>
      <c r="D681" t="str">
        <f>VLOOKUP(B681,'Planting GPS Points'!$B$3:$AL$290,17,FALSE)</f>
        <v>large scale</v>
      </c>
      <c r="E681" s="134">
        <v>42141</v>
      </c>
      <c r="H681" s="12" t="s">
        <v>165</v>
      </c>
      <c r="I681" s="27">
        <v>45847</v>
      </c>
      <c r="J681" s="19" t="s">
        <v>291</v>
      </c>
      <c r="K681" s="19" t="s">
        <v>168</v>
      </c>
      <c r="Q681" t="s">
        <v>2206</v>
      </c>
    </row>
    <row r="682" spans="1:17" x14ac:dyDescent="0.25">
      <c r="A682" s="1" t="s">
        <v>149</v>
      </c>
      <c r="B682" t="s">
        <v>1138</v>
      </c>
      <c r="C682" t="str">
        <f>VLOOKUP(B682,'Planting GPS Points'!$B$3:$L$290,10,FALSE)</f>
        <v>DNR</v>
      </c>
      <c r="D682" t="str">
        <f>VLOOKUP(B682,'Planting GPS Points'!$B$3:$AL$290,17,FALSE)</f>
        <v>large scale</v>
      </c>
      <c r="E682" s="134">
        <v>42141</v>
      </c>
      <c r="H682" s="12" t="s">
        <v>165</v>
      </c>
      <c r="I682" s="27">
        <v>45847</v>
      </c>
      <c r="J682" s="19" t="s">
        <v>291</v>
      </c>
      <c r="K682" s="19" t="s">
        <v>168</v>
      </c>
      <c r="Q682" t="s">
        <v>2207</v>
      </c>
    </row>
    <row r="683" spans="1:17" x14ac:dyDescent="0.25">
      <c r="A683" s="1" t="s">
        <v>149</v>
      </c>
      <c r="B683" t="s">
        <v>1138</v>
      </c>
      <c r="C683" t="str">
        <f>VLOOKUP(B683,'Planting GPS Points'!$B$3:$L$290,10,FALSE)</f>
        <v>DNR</v>
      </c>
      <c r="D683" t="str">
        <f>VLOOKUP(B683,'Planting GPS Points'!$B$3:$AL$290,17,FALSE)</f>
        <v>large scale</v>
      </c>
      <c r="E683" s="134">
        <v>42141</v>
      </c>
      <c r="H683" s="12" t="s">
        <v>165</v>
      </c>
      <c r="I683" s="27">
        <v>45847</v>
      </c>
      <c r="J683" s="19" t="s">
        <v>291</v>
      </c>
      <c r="K683" s="19" t="s">
        <v>168</v>
      </c>
      <c r="Q683" t="s">
        <v>2208</v>
      </c>
    </row>
    <row r="684" spans="1:17" x14ac:dyDescent="0.25">
      <c r="A684" s="1" t="s">
        <v>149</v>
      </c>
      <c r="B684" t="s">
        <v>2169</v>
      </c>
      <c r="C684" t="str">
        <f>VLOOKUP(B684,'Planting GPS Points'!$B$3:$L$290,10,FALSE)</f>
        <v>DNR</v>
      </c>
      <c r="D684" t="str">
        <f>VLOOKUP(B684,'Planting GPS Points'!$B$3:$AL$290,17,FALSE)</f>
        <v>test</v>
      </c>
      <c r="E684" s="134">
        <v>44729</v>
      </c>
      <c r="F684">
        <v>0.25</v>
      </c>
      <c r="G684">
        <v>48</v>
      </c>
      <c r="H684" s="12" t="s">
        <v>165</v>
      </c>
      <c r="I684" s="27">
        <v>45847</v>
      </c>
      <c r="J684" s="19" t="s">
        <v>291</v>
      </c>
      <c r="K684" s="19" t="s">
        <v>169</v>
      </c>
      <c r="Q684" t="s">
        <v>2209</v>
      </c>
    </row>
    <row r="685" spans="1:17" x14ac:dyDescent="0.25">
      <c r="A685" s="1" t="s">
        <v>149</v>
      </c>
      <c r="B685" t="s">
        <v>2210</v>
      </c>
      <c r="C685" t="e">
        <f>VLOOKUP(B685,'Planting GPS Points'!$B$3:$L$290,10,FALSE)</f>
        <v>#N/A</v>
      </c>
      <c r="D685" t="e">
        <f>VLOOKUP(B685,'Planting GPS Points'!$B$3:$AL$290,17,FALSE)</f>
        <v>#N/A</v>
      </c>
      <c r="E685" s="134">
        <v>42859</v>
      </c>
      <c r="F685">
        <v>80</v>
      </c>
      <c r="G685">
        <v>16570</v>
      </c>
      <c r="H685" s="12" t="s">
        <v>165</v>
      </c>
      <c r="I685" s="27">
        <v>45848</v>
      </c>
      <c r="J685" s="19" t="s">
        <v>291</v>
      </c>
      <c r="K685" s="19" t="s">
        <v>168</v>
      </c>
      <c r="Q685" t="s">
        <v>2211</v>
      </c>
    </row>
    <row r="686" spans="1:17" x14ac:dyDescent="0.25">
      <c r="A686" s="1" t="s">
        <v>540</v>
      </c>
      <c r="B686" t="s">
        <v>2029</v>
      </c>
      <c r="C686" t="str">
        <f>VLOOKUP(B686,'Planting GPS Points'!$B$3:$L$290,10,FALSE)</f>
        <v>King County</v>
      </c>
      <c r="D686" t="str">
        <f>VLOOKUP(B686,'Planting GPS Points'!$B$3:$AL$290,17,FALSE)</f>
        <v>test</v>
      </c>
      <c r="E686" s="134">
        <v>44342</v>
      </c>
      <c r="H686" s="12" t="s">
        <v>165</v>
      </c>
      <c r="I686" s="27">
        <v>45849</v>
      </c>
      <c r="J686" s="19" t="s">
        <v>291</v>
      </c>
      <c r="K686" s="19" t="s">
        <v>169</v>
      </c>
      <c r="Q686" t="s">
        <v>2212</v>
      </c>
    </row>
  </sheetData>
  <autoFilter ref="A1:R660" xr:uid="{00000000-0001-0000-0300-000000000000}"/>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tabSelected="1" zoomScale="90" zoomScaleNormal="90" workbookViewId="0">
      <selection activeCell="B31" sqref="B31"/>
    </sheetView>
  </sheetViews>
  <sheetFormatPr defaultColWidth="13.7109375" defaultRowHeight="15" x14ac:dyDescent="0.25"/>
  <cols>
    <col min="1" max="1" width="22.28515625" bestFit="1" customWidth="1"/>
    <col min="2" max="2" width="16.28515625" bestFit="1" customWidth="1"/>
    <col min="3" max="3" width="21.42578125" bestFit="1" customWidth="1"/>
    <col min="4" max="4" width="18.28515625" bestFit="1" customWidth="1"/>
    <col min="5" max="5" width="18.28515625" customWidth="1"/>
    <col min="6" max="6" width="21" bestFit="1" customWidth="1"/>
    <col min="7" max="7" width="11.7109375" customWidth="1"/>
    <col min="8" max="8" width="12.42578125" bestFit="1" customWidth="1"/>
    <col min="9" max="9" width="10" bestFit="1" customWidth="1"/>
    <col min="10" max="10" width="183.5703125" bestFit="1" customWidth="1"/>
  </cols>
  <sheetData>
    <row r="1" spans="1:10" x14ac:dyDescent="0.25">
      <c r="A1" t="s">
        <v>2157</v>
      </c>
      <c r="B1" s="98" t="s">
        <v>2158</v>
      </c>
      <c r="C1" s="98" t="s">
        <v>2159</v>
      </c>
      <c r="D1" s="98" t="s">
        <v>2160</v>
      </c>
      <c r="E1" s="98" t="s">
        <v>2161</v>
      </c>
      <c r="F1" s="98" t="s">
        <v>2162</v>
      </c>
      <c r="G1" s="98" t="s">
        <v>2163</v>
      </c>
      <c r="H1" s="98" t="s">
        <v>2164</v>
      </c>
      <c r="I1" s="98" t="s">
        <v>2165</v>
      </c>
      <c r="J1" s="18" t="s">
        <v>2166</v>
      </c>
    </row>
    <row r="2" spans="1:10" x14ac:dyDescent="0.25">
      <c r="B2" s="98"/>
      <c r="C2" s="98"/>
      <c r="D2" s="98"/>
      <c r="E2" s="98"/>
      <c r="F2" s="234" t="s">
        <v>450</v>
      </c>
      <c r="G2" s="234" t="s">
        <v>449</v>
      </c>
      <c r="H2" s="234" t="s">
        <v>449</v>
      </c>
      <c r="I2" s="234" t="s">
        <v>82</v>
      </c>
      <c r="J2" s="18"/>
    </row>
    <row r="3" spans="1:10" x14ac:dyDescent="0.25">
      <c r="A3" t="s">
        <v>4</v>
      </c>
      <c r="B3" t="s">
        <v>2167</v>
      </c>
      <c r="C3" s="1" t="s">
        <v>610</v>
      </c>
      <c r="D3" s="1" t="s">
        <v>405</v>
      </c>
      <c r="E3" s="1" t="s">
        <v>1029</v>
      </c>
      <c r="F3" t="s">
        <v>412</v>
      </c>
      <c r="G3" s="9">
        <v>47.163469999999997</v>
      </c>
      <c r="H3" s="9">
        <v>-122.63570199999999</v>
      </c>
      <c r="I3" s="7" t="s">
        <v>148</v>
      </c>
    </row>
    <row r="4" spans="1:10" x14ac:dyDescent="0.25">
      <c r="A4" t="s">
        <v>9</v>
      </c>
      <c r="B4" t="s">
        <v>8</v>
      </c>
      <c r="C4" t="s">
        <v>144</v>
      </c>
      <c r="D4" t="s">
        <v>405</v>
      </c>
      <c r="E4" t="s">
        <v>1030</v>
      </c>
      <c r="F4" t="s">
        <v>412</v>
      </c>
      <c r="G4" s="9">
        <v>47.126616666666663</v>
      </c>
      <c r="H4" s="9">
        <v>-122.70803333333333</v>
      </c>
      <c r="I4" s="7" t="s">
        <v>148</v>
      </c>
      <c r="J4" t="s">
        <v>51</v>
      </c>
    </row>
    <row r="5" spans="1:10" x14ac:dyDescent="0.25">
      <c r="A5" t="s">
        <v>651</v>
      </c>
      <c r="B5" t="s">
        <v>566</v>
      </c>
      <c r="C5" t="s">
        <v>7</v>
      </c>
      <c r="D5" t="s">
        <v>407</v>
      </c>
      <c r="E5" t="s">
        <v>1031</v>
      </c>
      <c r="F5" t="s">
        <v>412</v>
      </c>
      <c r="G5" s="9">
        <v>47.862383333333298</v>
      </c>
      <c r="H5" s="9">
        <v>-122.57603333333333</v>
      </c>
      <c r="I5" s="7" t="s">
        <v>148</v>
      </c>
      <c r="J5" t="s">
        <v>555</v>
      </c>
    </row>
    <row r="6" spans="1:10" x14ac:dyDescent="0.25">
      <c r="A6" t="s">
        <v>54</v>
      </c>
      <c r="B6" t="s">
        <v>549</v>
      </c>
      <c r="C6" t="s">
        <v>37</v>
      </c>
      <c r="D6" t="s">
        <v>405</v>
      </c>
      <c r="E6" t="s">
        <v>1032</v>
      </c>
      <c r="F6" t="s">
        <v>412</v>
      </c>
      <c r="G6" s="9">
        <v>47.3444</v>
      </c>
      <c r="H6" s="9">
        <v>-122.793888</v>
      </c>
      <c r="I6" s="7" t="s">
        <v>148</v>
      </c>
      <c r="J6" s="3" t="s">
        <v>551</v>
      </c>
    </row>
    <row r="7" spans="1:10" x14ac:dyDescent="0.25">
      <c r="A7" t="s">
        <v>55</v>
      </c>
      <c r="B7" t="s">
        <v>2168</v>
      </c>
      <c r="C7" t="s">
        <v>68</v>
      </c>
      <c r="D7" t="s">
        <v>405</v>
      </c>
      <c r="E7" t="s">
        <v>1033</v>
      </c>
      <c r="F7" t="s">
        <v>412</v>
      </c>
      <c r="G7" s="9">
        <v>47.325321936111109</v>
      </c>
      <c r="H7" s="15">
        <v>-122.68193927222222</v>
      </c>
      <c r="I7" s="7" t="s">
        <v>148</v>
      </c>
      <c r="J7" s="3"/>
    </row>
    <row r="8" spans="1:10" x14ac:dyDescent="0.25">
      <c r="A8" t="s">
        <v>55</v>
      </c>
      <c r="B8" t="s">
        <v>2168</v>
      </c>
      <c r="C8" t="s">
        <v>68</v>
      </c>
      <c r="D8" t="s">
        <v>405</v>
      </c>
      <c r="E8" t="s">
        <v>1033</v>
      </c>
      <c r="F8" t="s">
        <v>412</v>
      </c>
      <c r="G8" s="9">
        <v>47.325165008333336</v>
      </c>
      <c r="H8" s="15">
        <v>-122.68223233055555</v>
      </c>
      <c r="I8" s="7" t="s">
        <v>148</v>
      </c>
      <c r="J8" s="3"/>
    </row>
    <row r="9" spans="1:10" x14ac:dyDescent="0.25">
      <c r="A9" t="s">
        <v>55</v>
      </c>
      <c r="B9" t="s">
        <v>2168</v>
      </c>
      <c r="C9" t="s">
        <v>68</v>
      </c>
      <c r="D9" t="s">
        <v>405</v>
      </c>
      <c r="E9" t="s">
        <v>1033</v>
      </c>
      <c r="F9" t="s">
        <v>412</v>
      </c>
      <c r="G9" s="9">
        <v>47.325325808333297</v>
      </c>
      <c r="H9" s="15">
        <v>-122.68170151111111</v>
      </c>
      <c r="I9" s="7" t="s">
        <v>148</v>
      </c>
      <c r="J9" s="3"/>
    </row>
    <row r="10" spans="1:10" x14ac:dyDescent="0.25">
      <c r="A10" t="s">
        <v>55</v>
      </c>
      <c r="B10" t="s">
        <v>2168</v>
      </c>
      <c r="C10" t="s">
        <v>68</v>
      </c>
      <c r="D10" t="s">
        <v>405</v>
      </c>
      <c r="E10" t="s">
        <v>1033</v>
      </c>
      <c r="F10" t="s">
        <v>412</v>
      </c>
      <c r="G10" s="9">
        <v>47.325478602777778</v>
      </c>
      <c r="H10" s="15">
        <v>-122.68170151111111</v>
      </c>
      <c r="I10" s="7" t="s">
        <v>148</v>
      </c>
      <c r="J10" s="3"/>
    </row>
    <row r="11" spans="1:10" x14ac:dyDescent="0.25">
      <c r="A11" t="s">
        <v>54</v>
      </c>
      <c r="B11" t="s">
        <v>547</v>
      </c>
      <c r="C11" t="s">
        <v>37</v>
      </c>
      <c r="D11" t="s">
        <v>405</v>
      </c>
      <c r="E11" t="s">
        <v>1034</v>
      </c>
      <c r="F11" t="s">
        <v>412</v>
      </c>
      <c r="G11" s="9">
        <v>47.357388</v>
      </c>
      <c r="H11" s="15">
        <v>-122.80218600000001</v>
      </c>
      <c r="I11" s="7" t="s">
        <v>148</v>
      </c>
      <c r="J11" s="3"/>
    </row>
    <row r="12" spans="1:10" x14ac:dyDescent="0.25">
      <c r="A12" t="s">
        <v>54</v>
      </c>
      <c r="B12" t="s">
        <v>547</v>
      </c>
      <c r="C12" t="s">
        <v>37</v>
      </c>
      <c r="D12" t="s">
        <v>405</v>
      </c>
      <c r="E12" t="s">
        <v>1034</v>
      </c>
      <c r="F12" t="s">
        <v>412</v>
      </c>
      <c r="G12" s="9">
        <v>47.357408999999997</v>
      </c>
      <c r="H12" s="15">
        <v>-122.80251800000001</v>
      </c>
      <c r="I12" s="7" t="s">
        <v>148</v>
      </c>
      <c r="J12" s="3"/>
    </row>
    <row r="13" spans="1:10" x14ac:dyDescent="0.25">
      <c r="A13" t="s">
        <v>54</v>
      </c>
      <c r="B13" t="s">
        <v>547</v>
      </c>
      <c r="C13" t="s">
        <v>37</v>
      </c>
      <c r="D13" t="s">
        <v>405</v>
      </c>
      <c r="E13" t="s">
        <v>1034</v>
      </c>
      <c r="F13" t="s">
        <v>412</v>
      </c>
      <c r="G13" s="9">
        <v>47.357408</v>
      </c>
      <c r="H13" s="15">
        <v>-122.802893</v>
      </c>
      <c r="I13" s="7" t="s">
        <v>148</v>
      </c>
      <c r="J13" s="3"/>
    </row>
    <row r="14" spans="1:10" x14ac:dyDescent="0.25">
      <c r="A14" t="s">
        <v>54</v>
      </c>
      <c r="B14" t="s">
        <v>547</v>
      </c>
      <c r="C14" t="s">
        <v>37</v>
      </c>
      <c r="D14" t="s">
        <v>405</v>
      </c>
      <c r="E14" t="s">
        <v>1034</v>
      </c>
      <c r="F14" t="s">
        <v>412</v>
      </c>
      <c r="G14" s="9">
        <v>47.357408</v>
      </c>
      <c r="H14" s="15">
        <v>-122.80256</v>
      </c>
      <c r="I14" s="7" t="s">
        <v>148</v>
      </c>
      <c r="J14" s="3"/>
    </row>
    <row r="15" spans="1:10" x14ac:dyDescent="0.25">
      <c r="A15" t="s">
        <v>2185</v>
      </c>
      <c r="B15" t="s">
        <v>27</v>
      </c>
      <c r="C15" s="1" t="s">
        <v>27</v>
      </c>
      <c r="D15" s="1" t="s">
        <v>407</v>
      </c>
      <c r="E15" s="1" t="s">
        <v>1036</v>
      </c>
      <c r="F15" t="s">
        <v>412</v>
      </c>
      <c r="G15" s="14">
        <v>47.801983333000003</v>
      </c>
      <c r="H15" s="14">
        <v>-122.86565</v>
      </c>
      <c r="I15" t="s">
        <v>148</v>
      </c>
      <c r="J15" s="19"/>
    </row>
    <row r="16" spans="1:10" x14ac:dyDescent="0.25">
      <c r="A16" t="s">
        <v>2184</v>
      </c>
      <c r="B16" t="s">
        <v>485</v>
      </c>
      <c r="C16" s="1" t="s">
        <v>504</v>
      </c>
      <c r="D16" s="1" t="s">
        <v>406</v>
      </c>
      <c r="E16" s="1" t="s">
        <v>1035</v>
      </c>
      <c r="F16" t="s">
        <v>412</v>
      </c>
      <c r="G16" s="9">
        <v>48.603438333333301</v>
      </c>
      <c r="H16" s="9">
        <v>-123.17378333333333</v>
      </c>
      <c r="I16" s="7" t="s">
        <v>148</v>
      </c>
      <c r="J16" s="19"/>
    </row>
    <row r="17" spans="1:10" x14ac:dyDescent="0.25">
      <c r="A17" t="s">
        <v>2184</v>
      </c>
      <c r="B17" t="s">
        <v>501</v>
      </c>
      <c r="C17" s="1" t="s">
        <v>503</v>
      </c>
      <c r="D17" s="1" t="s">
        <v>406</v>
      </c>
      <c r="E17" s="1" t="s">
        <v>1037</v>
      </c>
      <c r="F17" t="s">
        <v>412</v>
      </c>
      <c r="G17" s="9">
        <v>48.594180555555553</v>
      </c>
      <c r="H17" s="9">
        <v>-123.15826166666666</v>
      </c>
      <c r="I17" s="7" t="s">
        <v>148</v>
      </c>
      <c r="J17" s="19"/>
    </row>
    <row r="18" spans="1:10" x14ac:dyDescent="0.25">
      <c r="A18" t="s">
        <v>2184</v>
      </c>
      <c r="B18" t="s">
        <v>502</v>
      </c>
      <c r="C18" s="1" t="s">
        <v>505</v>
      </c>
      <c r="D18" s="1" t="s">
        <v>406</v>
      </c>
      <c r="E18" s="1" t="s">
        <v>1038</v>
      </c>
      <c r="F18" t="s">
        <v>412</v>
      </c>
      <c r="G18" s="9">
        <v>48.680500000000002</v>
      </c>
      <c r="H18" s="9">
        <v>-123.1827</v>
      </c>
      <c r="I18" s="7" t="s">
        <v>148</v>
      </c>
      <c r="J18" s="13" t="s">
        <v>1061</v>
      </c>
    </row>
    <row r="19" spans="1:10" x14ac:dyDescent="0.25">
      <c r="A19" t="s">
        <v>2184</v>
      </c>
      <c r="B19" t="s">
        <v>500</v>
      </c>
      <c r="C19" s="1" t="s">
        <v>500</v>
      </c>
      <c r="D19" s="1" t="s">
        <v>406</v>
      </c>
      <c r="E19" s="1" t="s">
        <v>1039</v>
      </c>
      <c r="F19" t="s">
        <v>412</v>
      </c>
      <c r="G19" s="9">
        <v>48.574199999999998</v>
      </c>
      <c r="H19" s="9">
        <v>-123.1696</v>
      </c>
      <c r="I19" s="7" t="s">
        <v>148</v>
      </c>
      <c r="J19" s="19"/>
    </row>
    <row r="20" spans="1:10" x14ac:dyDescent="0.25">
      <c r="A20" t="s">
        <v>2186</v>
      </c>
      <c r="B20" t="s">
        <v>361</v>
      </c>
      <c r="C20" s="1" t="s">
        <v>144</v>
      </c>
      <c r="D20" s="1" t="s">
        <v>405</v>
      </c>
      <c r="E20" s="1" t="s">
        <v>1040</v>
      </c>
      <c r="F20" t="s">
        <v>412</v>
      </c>
      <c r="G20" s="23">
        <v>47.144016666666666</v>
      </c>
      <c r="H20" s="23">
        <v>-122.67596666666667</v>
      </c>
      <c r="I20" s="7" t="s">
        <v>148</v>
      </c>
      <c r="J20" s="19"/>
    </row>
    <row r="21" spans="1:10" x14ac:dyDescent="0.25">
      <c r="A21" t="s">
        <v>2186</v>
      </c>
      <c r="B21" t="s">
        <v>54</v>
      </c>
      <c r="C21" s="1" t="s">
        <v>37</v>
      </c>
      <c r="D21" s="1" t="s">
        <v>405</v>
      </c>
      <c r="E21" s="1" t="s">
        <v>1034</v>
      </c>
      <c r="F21" t="s">
        <v>412</v>
      </c>
      <c r="G21" s="9">
        <v>47.357399999999998</v>
      </c>
      <c r="H21" s="9">
        <v>-122.80119999999999</v>
      </c>
      <c r="I21" s="7" t="s">
        <v>148</v>
      </c>
      <c r="J21" t="s">
        <v>550</v>
      </c>
    </row>
    <row r="22" spans="1:10" x14ac:dyDescent="0.25">
      <c r="A22" t="s">
        <v>540</v>
      </c>
      <c r="B22" t="s">
        <v>540</v>
      </c>
      <c r="C22" s="1" t="s">
        <v>540</v>
      </c>
      <c r="D22" s="1" t="s">
        <v>405</v>
      </c>
      <c r="E22" s="1" t="s">
        <v>1041</v>
      </c>
      <c r="F22" t="s">
        <v>412</v>
      </c>
      <c r="G22" s="9">
        <v>47.329500000000003</v>
      </c>
      <c r="H22" s="9">
        <v>-122.3907</v>
      </c>
      <c r="I22" t="s">
        <v>148</v>
      </c>
    </row>
    <row r="23" spans="1:10" x14ac:dyDescent="0.25">
      <c r="A23" t="s">
        <v>2190</v>
      </c>
      <c r="B23" t="s">
        <v>559</v>
      </c>
      <c r="C23" s="1" t="s">
        <v>559</v>
      </c>
      <c r="D23" s="1" t="s">
        <v>406</v>
      </c>
      <c r="E23" s="1" t="s">
        <v>560</v>
      </c>
      <c r="F23" t="s">
        <v>412</v>
      </c>
      <c r="G23" s="9">
        <v>48.0792</v>
      </c>
      <c r="H23" s="9">
        <v>-123.0455</v>
      </c>
      <c r="I23" t="s">
        <v>148</v>
      </c>
      <c r="J23" t="s">
        <v>561</v>
      </c>
    </row>
    <row r="24" spans="1:10" s="42" customFormat="1" x14ac:dyDescent="0.25">
      <c r="A24" s="42" t="s">
        <v>2187</v>
      </c>
      <c r="B24" s="41" t="s">
        <v>562</v>
      </c>
      <c r="C24" s="41" t="s">
        <v>563</v>
      </c>
      <c r="D24" s="41" t="s">
        <v>405</v>
      </c>
      <c r="E24" s="41" t="s">
        <v>1042</v>
      </c>
      <c r="F24" t="s">
        <v>412</v>
      </c>
      <c r="G24" s="43">
        <v>47.696399999999997</v>
      </c>
      <c r="H24" s="43">
        <v>-122.5817</v>
      </c>
      <c r="I24" s="1" t="s">
        <v>148</v>
      </c>
    </row>
    <row r="25" spans="1:10" x14ac:dyDescent="0.25">
      <c r="A25" t="s">
        <v>610</v>
      </c>
      <c r="B25" t="s">
        <v>567</v>
      </c>
      <c r="C25" t="s">
        <v>399</v>
      </c>
      <c r="D25" s="1" t="s">
        <v>405</v>
      </c>
      <c r="E25" s="1" t="s">
        <v>1043</v>
      </c>
      <c r="F25" t="s">
        <v>412</v>
      </c>
      <c r="G25" s="9">
        <v>47.6145</v>
      </c>
      <c r="H25" s="9">
        <v>-122.4974</v>
      </c>
      <c r="I25" s="7" t="s">
        <v>148</v>
      </c>
      <c r="J25" t="s">
        <v>568</v>
      </c>
    </row>
    <row r="26" spans="1:10" x14ac:dyDescent="0.25">
      <c r="A26" t="s">
        <v>2188</v>
      </c>
      <c r="B26" t="s">
        <v>590</v>
      </c>
      <c r="C26" t="s">
        <v>590</v>
      </c>
      <c r="D26" s="1" t="s">
        <v>408</v>
      </c>
      <c r="E26" s="1" t="s">
        <v>1044</v>
      </c>
      <c r="F26" t="s">
        <v>412</v>
      </c>
      <c r="G26" s="9">
        <v>48.328600000000002</v>
      </c>
      <c r="H26" s="9">
        <v>-122.508</v>
      </c>
      <c r="I26" s="7" t="s">
        <v>148</v>
      </c>
    </row>
    <row r="27" spans="1:10" x14ac:dyDescent="0.25">
      <c r="A27" t="s">
        <v>2186</v>
      </c>
      <c r="B27" t="s">
        <v>119</v>
      </c>
      <c r="C27" s="41" t="s">
        <v>144</v>
      </c>
      <c r="D27" s="1" t="s">
        <v>405</v>
      </c>
      <c r="E27" s="1" t="s">
        <v>1045</v>
      </c>
      <c r="F27" t="s">
        <v>412</v>
      </c>
      <c r="G27" s="9">
        <v>47.117296000000003</v>
      </c>
      <c r="H27" s="9">
        <v>-122.667756</v>
      </c>
      <c r="I27" t="s">
        <v>148</v>
      </c>
    </row>
    <row r="28" spans="1:10" x14ac:dyDescent="0.25">
      <c r="A28" t="s">
        <v>2189</v>
      </c>
      <c r="B28" t="s">
        <v>78</v>
      </c>
      <c r="C28" s="41" t="s">
        <v>1166</v>
      </c>
      <c r="D28" s="1" t="s">
        <v>406</v>
      </c>
      <c r="E28" s="1" t="s">
        <v>1167</v>
      </c>
      <c r="F28" t="s">
        <v>412</v>
      </c>
      <c r="G28" s="141">
        <v>48.146299999999997</v>
      </c>
      <c r="H28" s="141">
        <v>-123.63683333333333</v>
      </c>
      <c r="I28" s="7" t="s">
        <v>148</v>
      </c>
    </row>
    <row r="29" spans="1:10" x14ac:dyDescent="0.25">
      <c r="A29" t="s">
        <v>2186</v>
      </c>
      <c r="B29" t="s">
        <v>2091</v>
      </c>
      <c r="C29" s="41" t="s">
        <v>68</v>
      </c>
      <c r="D29" s="1" t="s">
        <v>405</v>
      </c>
      <c r="E29" s="1" t="s">
        <v>2092</v>
      </c>
      <c r="F29" s="1" t="s">
        <v>412</v>
      </c>
      <c r="G29" s="9">
        <v>47.28004</v>
      </c>
      <c r="H29" s="9">
        <v>-122.68123</v>
      </c>
      <c r="I29" s="7" t="s">
        <v>148</v>
      </c>
    </row>
    <row r="35" spans="8:9" x14ac:dyDescent="0.25">
      <c r="H35" s="9"/>
      <c r="I35" s="15"/>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136</v>
      </c>
      <c r="B1" s="22" t="s">
        <v>0</v>
      </c>
      <c r="C1" s="22" t="s">
        <v>1028</v>
      </c>
      <c r="D1" s="22" t="s">
        <v>41</v>
      </c>
      <c r="E1" s="22" t="s">
        <v>889</v>
      </c>
      <c r="F1" s="22" t="s">
        <v>86</v>
      </c>
      <c r="G1" s="22" t="s">
        <v>84</v>
      </c>
      <c r="H1" s="22" t="s">
        <v>101</v>
      </c>
      <c r="I1" s="22" t="s">
        <v>98</v>
      </c>
      <c r="J1" s="22" t="s">
        <v>130</v>
      </c>
      <c r="K1" s="22" t="s">
        <v>105</v>
      </c>
      <c r="L1" s="22" t="s">
        <v>106</v>
      </c>
      <c r="M1" s="22" t="s">
        <v>1067</v>
      </c>
      <c r="N1" s="22" t="s">
        <v>2027</v>
      </c>
      <c r="O1" s="113" t="s">
        <v>2028</v>
      </c>
      <c r="P1" s="22" t="s">
        <v>107</v>
      </c>
      <c r="Q1" s="113" t="s">
        <v>132</v>
      </c>
      <c r="R1" s="113" t="s">
        <v>1063</v>
      </c>
      <c r="S1" s="22" t="s">
        <v>108</v>
      </c>
      <c r="T1" s="22" t="s">
        <v>133</v>
      </c>
      <c r="U1" s="22" t="s">
        <v>934</v>
      </c>
      <c r="V1" s="22" t="s">
        <v>3</v>
      </c>
      <c r="W1" s="22" t="s">
        <v>887</v>
      </c>
      <c r="X1" s="77" t="s">
        <v>96</v>
      </c>
      <c r="Y1" s="77" t="s">
        <v>97</v>
      </c>
      <c r="Z1" s="22" t="s">
        <v>81</v>
      </c>
      <c r="AA1" s="21" t="s">
        <v>438</v>
      </c>
    </row>
    <row r="2" spans="1:27" x14ac:dyDescent="0.25">
      <c r="A2" s="10"/>
      <c r="B2" s="10"/>
      <c r="C2" s="10"/>
      <c r="D2" s="10"/>
      <c r="E2" s="10"/>
      <c r="F2" s="10"/>
      <c r="G2" s="10" t="s">
        <v>104</v>
      </c>
      <c r="H2" s="10" t="s">
        <v>103</v>
      </c>
      <c r="I2" s="10" t="s">
        <v>99</v>
      </c>
      <c r="J2" s="10"/>
      <c r="K2" s="10"/>
      <c r="L2" s="10"/>
      <c r="M2" s="10"/>
      <c r="N2" s="78" t="s">
        <v>569</v>
      </c>
      <c r="O2" s="114"/>
      <c r="P2" s="78" t="s">
        <v>569</v>
      </c>
      <c r="Q2" s="114"/>
      <c r="R2" s="114" t="s">
        <v>1064</v>
      </c>
      <c r="S2" s="78" t="s">
        <v>569</v>
      </c>
      <c r="T2" s="10"/>
      <c r="U2" s="10" t="s">
        <v>491</v>
      </c>
      <c r="V2" s="10"/>
      <c r="W2" s="79" t="s">
        <v>888</v>
      </c>
      <c r="X2" s="62" t="s">
        <v>449</v>
      </c>
      <c r="Y2" s="62" t="s">
        <v>449</v>
      </c>
      <c r="Z2" s="79" t="s">
        <v>446</v>
      </c>
    </row>
    <row r="3" spans="1:27" s="78" customFormat="1" x14ac:dyDescent="0.25">
      <c r="A3" t="s">
        <v>31</v>
      </c>
      <c r="B3" t="s">
        <v>214</v>
      </c>
      <c r="C3" t="s">
        <v>1058</v>
      </c>
      <c r="D3" t="s">
        <v>52</v>
      </c>
      <c r="E3" t="s">
        <v>135</v>
      </c>
      <c r="F3" s="12">
        <v>2016</v>
      </c>
      <c r="G3" s="12" t="s">
        <v>87</v>
      </c>
      <c r="H3" s="12" t="s">
        <v>88</v>
      </c>
      <c r="I3" s="12" t="s">
        <v>100</v>
      </c>
      <c r="J3" s="12"/>
      <c r="K3" s="12" t="s">
        <v>91</v>
      </c>
      <c r="L3" s="12" t="s">
        <v>116</v>
      </c>
      <c r="M3" s="12" t="s">
        <v>165</v>
      </c>
      <c r="N3" s="12"/>
      <c r="O3" s="12"/>
      <c r="P3" s="27">
        <v>42855</v>
      </c>
      <c r="Q3" s="67">
        <v>0.6875</v>
      </c>
      <c r="R3" s="115"/>
      <c r="S3" s="27">
        <v>42940</v>
      </c>
      <c r="T3" s="8">
        <v>0.5625</v>
      </c>
      <c r="U3" s="74"/>
      <c r="V3" s="2"/>
      <c r="W3" s="12"/>
      <c r="X3" s="4">
        <v>47.257599999999996</v>
      </c>
      <c r="Y3" s="4">
        <v>-122.73818</v>
      </c>
      <c r="Z3" t="s">
        <v>148</v>
      </c>
    </row>
    <row r="4" spans="1:27" x14ac:dyDescent="0.25">
      <c r="A4" t="s">
        <v>31</v>
      </c>
      <c r="B4" t="s">
        <v>214</v>
      </c>
      <c r="C4" t="s">
        <v>1058</v>
      </c>
      <c r="D4" t="s">
        <v>52</v>
      </c>
      <c r="E4" t="s">
        <v>135</v>
      </c>
      <c r="F4" s="12">
        <v>2016</v>
      </c>
      <c r="G4" s="12" t="s">
        <v>87</v>
      </c>
      <c r="H4" s="12" t="s">
        <v>88</v>
      </c>
      <c r="I4" s="12" t="s">
        <v>100</v>
      </c>
      <c r="K4" s="12" t="s">
        <v>117</v>
      </c>
      <c r="L4" s="12">
        <v>20047930</v>
      </c>
      <c r="M4" s="12" t="s">
        <v>165</v>
      </c>
      <c r="P4" s="27">
        <v>42855</v>
      </c>
      <c r="Q4" s="67">
        <v>0.6875</v>
      </c>
      <c r="R4" s="115">
        <v>10</v>
      </c>
      <c r="S4" s="27">
        <v>42967</v>
      </c>
      <c r="T4" s="112">
        <v>0.39583333333333331</v>
      </c>
      <c r="U4" s="75"/>
      <c r="V4" s="2" t="s">
        <v>134</v>
      </c>
      <c r="X4" s="4">
        <v>47.257599999999996</v>
      </c>
      <c r="Y4" s="4">
        <v>-122.73818</v>
      </c>
      <c r="Z4" t="s">
        <v>148</v>
      </c>
    </row>
    <row r="5" spans="1:27" x14ac:dyDescent="0.25">
      <c r="A5" t="s">
        <v>31</v>
      </c>
      <c r="B5" s="2">
        <v>42572</v>
      </c>
      <c r="C5" t="s">
        <v>1058</v>
      </c>
      <c r="D5" t="s">
        <v>52</v>
      </c>
      <c r="E5" t="s">
        <v>135</v>
      </c>
      <c r="G5" s="12" t="s">
        <v>89</v>
      </c>
      <c r="H5" s="12" t="s">
        <v>102</v>
      </c>
      <c r="K5" s="12" t="s">
        <v>91</v>
      </c>
      <c r="L5" s="12" t="s">
        <v>118</v>
      </c>
      <c r="M5" s="12" t="s">
        <v>165</v>
      </c>
      <c r="P5" s="27">
        <v>42855</v>
      </c>
      <c r="Q5" s="67">
        <v>0.6875</v>
      </c>
      <c r="R5" s="115"/>
      <c r="S5" s="27">
        <v>42940</v>
      </c>
      <c r="T5" s="8">
        <v>0.5625</v>
      </c>
      <c r="U5" s="74"/>
      <c r="V5" s="2"/>
      <c r="X5" s="4">
        <v>47.257629999999999</v>
      </c>
      <c r="Y5" s="4">
        <v>-122.73815</v>
      </c>
      <c r="Z5" t="s">
        <v>148</v>
      </c>
    </row>
    <row r="6" spans="1:27" x14ac:dyDescent="0.25">
      <c r="A6" t="s">
        <v>31</v>
      </c>
      <c r="C6" t="s">
        <v>1058</v>
      </c>
      <c r="D6" t="s">
        <v>52</v>
      </c>
      <c r="E6" t="s">
        <v>135</v>
      </c>
      <c r="G6" s="12" t="s">
        <v>89</v>
      </c>
      <c r="H6" s="12" t="s">
        <v>102</v>
      </c>
      <c r="K6" s="12" t="s">
        <v>95</v>
      </c>
      <c r="L6" s="12">
        <v>20047936</v>
      </c>
      <c r="M6" s="12" t="s">
        <v>165</v>
      </c>
      <c r="P6" s="27">
        <v>42855</v>
      </c>
      <c r="Q6" s="67">
        <v>0.6875</v>
      </c>
      <c r="R6" s="115">
        <v>10</v>
      </c>
      <c r="S6" s="27">
        <v>42967</v>
      </c>
      <c r="T6" s="112">
        <v>0.39583333333333331</v>
      </c>
      <c r="U6" s="75"/>
      <c r="V6" s="2" t="s">
        <v>134</v>
      </c>
      <c r="X6" s="4">
        <v>47.257629999999999</v>
      </c>
      <c r="Y6" s="4">
        <v>-122.73815</v>
      </c>
      <c r="Z6" t="s">
        <v>148</v>
      </c>
    </row>
    <row r="7" spans="1:27" x14ac:dyDescent="0.25">
      <c r="A7" t="s">
        <v>31</v>
      </c>
      <c r="B7" t="s">
        <v>214</v>
      </c>
      <c r="C7" t="s">
        <v>1058</v>
      </c>
      <c r="D7" t="s">
        <v>52</v>
      </c>
      <c r="E7" t="s">
        <v>135</v>
      </c>
      <c r="F7" s="12">
        <v>2016</v>
      </c>
      <c r="G7" s="12" t="s">
        <v>87</v>
      </c>
      <c r="H7" s="12" t="s">
        <v>88</v>
      </c>
      <c r="I7" s="12" t="s">
        <v>100</v>
      </c>
      <c r="K7" s="12" t="s">
        <v>92</v>
      </c>
      <c r="L7" s="12">
        <v>7946</v>
      </c>
      <c r="M7" s="12" t="s">
        <v>165</v>
      </c>
      <c r="P7" s="27">
        <v>42884</v>
      </c>
      <c r="Q7" s="67">
        <v>0.6875</v>
      </c>
      <c r="R7" s="115"/>
      <c r="S7" s="27">
        <v>42940</v>
      </c>
      <c r="T7" s="8">
        <v>0.5625</v>
      </c>
      <c r="U7" s="74"/>
      <c r="V7" s="2"/>
      <c r="X7" s="4">
        <v>47.257599999999996</v>
      </c>
      <c r="Y7" s="4">
        <v>-122.73818</v>
      </c>
      <c r="Z7" t="s">
        <v>148</v>
      </c>
    </row>
    <row r="8" spans="1:27" x14ac:dyDescent="0.25">
      <c r="A8" t="s">
        <v>31</v>
      </c>
      <c r="C8" t="s">
        <v>1058</v>
      </c>
      <c r="D8" t="s">
        <v>52</v>
      </c>
      <c r="E8" t="s">
        <v>135</v>
      </c>
      <c r="G8" s="12" t="s">
        <v>89</v>
      </c>
      <c r="H8" s="12" t="s">
        <v>102</v>
      </c>
      <c r="K8" s="12" t="s">
        <v>92</v>
      </c>
      <c r="L8" s="12">
        <v>7804</v>
      </c>
      <c r="M8" s="12" t="s">
        <v>165</v>
      </c>
      <c r="P8" s="27">
        <v>42884</v>
      </c>
      <c r="Q8" s="67">
        <v>0.6875</v>
      </c>
      <c r="R8" s="115"/>
      <c r="S8" s="27">
        <v>42940</v>
      </c>
      <c r="T8" s="8">
        <v>0.5625</v>
      </c>
      <c r="U8" s="74"/>
      <c r="V8" s="2"/>
      <c r="X8" s="4">
        <v>47.257629999999999</v>
      </c>
      <c r="Y8" s="4">
        <v>-122.73815</v>
      </c>
      <c r="Z8" t="s">
        <v>148</v>
      </c>
    </row>
    <row r="9" spans="1:27" x14ac:dyDescent="0.25">
      <c r="A9" t="s">
        <v>31</v>
      </c>
      <c r="B9" t="s">
        <v>224</v>
      </c>
      <c r="C9" t="s">
        <v>1058</v>
      </c>
      <c r="D9" t="s">
        <v>90</v>
      </c>
      <c r="E9" t="s">
        <v>135</v>
      </c>
      <c r="F9" s="12">
        <v>2015</v>
      </c>
      <c r="G9" s="12" t="s">
        <v>87</v>
      </c>
      <c r="H9" s="12" t="s">
        <v>88</v>
      </c>
      <c r="I9" s="12" t="s">
        <v>22</v>
      </c>
      <c r="J9" s="12" t="s">
        <v>113</v>
      </c>
      <c r="K9" s="12" t="s">
        <v>93</v>
      </c>
      <c r="L9" s="12">
        <v>4591</v>
      </c>
      <c r="M9" s="12" t="s">
        <v>165</v>
      </c>
      <c r="P9" s="27">
        <v>42884</v>
      </c>
      <c r="Q9" s="67">
        <v>0.6875</v>
      </c>
      <c r="R9" s="115">
        <v>15</v>
      </c>
      <c r="S9" s="27">
        <v>42940</v>
      </c>
      <c r="T9" s="8">
        <v>0.5625</v>
      </c>
      <c r="U9" s="74"/>
      <c r="V9" s="2" t="s">
        <v>131</v>
      </c>
      <c r="X9" s="4">
        <v>47.254983333333335</v>
      </c>
      <c r="Y9" s="4">
        <v>-122.73711666666667</v>
      </c>
      <c r="Z9" t="s">
        <v>148</v>
      </c>
    </row>
    <row r="10" spans="1:27" x14ac:dyDescent="0.25">
      <c r="A10" t="s">
        <v>31</v>
      </c>
      <c r="B10" t="s">
        <v>224</v>
      </c>
      <c r="C10" t="s">
        <v>1058</v>
      </c>
      <c r="D10" t="s">
        <v>90</v>
      </c>
      <c r="E10" t="s">
        <v>135</v>
      </c>
      <c r="F10" s="12">
        <v>2015</v>
      </c>
      <c r="G10" s="12" t="s">
        <v>87</v>
      </c>
      <c r="H10" s="12" t="s">
        <v>88</v>
      </c>
      <c r="I10" s="12" t="s">
        <v>22</v>
      </c>
      <c r="J10" s="12" t="s">
        <v>114</v>
      </c>
      <c r="K10" s="12" t="s">
        <v>93</v>
      </c>
      <c r="L10" s="12">
        <v>4593</v>
      </c>
      <c r="M10" s="12" t="s">
        <v>165</v>
      </c>
      <c r="P10" s="27">
        <v>42884</v>
      </c>
      <c r="Q10" s="67">
        <v>0.6875</v>
      </c>
      <c r="R10" s="115">
        <v>15</v>
      </c>
      <c r="S10" s="27">
        <v>42940</v>
      </c>
      <c r="T10" s="8">
        <v>0.5625</v>
      </c>
      <c r="U10" s="74"/>
      <c r="V10" s="2" t="s">
        <v>131</v>
      </c>
      <c r="X10" s="4">
        <v>47.254983333333335</v>
      </c>
      <c r="Y10" s="4">
        <v>-122.73711666666667</v>
      </c>
      <c r="Z10" t="s">
        <v>148</v>
      </c>
    </row>
    <row r="11" spans="1:27" x14ac:dyDescent="0.25">
      <c r="A11" t="s">
        <v>31</v>
      </c>
      <c r="B11" t="s">
        <v>224</v>
      </c>
      <c r="C11" t="s">
        <v>1058</v>
      </c>
      <c r="D11" t="s">
        <v>90</v>
      </c>
      <c r="E11" t="s">
        <v>135</v>
      </c>
      <c r="F11" s="12">
        <v>2015</v>
      </c>
      <c r="G11" s="12" t="s">
        <v>87</v>
      </c>
      <c r="H11" s="12" t="s">
        <v>88</v>
      </c>
      <c r="I11" s="12" t="s">
        <v>22</v>
      </c>
      <c r="J11" s="12" t="s">
        <v>114</v>
      </c>
      <c r="K11" s="12" t="s">
        <v>94</v>
      </c>
      <c r="L11" s="12">
        <v>10777826</v>
      </c>
      <c r="M11" s="12" t="s">
        <v>165</v>
      </c>
      <c r="P11" s="27">
        <v>42884</v>
      </c>
      <c r="Q11" s="67">
        <v>0.6875</v>
      </c>
      <c r="R11" s="115">
        <v>15</v>
      </c>
      <c r="S11" s="27">
        <v>42967</v>
      </c>
      <c r="T11" s="112">
        <v>0.39583333333333331</v>
      </c>
      <c r="V11" s="2" t="s">
        <v>134</v>
      </c>
      <c r="X11" s="4">
        <v>47.254983333333335</v>
      </c>
      <c r="Y11" s="4">
        <v>-122.73711666666667</v>
      </c>
      <c r="Z11" t="s">
        <v>148</v>
      </c>
    </row>
    <row r="12" spans="1:27" x14ac:dyDescent="0.25">
      <c r="A12" t="s">
        <v>31</v>
      </c>
      <c r="B12" t="s">
        <v>214</v>
      </c>
      <c r="C12" t="s">
        <v>1058</v>
      </c>
      <c r="D12" t="s">
        <v>52</v>
      </c>
      <c r="E12" t="s">
        <v>135</v>
      </c>
      <c r="F12" s="12">
        <v>2016</v>
      </c>
      <c r="G12" s="12" t="s">
        <v>87</v>
      </c>
      <c r="H12" s="12" t="s">
        <v>88</v>
      </c>
      <c r="I12" s="12" t="s">
        <v>100</v>
      </c>
      <c r="K12" s="12" t="s">
        <v>91</v>
      </c>
      <c r="L12" s="12" t="s">
        <v>120</v>
      </c>
      <c r="M12" s="12" t="s">
        <v>165</v>
      </c>
      <c r="P12" s="27">
        <v>42940</v>
      </c>
      <c r="Q12" s="67">
        <v>0.58333333333333337</v>
      </c>
      <c r="R12" s="115"/>
      <c r="S12" s="27">
        <v>42967</v>
      </c>
      <c r="T12" s="112">
        <v>0.39583333333333331</v>
      </c>
      <c r="U12" s="75"/>
      <c r="V12" s="2"/>
      <c r="X12" s="4">
        <v>47.257599999999996</v>
      </c>
      <c r="Y12" s="4">
        <v>-122.73818</v>
      </c>
      <c r="Z12" t="s">
        <v>148</v>
      </c>
    </row>
    <row r="13" spans="1:27" x14ac:dyDescent="0.25">
      <c r="A13" t="s">
        <v>31</v>
      </c>
      <c r="B13" t="s">
        <v>214</v>
      </c>
      <c r="C13" t="s">
        <v>1058</v>
      </c>
      <c r="D13" t="s">
        <v>52</v>
      </c>
      <c r="E13" t="s">
        <v>135</v>
      </c>
      <c r="F13" s="12">
        <v>2016</v>
      </c>
      <c r="G13" s="12" t="s">
        <v>87</v>
      </c>
      <c r="H13" s="12" t="s">
        <v>88</v>
      </c>
      <c r="I13" s="12" t="s">
        <v>100</v>
      </c>
      <c r="K13" s="12" t="s">
        <v>92</v>
      </c>
      <c r="L13" s="12">
        <v>7942</v>
      </c>
      <c r="M13" s="12" t="s">
        <v>165</v>
      </c>
      <c r="P13" s="27">
        <v>42940</v>
      </c>
      <c r="Q13" s="67">
        <v>0.58333333333333337</v>
      </c>
      <c r="R13" s="115"/>
      <c r="S13" s="27">
        <v>42967</v>
      </c>
      <c r="T13" s="112">
        <v>0.39583333333333331</v>
      </c>
      <c r="U13" s="75"/>
      <c r="V13" s="2"/>
      <c r="X13" s="4">
        <v>47.257599999999996</v>
      </c>
      <c r="Y13" s="4">
        <v>-122.73818</v>
      </c>
      <c r="Z13" t="s">
        <v>148</v>
      </c>
    </row>
    <row r="14" spans="1:27" x14ac:dyDescent="0.25">
      <c r="A14" t="s">
        <v>31</v>
      </c>
      <c r="C14" t="s">
        <v>1058</v>
      </c>
      <c r="D14" t="s">
        <v>52</v>
      </c>
      <c r="E14" t="s">
        <v>135</v>
      </c>
      <c r="G14" s="12" t="s">
        <v>89</v>
      </c>
      <c r="H14" s="12" t="s">
        <v>102</v>
      </c>
      <c r="K14" s="12" t="s">
        <v>91</v>
      </c>
      <c r="L14" s="12" t="s">
        <v>121</v>
      </c>
      <c r="M14" s="12" t="s">
        <v>165</v>
      </c>
      <c r="P14" s="27">
        <v>42940</v>
      </c>
      <c r="Q14" s="67">
        <v>0.58333333333333337</v>
      </c>
      <c r="R14" s="115"/>
      <c r="S14" s="27">
        <v>42967</v>
      </c>
      <c r="T14" s="112">
        <v>0.39583333333333331</v>
      </c>
      <c r="U14" s="75"/>
      <c r="V14" s="2"/>
      <c r="X14" s="4">
        <v>47.257629999999999</v>
      </c>
      <c r="Y14" s="4">
        <v>-122.73815</v>
      </c>
      <c r="Z14" t="s">
        <v>148</v>
      </c>
    </row>
    <row r="15" spans="1:27" x14ac:dyDescent="0.25">
      <c r="A15" t="s">
        <v>31</v>
      </c>
      <c r="C15" t="s">
        <v>1058</v>
      </c>
      <c r="D15" t="s">
        <v>52</v>
      </c>
      <c r="E15" t="s">
        <v>135</v>
      </c>
      <c r="G15" s="12" t="s">
        <v>89</v>
      </c>
      <c r="H15" s="12" t="s">
        <v>102</v>
      </c>
      <c r="K15" s="12" t="s">
        <v>92</v>
      </c>
      <c r="L15" s="12">
        <v>7943</v>
      </c>
      <c r="M15" s="12" t="s">
        <v>165</v>
      </c>
      <c r="P15" s="27">
        <v>42940</v>
      </c>
      <c r="Q15" s="67">
        <v>0.58333333333333337</v>
      </c>
      <c r="R15" s="115"/>
      <c r="S15" s="27">
        <v>42967</v>
      </c>
      <c r="T15" s="112">
        <v>0.39583333333333331</v>
      </c>
      <c r="U15" s="75"/>
      <c r="V15" s="2"/>
      <c r="X15" s="4">
        <v>47.257629999999999</v>
      </c>
      <c r="Y15" s="4">
        <v>-122.73815</v>
      </c>
      <c r="Z15" t="s">
        <v>148</v>
      </c>
    </row>
    <row r="16" spans="1:27" x14ac:dyDescent="0.25">
      <c r="A16" t="s">
        <v>31</v>
      </c>
      <c r="B16" t="s">
        <v>224</v>
      </c>
      <c r="C16" t="s">
        <v>1058</v>
      </c>
      <c r="D16" t="s">
        <v>90</v>
      </c>
      <c r="E16" t="s">
        <v>135</v>
      </c>
      <c r="F16" s="12">
        <v>2015</v>
      </c>
      <c r="G16" s="12" t="s">
        <v>87</v>
      </c>
      <c r="H16" s="12" t="s">
        <v>88</v>
      </c>
      <c r="I16" s="12" t="s">
        <v>22</v>
      </c>
      <c r="J16" s="12" t="s">
        <v>113</v>
      </c>
      <c r="K16" s="12" t="s">
        <v>93</v>
      </c>
      <c r="L16" s="12">
        <v>6010</v>
      </c>
      <c r="M16" s="12" t="s">
        <v>165</v>
      </c>
      <c r="P16" s="27">
        <v>42940</v>
      </c>
      <c r="Q16" s="67">
        <v>0.58333333333333337</v>
      </c>
      <c r="R16" s="115">
        <v>15</v>
      </c>
      <c r="S16" s="27">
        <v>42967</v>
      </c>
      <c r="T16" s="112">
        <v>0.39583333333333331</v>
      </c>
      <c r="U16" s="75"/>
      <c r="V16" s="2" t="s">
        <v>131</v>
      </c>
      <c r="X16" s="4">
        <v>47.254983333333335</v>
      </c>
      <c r="Y16" s="4">
        <v>-122.73711666666667</v>
      </c>
      <c r="Z16" t="s">
        <v>148</v>
      </c>
    </row>
    <row r="17" spans="1:26" x14ac:dyDescent="0.25">
      <c r="A17" t="s">
        <v>31</v>
      </c>
      <c r="B17" t="s">
        <v>224</v>
      </c>
      <c r="C17" t="s">
        <v>1058</v>
      </c>
      <c r="D17" t="s">
        <v>90</v>
      </c>
      <c r="E17" t="s">
        <v>135</v>
      </c>
      <c r="F17" s="12">
        <v>2015</v>
      </c>
      <c r="G17" s="12" t="s">
        <v>87</v>
      </c>
      <c r="H17" s="12" t="s">
        <v>88</v>
      </c>
      <c r="I17" s="12" t="s">
        <v>22</v>
      </c>
      <c r="J17" s="12" t="s">
        <v>114</v>
      </c>
      <c r="K17" s="12" t="s">
        <v>93</v>
      </c>
      <c r="L17" s="12">
        <v>6012</v>
      </c>
      <c r="M17" s="12" t="s">
        <v>165</v>
      </c>
      <c r="P17" s="27">
        <v>42940</v>
      </c>
      <c r="Q17" s="67">
        <v>0.58333333333333337</v>
      </c>
      <c r="R17" s="115">
        <v>15</v>
      </c>
      <c r="S17" s="27">
        <v>42967</v>
      </c>
      <c r="T17" s="112">
        <v>0.39583333333333331</v>
      </c>
      <c r="U17" s="75"/>
      <c r="V17" s="2" t="s">
        <v>131</v>
      </c>
      <c r="X17" s="4">
        <v>47.254983333333335</v>
      </c>
      <c r="Y17" s="4">
        <v>-122.73711666666667</v>
      </c>
      <c r="Z17" t="s">
        <v>148</v>
      </c>
    </row>
    <row r="18" spans="1:26" x14ac:dyDescent="0.25">
      <c r="A18" s="1" t="s">
        <v>78</v>
      </c>
      <c r="B18" s="1" t="s">
        <v>904</v>
      </c>
      <c r="C18" s="1" t="s">
        <v>1055</v>
      </c>
      <c r="D18" t="s">
        <v>90</v>
      </c>
      <c r="E18" t="s">
        <v>135</v>
      </c>
      <c r="F18" s="73" t="s">
        <v>6</v>
      </c>
      <c r="G18" s="73" t="s">
        <v>89</v>
      </c>
      <c r="H18" s="12" t="s">
        <v>102</v>
      </c>
      <c r="J18" s="12" t="s">
        <v>113</v>
      </c>
      <c r="K18" s="12" t="s">
        <v>93</v>
      </c>
      <c r="L18" s="12">
        <v>4594</v>
      </c>
      <c r="M18" s="12" t="s">
        <v>49</v>
      </c>
      <c r="P18" s="35">
        <v>42299</v>
      </c>
      <c r="Q18" s="67">
        <v>0.51388888888888895</v>
      </c>
      <c r="R18" s="115">
        <v>15</v>
      </c>
      <c r="S18" s="27">
        <v>42404</v>
      </c>
      <c r="T18" s="67">
        <v>0.42708333333333331</v>
      </c>
      <c r="U18" s="12">
        <v>-1.7</v>
      </c>
      <c r="V18" t="s">
        <v>905</v>
      </c>
      <c r="W18" s="12" t="s">
        <v>896</v>
      </c>
      <c r="X18" s="4">
        <v>48.133450000000003</v>
      </c>
      <c r="Y18" s="4">
        <v>-123.50911666666667</v>
      </c>
      <c r="Z18" t="s">
        <v>148</v>
      </c>
    </row>
    <row r="19" spans="1:26" x14ac:dyDescent="0.25">
      <c r="A19" s="1" t="s">
        <v>78</v>
      </c>
      <c r="B19" s="1" t="s">
        <v>904</v>
      </c>
      <c r="C19" s="1" t="s">
        <v>1055</v>
      </c>
      <c r="D19" t="s">
        <v>90</v>
      </c>
      <c r="E19" t="s">
        <v>135</v>
      </c>
      <c r="F19" s="73" t="s">
        <v>6</v>
      </c>
      <c r="G19" s="73" t="s">
        <v>89</v>
      </c>
      <c r="H19" s="12" t="s">
        <v>102</v>
      </c>
      <c r="J19" s="12" t="s">
        <v>114</v>
      </c>
      <c r="K19" s="12" t="s">
        <v>93</v>
      </c>
      <c r="L19" s="12">
        <v>4596</v>
      </c>
      <c r="M19" s="12" t="s">
        <v>49</v>
      </c>
      <c r="P19" s="35">
        <v>42299</v>
      </c>
      <c r="Q19" s="67">
        <v>0.51388888888888895</v>
      </c>
      <c r="R19" s="115">
        <v>15</v>
      </c>
      <c r="S19" s="27">
        <v>42404</v>
      </c>
      <c r="T19" s="67">
        <v>0.42708333333333331</v>
      </c>
      <c r="U19" s="12">
        <v>-2.7</v>
      </c>
      <c r="V19" t="s">
        <v>905</v>
      </c>
      <c r="W19" s="12" t="s">
        <v>896</v>
      </c>
      <c r="X19" s="4">
        <v>48.133450000000003</v>
      </c>
      <c r="Y19" s="4">
        <v>-123.50911666666667</v>
      </c>
      <c r="Z19" t="s">
        <v>148</v>
      </c>
    </row>
    <row r="20" spans="1:26" x14ac:dyDescent="0.25">
      <c r="A20" s="1" t="s">
        <v>78</v>
      </c>
      <c r="B20" s="1" t="s">
        <v>893</v>
      </c>
      <c r="C20" s="1" t="s">
        <v>1056</v>
      </c>
      <c r="D20" t="s">
        <v>90</v>
      </c>
      <c r="E20" t="s">
        <v>135</v>
      </c>
      <c r="F20" s="73" t="s">
        <v>6</v>
      </c>
      <c r="G20" s="73" t="s">
        <v>89</v>
      </c>
      <c r="H20" s="12" t="s">
        <v>102</v>
      </c>
      <c r="I20" s="64"/>
      <c r="J20" s="64" t="s">
        <v>114</v>
      </c>
      <c r="K20" s="73" t="s">
        <v>93</v>
      </c>
      <c r="L20" s="73">
        <v>4589</v>
      </c>
      <c r="M20" s="73" t="s">
        <v>49</v>
      </c>
      <c r="N20" s="73"/>
      <c r="O20" s="73"/>
      <c r="P20" s="35">
        <v>42457</v>
      </c>
      <c r="Q20" s="68">
        <v>0.53402777777777777</v>
      </c>
      <c r="R20" s="115">
        <v>15</v>
      </c>
      <c r="S20" s="27">
        <v>42536</v>
      </c>
      <c r="T20" s="67">
        <v>0.59166666666666667</v>
      </c>
      <c r="U20" s="69">
        <v>-4</v>
      </c>
      <c r="V20" s="1" t="s">
        <v>906</v>
      </c>
      <c r="W20" s="12" t="s">
        <v>896</v>
      </c>
      <c r="X20" s="70">
        <v>48.137566666666665</v>
      </c>
      <c r="Y20" s="70">
        <v>-123.58696666666667</v>
      </c>
      <c r="Z20" t="s">
        <v>148</v>
      </c>
    </row>
    <row r="21" spans="1:26" x14ac:dyDescent="0.25">
      <c r="A21" s="1" t="s">
        <v>78</v>
      </c>
      <c r="B21" s="1" t="s">
        <v>894</v>
      </c>
      <c r="C21" s="1" t="s">
        <v>1057</v>
      </c>
      <c r="D21" t="s">
        <v>90</v>
      </c>
      <c r="E21" t="s">
        <v>135</v>
      </c>
      <c r="F21" s="73" t="s">
        <v>6</v>
      </c>
      <c r="G21" s="73" t="s">
        <v>89</v>
      </c>
      <c r="H21" s="12" t="s">
        <v>102</v>
      </c>
      <c r="I21" s="64"/>
      <c r="J21" s="64" t="s">
        <v>114</v>
      </c>
      <c r="K21" s="73" t="s">
        <v>93</v>
      </c>
      <c r="L21" s="73">
        <v>4600</v>
      </c>
      <c r="M21" s="73" t="s">
        <v>49</v>
      </c>
      <c r="N21" s="73"/>
      <c r="O21" s="73"/>
      <c r="P21" s="35">
        <v>42457</v>
      </c>
      <c r="Q21" s="68">
        <v>0.55069444444444449</v>
      </c>
      <c r="R21" s="115">
        <v>15</v>
      </c>
      <c r="S21" s="27">
        <v>42607</v>
      </c>
      <c r="T21" s="67" t="s">
        <v>372</v>
      </c>
      <c r="U21" s="69">
        <v>-3.8</v>
      </c>
      <c r="V21" s="1" t="s">
        <v>907</v>
      </c>
      <c r="W21" s="12" t="s">
        <v>896</v>
      </c>
      <c r="X21" s="70">
        <v>48.147649999999999</v>
      </c>
      <c r="Y21" s="70">
        <v>-123.53506666666667</v>
      </c>
      <c r="Z21" t="s">
        <v>148</v>
      </c>
    </row>
    <row r="22" spans="1:26" x14ac:dyDescent="0.25">
      <c r="A22" t="s">
        <v>141</v>
      </c>
      <c r="B22" t="s">
        <v>207</v>
      </c>
      <c r="C22" s="1" t="s">
        <v>1060</v>
      </c>
      <c r="D22" t="s">
        <v>90</v>
      </c>
      <c r="E22" t="s">
        <v>135</v>
      </c>
      <c r="F22" s="12">
        <v>2015</v>
      </c>
      <c r="G22" s="12" t="s">
        <v>87</v>
      </c>
      <c r="H22" s="12" t="s">
        <v>88</v>
      </c>
      <c r="I22" s="12" t="s">
        <v>22</v>
      </c>
      <c r="J22" s="12" t="s">
        <v>113</v>
      </c>
      <c r="K22" s="12" t="s">
        <v>93</v>
      </c>
      <c r="L22" s="12">
        <v>6432</v>
      </c>
      <c r="M22" s="12" t="s">
        <v>165</v>
      </c>
      <c r="P22" s="27">
        <v>42527</v>
      </c>
      <c r="Q22" s="67">
        <v>0.5</v>
      </c>
      <c r="R22" s="115">
        <v>15</v>
      </c>
      <c r="S22" s="27">
        <v>42569</v>
      </c>
      <c r="T22" s="112">
        <v>0.45833333333333331</v>
      </c>
      <c r="U22" s="12">
        <v>-0.7</v>
      </c>
      <c r="V22" s="2" t="s">
        <v>975</v>
      </c>
      <c r="X22" s="4">
        <v>47.155000000000001</v>
      </c>
      <c r="Y22" s="4">
        <v>-122.92618333333333</v>
      </c>
      <c r="Z22" t="s">
        <v>148</v>
      </c>
    </row>
    <row r="23" spans="1:26" x14ac:dyDescent="0.25">
      <c r="A23" t="s">
        <v>141</v>
      </c>
      <c r="B23" t="s">
        <v>207</v>
      </c>
      <c r="C23" s="1" t="s">
        <v>1060</v>
      </c>
      <c r="D23" t="s">
        <v>90</v>
      </c>
      <c r="E23" t="s">
        <v>135</v>
      </c>
      <c r="F23" s="12">
        <v>2015</v>
      </c>
      <c r="G23" s="12" t="s">
        <v>87</v>
      </c>
      <c r="H23" s="12" t="s">
        <v>88</v>
      </c>
      <c r="I23" s="12" t="s">
        <v>22</v>
      </c>
      <c r="J23" s="12" t="s">
        <v>114</v>
      </c>
      <c r="K23" s="12" t="s">
        <v>93</v>
      </c>
      <c r="L23" s="12">
        <v>6433</v>
      </c>
      <c r="M23" s="12" t="s">
        <v>165</v>
      </c>
      <c r="P23" s="27">
        <v>42527</v>
      </c>
      <c r="Q23" s="67">
        <v>0.5</v>
      </c>
      <c r="R23" s="115">
        <v>15</v>
      </c>
      <c r="S23" s="27">
        <v>42569</v>
      </c>
      <c r="T23" s="112">
        <v>0.45833333333333331</v>
      </c>
      <c r="U23" s="12">
        <v>-0.7</v>
      </c>
      <c r="V23" s="2" t="s">
        <v>975</v>
      </c>
      <c r="X23" s="4">
        <v>47.155000000000001</v>
      </c>
      <c r="Y23" s="4">
        <v>-122.92618333333333</v>
      </c>
      <c r="Z23" t="s">
        <v>148</v>
      </c>
    </row>
    <row r="24" spans="1:26" x14ac:dyDescent="0.25">
      <c r="A24" t="s">
        <v>141</v>
      </c>
      <c r="B24" t="s">
        <v>207</v>
      </c>
      <c r="C24" s="1" t="s">
        <v>1060</v>
      </c>
      <c r="D24" t="s">
        <v>90</v>
      </c>
      <c r="E24" t="s">
        <v>135</v>
      </c>
      <c r="F24" s="12">
        <v>2015</v>
      </c>
      <c r="G24" s="12" t="s">
        <v>87</v>
      </c>
      <c r="H24" s="12" t="s">
        <v>88</v>
      </c>
      <c r="I24" s="12" t="s">
        <v>22</v>
      </c>
      <c r="J24" s="12" t="s">
        <v>114</v>
      </c>
      <c r="K24" s="12" t="s">
        <v>94</v>
      </c>
      <c r="L24" s="12">
        <v>10777819</v>
      </c>
      <c r="M24" s="12" t="s">
        <v>165</v>
      </c>
      <c r="P24" s="27">
        <v>42527</v>
      </c>
      <c r="Q24" s="67">
        <v>0.5</v>
      </c>
      <c r="R24" s="115">
        <v>15</v>
      </c>
      <c r="S24" s="27">
        <v>42569</v>
      </c>
      <c r="T24" s="112">
        <v>0.45833333333333331</v>
      </c>
      <c r="U24" s="12">
        <v>-0.7</v>
      </c>
      <c r="X24" s="4">
        <v>47.155000000000001</v>
      </c>
      <c r="Y24" s="4">
        <v>-122.92618333333333</v>
      </c>
      <c r="Z24" t="s">
        <v>148</v>
      </c>
    </row>
    <row r="25" spans="1:26" x14ac:dyDescent="0.25">
      <c r="A25" t="s">
        <v>141</v>
      </c>
      <c r="B25" t="s">
        <v>207</v>
      </c>
      <c r="C25" s="1" t="s">
        <v>1060</v>
      </c>
      <c r="D25" t="s">
        <v>90</v>
      </c>
      <c r="E25" t="s">
        <v>135</v>
      </c>
      <c r="F25" s="12">
        <v>2015</v>
      </c>
      <c r="G25" s="12" t="s">
        <v>87</v>
      </c>
      <c r="H25" s="12" t="s">
        <v>88</v>
      </c>
      <c r="I25" s="12" t="s">
        <v>22</v>
      </c>
      <c r="J25" s="12" t="s">
        <v>113</v>
      </c>
      <c r="K25" s="12" t="s">
        <v>93</v>
      </c>
      <c r="L25" s="12">
        <v>6426</v>
      </c>
      <c r="M25" s="12" t="s">
        <v>165</v>
      </c>
      <c r="P25" s="27">
        <v>42569</v>
      </c>
      <c r="Q25" s="67">
        <v>0.5</v>
      </c>
      <c r="R25" s="115">
        <v>15</v>
      </c>
      <c r="S25" s="27">
        <v>42599</v>
      </c>
      <c r="T25" s="112">
        <v>0.5</v>
      </c>
      <c r="V25" s="2" t="s">
        <v>131</v>
      </c>
      <c r="X25" s="4">
        <v>47.155000000000001</v>
      </c>
      <c r="Y25" s="4">
        <v>-122.92618333333333</v>
      </c>
      <c r="Z25" t="s">
        <v>148</v>
      </c>
    </row>
    <row r="26" spans="1:26" x14ac:dyDescent="0.25">
      <c r="A26" t="s">
        <v>141</v>
      </c>
      <c r="B26" t="s">
        <v>207</v>
      </c>
      <c r="C26" s="1" t="s">
        <v>1060</v>
      </c>
      <c r="D26" t="s">
        <v>90</v>
      </c>
      <c r="E26" t="s">
        <v>135</v>
      </c>
      <c r="F26" s="12">
        <v>2015</v>
      </c>
      <c r="G26" s="12" t="s">
        <v>87</v>
      </c>
      <c r="H26" s="12" t="s">
        <v>88</v>
      </c>
      <c r="I26" s="12" t="s">
        <v>22</v>
      </c>
      <c r="J26" s="12" t="s">
        <v>114</v>
      </c>
      <c r="K26" s="12" t="s">
        <v>93</v>
      </c>
      <c r="L26" s="12">
        <v>6427</v>
      </c>
      <c r="M26" s="12" t="s">
        <v>165</v>
      </c>
      <c r="P26" s="27">
        <v>42569</v>
      </c>
      <c r="Q26" s="67">
        <v>0.5</v>
      </c>
      <c r="R26" s="115">
        <v>15</v>
      </c>
      <c r="S26" s="27">
        <v>42599</v>
      </c>
      <c r="T26" s="112">
        <v>0.5</v>
      </c>
      <c r="V26" s="2" t="s">
        <v>131</v>
      </c>
      <c r="X26" s="4">
        <v>47.155000000000001</v>
      </c>
      <c r="Y26" s="4">
        <v>-122.92618333333333</v>
      </c>
      <c r="Z26" t="s">
        <v>148</v>
      </c>
    </row>
    <row r="27" spans="1:26" ht="15" customHeight="1" x14ac:dyDescent="0.25">
      <c r="A27" t="s">
        <v>141</v>
      </c>
      <c r="B27" t="s">
        <v>207</v>
      </c>
      <c r="C27" s="1" t="s">
        <v>1060</v>
      </c>
      <c r="D27" t="s">
        <v>90</v>
      </c>
      <c r="E27" t="s">
        <v>135</v>
      </c>
      <c r="F27" s="12">
        <v>2015</v>
      </c>
      <c r="G27" s="12" t="s">
        <v>87</v>
      </c>
      <c r="H27" s="12" t="s">
        <v>88</v>
      </c>
      <c r="I27" s="12" t="s">
        <v>22</v>
      </c>
      <c r="J27" s="12" t="s">
        <v>114</v>
      </c>
      <c r="K27" s="12" t="s">
        <v>94</v>
      </c>
      <c r="L27" s="12">
        <v>10777817</v>
      </c>
      <c r="M27" s="12" t="s">
        <v>165</v>
      </c>
      <c r="P27" s="27">
        <v>42569</v>
      </c>
      <c r="Q27" s="67">
        <v>0.5</v>
      </c>
      <c r="R27" s="115">
        <v>15</v>
      </c>
      <c r="S27" s="27">
        <v>42599</v>
      </c>
      <c r="T27" s="112">
        <v>0.5</v>
      </c>
      <c r="X27" s="4">
        <v>47.155000000000001</v>
      </c>
      <c r="Y27" s="4">
        <v>-122.92618333333333</v>
      </c>
      <c r="Z27" t="s">
        <v>148</v>
      </c>
    </row>
    <row r="28" spans="1:26" x14ac:dyDescent="0.25">
      <c r="A28" t="s">
        <v>149</v>
      </c>
      <c r="B28" t="s">
        <v>186</v>
      </c>
      <c r="C28" t="s">
        <v>1047</v>
      </c>
      <c r="D28" s="27" t="s">
        <v>90</v>
      </c>
      <c r="E28" t="s">
        <v>135</v>
      </c>
      <c r="F28" s="12">
        <v>2013</v>
      </c>
      <c r="G28" s="12" t="s">
        <v>87</v>
      </c>
      <c r="H28" s="12" t="s">
        <v>88</v>
      </c>
      <c r="I28" s="12" t="s">
        <v>22</v>
      </c>
      <c r="J28" s="12" t="s">
        <v>113</v>
      </c>
      <c r="K28" s="12" t="s">
        <v>93</v>
      </c>
      <c r="L28" s="12">
        <v>6436</v>
      </c>
      <c r="M28" s="12" t="s">
        <v>165</v>
      </c>
      <c r="P28" s="27">
        <v>42527</v>
      </c>
      <c r="Q28" s="67">
        <v>0.5</v>
      </c>
      <c r="R28" s="115">
        <v>15</v>
      </c>
      <c r="V28" s="2" t="s">
        <v>1065</v>
      </c>
      <c r="X28" s="4">
        <v>47.222016666666669</v>
      </c>
      <c r="Y28" s="4">
        <v>-122.81008333333334</v>
      </c>
      <c r="Z28" t="s">
        <v>148</v>
      </c>
    </row>
    <row r="29" spans="1:26" x14ac:dyDescent="0.25">
      <c r="A29" t="s">
        <v>149</v>
      </c>
      <c r="B29" t="s">
        <v>186</v>
      </c>
      <c r="C29" t="s">
        <v>1047</v>
      </c>
      <c r="D29" s="27" t="s">
        <v>90</v>
      </c>
      <c r="E29" t="s">
        <v>135</v>
      </c>
      <c r="F29" s="12">
        <v>2013</v>
      </c>
      <c r="G29" s="12" t="s">
        <v>87</v>
      </c>
      <c r="H29" s="12" t="s">
        <v>88</v>
      </c>
      <c r="I29" s="12" t="s">
        <v>22</v>
      </c>
      <c r="J29" s="12" t="s">
        <v>114</v>
      </c>
      <c r="K29" s="12" t="s">
        <v>93</v>
      </c>
      <c r="L29" s="12">
        <v>6437</v>
      </c>
      <c r="M29" s="12" t="s">
        <v>165</v>
      </c>
      <c r="P29" s="27">
        <v>42527</v>
      </c>
      <c r="Q29" s="67">
        <v>0.5</v>
      </c>
      <c r="R29" s="115">
        <v>15</v>
      </c>
      <c r="V29" s="2" t="s">
        <v>1065</v>
      </c>
      <c r="X29" s="4">
        <v>47.222016666666669</v>
      </c>
      <c r="Y29" s="4">
        <v>-122.81008333333334</v>
      </c>
      <c r="Z29" t="s">
        <v>148</v>
      </c>
    </row>
    <row r="30" spans="1:26" x14ac:dyDescent="0.25">
      <c r="A30" t="s">
        <v>149</v>
      </c>
      <c r="B30" t="s">
        <v>186</v>
      </c>
      <c r="C30" t="s">
        <v>1047</v>
      </c>
      <c r="D30" s="27" t="s">
        <v>90</v>
      </c>
      <c r="E30" t="s">
        <v>135</v>
      </c>
      <c r="F30" s="12">
        <v>2013</v>
      </c>
      <c r="G30" s="12" t="s">
        <v>87</v>
      </c>
      <c r="H30" s="12" t="s">
        <v>88</v>
      </c>
      <c r="I30" s="12" t="s">
        <v>22</v>
      </c>
      <c r="J30" s="12" t="s">
        <v>114</v>
      </c>
      <c r="K30" s="12" t="s">
        <v>94</v>
      </c>
      <c r="L30" s="12">
        <v>10777830</v>
      </c>
      <c r="M30" s="12" t="s">
        <v>165</v>
      </c>
      <c r="P30" s="27">
        <v>42527</v>
      </c>
      <c r="Q30" s="67">
        <v>0.5</v>
      </c>
      <c r="R30" s="115">
        <v>15</v>
      </c>
      <c r="S30" s="27">
        <v>42557</v>
      </c>
      <c r="T30" s="67">
        <v>0.5</v>
      </c>
      <c r="X30" s="4">
        <v>47.222016666666669</v>
      </c>
      <c r="Y30" s="4">
        <v>-122.81008333333334</v>
      </c>
      <c r="Z30" t="s">
        <v>148</v>
      </c>
    </row>
    <row r="31" spans="1:26" x14ac:dyDescent="0.25">
      <c r="A31" t="s">
        <v>149</v>
      </c>
      <c r="B31" t="s">
        <v>186</v>
      </c>
      <c r="C31" t="s">
        <v>1047</v>
      </c>
      <c r="D31" s="27" t="s">
        <v>90</v>
      </c>
      <c r="E31" t="s">
        <v>135</v>
      </c>
      <c r="F31" s="12">
        <v>2013</v>
      </c>
      <c r="G31" s="12" t="s">
        <v>87</v>
      </c>
      <c r="H31" s="12" t="s">
        <v>88</v>
      </c>
      <c r="I31" s="12" t="s">
        <v>22</v>
      </c>
      <c r="J31" s="12" t="s">
        <v>113</v>
      </c>
      <c r="K31" s="12" t="s">
        <v>93</v>
      </c>
      <c r="L31" s="12">
        <v>6430</v>
      </c>
      <c r="M31" s="12" t="s">
        <v>165</v>
      </c>
      <c r="P31" s="27">
        <v>42557</v>
      </c>
      <c r="Q31" s="67">
        <v>0.625</v>
      </c>
      <c r="R31" s="115">
        <v>15</v>
      </c>
      <c r="S31" s="27">
        <v>42599</v>
      </c>
      <c r="T31" s="112">
        <v>0.5</v>
      </c>
      <c r="V31" s="2" t="s">
        <v>985</v>
      </c>
      <c r="X31" s="4">
        <v>47.222016666666669</v>
      </c>
      <c r="Y31" s="4">
        <v>-122.81008333333334</v>
      </c>
      <c r="Z31" t="s">
        <v>148</v>
      </c>
    </row>
    <row r="32" spans="1:26" x14ac:dyDescent="0.25">
      <c r="A32" t="s">
        <v>149</v>
      </c>
      <c r="B32" t="s">
        <v>186</v>
      </c>
      <c r="C32" t="s">
        <v>1047</v>
      </c>
      <c r="D32" s="27" t="s">
        <v>90</v>
      </c>
      <c r="E32" t="s">
        <v>135</v>
      </c>
      <c r="F32" s="12">
        <v>2013</v>
      </c>
      <c r="G32" s="12" t="s">
        <v>87</v>
      </c>
      <c r="H32" s="12" t="s">
        <v>88</v>
      </c>
      <c r="I32" s="12" t="s">
        <v>22</v>
      </c>
      <c r="J32" s="12" t="s">
        <v>114</v>
      </c>
      <c r="K32" s="12" t="s">
        <v>93</v>
      </c>
      <c r="L32" s="12">
        <v>6431</v>
      </c>
      <c r="M32" s="12" t="s">
        <v>165</v>
      </c>
      <c r="P32" s="27">
        <v>42557</v>
      </c>
      <c r="Q32" s="67">
        <v>0.625</v>
      </c>
      <c r="R32" s="115">
        <v>15</v>
      </c>
      <c r="S32" s="27">
        <v>42599</v>
      </c>
      <c r="T32" s="112">
        <v>0.5</v>
      </c>
      <c r="V32" s="2" t="s">
        <v>131</v>
      </c>
      <c r="X32" s="4">
        <v>47.222016666666669</v>
      </c>
      <c r="Y32" s="4">
        <v>-122.81008333333334</v>
      </c>
      <c r="Z32" t="s">
        <v>148</v>
      </c>
    </row>
    <row r="33" spans="1:26" x14ac:dyDescent="0.25">
      <c r="A33" t="s">
        <v>149</v>
      </c>
      <c r="B33" t="s">
        <v>186</v>
      </c>
      <c r="C33" t="s">
        <v>1047</v>
      </c>
      <c r="D33" s="27" t="s">
        <v>90</v>
      </c>
      <c r="E33" t="s">
        <v>135</v>
      </c>
      <c r="F33" s="12">
        <v>2013</v>
      </c>
      <c r="G33" s="12" t="s">
        <v>87</v>
      </c>
      <c r="H33" s="12" t="s">
        <v>88</v>
      </c>
      <c r="I33" s="12" t="s">
        <v>22</v>
      </c>
      <c r="J33" s="12" t="s">
        <v>114</v>
      </c>
      <c r="K33" s="12" t="s">
        <v>94</v>
      </c>
      <c r="L33" s="12">
        <v>10777829</v>
      </c>
      <c r="M33" s="12" t="s">
        <v>165</v>
      </c>
      <c r="P33" s="27">
        <v>42557</v>
      </c>
      <c r="Q33" s="67">
        <v>0.625</v>
      </c>
      <c r="R33" s="115">
        <v>15</v>
      </c>
      <c r="S33" s="27">
        <v>42599</v>
      </c>
      <c r="T33" s="112">
        <v>0.5</v>
      </c>
      <c r="X33" s="4">
        <v>47.222016666666669</v>
      </c>
      <c r="Y33" s="4">
        <v>-122.81008333333334</v>
      </c>
      <c r="Z33" t="s">
        <v>148</v>
      </c>
    </row>
    <row r="34" spans="1:26" x14ac:dyDescent="0.25">
      <c r="A34" t="s">
        <v>149</v>
      </c>
      <c r="B34" t="s">
        <v>213</v>
      </c>
      <c r="C34" t="s">
        <v>1047</v>
      </c>
      <c r="D34" t="s">
        <v>52</v>
      </c>
      <c r="E34" t="s">
        <v>135</v>
      </c>
      <c r="F34" s="12">
        <v>2016</v>
      </c>
      <c r="G34" s="12" t="s">
        <v>87</v>
      </c>
      <c r="H34" s="12" t="s">
        <v>88</v>
      </c>
      <c r="I34" s="12" t="s">
        <v>100</v>
      </c>
      <c r="K34" s="12" t="s">
        <v>91</v>
      </c>
      <c r="L34" s="12" t="s">
        <v>109</v>
      </c>
      <c r="M34" s="12" t="s">
        <v>165</v>
      </c>
      <c r="P34" s="27">
        <v>42854</v>
      </c>
      <c r="Q34" s="67">
        <v>0.66666666666666663</v>
      </c>
      <c r="R34" s="115"/>
      <c r="S34" s="27">
        <v>42938</v>
      </c>
      <c r="T34" s="8">
        <v>0.5625</v>
      </c>
      <c r="U34" s="74"/>
      <c r="V34" s="2" t="s">
        <v>1000</v>
      </c>
      <c r="X34" s="4">
        <v>47.22193</v>
      </c>
      <c r="Y34" s="4">
        <v>-122.81001000000001</v>
      </c>
      <c r="Z34" t="s">
        <v>148</v>
      </c>
    </row>
    <row r="35" spans="1:26" x14ac:dyDescent="0.25">
      <c r="A35" t="s">
        <v>149</v>
      </c>
      <c r="B35" t="s">
        <v>213</v>
      </c>
      <c r="C35" t="s">
        <v>1047</v>
      </c>
      <c r="D35" t="s">
        <v>52</v>
      </c>
      <c r="E35" t="s">
        <v>135</v>
      </c>
      <c r="F35" s="12">
        <v>2016</v>
      </c>
      <c r="G35" s="12" t="s">
        <v>87</v>
      </c>
      <c r="H35" s="12" t="s">
        <v>88</v>
      </c>
      <c r="I35" s="12" t="s">
        <v>100</v>
      </c>
      <c r="K35" s="12" t="s">
        <v>95</v>
      </c>
      <c r="L35" s="12">
        <v>20047934</v>
      </c>
      <c r="M35" s="12" t="s">
        <v>165</v>
      </c>
      <c r="P35" s="27">
        <v>42854</v>
      </c>
      <c r="Q35" s="67">
        <v>0.66666666666666663</v>
      </c>
      <c r="R35" s="115">
        <v>10</v>
      </c>
      <c r="S35" s="27">
        <v>42967</v>
      </c>
      <c r="T35" s="112">
        <v>0.375</v>
      </c>
      <c r="U35" s="75"/>
      <c r="V35" s="2"/>
      <c r="X35" s="4">
        <v>47.22193</v>
      </c>
      <c r="Y35" s="4">
        <v>-122.81001000000001</v>
      </c>
      <c r="Z35" t="s">
        <v>148</v>
      </c>
    </row>
    <row r="36" spans="1:26" x14ac:dyDescent="0.25">
      <c r="A36" t="s">
        <v>149</v>
      </c>
      <c r="C36" t="s">
        <v>1047</v>
      </c>
      <c r="D36" t="s">
        <v>52</v>
      </c>
      <c r="E36" t="s">
        <v>135</v>
      </c>
      <c r="G36" s="12" t="s">
        <v>89</v>
      </c>
      <c r="H36" s="12" t="s">
        <v>102</v>
      </c>
      <c r="K36" s="12" t="s">
        <v>91</v>
      </c>
      <c r="L36" s="12" t="s">
        <v>111</v>
      </c>
      <c r="M36" s="12" t="s">
        <v>165</v>
      </c>
      <c r="P36" s="27">
        <v>42854</v>
      </c>
      <c r="Q36" s="67">
        <v>0.66666666666666663</v>
      </c>
      <c r="R36" s="115"/>
      <c r="S36" s="27">
        <v>42938</v>
      </c>
      <c r="T36" s="8">
        <v>0.5625</v>
      </c>
      <c r="U36" s="74"/>
      <c r="V36" s="2" t="s">
        <v>1001</v>
      </c>
      <c r="X36" s="4">
        <v>47.22195</v>
      </c>
      <c r="Y36" s="4">
        <v>-122.81007</v>
      </c>
      <c r="Z36" t="s">
        <v>148</v>
      </c>
    </row>
    <row r="37" spans="1:26" x14ac:dyDescent="0.25">
      <c r="A37" t="s">
        <v>149</v>
      </c>
      <c r="C37" t="s">
        <v>1047</v>
      </c>
      <c r="D37" t="s">
        <v>52</v>
      </c>
      <c r="E37" t="s">
        <v>135</v>
      </c>
      <c r="G37" s="12" t="s">
        <v>89</v>
      </c>
      <c r="H37" s="12" t="s">
        <v>102</v>
      </c>
      <c r="K37" s="12" t="s">
        <v>95</v>
      </c>
      <c r="L37" s="12">
        <v>20047935</v>
      </c>
      <c r="M37" s="12" t="s">
        <v>165</v>
      </c>
      <c r="P37" s="27">
        <v>42854</v>
      </c>
      <c r="Q37" s="67">
        <v>0.66666666666666663</v>
      </c>
      <c r="R37" s="115"/>
      <c r="S37" s="27">
        <v>42967</v>
      </c>
      <c r="T37" s="112">
        <v>0.375</v>
      </c>
      <c r="U37" s="75"/>
      <c r="V37" s="2"/>
      <c r="X37" s="4">
        <v>47.22195</v>
      </c>
      <c r="Y37" s="4">
        <v>-122.81007</v>
      </c>
      <c r="Z37" t="s">
        <v>148</v>
      </c>
    </row>
    <row r="38" spans="1:26" x14ac:dyDescent="0.25">
      <c r="A38" t="s">
        <v>149</v>
      </c>
      <c r="B38" t="s">
        <v>184</v>
      </c>
      <c r="C38" t="s">
        <v>1047</v>
      </c>
      <c r="D38" t="s">
        <v>90</v>
      </c>
      <c r="E38" t="s">
        <v>135</v>
      </c>
      <c r="F38" s="12">
        <v>2015</v>
      </c>
      <c r="G38" s="12" t="s">
        <v>87</v>
      </c>
      <c r="H38" s="12" t="s">
        <v>88</v>
      </c>
      <c r="I38" s="12" t="s">
        <v>100</v>
      </c>
      <c r="K38" s="12" t="s">
        <v>91</v>
      </c>
      <c r="L38" s="12" t="s">
        <v>112</v>
      </c>
      <c r="M38" s="12" t="s">
        <v>165</v>
      </c>
      <c r="P38" s="27">
        <v>42854</v>
      </c>
      <c r="Q38" s="67">
        <v>0.66666666666666663</v>
      </c>
      <c r="R38" s="115"/>
      <c r="S38" s="27">
        <v>42938</v>
      </c>
      <c r="T38" s="8">
        <v>0.5625</v>
      </c>
      <c r="U38" s="74"/>
      <c r="V38" s="2" t="s">
        <v>1003</v>
      </c>
      <c r="X38" s="4">
        <v>47.221969999999999</v>
      </c>
      <c r="Y38" s="4">
        <v>-122.81013</v>
      </c>
      <c r="Z38" t="s">
        <v>148</v>
      </c>
    </row>
    <row r="39" spans="1:26" x14ac:dyDescent="0.25">
      <c r="A39" t="s">
        <v>149</v>
      </c>
      <c r="B39" t="s">
        <v>184</v>
      </c>
      <c r="C39" t="s">
        <v>1047</v>
      </c>
      <c r="D39" t="s">
        <v>90</v>
      </c>
      <c r="E39" t="s">
        <v>135</v>
      </c>
      <c r="F39" s="12">
        <v>2015</v>
      </c>
      <c r="G39" s="12" t="s">
        <v>87</v>
      </c>
      <c r="H39" s="12" t="s">
        <v>88</v>
      </c>
      <c r="I39" s="12" t="s">
        <v>100</v>
      </c>
      <c r="K39" s="12" t="s">
        <v>95</v>
      </c>
      <c r="L39" s="12">
        <v>20047928</v>
      </c>
      <c r="M39" s="12" t="s">
        <v>165</v>
      </c>
      <c r="P39" s="27">
        <v>42854</v>
      </c>
      <c r="Q39" s="67">
        <v>0.66666666666666663</v>
      </c>
      <c r="R39" s="115">
        <v>15</v>
      </c>
      <c r="S39" s="27">
        <v>42967</v>
      </c>
      <c r="T39" s="112">
        <v>0.375</v>
      </c>
      <c r="U39" s="75"/>
      <c r="V39" s="2"/>
      <c r="X39" s="4">
        <v>47.221969999999999</v>
      </c>
      <c r="Y39" s="4">
        <v>-122.81013</v>
      </c>
      <c r="Z39" t="s">
        <v>148</v>
      </c>
    </row>
    <row r="40" spans="1:26" x14ac:dyDescent="0.25">
      <c r="A40" t="s">
        <v>149</v>
      </c>
      <c r="C40" t="s">
        <v>1047</v>
      </c>
      <c r="D40" t="s">
        <v>90</v>
      </c>
      <c r="E40" t="s">
        <v>135</v>
      </c>
      <c r="G40" s="12" t="s">
        <v>89</v>
      </c>
      <c r="H40" s="12" t="s">
        <v>102</v>
      </c>
      <c r="K40" s="12" t="s">
        <v>91</v>
      </c>
      <c r="L40" s="12" t="s">
        <v>115</v>
      </c>
      <c r="M40" s="12" t="s">
        <v>165</v>
      </c>
      <c r="P40" s="27">
        <v>42854</v>
      </c>
      <c r="Q40" s="67">
        <v>0.66666666666666663</v>
      </c>
      <c r="R40" s="115"/>
      <c r="S40" s="27">
        <v>42938</v>
      </c>
      <c r="T40" s="8">
        <v>0.5625</v>
      </c>
      <c r="U40" s="74"/>
      <c r="V40" s="2" t="s">
        <v>1002</v>
      </c>
      <c r="X40" s="4">
        <v>47.221939999999996</v>
      </c>
      <c r="Y40" s="4">
        <v>-122.81009</v>
      </c>
      <c r="Z40" t="s">
        <v>148</v>
      </c>
    </row>
    <row r="41" spans="1:26" x14ac:dyDescent="0.25">
      <c r="A41" t="s">
        <v>149</v>
      </c>
      <c r="C41" t="s">
        <v>1047</v>
      </c>
      <c r="D41" t="s">
        <v>90</v>
      </c>
      <c r="E41" t="s">
        <v>135</v>
      </c>
      <c r="G41" s="12" t="s">
        <v>89</v>
      </c>
      <c r="H41" s="12" t="s">
        <v>102</v>
      </c>
      <c r="K41" s="12" t="s">
        <v>95</v>
      </c>
      <c r="L41" s="12">
        <v>20047929</v>
      </c>
      <c r="M41" s="12" t="s">
        <v>165</v>
      </c>
      <c r="P41" s="27">
        <v>42854</v>
      </c>
      <c r="Q41" s="67">
        <v>0.66666666666666663</v>
      </c>
      <c r="R41" s="115">
        <v>15</v>
      </c>
      <c r="S41" s="27">
        <v>42967</v>
      </c>
      <c r="T41" s="112">
        <v>0.375</v>
      </c>
      <c r="U41" s="75"/>
      <c r="V41" s="2"/>
      <c r="X41" s="4">
        <v>47.221939999999996</v>
      </c>
      <c r="Y41" s="4">
        <v>-122.81009</v>
      </c>
      <c r="Z41" t="s">
        <v>148</v>
      </c>
    </row>
    <row r="42" spans="1:26" x14ac:dyDescent="0.25">
      <c r="A42" t="s">
        <v>149</v>
      </c>
      <c r="B42" t="s">
        <v>213</v>
      </c>
      <c r="C42" t="s">
        <v>1047</v>
      </c>
      <c r="D42" t="s">
        <v>52</v>
      </c>
      <c r="E42" t="s">
        <v>135</v>
      </c>
      <c r="F42" s="12">
        <v>2016</v>
      </c>
      <c r="G42" s="12" t="s">
        <v>87</v>
      </c>
      <c r="H42" s="12" t="s">
        <v>88</v>
      </c>
      <c r="I42" s="12" t="s">
        <v>100</v>
      </c>
      <c r="K42" s="12" t="s">
        <v>110</v>
      </c>
      <c r="L42" s="12">
        <v>7944</v>
      </c>
      <c r="M42" s="12" t="s">
        <v>165</v>
      </c>
      <c r="P42" s="27">
        <v>42883</v>
      </c>
      <c r="Q42" s="67">
        <v>0.66666666666666663</v>
      </c>
      <c r="R42" s="115"/>
      <c r="S42" s="27">
        <v>42938</v>
      </c>
      <c r="T42" s="8">
        <v>0.5625</v>
      </c>
      <c r="U42" s="74"/>
      <c r="V42" s="2"/>
      <c r="X42" s="4">
        <v>47.22193</v>
      </c>
      <c r="Y42" s="4">
        <v>-122.81001000000001</v>
      </c>
      <c r="Z42" t="s">
        <v>148</v>
      </c>
    </row>
    <row r="43" spans="1:26" x14ac:dyDescent="0.25">
      <c r="A43" t="s">
        <v>149</v>
      </c>
      <c r="C43" t="s">
        <v>1047</v>
      </c>
      <c r="D43" t="s">
        <v>52</v>
      </c>
      <c r="E43" t="s">
        <v>135</v>
      </c>
      <c r="G43" s="12" t="s">
        <v>89</v>
      </c>
      <c r="H43" s="12" t="s">
        <v>102</v>
      </c>
      <c r="K43" s="12" t="s">
        <v>92</v>
      </c>
      <c r="L43" s="12">
        <v>7945</v>
      </c>
      <c r="M43" s="12" t="s">
        <v>165</v>
      </c>
      <c r="P43" s="27">
        <v>42883</v>
      </c>
      <c r="Q43" s="67">
        <v>0.66666666666666663</v>
      </c>
      <c r="R43" s="115"/>
      <c r="S43" s="27">
        <v>42938</v>
      </c>
      <c r="T43" s="8">
        <v>0.5625</v>
      </c>
      <c r="U43" s="74"/>
      <c r="V43" s="2"/>
      <c r="X43" s="4">
        <v>47.22195</v>
      </c>
      <c r="Y43" s="4">
        <v>-122.81007</v>
      </c>
      <c r="Z43" t="s">
        <v>148</v>
      </c>
    </row>
    <row r="44" spans="1:26" x14ac:dyDescent="0.25">
      <c r="A44" t="s">
        <v>149</v>
      </c>
      <c r="B44" t="s">
        <v>184</v>
      </c>
      <c r="C44" t="s">
        <v>1047</v>
      </c>
      <c r="D44" t="s">
        <v>90</v>
      </c>
      <c r="E44" t="s">
        <v>135</v>
      </c>
      <c r="F44" s="12">
        <v>2015</v>
      </c>
      <c r="G44" s="12" t="s">
        <v>87</v>
      </c>
      <c r="H44" s="12" t="s">
        <v>88</v>
      </c>
      <c r="I44" s="12" t="s">
        <v>100</v>
      </c>
      <c r="K44" s="12" t="s">
        <v>92</v>
      </c>
      <c r="L44" s="12">
        <v>7942</v>
      </c>
      <c r="M44" s="12" t="s">
        <v>165</v>
      </c>
      <c r="P44" s="27">
        <v>42883</v>
      </c>
      <c r="Q44" s="67">
        <v>0.66666666666666663</v>
      </c>
      <c r="R44" s="115"/>
      <c r="S44" s="27">
        <v>42938</v>
      </c>
      <c r="T44" s="8">
        <v>0.5625</v>
      </c>
      <c r="U44" s="74"/>
      <c r="V44" s="2"/>
      <c r="X44" s="4">
        <v>47.221969999999999</v>
      </c>
      <c r="Y44" s="4">
        <v>-122.81013</v>
      </c>
      <c r="Z44" t="s">
        <v>148</v>
      </c>
    </row>
    <row r="45" spans="1:26" x14ac:dyDescent="0.25">
      <c r="A45" t="s">
        <v>149</v>
      </c>
      <c r="B45" t="s">
        <v>186</v>
      </c>
      <c r="C45" t="s">
        <v>1047</v>
      </c>
      <c r="D45" t="s">
        <v>90</v>
      </c>
      <c r="E45" t="s">
        <v>135</v>
      </c>
      <c r="F45" s="12">
        <v>2015</v>
      </c>
      <c r="G45" s="12" t="s">
        <v>87</v>
      </c>
      <c r="H45" s="12" t="s">
        <v>88</v>
      </c>
      <c r="I45" s="12" t="s">
        <v>100</v>
      </c>
      <c r="J45" s="12" t="s">
        <v>113</v>
      </c>
      <c r="K45" s="12" t="s">
        <v>93</v>
      </c>
      <c r="L45" s="12">
        <v>5991</v>
      </c>
      <c r="M45" s="12" t="s">
        <v>165</v>
      </c>
      <c r="P45" s="27">
        <v>42883</v>
      </c>
      <c r="Q45" s="67">
        <v>0.66666666666666663</v>
      </c>
      <c r="R45" s="115">
        <v>15</v>
      </c>
      <c r="S45" s="27">
        <v>42938</v>
      </c>
      <c r="T45" s="8">
        <v>0.5625</v>
      </c>
      <c r="U45" s="74"/>
      <c r="V45" s="2" t="s">
        <v>131</v>
      </c>
      <c r="X45" s="4">
        <v>47.221969999999999</v>
      </c>
      <c r="Y45" s="4">
        <v>-122.81014999999999</v>
      </c>
      <c r="Z45" t="s">
        <v>148</v>
      </c>
    </row>
    <row r="46" spans="1:26" s="1" customFormat="1" x14ac:dyDescent="0.25">
      <c r="A46" t="s">
        <v>149</v>
      </c>
      <c r="B46" t="s">
        <v>186</v>
      </c>
      <c r="C46" t="s">
        <v>1047</v>
      </c>
      <c r="D46" t="s">
        <v>90</v>
      </c>
      <c r="E46" t="s">
        <v>135</v>
      </c>
      <c r="F46" s="12">
        <v>2015</v>
      </c>
      <c r="G46" s="12" t="s">
        <v>87</v>
      </c>
      <c r="H46" s="12" t="s">
        <v>88</v>
      </c>
      <c r="I46" s="12" t="s">
        <v>100</v>
      </c>
      <c r="J46" s="12" t="s">
        <v>114</v>
      </c>
      <c r="K46" s="12" t="s">
        <v>93</v>
      </c>
      <c r="L46" s="12">
        <v>5992</v>
      </c>
      <c r="M46" s="12" t="s">
        <v>165</v>
      </c>
      <c r="N46" s="12"/>
      <c r="O46" s="12"/>
      <c r="P46" s="27">
        <v>42883</v>
      </c>
      <c r="Q46" s="67">
        <v>0.66666666666666663</v>
      </c>
      <c r="R46" s="115">
        <v>15</v>
      </c>
      <c r="S46" s="27">
        <v>42938</v>
      </c>
      <c r="T46" s="8">
        <v>0.5625</v>
      </c>
      <c r="U46" s="74"/>
      <c r="V46" s="2" t="s">
        <v>131</v>
      </c>
      <c r="W46" s="12"/>
      <c r="X46" s="4">
        <v>47.221969999999999</v>
      </c>
      <c r="Y46" s="4">
        <v>-122.81014999999999</v>
      </c>
      <c r="Z46" t="s">
        <v>148</v>
      </c>
    </row>
    <row r="47" spans="1:26" s="1" customFormat="1" x14ac:dyDescent="0.25">
      <c r="A47" t="s">
        <v>149</v>
      </c>
      <c r="B47" t="s">
        <v>186</v>
      </c>
      <c r="C47" t="s">
        <v>1047</v>
      </c>
      <c r="D47" t="s">
        <v>90</v>
      </c>
      <c r="E47" t="s">
        <v>135</v>
      </c>
      <c r="F47" s="12">
        <v>2015</v>
      </c>
      <c r="G47" s="12" t="s">
        <v>87</v>
      </c>
      <c r="H47" s="12" t="s">
        <v>88</v>
      </c>
      <c r="I47" s="12" t="s">
        <v>100</v>
      </c>
      <c r="J47" s="12" t="s">
        <v>114</v>
      </c>
      <c r="K47" s="12" t="s">
        <v>94</v>
      </c>
      <c r="L47" s="12">
        <v>10777817</v>
      </c>
      <c r="M47" s="12" t="s">
        <v>165</v>
      </c>
      <c r="N47" s="12"/>
      <c r="O47" s="12"/>
      <c r="P47" s="27">
        <v>42883</v>
      </c>
      <c r="Q47" s="67">
        <v>0.66666666666666663</v>
      </c>
      <c r="R47" s="115">
        <v>15</v>
      </c>
      <c r="S47" s="27">
        <v>42967</v>
      </c>
      <c r="T47" s="112">
        <v>0.375</v>
      </c>
      <c r="U47" s="75"/>
      <c r="V47" s="2"/>
      <c r="W47" s="12"/>
      <c r="X47" s="4">
        <v>47.221969999999999</v>
      </c>
      <c r="Y47" s="4">
        <v>-122.81014999999999</v>
      </c>
      <c r="Z47" t="s">
        <v>148</v>
      </c>
    </row>
    <row r="48" spans="1:26" x14ac:dyDescent="0.25">
      <c r="A48" t="s">
        <v>149</v>
      </c>
      <c r="C48" t="s">
        <v>1047</v>
      </c>
      <c r="D48" t="s">
        <v>90</v>
      </c>
      <c r="E48" t="s">
        <v>135</v>
      </c>
      <c r="G48" s="12" t="s">
        <v>89</v>
      </c>
      <c r="H48" s="12" t="s">
        <v>102</v>
      </c>
      <c r="K48" s="12" t="s">
        <v>92</v>
      </c>
      <c r="L48" s="12">
        <v>7943</v>
      </c>
      <c r="M48" s="12" t="s">
        <v>165</v>
      </c>
      <c r="P48" s="27">
        <v>42883</v>
      </c>
      <c r="Q48" s="67">
        <v>0.66666666666666663</v>
      </c>
      <c r="R48" s="115"/>
      <c r="S48" s="27">
        <v>42938</v>
      </c>
      <c r="T48" s="8">
        <v>0.5625</v>
      </c>
      <c r="U48" s="74"/>
      <c r="V48" s="2"/>
      <c r="X48" s="4">
        <v>47.221939999999996</v>
      </c>
      <c r="Y48" s="4">
        <v>-122.81009</v>
      </c>
      <c r="Z48" t="s">
        <v>148</v>
      </c>
    </row>
    <row r="49" spans="1:26" x14ac:dyDescent="0.25">
      <c r="A49" t="s">
        <v>149</v>
      </c>
      <c r="B49" t="s">
        <v>213</v>
      </c>
      <c r="C49" t="s">
        <v>1047</v>
      </c>
      <c r="D49" t="s">
        <v>52</v>
      </c>
      <c r="E49" t="s">
        <v>135</v>
      </c>
      <c r="F49" s="12">
        <v>2016</v>
      </c>
      <c r="G49" s="12" t="s">
        <v>87</v>
      </c>
      <c r="H49" s="12" t="s">
        <v>88</v>
      </c>
      <c r="I49" s="12" t="s">
        <v>100</v>
      </c>
      <c r="K49" s="12" t="s">
        <v>91</v>
      </c>
      <c r="L49" s="12" t="s">
        <v>122</v>
      </c>
      <c r="M49" s="12" t="s">
        <v>165</v>
      </c>
      <c r="P49" s="27">
        <v>42938</v>
      </c>
      <c r="Q49" s="67">
        <v>0.58333333333333337</v>
      </c>
      <c r="R49" s="115"/>
      <c r="S49" s="27">
        <v>42967</v>
      </c>
      <c r="T49" s="112">
        <v>0.375</v>
      </c>
      <c r="U49" s="75"/>
      <c r="V49" s="2" t="s">
        <v>1000</v>
      </c>
      <c r="X49" s="4">
        <v>47.22193</v>
      </c>
      <c r="Y49" s="4">
        <v>-122.81001000000001</v>
      </c>
      <c r="Z49" t="s">
        <v>148</v>
      </c>
    </row>
    <row r="50" spans="1:26" x14ac:dyDescent="0.25">
      <c r="A50" t="s">
        <v>149</v>
      </c>
      <c r="B50" t="s">
        <v>213</v>
      </c>
      <c r="C50" t="s">
        <v>1047</v>
      </c>
      <c r="D50" t="s">
        <v>52</v>
      </c>
      <c r="E50" t="s">
        <v>135</v>
      </c>
      <c r="F50" s="12">
        <v>2016</v>
      </c>
      <c r="G50" s="12" t="s">
        <v>87</v>
      </c>
      <c r="H50" s="12" t="s">
        <v>88</v>
      </c>
      <c r="I50" s="12" t="s">
        <v>100</v>
      </c>
      <c r="K50" s="12" t="s">
        <v>110</v>
      </c>
      <c r="L50" s="12" t="s">
        <v>123</v>
      </c>
      <c r="M50" s="12" t="s">
        <v>165</v>
      </c>
      <c r="P50" s="27">
        <v>42938</v>
      </c>
      <c r="Q50" s="67">
        <v>0.58333333333333337</v>
      </c>
      <c r="R50" s="115"/>
      <c r="S50" s="27">
        <v>42967</v>
      </c>
      <c r="T50" s="112">
        <v>0.375</v>
      </c>
      <c r="U50" s="75"/>
      <c r="V50" s="2"/>
      <c r="X50" s="4">
        <v>47.22193</v>
      </c>
      <c r="Y50" s="4">
        <v>-122.81001000000001</v>
      </c>
      <c r="Z50" t="s">
        <v>148</v>
      </c>
    </row>
    <row r="51" spans="1:26" x14ac:dyDescent="0.25">
      <c r="A51" t="s">
        <v>149</v>
      </c>
      <c r="C51" t="s">
        <v>1047</v>
      </c>
      <c r="D51" t="s">
        <v>52</v>
      </c>
      <c r="E51" t="s">
        <v>135</v>
      </c>
      <c r="G51" s="12" t="s">
        <v>89</v>
      </c>
      <c r="H51" s="12" t="s">
        <v>102</v>
      </c>
      <c r="K51" s="12" t="s">
        <v>91</v>
      </c>
      <c r="L51" s="12" t="s">
        <v>128</v>
      </c>
      <c r="M51" s="12" t="s">
        <v>165</v>
      </c>
      <c r="P51" s="27">
        <v>42938</v>
      </c>
      <c r="Q51" s="67">
        <v>0.58333333333333337</v>
      </c>
      <c r="R51" s="115"/>
      <c r="S51" s="27">
        <v>42967</v>
      </c>
      <c r="T51" s="112">
        <v>0.375</v>
      </c>
      <c r="U51" s="75"/>
      <c r="V51" s="2" t="s">
        <v>1001</v>
      </c>
      <c r="X51" s="4">
        <v>47.22195</v>
      </c>
      <c r="Y51" s="4">
        <v>-122.81007</v>
      </c>
      <c r="Z51" t="s">
        <v>148</v>
      </c>
    </row>
    <row r="52" spans="1:26" x14ac:dyDescent="0.25">
      <c r="A52" t="s">
        <v>149</v>
      </c>
      <c r="C52" t="s">
        <v>1047</v>
      </c>
      <c r="D52" t="s">
        <v>52</v>
      </c>
      <c r="E52" t="s">
        <v>135</v>
      </c>
      <c r="G52" s="12" t="s">
        <v>89</v>
      </c>
      <c r="H52" s="12" t="s">
        <v>102</v>
      </c>
      <c r="K52" s="12" t="s">
        <v>92</v>
      </c>
      <c r="L52" s="12" t="s">
        <v>129</v>
      </c>
      <c r="M52" s="12" t="s">
        <v>165</v>
      </c>
      <c r="P52" s="27">
        <v>42938</v>
      </c>
      <c r="Q52" s="67">
        <v>0.58333333333333337</v>
      </c>
      <c r="R52" s="115"/>
      <c r="S52" s="27">
        <v>42967</v>
      </c>
      <c r="T52" s="112">
        <v>0.375</v>
      </c>
      <c r="U52" s="75"/>
      <c r="V52" s="2"/>
      <c r="X52" s="4">
        <v>47.22195</v>
      </c>
      <c r="Y52" s="4">
        <v>-122.81007</v>
      </c>
      <c r="Z52" t="s">
        <v>148</v>
      </c>
    </row>
    <row r="53" spans="1:26" x14ac:dyDescent="0.25">
      <c r="A53" t="s">
        <v>149</v>
      </c>
      <c r="B53" t="s">
        <v>184</v>
      </c>
      <c r="C53" t="s">
        <v>1047</v>
      </c>
      <c r="D53" t="s">
        <v>90</v>
      </c>
      <c r="E53" t="s">
        <v>135</v>
      </c>
      <c r="F53" s="12">
        <v>2015</v>
      </c>
      <c r="G53" s="12" t="s">
        <v>87</v>
      </c>
      <c r="H53" s="12" t="s">
        <v>88</v>
      </c>
      <c r="I53" s="12" t="s">
        <v>100</v>
      </c>
      <c r="K53" s="12" t="s">
        <v>91</v>
      </c>
      <c r="L53" s="12" t="s">
        <v>124</v>
      </c>
      <c r="M53" s="12" t="s">
        <v>165</v>
      </c>
      <c r="P53" s="27">
        <v>42938</v>
      </c>
      <c r="Q53" s="67">
        <v>0.58333333333333337</v>
      </c>
      <c r="R53" s="115"/>
      <c r="S53" s="27">
        <v>42967</v>
      </c>
      <c r="T53" s="112">
        <v>0.375</v>
      </c>
      <c r="U53" s="75"/>
      <c r="V53" s="2" t="s">
        <v>1003</v>
      </c>
      <c r="X53" s="4">
        <v>47.221969999999999</v>
      </c>
      <c r="Y53" s="4">
        <v>-122.81013</v>
      </c>
      <c r="Z53" t="s">
        <v>148</v>
      </c>
    </row>
    <row r="54" spans="1:26" x14ac:dyDescent="0.25">
      <c r="A54" t="s">
        <v>149</v>
      </c>
      <c r="B54" t="s">
        <v>184</v>
      </c>
      <c r="C54" t="s">
        <v>1047</v>
      </c>
      <c r="D54" t="s">
        <v>90</v>
      </c>
      <c r="E54" t="s">
        <v>135</v>
      </c>
      <c r="F54" s="12">
        <v>2015</v>
      </c>
      <c r="G54" s="12" t="s">
        <v>87</v>
      </c>
      <c r="H54" s="12" t="s">
        <v>88</v>
      </c>
      <c r="I54" s="12" t="s">
        <v>100</v>
      </c>
      <c r="K54" s="12" t="s">
        <v>92</v>
      </c>
      <c r="L54" s="12" t="s">
        <v>125</v>
      </c>
      <c r="M54" s="12" t="s">
        <v>165</v>
      </c>
      <c r="P54" s="27">
        <v>42938</v>
      </c>
      <c r="Q54" s="67">
        <v>0.58333333333333337</v>
      </c>
      <c r="R54" s="115"/>
      <c r="S54" s="27">
        <v>42967</v>
      </c>
      <c r="T54" s="112">
        <v>0.375</v>
      </c>
      <c r="U54" s="75"/>
      <c r="V54" s="2"/>
      <c r="X54" s="4">
        <v>47.221969999999999</v>
      </c>
      <c r="Y54" s="4">
        <v>-122.81013</v>
      </c>
      <c r="Z54" t="s">
        <v>148</v>
      </c>
    </row>
    <row r="55" spans="1:26" x14ac:dyDescent="0.25">
      <c r="A55" t="s">
        <v>149</v>
      </c>
      <c r="B55" t="s">
        <v>186</v>
      </c>
      <c r="C55" t="s">
        <v>1047</v>
      </c>
      <c r="D55" t="s">
        <v>90</v>
      </c>
      <c r="E55" t="s">
        <v>135</v>
      </c>
      <c r="F55" s="12">
        <v>2015</v>
      </c>
      <c r="G55" s="12" t="s">
        <v>87</v>
      </c>
      <c r="H55" s="12" t="s">
        <v>88</v>
      </c>
      <c r="I55" s="12" t="s">
        <v>100</v>
      </c>
      <c r="J55" s="12" t="s">
        <v>113</v>
      </c>
      <c r="K55" s="12" t="s">
        <v>93</v>
      </c>
      <c r="L55" s="12">
        <v>4590</v>
      </c>
      <c r="M55" s="12" t="s">
        <v>165</v>
      </c>
      <c r="P55" s="27">
        <v>42938</v>
      </c>
      <c r="Q55" s="67">
        <v>0.58333333333333337</v>
      </c>
      <c r="R55" s="115">
        <v>15</v>
      </c>
      <c r="S55" s="27">
        <v>42967</v>
      </c>
      <c r="T55" s="112">
        <v>0.375</v>
      </c>
      <c r="U55" s="75"/>
      <c r="V55" s="2" t="s">
        <v>131</v>
      </c>
      <c r="X55" s="4">
        <v>47.221969999999999</v>
      </c>
      <c r="Y55" s="4">
        <v>-122.81014999999999</v>
      </c>
      <c r="Z55" t="s">
        <v>148</v>
      </c>
    </row>
    <row r="56" spans="1:26" x14ac:dyDescent="0.25">
      <c r="A56" t="s">
        <v>149</v>
      </c>
      <c r="B56" t="s">
        <v>186</v>
      </c>
      <c r="C56" t="s">
        <v>1047</v>
      </c>
      <c r="D56" t="s">
        <v>90</v>
      </c>
      <c r="E56" t="s">
        <v>135</v>
      </c>
      <c r="F56" s="12">
        <v>2015</v>
      </c>
      <c r="G56" s="12" t="s">
        <v>87</v>
      </c>
      <c r="H56" s="12" t="s">
        <v>88</v>
      </c>
      <c r="I56" s="12" t="s">
        <v>100</v>
      </c>
      <c r="J56" s="12" t="s">
        <v>114</v>
      </c>
      <c r="K56" s="12" t="s">
        <v>93</v>
      </c>
      <c r="L56" s="12">
        <v>4597</v>
      </c>
      <c r="M56" s="12" t="s">
        <v>165</v>
      </c>
      <c r="P56" s="27">
        <v>42938</v>
      </c>
      <c r="Q56" s="67">
        <v>0.58333333333333337</v>
      </c>
      <c r="R56" s="115">
        <v>15</v>
      </c>
      <c r="S56" s="27">
        <v>42967</v>
      </c>
      <c r="T56" s="112">
        <v>0.375</v>
      </c>
      <c r="U56" s="75"/>
      <c r="V56" s="2" t="s">
        <v>131</v>
      </c>
      <c r="X56" s="4">
        <v>47.221969999999999</v>
      </c>
      <c r="Y56" s="4">
        <v>-122.81014999999999</v>
      </c>
      <c r="Z56" t="s">
        <v>148</v>
      </c>
    </row>
    <row r="57" spans="1:26" x14ac:dyDescent="0.25">
      <c r="A57" t="s">
        <v>149</v>
      </c>
      <c r="C57" t="s">
        <v>1047</v>
      </c>
      <c r="D57" t="s">
        <v>90</v>
      </c>
      <c r="E57" t="s">
        <v>135</v>
      </c>
      <c r="G57" s="12" t="s">
        <v>89</v>
      </c>
      <c r="H57" s="12" t="s">
        <v>102</v>
      </c>
      <c r="K57" s="12" t="s">
        <v>91</v>
      </c>
      <c r="L57" s="12" t="s">
        <v>126</v>
      </c>
      <c r="M57" s="12" t="s">
        <v>165</v>
      </c>
      <c r="P57" s="27">
        <v>42938</v>
      </c>
      <c r="Q57" s="67">
        <v>0.58333333333333337</v>
      </c>
      <c r="R57" s="115"/>
      <c r="S57" s="27">
        <v>42967</v>
      </c>
      <c r="T57" s="112">
        <v>0.375</v>
      </c>
      <c r="U57" s="75"/>
      <c r="V57" s="2"/>
      <c r="X57" s="4">
        <v>47.221939999999996</v>
      </c>
      <c r="Y57" s="4">
        <v>-122.81009</v>
      </c>
      <c r="Z57" t="s">
        <v>148</v>
      </c>
    </row>
    <row r="58" spans="1:26" x14ac:dyDescent="0.25">
      <c r="A58" t="s">
        <v>149</v>
      </c>
      <c r="C58" t="s">
        <v>1047</v>
      </c>
      <c r="D58" t="s">
        <v>90</v>
      </c>
      <c r="E58" t="s">
        <v>135</v>
      </c>
      <c r="G58" s="12" t="s">
        <v>89</v>
      </c>
      <c r="H58" s="12" t="s">
        <v>102</v>
      </c>
      <c r="K58" s="12" t="s">
        <v>92</v>
      </c>
      <c r="L58" s="12" t="s">
        <v>127</v>
      </c>
      <c r="M58" s="12" t="s">
        <v>165</v>
      </c>
      <c r="P58" s="27">
        <v>42938</v>
      </c>
      <c r="Q58" s="67">
        <v>0.58333333333333337</v>
      </c>
      <c r="R58" s="115"/>
      <c r="S58" s="27">
        <v>42967</v>
      </c>
      <c r="T58" s="112">
        <v>0.375</v>
      </c>
      <c r="U58" s="75"/>
      <c r="V58" s="2"/>
      <c r="X58" s="4">
        <v>47.221939999999996</v>
      </c>
      <c r="Y58" s="4">
        <v>-122.81009</v>
      </c>
      <c r="Z58" t="s">
        <v>148</v>
      </c>
    </row>
    <row r="59" spans="1:26" x14ac:dyDescent="0.25">
      <c r="A59" s="1" t="s">
        <v>7</v>
      </c>
      <c r="C59" t="s">
        <v>1054</v>
      </c>
      <c r="F59" s="12">
        <v>2014</v>
      </c>
      <c r="G59" s="12" t="s">
        <v>87</v>
      </c>
      <c r="H59" s="12" t="s">
        <v>88</v>
      </c>
      <c r="I59" s="12" t="s">
        <v>100</v>
      </c>
      <c r="J59" s="12" t="s">
        <v>114</v>
      </c>
      <c r="K59" s="12" t="s">
        <v>91</v>
      </c>
      <c r="M59" s="12" t="s">
        <v>49</v>
      </c>
      <c r="P59" s="27">
        <v>41743</v>
      </c>
      <c r="R59" s="115"/>
      <c r="S59" s="27">
        <v>42526</v>
      </c>
      <c r="T59" s="154">
        <v>0.45833333333333331</v>
      </c>
      <c r="V59" t="s">
        <v>1931</v>
      </c>
      <c r="X59" s="4">
        <v>47.823466000000003</v>
      </c>
      <c r="Y59" s="4">
        <v>-122.582033</v>
      </c>
      <c r="Z59" t="s">
        <v>148</v>
      </c>
    </row>
    <row r="60" spans="1:26" x14ac:dyDescent="0.25">
      <c r="A60" s="1" t="s">
        <v>7</v>
      </c>
      <c r="C60" t="s">
        <v>1054</v>
      </c>
      <c r="F60" s="12">
        <v>2014</v>
      </c>
      <c r="G60" s="12" t="s">
        <v>89</v>
      </c>
      <c r="H60" s="12" t="s">
        <v>102</v>
      </c>
      <c r="I60" s="12" t="s">
        <v>100</v>
      </c>
      <c r="J60" s="12" t="s">
        <v>114</v>
      </c>
      <c r="K60" s="12" t="s">
        <v>91</v>
      </c>
      <c r="M60" s="12" t="s">
        <v>49</v>
      </c>
      <c r="P60" s="27">
        <v>41743</v>
      </c>
      <c r="R60" s="115"/>
      <c r="S60" s="27">
        <v>42526</v>
      </c>
      <c r="T60" s="154">
        <v>0.45833333333333331</v>
      </c>
      <c r="V60" t="s">
        <v>1931</v>
      </c>
      <c r="X60" s="4">
        <v>47.823466000000003</v>
      </c>
      <c r="Y60" s="4">
        <v>-122.582033</v>
      </c>
      <c r="Z60" t="s">
        <v>148</v>
      </c>
    </row>
    <row r="61" spans="1:26" x14ac:dyDescent="0.25">
      <c r="A61" s="1" t="s">
        <v>7</v>
      </c>
      <c r="B61" s="1" t="s">
        <v>895</v>
      </c>
      <c r="C61" t="s">
        <v>1054</v>
      </c>
      <c r="D61" t="s">
        <v>90</v>
      </c>
      <c r="E61" t="s">
        <v>135</v>
      </c>
      <c r="F61" s="73">
        <v>2014</v>
      </c>
      <c r="G61" s="73" t="s">
        <v>87</v>
      </c>
      <c r="H61" s="12" t="s">
        <v>88</v>
      </c>
      <c r="I61" s="12" t="s">
        <v>22</v>
      </c>
      <c r="J61" s="12" t="s">
        <v>113</v>
      </c>
      <c r="K61" s="73" t="s">
        <v>93</v>
      </c>
      <c r="L61" s="12">
        <v>39817</v>
      </c>
      <c r="M61" s="12" t="s">
        <v>49</v>
      </c>
      <c r="P61" s="27">
        <v>42055</v>
      </c>
      <c r="Q61" s="67">
        <v>0.58472222222222225</v>
      </c>
      <c r="R61" s="115">
        <v>15</v>
      </c>
      <c r="S61" s="27">
        <v>42090</v>
      </c>
      <c r="T61" s="67"/>
      <c r="U61" s="72">
        <v>-1.3</v>
      </c>
      <c r="V61" t="s">
        <v>1932</v>
      </c>
      <c r="W61" s="12" t="s">
        <v>896</v>
      </c>
      <c r="X61" s="4">
        <v>47.821566666666669</v>
      </c>
      <c r="Y61" s="4">
        <v>-122.57531666666667</v>
      </c>
      <c r="Z61" t="s">
        <v>148</v>
      </c>
    </row>
    <row r="62" spans="1:26" x14ac:dyDescent="0.25">
      <c r="A62" s="1" t="s">
        <v>7</v>
      </c>
      <c r="B62" s="1" t="s">
        <v>895</v>
      </c>
      <c r="C62" t="s">
        <v>1054</v>
      </c>
      <c r="D62" t="s">
        <v>90</v>
      </c>
      <c r="E62" t="s">
        <v>135</v>
      </c>
      <c r="F62" s="73">
        <v>2014</v>
      </c>
      <c r="G62" s="73" t="s">
        <v>87</v>
      </c>
      <c r="H62" s="12" t="s">
        <v>88</v>
      </c>
      <c r="I62" s="12" t="s">
        <v>22</v>
      </c>
      <c r="J62" s="12" t="s">
        <v>114</v>
      </c>
      <c r="K62" s="73" t="s">
        <v>93</v>
      </c>
      <c r="L62" s="12">
        <v>39810</v>
      </c>
      <c r="M62" s="12" t="s">
        <v>49</v>
      </c>
      <c r="P62" s="27">
        <v>42055</v>
      </c>
      <c r="Q62" s="67">
        <v>0.58472222222222225</v>
      </c>
      <c r="R62" s="115">
        <v>15</v>
      </c>
      <c r="S62" s="27">
        <v>42090</v>
      </c>
      <c r="T62" s="67"/>
      <c r="U62" s="72">
        <v>-2.3469600000000002</v>
      </c>
      <c r="V62" t="s">
        <v>1932</v>
      </c>
      <c r="W62" s="12" t="s">
        <v>896</v>
      </c>
      <c r="X62" s="4">
        <v>47.821566666666669</v>
      </c>
      <c r="Y62" s="4">
        <v>-122.57531666666667</v>
      </c>
      <c r="Z62" t="s">
        <v>148</v>
      </c>
    </row>
    <row r="63" spans="1:26" x14ac:dyDescent="0.25">
      <c r="A63" s="1" t="s">
        <v>892</v>
      </c>
      <c r="B63" s="1" t="s">
        <v>890</v>
      </c>
      <c r="C63" s="1" t="s">
        <v>1050</v>
      </c>
      <c r="D63" t="s">
        <v>90</v>
      </c>
      <c r="E63" t="s">
        <v>135</v>
      </c>
      <c r="F63" s="73" t="s">
        <v>6</v>
      </c>
      <c r="G63" s="73" t="s">
        <v>89</v>
      </c>
      <c r="H63" s="73" t="s">
        <v>88</v>
      </c>
      <c r="J63" s="12" t="s">
        <v>114</v>
      </c>
      <c r="K63" s="73" t="s">
        <v>93</v>
      </c>
      <c r="M63" s="12" t="s">
        <v>49</v>
      </c>
      <c r="P63" s="27">
        <v>42055</v>
      </c>
      <c r="Q63" s="67">
        <v>0.41180555555555554</v>
      </c>
      <c r="R63" s="115"/>
      <c r="S63" s="27">
        <v>42296</v>
      </c>
      <c r="T63" s="67">
        <v>0.51597222222222217</v>
      </c>
      <c r="U63" s="63">
        <v>-1.73736</v>
      </c>
      <c r="V63" t="s">
        <v>898</v>
      </c>
      <c r="W63" s="12" t="s">
        <v>896</v>
      </c>
      <c r="X63" s="4">
        <v>47.419366666666669</v>
      </c>
      <c r="Y63" s="4">
        <v>-122.88043333333333</v>
      </c>
      <c r="Z63" t="s">
        <v>148</v>
      </c>
    </row>
    <row r="64" spans="1:26" x14ac:dyDescent="0.25">
      <c r="A64" s="1" t="s">
        <v>892</v>
      </c>
      <c r="B64" s="1" t="s">
        <v>890</v>
      </c>
      <c r="C64" s="1" t="s">
        <v>1050</v>
      </c>
      <c r="D64" t="s">
        <v>90</v>
      </c>
      <c r="E64" t="s">
        <v>135</v>
      </c>
      <c r="F64" s="73" t="s">
        <v>6</v>
      </c>
      <c r="G64" s="73" t="s">
        <v>89</v>
      </c>
      <c r="H64" s="73" t="s">
        <v>88</v>
      </c>
      <c r="J64" s="12" t="s">
        <v>113</v>
      </c>
      <c r="K64" s="73" t="s">
        <v>93</v>
      </c>
      <c r="M64" s="12" t="s">
        <v>49</v>
      </c>
      <c r="P64" s="27">
        <v>42055</v>
      </c>
      <c r="Q64" s="67">
        <v>0.41180555555555554</v>
      </c>
      <c r="R64" s="115"/>
      <c r="S64" s="27">
        <v>42296</v>
      </c>
      <c r="T64" s="67">
        <v>0.51597222222222217</v>
      </c>
      <c r="U64" s="63">
        <v>-0.7</v>
      </c>
      <c r="V64" s="47" t="s">
        <v>897</v>
      </c>
      <c r="W64" s="12" t="s">
        <v>896</v>
      </c>
      <c r="X64" s="4">
        <v>47.419366666666669</v>
      </c>
      <c r="Y64" s="4">
        <v>-122.88043333333333</v>
      </c>
      <c r="Z64" t="s">
        <v>148</v>
      </c>
    </row>
    <row r="65" spans="1:26" x14ac:dyDescent="0.25">
      <c r="A65" s="1" t="s">
        <v>892</v>
      </c>
      <c r="B65" s="1" t="s">
        <v>891</v>
      </c>
      <c r="C65" t="s">
        <v>1052</v>
      </c>
      <c r="D65" t="s">
        <v>90</v>
      </c>
      <c r="E65" t="s">
        <v>135</v>
      </c>
      <c r="F65" s="73" t="s">
        <v>6</v>
      </c>
      <c r="G65" s="73" t="s">
        <v>899</v>
      </c>
      <c r="H65" s="73" t="s">
        <v>102</v>
      </c>
      <c r="J65" s="12" t="s">
        <v>114</v>
      </c>
      <c r="K65" s="73" t="s">
        <v>93</v>
      </c>
      <c r="L65" s="12">
        <v>49501</v>
      </c>
      <c r="M65" s="12" t="s">
        <v>49</v>
      </c>
      <c r="P65" s="27">
        <v>42055</v>
      </c>
      <c r="Q65" s="67">
        <v>0.43611111111111112</v>
      </c>
      <c r="R65" s="115"/>
      <c r="S65" s="27">
        <v>42296</v>
      </c>
      <c r="T65" s="67">
        <v>0.48333333333333334</v>
      </c>
      <c r="U65" s="63">
        <v>-1.7373599999999996</v>
      </c>
      <c r="V65" s="47" t="s">
        <v>903</v>
      </c>
      <c r="W65" s="12" t="s">
        <v>896</v>
      </c>
      <c r="X65" s="4">
        <v>47.370600000000003</v>
      </c>
      <c r="Y65" s="4">
        <v>-123.01883333333333</v>
      </c>
      <c r="Z65" t="s">
        <v>148</v>
      </c>
    </row>
    <row r="66" spans="1:26" x14ac:dyDescent="0.25">
      <c r="A66" s="1" t="s">
        <v>892</v>
      </c>
      <c r="B66" s="1" t="s">
        <v>239</v>
      </c>
      <c r="C66" s="1" t="s">
        <v>1051</v>
      </c>
      <c r="D66" t="s">
        <v>90</v>
      </c>
      <c r="E66" t="s">
        <v>135</v>
      </c>
      <c r="F66" s="73" t="s">
        <v>6</v>
      </c>
      <c r="G66" s="73" t="s">
        <v>900</v>
      </c>
      <c r="H66" s="73" t="s">
        <v>102</v>
      </c>
      <c r="J66" s="12" t="s">
        <v>114</v>
      </c>
      <c r="K66" s="73" t="s">
        <v>93</v>
      </c>
      <c r="L66" s="12">
        <v>39812</v>
      </c>
      <c r="M66" s="12" t="s">
        <v>49</v>
      </c>
      <c r="P66" s="27">
        <v>42055</v>
      </c>
      <c r="Q66" s="67">
        <v>0.46180555555555558</v>
      </c>
      <c r="R66" s="115"/>
      <c r="S66" s="27">
        <v>42296</v>
      </c>
      <c r="T66" s="67">
        <v>0.45902777777777781</v>
      </c>
      <c r="U66" s="63">
        <v>-1.2496799999999999</v>
      </c>
      <c r="V66" t="s">
        <v>902</v>
      </c>
      <c r="W66" s="12" t="s">
        <v>896</v>
      </c>
      <c r="X66" s="4">
        <v>47.363100000000003</v>
      </c>
      <c r="Y66" s="4">
        <v>-123.1099</v>
      </c>
      <c r="Z66" t="s">
        <v>148</v>
      </c>
    </row>
    <row r="67" spans="1:26" x14ac:dyDescent="0.25">
      <c r="A67" s="1" t="s">
        <v>892</v>
      </c>
      <c r="B67" s="1" t="s">
        <v>239</v>
      </c>
      <c r="C67" s="1" t="s">
        <v>1051</v>
      </c>
      <c r="D67" t="s">
        <v>90</v>
      </c>
      <c r="E67" t="s">
        <v>135</v>
      </c>
      <c r="F67" s="73" t="s">
        <v>6</v>
      </c>
      <c r="G67" s="73" t="s">
        <v>900</v>
      </c>
      <c r="H67" s="73" t="s">
        <v>102</v>
      </c>
      <c r="J67" s="12" t="s">
        <v>113</v>
      </c>
      <c r="K67" s="73" t="s">
        <v>93</v>
      </c>
      <c r="L67" s="12">
        <v>39813</v>
      </c>
      <c r="M67" s="12" t="s">
        <v>49</v>
      </c>
      <c r="P67" s="27">
        <v>42055</v>
      </c>
      <c r="Q67" s="67">
        <v>0.46180555555555558</v>
      </c>
      <c r="R67" s="115"/>
      <c r="S67" s="27">
        <v>42296</v>
      </c>
      <c r="T67" s="67">
        <v>0.45902777777777781</v>
      </c>
      <c r="U67" s="63">
        <v>-0.2</v>
      </c>
      <c r="V67" s="47" t="s">
        <v>901</v>
      </c>
      <c r="W67" s="12" t="s">
        <v>896</v>
      </c>
      <c r="X67" s="4">
        <v>47.363100000000003</v>
      </c>
      <c r="Y67" s="4">
        <v>-123.1099</v>
      </c>
      <c r="Z67" t="s">
        <v>148</v>
      </c>
    </row>
    <row r="68" spans="1:26" x14ac:dyDescent="0.25">
      <c r="A68" s="1" t="s">
        <v>892</v>
      </c>
      <c r="B68" s="1" t="s">
        <v>891</v>
      </c>
      <c r="C68" s="1" t="s">
        <v>1052</v>
      </c>
      <c r="D68" t="s">
        <v>90</v>
      </c>
      <c r="E68" t="s">
        <v>135</v>
      </c>
      <c r="F68" s="73" t="s">
        <v>6</v>
      </c>
      <c r="G68" s="73" t="s">
        <v>899</v>
      </c>
      <c r="H68" s="73" t="s">
        <v>102</v>
      </c>
      <c r="J68" s="12" t="s">
        <v>114</v>
      </c>
      <c r="K68" s="73" t="s">
        <v>93</v>
      </c>
      <c r="L68" s="12">
        <v>4598</v>
      </c>
      <c r="M68" s="12" t="s">
        <v>49</v>
      </c>
      <c r="P68" s="27">
        <v>42296</v>
      </c>
      <c r="Q68" s="67">
        <v>0.48541666666666666</v>
      </c>
      <c r="R68" s="115"/>
      <c r="S68" s="27">
        <v>42476</v>
      </c>
      <c r="T68" s="67"/>
      <c r="U68" s="12">
        <v>-1.9</v>
      </c>
      <c r="V68" t="s">
        <v>1933</v>
      </c>
      <c r="W68" s="12" t="s">
        <v>896</v>
      </c>
      <c r="X68" s="4">
        <v>47.370600000000003</v>
      </c>
      <c r="Y68" s="4">
        <v>-123.01883333333333</v>
      </c>
      <c r="Z68" t="s">
        <v>148</v>
      </c>
    </row>
    <row r="69" spans="1:26" x14ac:dyDescent="0.25">
      <c r="A69" s="1" t="s">
        <v>892</v>
      </c>
      <c r="B69" s="1" t="s">
        <v>239</v>
      </c>
      <c r="C69" s="1" t="s">
        <v>1051</v>
      </c>
      <c r="D69" t="s">
        <v>90</v>
      </c>
      <c r="E69" t="s">
        <v>135</v>
      </c>
      <c r="F69" s="73" t="s">
        <v>6</v>
      </c>
      <c r="G69" s="73" t="s">
        <v>900</v>
      </c>
      <c r="H69" s="73" t="s">
        <v>102</v>
      </c>
      <c r="J69" s="12" t="s">
        <v>113</v>
      </c>
      <c r="K69" s="73" t="s">
        <v>93</v>
      </c>
      <c r="L69" s="12">
        <v>4587</v>
      </c>
      <c r="M69" s="12" t="s">
        <v>49</v>
      </c>
      <c r="P69" s="27">
        <v>42296</v>
      </c>
      <c r="Q69" s="67">
        <v>0.45763888888888887</v>
      </c>
      <c r="R69" s="115"/>
      <c r="S69" s="27">
        <v>42476</v>
      </c>
      <c r="T69" s="67"/>
      <c r="U69" s="12">
        <v>-0.2</v>
      </c>
      <c r="V69" t="s">
        <v>1934</v>
      </c>
      <c r="W69" s="12" t="s">
        <v>896</v>
      </c>
      <c r="X69" s="4">
        <v>47.363100000000003</v>
      </c>
      <c r="Y69" s="4">
        <v>-123.1099</v>
      </c>
      <c r="Z69" t="s">
        <v>148</v>
      </c>
    </row>
    <row r="70" spans="1:26" x14ac:dyDescent="0.25">
      <c r="A70" s="1" t="s">
        <v>892</v>
      </c>
      <c r="B70" s="1" t="s">
        <v>239</v>
      </c>
      <c r="C70" s="1" t="s">
        <v>1051</v>
      </c>
      <c r="D70" t="s">
        <v>90</v>
      </c>
      <c r="E70" t="s">
        <v>135</v>
      </c>
      <c r="F70" s="73" t="s">
        <v>6</v>
      </c>
      <c r="G70" s="73" t="s">
        <v>900</v>
      </c>
      <c r="H70" s="73" t="s">
        <v>102</v>
      </c>
      <c r="J70" s="12" t="s">
        <v>114</v>
      </c>
      <c r="K70" s="73" t="s">
        <v>93</v>
      </c>
      <c r="L70" s="12">
        <v>4593</v>
      </c>
      <c r="M70" s="12" t="s">
        <v>49</v>
      </c>
      <c r="P70" s="27">
        <v>42296</v>
      </c>
      <c r="Q70" s="67">
        <v>0.45763888888888887</v>
      </c>
      <c r="R70" s="115"/>
      <c r="S70" s="27">
        <v>42476</v>
      </c>
      <c r="T70" s="67"/>
      <c r="U70" s="12">
        <v>-1.2</v>
      </c>
      <c r="V70" t="s">
        <v>1934</v>
      </c>
      <c r="W70" s="12" t="s">
        <v>896</v>
      </c>
      <c r="X70" s="4">
        <v>47.363100000000003</v>
      </c>
      <c r="Y70" s="4">
        <v>-123.1099</v>
      </c>
      <c r="Z70" t="s">
        <v>148</v>
      </c>
    </row>
    <row r="71" spans="1:26" x14ac:dyDescent="0.25">
      <c r="A71" t="s">
        <v>14</v>
      </c>
      <c r="B71" t="s">
        <v>402</v>
      </c>
      <c r="C71" s="1" t="s">
        <v>1053</v>
      </c>
      <c r="D71" s="27" t="s">
        <v>90</v>
      </c>
      <c r="E71" t="s">
        <v>135</v>
      </c>
      <c r="F71" s="12">
        <v>2015</v>
      </c>
      <c r="G71" s="12" t="s">
        <v>87</v>
      </c>
      <c r="H71" s="12" t="s">
        <v>88</v>
      </c>
      <c r="I71" s="12" t="s">
        <v>22</v>
      </c>
      <c r="J71" s="12" t="s">
        <v>113</v>
      </c>
      <c r="K71" s="12" t="s">
        <v>93</v>
      </c>
      <c r="L71" s="12">
        <v>6434</v>
      </c>
      <c r="M71" s="12" t="s">
        <v>165</v>
      </c>
      <c r="P71" s="27">
        <v>42527</v>
      </c>
      <c r="Q71" s="67">
        <v>0.5</v>
      </c>
      <c r="R71" s="115">
        <v>15</v>
      </c>
      <c r="S71" s="27">
        <v>42569</v>
      </c>
      <c r="T71" s="154">
        <v>0.48958333333333331</v>
      </c>
      <c r="U71" s="12">
        <v>-0.9</v>
      </c>
      <c r="V71" s="2" t="s">
        <v>1943</v>
      </c>
      <c r="X71" s="4">
        <v>47.145699999999998</v>
      </c>
      <c r="Y71" s="4">
        <v>-122.89225</v>
      </c>
      <c r="Z71" t="s">
        <v>148</v>
      </c>
    </row>
    <row r="72" spans="1:26" x14ac:dyDescent="0.25">
      <c r="A72" t="s">
        <v>14</v>
      </c>
      <c r="B72" t="s">
        <v>402</v>
      </c>
      <c r="C72" s="1" t="s">
        <v>1053</v>
      </c>
      <c r="D72" s="27" t="s">
        <v>90</v>
      </c>
      <c r="E72" t="s">
        <v>135</v>
      </c>
      <c r="F72" s="12">
        <v>2015</v>
      </c>
      <c r="G72" s="12" t="s">
        <v>87</v>
      </c>
      <c r="H72" s="12" t="s">
        <v>88</v>
      </c>
      <c r="I72" s="12" t="s">
        <v>22</v>
      </c>
      <c r="J72" s="12" t="s">
        <v>114</v>
      </c>
      <c r="K72" s="12" t="s">
        <v>93</v>
      </c>
      <c r="L72" s="12">
        <v>6435</v>
      </c>
      <c r="M72" s="12" t="s">
        <v>165</v>
      </c>
      <c r="P72" s="27">
        <v>42527</v>
      </c>
      <c r="Q72" s="67">
        <v>0.5</v>
      </c>
      <c r="R72" s="115">
        <v>15</v>
      </c>
      <c r="S72" s="27">
        <v>42569</v>
      </c>
      <c r="T72" s="154">
        <v>0.48958333333333331</v>
      </c>
      <c r="U72" s="12">
        <v>-1.4</v>
      </c>
      <c r="V72" s="2" t="s">
        <v>1943</v>
      </c>
      <c r="X72" s="4">
        <v>47.145699999999998</v>
      </c>
      <c r="Y72" s="4">
        <v>-122.89225</v>
      </c>
      <c r="Z72" t="s">
        <v>148</v>
      </c>
    </row>
    <row r="73" spans="1:26" x14ac:dyDescent="0.25">
      <c r="A73" t="s">
        <v>14</v>
      </c>
      <c r="B73" t="s">
        <v>402</v>
      </c>
      <c r="C73" s="1" t="s">
        <v>1053</v>
      </c>
      <c r="D73" s="27" t="s">
        <v>90</v>
      </c>
      <c r="E73" t="s">
        <v>135</v>
      </c>
      <c r="F73" s="12">
        <v>2015</v>
      </c>
      <c r="G73" s="12" t="s">
        <v>87</v>
      </c>
      <c r="H73" s="12" t="s">
        <v>88</v>
      </c>
      <c r="I73" s="12" t="s">
        <v>22</v>
      </c>
      <c r="J73" s="12" t="s">
        <v>114</v>
      </c>
      <c r="K73" s="12" t="s">
        <v>94</v>
      </c>
      <c r="L73" s="12">
        <v>10777821</v>
      </c>
      <c r="M73" s="12" t="s">
        <v>165</v>
      </c>
      <c r="P73" s="27">
        <v>42527</v>
      </c>
      <c r="Q73" s="67">
        <v>0.5</v>
      </c>
      <c r="R73" s="115">
        <v>15</v>
      </c>
      <c r="S73" s="27">
        <v>42569</v>
      </c>
      <c r="T73" s="154">
        <v>0.48958333333333331</v>
      </c>
      <c r="U73" s="12">
        <v>-1.4</v>
      </c>
      <c r="V73" t="s">
        <v>1944</v>
      </c>
      <c r="X73" s="4">
        <v>47.145699999999998</v>
      </c>
      <c r="Y73" s="4">
        <v>-122.89225</v>
      </c>
      <c r="Z73" t="s">
        <v>148</v>
      </c>
    </row>
    <row r="74" spans="1:26" x14ac:dyDescent="0.25">
      <c r="A74" t="s">
        <v>14</v>
      </c>
      <c r="B74" t="s">
        <v>402</v>
      </c>
      <c r="C74" s="1" t="s">
        <v>1053</v>
      </c>
      <c r="D74" s="27" t="s">
        <v>90</v>
      </c>
      <c r="E74" t="s">
        <v>135</v>
      </c>
      <c r="F74" s="12">
        <v>2015</v>
      </c>
      <c r="G74" s="12" t="s">
        <v>87</v>
      </c>
      <c r="H74" s="12" t="s">
        <v>88</v>
      </c>
      <c r="I74" s="12" t="s">
        <v>22</v>
      </c>
      <c r="J74" s="12" t="s">
        <v>113</v>
      </c>
      <c r="K74" s="12" t="s">
        <v>93</v>
      </c>
      <c r="L74" s="12">
        <v>6428</v>
      </c>
      <c r="M74" s="12" t="s">
        <v>165</v>
      </c>
      <c r="P74" s="27">
        <v>42569</v>
      </c>
      <c r="Q74" s="67">
        <v>0.5</v>
      </c>
      <c r="R74" s="115">
        <v>15</v>
      </c>
      <c r="S74" s="27">
        <v>42599</v>
      </c>
      <c r="T74" s="112">
        <v>0.5</v>
      </c>
      <c r="U74" s="12">
        <v>-0.9</v>
      </c>
      <c r="V74" s="2" t="s">
        <v>1919</v>
      </c>
      <c r="X74" s="4">
        <v>47.145619600000003</v>
      </c>
      <c r="Y74" s="4">
        <v>-122.8935824</v>
      </c>
      <c r="Z74" t="s">
        <v>148</v>
      </c>
    </row>
    <row r="75" spans="1:26" x14ac:dyDescent="0.25">
      <c r="A75" t="s">
        <v>14</v>
      </c>
      <c r="B75" t="s">
        <v>402</v>
      </c>
      <c r="C75" s="1" t="s">
        <v>1053</v>
      </c>
      <c r="D75" s="27" t="s">
        <v>90</v>
      </c>
      <c r="E75" t="s">
        <v>135</v>
      </c>
      <c r="F75" s="12">
        <v>2015</v>
      </c>
      <c r="G75" s="12" t="s">
        <v>87</v>
      </c>
      <c r="H75" s="12" t="s">
        <v>88</v>
      </c>
      <c r="I75" s="12" t="s">
        <v>22</v>
      </c>
      <c r="J75" s="12" t="s">
        <v>114</v>
      </c>
      <c r="K75" s="12" t="s">
        <v>93</v>
      </c>
      <c r="L75" s="12">
        <v>6429</v>
      </c>
      <c r="M75" s="12" t="s">
        <v>165</v>
      </c>
      <c r="P75" s="27">
        <v>42569</v>
      </c>
      <c r="Q75" s="67">
        <v>0.5</v>
      </c>
      <c r="R75" s="115">
        <v>15</v>
      </c>
      <c r="S75" s="27">
        <v>42599</v>
      </c>
      <c r="T75" s="112">
        <v>0.5</v>
      </c>
      <c r="U75" s="12">
        <v>-1.4</v>
      </c>
      <c r="V75" s="2" t="s">
        <v>1919</v>
      </c>
      <c r="X75" s="4">
        <v>47.145619600000003</v>
      </c>
      <c r="Y75" s="4">
        <v>-122.8935824</v>
      </c>
      <c r="Z75" t="s">
        <v>148</v>
      </c>
    </row>
    <row r="76" spans="1:26" x14ac:dyDescent="0.25">
      <c r="A76" t="s">
        <v>14</v>
      </c>
      <c r="B76" t="s">
        <v>402</v>
      </c>
      <c r="C76" s="1" t="s">
        <v>1053</v>
      </c>
      <c r="D76" s="27" t="s">
        <v>90</v>
      </c>
      <c r="E76" t="s">
        <v>135</v>
      </c>
      <c r="F76" s="12">
        <v>2015</v>
      </c>
      <c r="G76" s="12" t="s">
        <v>87</v>
      </c>
      <c r="H76" s="12" t="s">
        <v>88</v>
      </c>
      <c r="I76" s="12" t="s">
        <v>22</v>
      </c>
      <c r="J76" s="12" t="s">
        <v>114</v>
      </c>
      <c r="K76" s="12" t="s">
        <v>94</v>
      </c>
      <c r="L76" s="12">
        <v>10777826</v>
      </c>
      <c r="M76" s="12" t="s">
        <v>165</v>
      </c>
      <c r="P76" s="27">
        <v>42569</v>
      </c>
      <c r="Q76" s="67">
        <v>0.5</v>
      </c>
      <c r="R76" s="115">
        <v>15</v>
      </c>
      <c r="S76" s="27">
        <v>42599</v>
      </c>
      <c r="T76" s="112">
        <v>0.5</v>
      </c>
      <c r="U76" s="12">
        <v>-1.4</v>
      </c>
      <c r="V76" s="2" t="s">
        <v>1945</v>
      </c>
      <c r="X76" s="4">
        <v>47.145699999999998</v>
      </c>
      <c r="Y76" s="4">
        <v>-122.89225</v>
      </c>
      <c r="Z76" t="s">
        <v>148</v>
      </c>
    </row>
    <row r="77" spans="1:26" x14ac:dyDescent="0.25">
      <c r="A77" t="s">
        <v>14</v>
      </c>
      <c r="B77" t="s">
        <v>402</v>
      </c>
      <c r="C77" s="1" t="s">
        <v>1053</v>
      </c>
      <c r="D77" s="27" t="s">
        <v>90</v>
      </c>
      <c r="E77" t="s">
        <v>135</v>
      </c>
      <c r="F77" s="12">
        <v>2015</v>
      </c>
      <c r="G77" s="12" t="s">
        <v>1918</v>
      </c>
      <c r="H77" s="12" t="s">
        <v>1918</v>
      </c>
      <c r="K77" s="12" t="s">
        <v>93</v>
      </c>
      <c r="L77" s="12">
        <v>6424</v>
      </c>
      <c r="M77" s="12" t="s">
        <v>165</v>
      </c>
      <c r="P77" s="27">
        <v>42569</v>
      </c>
      <c r="Q77" s="67">
        <v>0.5</v>
      </c>
      <c r="R77" s="115">
        <v>15</v>
      </c>
      <c r="S77" s="27">
        <v>42599</v>
      </c>
      <c r="T77" s="112">
        <v>0.5</v>
      </c>
      <c r="V77" t="s">
        <v>1942</v>
      </c>
      <c r="X77" s="4">
        <v>47.144827999999997</v>
      </c>
      <c r="Y77" s="4">
        <v>-122.895034</v>
      </c>
      <c r="Z77" t="s">
        <v>148</v>
      </c>
    </row>
    <row r="78" spans="1:26" x14ac:dyDescent="0.25">
      <c r="A78" t="s">
        <v>149</v>
      </c>
      <c r="B78" t="s">
        <v>184</v>
      </c>
      <c r="C78" t="s">
        <v>1047</v>
      </c>
      <c r="D78" t="s">
        <v>90</v>
      </c>
      <c r="E78" t="s">
        <v>135</v>
      </c>
      <c r="F78" s="12">
        <v>2015</v>
      </c>
      <c r="G78" s="12" t="s">
        <v>87</v>
      </c>
      <c r="H78" s="12" t="s">
        <v>88</v>
      </c>
      <c r="I78" s="12" t="s">
        <v>100</v>
      </c>
      <c r="J78" s="12" t="s">
        <v>114</v>
      </c>
      <c r="K78" s="12" t="s">
        <v>91</v>
      </c>
      <c r="M78" s="12" t="s">
        <v>165</v>
      </c>
      <c r="P78" s="27">
        <v>43165</v>
      </c>
      <c r="Q78" s="67">
        <v>0.66666666666666663</v>
      </c>
      <c r="R78" s="115"/>
      <c r="V78" t="s">
        <v>1935</v>
      </c>
      <c r="X78" s="4">
        <v>47.222029999999997</v>
      </c>
      <c r="Y78" s="4">
        <v>-122.81008</v>
      </c>
      <c r="Z78" t="s">
        <v>148</v>
      </c>
    </row>
    <row r="79" spans="1:26" x14ac:dyDescent="0.25">
      <c r="A79" t="s">
        <v>149</v>
      </c>
      <c r="C79" t="s">
        <v>1047</v>
      </c>
      <c r="D79" t="s">
        <v>90</v>
      </c>
      <c r="E79" t="s">
        <v>135</v>
      </c>
      <c r="G79" s="12" t="s">
        <v>89</v>
      </c>
      <c r="H79" s="12" t="s">
        <v>102</v>
      </c>
      <c r="J79" s="12" t="s">
        <v>114</v>
      </c>
      <c r="K79" s="12" t="s">
        <v>91</v>
      </c>
      <c r="M79" s="12" t="s">
        <v>165</v>
      </c>
      <c r="P79" s="27">
        <v>43165</v>
      </c>
      <c r="Q79" s="67">
        <v>0.66666666666666663</v>
      </c>
      <c r="R79" s="115"/>
      <c r="V79" t="s">
        <v>1936</v>
      </c>
      <c r="X79" s="4">
        <v>47.222520000000003</v>
      </c>
      <c r="Y79" s="4">
        <v>-122.81044</v>
      </c>
      <c r="Z79" t="s">
        <v>148</v>
      </c>
    </row>
    <row r="80" spans="1:26" x14ac:dyDescent="0.25">
      <c r="A80" t="s">
        <v>149</v>
      </c>
      <c r="B80" t="s">
        <v>213</v>
      </c>
      <c r="C80" t="s">
        <v>1047</v>
      </c>
      <c r="D80" t="s">
        <v>52</v>
      </c>
      <c r="E80" t="s">
        <v>135</v>
      </c>
      <c r="F80" s="12">
        <v>2016</v>
      </c>
      <c r="G80" s="12" t="s">
        <v>87</v>
      </c>
      <c r="H80" s="12" t="s">
        <v>88</v>
      </c>
      <c r="I80" s="12" t="s">
        <v>100</v>
      </c>
      <c r="J80" s="12" t="s">
        <v>114</v>
      </c>
      <c r="K80" s="12" t="s">
        <v>91</v>
      </c>
      <c r="M80" s="12" t="s">
        <v>165</v>
      </c>
      <c r="P80" s="27">
        <v>43165</v>
      </c>
      <c r="Q80" s="67">
        <v>0.66666666666666663</v>
      </c>
      <c r="R80" s="115"/>
      <c r="V80" t="s">
        <v>1937</v>
      </c>
      <c r="X80" s="4">
        <v>47.221910000000001</v>
      </c>
      <c r="Y80" s="4">
        <v>-122.81001999999999</v>
      </c>
      <c r="Z80" t="s">
        <v>148</v>
      </c>
    </row>
    <row r="81" spans="1:26" x14ac:dyDescent="0.25">
      <c r="A81" t="s">
        <v>149</v>
      </c>
      <c r="C81" t="s">
        <v>1047</v>
      </c>
      <c r="D81" t="s">
        <v>52</v>
      </c>
      <c r="E81" t="s">
        <v>135</v>
      </c>
      <c r="G81" s="12" t="s">
        <v>89</v>
      </c>
      <c r="H81" s="12" t="s">
        <v>102</v>
      </c>
      <c r="J81" s="12" t="s">
        <v>114</v>
      </c>
      <c r="K81" s="12" t="s">
        <v>91</v>
      </c>
      <c r="M81" s="12" t="s">
        <v>165</v>
      </c>
      <c r="P81" s="27">
        <v>43165</v>
      </c>
      <c r="Q81" s="67">
        <v>0.66666666666666663</v>
      </c>
      <c r="R81" s="115"/>
      <c r="V81" t="s">
        <v>1938</v>
      </c>
      <c r="X81" s="4">
        <v>47.221960000000003</v>
      </c>
      <c r="Y81" s="4">
        <v>-122.81005</v>
      </c>
      <c r="Z81" t="s">
        <v>148</v>
      </c>
    </row>
    <row r="82" spans="1:26" x14ac:dyDescent="0.25">
      <c r="A82" t="s">
        <v>149</v>
      </c>
      <c r="B82" t="s">
        <v>185</v>
      </c>
      <c r="C82" t="s">
        <v>1047</v>
      </c>
      <c r="D82" t="s">
        <v>52</v>
      </c>
      <c r="E82" t="s">
        <v>135</v>
      </c>
      <c r="F82" s="12">
        <v>2017</v>
      </c>
      <c r="G82" s="12" t="s">
        <v>87</v>
      </c>
      <c r="H82" s="12" t="s">
        <v>88</v>
      </c>
      <c r="I82" s="12" t="s">
        <v>100</v>
      </c>
      <c r="J82" s="12" t="s">
        <v>114</v>
      </c>
      <c r="K82" s="12" t="s">
        <v>91</v>
      </c>
      <c r="M82" s="12" t="s">
        <v>165</v>
      </c>
      <c r="P82" s="27">
        <v>43165</v>
      </c>
      <c r="Q82" s="67">
        <v>0.66666666666666663</v>
      </c>
      <c r="R82" s="115"/>
      <c r="V82" t="s">
        <v>1939</v>
      </c>
      <c r="X82" s="4">
        <v>47.221649999999997</v>
      </c>
      <c r="Y82" s="4">
        <v>-122.80997000000001</v>
      </c>
      <c r="Z82" t="s">
        <v>148</v>
      </c>
    </row>
    <row r="83" spans="1:26" x14ac:dyDescent="0.25">
      <c r="A83" t="s">
        <v>149</v>
      </c>
      <c r="C83" t="s">
        <v>1047</v>
      </c>
      <c r="D83" t="s">
        <v>52</v>
      </c>
      <c r="E83" t="s">
        <v>135</v>
      </c>
      <c r="G83" s="12" t="s">
        <v>89</v>
      </c>
      <c r="H83" s="12" t="s">
        <v>102</v>
      </c>
      <c r="J83" s="12" t="s">
        <v>114</v>
      </c>
      <c r="K83" s="12" t="s">
        <v>91</v>
      </c>
      <c r="M83" s="12" t="s">
        <v>165</v>
      </c>
      <c r="P83" s="27">
        <v>43165</v>
      </c>
      <c r="Q83" s="67">
        <v>0.66666666666666663</v>
      </c>
      <c r="R83" s="115"/>
      <c r="V83" t="s">
        <v>1940</v>
      </c>
      <c r="X83" s="4">
        <v>47.221200000000003</v>
      </c>
      <c r="Y83" s="4">
        <v>-122.80956</v>
      </c>
      <c r="Z83" t="s">
        <v>148</v>
      </c>
    </row>
    <row r="84" spans="1:26" x14ac:dyDescent="0.25">
      <c r="A84" t="s">
        <v>149</v>
      </c>
      <c r="B84" t="s">
        <v>184</v>
      </c>
      <c r="C84" t="s">
        <v>1047</v>
      </c>
      <c r="D84" t="s">
        <v>90</v>
      </c>
      <c r="E84" t="s">
        <v>135</v>
      </c>
      <c r="F84" s="12">
        <v>2015</v>
      </c>
      <c r="G84" s="12" t="s">
        <v>87</v>
      </c>
      <c r="H84" s="12" t="s">
        <v>88</v>
      </c>
      <c r="I84" s="12" t="s">
        <v>100</v>
      </c>
      <c r="J84" s="12" t="s">
        <v>113</v>
      </c>
      <c r="K84" s="12" t="s">
        <v>93</v>
      </c>
      <c r="L84" s="12">
        <v>8046</v>
      </c>
      <c r="M84" s="12" t="s">
        <v>165</v>
      </c>
      <c r="P84" s="27">
        <v>43166</v>
      </c>
      <c r="Q84" s="67">
        <v>4.1666666666666664E-2</v>
      </c>
      <c r="R84" s="115">
        <v>15</v>
      </c>
      <c r="S84" s="27">
        <v>43238</v>
      </c>
      <c r="T84" s="112">
        <v>0.54166666666666663</v>
      </c>
      <c r="V84" t="s">
        <v>1005</v>
      </c>
      <c r="X84" s="4">
        <v>47.222020000000001</v>
      </c>
      <c r="Y84" s="4">
        <v>-122.81003</v>
      </c>
      <c r="Z84" t="s">
        <v>148</v>
      </c>
    </row>
    <row r="85" spans="1:26" x14ac:dyDescent="0.25">
      <c r="A85" t="s">
        <v>149</v>
      </c>
      <c r="B85" t="s">
        <v>184</v>
      </c>
      <c r="C85" t="s">
        <v>1047</v>
      </c>
      <c r="D85" t="s">
        <v>90</v>
      </c>
      <c r="E85" t="s">
        <v>135</v>
      </c>
      <c r="F85" s="12">
        <v>2015</v>
      </c>
      <c r="G85" s="12" t="s">
        <v>87</v>
      </c>
      <c r="H85" s="12" t="s">
        <v>88</v>
      </c>
      <c r="I85" s="12" t="s">
        <v>100</v>
      </c>
      <c r="J85" s="12" t="s">
        <v>114</v>
      </c>
      <c r="K85" s="12" t="s">
        <v>93</v>
      </c>
      <c r="L85" s="12">
        <v>8047</v>
      </c>
      <c r="M85" s="12" t="s">
        <v>165</v>
      </c>
      <c r="P85" s="27">
        <v>43166</v>
      </c>
      <c r="Q85" s="67">
        <v>4.1666666666666664E-2</v>
      </c>
      <c r="R85" s="115">
        <v>15</v>
      </c>
      <c r="S85" s="27">
        <v>43238</v>
      </c>
      <c r="T85" s="112">
        <v>0.54166666666666663</v>
      </c>
      <c r="V85" t="s">
        <v>1005</v>
      </c>
      <c r="X85" s="4">
        <v>47.222020000000001</v>
      </c>
      <c r="Y85" s="4">
        <v>-122.81003</v>
      </c>
      <c r="Z85" t="s">
        <v>148</v>
      </c>
    </row>
    <row r="86" spans="1:26" x14ac:dyDescent="0.25">
      <c r="A86" t="s">
        <v>149</v>
      </c>
      <c r="B86" t="s">
        <v>186</v>
      </c>
      <c r="C86" t="s">
        <v>1047</v>
      </c>
      <c r="D86" t="s">
        <v>90</v>
      </c>
      <c r="E86" t="s">
        <v>135</v>
      </c>
      <c r="F86" s="12">
        <v>2015</v>
      </c>
      <c r="G86" s="12" t="s">
        <v>87</v>
      </c>
      <c r="H86" s="12" t="s">
        <v>88</v>
      </c>
      <c r="I86" s="12" t="s">
        <v>100</v>
      </c>
      <c r="J86" s="12" t="s">
        <v>113</v>
      </c>
      <c r="K86" s="12" t="s">
        <v>93</v>
      </c>
      <c r="L86" s="12">
        <v>7999</v>
      </c>
      <c r="M86" s="12" t="s">
        <v>165</v>
      </c>
      <c r="P86" s="27">
        <v>43238</v>
      </c>
      <c r="Q86" s="67">
        <v>4.1666666666666664E-2</v>
      </c>
      <c r="R86" s="115">
        <v>15</v>
      </c>
      <c r="S86" s="27">
        <v>43319</v>
      </c>
      <c r="T86" s="112">
        <v>0.98958333333333337</v>
      </c>
      <c r="V86" t="s">
        <v>1941</v>
      </c>
      <c r="X86" s="4">
        <v>47.221969999999999</v>
      </c>
      <c r="Y86" s="4">
        <v>-122.81014999999999</v>
      </c>
      <c r="Z86" t="s">
        <v>148</v>
      </c>
    </row>
    <row r="87" spans="1:26" x14ac:dyDescent="0.25">
      <c r="A87" t="s">
        <v>149</v>
      </c>
      <c r="B87" t="s">
        <v>186</v>
      </c>
      <c r="C87" t="s">
        <v>1047</v>
      </c>
      <c r="D87" t="s">
        <v>90</v>
      </c>
      <c r="E87" t="s">
        <v>135</v>
      </c>
      <c r="F87" s="12">
        <v>2015</v>
      </c>
      <c r="G87" s="12" t="s">
        <v>87</v>
      </c>
      <c r="H87" s="12" t="s">
        <v>88</v>
      </c>
      <c r="I87" s="12" t="s">
        <v>100</v>
      </c>
      <c r="J87" s="12" t="s">
        <v>114</v>
      </c>
      <c r="K87" s="12" t="s">
        <v>93</v>
      </c>
      <c r="L87" s="12">
        <v>7998</v>
      </c>
      <c r="M87" s="12" t="s">
        <v>165</v>
      </c>
      <c r="P87" s="27">
        <v>43238</v>
      </c>
      <c r="Q87" s="67">
        <v>4.1666666666666664E-2</v>
      </c>
      <c r="R87" s="115">
        <v>15</v>
      </c>
      <c r="S87" s="27">
        <v>43319</v>
      </c>
      <c r="T87" s="112">
        <v>0.98958333333333337</v>
      </c>
      <c r="V87" t="s">
        <v>1941</v>
      </c>
      <c r="X87" s="4">
        <v>47.221969999999999</v>
      </c>
      <c r="Y87" s="4">
        <v>-122.81014999999999</v>
      </c>
      <c r="Z87" t="s">
        <v>148</v>
      </c>
    </row>
    <row r="88" spans="1:26" x14ac:dyDescent="0.25">
      <c r="A88" t="s">
        <v>149</v>
      </c>
      <c r="B88" t="s">
        <v>184</v>
      </c>
      <c r="C88" t="s">
        <v>1047</v>
      </c>
      <c r="D88" t="s">
        <v>90</v>
      </c>
      <c r="E88" t="s">
        <v>135</v>
      </c>
      <c r="F88" s="12">
        <v>2015</v>
      </c>
      <c r="G88" s="12" t="s">
        <v>87</v>
      </c>
      <c r="H88" s="12" t="s">
        <v>88</v>
      </c>
      <c r="I88" s="12" t="s">
        <v>100</v>
      </c>
      <c r="J88" s="12" t="s">
        <v>114</v>
      </c>
      <c r="K88" s="12" t="s">
        <v>95</v>
      </c>
      <c r="L88" s="12">
        <v>20047930</v>
      </c>
      <c r="M88" s="12" t="s">
        <v>165</v>
      </c>
      <c r="P88" s="27">
        <v>43677</v>
      </c>
      <c r="Q88" s="67">
        <v>0.58333333333333337</v>
      </c>
      <c r="R88" s="115">
        <v>30</v>
      </c>
      <c r="S88" s="27">
        <v>43690</v>
      </c>
      <c r="T88" s="112">
        <v>0.97916666666666663</v>
      </c>
      <c r="V88" t="s">
        <v>1019</v>
      </c>
      <c r="X88" s="4">
        <v>47.222000000000001</v>
      </c>
      <c r="Y88" s="4">
        <v>-122.81008333333334</v>
      </c>
      <c r="Z88" t="s">
        <v>148</v>
      </c>
    </row>
    <row r="89" spans="1:26" x14ac:dyDescent="0.25">
      <c r="A89" t="s">
        <v>149</v>
      </c>
      <c r="B89" t="s">
        <v>184</v>
      </c>
      <c r="C89" t="s">
        <v>1047</v>
      </c>
      <c r="D89" t="s">
        <v>90</v>
      </c>
      <c r="E89" t="s">
        <v>135</v>
      </c>
      <c r="F89" s="12">
        <v>2015</v>
      </c>
      <c r="G89" s="12" t="s">
        <v>87</v>
      </c>
      <c r="H89" s="12" t="s">
        <v>88</v>
      </c>
      <c r="I89" s="12" t="s">
        <v>100</v>
      </c>
      <c r="J89" s="12" t="s">
        <v>114</v>
      </c>
      <c r="K89" s="12" t="s">
        <v>95</v>
      </c>
      <c r="L89" s="12">
        <v>20047929</v>
      </c>
      <c r="M89" s="12" t="s">
        <v>165</v>
      </c>
      <c r="P89" s="27">
        <v>43677</v>
      </c>
      <c r="Q89" s="67">
        <v>0.58333333333333337</v>
      </c>
      <c r="R89" s="115">
        <v>30</v>
      </c>
      <c r="S89" s="27">
        <v>43990</v>
      </c>
      <c r="T89" s="112">
        <v>0.5625</v>
      </c>
      <c r="U89" s="12">
        <v>-0.3</v>
      </c>
      <c r="V89" t="s">
        <v>1845</v>
      </c>
      <c r="X89" s="4">
        <v>47.222516666666664</v>
      </c>
      <c r="Y89" s="4">
        <v>-122.81003333333334</v>
      </c>
      <c r="Z89" t="s">
        <v>148</v>
      </c>
    </row>
    <row r="90" spans="1:26" x14ac:dyDescent="0.25">
      <c r="A90" t="s">
        <v>149</v>
      </c>
      <c r="B90" t="s">
        <v>184</v>
      </c>
      <c r="C90" t="s">
        <v>1047</v>
      </c>
      <c r="D90" t="s">
        <v>90</v>
      </c>
      <c r="E90" t="s">
        <v>135</v>
      </c>
      <c r="F90" s="12">
        <v>2015</v>
      </c>
      <c r="G90" s="12" t="s">
        <v>87</v>
      </c>
      <c r="H90" s="12" t="s">
        <v>88</v>
      </c>
      <c r="I90" s="12" t="s">
        <v>100</v>
      </c>
      <c r="J90" s="12" t="s">
        <v>114</v>
      </c>
      <c r="K90" s="12" t="s">
        <v>95</v>
      </c>
      <c r="L90" s="12">
        <v>20359578</v>
      </c>
      <c r="M90" s="12" t="s">
        <v>165</v>
      </c>
      <c r="P90" s="27">
        <v>43322</v>
      </c>
      <c r="Q90" s="67">
        <v>0.66666666666666663</v>
      </c>
      <c r="R90" s="115">
        <v>30</v>
      </c>
      <c r="S90" s="27">
        <v>43676</v>
      </c>
      <c r="T90" s="112">
        <v>0.41666666666666669</v>
      </c>
      <c r="V90" t="s">
        <v>1020</v>
      </c>
      <c r="X90" s="4">
        <v>47.222149999999999</v>
      </c>
      <c r="Y90" s="4">
        <v>-122.80966666666667</v>
      </c>
      <c r="Z90" t="s">
        <v>148</v>
      </c>
    </row>
    <row r="91" spans="1:26" x14ac:dyDescent="0.25">
      <c r="A91" t="s">
        <v>149</v>
      </c>
      <c r="B91" t="s">
        <v>184</v>
      </c>
      <c r="C91" t="s">
        <v>1047</v>
      </c>
      <c r="D91" t="s">
        <v>90</v>
      </c>
      <c r="E91" t="s">
        <v>135</v>
      </c>
      <c r="F91" s="12">
        <v>2015</v>
      </c>
      <c r="G91" s="12" t="s">
        <v>87</v>
      </c>
      <c r="H91" s="12" t="s">
        <v>88</v>
      </c>
      <c r="I91" s="12" t="s">
        <v>100</v>
      </c>
      <c r="J91" s="12" t="s">
        <v>114</v>
      </c>
      <c r="K91" s="12" t="s">
        <v>95</v>
      </c>
      <c r="L91" s="12">
        <v>20359579</v>
      </c>
      <c r="M91" s="12" t="s">
        <v>165</v>
      </c>
      <c r="P91" s="27">
        <v>43322</v>
      </c>
      <c r="Q91" s="67">
        <v>0.66666666666666663</v>
      </c>
      <c r="R91" s="115">
        <v>30</v>
      </c>
      <c r="S91" s="27">
        <v>43676</v>
      </c>
      <c r="T91" s="112">
        <v>0.41666666666666669</v>
      </c>
      <c r="V91" t="s">
        <v>1019</v>
      </c>
      <c r="X91" s="4">
        <v>47.222149999999999</v>
      </c>
      <c r="Y91" s="4">
        <v>-122.80966666666667</v>
      </c>
      <c r="Z91" t="s">
        <v>148</v>
      </c>
    </row>
    <row r="92" spans="1:26" x14ac:dyDescent="0.25">
      <c r="A92" t="s">
        <v>149</v>
      </c>
      <c r="B92" s="1" t="s">
        <v>218</v>
      </c>
      <c r="C92" t="s">
        <v>1046</v>
      </c>
      <c r="D92" t="s">
        <v>165</v>
      </c>
      <c r="E92" t="s">
        <v>135</v>
      </c>
      <c r="F92" s="12">
        <v>2017</v>
      </c>
      <c r="G92" s="12" t="s">
        <v>89</v>
      </c>
      <c r="H92" s="12" t="s">
        <v>102</v>
      </c>
      <c r="I92" s="12" t="s">
        <v>22</v>
      </c>
      <c r="J92" s="12" t="s">
        <v>114</v>
      </c>
      <c r="K92" s="12" t="s">
        <v>95</v>
      </c>
      <c r="L92" s="12">
        <v>20359578</v>
      </c>
      <c r="M92" s="12" t="s">
        <v>165</v>
      </c>
      <c r="P92" s="27">
        <v>43691</v>
      </c>
      <c r="Q92" s="67">
        <v>0.54166666666666663</v>
      </c>
      <c r="R92" s="115">
        <v>30</v>
      </c>
      <c r="S92" s="27">
        <v>44033</v>
      </c>
      <c r="T92" s="112">
        <v>0.5</v>
      </c>
      <c r="V92" t="s">
        <v>1162</v>
      </c>
      <c r="X92" s="30">
        <v>47.225969999999997</v>
      </c>
      <c r="Y92" s="30">
        <v>-122.81366</v>
      </c>
      <c r="Z92" t="s">
        <v>148</v>
      </c>
    </row>
    <row r="93" spans="1:26" x14ac:dyDescent="0.25">
      <c r="A93" t="s">
        <v>149</v>
      </c>
      <c r="B93" s="1" t="s">
        <v>219</v>
      </c>
      <c r="C93" t="s">
        <v>1046</v>
      </c>
      <c r="D93" t="s">
        <v>165</v>
      </c>
      <c r="E93" t="s">
        <v>135</v>
      </c>
      <c r="F93" s="12">
        <v>2017</v>
      </c>
      <c r="G93" s="12" t="s">
        <v>89</v>
      </c>
      <c r="H93" s="12" t="s">
        <v>102</v>
      </c>
      <c r="I93" s="12" t="s">
        <v>22</v>
      </c>
      <c r="J93" s="12" t="s">
        <v>114</v>
      </c>
      <c r="K93" s="12" t="s">
        <v>95</v>
      </c>
      <c r="L93" s="12">
        <v>20359579</v>
      </c>
      <c r="M93" s="12" t="s">
        <v>165</v>
      </c>
      <c r="P93" s="27">
        <v>43691</v>
      </c>
      <c r="Q93" s="67">
        <v>0.54166666666666663</v>
      </c>
      <c r="R93" s="115">
        <v>30</v>
      </c>
      <c r="S93" s="27">
        <v>44033</v>
      </c>
      <c r="T93" s="112">
        <v>0.5</v>
      </c>
      <c r="V93" t="s">
        <v>1885</v>
      </c>
      <c r="X93" s="30">
        <v>47.226010000000002</v>
      </c>
      <c r="Y93" s="30">
        <v>-122.81377000000001</v>
      </c>
      <c r="Z93" t="s">
        <v>148</v>
      </c>
    </row>
    <row r="94" spans="1:26" x14ac:dyDescent="0.25">
      <c r="A94" t="s">
        <v>149</v>
      </c>
      <c r="B94" s="1" t="s">
        <v>220</v>
      </c>
      <c r="C94" t="s">
        <v>1047</v>
      </c>
      <c r="D94" t="s">
        <v>165</v>
      </c>
      <c r="E94" t="s">
        <v>135</v>
      </c>
      <c r="F94" s="12">
        <v>2017</v>
      </c>
      <c r="G94" s="12" t="s">
        <v>87</v>
      </c>
      <c r="H94" s="12" t="s">
        <v>88</v>
      </c>
      <c r="I94" s="12" t="s">
        <v>22</v>
      </c>
      <c r="J94" s="12" t="s">
        <v>114</v>
      </c>
      <c r="K94" s="12" t="s">
        <v>95</v>
      </c>
      <c r="L94" s="12">
        <v>20047936</v>
      </c>
      <c r="M94" s="12" t="s">
        <v>165</v>
      </c>
      <c r="P94" s="27">
        <v>43691</v>
      </c>
      <c r="Q94" s="67">
        <v>0.54166666666666663</v>
      </c>
      <c r="R94" s="115">
        <v>30</v>
      </c>
      <c r="S94" s="27">
        <v>44033</v>
      </c>
      <c r="T94" s="112">
        <v>0.5</v>
      </c>
      <c r="V94" t="s">
        <v>1164</v>
      </c>
      <c r="X94" s="30">
        <v>47.222839999999998</v>
      </c>
      <c r="Y94" s="30">
        <v>-122.81056</v>
      </c>
      <c r="Z94" t="s">
        <v>148</v>
      </c>
    </row>
    <row r="95" spans="1:26" x14ac:dyDescent="0.25">
      <c r="A95" t="s">
        <v>149</v>
      </c>
      <c r="B95" s="1" t="s">
        <v>221</v>
      </c>
      <c r="C95" t="s">
        <v>1047</v>
      </c>
      <c r="D95" t="s">
        <v>165</v>
      </c>
      <c r="E95" t="s">
        <v>135</v>
      </c>
      <c r="F95" s="12">
        <v>2017</v>
      </c>
      <c r="G95" s="12" t="s">
        <v>87</v>
      </c>
      <c r="H95" s="12" t="s">
        <v>88</v>
      </c>
      <c r="I95" s="12" t="s">
        <v>22</v>
      </c>
      <c r="J95" s="12" t="s">
        <v>114</v>
      </c>
      <c r="K95" s="12" t="s">
        <v>95</v>
      </c>
      <c r="L95" s="12">
        <v>20047937</v>
      </c>
      <c r="M95" s="12" t="s">
        <v>165</v>
      </c>
      <c r="P95" s="27">
        <v>43691</v>
      </c>
      <c r="Q95" s="67">
        <v>0.54166666666666663</v>
      </c>
      <c r="R95" s="115">
        <v>30</v>
      </c>
      <c r="S95" s="27">
        <v>44033</v>
      </c>
      <c r="T95" s="112">
        <v>0.5</v>
      </c>
      <c r="V95" t="s">
        <v>1163</v>
      </c>
      <c r="X95" s="30">
        <v>47.222769999999997</v>
      </c>
      <c r="Y95" s="30">
        <v>-122.81052</v>
      </c>
      <c r="Z95" t="s">
        <v>148</v>
      </c>
    </row>
    <row r="96" spans="1:26" x14ac:dyDescent="0.25">
      <c r="A96" t="s">
        <v>149</v>
      </c>
      <c r="B96" s="1" t="s">
        <v>222</v>
      </c>
      <c r="C96" t="s">
        <v>1047</v>
      </c>
      <c r="D96" t="s">
        <v>165</v>
      </c>
      <c r="E96" t="s">
        <v>135</v>
      </c>
      <c r="F96" s="12">
        <v>2017</v>
      </c>
      <c r="G96" s="12" t="s">
        <v>87</v>
      </c>
      <c r="H96" s="12" t="s">
        <v>88</v>
      </c>
      <c r="I96" s="12" t="s">
        <v>22</v>
      </c>
      <c r="J96" s="12" t="s">
        <v>114</v>
      </c>
      <c r="K96" s="12" t="s">
        <v>95</v>
      </c>
      <c r="L96" s="12">
        <v>10128320</v>
      </c>
      <c r="M96" s="12" t="s">
        <v>165</v>
      </c>
      <c r="P96" s="27">
        <v>43691</v>
      </c>
      <c r="Q96" s="67">
        <v>0.54166666666666663</v>
      </c>
      <c r="R96" s="115">
        <v>30</v>
      </c>
      <c r="S96" s="27">
        <v>44033</v>
      </c>
      <c r="T96" s="112">
        <v>0.5</v>
      </c>
      <c r="V96" t="s">
        <v>1161</v>
      </c>
      <c r="X96" s="30">
        <v>47.221179999999997</v>
      </c>
      <c r="Y96" s="30">
        <v>-122.80933</v>
      </c>
      <c r="Z96" t="s">
        <v>148</v>
      </c>
    </row>
    <row r="97" spans="1:26" x14ac:dyDescent="0.25">
      <c r="A97" t="s">
        <v>149</v>
      </c>
      <c r="B97" s="1" t="s">
        <v>223</v>
      </c>
      <c r="C97" t="s">
        <v>1047</v>
      </c>
      <c r="D97" t="s">
        <v>165</v>
      </c>
      <c r="E97" t="s">
        <v>135</v>
      </c>
      <c r="F97" s="12">
        <v>2017</v>
      </c>
      <c r="G97" s="12" t="s">
        <v>87</v>
      </c>
      <c r="H97" s="12" t="s">
        <v>88</v>
      </c>
      <c r="I97" s="12" t="s">
        <v>22</v>
      </c>
      <c r="J97" s="12" t="s">
        <v>114</v>
      </c>
      <c r="K97" s="12" t="s">
        <v>95</v>
      </c>
      <c r="L97" s="12">
        <v>10128321</v>
      </c>
      <c r="M97" s="12" t="s">
        <v>165</v>
      </c>
      <c r="P97" s="27">
        <v>43691</v>
      </c>
      <c r="Q97" s="67">
        <v>0.54166666666666663</v>
      </c>
      <c r="R97" s="115">
        <v>30</v>
      </c>
      <c r="S97" s="27">
        <v>44033</v>
      </c>
      <c r="T97" s="112">
        <v>0.5</v>
      </c>
      <c r="V97" t="s">
        <v>1165</v>
      </c>
      <c r="X97" s="30">
        <v>47.221080000000001</v>
      </c>
      <c r="Y97" s="30">
        <v>-122.80929</v>
      </c>
      <c r="Z97" t="s">
        <v>148</v>
      </c>
    </row>
    <row r="98" spans="1:26" x14ac:dyDescent="0.25">
      <c r="A98" t="s">
        <v>24</v>
      </c>
      <c r="B98" t="s">
        <v>190</v>
      </c>
      <c r="C98" t="s">
        <v>1059</v>
      </c>
      <c r="D98" t="s">
        <v>165</v>
      </c>
      <c r="E98" t="s">
        <v>135</v>
      </c>
      <c r="I98" s="12" t="s">
        <v>22</v>
      </c>
      <c r="K98" s="12" t="s">
        <v>93</v>
      </c>
      <c r="M98" s="12" t="s">
        <v>49</v>
      </c>
      <c r="R98" s="115"/>
      <c r="V98" t="s">
        <v>1946</v>
      </c>
      <c r="X98" s="4">
        <v>47.16053333</v>
      </c>
      <c r="Y98" s="4">
        <v>-122.72785</v>
      </c>
      <c r="Z98" t="s">
        <v>148</v>
      </c>
    </row>
    <row r="99" spans="1:26" x14ac:dyDescent="0.25">
      <c r="A99" t="s">
        <v>83</v>
      </c>
      <c r="B99" t="s">
        <v>187</v>
      </c>
      <c r="C99" t="s">
        <v>1037</v>
      </c>
      <c r="D99" t="s">
        <v>165</v>
      </c>
      <c r="E99" t="s">
        <v>135</v>
      </c>
      <c r="I99" s="12" t="s">
        <v>22</v>
      </c>
      <c r="K99" s="12" t="s">
        <v>93</v>
      </c>
      <c r="M99" s="12" t="s">
        <v>49</v>
      </c>
      <c r="R99" s="115"/>
      <c r="V99" t="s">
        <v>1947</v>
      </c>
      <c r="X99" s="4">
        <v>48.601766699999999</v>
      </c>
      <c r="Y99" s="4">
        <v>-123.13968333</v>
      </c>
      <c r="Z99" t="s">
        <v>148</v>
      </c>
    </row>
    <row r="100" spans="1:26" x14ac:dyDescent="0.25">
      <c r="A100" t="s">
        <v>149</v>
      </c>
      <c r="B100" s="1" t="s">
        <v>218</v>
      </c>
      <c r="C100" t="s">
        <v>1046</v>
      </c>
      <c r="D100" t="s">
        <v>165</v>
      </c>
      <c r="E100" t="s">
        <v>135</v>
      </c>
      <c r="F100" s="12">
        <v>2017</v>
      </c>
      <c r="G100" s="12" t="s">
        <v>89</v>
      </c>
      <c r="H100" s="12" t="s">
        <v>102</v>
      </c>
      <c r="I100" s="12" t="s">
        <v>22</v>
      </c>
      <c r="J100" s="12" t="s">
        <v>114</v>
      </c>
      <c r="K100" s="12" t="s">
        <v>1062</v>
      </c>
      <c r="L100" s="12">
        <v>20566086</v>
      </c>
      <c r="M100" s="12" t="s">
        <v>165</v>
      </c>
      <c r="P100" s="27">
        <v>43691</v>
      </c>
      <c r="Q100" s="67">
        <v>0.54166666666666663</v>
      </c>
      <c r="R100" s="115">
        <v>15</v>
      </c>
      <c r="S100" s="27">
        <v>44033</v>
      </c>
      <c r="T100" s="112">
        <v>0.5</v>
      </c>
      <c r="V100" t="s">
        <v>1066</v>
      </c>
      <c r="X100" s="30">
        <v>47.226010000000002</v>
      </c>
      <c r="Y100" s="30">
        <v>-122.81377000000001</v>
      </c>
      <c r="Z100" t="s">
        <v>148</v>
      </c>
    </row>
    <row r="101" spans="1:26" x14ac:dyDescent="0.25">
      <c r="A101" t="s">
        <v>149</v>
      </c>
      <c r="B101" s="1" t="s">
        <v>220</v>
      </c>
      <c r="C101" t="s">
        <v>1047</v>
      </c>
      <c r="D101" t="s">
        <v>165</v>
      </c>
      <c r="E101" t="s">
        <v>135</v>
      </c>
      <c r="F101" s="12">
        <v>2017</v>
      </c>
      <c r="G101" s="12" t="s">
        <v>87</v>
      </c>
      <c r="H101" s="12" t="s">
        <v>88</v>
      </c>
      <c r="I101" s="12" t="s">
        <v>22</v>
      </c>
      <c r="J101" s="12" t="s">
        <v>114</v>
      </c>
      <c r="K101" s="12" t="s">
        <v>1062</v>
      </c>
      <c r="L101" s="12">
        <v>20566024</v>
      </c>
      <c r="M101" s="12" t="s">
        <v>165</v>
      </c>
      <c r="P101" s="27">
        <v>43691</v>
      </c>
      <c r="Q101" s="67">
        <v>0.54166666666666663</v>
      </c>
      <c r="R101" s="115">
        <v>15</v>
      </c>
      <c r="S101" s="27">
        <v>44033</v>
      </c>
      <c r="T101" s="112">
        <v>0.5</v>
      </c>
      <c r="V101" t="s">
        <v>1049</v>
      </c>
      <c r="X101" s="30">
        <v>47.222769999999997</v>
      </c>
      <c r="Y101" s="30">
        <v>-122.81052</v>
      </c>
      <c r="Z101" t="s">
        <v>148</v>
      </c>
    </row>
    <row r="102" spans="1:26" x14ac:dyDescent="0.25">
      <c r="A102" t="s">
        <v>149</v>
      </c>
      <c r="B102" s="1" t="s">
        <v>222</v>
      </c>
      <c r="C102" t="s">
        <v>1047</v>
      </c>
      <c r="D102" t="s">
        <v>165</v>
      </c>
      <c r="E102" t="s">
        <v>135</v>
      </c>
      <c r="F102" s="12">
        <v>2017</v>
      </c>
      <c r="G102" s="12" t="s">
        <v>87</v>
      </c>
      <c r="H102" s="12" t="s">
        <v>88</v>
      </c>
      <c r="I102" s="12" t="s">
        <v>22</v>
      </c>
      <c r="J102" s="12" t="s">
        <v>114</v>
      </c>
      <c r="K102" s="12" t="s">
        <v>1062</v>
      </c>
      <c r="L102" s="12">
        <v>20566014</v>
      </c>
      <c r="M102" s="12" t="s">
        <v>165</v>
      </c>
      <c r="P102" s="27">
        <v>43691</v>
      </c>
      <c r="Q102" s="67">
        <v>0.54166666666666663</v>
      </c>
      <c r="R102" s="115">
        <v>15</v>
      </c>
      <c r="S102" s="27">
        <v>44033</v>
      </c>
      <c r="T102" s="112">
        <v>0.5</v>
      </c>
      <c r="V102" t="s">
        <v>1048</v>
      </c>
      <c r="X102" s="30">
        <v>47.221080000000001</v>
      </c>
      <c r="Y102" s="30">
        <v>-122.80929</v>
      </c>
      <c r="Z102" t="s">
        <v>148</v>
      </c>
    </row>
    <row r="103" spans="1:26" x14ac:dyDescent="0.25">
      <c r="A103" t="s">
        <v>149</v>
      </c>
      <c r="B103" t="s">
        <v>186</v>
      </c>
      <c r="C103" t="s">
        <v>1047</v>
      </c>
      <c r="D103" t="s">
        <v>165</v>
      </c>
      <c r="E103" t="s">
        <v>135</v>
      </c>
      <c r="F103" s="12">
        <v>2013</v>
      </c>
      <c r="G103" s="12" t="s">
        <v>87</v>
      </c>
      <c r="H103" s="12" t="s">
        <v>88</v>
      </c>
      <c r="I103" s="12" t="s">
        <v>22</v>
      </c>
      <c r="J103" s="12" t="s">
        <v>114</v>
      </c>
      <c r="K103" s="12" t="s">
        <v>93</v>
      </c>
      <c r="L103" s="12">
        <v>5994</v>
      </c>
      <c r="M103" s="12" t="s">
        <v>165</v>
      </c>
      <c r="P103" s="27">
        <v>43680</v>
      </c>
      <c r="Q103" s="67">
        <v>0.60416666666666663</v>
      </c>
      <c r="R103" s="115">
        <v>15</v>
      </c>
      <c r="S103" s="27">
        <v>43960</v>
      </c>
      <c r="T103" s="112">
        <v>0.5</v>
      </c>
      <c r="V103" t="s">
        <v>1850</v>
      </c>
      <c r="X103" s="4">
        <v>47.221969999999999</v>
      </c>
      <c r="Y103" s="4">
        <v>-122.81014999999999</v>
      </c>
      <c r="Z103" t="s">
        <v>148</v>
      </c>
    </row>
    <row r="104" spans="1:26" x14ac:dyDescent="0.25">
      <c r="A104" t="s">
        <v>149</v>
      </c>
      <c r="B104" t="s">
        <v>186</v>
      </c>
      <c r="C104" t="s">
        <v>1047</v>
      </c>
      <c r="D104" t="s">
        <v>165</v>
      </c>
      <c r="E104" t="s">
        <v>135</v>
      </c>
      <c r="F104" s="12">
        <v>2013</v>
      </c>
      <c r="G104" s="12" t="s">
        <v>87</v>
      </c>
      <c r="H104" s="12" t="s">
        <v>88</v>
      </c>
      <c r="I104" s="12" t="s">
        <v>22</v>
      </c>
      <c r="J104" s="12" t="s">
        <v>113</v>
      </c>
      <c r="K104" s="12" t="s">
        <v>93</v>
      </c>
      <c r="L104" s="12">
        <v>5993</v>
      </c>
      <c r="M104" s="12" t="s">
        <v>165</v>
      </c>
      <c r="P104" s="27">
        <v>43680</v>
      </c>
      <c r="Q104" s="67">
        <v>0.60416666666666663</v>
      </c>
      <c r="R104" s="115">
        <v>15</v>
      </c>
      <c r="S104" s="27">
        <v>43960</v>
      </c>
      <c r="T104" s="112">
        <v>0.5</v>
      </c>
      <c r="V104" t="s">
        <v>1851</v>
      </c>
      <c r="X104" s="4">
        <v>47.221969999999999</v>
      </c>
      <c r="Y104" s="4">
        <v>-122.81014999999999</v>
      </c>
      <c r="Z104" t="s">
        <v>148</v>
      </c>
    </row>
    <row r="105" spans="1:26" x14ac:dyDescent="0.25">
      <c r="A105" t="s">
        <v>149</v>
      </c>
      <c r="B105" t="s">
        <v>184</v>
      </c>
      <c r="C105" t="s">
        <v>1047</v>
      </c>
      <c r="D105" t="s">
        <v>90</v>
      </c>
      <c r="E105" t="s">
        <v>135</v>
      </c>
      <c r="F105" s="12">
        <v>2015</v>
      </c>
      <c r="G105" s="12" t="s">
        <v>87</v>
      </c>
      <c r="H105" s="12" t="s">
        <v>88</v>
      </c>
      <c r="I105" s="12" t="s">
        <v>100</v>
      </c>
      <c r="J105" s="12" t="s">
        <v>114</v>
      </c>
      <c r="K105" s="12" t="s">
        <v>91</v>
      </c>
      <c r="M105" s="12" t="s">
        <v>165</v>
      </c>
      <c r="P105" s="27">
        <v>43516</v>
      </c>
      <c r="Q105" s="67">
        <v>0.625</v>
      </c>
      <c r="R105" s="115"/>
      <c r="S105" s="27">
        <v>43636</v>
      </c>
      <c r="T105" s="67">
        <v>0.58333333333333337</v>
      </c>
      <c r="V105" t="s">
        <v>1935</v>
      </c>
      <c r="X105" s="4">
        <v>47.222029999999997</v>
      </c>
      <c r="Y105" s="4">
        <v>-122.81008</v>
      </c>
      <c r="Z105" t="s">
        <v>148</v>
      </c>
    </row>
    <row r="106" spans="1:26" x14ac:dyDescent="0.25">
      <c r="A106" t="s">
        <v>149</v>
      </c>
      <c r="C106" t="s">
        <v>1047</v>
      </c>
      <c r="D106" t="s">
        <v>90</v>
      </c>
      <c r="E106" t="s">
        <v>135</v>
      </c>
      <c r="G106" s="12" t="s">
        <v>89</v>
      </c>
      <c r="H106" s="12" t="s">
        <v>102</v>
      </c>
      <c r="J106" s="12" t="s">
        <v>114</v>
      </c>
      <c r="K106" s="12" t="s">
        <v>91</v>
      </c>
      <c r="M106" s="12" t="s">
        <v>165</v>
      </c>
      <c r="P106" s="27">
        <v>43516</v>
      </c>
      <c r="Q106" s="67">
        <v>0.625</v>
      </c>
      <c r="R106" s="115"/>
      <c r="S106" s="27">
        <v>43636</v>
      </c>
      <c r="T106" s="67">
        <v>0.58333333333333337</v>
      </c>
      <c r="V106" t="s">
        <v>1936</v>
      </c>
      <c r="X106" s="4">
        <v>47.222520000000003</v>
      </c>
      <c r="Y106" s="4">
        <v>-122.81044</v>
      </c>
      <c r="Z106" t="s">
        <v>148</v>
      </c>
    </row>
    <row r="107" spans="1:26" x14ac:dyDescent="0.25">
      <c r="A107" t="s">
        <v>149</v>
      </c>
      <c r="B107" t="s">
        <v>213</v>
      </c>
      <c r="C107" t="s">
        <v>1047</v>
      </c>
      <c r="D107" t="s">
        <v>52</v>
      </c>
      <c r="E107" t="s">
        <v>135</v>
      </c>
      <c r="F107" s="12">
        <v>2016</v>
      </c>
      <c r="G107" s="12" t="s">
        <v>87</v>
      </c>
      <c r="H107" s="12" t="s">
        <v>88</v>
      </c>
      <c r="I107" s="12" t="s">
        <v>100</v>
      </c>
      <c r="J107" s="12" t="s">
        <v>114</v>
      </c>
      <c r="K107" s="12" t="s">
        <v>91</v>
      </c>
      <c r="M107" s="12" t="s">
        <v>165</v>
      </c>
      <c r="P107" s="27">
        <v>43516</v>
      </c>
      <c r="Q107" s="67">
        <v>0.625</v>
      </c>
      <c r="R107" s="115"/>
      <c r="S107" s="27">
        <v>43636</v>
      </c>
      <c r="T107" s="67">
        <v>0.58333333333333337</v>
      </c>
      <c r="V107" t="s">
        <v>1937</v>
      </c>
      <c r="X107" s="4">
        <v>47.221910000000001</v>
      </c>
      <c r="Y107" s="4">
        <v>-122.81001999999999</v>
      </c>
      <c r="Z107" t="s">
        <v>148</v>
      </c>
    </row>
    <row r="108" spans="1:26" x14ac:dyDescent="0.25">
      <c r="A108" t="s">
        <v>149</v>
      </c>
      <c r="C108" t="s">
        <v>1047</v>
      </c>
      <c r="D108" t="s">
        <v>52</v>
      </c>
      <c r="E108" t="s">
        <v>135</v>
      </c>
      <c r="G108" s="12" t="s">
        <v>89</v>
      </c>
      <c r="H108" s="12" t="s">
        <v>102</v>
      </c>
      <c r="J108" s="12" t="s">
        <v>114</v>
      </c>
      <c r="K108" s="12" t="s">
        <v>91</v>
      </c>
      <c r="M108" s="12" t="s">
        <v>165</v>
      </c>
      <c r="P108" s="27">
        <v>43516</v>
      </c>
      <c r="Q108" s="67">
        <v>0.625</v>
      </c>
      <c r="R108" s="115"/>
      <c r="S108" s="27">
        <v>43636</v>
      </c>
      <c r="T108" s="67">
        <v>0.58333333333333337</v>
      </c>
      <c r="V108" t="s">
        <v>1938</v>
      </c>
      <c r="X108" s="4">
        <v>47.221960000000003</v>
      </c>
      <c r="Y108" s="4">
        <v>-122.81005</v>
      </c>
      <c r="Z108" t="s">
        <v>148</v>
      </c>
    </row>
    <row r="109" spans="1:26" x14ac:dyDescent="0.25">
      <c r="A109" t="s">
        <v>149</v>
      </c>
      <c r="B109" t="s">
        <v>185</v>
      </c>
      <c r="C109" t="s">
        <v>1047</v>
      </c>
      <c r="D109" t="s">
        <v>52</v>
      </c>
      <c r="E109" t="s">
        <v>135</v>
      </c>
      <c r="F109" s="12">
        <v>2017</v>
      </c>
      <c r="G109" s="12" t="s">
        <v>87</v>
      </c>
      <c r="H109" s="12" t="s">
        <v>88</v>
      </c>
      <c r="I109" s="12" t="s">
        <v>100</v>
      </c>
      <c r="J109" s="12" t="s">
        <v>114</v>
      </c>
      <c r="K109" s="12" t="s">
        <v>91</v>
      </c>
      <c r="M109" s="12" t="s">
        <v>165</v>
      </c>
      <c r="P109" s="27">
        <v>43516</v>
      </c>
      <c r="Q109" s="67">
        <v>0.625</v>
      </c>
      <c r="R109" s="115"/>
      <c r="S109" s="27">
        <v>43636</v>
      </c>
      <c r="T109" s="67">
        <v>0.58333333333333337</v>
      </c>
      <c r="V109" t="s">
        <v>1939</v>
      </c>
      <c r="X109" s="4">
        <v>47.221649999999997</v>
      </c>
      <c r="Y109" s="4">
        <v>-122.80997000000001</v>
      </c>
      <c r="Z109" t="s">
        <v>148</v>
      </c>
    </row>
    <row r="110" spans="1:26" x14ac:dyDescent="0.25">
      <c r="A110" t="s">
        <v>149</v>
      </c>
      <c r="C110" t="s">
        <v>1047</v>
      </c>
      <c r="D110" t="s">
        <v>52</v>
      </c>
      <c r="E110" t="s">
        <v>135</v>
      </c>
      <c r="G110" s="12" t="s">
        <v>89</v>
      </c>
      <c r="H110" s="12" t="s">
        <v>102</v>
      </c>
      <c r="J110" s="12" t="s">
        <v>114</v>
      </c>
      <c r="K110" s="12" t="s">
        <v>91</v>
      </c>
      <c r="M110" s="12" t="s">
        <v>165</v>
      </c>
      <c r="P110" s="27">
        <v>43516</v>
      </c>
      <c r="Q110" s="67">
        <v>0.625</v>
      </c>
      <c r="R110" s="115"/>
      <c r="S110" s="27">
        <v>43636</v>
      </c>
      <c r="T110" s="67">
        <v>0.58333333333333337</v>
      </c>
      <c r="V110" t="s">
        <v>1940</v>
      </c>
      <c r="X110" s="4">
        <v>47.221200000000003</v>
      </c>
      <c r="Y110" s="4">
        <v>-122.80956</v>
      </c>
      <c r="Z110" t="s">
        <v>148</v>
      </c>
    </row>
    <row r="111" spans="1:26" x14ac:dyDescent="0.25">
      <c r="A111" t="s">
        <v>149</v>
      </c>
      <c r="B111" t="s">
        <v>184</v>
      </c>
      <c r="C111" t="s">
        <v>1047</v>
      </c>
      <c r="D111" t="s">
        <v>90</v>
      </c>
      <c r="E111" t="s">
        <v>135</v>
      </c>
      <c r="F111" s="12">
        <v>2015</v>
      </c>
      <c r="G111" s="12" t="s">
        <v>87</v>
      </c>
      <c r="H111" s="12" t="s">
        <v>88</v>
      </c>
      <c r="I111" s="12" t="s">
        <v>100</v>
      </c>
      <c r="J111" s="12" t="s">
        <v>114</v>
      </c>
      <c r="K111" s="12" t="s">
        <v>91</v>
      </c>
      <c r="L111" s="12" t="s">
        <v>1244</v>
      </c>
      <c r="M111" s="12" t="s">
        <v>165</v>
      </c>
      <c r="P111" s="27">
        <v>43636</v>
      </c>
      <c r="Q111" s="67">
        <v>0.625</v>
      </c>
      <c r="R111" s="115"/>
      <c r="S111" s="27">
        <v>43733</v>
      </c>
      <c r="T111" s="112">
        <v>0.36458333333333331</v>
      </c>
      <c r="V111" t="s">
        <v>1935</v>
      </c>
      <c r="X111" s="4">
        <v>47.222029999999997</v>
      </c>
      <c r="Y111" s="4">
        <v>-122.81008</v>
      </c>
      <c r="Z111" t="s">
        <v>148</v>
      </c>
    </row>
    <row r="112" spans="1:26" x14ac:dyDescent="0.25">
      <c r="A112" t="s">
        <v>149</v>
      </c>
      <c r="C112" t="s">
        <v>1047</v>
      </c>
      <c r="D112" t="s">
        <v>90</v>
      </c>
      <c r="E112" t="s">
        <v>135</v>
      </c>
      <c r="G112" s="12" t="s">
        <v>89</v>
      </c>
      <c r="H112" s="12" t="s">
        <v>102</v>
      </c>
      <c r="J112" s="12" t="s">
        <v>114</v>
      </c>
      <c r="K112" s="12" t="s">
        <v>91</v>
      </c>
      <c r="L112" s="12" t="s">
        <v>1245</v>
      </c>
      <c r="M112" s="12" t="s">
        <v>165</v>
      </c>
      <c r="P112" s="27">
        <v>43636</v>
      </c>
      <c r="Q112" s="67">
        <v>0.625</v>
      </c>
      <c r="R112" s="115"/>
      <c r="S112" s="27">
        <v>43733</v>
      </c>
      <c r="T112" s="112">
        <v>0.36458333333333331</v>
      </c>
      <c r="V112" t="s">
        <v>1936</v>
      </c>
      <c r="X112" s="4">
        <v>47.222520000000003</v>
      </c>
      <c r="Y112" s="4">
        <v>-122.81044</v>
      </c>
      <c r="Z112" t="s">
        <v>148</v>
      </c>
    </row>
    <row r="113" spans="1:26" x14ac:dyDescent="0.25">
      <c r="A113" t="s">
        <v>149</v>
      </c>
      <c r="B113" t="s">
        <v>213</v>
      </c>
      <c r="C113" t="s">
        <v>1047</v>
      </c>
      <c r="D113" t="s">
        <v>52</v>
      </c>
      <c r="E113" t="s">
        <v>135</v>
      </c>
      <c r="F113" s="12">
        <v>2016</v>
      </c>
      <c r="G113" s="12" t="s">
        <v>87</v>
      </c>
      <c r="H113" s="12" t="s">
        <v>88</v>
      </c>
      <c r="I113" s="12" t="s">
        <v>100</v>
      </c>
      <c r="J113" s="12" t="s">
        <v>114</v>
      </c>
      <c r="K113" s="12" t="s">
        <v>91</v>
      </c>
      <c r="L113" s="12" t="s">
        <v>1246</v>
      </c>
      <c r="M113" s="12" t="s">
        <v>165</v>
      </c>
      <c r="P113" s="27">
        <v>43636</v>
      </c>
      <c r="Q113" s="67">
        <v>0.625</v>
      </c>
      <c r="R113" s="115"/>
      <c r="S113" s="27">
        <v>43733</v>
      </c>
      <c r="T113" s="112">
        <v>0.36458333333333331</v>
      </c>
      <c r="V113" t="s">
        <v>1937</v>
      </c>
      <c r="X113" s="4">
        <v>47.221910000000001</v>
      </c>
      <c r="Y113" s="4">
        <v>-122.81001999999999</v>
      </c>
      <c r="Z113" t="s">
        <v>148</v>
      </c>
    </row>
    <row r="114" spans="1:26" x14ac:dyDescent="0.25">
      <c r="A114" t="s">
        <v>149</v>
      </c>
      <c r="C114" t="s">
        <v>1047</v>
      </c>
      <c r="D114" t="s">
        <v>52</v>
      </c>
      <c r="E114" t="s">
        <v>135</v>
      </c>
      <c r="G114" s="12" t="s">
        <v>89</v>
      </c>
      <c r="H114" s="12" t="s">
        <v>102</v>
      </c>
      <c r="J114" s="12" t="s">
        <v>114</v>
      </c>
      <c r="K114" s="12" t="s">
        <v>91</v>
      </c>
      <c r="L114" s="12" t="s">
        <v>1243</v>
      </c>
      <c r="M114" s="12" t="s">
        <v>165</v>
      </c>
      <c r="P114" s="27">
        <v>43636</v>
      </c>
      <c r="Q114" s="67">
        <v>0.625</v>
      </c>
      <c r="R114" s="115"/>
      <c r="S114" s="27">
        <v>43733</v>
      </c>
      <c r="T114" s="112">
        <v>0.36458333333333331</v>
      </c>
      <c r="V114" t="s">
        <v>1938</v>
      </c>
      <c r="X114" s="4">
        <v>47.221960000000003</v>
      </c>
      <c r="Y114" s="4">
        <v>-122.81005</v>
      </c>
      <c r="Z114" t="s">
        <v>148</v>
      </c>
    </row>
    <row r="115" spans="1:26" x14ac:dyDescent="0.25">
      <c r="A115" t="s">
        <v>149</v>
      </c>
      <c r="B115" t="s">
        <v>185</v>
      </c>
      <c r="C115" t="s">
        <v>1047</v>
      </c>
      <c r="D115" t="s">
        <v>52</v>
      </c>
      <c r="E115" t="s">
        <v>135</v>
      </c>
      <c r="F115" s="12">
        <v>2017</v>
      </c>
      <c r="G115" s="12" t="s">
        <v>87</v>
      </c>
      <c r="H115" s="12" t="s">
        <v>88</v>
      </c>
      <c r="I115" s="12" t="s">
        <v>100</v>
      </c>
      <c r="J115" s="12" t="s">
        <v>114</v>
      </c>
      <c r="K115" s="12" t="s">
        <v>91</v>
      </c>
      <c r="L115" s="12" t="s">
        <v>1247</v>
      </c>
      <c r="M115" s="12" t="s">
        <v>165</v>
      </c>
      <c r="P115" s="27">
        <v>43636</v>
      </c>
      <c r="Q115" s="67">
        <v>0.625</v>
      </c>
      <c r="R115" s="115"/>
      <c r="S115" s="27">
        <v>43733</v>
      </c>
      <c r="T115" s="112">
        <v>0.36458333333333331</v>
      </c>
      <c r="V115" t="s">
        <v>1939</v>
      </c>
      <c r="X115" s="4">
        <v>47.221649999999997</v>
      </c>
      <c r="Y115" s="4">
        <v>-122.80997000000001</v>
      </c>
      <c r="Z115" t="s">
        <v>148</v>
      </c>
    </row>
    <row r="116" spans="1:26" x14ac:dyDescent="0.25">
      <c r="A116" t="s">
        <v>149</v>
      </c>
      <c r="C116" t="s">
        <v>1047</v>
      </c>
      <c r="D116" t="s">
        <v>52</v>
      </c>
      <c r="E116" t="s">
        <v>135</v>
      </c>
      <c r="G116" s="12" t="s">
        <v>89</v>
      </c>
      <c r="H116" s="12" t="s">
        <v>102</v>
      </c>
      <c r="J116" s="12" t="s">
        <v>114</v>
      </c>
      <c r="K116" s="12" t="s">
        <v>91</v>
      </c>
      <c r="L116" s="12" t="s">
        <v>1248</v>
      </c>
      <c r="M116" s="12" t="s">
        <v>165</v>
      </c>
      <c r="P116" s="27">
        <v>43636</v>
      </c>
      <c r="Q116" s="67">
        <v>0.625</v>
      </c>
      <c r="R116" s="115"/>
      <c r="S116" s="27">
        <v>43733</v>
      </c>
      <c r="T116" s="112">
        <v>0.36458333333333331</v>
      </c>
      <c r="V116" t="s">
        <v>1940</v>
      </c>
      <c r="X116" s="4">
        <v>47.221200000000003</v>
      </c>
      <c r="Y116" s="4">
        <v>-122.80956</v>
      </c>
      <c r="Z116" t="s">
        <v>148</v>
      </c>
    </row>
    <row r="117" spans="1:26" x14ac:dyDescent="0.25">
      <c r="A117" t="s">
        <v>149</v>
      </c>
      <c r="B117" t="s">
        <v>184</v>
      </c>
      <c r="C117" t="s">
        <v>1047</v>
      </c>
      <c r="D117" t="s">
        <v>90</v>
      </c>
      <c r="E117" t="s">
        <v>135</v>
      </c>
      <c r="F117" s="12">
        <v>2015</v>
      </c>
      <c r="G117" s="12" t="s">
        <v>87</v>
      </c>
      <c r="H117" s="12" t="s">
        <v>88</v>
      </c>
      <c r="I117" s="12" t="s">
        <v>100</v>
      </c>
      <c r="J117" s="12" t="s">
        <v>113</v>
      </c>
      <c r="K117" s="12" t="s">
        <v>93</v>
      </c>
      <c r="L117" s="12">
        <v>8048</v>
      </c>
      <c r="M117" s="12" t="s">
        <v>165</v>
      </c>
      <c r="P117" s="27">
        <v>43960</v>
      </c>
      <c r="Q117" s="67">
        <v>0.58333333333333337</v>
      </c>
      <c r="R117" s="115">
        <v>15</v>
      </c>
      <c r="T117" s="112"/>
      <c r="V117" t="s">
        <v>1846</v>
      </c>
      <c r="X117" s="4">
        <v>47.221960000000003</v>
      </c>
      <c r="Y117" s="4">
        <v>-122.81019999999999</v>
      </c>
      <c r="Z117" t="s">
        <v>148</v>
      </c>
    </row>
    <row r="118" spans="1:26" x14ac:dyDescent="0.25">
      <c r="A118" t="s">
        <v>149</v>
      </c>
      <c r="B118" t="s">
        <v>184</v>
      </c>
      <c r="C118" t="s">
        <v>1047</v>
      </c>
      <c r="D118" t="s">
        <v>90</v>
      </c>
      <c r="E118" t="s">
        <v>135</v>
      </c>
      <c r="F118" s="12">
        <v>2015</v>
      </c>
      <c r="G118" s="12" t="s">
        <v>87</v>
      </c>
      <c r="H118" s="12" t="s">
        <v>88</v>
      </c>
      <c r="I118" s="12" t="s">
        <v>100</v>
      </c>
      <c r="J118" s="12" t="s">
        <v>114</v>
      </c>
      <c r="K118" s="12" t="s">
        <v>93</v>
      </c>
      <c r="L118" s="12">
        <v>8046</v>
      </c>
      <c r="M118" s="12" t="s">
        <v>165</v>
      </c>
      <c r="P118" s="27">
        <v>43960</v>
      </c>
      <c r="Q118" s="67">
        <v>0.58333333333333337</v>
      </c>
      <c r="R118" s="115">
        <v>15</v>
      </c>
      <c r="T118" s="112"/>
      <c r="V118" t="s">
        <v>1847</v>
      </c>
      <c r="X118" s="4">
        <v>47.221879999999999</v>
      </c>
      <c r="Y118" s="4">
        <v>-122.81017</v>
      </c>
      <c r="Z118" t="s">
        <v>148</v>
      </c>
    </row>
    <row r="119" spans="1:26" x14ac:dyDescent="0.25">
      <c r="A119" t="s">
        <v>149</v>
      </c>
      <c r="B119" t="s">
        <v>184</v>
      </c>
      <c r="C119" t="s">
        <v>1047</v>
      </c>
      <c r="D119" t="s">
        <v>90</v>
      </c>
      <c r="E119" t="s">
        <v>135</v>
      </c>
      <c r="F119" s="12">
        <v>2015</v>
      </c>
      <c r="G119" s="12" t="s">
        <v>87</v>
      </c>
      <c r="H119" s="12" t="s">
        <v>88</v>
      </c>
      <c r="I119" s="12" t="s">
        <v>100</v>
      </c>
      <c r="J119" s="12" t="s">
        <v>113</v>
      </c>
      <c r="K119" s="12" t="s">
        <v>1062</v>
      </c>
      <c r="L119" s="12">
        <v>20566005</v>
      </c>
      <c r="M119" s="12" t="s">
        <v>165</v>
      </c>
      <c r="P119" s="27">
        <v>43960</v>
      </c>
      <c r="Q119" s="67">
        <v>0.58333333333333337</v>
      </c>
      <c r="R119" s="115">
        <v>15</v>
      </c>
      <c r="T119" s="112"/>
      <c r="V119" t="s">
        <v>1848</v>
      </c>
      <c r="X119" s="4">
        <v>47.221960000000003</v>
      </c>
      <c r="Y119" s="4">
        <v>-122.81019999999999</v>
      </c>
      <c r="Z119" t="s">
        <v>148</v>
      </c>
    </row>
    <row r="120" spans="1:26" x14ac:dyDescent="0.25">
      <c r="A120" t="s">
        <v>149</v>
      </c>
      <c r="B120" t="s">
        <v>184</v>
      </c>
      <c r="C120" t="s">
        <v>1047</v>
      </c>
      <c r="D120" t="s">
        <v>90</v>
      </c>
      <c r="E120" t="s">
        <v>135</v>
      </c>
      <c r="F120" s="12">
        <v>2015</v>
      </c>
      <c r="G120" s="12" t="s">
        <v>87</v>
      </c>
      <c r="H120" s="12" t="s">
        <v>88</v>
      </c>
      <c r="I120" s="12" t="s">
        <v>100</v>
      </c>
      <c r="J120" s="12" t="s">
        <v>114</v>
      </c>
      <c r="K120" s="12" t="s">
        <v>1062</v>
      </c>
      <c r="L120" s="12">
        <v>20565978</v>
      </c>
      <c r="M120" s="12" t="s">
        <v>165</v>
      </c>
      <c r="P120" s="27">
        <v>43960</v>
      </c>
      <c r="Q120" s="67">
        <v>0.58333333333333337</v>
      </c>
      <c r="R120" s="115">
        <v>15</v>
      </c>
      <c r="T120" s="112"/>
      <c r="V120" t="s">
        <v>1849</v>
      </c>
      <c r="X120" s="4">
        <v>47.221879999999999</v>
      </c>
      <c r="Y120" s="4">
        <v>-122.81017</v>
      </c>
      <c r="Z120" t="s">
        <v>148</v>
      </c>
    </row>
    <row r="121" spans="1:26" x14ac:dyDescent="0.25">
      <c r="A121" t="s">
        <v>149</v>
      </c>
      <c r="B121" t="s">
        <v>184</v>
      </c>
      <c r="C121" t="s">
        <v>1047</v>
      </c>
      <c r="D121" t="s">
        <v>90</v>
      </c>
      <c r="E121" t="s">
        <v>135</v>
      </c>
      <c r="F121" s="12">
        <v>2013</v>
      </c>
      <c r="G121" s="12" t="s">
        <v>87</v>
      </c>
      <c r="H121" s="12" t="s">
        <v>88</v>
      </c>
      <c r="I121" s="12" t="s">
        <v>100</v>
      </c>
      <c r="J121" s="12" t="s">
        <v>114</v>
      </c>
      <c r="K121" s="12" t="s">
        <v>95</v>
      </c>
      <c r="L121" s="12">
        <v>20604510</v>
      </c>
      <c r="M121" s="12" t="s">
        <v>165</v>
      </c>
      <c r="P121" s="27">
        <v>43960</v>
      </c>
      <c r="Q121" s="67">
        <v>0.58333333333333337</v>
      </c>
      <c r="R121" s="115">
        <v>15</v>
      </c>
      <c r="V121" t="s">
        <v>1887</v>
      </c>
      <c r="X121" s="4">
        <v>47.221969999999999</v>
      </c>
      <c r="Y121" s="4">
        <v>-122.81014999999999</v>
      </c>
      <c r="Z121" t="s">
        <v>148</v>
      </c>
    </row>
    <row r="122" spans="1:26" x14ac:dyDescent="0.25">
      <c r="A122" t="s">
        <v>149</v>
      </c>
      <c r="B122" t="s">
        <v>184</v>
      </c>
      <c r="C122" t="s">
        <v>1047</v>
      </c>
      <c r="D122" t="s">
        <v>90</v>
      </c>
      <c r="E122" t="s">
        <v>135</v>
      </c>
      <c r="F122" s="12">
        <v>2013</v>
      </c>
      <c r="G122" s="12" t="s">
        <v>87</v>
      </c>
      <c r="H122" s="12" t="s">
        <v>88</v>
      </c>
      <c r="I122" s="12" t="s">
        <v>100</v>
      </c>
      <c r="J122" s="12" t="s">
        <v>114</v>
      </c>
      <c r="K122" s="12" t="s">
        <v>95</v>
      </c>
      <c r="L122" s="12">
        <v>20604511</v>
      </c>
      <c r="M122" s="12" t="s">
        <v>165</v>
      </c>
      <c r="P122" s="27">
        <v>43960</v>
      </c>
      <c r="Q122" s="67">
        <v>0.58333333333333337</v>
      </c>
      <c r="R122" s="115">
        <v>15</v>
      </c>
      <c r="V122" t="s">
        <v>1888</v>
      </c>
      <c r="X122" s="4">
        <v>47.222016666666669</v>
      </c>
      <c r="Y122" s="4">
        <v>-122.81008333333334</v>
      </c>
      <c r="Z122" t="s">
        <v>148</v>
      </c>
    </row>
    <row r="123" spans="1:26" x14ac:dyDescent="0.25">
      <c r="A123" t="s">
        <v>540</v>
      </c>
      <c r="B123" t="s">
        <v>1886</v>
      </c>
      <c r="C123" t="s">
        <v>1852</v>
      </c>
      <c r="D123" t="s">
        <v>165</v>
      </c>
      <c r="E123" t="s">
        <v>135</v>
      </c>
      <c r="G123" s="12" t="s">
        <v>89</v>
      </c>
      <c r="H123" s="12" t="s">
        <v>102</v>
      </c>
      <c r="J123" s="12" t="s">
        <v>114</v>
      </c>
      <c r="K123" s="12" t="s">
        <v>93</v>
      </c>
      <c r="L123" s="12">
        <v>8002</v>
      </c>
      <c r="M123" s="12" t="s">
        <v>165</v>
      </c>
      <c r="P123" s="27">
        <v>43986</v>
      </c>
      <c r="Q123" s="67">
        <v>0.47916666666666669</v>
      </c>
      <c r="R123" s="115">
        <v>15</v>
      </c>
      <c r="U123" s="12">
        <v>-1.6</v>
      </c>
      <c r="V123" t="s">
        <v>1949</v>
      </c>
      <c r="X123" s="4">
        <v>47.329329999999999</v>
      </c>
      <c r="Y123" s="4">
        <v>-122.38615</v>
      </c>
      <c r="Z123" t="s">
        <v>148</v>
      </c>
    </row>
    <row r="124" spans="1:26" x14ac:dyDescent="0.25">
      <c r="A124" t="s">
        <v>540</v>
      </c>
      <c r="B124" t="s">
        <v>1886</v>
      </c>
      <c r="C124" t="s">
        <v>1852</v>
      </c>
      <c r="D124" t="s">
        <v>165</v>
      </c>
      <c r="E124" t="s">
        <v>135</v>
      </c>
      <c r="G124" s="12" t="s">
        <v>89</v>
      </c>
      <c r="H124" s="12" t="s">
        <v>102</v>
      </c>
      <c r="J124" s="12" t="s">
        <v>114</v>
      </c>
      <c r="K124" s="12" t="s">
        <v>1062</v>
      </c>
      <c r="L124" s="12">
        <v>20566009</v>
      </c>
      <c r="M124" s="12" t="s">
        <v>165</v>
      </c>
      <c r="P124" s="27">
        <v>43986</v>
      </c>
      <c r="Q124" s="67">
        <v>0.47916666666666669</v>
      </c>
      <c r="R124" s="115">
        <v>15</v>
      </c>
      <c r="U124" s="12">
        <v>-1.6</v>
      </c>
      <c r="V124" t="s">
        <v>1949</v>
      </c>
      <c r="X124" s="4">
        <v>47.329329999999999</v>
      </c>
      <c r="Y124" s="4">
        <v>-122.38615</v>
      </c>
      <c r="Z124" t="s">
        <v>148</v>
      </c>
    </row>
    <row r="125" spans="1:26" x14ac:dyDescent="0.25">
      <c r="A125" t="s">
        <v>540</v>
      </c>
      <c r="B125" t="s">
        <v>1886</v>
      </c>
      <c r="C125" t="s">
        <v>1852</v>
      </c>
      <c r="D125" t="s">
        <v>165</v>
      </c>
      <c r="E125" t="s">
        <v>135</v>
      </c>
      <c r="G125" s="12" t="s">
        <v>89</v>
      </c>
      <c r="H125" s="12" t="s">
        <v>102</v>
      </c>
      <c r="J125" s="12" t="s">
        <v>114</v>
      </c>
      <c r="K125" s="12" t="s">
        <v>95</v>
      </c>
      <c r="L125" s="12">
        <v>20359587</v>
      </c>
      <c r="M125" s="12" t="s">
        <v>165</v>
      </c>
      <c r="P125" s="27">
        <v>43986</v>
      </c>
      <c r="Q125" s="67">
        <v>0.47916666666666669</v>
      </c>
      <c r="R125" s="115">
        <v>15</v>
      </c>
      <c r="U125" s="12">
        <v>-1.6</v>
      </c>
      <c r="V125" t="s">
        <v>1949</v>
      </c>
      <c r="X125" s="4">
        <v>47.329329999999999</v>
      </c>
      <c r="Y125" s="4">
        <v>-122.38615</v>
      </c>
      <c r="Z125" t="s">
        <v>148</v>
      </c>
    </row>
    <row r="126" spans="1:26" x14ac:dyDescent="0.25">
      <c r="A126" t="s">
        <v>1854</v>
      </c>
      <c r="B126" t="s">
        <v>1854</v>
      </c>
      <c r="C126" t="s">
        <v>1860</v>
      </c>
      <c r="D126" t="s">
        <v>165</v>
      </c>
      <c r="E126" t="s">
        <v>135</v>
      </c>
      <c r="G126" s="12" t="s">
        <v>89</v>
      </c>
      <c r="H126" s="12" t="s">
        <v>102</v>
      </c>
      <c r="J126" s="12" t="s">
        <v>114</v>
      </c>
      <c r="K126" s="12" t="s">
        <v>93</v>
      </c>
      <c r="L126" s="12">
        <v>5996</v>
      </c>
      <c r="M126" s="12" t="s">
        <v>165</v>
      </c>
      <c r="P126" s="27">
        <v>44020</v>
      </c>
      <c r="Q126" s="67">
        <v>4.1666666666666664E-2</v>
      </c>
      <c r="R126" s="115">
        <v>15</v>
      </c>
      <c r="V126" t="s">
        <v>1948</v>
      </c>
      <c r="X126" s="4">
        <v>47.620460000000001</v>
      </c>
      <c r="Y126" s="4">
        <v>-122.36398</v>
      </c>
      <c r="Z126" t="s">
        <v>148</v>
      </c>
    </row>
    <row r="127" spans="1:26" x14ac:dyDescent="0.25">
      <c r="A127" t="s">
        <v>1854</v>
      </c>
      <c r="B127" t="s">
        <v>1854</v>
      </c>
      <c r="C127" t="s">
        <v>1860</v>
      </c>
      <c r="D127" t="s">
        <v>165</v>
      </c>
      <c r="E127" t="s">
        <v>135</v>
      </c>
      <c r="G127" s="12" t="s">
        <v>89</v>
      </c>
      <c r="H127" s="12" t="s">
        <v>102</v>
      </c>
      <c r="J127" s="12" t="s">
        <v>114</v>
      </c>
      <c r="K127" s="12" t="s">
        <v>1062</v>
      </c>
      <c r="L127" s="12">
        <v>10777817</v>
      </c>
      <c r="M127" s="12" t="s">
        <v>165</v>
      </c>
      <c r="P127" s="27">
        <v>44020</v>
      </c>
      <c r="Q127" s="67">
        <v>4.1666666666666664E-2</v>
      </c>
      <c r="R127" s="115">
        <v>15</v>
      </c>
      <c r="V127" t="s">
        <v>1948</v>
      </c>
      <c r="X127" s="4">
        <v>47.620460000000001</v>
      </c>
      <c r="Y127" s="4">
        <v>-122.36398</v>
      </c>
      <c r="Z127" t="s">
        <v>148</v>
      </c>
    </row>
    <row r="128" spans="1:26" x14ac:dyDescent="0.25">
      <c r="A128" t="s">
        <v>1854</v>
      </c>
      <c r="B128" t="s">
        <v>1854</v>
      </c>
      <c r="C128" t="s">
        <v>1860</v>
      </c>
      <c r="D128" t="s">
        <v>165</v>
      </c>
      <c r="E128" t="s">
        <v>135</v>
      </c>
      <c r="G128" s="12" t="s">
        <v>89</v>
      </c>
      <c r="H128" s="12" t="s">
        <v>102</v>
      </c>
      <c r="J128" s="12" t="s">
        <v>114</v>
      </c>
      <c r="K128" s="12" t="s">
        <v>95</v>
      </c>
      <c r="L128" s="12">
        <v>20047929</v>
      </c>
      <c r="M128" s="12" t="s">
        <v>165</v>
      </c>
      <c r="P128" s="27">
        <v>44020</v>
      </c>
      <c r="Q128" s="67">
        <v>4.1666666666666664E-2</v>
      </c>
      <c r="R128" s="115">
        <v>15</v>
      </c>
      <c r="V128" t="s">
        <v>1948</v>
      </c>
      <c r="X128" s="4">
        <v>47.620460000000001</v>
      </c>
      <c r="Y128" s="4">
        <v>-122.36398</v>
      </c>
      <c r="Z128" t="s">
        <v>148</v>
      </c>
    </row>
    <row r="129" spans="1:26" x14ac:dyDescent="0.25">
      <c r="A129" t="s">
        <v>1861</v>
      </c>
      <c r="B129" t="s">
        <v>1861</v>
      </c>
      <c r="C129" t="s">
        <v>1863</v>
      </c>
      <c r="D129" t="s">
        <v>165</v>
      </c>
      <c r="E129" t="s">
        <v>135</v>
      </c>
      <c r="G129" s="12" t="s">
        <v>89</v>
      </c>
      <c r="H129" s="12" t="s">
        <v>102</v>
      </c>
      <c r="J129" s="12" t="s">
        <v>114</v>
      </c>
      <c r="K129" s="12" t="s">
        <v>93</v>
      </c>
      <c r="L129" s="12">
        <v>8001</v>
      </c>
      <c r="M129" s="12" t="s">
        <v>165</v>
      </c>
      <c r="P129" s="27">
        <v>44015</v>
      </c>
      <c r="Q129" s="67">
        <v>4.1666666666666664E-2</v>
      </c>
      <c r="R129" s="115">
        <v>15</v>
      </c>
      <c r="V129" t="s">
        <v>1950</v>
      </c>
      <c r="X129" s="4">
        <v>47.390659999999997</v>
      </c>
      <c r="Y129" s="4">
        <v>-122.43606</v>
      </c>
      <c r="Z129" t="s">
        <v>148</v>
      </c>
    </row>
    <row r="130" spans="1:26" x14ac:dyDescent="0.25">
      <c r="A130" t="s">
        <v>1861</v>
      </c>
      <c r="B130" t="s">
        <v>1861</v>
      </c>
      <c r="C130" t="s">
        <v>1863</v>
      </c>
      <c r="D130" t="s">
        <v>165</v>
      </c>
      <c r="E130" t="s">
        <v>135</v>
      </c>
      <c r="G130" s="12" t="s">
        <v>89</v>
      </c>
      <c r="H130" s="12" t="s">
        <v>102</v>
      </c>
      <c r="J130" s="12" t="s">
        <v>114</v>
      </c>
      <c r="K130" s="12" t="s">
        <v>1062</v>
      </c>
      <c r="L130" s="12">
        <v>20331318</v>
      </c>
      <c r="M130" s="12" t="s">
        <v>165</v>
      </c>
      <c r="P130" s="27">
        <v>44015</v>
      </c>
      <c r="Q130" s="67">
        <v>4.1666666666666664E-2</v>
      </c>
      <c r="R130" s="115">
        <v>15</v>
      </c>
      <c r="V130" t="s">
        <v>1950</v>
      </c>
      <c r="X130" s="4">
        <v>47.390659999999997</v>
      </c>
      <c r="Y130" s="4">
        <v>-122.43606</v>
      </c>
      <c r="Z130" t="s">
        <v>148</v>
      </c>
    </row>
    <row r="131" spans="1:26" x14ac:dyDescent="0.25">
      <c r="A131" t="s">
        <v>1861</v>
      </c>
      <c r="B131" t="s">
        <v>1861</v>
      </c>
      <c r="C131" t="s">
        <v>1863</v>
      </c>
      <c r="D131" t="s">
        <v>165</v>
      </c>
      <c r="E131" t="s">
        <v>135</v>
      </c>
      <c r="G131" s="12" t="s">
        <v>89</v>
      </c>
      <c r="H131" s="12" t="s">
        <v>102</v>
      </c>
      <c r="J131" s="12" t="s">
        <v>114</v>
      </c>
      <c r="K131" s="12" t="s">
        <v>95</v>
      </c>
      <c r="L131" s="12">
        <v>20047935</v>
      </c>
      <c r="M131" s="12" t="s">
        <v>165</v>
      </c>
      <c r="P131" s="27">
        <v>44015</v>
      </c>
      <c r="Q131" s="67">
        <v>4.1666666666666664E-2</v>
      </c>
      <c r="R131" s="115">
        <v>15</v>
      </c>
      <c r="V131" t="s">
        <v>1950</v>
      </c>
      <c r="X131" s="4">
        <v>47.390659999999997</v>
      </c>
      <c r="Y131" s="4">
        <v>-122.43606</v>
      </c>
      <c r="Z131" t="s">
        <v>148</v>
      </c>
    </row>
    <row r="132" spans="1:26" x14ac:dyDescent="0.25">
      <c r="A132" t="s">
        <v>1862</v>
      </c>
      <c r="B132" t="s">
        <v>1862</v>
      </c>
      <c r="C132" t="s">
        <v>1863</v>
      </c>
      <c r="D132" t="s">
        <v>165</v>
      </c>
      <c r="E132" t="s">
        <v>135</v>
      </c>
      <c r="G132" s="12" t="s">
        <v>89</v>
      </c>
      <c r="H132" s="12" t="s">
        <v>102</v>
      </c>
      <c r="J132" s="12" t="s">
        <v>114</v>
      </c>
      <c r="K132" s="12" t="s">
        <v>93</v>
      </c>
      <c r="L132" s="12">
        <v>8000</v>
      </c>
      <c r="M132" s="12" t="s">
        <v>165</v>
      </c>
      <c r="P132" s="27">
        <v>44015</v>
      </c>
      <c r="Q132" s="67">
        <v>4.1666666666666664E-2</v>
      </c>
      <c r="R132" s="115">
        <v>15</v>
      </c>
      <c r="V132" t="s">
        <v>1950</v>
      </c>
      <c r="X132" s="4">
        <v>47.385919999999999</v>
      </c>
      <c r="Y132" s="4">
        <v>-122.43792999999999</v>
      </c>
      <c r="Z132" t="s">
        <v>148</v>
      </c>
    </row>
    <row r="133" spans="1:26" x14ac:dyDescent="0.25">
      <c r="A133" t="s">
        <v>1862</v>
      </c>
      <c r="B133" t="s">
        <v>1862</v>
      </c>
      <c r="C133" t="s">
        <v>1863</v>
      </c>
      <c r="D133" t="s">
        <v>165</v>
      </c>
      <c r="E133" t="s">
        <v>135</v>
      </c>
      <c r="G133" s="12" t="s">
        <v>89</v>
      </c>
      <c r="H133" s="12" t="s">
        <v>102</v>
      </c>
      <c r="J133" s="12" t="s">
        <v>114</v>
      </c>
      <c r="K133" s="12" t="s">
        <v>1062</v>
      </c>
      <c r="L133" s="12">
        <v>20331317</v>
      </c>
      <c r="M133" s="12" t="s">
        <v>165</v>
      </c>
      <c r="P133" s="27">
        <v>44015</v>
      </c>
      <c r="Q133" s="67">
        <v>4.1666666666666664E-2</v>
      </c>
      <c r="R133" s="115">
        <v>15</v>
      </c>
      <c r="V133" t="s">
        <v>1950</v>
      </c>
      <c r="X133" s="4">
        <v>47.385919999999999</v>
      </c>
      <c r="Y133" s="4">
        <v>-122.43792999999999</v>
      </c>
      <c r="Z133" t="s">
        <v>148</v>
      </c>
    </row>
    <row r="134" spans="1:26" x14ac:dyDescent="0.25">
      <c r="A134" t="s">
        <v>1862</v>
      </c>
      <c r="B134" t="s">
        <v>1862</v>
      </c>
      <c r="C134" t="s">
        <v>1863</v>
      </c>
      <c r="D134" t="s">
        <v>165</v>
      </c>
      <c r="E134" t="s">
        <v>135</v>
      </c>
      <c r="G134" s="12" t="s">
        <v>89</v>
      </c>
      <c r="H134" s="12" t="s">
        <v>102</v>
      </c>
      <c r="J134" s="12" t="s">
        <v>114</v>
      </c>
      <c r="K134" s="12" t="s">
        <v>95</v>
      </c>
      <c r="L134" s="12">
        <v>20047933</v>
      </c>
      <c r="M134" s="12" t="s">
        <v>165</v>
      </c>
      <c r="P134" s="27">
        <v>44015</v>
      </c>
      <c r="Q134" s="67">
        <v>4.1666666666666664E-2</v>
      </c>
      <c r="R134" s="115">
        <v>15</v>
      </c>
      <c r="V134" t="s">
        <v>1950</v>
      </c>
      <c r="X134" s="4">
        <v>47.385919999999999</v>
      </c>
      <c r="Y134" s="4">
        <v>-122.43792999999999</v>
      </c>
      <c r="Z134" t="s">
        <v>148</v>
      </c>
    </row>
    <row r="135" spans="1:26" x14ac:dyDescent="0.25">
      <c r="A135" t="s">
        <v>24</v>
      </c>
      <c r="B135" t="s">
        <v>1877</v>
      </c>
      <c r="C135" t="s">
        <v>1037</v>
      </c>
      <c r="D135" t="s">
        <v>165</v>
      </c>
      <c r="E135" t="s">
        <v>135</v>
      </c>
      <c r="G135" s="12" t="s">
        <v>1868</v>
      </c>
      <c r="H135" s="12" t="s">
        <v>102</v>
      </c>
      <c r="I135" s="12" t="s">
        <v>22</v>
      </c>
      <c r="J135" s="12" t="s">
        <v>114</v>
      </c>
      <c r="K135" s="12" t="s">
        <v>93</v>
      </c>
      <c r="L135" s="12">
        <v>6009</v>
      </c>
      <c r="M135" s="12" t="s">
        <v>165</v>
      </c>
      <c r="P135" s="27">
        <v>44044</v>
      </c>
      <c r="Q135" s="67">
        <v>0.375</v>
      </c>
      <c r="R135" s="115">
        <v>15</v>
      </c>
      <c r="S135" s="27">
        <v>44106</v>
      </c>
      <c r="T135" s="166">
        <v>0.5229166666666667</v>
      </c>
      <c r="U135" s="12">
        <v>-1.7</v>
      </c>
      <c r="V135" t="s">
        <v>1951</v>
      </c>
      <c r="X135" s="4">
        <v>48.593940000000003</v>
      </c>
      <c r="Y135" s="4">
        <v>-123.15505</v>
      </c>
      <c r="Z135" t="s">
        <v>148</v>
      </c>
    </row>
    <row r="136" spans="1:26" x14ac:dyDescent="0.25">
      <c r="A136" t="s">
        <v>24</v>
      </c>
      <c r="B136" t="s">
        <v>1877</v>
      </c>
      <c r="C136" t="s">
        <v>1037</v>
      </c>
      <c r="D136" t="s">
        <v>165</v>
      </c>
      <c r="E136" t="s">
        <v>135</v>
      </c>
      <c r="G136" s="12" t="s">
        <v>1868</v>
      </c>
      <c r="H136" s="12" t="s">
        <v>102</v>
      </c>
      <c r="I136" s="12" t="s">
        <v>22</v>
      </c>
      <c r="J136" s="12" t="s">
        <v>114</v>
      </c>
      <c r="K136" s="12" t="s">
        <v>1062</v>
      </c>
      <c r="L136" s="12">
        <v>20574098</v>
      </c>
      <c r="M136" s="12" t="s">
        <v>165</v>
      </c>
      <c r="P136" s="27">
        <v>44044</v>
      </c>
      <c r="Q136" s="67">
        <v>0.375</v>
      </c>
      <c r="R136" s="115">
        <v>30</v>
      </c>
      <c r="S136" s="27">
        <v>44106</v>
      </c>
      <c r="T136" s="166">
        <v>0.5229166666666667</v>
      </c>
      <c r="U136" s="12">
        <v>-1.7</v>
      </c>
      <c r="V136" t="s">
        <v>1951</v>
      </c>
      <c r="X136" s="4">
        <v>48.593940000000003</v>
      </c>
      <c r="Y136" s="4">
        <v>-123.15505</v>
      </c>
      <c r="Z136" t="s">
        <v>148</v>
      </c>
    </row>
    <row r="137" spans="1:26" x14ac:dyDescent="0.25">
      <c r="A137" t="s">
        <v>24</v>
      </c>
      <c r="B137" t="s">
        <v>1877</v>
      </c>
      <c r="C137" t="s">
        <v>1037</v>
      </c>
      <c r="D137" t="s">
        <v>165</v>
      </c>
      <c r="E137" t="s">
        <v>135</v>
      </c>
      <c r="G137" s="12" t="s">
        <v>1868</v>
      </c>
      <c r="H137" s="12" t="s">
        <v>102</v>
      </c>
      <c r="I137" s="12" t="s">
        <v>22</v>
      </c>
      <c r="J137" s="12" t="s">
        <v>114</v>
      </c>
      <c r="K137" s="12" t="s">
        <v>95</v>
      </c>
      <c r="L137" s="12">
        <v>20604504</v>
      </c>
      <c r="M137" s="12" t="s">
        <v>165</v>
      </c>
      <c r="P137" s="27">
        <v>44044</v>
      </c>
      <c r="Q137" s="67">
        <v>0.375</v>
      </c>
      <c r="R137" s="115">
        <v>30</v>
      </c>
      <c r="S137" s="27">
        <v>44106</v>
      </c>
      <c r="T137" s="166">
        <v>0.5229166666666667</v>
      </c>
      <c r="U137" s="12">
        <v>-1.7</v>
      </c>
      <c r="V137" t="s">
        <v>1951</v>
      </c>
      <c r="X137" s="4">
        <v>48.593940000000003</v>
      </c>
      <c r="Y137" s="4">
        <v>-123.15505</v>
      </c>
      <c r="Z137" t="s">
        <v>148</v>
      </c>
    </row>
    <row r="138" spans="1:26" x14ac:dyDescent="0.25">
      <c r="A138" t="s">
        <v>1869</v>
      </c>
      <c r="B138" t="s">
        <v>1871</v>
      </c>
      <c r="C138" t="s">
        <v>1870</v>
      </c>
      <c r="D138" t="s">
        <v>165</v>
      </c>
      <c r="E138" t="s">
        <v>135</v>
      </c>
      <c r="G138" s="12" t="s">
        <v>1868</v>
      </c>
      <c r="H138" s="12" t="s">
        <v>102</v>
      </c>
      <c r="I138" s="12" t="s">
        <v>22</v>
      </c>
      <c r="J138" s="12" t="s">
        <v>114</v>
      </c>
      <c r="K138" s="12" t="s">
        <v>93</v>
      </c>
      <c r="L138" s="12">
        <v>6010</v>
      </c>
      <c r="M138" s="12" t="s">
        <v>165</v>
      </c>
      <c r="P138" s="27">
        <v>44045</v>
      </c>
      <c r="Q138" s="67">
        <v>0.39583333333333331</v>
      </c>
      <c r="R138" s="115">
        <v>15</v>
      </c>
      <c r="S138" s="27">
        <v>44112</v>
      </c>
      <c r="T138" s="166">
        <v>0.60416666666666663</v>
      </c>
      <c r="U138" s="12">
        <v>-1.7</v>
      </c>
      <c r="V138" t="s">
        <v>1951</v>
      </c>
      <c r="X138" s="4">
        <v>48.578159999999997</v>
      </c>
      <c r="Y138" s="4">
        <v>-122.94099</v>
      </c>
      <c r="Z138" t="s">
        <v>148</v>
      </c>
    </row>
    <row r="139" spans="1:26" x14ac:dyDescent="0.25">
      <c r="A139" t="s">
        <v>1869</v>
      </c>
      <c r="B139" t="s">
        <v>1871</v>
      </c>
      <c r="C139" t="s">
        <v>1870</v>
      </c>
      <c r="D139" t="s">
        <v>165</v>
      </c>
      <c r="E139" t="s">
        <v>135</v>
      </c>
      <c r="G139" s="12" t="s">
        <v>1868</v>
      </c>
      <c r="H139" s="12" t="s">
        <v>102</v>
      </c>
      <c r="I139" s="12" t="s">
        <v>22</v>
      </c>
      <c r="J139" s="12" t="s">
        <v>114</v>
      </c>
      <c r="K139" s="12" t="s">
        <v>1062</v>
      </c>
      <c r="L139" s="12">
        <v>20574104</v>
      </c>
      <c r="M139" s="12" t="s">
        <v>165</v>
      </c>
      <c r="P139" s="27">
        <v>44045</v>
      </c>
      <c r="Q139" s="67">
        <v>0.39583333333333331</v>
      </c>
      <c r="R139" s="115">
        <v>30</v>
      </c>
      <c r="S139" s="27">
        <v>44112</v>
      </c>
      <c r="T139" s="166">
        <v>0.60416666666666663</v>
      </c>
      <c r="U139" s="12">
        <v>-1.7</v>
      </c>
      <c r="V139" t="s">
        <v>1951</v>
      </c>
      <c r="X139" s="4">
        <v>48.578159999999997</v>
      </c>
      <c r="Y139" s="4">
        <v>-122.94099</v>
      </c>
      <c r="Z139" t="s">
        <v>148</v>
      </c>
    </row>
    <row r="140" spans="1:26" x14ac:dyDescent="0.25">
      <c r="A140" t="s">
        <v>1869</v>
      </c>
      <c r="B140" t="s">
        <v>1871</v>
      </c>
      <c r="C140" t="s">
        <v>1870</v>
      </c>
      <c r="D140" t="s">
        <v>165</v>
      </c>
      <c r="E140" t="s">
        <v>135</v>
      </c>
      <c r="G140" s="12" t="s">
        <v>1868</v>
      </c>
      <c r="H140" s="12" t="s">
        <v>102</v>
      </c>
      <c r="I140" s="12" t="s">
        <v>22</v>
      </c>
      <c r="J140" s="12" t="s">
        <v>114</v>
      </c>
      <c r="K140" s="12" t="s">
        <v>95</v>
      </c>
      <c r="L140" s="12">
        <v>20604505</v>
      </c>
      <c r="M140" s="12" t="s">
        <v>165</v>
      </c>
      <c r="P140" s="27">
        <v>44045</v>
      </c>
      <c r="Q140" s="67">
        <v>0.39583333333333331</v>
      </c>
      <c r="R140" s="115">
        <v>30</v>
      </c>
      <c r="S140" s="27">
        <v>44112</v>
      </c>
      <c r="T140" s="166">
        <v>0.60416666666666663</v>
      </c>
      <c r="U140" s="12">
        <v>-1.7</v>
      </c>
      <c r="V140" t="s">
        <v>1951</v>
      </c>
      <c r="X140" s="4">
        <v>48.578159999999997</v>
      </c>
      <c r="Y140" s="4">
        <v>-122.94099</v>
      </c>
      <c r="Z140" t="s">
        <v>148</v>
      </c>
    </row>
    <row r="141" spans="1:26" x14ac:dyDescent="0.25">
      <c r="A141" t="s">
        <v>149</v>
      </c>
      <c r="B141" s="1" t="s">
        <v>218</v>
      </c>
      <c r="C141" t="s">
        <v>1046</v>
      </c>
      <c r="D141" t="s">
        <v>165</v>
      </c>
      <c r="E141" t="s">
        <v>135</v>
      </c>
      <c r="F141" s="12">
        <v>2017</v>
      </c>
      <c r="G141" s="12" t="s">
        <v>89</v>
      </c>
      <c r="H141" s="12" t="s">
        <v>102</v>
      </c>
      <c r="I141" s="12" t="s">
        <v>22</v>
      </c>
      <c r="J141" s="12" t="s">
        <v>114</v>
      </c>
      <c r="K141" s="12" t="s">
        <v>1062</v>
      </c>
      <c r="L141" s="12">
        <v>10777822</v>
      </c>
      <c r="M141" s="12" t="s">
        <v>165</v>
      </c>
      <c r="P141" s="27">
        <v>44033</v>
      </c>
      <c r="Q141" s="67">
        <v>0.54166666666666663</v>
      </c>
      <c r="R141" s="115">
        <v>30</v>
      </c>
      <c r="X141" s="30">
        <v>47.226010000000002</v>
      </c>
      <c r="Y141" s="30">
        <v>-122.81377000000001</v>
      </c>
      <c r="Z141" t="s">
        <v>148</v>
      </c>
    </row>
    <row r="142" spans="1:26" x14ac:dyDescent="0.25">
      <c r="A142" t="s">
        <v>149</v>
      </c>
      <c r="B142" s="1" t="s">
        <v>220</v>
      </c>
      <c r="C142" t="s">
        <v>1047</v>
      </c>
      <c r="D142" t="s">
        <v>165</v>
      </c>
      <c r="E142" t="s">
        <v>135</v>
      </c>
      <c r="F142" s="12">
        <v>2017</v>
      </c>
      <c r="G142" s="12" t="s">
        <v>87</v>
      </c>
      <c r="H142" s="12" t="s">
        <v>88</v>
      </c>
      <c r="I142" s="12" t="s">
        <v>22</v>
      </c>
      <c r="J142" s="12" t="s">
        <v>114</v>
      </c>
      <c r="K142" s="12" t="s">
        <v>1062</v>
      </c>
      <c r="L142" s="12">
        <v>10777821</v>
      </c>
      <c r="M142" s="12" t="s">
        <v>165</v>
      </c>
      <c r="P142" s="27">
        <v>44033</v>
      </c>
      <c r="Q142" s="67">
        <v>0.54166666666666663</v>
      </c>
      <c r="R142" s="115">
        <v>30</v>
      </c>
      <c r="X142" s="30">
        <v>47.222769999999997</v>
      </c>
      <c r="Y142" s="30">
        <v>-122.81052</v>
      </c>
      <c r="Z142" t="s">
        <v>148</v>
      </c>
    </row>
    <row r="143" spans="1:26" x14ac:dyDescent="0.25">
      <c r="A143" t="s">
        <v>149</v>
      </c>
      <c r="B143" s="1" t="s">
        <v>222</v>
      </c>
      <c r="C143" t="s">
        <v>1047</v>
      </c>
      <c r="D143" t="s">
        <v>165</v>
      </c>
      <c r="E143" t="s">
        <v>135</v>
      </c>
      <c r="F143" s="12">
        <v>2017</v>
      </c>
      <c r="G143" s="12" t="s">
        <v>87</v>
      </c>
      <c r="H143" s="12" t="s">
        <v>88</v>
      </c>
      <c r="I143" s="12" t="s">
        <v>22</v>
      </c>
      <c r="J143" s="12" t="s">
        <v>114</v>
      </c>
      <c r="K143" s="12" t="s">
        <v>1062</v>
      </c>
      <c r="L143" s="12">
        <v>10777818</v>
      </c>
      <c r="M143" s="12" t="s">
        <v>165</v>
      </c>
      <c r="P143" s="27">
        <v>44033</v>
      </c>
      <c r="Q143" s="67">
        <v>0.54166666666666663</v>
      </c>
      <c r="R143" s="115">
        <v>30</v>
      </c>
      <c r="X143" s="30">
        <v>47.221080000000001</v>
      </c>
      <c r="Y143" s="30">
        <v>-122.80929</v>
      </c>
      <c r="Z143" t="s">
        <v>148</v>
      </c>
    </row>
    <row r="144" spans="1:26" x14ac:dyDescent="0.25">
      <c r="A144" t="s">
        <v>149</v>
      </c>
      <c r="B144" s="1" t="s">
        <v>218</v>
      </c>
      <c r="C144" t="s">
        <v>1046</v>
      </c>
      <c r="D144" t="s">
        <v>165</v>
      </c>
      <c r="E144" t="s">
        <v>135</v>
      </c>
      <c r="F144" s="12">
        <v>2017</v>
      </c>
      <c r="G144" s="12" t="s">
        <v>89</v>
      </c>
      <c r="H144" s="12" t="s">
        <v>102</v>
      </c>
      <c r="I144" s="12" t="s">
        <v>22</v>
      </c>
      <c r="J144" s="12" t="s">
        <v>114</v>
      </c>
      <c r="K144" s="12" t="s">
        <v>95</v>
      </c>
      <c r="L144" s="12">
        <v>20359586</v>
      </c>
      <c r="M144" s="12" t="s">
        <v>165</v>
      </c>
      <c r="P144" s="27">
        <v>44033</v>
      </c>
      <c r="Q144" s="67">
        <v>0.54166666666666663</v>
      </c>
      <c r="R144" s="115">
        <v>30</v>
      </c>
      <c r="X144" s="30">
        <v>47.226010000000002</v>
      </c>
      <c r="Y144" s="30">
        <v>-122.81377000000001</v>
      </c>
      <c r="Z144" t="s">
        <v>148</v>
      </c>
    </row>
    <row r="145" spans="1:26" x14ac:dyDescent="0.25">
      <c r="A145" t="s">
        <v>149</v>
      </c>
      <c r="B145" s="1" t="s">
        <v>220</v>
      </c>
      <c r="C145" t="s">
        <v>1047</v>
      </c>
      <c r="D145" t="s">
        <v>165</v>
      </c>
      <c r="E145" t="s">
        <v>135</v>
      </c>
      <c r="F145" s="12">
        <v>2017</v>
      </c>
      <c r="G145" s="12" t="s">
        <v>87</v>
      </c>
      <c r="H145" s="12" t="s">
        <v>88</v>
      </c>
      <c r="I145" s="12" t="s">
        <v>22</v>
      </c>
      <c r="J145" s="12" t="s">
        <v>114</v>
      </c>
      <c r="K145" s="12" t="s">
        <v>95</v>
      </c>
      <c r="L145" s="12">
        <v>20359585</v>
      </c>
      <c r="M145" s="12" t="s">
        <v>165</v>
      </c>
      <c r="P145" s="27">
        <v>44033</v>
      </c>
      <c r="Q145" s="67">
        <v>0.54166666666666663</v>
      </c>
      <c r="R145" s="115">
        <v>30</v>
      </c>
      <c r="X145" s="30">
        <v>47.222769999999997</v>
      </c>
      <c r="Y145" s="30">
        <v>-122.81052</v>
      </c>
      <c r="Z145" t="s">
        <v>148</v>
      </c>
    </row>
    <row r="146" spans="1:26" x14ac:dyDescent="0.25">
      <c r="A146" t="s">
        <v>149</v>
      </c>
      <c r="B146" s="1" t="s">
        <v>222</v>
      </c>
      <c r="C146" t="s">
        <v>1047</v>
      </c>
      <c r="D146" t="s">
        <v>165</v>
      </c>
      <c r="E146" t="s">
        <v>135</v>
      </c>
      <c r="F146" s="12">
        <v>2017</v>
      </c>
      <c r="G146" s="12" t="s">
        <v>87</v>
      </c>
      <c r="H146" s="12" t="s">
        <v>88</v>
      </c>
      <c r="I146" s="12" t="s">
        <v>22</v>
      </c>
      <c r="J146" s="12" t="s">
        <v>114</v>
      </c>
      <c r="K146" s="12" t="s">
        <v>95</v>
      </c>
      <c r="L146" s="12">
        <v>20359584</v>
      </c>
      <c r="M146" s="12" t="s">
        <v>165</v>
      </c>
      <c r="P146" s="27">
        <v>44033</v>
      </c>
      <c r="Q146" s="67">
        <v>0.54166666666666663</v>
      </c>
      <c r="R146" s="115">
        <v>30</v>
      </c>
      <c r="X146" s="30">
        <v>47.221080000000001</v>
      </c>
      <c r="Y146" s="30">
        <v>-122.80929</v>
      </c>
      <c r="Z146" t="s">
        <v>148</v>
      </c>
    </row>
    <row r="147" spans="1:26" x14ac:dyDescent="0.25">
      <c r="A147" t="s">
        <v>24</v>
      </c>
      <c r="B147" t="s">
        <v>1877</v>
      </c>
      <c r="C147" t="s">
        <v>1037</v>
      </c>
      <c r="D147" t="s">
        <v>165</v>
      </c>
      <c r="E147" t="s">
        <v>135</v>
      </c>
      <c r="G147" s="12" t="s">
        <v>1868</v>
      </c>
      <c r="H147" s="12" t="s">
        <v>102</v>
      </c>
      <c r="I147" s="12" t="s">
        <v>22</v>
      </c>
      <c r="J147" s="12" t="s">
        <v>114</v>
      </c>
      <c r="K147" s="12" t="s">
        <v>93</v>
      </c>
      <c r="L147" s="12">
        <v>8001</v>
      </c>
      <c r="M147" s="12" t="s">
        <v>165</v>
      </c>
      <c r="N147" s="27">
        <v>44277</v>
      </c>
      <c r="O147" s="67">
        <v>4.1666666666666664E-2</v>
      </c>
      <c r="R147" s="115">
        <v>15</v>
      </c>
      <c r="U147" s="12">
        <v>-1.7</v>
      </c>
    </row>
    <row r="148" spans="1:26" x14ac:dyDescent="0.25">
      <c r="A148" t="s">
        <v>24</v>
      </c>
      <c r="B148" t="s">
        <v>1877</v>
      </c>
      <c r="C148" t="s">
        <v>1037</v>
      </c>
      <c r="D148" t="s">
        <v>165</v>
      </c>
      <c r="E148" t="s">
        <v>135</v>
      </c>
      <c r="G148" s="12" t="s">
        <v>1868</v>
      </c>
      <c r="H148" s="12" t="s">
        <v>102</v>
      </c>
      <c r="I148" s="12" t="s">
        <v>22</v>
      </c>
      <c r="J148" s="12" t="s">
        <v>114</v>
      </c>
      <c r="K148" s="12" t="s">
        <v>1062</v>
      </c>
      <c r="L148" s="12">
        <v>20331319</v>
      </c>
      <c r="M148" s="12" t="s">
        <v>165</v>
      </c>
      <c r="N148" s="27">
        <v>44277</v>
      </c>
      <c r="O148" s="67">
        <v>4.1666666666666664E-2</v>
      </c>
      <c r="R148" s="115">
        <v>15</v>
      </c>
      <c r="U148" s="12">
        <v>-1.7</v>
      </c>
    </row>
    <row r="149" spans="1:26" x14ac:dyDescent="0.25">
      <c r="A149" t="s">
        <v>24</v>
      </c>
      <c r="B149" t="s">
        <v>1877</v>
      </c>
      <c r="C149" t="s">
        <v>1037</v>
      </c>
      <c r="D149" t="s">
        <v>165</v>
      </c>
      <c r="E149" t="s">
        <v>135</v>
      </c>
      <c r="G149" s="12" t="s">
        <v>1868</v>
      </c>
      <c r="H149" s="12" t="s">
        <v>102</v>
      </c>
      <c r="I149" s="12" t="s">
        <v>22</v>
      </c>
      <c r="J149" s="12" t="s">
        <v>114</v>
      </c>
      <c r="K149" s="12" t="s">
        <v>95</v>
      </c>
      <c r="L149" s="12">
        <v>20047930</v>
      </c>
      <c r="M149" s="12" t="s">
        <v>165</v>
      </c>
      <c r="N149" s="27">
        <v>44277</v>
      </c>
      <c r="O149" s="67">
        <v>4.1666666666666664E-2</v>
      </c>
      <c r="R149" s="115">
        <v>30</v>
      </c>
      <c r="U149" s="12">
        <v>-1.7</v>
      </c>
    </row>
    <row r="150" spans="1:26" x14ac:dyDescent="0.25">
      <c r="A150" t="s">
        <v>1869</v>
      </c>
      <c r="B150" t="s">
        <v>1871</v>
      </c>
      <c r="C150" t="s">
        <v>1870</v>
      </c>
      <c r="D150" t="s">
        <v>165</v>
      </c>
      <c r="E150" t="s">
        <v>135</v>
      </c>
      <c r="G150" s="12" t="s">
        <v>1868</v>
      </c>
      <c r="H150" s="12" t="s">
        <v>102</v>
      </c>
      <c r="I150" s="12" t="s">
        <v>22</v>
      </c>
      <c r="J150" s="12" t="s">
        <v>114</v>
      </c>
      <c r="K150" s="12" t="s">
        <v>93</v>
      </c>
      <c r="L150" s="12">
        <v>8002</v>
      </c>
      <c r="M150" s="12" t="s">
        <v>165</v>
      </c>
      <c r="N150" s="27">
        <v>44277</v>
      </c>
      <c r="O150" s="67">
        <v>4.1666666666666664E-2</v>
      </c>
      <c r="R150" s="115">
        <v>15</v>
      </c>
      <c r="U150" s="12">
        <v>-1.7</v>
      </c>
    </row>
    <row r="151" spans="1:26" x14ac:dyDescent="0.25">
      <c r="A151" t="s">
        <v>1869</v>
      </c>
      <c r="B151" t="s">
        <v>1871</v>
      </c>
      <c r="C151" t="s">
        <v>1870</v>
      </c>
      <c r="D151" t="s">
        <v>165</v>
      </c>
      <c r="E151" t="s">
        <v>135</v>
      </c>
      <c r="G151" s="12" t="s">
        <v>1868</v>
      </c>
      <c r="H151" s="12" t="s">
        <v>102</v>
      </c>
      <c r="I151" s="12" t="s">
        <v>22</v>
      </c>
      <c r="J151" s="12" t="s">
        <v>114</v>
      </c>
      <c r="K151" s="12" t="s">
        <v>1062</v>
      </c>
      <c r="L151" s="12">
        <v>20331320</v>
      </c>
      <c r="M151" s="12" t="s">
        <v>165</v>
      </c>
      <c r="N151" s="27">
        <v>44277</v>
      </c>
      <c r="O151" s="67">
        <v>4.1666666666666664E-2</v>
      </c>
      <c r="R151" s="115">
        <v>15</v>
      </c>
      <c r="U151" s="12">
        <v>-1.7</v>
      </c>
    </row>
    <row r="152" spans="1:26" x14ac:dyDescent="0.25">
      <c r="A152" t="s">
        <v>1869</v>
      </c>
      <c r="B152" t="s">
        <v>1871</v>
      </c>
      <c r="C152" t="s">
        <v>1870</v>
      </c>
      <c r="D152" t="s">
        <v>165</v>
      </c>
      <c r="E152" t="s">
        <v>135</v>
      </c>
      <c r="G152" s="12" t="s">
        <v>1868</v>
      </c>
      <c r="H152" s="12" t="s">
        <v>102</v>
      </c>
      <c r="I152" s="12" t="s">
        <v>22</v>
      </c>
      <c r="J152" s="12" t="s">
        <v>114</v>
      </c>
      <c r="K152" s="12" t="s">
        <v>95</v>
      </c>
      <c r="L152" s="12">
        <v>20047930</v>
      </c>
      <c r="M152" s="12" t="s">
        <v>165</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5" x14ac:dyDescent="0.25"/>
  <cols>
    <col min="1" max="1" width="15" bestFit="1" customWidth="1"/>
    <col min="3" max="3" width="227.5703125" bestFit="1" customWidth="1"/>
    <col min="4" max="4" width="84.42578125" customWidth="1"/>
    <col min="5" max="5" width="10.28515625" bestFit="1" customWidth="1"/>
  </cols>
  <sheetData>
    <row r="1" spans="1:4" x14ac:dyDescent="0.25">
      <c r="A1" s="111" t="s">
        <v>464</v>
      </c>
      <c r="B1" s="111" t="s">
        <v>980</v>
      </c>
      <c r="C1" s="111" t="s">
        <v>981</v>
      </c>
      <c r="D1" s="111" t="s">
        <v>1920</v>
      </c>
    </row>
    <row r="3" spans="1:4" x14ac:dyDescent="0.25">
      <c r="A3" t="s">
        <v>993</v>
      </c>
      <c r="C3" t="s">
        <v>994</v>
      </c>
    </row>
    <row r="4" spans="1:4" x14ac:dyDescent="0.25">
      <c r="A4" t="s">
        <v>529</v>
      </c>
      <c r="C4" t="s">
        <v>1922</v>
      </c>
    </row>
    <row r="8" spans="1:4" x14ac:dyDescent="0.25">
      <c r="D8" t="s">
        <v>1980</v>
      </c>
    </row>
    <row r="9" spans="1:4" x14ac:dyDescent="0.25">
      <c r="A9" t="s">
        <v>530</v>
      </c>
      <c r="B9">
        <v>77</v>
      </c>
      <c r="C9" t="s">
        <v>1961</v>
      </c>
      <c r="D9" t="s">
        <v>1980</v>
      </c>
    </row>
    <row r="10" spans="1:4" x14ac:dyDescent="0.25">
      <c r="A10" t="s">
        <v>530</v>
      </c>
      <c r="B10" t="s">
        <v>1962</v>
      </c>
      <c r="C10" t="s">
        <v>1963</v>
      </c>
      <c r="D10" t="s">
        <v>1980</v>
      </c>
    </row>
    <row r="11" spans="1:4" x14ac:dyDescent="0.25">
      <c r="A11" t="s">
        <v>539</v>
      </c>
      <c r="B11">
        <v>50</v>
      </c>
      <c r="C11" t="s">
        <v>1964</v>
      </c>
      <c r="D11" t="s">
        <v>1980</v>
      </c>
    </row>
    <row r="12" spans="1:4" x14ac:dyDescent="0.25">
      <c r="A12" t="s">
        <v>539</v>
      </c>
      <c r="B12">
        <v>25</v>
      </c>
      <c r="C12" t="s">
        <v>1965</v>
      </c>
      <c r="D12" t="s">
        <v>1981</v>
      </c>
    </row>
    <row r="13" spans="1:4" x14ac:dyDescent="0.25">
      <c r="A13" t="s">
        <v>529</v>
      </c>
      <c r="C13" t="s">
        <v>1966</v>
      </c>
      <c r="D13" t="s">
        <v>1980</v>
      </c>
    </row>
    <row r="14" spans="1:4" x14ac:dyDescent="0.25">
      <c r="A14" t="s">
        <v>1967</v>
      </c>
      <c r="B14" t="s">
        <v>1968</v>
      </c>
      <c r="C14" t="s">
        <v>1969</v>
      </c>
      <c r="D14" t="s">
        <v>1980</v>
      </c>
    </row>
    <row r="15" spans="1:4" x14ac:dyDescent="0.25">
      <c r="A15" t="s">
        <v>1967</v>
      </c>
      <c r="B15" s="155" t="s">
        <v>1970</v>
      </c>
      <c r="C15" t="s">
        <v>1971</v>
      </c>
      <c r="D15" t="s">
        <v>1980</v>
      </c>
    </row>
    <row r="16" spans="1:4" x14ac:dyDescent="0.25">
      <c r="A16" t="s">
        <v>1972</v>
      </c>
      <c r="C16" t="s">
        <v>1973</v>
      </c>
      <c r="D16" t="s">
        <v>1980</v>
      </c>
    </row>
    <row r="17" spans="1:4" x14ac:dyDescent="0.25">
      <c r="D17" t="s">
        <v>1980</v>
      </c>
    </row>
    <row r="18" spans="1:4" x14ac:dyDescent="0.25">
      <c r="A18" t="s">
        <v>539</v>
      </c>
      <c r="B18" s="155"/>
      <c r="C18" t="s">
        <v>1974</v>
      </c>
      <c r="D18" t="s">
        <v>1980</v>
      </c>
    </row>
    <row r="19" spans="1:4" x14ac:dyDescent="0.25">
      <c r="A19" t="s">
        <v>962</v>
      </c>
      <c r="B19" s="155"/>
      <c r="C19" t="s">
        <v>1975</v>
      </c>
      <c r="D19" t="s">
        <v>1980</v>
      </c>
    </row>
    <row r="20" spans="1:4" x14ac:dyDescent="0.25">
      <c r="A20" t="s">
        <v>993</v>
      </c>
      <c r="C20" t="s">
        <v>1976</v>
      </c>
      <c r="D20" t="s">
        <v>1980</v>
      </c>
    </row>
    <row r="21" spans="1:4" x14ac:dyDescent="0.25">
      <c r="A21" t="s">
        <v>539</v>
      </c>
      <c r="C21" t="s">
        <v>1977</v>
      </c>
      <c r="D21" t="s">
        <v>1980</v>
      </c>
    </row>
    <row r="22" spans="1:4" x14ac:dyDescent="0.25">
      <c r="A22" t="s">
        <v>539</v>
      </c>
      <c r="B22" s="155"/>
      <c r="C22" t="s">
        <v>1978</v>
      </c>
      <c r="D22" t="s">
        <v>1980</v>
      </c>
    </row>
    <row r="23" spans="1:4" x14ac:dyDescent="0.25">
      <c r="A23" t="s">
        <v>529</v>
      </c>
      <c r="C23" t="s">
        <v>1979</v>
      </c>
      <c r="D23" t="s">
        <v>1980</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85</v>
      </c>
      <c r="B1" s="111" t="s">
        <v>1952</v>
      </c>
      <c r="C1" s="111" t="s">
        <v>1953</v>
      </c>
      <c r="D1" s="111" t="s">
        <v>1954</v>
      </c>
      <c r="E1" s="111" t="s">
        <v>1955</v>
      </c>
      <c r="F1" s="111" t="s">
        <v>1956</v>
      </c>
      <c r="G1" s="111"/>
    </row>
    <row r="3" spans="1:7" x14ac:dyDescent="0.25">
      <c r="A3" t="s">
        <v>1957</v>
      </c>
      <c r="B3" t="s">
        <v>94</v>
      </c>
      <c r="C3">
        <v>10777821</v>
      </c>
      <c r="D3" s="27">
        <v>42527</v>
      </c>
      <c r="E3" t="s">
        <v>1958</v>
      </c>
    </row>
    <row r="4" spans="1:7" x14ac:dyDescent="0.25">
      <c r="A4" t="s">
        <v>651</v>
      </c>
      <c r="B4" t="s">
        <v>91</v>
      </c>
      <c r="C4" s="12" t="s">
        <v>1958</v>
      </c>
      <c r="D4" s="27">
        <v>41733</v>
      </c>
      <c r="E4" s="27">
        <v>42526</v>
      </c>
      <c r="F4" t="s">
        <v>1959</v>
      </c>
    </row>
    <row r="5" spans="1:7" x14ac:dyDescent="0.25">
      <c r="A5" t="s">
        <v>651</v>
      </c>
      <c r="B5" t="s">
        <v>91</v>
      </c>
      <c r="C5" s="12" t="s">
        <v>1958</v>
      </c>
      <c r="D5" s="27">
        <v>41733</v>
      </c>
      <c r="E5" s="27">
        <v>42526</v>
      </c>
      <c r="F5" t="s">
        <v>1959</v>
      </c>
    </row>
    <row r="6" spans="1:7" x14ac:dyDescent="0.25">
      <c r="A6" t="s">
        <v>651</v>
      </c>
      <c r="B6" t="s">
        <v>1960</v>
      </c>
      <c r="C6">
        <v>39817</v>
      </c>
      <c r="D6" s="27">
        <v>42055</v>
      </c>
      <c r="E6" s="27">
        <v>42090</v>
      </c>
      <c r="F6" t="s">
        <v>49</v>
      </c>
    </row>
    <row r="7" spans="1:7" x14ac:dyDescent="0.25">
      <c r="A7" t="s">
        <v>651</v>
      </c>
      <c r="B7" t="s">
        <v>1960</v>
      </c>
      <c r="C7">
        <v>39818</v>
      </c>
      <c r="D7" s="27">
        <v>42055</v>
      </c>
      <c r="E7" s="27">
        <v>42090</v>
      </c>
      <c r="F7" t="s">
        <v>49</v>
      </c>
    </row>
    <row r="8" spans="1:7" x14ac:dyDescent="0.25">
      <c r="A8" t="s">
        <v>661</v>
      </c>
      <c r="B8" t="s">
        <v>1960</v>
      </c>
      <c r="C8">
        <v>4598</v>
      </c>
      <c r="D8" s="27">
        <v>42296</v>
      </c>
      <c r="E8" s="27">
        <v>42476</v>
      </c>
      <c r="F8" t="s">
        <v>49</v>
      </c>
    </row>
    <row r="9" spans="1:7" x14ac:dyDescent="0.25">
      <c r="A9" t="s">
        <v>661</v>
      </c>
      <c r="B9" t="s">
        <v>1960</v>
      </c>
      <c r="C9">
        <v>4587</v>
      </c>
      <c r="D9" s="27">
        <v>42296</v>
      </c>
      <c r="E9" s="27">
        <v>42476</v>
      </c>
      <c r="F9" t="s">
        <v>49</v>
      </c>
    </row>
    <row r="10" spans="1:7" x14ac:dyDescent="0.25">
      <c r="A10" t="s">
        <v>661</v>
      </c>
      <c r="B10" t="s">
        <v>1960</v>
      </c>
      <c r="C10">
        <v>4593</v>
      </c>
      <c r="D10" s="27">
        <v>42296</v>
      </c>
      <c r="E10" s="27">
        <v>42476</v>
      </c>
      <c r="F10" t="s">
        <v>49</v>
      </c>
    </row>
    <row r="11" spans="1:7" x14ac:dyDescent="0.25">
      <c r="A11" t="s">
        <v>24</v>
      </c>
      <c r="B11" t="s">
        <v>1960</v>
      </c>
      <c r="C11" s="12" t="s">
        <v>1958</v>
      </c>
      <c r="D11" s="12" t="s">
        <v>1958</v>
      </c>
      <c r="E11" s="12" t="s">
        <v>1958</v>
      </c>
      <c r="F11" t="s">
        <v>49</v>
      </c>
    </row>
    <row r="12" spans="1:7" x14ac:dyDescent="0.25">
      <c r="A12" t="s">
        <v>83</v>
      </c>
      <c r="B12" t="s">
        <v>1960</v>
      </c>
      <c r="C12" s="12" t="s">
        <v>1958</v>
      </c>
      <c r="D12" s="12" t="s">
        <v>1958</v>
      </c>
      <c r="E12" s="12" t="s">
        <v>1958</v>
      </c>
      <c r="F12" t="s">
        <v>49</v>
      </c>
    </row>
    <row r="13" spans="1:7" x14ac:dyDescent="0.25">
      <c r="A13" t="s">
        <v>149</v>
      </c>
      <c r="B13" t="s">
        <v>1960</v>
      </c>
      <c r="C13" s="19">
        <v>6436</v>
      </c>
      <c r="D13" s="27">
        <v>42527</v>
      </c>
      <c r="E13" s="12" t="s">
        <v>1958</v>
      </c>
      <c r="F13" t="s">
        <v>165</v>
      </c>
    </row>
    <row r="14" spans="1:7" x14ac:dyDescent="0.25">
      <c r="A14" t="s">
        <v>149</v>
      </c>
      <c r="B14" t="s">
        <v>1960</v>
      </c>
      <c r="C14" s="19">
        <v>6437</v>
      </c>
      <c r="D14" s="27">
        <v>42527</v>
      </c>
      <c r="E14" s="12" t="s">
        <v>1958</v>
      </c>
      <c r="F14" t="s">
        <v>165</v>
      </c>
    </row>
    <row r="18" spans="1:1" x14ac:dyDescent="0.25">
      <c r="A18" t="s">
        <v>2142</v>
      </c>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5" x14ac:dyDescent="0.25"/>
  <cols>
    <col min="1" max="1" width="35.7109375" customWidth="1"/>
    <col min="2" max="8" width="12.42578125" customWidth="1"/>
    <col min="9" max="12" width="18.85546875" customWidth="1"/>
  </cols>
  <sheetData>
    <row r="1" spans="1:8" ht="45" x14ac:dyDescent="0.25">
      <c r="A1" s="98" t="s">
        <v>2143</v>
      </c>
      <c r="B1" s="231" t="s">
        <v>2144</v>
      </c>
      <c r="C1" s="231" t="s">
        <v>2145</v>
      </c>
      <c r="D1" s="231" t="s">
        <v>2146</v>
      </c>
      <c r="E1" s="231" t="s">
        <v>2147</v>
      </c>
      <c r="F1" s="231" t="s">
        <v>2148</v>
      </c>
      <c r="G1" s="231" t="s">
        <v>2149</v>
      </c>
      <c r="H1" s="231" t="s">
        <v>2150</v>
      </c>
    </row>
    <row r="2" spans="1:8" x14ac:dyDescent="0.25">
      <c r="A2" t="s">
        <v>9</v>
      </c>
      <c r="B2">
        <v>17</v>
      </c>
      <c r="C2">
        <v>14</v>
      </c>
      <c r="D2">
        <v>3</v>
      </c>
      <c r="E2" s="232">
        <f>D2/C2</f>
        <v>0.21428571428571427</v>
      </c>
      <c r="F2">
        <v>3</v>
      </c>
      <c r="G2">
        <v>1</v>
      </c>
      <c r="H2" s="232">
        <f>IFERROR(G2/F2,"" )</f>
        <v>0.33333333333333331</v>
      </c>
    </row>
    <row r="3" spans="1:8" x14ac:dyDescent="0.25">
      <c r="A3" t="s">
        <v>1869</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391</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540</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78</v>
      </c>
      <c r="B9">
        <v>1</v>
      </c>
      <c r="C9">
        <v>1</v>
      </c>
      <c r="D9">
        <v>1</v>
      </c>
      <c r="E9" s="232">
        <f t="shared" si="0"/>
        <v>1</v>
      </c>
      <c r="H9" s="232" t="str">
        <f t="shared" si="1"/>
        <v/>
      </c>
    </row>
    <row r="10" spans="1:8" x14ac:dyDescent="0.25">
      <c r="A10" t="s">
        <v>164</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167</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141</v>
      </c>
      <c r="B14">
        <v>1</v>
      </c>
      <c r="C14">
        <v>4</v>
      </c>
      <c r="D14">
        <v>0</v>
      </c>
      <c r="E14" s="232">
        <f t="shared" si="0"/>
        <v>0</v>
      </c>
      <c r="H14" s="232" t="str">
        <f t="shared" si="1"/>
        <v/>
      </c>
    </row>
    <row r="15" spans="1:8" x14ac:dyDescent="0.25">
      <c r="A15" t="s">
        <v>2154</v>
      </c>
      <c r="B15">
        <v>1</v>
      </c>
      <c r="C15">
        <v>28</v>
      </c>
      <c r="D15">
        <v>18</v>
      </c>
      <c r="E15" s="232">
        <f t="shared" si="0"/>
        <v>0.6428571428571429</v>
      </c>
      <c r="F15">
        <v>6</v>
      </c>
      <c r="G15">
        <v>6</v>
      </c>
      <c r="H15" s="232">
        <f t="shared" si="1"/>
        <v>1</v>
      </c>
    </row>
    <row r="16" spans="1:8" x14ac:dyDescent="0.25">
      <c r="A16" t="s">
        <v>2008</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151</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398</v>
      </c>
      <c r="B20">
        <v>1</v>
      </c>
      <c r="C20">
        <v>2</v>
      </c>
      <c r="D20">
        <v>2</v>
      </c>
      <c r="E20" s="232">
        <f t="shared" si="0"/>
        <v>1</v>
      </c>
      <c r="H20" s="232" t="str">
        <f t="shared" si="1"/>
        <v/>
      </c>
    </row>
    <row r="21" spans="1:8" x14ac:dyDescent="0.25">
      <c r="A21" t="s">
        <v>2041</v>
      </c>
      <c r="B21">
        <v>1</v>
      </c>
      <c r="C21">
        <v>4</v>
      </c>
      <c r="D21">
        <v>4</v>
      </c>
      <c r="E21" s="232">
        <f t="shared" si="0"/>
        <v>1</v>
      </c>
      <c r="H21" s="232" t="str">
        <f t="shared" si="1"/>
        <v/>
      </c>
    </row>
    <row r="22" spans="1:8" x14ac:dyDescent="0.25">
      <c r="A22" t="s">
        <v>2151</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380</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2132</v>
      </c>
      <c r="B27">
        <v>1</v>
      </c>
      <c r="C27">
        <v>2</v>
      </c>
      <c r="D27">
        <v>2</v>
      </c>
      <c r="E27" s="232">
        <f t="shared" si="0"/>
        <v>1</v>
      </c>
      <c r="H27" s="232" t="str">
        <f t="shared" si="1"/>
        <v/>
      </c>
    </row>
    <row r="28" spans="1:8" x14ac:dyDescent="0.25">
      <c r="A28" t="s">
        <v>79</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146</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2152</v>
      </c>
      <c r="C34">
        <f>SUM(C2:C32)</f>
        <v>169</v>
      </c>
      <c r="F34">
        <f>SUM(F2:F32)</f>
        <v>25</v>
      </c>
      <c r="H34" s="232"/>
    </row>
    <row r="35" spans="1:8" x14ac:dyDescent="0.25">
      <c r="A35" t="s">
        <v>2153</v>
      </c>
      <c r="E35" s="233">
        <f>AVERAGE(E2:E32)</f>
        <v>0.32106374807987714</v>
      </c>
      <c r="H35" s="232">
        <f>AVERAGE(H2:H32)</f>
        <v>0.52083333333333326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E98ED6-1E02-48B2-934B-0130A8E40B59}">
  <ds:schemaRefs>
    <ds:schemaRef ds:uri="e0aabb31-843e-4b20-97d4-262512983ec3"/>
    <ds:schemaRef ds:uri="http://schemas.microsoft.com/office/2006/documentManagement/types"/>
    <ds:schemaRef ds:uri="87cd7973-78a7-42cd-842b-f08c057b6c52"/>
    <ds:schemaRef ds:uri="http://schemas.openxmlformats.org/package/2006/metadata/core-propertie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2B1918-AC38-4278-8194-3B9D945C11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 GPS Points</vt:lpstr>
      <vt:lpstr>Plantings</vt:lpstr>
      <vt:lpstr>Monitoring</vt:lpstr>
      <vt:lpstr>Donor Sites</vt:lpstr>
      <vt:lpstr>Sensors</vt:lpstr>
      <vt:lpstr>Questions &amp; Follow-up</vt:lpstr>
      <vt:lpstr>Missing Data</vt:lpstr>
      <vt:lpstr>SuccessRates</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Pete Dowty</cp:lastModifiedBy>
  <dcterms:created xsi:type="dcterms:W3CDTF">2016-09-26T16:28:31Z</dcterms:created>
  <dcterms:modified xsi:type="dcterms:W3CDTF">2026-03-13T18:05:12Z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