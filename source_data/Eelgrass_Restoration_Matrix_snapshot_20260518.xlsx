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109" documentId="13_ncr:1_{0F8B3BDD-6B84-4067-B779-7F00A835CBDB}" xr6:coauthVersionLast="47" xr6:coauthVersionMax="47" xr10:uidLastSave="{58A75462-0E82-44F4-8758-4F485E0F4776}"/>
  <bookViews>
    <workbookView xWindow="0" yWindow="90" windowWidth="26505" windowHeight="15390"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17" l="1"/>
  <c r="C160" i="17"/>
  <c r="C161" i="17"/>
  <c r="C162" i="17"/>
  <c r="C163" i="17"/>
  <c r="C164" i="17"/>
  <c r="C165" i="17"/>
  <c r="C166" i="17"/>
  <c r="C167" i="17"/>
  <c r="C168" i="17"/>
  <c r="C169" i="17"/>
  <c r="C170"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<sst xmlns="http://schemas.openxmlformats.org/spreadsheetml/2006/main" count="17623" uniqueCount="2497">
  <si>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</si>
  <si>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</si>
  <si>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</si>
  <si>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</si>
  <si>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</si>
  <si>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</si>
  <si>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</si>
  <si>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</si>
  <si>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</si>
  <si>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</si>
  <si>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</si>
  <si>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</si>
  <si>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</si>
  <si>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</si>
  <si>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</si>
  <si>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</si>
  <si>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</si>
  <si>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</si>
  <si>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</si>
  <si>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</si>
  <si>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</si>
  <si>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</si>
  <si>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</si>
  <si>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</si>
  <si>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</si>
  <si>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</si>
  <si>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</si>
  <si>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</si>
  <si>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</si>
  <si>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</si>
  <si>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</si>
  <si>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</si>
  <si>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</si>
  <si>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</si>
  <si>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</si>
  <si>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</si>
  <si>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</si>
  <si>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</si>
  <si>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</si>
  <si>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</si>
  <si>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</si>
  <si>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</si>
  <si>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</si>
  <si>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</si>
  <si>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</si>
  <si>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</si>
  <si>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</si>
  <si>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</si>
  <si>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</si>
  <si>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</si>
  <si>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</si>
  <si>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</si>
  <si>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</si>
  <si>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</si>
  <si>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</si>
  <si>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</si>
  <si>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</si>
  <si>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</si>
  <si>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</si>
  <si>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</si>
  <si>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</si>
  <si>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</si>
  <si>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</si>
  <si>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</si>
  <si>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</si>
  <si>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</si>
  <si>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</si>
  <si>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</si>
  <si>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</si>
  <si>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</si>
  <si>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</si>
  <si>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</si>
  <si>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</si>
  <si>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</si>
  <si>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</si>
  <si>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</si>
  <si>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</si>
  <si>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</si>
  <si>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</si>
  <si>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</si>
  <si>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</si>
  <si>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</si>
  <si>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</si>
  <si>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</si>
  <si>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</si>
  <si>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</si>
  <si>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</si>
  <si>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</si>
  <si>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</si>
  <si>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</si>
  <si>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</si>
  <si>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</si>
  <si>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</si>
  <si>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</si>
  <si>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</si>
  <si>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</si>
  <si>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</si>
  <si>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</si>
  <si>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</si>
  <si>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</si>
  <si>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</si>
  <si>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</si>
  <si>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</si>
  <si>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</si>
  <si>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</si>
  <si>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</si>
  <si>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</si>
  <si>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</si>
  <si>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</si>
  <si>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</si>
  <si>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</si>
  <si>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</si>
  <si>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</si>
  <si>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</si>
  <si>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</si>
  <si>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</si>
  <si>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</si>
  <si>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</si>
  <si>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</si>
  <si>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</si>
  <si>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</si>
  <si>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</si>
  <si>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</si>
  <si>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</si>
  <si>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</si>
  <si>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</si>
  <si>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</si>
  <si>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</si>
  <si>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</si>
  <si>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</si>
  <si>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</si>
  <si>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</si>
  <si>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</si>
  <si>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</si>
  <si>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</si>
  <si>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</si>
  <si>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</si>
  <si>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</si>
  <si>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</si>
  <si>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</si>
  <si>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</si>
  <si>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</si>
  <si>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</si>
  <si>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</si>
  <si>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</si>
  <si>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</si>
  <si>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</si>
  <si>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</si>
  <si>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</si>
  <si>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</si>
  <si>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</si>
  <si>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</si>
  <si>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</si>
  <si>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</si>
  <si>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</si>
  <si>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</si>
  <si>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</si>
  <si>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</si>
  <si>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</si>
  <si>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</si>
  <si>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</si>
  <si>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</si>
  <si>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</si>
  <si>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</si>
  <si>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</si>
  <si>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</si>
  <si>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</si>
  <si>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</si>
  <si>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</si>
  <si>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</si>
  <si>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</si>
  <si>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</si>
  <si>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</si>
  <si>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</si>
  <si>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</si>
  <si>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</si>
  <si>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</si>
  <si>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</si>
  <si>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</si>
  <si>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</si>
  <si>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</si>
  <si>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</si>
  <si>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</si>
  <si>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</si>
  <si>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</si>
  <si>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</si>
  <si>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</si>
  <si>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</si>
  <si>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</si>
  <si>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</si>
  <si>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</si>
  <si>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</si>
  <si>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</si>
  <si>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</si>
  <si>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</si>
  <si>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</si>
  <si>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</si>
  <si>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</si>
  <si>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</si>
  <si>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</si>
  <si>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</si>
  <si>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</si>
  <si>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</si>
  <si>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</si>
  <si>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</si>
  <si>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</si>
  <si>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</si>
  <si>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</si>
  <si>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</si>
  <si>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</si>
  <si>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</si>
  <si>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</si>
  <si>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</si>
  <si>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</si>
  <si>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</si>
  <si>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</si>
  <si>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</si>
  <si>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</si>
  <si>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</si>
  <si>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</si>
  <si>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</si>
  <si>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</si>
  <si>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</si>
  <si>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</si>
  <si>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</si>
  <si>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</si>
  <si>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</si>
  <si>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</si>
  <si>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</si>
  <si>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</si>
  <si>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</si>
  <si>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</si>
  <si>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</si>
  <si>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</si>
  <si>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</si>
  <si>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</si>
  <si>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</si>
  <si>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</si>
  <si>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</si>
  <si>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</si>
  <si>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</si>
  <si>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</si>
  <si>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</si>
  <si>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</si>
  <si>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</si>
  <si>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</si>
  <si>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</si>
  <si>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</si>
  <si>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</si>
  <si>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</si>
  <si>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</si>
  <si>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</si>
  <si>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</si>
  <si>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</si>
  <si>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</si>
  <si>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</si>
  <si>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</si>
  <si>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</si>
  <si>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</si>
  <si>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</si>
  <si>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</si>
  <si>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</si>
  <si>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</si>
  <si>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</si>
  <si>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</si>
  <si>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</si>
  <si>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</si>
  <si>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</si>
  <si>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</si>
  <si>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</si>
  <si>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</si>
  <si>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</si>
  <si>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</si>
  <si>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</si>
  <si>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</si>
  <si>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</si>
  <si>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</si>
  <si>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</si>
  <si>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</si>
  <si>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</si>
  <si>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</si>
  <si>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</si>
  <si>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</si>
  <si>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</si>
  <si>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</si>
  <si>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</si>
  <si>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</si>
  <si>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</si>
  <si>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</si>
  <si>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</si>
  <si>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</si>
  <si>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</si>
  <si>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</si>
  <si>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</si>
  <si>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</si>
  <si>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</si>
  <si>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</si>
  <si>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</si>
  <si>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</si>
  <si>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</si>
  <si>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</si>
  <si>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</si>
  <si>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</si>
  <si>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</si>
  <si>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</si>
  <si>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</si>
  <si>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</si>
  <si>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</si>
  <si>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</si>
  <si>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</si>
  <si>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</si>
  <si>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</si>
  <si>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</si>
  <si>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</si>
  <si>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</si>
  <si>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</si>
  <si>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</si>
  <si>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</si>
  <si>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</si>
  <si>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</si>
  <si>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</si>
  <si>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</si>
  <si>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</si>
  <si>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</si>
  <si>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</si>
  <si>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</si>
  <si>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</si>
  <si>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</si>
  <si>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</si>
  <si>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</si>
  <si>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</si>
  <si>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</si>
  <si>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</si>
  <si>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</si>
  <si>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</si>
  <si>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</si>
  <si>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</si>
  <si>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</si>
  <si>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</si>
  <si>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</si>
  <si>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</si>
  <si>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</si>
  <si>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</si>
  <si>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</si>
  <si>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</si>
  <si>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</si>
  <si>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</si>
  <si>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</si>
  <si>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</si>
  <si>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</si>
  <si>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</si>
  <si>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</si>
  <si>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</si>
  <si>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</si>
  <si>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</si>
  <si>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</si>
  <si>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</si>
  <si>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</si>
  <si>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</si>
  <si>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</si>
  <si>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</si>
  <si>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</si>
  <si>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</si>
  <si>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</si>
  <si>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</si>
  <si>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</si>
  <si>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</si>
  <si>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</si>
  <si>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</si>
  <si>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</si>
  <si>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</si>
  <si>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</si>
  <si>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</si>
  <si>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</si>
  <si>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</si>
  <si>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</si>
  <si>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</si>
  <si>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</si>
  <si>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</si>
  <si>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</si>
  <si>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</si>
  <si>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</si>
  <si>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</si>
  <si>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</si>
  <si>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</si>
  <si>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</si>
  <si>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</si>
  <si>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</si>
  <si>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</si>
  <si>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</si>
  <si>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</si>
  <si>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</si>
  <si>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</si>
  <si>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</si>
  <si>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</si>
  <si>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</si>
  <si>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</si>
  <si>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</si>
  <si>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</si>
  <si>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</si>
  <si>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</si>
  <si>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</si>
  <si>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</si>
  <si>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</si>
  <si>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</si>
  <si>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</si>
  <si>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</si>
  <si>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</si>
  <si>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</si>
  <si>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</si>
  <si>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</si>
  <si>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</si>
  <si>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</si>
  <si>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</si>
  <si>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</si>
  <si>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</si>
  <si>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</si>
  <si>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</si>
  <si>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</si>
  <si>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</si>
  <si>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</si>
  <si>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</si>
  <si>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</si>
  <si>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</si>
  <si>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</si>
  <si>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</si>
  <si>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</si>
  <si>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</si>
  <si>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</si>
  <si>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</si>
  <si>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</si>
  <si>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</si>
  <si>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</si>
  <si>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</si>
  <si>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</si>
  <si>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</si>
  <si>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</si>
  <si>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</si>
  <si>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</si>
  <si>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</si>
  <si>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</si>
  <si>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</si>
  <si>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</si>
  <si>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</si>
  <si>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</si>
  <si>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</si>
  <si>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</si>
  <si>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</si>
  <si>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</si>
  <si>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</si>
  <si>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</si>
  <si>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</si>
  <si>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</si>
  <si>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</si>
  <si>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</si>
  <si>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</si>
  <si>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</si>
  <si>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</si>
  <si>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</si>
  <si>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</si>
  <si>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</si>
  <si>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</si>
  <si>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</si>
  <si>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</si>
  <si>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</si>
  <si>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</si>
  <si>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</si>
  <si>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</si>
  <si>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</si>
  <si>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</si>
  <si>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</si>
  <si>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</si>
  <si>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</si>
  <si>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</si>
  <si>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</si>
  <si>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</si>
  <si>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</si>
  <si>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</si>
  <si>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</si>
  <si>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</si>
  <si>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</si>
  <si>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</si>
  <si>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</si>
  <si>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</si>
  <si>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</si>
  <si>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</si>
  <si>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</si>
  <si>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</si>
  <si>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</si>
  <si>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</si>
  <si>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</si>
  <si>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</si>
  <si>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</si>
  <si>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</si>
  <si>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</si>
  <si>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</si>
  <si>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</si>
  <si>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</si>
  <si>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</si>
  <si>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</si>
  <si>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</si>
  <si>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</si>
  <si>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</si>
  <si>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</si>
  <si>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</si>
  <si>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</si>
  <si>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</si>
  <si>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</si>
  <si>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</si>
  <si>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</si>
  <si>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</si>
  <si>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</si>
  <si>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</si>
  <si>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</si>
  <si>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</si>
  <si>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</si>
  <si>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</si>
  <si>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</si>
  <si>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</si>
  <si>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</si>
  <si>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</si>
  <si>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</si>
  <si>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</si>
  <si>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</si>
  <si>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</si>
  <si>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</si>
  <si>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</si>
  <si>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</si>
  <si>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</si>
  <si>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</si>
  <si>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</si>
  <si>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</si>
  <si>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</si>
  <si>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</si>
  <si>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</si>
  <si>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</si>
  <si>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</si>
  <si>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</si>
  <si>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</si>
  <si>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</si>
  <si>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</si>
  <si>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</si>
  <si>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</si>
  <si>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</si>
  <si>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</si>
  <si>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</si>
  <si>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</si>
  <si>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</si>
  <si>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</si>
  <si>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</si>
  <si>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</si>
  <si>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</si>
  <si>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</si>
  <si>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</si>
  <si>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</si>
  <si>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</si>
  <si>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</si>
  <si>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</si>
  <si>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</si>
  <si>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</si>
  <si>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</si>
  <si>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</si>
  <si>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</si>
  <si>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</si>
  <si>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</si>
  <si>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</si>
  <si>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</si>
  <si>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</si>
  <si>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</si>
  <si>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</si>
  <si>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</si>
  <si>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</si>
  <si>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</si>
  <si>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</si>
  <si>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</si>
  <si>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</si>
  <si>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</si>
  <si>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</si>
  <si>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</si>
  <si>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</si>
  <si>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</si>
  <si>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</si>
  <si>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</si>
  <si>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</si>
  <si>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</si>
  <si>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</si>
  <si>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</si>
  <si>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</si>
  <si>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</si>
  <si>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</si>
  <si>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</si>
  <si>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</si>
  <si>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</si>
  <si>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</si>
  <si>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</si>
  <si>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</si>
  <si>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</si>
  <si>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</si>
  <si>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</si>
  <si>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</si>
  <si>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</si>
  <si>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</si>
  <si>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</si>
  <si>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</si>
  <si>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</si>
  <si>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</si>
  <si>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</si>
  <si>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</si>
  <si>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</si>
  <si>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</si>
  <si>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</si>
  <si>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</si>
  <si>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</si>
  <si>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</si>
  <si>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</si>
  <si>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</si>
  <si>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</si>
  <si>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</si>
  <si>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</si>
  <si>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</si>
  <si>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</si>
  <si>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</si>
  <si>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</si>
  <si>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</si>
  <si>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</si>
  <si>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</si>
  <si>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</si>
  <si>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</si>
  <si>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</si>
  <si>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</si>
  <si>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</si>
  <si>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</si>
  <si>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</si>
  <si>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</si>
  <si>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</si>
  <si>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</si>
  <si>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</si>
  <si>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</si>
  <si>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</si>
  <si>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</si>
  <si>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</si>
  <si>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</si>
  <si>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</si>
  <si>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</si>
  <si>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</si>
  <si>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</si>
  <si>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</si>
  <si>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</si>
  <si>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</si>
  <si>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</si>
  <si>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</si>
  <si>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</si>
  <si>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</si>
  <si>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</si>
  <si>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</si>
  <si>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</si>
  <si>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</si>
  <si>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</si>
  <si>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</si>
  <si>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</si>
  <si>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</si>
  <si>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</si>
  <si>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</si>
  <si>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</si>
  <si>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</si>
  <si>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</si>
  <si>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</si>
  <si>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</si>
  <si>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</si>
  <si>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</si>
  <si>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</si>
  <si>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</si>
  <si>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</si>
  <si>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</si>
  <si>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</si>
  <si>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</si>
  <si>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</si>
  <si>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</si>
  <si>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</si>
  <si>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</si>
  <si>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</si>
  <si>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</si>
  <si>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</si>
  <si>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</si>
  <si>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</si>
  <si>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</si>
  <si>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</si>
  <si>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</si>
  <si>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</si>
  <si>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</si>
  <si>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</si>
  <si>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</si>
  <si>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</si>
  <si>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</si>
  <si>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</si>
  <si>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</si>
  <si>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</si>
  <si>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</si>
  <si>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</si>
  <si>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</si>
  <si>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</si>
  <si>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</si>
  <si>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</si>
  <si>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</si>
  <si>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</si>
  <si>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</si>
  <si>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</si>
  <si>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</si>
  <si>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</si>
  <si>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</si>
  <si>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</si>
  <si>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</si>
  <si>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</si>
  <si>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</si>
  <si>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</si>
  <si>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</si>
  <si>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</si>
  <si>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</si>
  <si>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</si>
  <si>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</si>
  <si>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</si>
  <si>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</si>
  <si>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</si>
  <si>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</si>
  <si>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</si>
  <si>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</si>
  <si>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</si>
  <si>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</si>
  <si>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</si>
  <si>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</si>
  <si>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</si>
  <si>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</si>
  <si>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</si>
  <si>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</si>
  <si>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</si>
  <si>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</si>
  <si>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</si>
  <si>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</si>
  <si>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</si>
  <si>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</si>
  <si>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</si>
  <si>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</si>
  <si>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</si>
  <si>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</si>
  <si>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</si>
  <si>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</si>
  <si>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</si>
  <si>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</si>
  <si>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</si>
  <si>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</si>
  <si>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</si>
  <si>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</si>
  <si>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</si>
  <si>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</si>
  <si>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</si>
  <si>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</si>
  <si>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</si>
  <si>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</si>
  <si>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</si>
  <si>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</si>
  <si>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</si>
  <si>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</si>
  <si>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</si>
  <si>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</si>
  <si>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</si>
  <si>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</si>
  <si>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</si>
  <si>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</si>
  <si>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</si>
  <si>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</si>
  <si>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</si>
  <si>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</si>
  <si>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</si>
  <si>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</si>
  <si>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</si>
  <si>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</si>
  <si>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</si>
  <si>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</si>
  <si>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</si>
  <si>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</si>
  <si>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</si>
  <si>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</si>
  <si>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</si>
  <si>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</si>
  <si>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</si>
  <si>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</si>
  <si>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</si>
  <si>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</si>
  <si>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</si>
  <si>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</si>
  <si>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</si>
  <si>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</si>
  <si>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</si>
  <si>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</si>
  <si>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</si>
  <si>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</si>
  <si>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</si>
  <si>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</si>
  <si>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</si>
  <si>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</si>
  <si>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</si>
  <si>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</si>
  <si>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</si>
  <si>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</si>
  <si>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</si>
  <si>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</si>
  <si>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</si>
  <si>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</si>
  <si>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</si>
  <si>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</si>
  <si>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</si>
  <si>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</si>
  <si>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</si>
  <si>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</si>
  <si>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</si>
  <si>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</si>
  <si>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</si>
  <si>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</si>
  <si>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</si>
  <si>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</si>
  <si>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</si>
  <si>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</si>
  <si>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</si>
  <si>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</si>
  <si>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</si>
  <si>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</si>
  <si>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</si>
  <si>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</si>
  <si>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</si>
  <si>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</si>
  <si>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</si>
  <si>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</si>
  <si>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</si>
  <si>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</si>
  <si>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</si>
  <si>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</si>
  <si>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</si>
  <si>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</si>
  <si>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</si>
  <si>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</si>
  <si>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</si>
  <si>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</si>
  <si>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</si>
  <si>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</si>
  <si>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</si>
  <si>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</si>
  <si>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</si>
  <si>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</si>
  <si>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</si>
  <si>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</si>
  <si>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</si>
  <si>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</si>
  <si>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</si>
  <si>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</si>
  <si>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</si>
  <si>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</si>
  <si>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</si>
  <si>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</si>
  <si>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</si>
  <si>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</si>
  <si>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</si>
  <si>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</si>
  <si>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</si>
  <si>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</si>
  <si>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</si>
  <si>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</si>
  <si>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</si>
  <si>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</si>
  <si>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</si>
  <si>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</si>
  <si>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</si>
  <si>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</si>
  <si>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</si>
  <si>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</si>
  <si>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</si>
  <si>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</si>
  <si>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</si>
  <si>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</si>
  <si>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</si>
  <si>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</si>
  <si>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</si>
  <si>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</si>
  <si>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</si>
  <si>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</si>
  <si>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</si>
  <si>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</si>
  <si>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</si>
  <si>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</si>
  <si>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</si>
  <si>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</si>
  <si>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</si>
  <si>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</si>
  <si>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</si>
  <si>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</si>
  <si>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</si>
  <si>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</si>
  <si>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</si>
  <si>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</si>
  <si>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</si>
  <si>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</si>
  <si>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</si>
  <si>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</si>
  <si>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</si>
  <si>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</si>
  <si>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</si>
  <si>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</si>
  <si>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</si>
  <si>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</si>
  <si>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</si>
  <si>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</si>
  <si>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</si>
  <si>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</si>
  <si>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</si>
  <si>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</si>
  <si>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</si>
  <si>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</si>
  <si>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</si>
  <si>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</si>
  <si>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</si>
  <si>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</si>
  <si>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</si>
  <si>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</si>
  <si>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</si>
  <si>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</si>
  <si>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</si>
  <si>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</si>
  <si>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</si>
  <si>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</si>
  <si>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</si>
  <si>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</si>
  <si>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</si>
  <si>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</si>
  <si>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</si>
  <si>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</si>
  <si>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</si>
  <si>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</si>
  <si>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</si>
  <si>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</si>
  <si>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</si>
  <si>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</si>
  <si>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</si>
  <si>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</si>
  <si>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</si>
  <si>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</si>
  <si>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</si>
  <si>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</si>
  <si>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</si>
  <si>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</si>
  <si>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</si>
  <si>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</si>
  <si>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</si>
  <si>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</si>
  <si>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</si>
  <si>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</si>
  <si>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</si>
  <si>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</si>
  <si>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</si>
  <si>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</si>
  <si>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</si>
  <si>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</si>
  <si>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</si>
  <si>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</si>
  <si>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</si>
  <si>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</si>
  <si>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</si>
  <si>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</si>
  <si>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</si>
  <si>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</si>
  <si>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</si>
  <si>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</si>
  <si>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</si>
  <si>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</si>
  <si>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</si>
  <si>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</si>
  <si>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</si>
  <si>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</si>
  <si>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</si>
  <si>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</si>
  <si>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</si>
  <si>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</si>
  <si>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</si>
  <si>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</si>
  <si>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</si>
  <si>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</si>
  <si>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</si>
  <si>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</si>
  <si>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</si>
  <si>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</si>
  <si>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</si>
  <si>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</si>
  <si>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</si>
  <si>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</si>
  <si>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</si>
  <si>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</si>
  <si>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</si>
  <si>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</si>
  <si>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</si>
  <si>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</si>
  <si>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</si>
  <si>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</si>
  <si>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</si>
  <si>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</si>
  <si>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</si>
  <si>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</si>
  <si>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</si>
  <si>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</si>
  <si>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</si>
  <si>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</si>
  <si>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</si>
  <si>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</si>
  <si>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</si>
  <si>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</si>
  <si>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</si>
  <si>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</si>
  <si>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</si>
  <si>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</si>
  <si>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</si>
  <si>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</si>
  <si>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</si>
  <si>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</si>
  <si>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</si>
  <si>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</si>
  <si>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</si>
  <si>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</si>
  <si>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</si>
  <si>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</si>
  <si>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</si>
  <si>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</si>
  <si>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</si>
  <si>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</si>
  <si>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</si>
  <si>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</si>
  <si>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</si>
  <si>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</si>
  <si>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</si>
  <si>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</si>
  <si>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</si>
  <si>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</si>
  <si>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</si>
  <si>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</si>
  <si>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</si>
  <si>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</si>
  <si>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</si>
  <si>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</si>
  <si>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</si>
  <si>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</si>
  <si>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</si>
  <si>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</si>
  <si>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</si>
  <si>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</si>
  <si>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</si>
  <si>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</si>
  <si>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</si>
  <si>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</si>
  <si>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</si>
  <si>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</si>
  <si>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</si>
  <si>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</si>
  <si>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</si>
  <si>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</si>
  <si>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</si>
  <si>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</si>
  <si>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</si>
  <si>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</si>
  <si>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</si>
  <si>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</si>
  <si>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</si>
  <si>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</si>
  <si>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</si>
  <si>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</si>
  <si>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</si>
  <si>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</si>
  <si>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</si>
  <si>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</si>
  <si>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</si>
  <si>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</si>
  <si>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</si>
  <si>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</si>
  <si>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</si>
  <si>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</si>
  <si>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</si>
  <si>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</si>
  <si>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</si>
  <si>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</si>
  <si>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</si>
  <si>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</si>
  <si>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</si>
  <si>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</si>
  <si>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</si>
  <si>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</si>
  <si>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</si>
  <si>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</si>
  <si>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</si>
  <si>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</si>
  <si>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</si>
  <si>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</si>
  <si>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</si>
  <si>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</si>
  <si>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</si>
  <si>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</si>
  <si>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</si>
  <si>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</si>
  <si>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</si>
  <si>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</si>
  <si>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</si>
  <si>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</si>
  <si>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</si>
  <si>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</si>
  <si>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</si>
  <si>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</si>
  <si>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</si>
  <si>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</si>
  <si>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</si>
  <si>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</si>
  <si>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</si>
  <si>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</si>
  <si>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</si>
  <si>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</si>
  <si>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</si>
  <si>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</si>
  <si>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</si>
  <si>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</si>
  <si>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</si>
  <si>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</si>
  <si>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</si>
  <si>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</si>
  <si>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</si>
  <si>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</si>
  <si>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</si>
  <si>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</si>
  <si>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</si>
  <si>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</si>
  <si>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</si>
  <si>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</si>
  <si>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</si>
  <si>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</si>
  <si>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</si>
  <si>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</si>
  <si>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</si>
  <si>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</si>
  <si>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</si>
  <si>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</si>
  <si>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</si>
  <si>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</si>
  <si>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</si>
  <si>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</si>
  <si>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</si>
  <si>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</si>
  <si>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</si>
  <si>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</si>
  <si>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</si>
  <si>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</si>
  <si>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</si>
  <si>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</si>
  <si>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</si>
  <si>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</si>
  <si>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</si>
  <si>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</si>
  <si>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</si>
  <si>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</si>
  <si>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</si>
  <si>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</si>
  <si>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</si>
  <si>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</si>
  <si>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</si>
  <si>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</si>
  <si>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</si>
  <si>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</si>
  <si>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</si>
  <si>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</si>
  <si>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</si>
  <si>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</si>
  <si>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</si>
  <si>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</si>
  <si>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</si>
  <si>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</si>
  <si>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</si>
  <si>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</si>
  <si>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</si>
  <si>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</si>
  <si>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</si>
  <si>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</si>
  <si>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</si>
  <si>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</si>
  <si>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</si>
  <si>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</si>
  <si>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</si>
  <si>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</si>
  <si>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</si>
  <si>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</si>
  <si>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</si>
  <si>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</si>
  <si>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</si>
  <si>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</si>
  <si>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</si>
  <si>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</si>
  <si>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</si>
  <si>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</si>
  <si>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</si>
  <si>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</si>
  <si>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</si>
  <si>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</si>
  <si>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</si>
  <si>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</si>
  <si>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</si>
  <si>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</si>
  <si>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</si>
  <si>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</si>
  <si>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</si>
  <si>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</si>
  <si>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</si>
  <si>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</si>
  <si>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</si>
  <si>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</si>
  <si>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</si>
  <si>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</si>
  <si>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</si>
  <si>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</si>
  <si>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</si>
  <si>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</si>
  <si>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</si>
  <si>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</si>
  <si>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</si>
  <si>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</si>
  <si>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</si>
  <si>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</si>
  <si>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</si>
  <si>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</si>
  <si>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</si>
  <si>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</si>
  <si>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</si>
  <si>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</si>
  <si>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</si>
  <si>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</si>
  <si>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</si>
  <si>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</si>
  <si>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</si>
  <si>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</si>
  <si>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</si>
  <si>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</si>
  <si>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</si>
  <si>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</si>
  <si>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</si>
  <si>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</si>
  <si>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</si>
  <si>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</si>
  <si>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</si>
  <si>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</si>
  <si>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</si>
  <si>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</si>
  <si>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</si>
  <si>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</si>
  <si>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</si>
  <si>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</si>
  <si>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</si>
  <si>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</si>
  <si>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</si>
  <si>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</si>
  <si>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</si>
  <si>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</si>
  <si>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</si>
  <si>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</si>
  <si>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</si>
  <si>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</si>
  <si>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</si>
  <si>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</si>
  <si>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</si>
  <si>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</si>
  <si>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</si>
  <si>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</si>
  <si>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</si>
  <si>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</si>
  <si>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</si>
  <si>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</si>
  <si>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</si>
  <si>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</si>
  <si>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</si>
  <si>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</si>
  <si>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</si>
  <si>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</si>
  <si>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</si>
  <si>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</si>
  <si>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</si>
  <si>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</si>
  <si>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</si>
  <si>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</si>
  <si>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</si>
  <si>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</si>
  <si>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</si>
  <si>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</si>
  <si>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</si>
  <si>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</si>
  <si>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</si>
  <si>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</si>
  <si>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</si>
  <si>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</si>
  <si>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</si>
  <si>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</si>
  <si>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</si>
  <si>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</si>
  <si>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</si>
  <si>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</si>
  <si>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</si>
  <si>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</si>
  <si>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</si>
  <si>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</si>
  <si>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</si>
  <si>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</si>
  <si>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</si>
  <si>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</si>
  <si>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</si>
  <si>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</si>
  <si>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</si>
  <si>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</si>
  <si>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</si>
  <si>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</si>
  <si>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</si>
  <si>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</si>
  <si>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</si>
  <si>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</si>
  <si>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</si>
  <si>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</si>
  <si>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</si>
  <si>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</si>
  <si>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</si>
  <si>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</si>
  <si>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</si>
  <si>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</si>
  <si>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</si>
  <si>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</si>
  <si>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</si>
  <si>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</si>
  <si>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</si>
  <si>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</si>
  <si>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</si>
  <si>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</si>
  <si>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</si>
  <si>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</si>
  <si>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</si>
  <si>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</si>
  <si>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</si>
  <si>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</si>
  <si>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</si>
  <si>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</si>
  <si>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</si>
  <si>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</si>
  <si>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</si>
  <si>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</si>
  <si>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</si>
  <si>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</si>
  <si>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</si>
  <si>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</si>
  <si>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</si>
  <si>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</si>
  <si>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</si>
  <si>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</si>
  <si>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</si>
  <si>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</si>
  <si>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</si>
  <si>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</si>
  <si>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</si>
  <si>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</si>
  <si>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</si>
  <si>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</si>
  <si>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</si>
  <si>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</si>
  <si>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</si>
  <si>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</si>
  <si>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</si>
  <si>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</si>
  <si>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</si>
  <si>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</si>
  <si>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</si>
  <si>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</si>
  <si>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</si>
  <si>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</si>
  <si>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</si>
  <si>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</si>
  <si>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</si>
  <si>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</si>
  <si>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</si>
  <si>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</si>
  <si>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</si>
  <si>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</si>
  <si>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</si>
  <si>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</si>
  <si>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</si>
  <si>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</si>
  <si>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</si>
  <si>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</si>
  <si>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</si>
  <si>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</si>
  <si>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</si>
  <si>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</si>
  <si>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</si>
  <si>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</si>
  <si>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</si>
  <si>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</si>
  <si>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</si>
  <si>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</si>
  <si>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</si>
  <si>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</si>
  <si>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</si>
  <si>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</si>
  <si>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</si>
  <si>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</si>
  <si>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</si>
  <si>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</si>
  <si>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</si>
  <si>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</si>
  <si>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</si>
  <si>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</si>
  <si>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</si>
  <si>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</si>
  <si>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</si>
  <si>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</si>
  <si>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</si>
  <si>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</si>
  <si>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</si>
  <si>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</si>
  <si>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</si>
  <si>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</si>
  <si>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</si>
  <si>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</si>
  <si>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</si>
  <si>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</si>
  <si>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</si>
  <si>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</si>
  <si>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</si>
  <si>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</si>
  <si>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</si>
  <si>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</si>
  <si>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</si>
  <si>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</si>
  <si>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</si>
  <si>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</si>
  <si>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</si>
  <si>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</si>
  <si>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</si>
  <si>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</si>
  <si>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</si>
  <si>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</si>
  <si>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</si>
  <si>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</si>
  <si>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</si>
  <si>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</si>
  <si>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</si>
  <si>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</si>
  <si>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</si>
  <si>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</si>
  <si>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</si>
  <si>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</si>
  <si>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</si>
  <si>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</si>
  <si>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</si>
  <si>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</si>
  <si>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</si>
  <si>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</si>
  <si>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</si>
  <si>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</si>
  <si>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</si>
  <si>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</si>
  <si>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</si>
  <si>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</si>
  <si>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</si>
  <si>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</si>
  <si>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</si>
  <si>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</si>
  <si>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</si>
  <si>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</si>
  <si>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</si>
  <si>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</si>
  <si>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</si>
  <si>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</si>
  <si>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</si>
  <si>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</si>
  <si>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</si>
  <si>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</si>
  <si>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</si>
  <si>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</si>
  <si>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</si>
  <si>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</si>
  <si>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</si>
  <si>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</si>
  <si>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</si>
  <si>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</si>
  <si>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</si>
  <si>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</si>
  <si>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</si>
  <si>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</si>
  <si>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</si>
  <si>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</si>
  <si>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</si>
  <si>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</si>
  <si>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</si>
  <si>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</si>
  <si>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</si>
  <si>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</si>
  <si>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</si>
  <si>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</si>
  <si>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</si>
  <si>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</si>
  <si>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</si>
  <si>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</si>
  <si>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</si>
  <si>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</si>
  <si>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</si>
  <si>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</si>
  <si>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</si>
  <si>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</si>
  <si>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</si>
  <si>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</si>
  <si>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</si>
  <si>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</si>
  <si>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</si>
  <si>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</si>
  <si>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</si>
  <si>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</si>
  <si>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</si>
  <si>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</si>
  <si>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</si>
  <si>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</si>
  <si>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</si>
  <si>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</si>
  <si>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</si>
  <si>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</si>
  <si>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</si>
  <si>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</si>
  <si>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</si>
  <si>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</si>
  <si>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</si>
  <si>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</si>
  <si>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</si>
  <si>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</si>
  <si>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</si>
  <si>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</si>
  <si>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</si>
  <si>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</si>
  <si>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</si>
  <si>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</si>
  <si>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</si>
  <si>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</si>
  <si>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</si>
  <si>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</si>
  <si>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</si>
  <si>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</si>
  <si>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</si>
  <si>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</si>
  <si>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</si>
  <si>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</si>
  <si>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</si>
  <si>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</si>
  <si>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</si>
  <si>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</si>
  <si>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</si>
  <si>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</si>
  <si>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</si>
  <si>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</si>
  <si>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</si>
  <si>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</si>
  <si>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</si>
  <si>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</si>
  <si>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</si>
  <si>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</si>
  <si>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</si>
  <si>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</si>
  <si>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</si>
  <si>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</si>
  <si>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</si>
  <si>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</si>
  <si>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</si>
  <si>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</si>
  <si>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</si>
  <si>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</si>
  <si>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</si>
  <si>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</si>
  <si>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</si>
  <si>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</si>
  <si>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</si>
  <si>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</si>
  <si>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</si>
  <si>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</si>
  <si>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</si>
  <si>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</si>
  <si>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</si>
  <si>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</si>
  <si>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</si>
  <si>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</si>
  <si>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</si>
  <si>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</si>
  <si>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</si>
  <si>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</si>
  <si>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</si>
  <si>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</si>
  <si>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</si>
  <si>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</si>
  <si>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</si>
  <si>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</si>
  <si>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</si>
  <si>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</si>
  <si>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</si>
  <si>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</si>
  <si>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</si>
  <si>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</si>
  <si>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</si>
  <si>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</si>
  <si>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</si>
  <si>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</si>
  <si>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</si>
  <si>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</si>
  <si>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</si>
  <si>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</si>
  <si>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</si>
  <si>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</si>
  <si>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</si>
  <si>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</si>
  <si>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</si>
  <si>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</si>
  <si>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</si>
  <si>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</si>
  <si>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</si>
  <si>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</si>
  <si>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</si>
  <si>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</si>
  <si>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</si>
  <si>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</si>
  <si>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</si>
  <si>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</si>
  <si>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</si>
  <si>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</si>
  <si>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</si>
  <si>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</si>
  <si>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</si>
  <si>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</si>
  <si>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</si>
  <si>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</si>
  <si>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</si>
  <si>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</si>
  <si>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</si>
  <si>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</si>
  <si>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</si>
  <si>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</si>
  <si>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</si>
  <si>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</si>
  <si>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</si>
  <si>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</si>
  <si>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</si>
  <si>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</si>
  <si>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</si>
  <si>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</si>
  <si>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</si>
  <si>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</si>
  <si>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</si>
  <si>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</si>
  <si>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</si>
  <si>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</si>
  <si>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</si>
  <si>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</si>
  <si>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</si>
  <si>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</si>
  <si>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</si>
  <si>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</si>
  <si>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</si>
  <si>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</si>
  <si>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</si>
  <si>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</si>
  <si>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</si>
  <si>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</si>
  <si>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</si>
  <si>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</si>
  <si>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</si>
  <si>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</si>
  <si>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</si>
  <si>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</si>
  <si>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</si>
  <si>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</si>
  <si>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</si>
  <si>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</si>
  <si>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</si>
  <si>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</si>
  <si>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</si>
  <si>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</si>
  <si>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</si>
  <si>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</si>
  <si>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</si>
  <si>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</si>
  <si>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</si>
  <si>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</si>
  <si>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</si>
  <si>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</si>
  <si>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</si>
  <si>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</si>
  <si>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</si>
  <si>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</si>
  <si>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</si>
  <si>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</si>
  <si>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</si>
  <si>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</si>
  <si>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</si>
  <si>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</si>
  <si>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</si>
  <si>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</si>
  <si>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</si>
  <si>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</si>
  <si>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</si>
  <si>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</si>
  <si>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</si>
  <si>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</si>
  <si>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</si>
  <si>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</si>
  <si>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</si>
  <si>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</si>
  <si>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</si>
  <si>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</si>
  <si>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</si>
  <si>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</si>
  <si>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</si>
  <si>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</si>
  <si>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</si>
  <si>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</si>
  <si>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</si>
  <si>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</si>
  <si>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</si>
  <si>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</si>
  <si>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</si>
  <si>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</si>
  <si>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</si>
  <si>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</si>
  <si>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</si>
  <si>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</si>
  <si>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</si>
  <si>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</si>
  <si>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</si>
  <si>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</si>
  <si>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</si>
  <si>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</si>
  <si>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</si>
  <si>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</si>
  <si>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</si>
  <si>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</si>
  <si>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</si>
  <si>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</si>
  <si>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</si>
  <si>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</si>
  <si>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</si>
  <si>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</si>
  <si>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</si>
  <si>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</si>
  <si>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</si>
  <si>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</si>
  <si>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</si>
  <si>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</si>
  <si>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</si>
  <si>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</si>
  <si>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</si>
  <si>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</si>
  <si>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</si>
  <si>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</si>
  <si>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</si>
  <si>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</si>
  <si>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</si>
  <si>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</si>
  <si>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</si>
  <si>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</si>
  <si>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</si>
  <si>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</si>
  <si>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</si>
  <si>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</si>
  <si>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</si>
  <si>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</si>
  <si>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</si>
  <si>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</si>
  <si>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</si>
  <si>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</si>
  <si>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</si>
  <si>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</si>
  <si>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</si>
  <si>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</si>
  <si>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</si>
  <si>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</si>
  <si>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</si>
  <si>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</si>
  <si>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</si>
  <si>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</si>
  <si>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</si>
  <si>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</si>
  <si>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</si>
  <si>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</si>
  <si>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</si>
  <si>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</si>
  <si>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</si>
  <si>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</si>
  <si>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</si>
  <si>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</si>
  <si>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</si>
  <si>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</si>
  <si>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</si>
  <si>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</si>
  <si>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</si>
  <si>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</si>
  <si>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</si>
  <si>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</si>
  <si>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</si>
  <si>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</si>
  <si>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</si>
  <si>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</si>
  <si>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</si>
  <si>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</si>
  <si>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</si>
  <si>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</si>
  <si>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</si>
  <si>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</si>
  <si>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</si>
  <si>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</si>
  <si>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</si>
  <si>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</si>
  <si>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</si>
  <si>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</si>
  <si>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</si>
  <si>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</si>
  <si>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</si>
  <si>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</si>
  <si>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</si>
  <si>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</si>
  <si>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</si>
  <si>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</si>
  <si>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</si>
  <si>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</si>
  <si>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</si>
  <si>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</si>
  <si>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</si>
  <si>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</si>
  <si>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</si>
  <si>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</si>
  <si>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</si>
  <si>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</si>
  <si>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</si>
  <si>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</si>
  <si>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</si>
  <si>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</si>
  <si>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</si>
  <si>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</si>
  <si>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</si>
  <si>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</si>
  <si>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</si>
  <si>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</si>
  <si>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</si>
  <si>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</si>
  <si>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</si>
  <si>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</si>
  <si>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</si>
  <si>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</si>
  <si>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</si>
  <si>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</si>
  <si>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</si>
  <si>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</si>
  <si>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</si>
  <si>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</si>
  <si>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</si>
  <si>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</si>
  <si>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</si>
  <si>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</si>
  <si>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</si>
  <si>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</si>
  <si>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</si>
  <si>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</si>
  <si>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</si>
  <si>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</si>
  <si>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</si>
  <si>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</si>
  <si>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</si>
  <si>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</si>
  <si>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</si>
  <si>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</si>
  <si>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</si>
  <si>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</si>
  <si>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</si>
  <si>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</si>
  <si>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</si>
  <si>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</si>
  <si>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</si>
  <si>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</si>
  <si>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</si>
  <si>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</si>
  <si>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</si>
  <si>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</si>
  <si>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</si>
  <si>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</si>
  <si>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</si>
  <si>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</si>
  <si>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</si>
  <si>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</si>
  <si>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</si>
  <si>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</si>
  <si>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</si>
  <si>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</si>
  <si>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</si>
  <si>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</si>
  <si>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</si>
  <si>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</si>
  <si>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</si>
  <si>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</si>
  <si>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</si>
  <si>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</si>
  <si>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</si>
  <si>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</si>
  <si>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</si>
  <si>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</si>
  <si>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</si>
  <si>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</si>
  <si>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</si>
  <si>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</si>
  <si>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</si>
  <si>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</si>
  <si>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</si>
  <si>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</si>
  <si>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</si>
  <si>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</si>
  <si>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</si>
  <si>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</si>
  <si>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</si>
  <si>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</si>
  <si>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</si>
  <si>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</si>
  <si>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</si>
  <si>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</si>
  <si>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</si>
  <si>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</si>
  <si>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</si>
  <si>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</si>
  <si>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</si>
  <si>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</si>
  <si>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</si>
  <si>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</si>
  <si>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</si>
  <si>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</si>
  <si>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</si>
  <si>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</si>
  <si>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</si>
  <si>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</si>
  <si>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</si>
  <si>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</si>
  <si>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</si>
  <si>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</si>
  <si>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</si>
  <si>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</si>
  <si>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</si>
  <si>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</si>
  <si>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</si>
  <si>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</si>
  <si>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</si>
  <si>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</si>
  <si>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</si>
  <si>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</si>
  <si>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</si>
  <si>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</si>
  <si>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</si>
  <si>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</si>
  <si>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</si>
  <si>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</si>
  <si>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</si>
  <si>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</si>
  <si>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</si>
  <si>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</si>
  <si>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</si>
  <si>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</si>
  <si>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</si>
  <si>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</si>
  <si>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</si>
  <si>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</si>
  <si>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</si>
  <si>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</si>
  <si>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</si>
  <si>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</si>
  <si>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</si>
  <si>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</si>
  <si>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</si>
  <si>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</si>
  <si>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</si>
  <si>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</si>
  <si>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</si>
  <si>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</si>
  <si>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</si>
  <si>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</si>
  <si>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</si>
  <si>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</si>
  <si>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</si>
  <si>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</si>
  <si>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</si>
  <si>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</si>
  <si>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</si>
  <si>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</si>
  <si>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</si>
  <si>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</si>
  <si>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</si>
  <si>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</si>
  <si>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</si>
  <si>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</si>
  <si>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</si>
  <si>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</si>
  <si>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</si>
  <si>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</si>
  <si>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</si>
  <si>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</si>
  <si>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</si>
  <si>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</si>
  <si>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</si>
  <si>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</si>
  <si>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</si>
  <si>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</si>
  <si>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</si>
  <si>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</si>
  <si>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</si>
  <si>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</si>
  <si>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</si>
  <si>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</si>
  <si>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</si>
  <si>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</si>
  <si>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</si>
  <si>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</si>
  <si>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</si>
  <si>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</si>
  <si>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</si>
  <si>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</si>
  <si>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</si>
  <si>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</si>
  <si>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</si>
  <si>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</si>
  <si>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</si>
  <si>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</si>
  <si>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</si>
  <si>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</si>
  <si>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</si>
  <si>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</si>
  <si>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</si>
  <si>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</si>
  <si>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</si>
  <si>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</si>
  <si>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</si>
  <si>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</si>
  <si>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</si>
  <si>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</si>
  <si>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</si>
  <si>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</si>
  <si>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</si>
  <si>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</si>
  <si>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</si>
  <si>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</si>
  <si>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</si>
  <si>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</si>
  <si>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</si>
  <si>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</si>
  <si>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</si>
  <si>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</si>
  <si>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</si>
  <si>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</si>
  <si>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</si>
  <si>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</si>
  <si>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</si>
  <si>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</si>
  <si>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</si>
  <si>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</si>
  <si>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</si>
  <si>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</si>
  <si>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</si>
  <si>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</si>
  <si>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</si>
  <si>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</si>
  <si>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</si>
  <si>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</si>
  <si>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</si>
  <si>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</si>
  <si>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</si>
  <si>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</si>
  <si>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</si>
  <si>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</si>
  <si>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</si>
  <si>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</si>
  <si>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</si>
  <si>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</si>
  <si>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</si>
  <si>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</si>
  <si>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</si>
  <si>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</si>
  <si>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</si>
  <si>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</si>
  <si>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</si>
  <si>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</si>
  <si>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</si>
  <si>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</si>
  <si>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</si>
  <si>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</si>
  <si>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</si>
  <si>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</si>
  <si>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</si>
  <si>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</si>
  <si>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</si>
  <si>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</si>
  <si>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</si>
  <si>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</si>
  <si>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</si>
  <si>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</si>
  <si>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</si>
  <si>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</si>
  <si>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</si>
  <si>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</si>
  <si>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</si>
  <si>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</si>
  <si>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</si>
  <si>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</si>
  <si>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</si>
  <si>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</si>
  <si>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</si>
  <si>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</si>
  <si>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</si>
  <si>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</si>
  <si>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</si>
  <si>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</si>
  <si>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</si>
  <si>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</si>
  <si>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</si>
  <si>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</si>
  <si>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</si>
  <si>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</si>
  <si>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</si>
  <si>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</si>
  <si>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</si>
  <si>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</si>
  <si>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</si>
  <si>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</si>
  <si>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</si>
  <si>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</si>
  <si>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</si>
  <si>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</si>
  <si>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</si>
  <si>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</si>
  <si>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</si>
  <si>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</si>
  <si>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</si>
  <si>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</si>
  <si>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</si>
  <si>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</si>
  <si>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</si>
  <si>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</si>
  <si>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</si>
  <si>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</si>
  <si>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</si>
  <si>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</si>
  <si>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</si>
  <si>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</si>
  <si>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</si>
  <si>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</si>
  <si>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</si>
  <si>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</si>
  <si>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</si>
  <si>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</si>
  <si>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</si>
  <si>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</si>
  <si>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</si>
  <si>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</si>
  <si>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</si>
  <si>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</si>
  <si>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</si>
  <si>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</si>
  <si>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</si>
  <si>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</si>
  <si>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</si>
  <si>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</si>
  <si>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</si>
  <si>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</si>
  <si>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</si>
  <si>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</si>
  <si>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</si>
  <si>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</si>
  <si>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</si>
  <si>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</si>
  <si>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</si>
  <si>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</si>
  <si>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</si>
  <si>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</si>
  <si>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</si>
  <si>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</si>
  <si>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</si>
  <si>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</si>
  <si>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</si>
  <si>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</si>
  <si>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</si>
  <si>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</si>
  <si>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</si>
  <si>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</si>
  <si>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</si>
  <si>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</si>
  <si>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</si>
  <si>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</si>
  <si>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</si>
  <si>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</si>
  <si>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</si>
  <si>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</si>
  <si>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</si>
  <si>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</si>
  <si>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</si>
  <si>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</si>
  <si>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</si>
  <si>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</si>
  <si>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</si>
  <si>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</si>
  <si>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</si>
  <si>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</si>
  <si>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</si>
  <si>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</si>
  <si>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</si>
  <si>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</si>
  <si>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</si>
  <si>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</si>
  <si>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</si>
  <si>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</si>
  <si>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</si>
  <si>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</si>
  <si>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</si>
  <si>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</si>
  <si>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</si>
  <si>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</si>
  <si>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</si>
  <si>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</si>
  <si>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</si>
  <si>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</si>
  <si>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</si>
  <si>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</si>
  <si>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</si>
  <si>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</si>
  <si>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</si>
  <si>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</si>
  <si>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</si>
  <si>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</si>
  <si>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</si>
  <si>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</si>
  <si>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</si>
  <si>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</si>
  <si>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</si>
  <si>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</si>
  <si>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</si>
  <si>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</si>
  <si>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</si>
  <si>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</si>
  <si>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</si>
  <si>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</si>
  <si>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</si>
  <si>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</si>
  <si>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</si>
  <si>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</si>
  <si>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</si>
  <si>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</si>
  <si>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</si>
  <si>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</si>
  <si>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</si>
  <si>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</si>
  <si>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</si>
  <si>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</si>
  <si>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</si>
  <si>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</si>
  <si>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</si>
  <si>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</si>
  <si>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</si>
  <si>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</si>
  <si>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</si>
  <si>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</si>
  <si>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</si>
  <si>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</si>
  <si>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</si>
  <si>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</si>
  <si>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</si>
  <si>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</si>
  <si>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</si>
  <si>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</si>
  <si>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</si>
  <si>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</si>
  <si>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</si>
  <si>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</si>
  <si>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</si>
  <si>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</si>
  <si>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</si>
  <si>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</si>
  <si>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</si>
  <si>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</si>
  <si>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</si>
  <si>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</si>
  <si>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</si>
  <si>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</si>
  <si>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</si>
  <si>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</si>
  <si>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</si>
  <si>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</si>
  <si>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</si>
  <si>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</si>
  <si>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</si>
  <si>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</si>
  <si>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</si>
  <si>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</si>
  <si>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</si>
  <si>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</si>
  <si>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</si>
  <si>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</si>
  <si>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</si>
  <si>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</si>
  <si>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</si>
  <si>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</si>
  <si>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</si>
  <si>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</si>
  <si>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</si>
  <si>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</si>
  <si>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</si>
  <si>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</si>
  <si>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</si>
  <si>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</si>
  <si>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</si>
  <si>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</si>
  <si>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</si>
  <si>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</si>
  <si>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</si>
  <si>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</si>
  <si>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</si>
  <si>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</si>
  <si>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</si>
  <si>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</si>
  <si>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</si>
  <si>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</si>
  <si>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</si>
  <si>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</si>
  <si>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</si>
  <si>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</si>
  <si>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</si>
  <si>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</si>
  <si>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</si>
  <si>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</si>
  <si>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</si>
  <si>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</si>
  <si>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</si>
  <si>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</si>
  <si>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</si>
  <si>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</si>
  <si>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</si>
  <si>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</si>
  <si>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</si>
  <si>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</si>
  <si>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</si>
  <si>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</si>
  <si>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</si>
  <si>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</si>
  <si>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</si>
  <si>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</si>
  <si>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</si>
  <si>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</si>
  <si>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</si>
  <si>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</si>
  <si>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</si>
  <si>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</si>
  <si>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</si>
  <si>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</si>
  <si>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</si>
  <si>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</si>
  <si>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</si>
  <si>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</si>
  <si>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</si>
  <si>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</si>
  <si>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</si>
  <si>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</si>
  <si>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</si>
  <si>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</si>
  <si>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</si>
  <si>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</si>
  <si>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</si>
  <si>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</si>
  <si>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</si>
  <si>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</si>
  <si>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</si>
  <si>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</si>
  <si>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</si>
  <si>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</si>
  <si>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</si>
  <si>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</si>
  <si>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</si>
  <si>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</si>
  <si>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</si>
  <si>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</si>
  <si>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</si>
  <si>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</si>
  <si>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</si>
  <si>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</si>
  <si>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</si>
  <si>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</si>
  <si>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</si>
  <si>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</si>
  <si>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</si>
  <si>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</si>
  <si>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</si>
  <si>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</si>
  <si>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</si>
  <si>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</si>
  <si>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</si>
  <si>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</si>
  <si>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</si>
  <si>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</si>
  <si>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</si>
  <si>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</si>
  <si>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</si>
  <si>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</si>
  <si>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</si>
  <si>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</si>
  <si>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</si>
  <si>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</si>
  <si>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</si>
  <si>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</si>
  <si>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</si>
  <si>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</si>
  <si>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</si>
  <si>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</si>
  <si>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</si>
  <si>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</si>
  <si>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</si>
  <si>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</si>
  <si>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</si>
  <si>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</si>
  <si>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</si>
  <si>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</si>
  <si>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</si>
  <si>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</si>
  <si>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</si>
  <si>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</si>
  <si>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</si>
  <si>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</si>
  <si>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</si>
  <si>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</si>
  <si>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</si>
  <si>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</si>
  <si>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</si>
  <si>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</si>
  <si>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</si>
  <si>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</si>
  <si>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</si>
  <si>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</si>
  <si>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</si>
  <si>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</si>
  <si>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</si>
  <si>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</si>
  <si>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</si>
  <si>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</si>
  <si>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</si>
  <si>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</si>
  <si>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</si>
  <si>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</si>
  <si>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</si>
  <si>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</si>
  <si>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</si>
  <si>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</si>
  <si>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</si>
  <si>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</si>
  <si>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</si>
  <si>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</si>
  <si>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</si>
  <si>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</si>
  <si>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</si>
  <si>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</si>
  <si>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</si>
  <si>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</si>
  <si>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</si>
  <si>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</si>
  <si>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</si>
  <si>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</si>
  <si>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</si>
  <si>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</si>
  <si>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</si>
  <si>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</si>
  <si>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</si>
  <si>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</si>
  <si>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</si>
  <si>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</si>
  <si>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</si>
  <si>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</si>
  <si>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</si>
  <si>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</si>
  <si>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</si>
  <si>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</si>
  <si>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</si>
  <si>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</si>
  <si>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</si>
  <si>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</si>
  <si>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</si>
  <si>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</si>
  <si>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</si>
  <si>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</si>
  <si>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</si>
  <si>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</si>
  <si>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</si>
  <si>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</si>
  <si>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</si>
  <si>
    <t>grid</t>
  </si>
  <si>
    <t>planting_geometry2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</si>
</sst>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topLeftCell="C2" zoomScaleNormal="100" workbookViewId="0">
      <pane xSplit="1" ySplit="2" topLeftCell="D4" activePane="bottomRight" state="frozen"/>
      <selection activeCell="C2" sqref="C2"/>
      <selection pane="topRight" activeCell="D2" sqref="D2"/>
      <selection pane="bottomLeft" activeCell="C4" sqref="C4"/>
      <selection pane="bottomRight" activeCell="G17" sqref="G17"/>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2496</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491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491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491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491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G52" s="110" t="s">
        <v>410</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G53" s="110" t="s">
        <v>410</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138" t="s">
        <v>22</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138" t="s">
        <v>22</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138" t="s">
        <v>22</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138" t="s">
        <v>22</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138" t="s">
        <v>22</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138" t="s">
        <v>22</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138" t="s">
        <v>22</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138" t="s">
        <v>22</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138" t="s">
        <v>22</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138" t="s">
        <v>22</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138" t="s">
        <v>22</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2495</v>
      </c>
      <c r="H143" s="1" t="s">
        <v>37</v>
      </c>
      <c r="I143" t="s">
        <v>403</v>
      </c>
      <c r="J143" s="1" t="s">
        <v>160</v>
      </c>
      <c r="K143" s="1" t="s">
        <v>163</v>
      </c>
      <c r="L143" s="1" t="s">
        <v>227</v>
      </c>
      <c r="M143" s="1"/>
      <c r="N143" s="1"/>
      <c r="O143" s="1"/>
      <c r="P143" s="1"/>
      <c r="Q143" s="1"/>
      <c r="R143" s="1" t="s">
        <v>22</v>
      </c>
      <c r="S143" s="138"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2495</v>
      </c>
      <c r="H144" s="1" t="s">
        <v>37</v>
      </c>
      <c r="I144" t="s">
        <v>403</v>
      </c>
      <c r="J144" s="1" t="s">
        <v>160</v>
      </c>
      <c r="K144" s="1" t="s">
        <v>163</v>
      </c>
      <c r="L144" s="1" t="s">
        <v>227</v>
      </c>
      <c r="M144" s="1"/>
      <c r="N144" s="1"/>
      <c r="O144" s="1"/>
      <c r="P144" s="1"/>
      <c r="Q144" s="1"/>
      <c r="R144" s="1" t="s">
        <v>22</v>
      </c>
      <c r="S144" s="138" t="s">
        <v>22</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2495</v>
      </c>
      <c r="H145" s="1" t="s">
        <v>37</v>
      </c>
      <c r="I145" t="s">
        <v>403</v>
      </c>
      <c r="J145" s="1" t="s">
        <v>160</v>
      </c>
      <c r="K145" s="1" t="s">
        <v>163</v>
      </c>
      <c r="L145" s="1" t="s">
        <v>227</v>
      </c>
      <c r="M145" s="1"/>
      <c r="N145" s="1"/>
      <c r="O145" s="1"/>
      <c r="P145" s="1"/>
      <c r="Q145" s="1"/>
      <c r="R145" s="1" t="s">
        <v>22</v>
      </c>
      <c r="S145" s="138" t="s">
        <v>22</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2495</v>
      </c>
      <c r="H146" s="1" t="s">
        <v>37</v>
      </c>
      <c r="I146" t="s">
        <v>403</v>
      </c>
      <c r="J146" s="1" t="s">
        <v>160</v>
      </c>
      <c r="K146" s="1" t="s">
        <v>163</v>
      </c>
      <c r="L146" s="1" t="s">
        <v>227</v>
      </c>
      <c r="M146" s="1"/>
      <c r="N146" s="1"/>
      <c r="O146" s="1"/>
      <c r="P146" s="1"/>
      <c r="Q146" s="1"/>
      <c r="R146" s="1" t="s">
        <v>22</v>
      </c>
      <c r="S146" s="138" t="s">
        <v>22</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2495</v>
      </c>
      <c r="H147" s="1" t="s">
        <v>37</v>
      </c>
      <c r="I147" t="s">
        <v>403</v>
      </c>
      <c r="J147" s="1" t="s">
        <v>160</v>
      </c>
      <c r="K147" s="1" t="s">
        <v>163</v>
      </c>
      <c r="L147" s="1" t="s">
        <v>227</v>
      </c>
      <c r="M147" s="1"/>
      <c r="N147" s="1"/>
      <c r="O147" s="1"/>
      <c r="P147" s="1"/>
      <c r="Q147" s="1"/>
      <c r="R147" s="1" t="s">
        <v>22</v>
      </c>
      <c r="S147" s="138"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2495</v>
      </c>
      <c r="H148" s="1" t="s">
        <v>37</v>
      </c>
      <c r="I148" t="s">
        <v>403</v>
      </c>
      <c r="J148" s="1" t="s">
        <v>160</v>
      </c>
      <c r="K148" s="1" t="s">
        <v>163</v>
      </c>
      <c r="L148" s="1" t="s">
        <v>227</v>
      </c>
      <c r="M148" s="1"/>
      <c r="N148" s="1"/>
      <c r="O148" s="1"/>
      <c r="P148" s="1"/>
      <c r="Q148" s="1"/>
      <c r="R148" s="1" t="s">
        <v>22</v>
      </c>
      <c r="S148" s="138" t="s">
        <v>22</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2495</v>
      </c>
      <c r="H149" s="1" t="s">
        <v>37</v>
      </c>
      <c r="I149" t="s">
        <v>403</v>
      </c>
      <c r="J149" s="1" t="s">
        <v>160</v>
      </c>
      <c r="K149" s="1" t="s">
        <v>163</v>
      </c>
      <c r="L149" s="1" t="s">
        <v>227</v>
      </c>
      <c r="M149" s="1"/>
      <c r="N149" s="1"/>
      <c r="O149" s="1"/>
      <c r="P149" s="1"/>
      <c r="Q149" s="1"/>
      <c r="R149" s="1" t="s">
        <v>22</v>
      </c>
      <c r="S149" s="138" t="s">
        <v>22</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2495</v>
      </c>
      <c r="H150" s="1" t="s">
        <v>37</v>
      </c>
      <c r="I150" t="s">
        <v>403</v>
      </c>
      <c r="J150" s="1" t="s">
        <v>160</v>
      </c>
      <c r="K150" s="1" t="s">
        <v>163</v>
      </c>
      <c r="L150" s="1" t="s">
        <v>227</v>
      </c>
      <c r="M150" s="1"/>
      <c r="N150" s="1"/>
      <c r="O150" s="1"/>
      <c r="P150" s="1"/>
      <c r="Q150" s="1"/>
      <c r="R150" s="1" t="s">
        <v>22</v>
      </c>
      <c r="S150" s="138" t="s">
        <v>22</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2495</v>
      </c>
      <c r="H151" s="1" t="s">
        <v>37</v>
      </c>
      <c r="I151" t="s">
        <v>403</v>
      </c>
      <c r="J151" s="1" t="s">
        <v>160</v>
      </c>
      <c r="K151" s="1" t="s">
        <v>163</v>
      </c>
      <c r="L151" s="1" t="s">
        <v>227</v>
      </c>
      <c r="M151" s="1"/>
      <c r="N151" s="1"/>
      <c r="O151" s="1"/>
      <c r="P151" s="1"/>
      <c r="Q151" s="1"/>
      <c r="R151" s="1" t="s">
        <v>22</v>
      </c>
      <c r="S151" s="138"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2495</v>
      </c>
      <c r="H152" s="1" t="s">
        <v>37</v>
      </c>
      <c r="I152" t="s">
        <v>403</v>
      </c>
      <c r="J152" s="1" t="s">
        <v>160</v>
      </c>
      <c r="K152" s="1" t="s">
        <v>163</v>
      </c>
      <c r="L152" s="1" t="s">
        <v>227</v>
      </c>
      <c r="M152" s="1"/>
      <c r="N152" s="1"/>
      <c r="O152" s="1"/>
      <c r="P152" s="1"/>
      <c r="Q152" s="1"/>
      <c r="R152" s="1" t="s">
        <v>22</v>
      </c>
      <c r="S152" s="138" t="s">
        <v>22</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2495</v>
      </c>
      <c r="H153" s="1" t="s">
        <v>37</v>
      </c>
      <c r="I153" t="s">
        <v>403</v>
      </c>
      <c r="J153" s="1" t="s">
        <v>160</v>
      </c>
      <c r="K153" s="1" t="s">
        <v>163</v>
      </c>
      <c r="L153" s="1" t="s">
        <v>227</v>
      </c>
      <c r="M153" s="1"/>
      <c r="N153" s="1"/>
      <c r="O153" s="1"/>
      <c r="P153" s="1"/>
      <c r="Q153" s="1"/>
      <c r="R153" s="1" t="s">
        <v>22</v>
      </c>
      <c r="S153" s="138" t="s">
        <v>22</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2495</v>
      </c>
      <c r="H154" s="1" t="s">
        <v>37</v>
      </c>
      <c r="I154" t="s">
        <v>403</v>
      </c>
      <c r="J154" s="1" t="s">
        <v>160</v>
      </c>
      <c r="K154" s="1" t="s">
        <v>163</v>
      </c>
      <c r="L154" s="1" t="s">
        <v>227</v>
      </c>
      <c r="M154" s="1"/>
      <c r="N154" s="1"/>
      <c r="O154" s="1"/>
      <c r="P154" s="1"/>
      <c r="Q154" s="1"/>
      <c r="R154" s="1" t="s">
        <v>22</v>
      </c>
      <c r="S154" s="138" t="s">
        <v>22</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s="110" t="s">
        <v>1901</v>
      </c>
      <c r="C159" s="252" t="str">
        <f>VLOOKUP(B159,Plantings!$A$2:$C$310,2,FALSE)</f>
        <v>JSP_mid_AG1</v>
      </c>
      <c r="D159" s="252" t="e">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s="110" t="s">
        <v>1902</v>
      </c>
      <c r="C160" s="252" t="str">
        <f>VLOOKUP(B160,Plantings!$A$2:$C$310,2,FALSE)</f>
        <v>JSP_mid_BG1</v>
      </c>
      <c r="D160" s="252" t="e">
        <v>#N/A</v>
      </c>
      <c r="E160" s="131">
        <v>2017</v>
      </c>
      <c r="G160" s="1" t="s">
        <v>410</v>
      </c>
      <c r="H160" s="1" t="s">
        <v>37</v>
      </c>
      <c r="I160" t="s">
        <v>403</v>
      </c>
      <c r="J160" s="1" t="s">
        <v>163</v>
      </c>
      <c r="K160" s="1" t="s">
        <v>163</v>
      </c>
      <c r="L160" s="1" t="s">
        <v>227</v>
      </c>
      <c r="R160" s="1" t="s">
        <v>22</v>
      </c>
      <c r="S160" s="110" t="s">
        <v>22</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s="110" t="s">
        <v>1903</v>
      </c>
      <c r="C161" s="252" t="str">
        <f>VLOOKUP(B161,Plantings!$A$2:$C$310,2,FALSE)</f>
        <v>JSP_mid_C1</v>
      </c>
      <c r="D161" s="252" t="e">
        <v>#N/A</v>
      </c>
      <c r="E161" s="131">
        <v>2017</v>
      </c>
      <c r="G161" s="1" t="s">
        <v>410</v>
      </c>
      <c r="H161" s="1" t="s">
        <v>37</v>
      </c>
      <c r="I161" t="s">
        <v>403</v>
      </c>
      <c r="J161" s="1" t="s">
        <v>163</v>
      </c>
      <c r="K161" s="1" t="s">
        <v>163</v>
      </c>
      <c r="L161" s="1" t="s">
        <v>227</v>
      </c>
      <c r="R161" s="1" t="s">
        <v>22</v>
      </c>
      <c r="S161" s="110" t="s">
        <v>22</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s="110" t="s">
        <v>1904</v>
      </c>
      <c r="C162" s="252" t="str">
        <f>VLOOKUP(B162,Plantings!$A$2:$C$310,2,FALSE)</f>
        <v>JSP_mid_AG2</v>
      </c>
      <c r="D162" s="252" t="e">
        <v>#N/A</v>
      </c>
      <c r="E162" s="131">
        <v>2017</v>
      </c>
      <c r="G162" s="1" t="s">
        <v>410</v>
      </c>
      <c r="H162" s="1" t="s">
        <v>37</v>
      </c>
      <c r="I162" t="s">
        <v>403</v>
      </c>
      <c r="J162" s="1" t="s">
        <v>163</v>
      </c>
      <c r="K162" s="1" t="s">
        <v>163</v>
      </c>
      <c r="L162" s="1" t="s">
        <v>227</v>
      </c>
      <c r="R162" s="1" t="s">
        <v>22</v>
      </c>
      <c r="S162" s="110" t="s">
        <v>22</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s="110" t="s">
        <v>1905</v>
      </c>
      <c r="C163" s="252" t="str">
        <f>VLOOKUP(B163,Plantings!$A$2:$C$310,2,FALSE)</f>
        <v>JSP_mid_C2</v>
      </c>
      <c r="D163" s="252" t="e">
        <v>#N/A</v>
      </c>
      <c r="E163" s="131">
        <v>2017</v>
      </c>
      <c r="G163" s="1" t="s">
        <v>410</v>
      </c>
      <c r="H163" s="1" t="s">
        <v>37</v>
      </c>
      <c r="I163" t="s">
        <v>403</v>
      </c>
      <c r="J163" s="1" t="s">
        <v>163</v>
      </c>
      <c r="K163" s="1" t="s">
        <v>163</v>
      </c>
      <c r="L163" s="1" t="s">
        <v>227</v>
      </c>
      <c r="R163" s="1" t="s">
        <v>22</v>
      </c>
      <c r="S163" s="110" t="s">
        <v>22</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s="110" t="s">
        <v>1906</v>
      </c>
      <c r="C164" s="252" t="str">
        <f>VLOOKUP(B164,Plantings!$A$2:$C$310,2,FALSE)</f>
        <v>JSP_mid_BG2</v>
      </c>
      <c r="D164" s="252" t="e">
        <v>#N/A</v>
      </c>
      <c r="E164" s="131">
        <v>2017</v>
      </c>
      <c r="G164" s="1" t="s">
        <v>410</v>
      </c>
      <c r="H164" s="1" t="s">
        <v>37</v>
      </c>
      <c r="I164" t="s">
        <v>403</v>
      </c>
      <c r="J164" s="1" t="s">
        <v>163</v>
      </c>
      <c r="K164" s="1" t="s">
        <v>163</v>
      </c>
      <c r="L164" s="1" t="s">
        <v>227</v>
      </c>
      <c r="R164" s="1" t="s">
        <v>22</v>
      </c>
      <c r="S164" s="110" t="s">
        <v>22</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s="110" t="s">
        <v>1907</v>
      </c>
      <c r="C165" s="252" t="str">
        <f>VLOOKUP(B165,Plantings!$A$2:$C$310,2,FALSE)</f>
        <v>JSP_mid_C3</v>
      </c>
      <c r="D165" s="252" t="e">
        <v>#N/A</v>
      </c>
      <c r="E165" s="131">
        <v>2017</v>
      </c>
      <c r="G165" s="1" t="s">
        <v>410</v>
      </c>
      <c r="H165" s="1" t="s">
        <v>37</v>
      </c>
      <c r="I165" t="s">
        <v>403</v>
      </c>
      <c r="J165" s="1" t="s">
        <v>163</v>
      </c>
      <c r="K165" s="1" t="s">
        <v>163</v>
      </c>
      <c r="L165" s="1" t="s">
        <v>227</v>
      </c>
      <c r="R165" s="1" t="s">
        <v>22</v>
      </c>
      <c r="S165" s="110" t="s">
        <v>22</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s="110" t="s">
        <v>1908</v>
      </c>
      <c r="C166" s="252" t="str">
        <f>VLOOKUP(B166,Plantings!$A$2:$C$310,2,FALSE)</f>
        <v>JSP_mid_BG3</v>
      </c>
      <c r="D166" s="252" t="e">
        <v>#N/A</v>
      </c>
      <c r="E166" s="131">
        <v>2017</v>
      </c>
      <c r="G166" s="1" t="s">
        <v>410</v>
      </c>
      <c r="H166" s="1" t="s">
        <v>37</v>
      </c>
      <c r="I166" t="s">
        <v>403</v>
      </c>
      <c r="J166" s="1" t="s">
        <v>163</v>
      </c>
      <c r="K166" s="1" t="s">
        <v>163</v>
      </c>
      <c r="L166" s="1" t="s">
        <v>227</v>
      </c>
      <c r="R166" s="1" t="s">
        <v>22</v>
      </c>
      <c r="S166" s="110" t="s">
        <v>22</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s="110" t="s">
        <v>1909</v>
      </c>
      <c r="C167" s="252" t="str">
        <f>VLOOKUP(B167,Plantings!$A$2:$C$310,2,FALSE)</f>
        <v>JSP_mid_C4</v>
      </c>
      <c r="D167" s="252" t="e">
        <v>#N/A</v>
      </c>
      <c r="E167" s="131">
        <v>2017</v>
      </c>
      <c r="G167" s="1" t="s">
        <v>410</v>
      </c>
      <c r="H167" s="1" t="s">
        <v>37</v>
      </c>
      <c r="I167" t="s">
        <v>403</v>
      </c>
      <c r="J167" s="1" t="s">
        <v>163</v>
      </c>
      <c r="K167" s="1" t="s">
        <v>163</v>
      </c>
      <c r="L167" s="1" t="s">
        <v>227</v>
      </c>
      <c r="R167" s="1" t="s">
        <v>22</v>
      </c>
      <c r="S167" s="110" t="s">
        <v>22</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s="110" t="s">
        <v>1910</v>
      </c>
      <c r="C168" s="252" t="str">
        <f>VLOOKUP(B168,Plantings!$A$2:$C$310,2,FALSE)</f>
        <v>JSP_mid_BG4</v>
      </c>
      <c r="D168" s="252" t="e">
        <v>#N/A</v>
      </c>
      <c r="E168" s="131">
        <v>2017</v>
      </c>
      <c r="G168" s="1" t="s">
        <v>410</v>
      </c>
      <c r="H168" s="1" t="s">
        <v>37</v>
      </c>
      <c r="I168" t="s">
        <v>403</v>
      </c>
      <c r="J168" s="1" t="s">
        <v>163</v>
      </c>
      <c r="K168" s="1" t="s">
        <v>163</v>
      </c>
      <c r="L168" s="1" t="s">
        <v>227</v>
      </c>
      <c r="R168" s="1" t="s">
        <v>22</v>
      </c>
      <c r="S168" s="110" t="s">
        <v>22</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s="110" t="s">
        <v>1911</v>
      </c>
      <c r="C169" s="252" t="str">
        <f>VLOOKUP(B169,Plantings!$A$2:$C$310,2,FALSE)</f>
        <v>JSP_mid_AG3</v>
      </c>
      <c r="D169" s="252" t="e">
        <v>#N/A</v>
      </c>
      <c r="E169" s="131">
        <v>2017</v>
      </c>
      <c r="G169" s="1" t="s">
        <v>410</v>
      </c>
      <c r="H169" s="1" t="s">
        <v>37</v>
      </c>
      <c r="I169" t="s">
        <v>403</v>
      </c>
      <c r="J169" s="1" t="s">
        <v>163</v>
      </c>
      <c r="K169" s="1" t="s">
        <v>163</v>
      </c>
      <c r="L169" s="1" t="s">
        <v>227</v>
      </c>
      <c r="R169" s="1" t="s">
        <v>22</v>
      </c>
      <c r="S169" s="110" t="s">
        <v>22</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s="110" t="s">
        <v>1912</v>
      </c>
      <c r="C170" s="252" t="str">
        <f>VLOOKUP(B170,Plantings!$A$2:$C$310,2,FALSE)</f>
        <v>JSP_mid_AG4</v>
      </c>
      <c r="D170" s="252" t="e">
        <v>#N/A</v>
      </c>
      <c r="E170" s="131">
        <v>2017</v>
      </c>
      <c r="G170" s="1" t="s">
        <v>410</v>
      </c>
      <c r="H170" s="1" t="s">
        <v>37</v>
      </c>
      <c r="I170" t="s">
        <v>403</v>
      </c>
      <c r="J170" s="1" t="s">
        <v>163</v>
      </c>
      <c r="K170" s="1" t="s">
        <v>163</v>
      </c>
      <c r="L170" s="1" t="s">
        <v>227</v>
      </c>
      <c r="R170" s="1" t="s">
        <v>22</v>
      </c>
      <c r="S170" s="110" t="s">
        <v>22</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J88" sqref="J88"/>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329" activePane="bottomRight" state="frozen"/>
      <selection pane="topRight" activeCell="C1" sqref="C1"/>
      <selection pane="bottomLeft" activeCell="A3" sqref="A3"/>
      <selection pane="bottomRight" activeCell="A198" sqref="A198:XFD318"/>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822B1918-AC38-4278-8194-3B9D945C11F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2026-05-29T20:13:21Z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