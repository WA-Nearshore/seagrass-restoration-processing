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K:\projects\Eelgrass_Restoration\Restoration_Storymap\2025_09_data_prep\source_data\"/>
    </mc:Choice>
  </mc:AlternateContent>
  <xr:revisionPtr revIDLastSave="0" documentId="13_ncr:1_{FEC17E28-EF4B-4184-B050-5C95CD69ABE4}" xr6:coauthVersionLast="47" xr6:coauthVersionMax="47" xr10:uidLastSave="{00000000-0000-0000-0000-000000000000}"/>
  <bookViews>
    <workbookView xWindow="-120" yWindow="-120" windowWidth="29040" windowHeight="15720" activeTab="4" xr2:uid="{86A72153-018D-41E1-87F6-D54A89D6CA23}"/>
  </bookViews>
  <sheets>
    <sheet name="Assessments" sheetId="2" r:id="rId1"/>
    <sheet name="Planting GPS Points" sheetId="3" r:id="rId2"/>
    <sheet name="Plantings" sheetId="4" r:id="rId3"/>
    <sheet name="Monitoring" sheetId="5" r:id="rId4"/>
    <sheet name="Donor Sites" sheetId="6" r:id="rId5"/>
  </sheets>
  <externalReferences>
    <externalReference r:id="rId6"/>
  </externalReferences>
  <definedNames>
    <definedName name="_xlnm._FilterDatabase" localSheetId="3" hidden="1">Monitoring!$A$1:$R$660</definedName>
    <definedName name="PLANTING" localSheetId="4">'[1]Planting GPS Points'!$B$5:$AL$282</definedName>
    <definedName name="PLANTING" localSheetId="3">'[1]Planting GPS Points'!$B$5:$AL$282</definedName>
    <definedName name="PLANTING" localSheetId="2">'[1]Planting GPS Points'!$B$5:$AL$282</definedName>
    <definedName name="PLANTING">'Planting GPS Points'!$B$4:$AL$281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72" i="5" l="1"/>
  <c r="C672" i="5"/>
  <c r="D671" i="5"/>
  <c r="C671" i="5"/>
  <c r="D670" i="5"/>
  <c r="C670" i="5"/>
  <c r="D669" i="5"/>
  <c r="C669" i="5"/>
  <c r="D668" i="5"/>
  <c r="C668" i="5"/>
  <c r="G667" i="5"/>
  <c r="F667" i="5"/>
  <c r="D667" i="5"/>
  <c r="C667" i="5"/>
  <c r="D666" i="5"/>
  <c r="C666" i="5"/>
  <c r="D665" i="5"/>
  <c r="C665" i="5"/>
  <c r="D664" i="5"/>
  <c r="C664" i="5"/>
  <c r="D663" i="5"/>
  <c r="C663" i="5"/>
  <c r="O611" i="5"/>
  <c r="D611" i="5"/>
  <c r="C611" i="5"/>
  <c r="O610" i="5"/>
  <c r="D610" i="5"/>
  <c r="C610" i="5"/>
  <c r="O609" i="5"/>
  <c r="D609" i="5"/>
  <c r="C609" i="5"/>
  <c r="O608" i="5"/>
  <c r="D608" i="5"/>
  <c r="C608" i="5"/>
  <c r="O607" i="5"/>
  <c r="D607" i="5"/>
  <c r="C607" i="5"/>
  <c r="P606" i="5"/>
  <c r="O606" i="5"/>
  <c r="N606" i="5"/>
  <c r="D606" i="5"/>
  <c r="C606" i="5"/>
  <c r="O605" i="5"/>
  <c r="D605" i="5"/>
  <c r="C605" i="5"/>
  <c r="O604" i="5"/>
  <c r="D604" i="5"/>
  <c r="C604" i="5"/>
  <c r="P603" i="5"/>
  <c r="O603" i="5"/>
  <c r="N603" i="5"/>
  <c r="D603" i="5"/>
  <c r="C603" i="5"/>
  <c r="P602" i="5"/>
  <c r="O602" i="5"/>
  <c r="D602" i="5"/>
  <c r="C602" i="5"/>
  <c r="P601" i="5"/>
  <c r="O601" i="5"/>
  <c r="N601" i="5"/>
  <c r="D601" i="5"/>
  <c r="C601" i="5"/>
  <c r="P600" i="5"/>
  <c r="O600" i="5"/>
  <c r="N600" i="5"/>
  <c r="D600" i="5"/>
  <c r="C600" i="5"/>
  <c r="P599" i="5"/>
  <c r="O599" i="5"/>
  <c r="N599" i="5"/>
  <c r="D599" i="5"/>
  <c r="C599" i="5"/>
  <c r="P598" i="5"/>
  <c r="O598" i="5"/>
  <c r="N598" i="5"/>
  <c r="D598" i="5"/>
  <c r="C598" i="5"/>
  <c r="P597" i="5"/>
  <c r="O597" i="5"/>
  <c r="N597" i="5"/>
  <c r="D597" i="5"/>
  <c r="C597" i="5"/>
  <c r="P596" i="5"/>
  <c r="O596" i="5"/>
  <c r="N596" i="5"/>
  <c r="D596" i="5"/>
  <c r="C596" i="5"/>
  <c r="P595" i="5"/>
  <c r="O595" i="5"/>
  <c r="N595" i="5"/>
  <c r="D595" i="5"/>
  <c r="C595" i="5"/>
  <c r="P594" i="5"/>
  <c r="O594" i="5"/>
  <c r="N594" i="5"/>
  <c r="D594" i="5"/>
  <c r="C594" i="5"/>
  <c r="P593" i="5"/>
  <c r="O593" i="5"/>
  <c r="N593" i="5"/>
  <c r="D593" i="5"/>
  <c r="C593" i="5"/>
  <c r="P592" i="5"/>
  <c r="O592" i="5"/>
  <c r="N592" i="5"/>
  <c r="D592" i="5"/>
  <c r="C592" i="5"/>
  <c r="O591" i="5"/>
  <c r="L591" i="5"/>
  <c r="D591" i="5"/>
  <c r="C591" i="5"/>
  <c r="P590" i="5"/>
  <c r="O590" i="5"/>
  <c r="N590" i="5"/>
  <c r="D590" i="5"/>
  <c r="C590" i="5"/>
  <c r="P589" i="5"/>
  <c r="O589" i="5"/>
  <c r="N589" i="5"/>
  <c r="D589" i="5"/>
  <c r="C589" i="5"/>
  <c r="P588" i="5"/>
  <c r="O588" i="5"/>
  <c r="N588" i="5"/>
  <c r="D588" i="5"/>
  <c r="C588" i="5"/>
  <c r="O587" i="5"/>
  <c r="L587" i="5"/>
  <c r="D587" i="5"/>
  <c r="C587" i="5"/>
  <c r="P586" i="5"/>
  <c r="O586" i="5"/>
  <c r="N586" i="5"/>
  <c r="D586" i="5"/>
  <c r="C586" i="5"/>
  <c r="P585" i="5"/>
  <c r="O585" i="5"/>
  <c r="N585" i="5"/>
  <c r="D585" i="5"/>
  <c r="C585" i="5"/>
  <c r="P584" i="5"/>
  <c r="O584" i="5"/>
  <c r="N584" i="5"/>
  <c r="D584" i="5"/>
  <c r="C584" i="5"/>
  <c r="O583" i="5"/>
  <c r="L583" i="5"/>
  <c r="D583" i="5"/>
  <c r="C583" i="5"/>
  <c r="P582" i="5"/>
  <c r="O582" i="5"/>
  <c r="N582" i="5"/>
  <c r="D582" i="5"/>
  <c r="C582" i="5"/>
  <c r="P581" i="5"/>
  <c r="O581" i="5"/>
  <c r="N581" i="5"/>
  <c r="D581" i="5"/>
  <c r="C581" i="5"/>
  <c r="P580" i="5"/>
  <c r="O580" i="5"/>
  <c r="N580" i="5"/>
  <c r="D580" i="5"/>
  <c r="C580" i="5"/>
  <c r="P579" i="5"/>
  <c r="O579" i="5"/>
  <c r="N579" i="5"/>
  <c r="D579" i="5"/>
  <c r="C579" i="5"/>
  <c r="P578" i="5"/>
  <c r="O578" i="5"/>
  <c r="N578" i="5"/>
  <c r="D578" i="5"/>
  <c r="C578" i="5"/>
  <c r="P577" i="5"/>
  <c r="O577" i="5"/>
  <c r="N577" i="5"/>
  <c r="D577" i="5"/>
  <c r="C577" i="5"/>
  <c r="P576" i="5"/>
  <c r="O576" i="5"/>
  <c r="N576" i="5"/>
  <c r="D576" i="5"/>
  <c r="C576" i="5"/>
  <c r="P575" i="5"/>
  <c r="O575" i="5"/>
  <c r="N575" i="5"/>
  <c r="D575" i="5"/>
  <c r="C575" i="5"/>
  <c r="P574" i="5"/>
  <c r="O574" i="5"/>
  <c r="N574" i="5"/>
  <c r="D574" i="5"/>
  <c r="C574" i="5"/>
  <c r="P573" i="5"/>
  <c r="O573" i="5"/>
  <c r="D573" i="5"/>
  <c r="C573" i="5"/>
  <c r="P572" i="5"/>
  <c r="O572" i="5"/>
  <c r="N572" i="5"/>
  <c r="D572" i="5"/>
  <c r="C572" i="5"/>
  <c r="P571" i="5"/>
  <c r="O571" i="5"/>
  <c r="N571" i="5"/>
  <c r="D571" i="5"/>
  <c r="C571" i="5"/>
  <c r="P570" i="5"/>
  <c r="O570" i="5"/>
  <c r="N570" i="5"/>
  <c r="D570" i="5"/>
  <c r="C570" i="5"/>
  <c r="P569" i="5"/>
  <c r="O569" i="5"/>
  <c r="N569" i="5"/>
  <c r="D569" i="5"/>
  <c r="C569" i="5"/>
  <c r="P568" i="5"/>
  <c r="O568" i="5"/>
  <c r="N568" i="5"/>
  <c r="D568" i="5"/>
  <c r="C568" i="5"/>
  <c r="P567" i="5"/>
  <c r="O567" i="5"/>
  <c r="N567" i="5"/>
  <c r="D567" i="5"/>
  <c r="C567" i="5"/>
  <c r="P566" i="5"/>
  <c r="O566" i="5"/>
  <c r="N566" i="5"/>
  <c r="D566" i="5"/>
  <c r="C566" i="5"/>
  <c r="P565" i="5"/>
  <c r="O565" i="5"/>
  <c r="N565" i="5"/>
  <c r="D565" i="5"/>
  <c r="C565" i="5"/>
  <c r="P564" i="5"/>
  <c r="O564" i="5"/>
  <c r="N564" i="5"/>
  <c r="D564" i="5"/>
  <c r="C564" i="5"/>
  <c r="P563" i="5"/>
  <c r="O563" i="5"/>
  <c r="N563" i="5"/>
  <c r="D563" i="5"/>
  <c r="C563" i="5"/>
  <c r="P562" i="5"/>
  <c r="O562" i="5"/>
  <c r="N562" i="5"/>
  <c r="D562" i="5"/>
  <c r="C562" i="5"/>
  <c r="P561" i="5"/>
  <c r="O561" i="5"/>
  <c r="N561" i="5"/>
  <c r="D561" i="5"/>
  <c r="C561" i="5"/>
  <c r="P560" i="5"/>
  <c r="O560" i="5"/>
  <c r="N560" i="5"/>
  <c r="D560" i="5"/>
  <c r="C560" i="5"/>
  <c r="P559" i="5"/>
  <c r="O559" i="5"/>
  <c r="N559" i="5"/>
  <c r="D559" i="5"/>
  <c r="C559" i="5"/>
  <c r="P558" i="5"/>
  <c r="O558" i="5"/>
  <c r="N558" i="5"/>
  <c r="D558" i="5"/>
  <c r="C558" i="5"/>
  <c r="P557" i="5"/>
  <c r="O557" i="5"/>
  <c r="N557" i="5"/>
  <c r="D557" i="5"/>
  <c r="C557" i="5"/>
  <c r="O556" i="5"/>
  <c r="D556" i="5"/>
  <c r="C556" i="5"/>
  <c r="P555" i="5"/>
  <c r="O555" i="5"/>
  <c r="D555" i="5"/>
  <c r="C555" i="5"/>
  <c r="O554" i="5"/>
  <c r="D554" i="5"/>
  <c r="C554" i="5"/>
  <c r="P553" i="5"/>
  <c r="O553" i="5"/>
  <c r="D553" i="5"/>
  <c r="C553" i="5"/>
  <c r="O552" i="5"/>
  <c r="D552" i="5"/>
  <c r="C552" i="5"/>
  <c r="O551" i="5"/>
  <c r="D551" i="5"/>
  <c r="C551" i="5"/>
  <c r="O550" i="5"/>
  <c r="D550" i="5"/>
  <c r="C550" i="5"/>
  <c r="O549" i="5"/>
  <c r="D549" i="5"/>
  <c r="C549" i="5"/>
  <c r="O548" i="5"/>
  <c r="D548" i="5"/>
  <c r="C548" i="5"/>
  <c r="O547" i="5"/>
  <c r="D547" i="5"/>
  <c r="C547" i="5"/>
  <c r="O546" i="5"/>
  <c r="D546" i="5"/>
  <c r="C546" i="5"/>
  <c r="P545" i="5"/>
  <c r="O545" i="5"/>
  <c r="D545" i="5"/>
  <c r="C545" i="5"/>
  <c r="O544" i="5"/>
  <c r="D544" i="5"/>
  <c r="C544" i="5"/>
  <c r="P543" i="5"/>
  <c r="O543" i="5"/>
  <c r="D543" i="5"/>
  <c r="C543" i="5"/>
  <c r="O542" i="5"/>
  <c r="D542" i="5"/>
  <c r="C542" i="5"/>
  <c r="P541" i="5"/>
  <c r="O541" i="5"/>
  <c r="D541" i="5"/>
  <c r="C541" i="5"/>
  <c r="O540" i="5"/>
  <c r="D540" i="5"/>
  <c r="C540" i="5"/>
  <c r="P539" i="5"/>
  <c r="O539" i="5"/>
  <c r="D539" i="5"/>
  <c r="C539" i="5"/>
  <c r="O538" i="5"/>
  <c r="D538" i="5"/>
  <c r="C538" i="5"/>
  <c r="P537" i="5"/>
  <c r="O537" i="5"/>
  <c r="D537" i="5"/>
  <c r="C537" i="5"/>
  <c r="O536" i="5"/>
  <c r="D536" i="5"/>
  <c r="C536" i="5"/>
  <c r="P535" i="5"/>
  <c r="O535" i="5"/>
  <c r="D535" i="5"/>
  <c r="C535" i="5"/>
  <c r="O534" i="5"/>
  <c r="D534" i="5"/>
  <c r="C534" i="5"/>
  <c r="P533" i="5"/>
  <c r="O533" i="5"/>
  <c r="D533" i="5"/>
  <c r="C533" i="5"/>
  <c r="P532" i="5"/>
  <c r="O532" i="5"/>
  <c r="N532" i="5"/>
  <c r="D532" i="5"/>
  <c r="C532" i="5"/>
  <c r="P531" i="5"/>
  <c r="O531" i="5"/>
  <c r="N531" i="5"/>
  <c r="D531" i="5"/>
  <c r="C531" i="5"/>
  <c r="P530" i="5"/>
  <c r="O530" i="5"/>
  <c r="N530" i="5"/>
  <c r="D530" i="5"/>
  <c r="C530" i="5"/>
  <c r="P529" i="5"/>
  <c r="O529" i="5"/>
  <c r="N529" i="5"/>
  <c r="D529" i="5"/>
  <c r="C529" i="5"/>
  <c r="P528" i="5"/>
  <c r="O528" i="5"/>
  <c r="N528" i="5"/>
  <c r="D528" i="5"/>
  <c r="C528" i="5"/>
  <c r="P527" i="5"/>
  <c r="O527" i="5"/>
  <c r="N527" i="5"/>
  <c r="D527" i="5"/>
  <c r="C527" i="5"/>
  <c r="P526" i="5"/>
  <c r="O526" i="5"/>
  <c r="D526" i="5"/>
  <c r="C526" i="5"/>
  <c r="P525" i="5"/>
  <c r="O525" i="5"/>
  <c r="D525" i="5"/>
  <c r="C525" i="5"/>
  <c r="P524" i="5"/>
  <c r="O524" i="5"/>
  <c r="D524" i="5"/>
  <c r="C524" i="5"/>
  <c r="P523" i="5"/>
  <c r="O523" i="5"/>
  <c r="D523" i="5"/>
  <c r="C523" i="5"/>
  <c r="P522" i="5"/>
  <c r="O522" i="5"/>
  <c r="N522" i="5"/>
  <c r="D522" i="5"/>
  <c r="C522" i="5"/>
  <c r="P521" i="5"/>
  <c r="O521" i="5"/>
  <c r="N521" i="5"/>
  <c r="D521" i="5"/>
  <c r="C521" i="5"/>
  <c r="P520" i="5"/>
  <c r="O520" i="5"/>
  <c r="N520" i="5"/>
  <c r="D520" i="5"/>
  <c r="C520" i="5"/>
  <c r="P519" i="5"/>
  <c r="O519" i="5"/>
  <c r="D519" i="5"/>
  <c r="C519" i="5"/>
  <c r="P518" i="5"/>
  <c r="O518" i="5"/>
  <c r="D518" i="5"/>
  <c r="C518" i="5"/>
  <c r="P517" i="5"/>
  <c r="O517" i="5"/>
  <c r="D517" i="5"/>
  <c r="C517" i="5"/>
  <c r="P516" i="5"/>
  <c r="O516" i="5"/>
  <c r="D516" i="5"/>
  <c r="C516" i="5"/>
  <c r="P515" i="5"/>
  <c r="O515" i="5"/>
  <c r="D515" i="5"/>
  <c r="C515" i="5"/>
  <c r="P514" i="5"/>
  <c r="O514" i="5"/>
  <c r="D514" i="5"/>
  <c r="C514" i="5"/>
  <c r="P513" i="5"/>
  <c r="O513" i="5"/>
  <c r="D513" i="5"/>
  <c r="C513" i="5"/>
  <c r="P512" i="5"/>
  <c r="O512" i="5"/>
  <c r="D512" i="5"/>
  <c r="C512" i="5"/>
  <c r="P511" i="5"/>
  <c r="O511" i="5"/>
  <c r="D511" i="5"/>
  <c r="C511" i="5"/>
  <c r="P510" i="5"/>
  <c r="O510" i="5"/>
  <c r="D510" i="5"/>
  <c r="C510" i="5"/>
  <c r="P509" i="5"/>
  <c r="O509" i="5"/>
  <c r="D509" i="5"/>
  <c r="C509" i="5"/>
  <c r="P508" i="5"/>
  <c r="O508" i="5"/>
  <c r="D508" i="5"/>
  <c r="C508" i="5"/>
  <c r="P507" i="5"/>
  <c r="O507" i="5"/>
  <c r="D507" i="5"/>
  <c r="C507" i="5"/>
  <c r="P506" i="5"/>
  <c r="O506" i="5"/>
  <c r="D506" i="5"/>
  <c r="C506" i="5"/>
  <c r="P505" i="5"/>
  <c r="O505" i="5"/>
  <c r="D505" i="5"/>
  <c r="C505" i="5"/>
  <c r="P504" i="5"/>
  <c r="O504" i="5"/>
  <c r="D504" i="5"/>
  <c r="C504" i="5"/>
  <c r="P503" i="5"/>
  <c r="O503" i="5"/>
  <c r="D503" i="5"/>
  <c r="C503" i="5"/>
  <c r="P502" i="5"/>
  <c r="O502" i="5"/>
  <c r="D502" i="5"/>
  <c r="C502" i="5"/>
  <c r="P501" i="5"/>
  <c r="O501" i="5"/>
  <c r="N501" i="5"/>
  <c r="D501" i="5"/>
  <c r="C501" i="5"/>
  <c r="O500" i="5"/>
  <c r="N500" i="5"/>
  <c r="G500" i="5"/>
  <c r="P500" i="5" s="1"/>
  <c r="F500" i="5"/>
  <c r="D500" i="5"/>
  <c r="C500" i="5"/>
  <c r="P499" i="5"/>
  <c r="O499" i="5"/>
  <c r="N499" i="5"/>
  <c r="D499" i="5"/>
  <c r="C499" i="5"/>
  <c r="O498" i="5"/>
  <c r="N498" i="5"/>
  <c r="G498" i="5"/>
  <c r="P498" i="5" s="1"/>
  <c r="F498" i="5"/>
  <c r="D498" i="5"/>
  <c r="C498" i="5"/>
  <c r="P497" i="5"/>
  <c r="O497" i="5"/>
  <c r="N497" i="5"/>
  <c r="D497" i="5"/>
  <c r="C497" i="5"/>
  <c r="P496" i="5"/>
  <c r="O496" i="5"/>
  <c r="N496" i="5"/>
  <c r="D496" i="5"/>
  <c r="C496" i="5"/>
  <c r="P495" i="5"/>
  <c r="O495" i="5"/>
  <c r="N495" i="5"/>
  <c r="D495" i="5"/>
  <c r="C495" i="5"/>
  <c r="P494" i="5"/>
  <c r="O494" i="5"/>
  <c r="N494" i="5"/>
  <c r="D494" i="5"/>
  <c r="C494" i="5"/>
  <c r="P493" i="5"/>
  <c r="O493" i="5"/>
  <c r="N493" i="5"/>
  <c r="D493" i="5"/>
  <c r="C493" i="5"/>
  <c r="P492" i="5"/>
  <c r="O492" i="5"/>
  <c r="N492" i="5"/>
  <c r="D492" i="5"/>
  <c r="C492" i="5"/>
  <c r="P491" i="5"/>
  <c r="O491" i="5"/>
  <c r="N491" i="5"/>
  <c r="D491" i="5"/>
  <c r="C491" i="5"/>
  <c r="P490" i="5"/>
  <c r="O490" i="5"/>
  <c r="N490" i="5"/>
  <c r="D490" i="5"/>
  <c r="C490" i="5"/>
  <c r="P489" i="5"/>
  <c r="O489" i="5"/>
  <c r="N489" i="5"/>
  <c r="D489" i="5"/>
  <c r="C489" i="5"/>
  <c r="P488" i="5"/>
  <c r="O488" i="5"/>
  <c r="N488" i="5"/>
  <c r="D488" i="5"/>
  <c r="C488" i="5"/>
  <c r="P487" i="5"/>
  <c r="O487" i="5"/>
  <c r="N487" i="5"/>
  <c r="D487" i="5"/>
  <c r="C487" i="5"/>
  <c r="P486" i="5"/>
  <c r="O486" i="5"/>
  <c r="N486" i="5"/>
  <c r="D486" i="5"/>
  <c r="C486" i="5"/>
  <c r="P485" i="5"/>
  <c r="O485" i="5"/>
  <c r="N485" i="5"/>
  <c r="D485" i="5"/>
  <c r="C485" i="5"/>
  <c r="P484" i="5"/>
  <c r="O484" i="5"/>
  <c r="N484" i="5"/>
  <c r="D484" i="5"/>
  <c r="C484" i="5"/>
  <c r="P483" i="5"/>
  <c r="O483" i="5"/>
  <c r="N483" i="5"/>
  <c r="D483" i="5"/>
  <c r="C483" i="5"/>
  <c r="P482" i="5"/>
  <c r="O482" i="5"/>
  <c r="N482" i="5"/>
  <c r="D482" i="5"/>
  <c r="C482" i="5"/>
  <c r="P481" i="5"/>
  <c r="O481" i="5"/>
  <c r="N481" i="5"/>
  <c r="D481" i="5"/>
  <c r="C481" i="5"/>
  <c r="P480" i="5"/>
  <c r="O480" i="5"/>
  <c r="N480" i="5"/>
  <c r="D480" i="5"/>
  <c r="C480" i="5"/>
  <c r="P479" i="5"/>
  <c r="O479" i="5"/>
  <c r="N479" i="5"/>
  <c r="D479" i="5"/>
  <c r="C479" i="5"/>
  <c r="P478" i="5"/>
  <c r="O478" i="5"/>
  <c r="N478" i="5"/>
  <c r="D478" i="5"/>
  <c r="C478" i="5"/>
  <c r="P477" i="5"/>
  <c r="O477" i="5"/>
  <c r="N477" i="5"/>
  <c r="D477" i="5"/>
  <c r="C477" i="5"/>
  <c r="P476" i="5"/>
  <c r="O476" i="5"/>
  <c r="N476" i="5"/>
  <c r="D476" i="5"/>
  <c r="C476" i="5"/>
  <c r="P475" i="5"/>
  <c r="O475" i="5"/>
  <c r="N475" i="5"/>
  <c r="D475" i="5"/>
  <c r="C475" i="5"/>
  <c r="P474" i="5"/>
  <c r="O474" i="5"/>
  <c r="N474" i="5"/>
  <c r="D474" i="5"/>
  <c r="C474" i="5"/>
  <c r="P473" i="5"/>
  <c r="O473" i="5"/>
  <c r="N473" i="5"/>
  <c r="D473" i="5"/>
  <c r="C473" i="5"/>
  <c r="P472" i="5"/>
  <c r="O472" i="5"/>
  <c r="N472" i="5"/>
  <c r="D472" i="5"/>
  <c r="C472" i="5"/>
  <c r="P471" i="5"/>
  <c r="O471" i="5"/>
  <c r="N471" i="5"/>
  <c r="D471" i="5"/>
  <c r="C471" i="5"/>
  <c r="P470" i="5"/>
  <c r="O470" i="5"/>
  <c r="N470" i="5"/>
  <c r="D470" i="5"/>
  <c r="C470" i="5"/>
  <c r="P469" i="5"/>
  <c r="O469" i="5"/>
  <c r="N469" i="5"/>
  <c r="D469" i="5"/>
  <c r="C469" i="5"/>
  <c r="P468" i="5"/>
  <c r="O468" i="5"/>
  <c r="N468" i="5"/>
  <c r="D468" i="5"/>
  <c r="C468" i="5"/>
  <c r="P467" i="5"/>
  <c r="O467" i="5"/>
  <c r="N467" i="5"/>
  <c r="D467" i="5"/>
  <c r="C467" i="5"/>
  <c r="P466" i="5"/>
  <c r="O466" i="5"/>
  <c r="N466" i="5"/>
  <c r="D466" i="5"/>
  <c r="C466" i="5"/>
  <c r="O465" i="5"/>
  <c r="N465" i="5"/>
  <c r="G465" i="5"/>
  <c r="P465" i="5" s="1"/>
  <c r="F465" i="5"/>
  <c r="D465" i="5"/>
  <c r="C465" i="5"/>
  <c r="P464" i="5"/>
  <c r="O464" i="5"/>
  <c r="D464" i="5"/>
  <c r="C464" i="5"/>
  <c r="P463" i="5"/>
  <c r="O463" i="5"/>
  <c r="D463" i="5"/>
  <c r="C463" i="5"/>
  <c r="P462" i="5"/>
  <c r="O462" i="5"/>
  <c r="D462" i="5"/>
  <c r="C462" i="5"/>
  <c r="P461" i="5"/>
  <c r="O461" i="5"/>
  <c r="D461" i="5"/>
  <c r="C461" i="5"/>
  <c r="P460" i="5"/>
  <c r="O460" i="5"/>
  <c r="N460" i="5"/>
  <c r="D460" i="5"/>
  <c r="C460" i="5"/>
  <c r="P459" i="5"/>
  <c r="O459" i="5"/>
  <c r="D459" i="5"/>
  <c r="C459" i="5"/>
  <c r="P458" i="5"/>
  <c r="O458" i="5"/>
  <c r="D458" i="5"/>
  <c r="C458" i="5"/>
  <c r="P457" i="5"/>
  <c r="O457" i="5"/>
  <c r="D457" i="5"/>
  <c r="C457" i="5"/>
  <c r="P456" i="5"/>
  <c r="O456" i="5"/>
  <c r="D456" i="5"/>
  <c r="C456" i="5"/>
  <c r="P455" i="5"/>
  <c r="O455" i="5"/>
  <c r="N455" i="5"/>
  <c r="D455" i="5"/>
  <c r="C455" i="5"/>
  <c r="P454" i="5"/>
  <c r="O454" i="5"/>
  <c r="D454" i="5"/>
  <c r="C454" i="5"/>
  <c r="P453" i="5"/>
  <c r="O453" i="5"/>
  <c r="D453" i="5"/>
  <c r="C453" i="5"/>
  <c r="P452" i="5"/>
  <c r="O452" i="5"/>
  <c r="D452" i="5"/>
  <c r="C452" i="5"/>
  <c r="P451" i="5"/>
  <c r="O451" i="5"/>
  <c r="D451" i="5"/>
  <c r="C451" i="5"/>
  <c r="D449" i="5"/>
  <c r="C449" i="5"/>
  <c r="D448" i="5"/>
  <c r="C448" i="5"/>
  <c r="D447" i="5"/>
  <c r="C447" i="5"/>
  <c r="D446" i="5"/>
  <c r="C446" i="5"/>
  <c r="D445" i="5"/>
  <c r="C445" i="5"/>
  <c r="D444" i="5"/>
  <c r="C444" i="5"/>
  <c r="P443" i="5"/>
  <c r="O443" i="5"/>
  <c r="N443" i="5"/>
  <c r="D443" i="5"/>
  <c r="C443" i="5"/>
  <c r="P442" i="5"/>
  <c r="O442" i="5"/>
  <c r="N442" i="5"/>
  <c r="D442" i="5"/>
  <c r="C442" i="5"/>
  <c r="P441" i="5"/>
  <c r="O441" i="5"/>
  <c r="N441" i="5"/>
  <c r="D441" i="5"/>
  <c r="C441" i="5"/>
  <c r="P440" i="5"/>
  <c r="O440" i="5"/>
  <c r="N440" i="5"/>
  <c r="D440" i="5"/>
  <c r="C440" i="5"/>
  <c r="P439" i="5"/>
  <c r="O439" i="5"/>
  <c r="N439" i="5"/>
  <c r="D439" i="5"/>
  <c r="C439" i="5"/>
  <c r="P438" i="5"/>
  <c r="O438" i="5"/>
  <c r="N438" i="5"/>
  <c r="D438" i="5"/>
  <c r="C438" i="5"/>
  <c r="P437" i="5"/>
  <c r="O437" i="5"/>
  <c r="N437" i="5"/>
  <c r="D437" i="5"/>
  <c r="C437" i="5"/>
  <c r="P436" i="5"/>
  <c r="O436" i="5"/>
  <c r="N436" i="5"/>
  <c r="D436" i="5"/>
  <c r="C436" i="5"/>
  <c r="P435" i="5"/>
  <c r="O435" i="5"/>
  <c r="N435" i="5"/>
  <c r="D435" i="5"/>
  <c r="C435" i="5"/>
  <c r="P434" i="5"/>
  <c r="O434" i="5"/>
  <c r="N434" i="5"/>
  <c r="D434" i="5"/>
  <c r="C434" i="5"/>
  <c r="P433" i="5"/>
  <c r="O433" i="5"/>
  <c r="N433" i="5"/>
  <c r="D433" i="5"/>
  <c r="C433" i="5"/>
  <c r="P432" i="5"/>
  <c r="O432" i="5"/>
  <c r="N432" i="5"/>
  <c r="D432" i="5"/>
  <c r="C432" i="5"/>
  <c r="P431" i="5"/>
  <c r="O431" i="5"/>
  <c r="N431" i="5"/>
  <c r="D431" i="5"/>
  <c r="C431" i="5"/>
  <c r="P430" i="5"/>
  <c r="O430" i="5"/>
  <c r="N430" i="5"/>
  <c r="D430" i="5"/>
  <c r="C430" i="5"/>
  <c r="P429" i="5"/>
  <c r="O429" i="5"/>
  <c r="N429" i="5"/>
  <c r="D429" i="5"/>
  <c r="C429" i="5"/>
  <c r="P428" i="5"/>
  <c r="O428" i="5"/>
  <c r="N428" i="5"/>
  <c r="D428" i="5"/>
  <c r="C428" i="5"/>
  <c r="P427" i="5"/>
  <c r="O427" i="5"/>
  <c r="N427" i="5"/>
  <c r="D427" i="5"/>
  <c r="C427" i="5"/>
  <c r="P426" i="5"/>
  <c r="O426" i="5"/>
  <c r="N426" i="5"/>
  <c r="D426" i="5"/>
  <c r="C426" i="5"/>
  <c r="P425" i="5"/>
  <c r="O425" i="5"/>
  <c r="N425" i="5"/>
  <c r="D425" i="5"/>
  <c r="C425" i="5"/>
  <c r="P424" i="5"/>
  <c r="O424" i="5"/>
  <c r="N424" i="5"/>
  <c r="D424" i="5"/>
  <c r="C424" i="5"/>
  <c r="P423" i="5"/>
  <c r="O423" i="5"/>
  <c r="N423" i="5"/>
  <c r="D423" i="5"/>
  <c r="C423" i="5"/>
  <c r="P422" i="5"/>
  <c r="O422" i="5"/>
  <c r="N422" i="5"/>
  <c r="D422" i="5"/>
  <c r="C422" i="5"/>
  <c r="P421" i="5"/>
  <c r="O421" i="5"/>
  <c r="N421" i="5"/>
  <c r="D421" i="5"/>
  <c r="C421" i="5"/>
  <c r="P420" i="5"/>
  <c r="O420" i="5"/>
  <c r="N420" i="5"/>
  <c r="D420" i="5"/>
  <c r="C420" i="5"/>
  <c r="P419" i="5"/>
  <c r="O419" i="5"/>
  <c r="N419" i="5"/>
  <c r="D419" i="5"/>
  <c r="C419" i="5"/>
  <c r="P418" i="5"/>
  <c r="O418" i="5"/>
  <c r="N418" i="5"/>
  <c r="D418" i="5"/>
  <c r="C418" i="5"/>
  <c r="P417" i="5"/>
  <c r="O417" i="5"/>
  <c r="N417" i="5"/>
  <c r="D417" i="5"/>
  <c r="C417" i="5"/>
  <c r="P416" i="5"/>
  <c r="O416" i="5"/>
  <c r="N416" i="5"/>
  <c r="D416" i="5"/>
  <c r="C416" i="5"/>
  <c r="P415" i="5"/>
  <c r="O415" i="5"/>
  <c r="N415" i="5"/>
  <c r="D415" i="5"/>
  <c r="C415" i="5"/>
  <c r="P414" i="5"/>
  <c r="O414" i="5"/>
  <c r="N414" i="5"/>
  <c r="D414" i="5"/>
  <c r="C414" i="5"/>
  <c r="P413" i="5"/>
  <c r="O413" i="5"/>
  <c r="N413" i="5"/>
  <c r="D413" i="5"/>
  <c r="C413" i="5"/>
  <c r="P412" i="5"/>
  <c r="O412" i="5"/>
  <c r="N412" i="5"/>
  <c r="D412" i="5"/>
  <c r="C412" i="5"/>
  <c r="P411" i="5"/>
  <c r="O411" i="5"/>
  <c r="N411" i="5"/>
  <c r="D411" i="5"/>
  <c r="C411" i="5"/>
  <c r="P410" i="5"/>
  <c r="O410" i="5"/>
  <c r="N410" i="5"/>
  <c r="D410" i="5"/>
  <c r="C410" i="5"/>
  <c r="P409" i="5"/>
  <c r="O409" i="5"/>
  <c r="D409" i="5"/>
  <c r="C409" i="5"/>
  <c r="P408" i="5"/>
  <c r="O408" i="5"/>
  <c r="D408" i="5"/>
  <c r="C408" i="5"/>
  <c r="P407" i="5"/>
  <c r="O407" i="5"/>
  <c r="D407" i="5"/>
  <c r="C407" i="5"/>
  <c r="P406" i="5"/>
  <c r="O406" i="5"/>
  <c r="D406" i="5"/>
  <c r="C406" i="5"/>
  <c r="P405" i="5"/>
  <c r="O405" i="5"/>
  <c r="D405" i="5"/>
  <c r="C405" i="5"/>
  <c r="P404" i="5"/>
  <c r="O404" i="5"/>
  <c r="D404" i="5"/>
  <c r="C404" i="5"/>
  <c r="P403" i="5"/>
  <c r="O403" i="5"/>
  <c r="N403" i="5"/>
  <c r="D403" i="5"/>
  <c r="C403" i="5"/>
  <c r="P402" i="5"/>
  <c r="O402" i="5"/>
  <c r="N402" i="5"/>
  <c r="D402" i="5"/>
  <c r="C402" i="5"/>
  <c r="P401" i="5"/>
  <c r="O401" i="5"/>
  <c r="N401" i="5"/>
  <c r="D401" i="5"/>
  <c r="C401" i="5"/>
  <c r="P400" i="5"/>
  <c r="O400" i="5"/>
  <c r="N400" i="5"/>
  <c r="D400" i="5"/>
  <c r="C400" i="5"/>
  <c r="P399" i="5"/>
  <c r="O399" i="5"/>
  <c r="N399" i="5"/>
  <c r="D399" i="5"/>
  <c r="C399" i="5"/>
  <c r="P398" i="5"/>
  <c r="O398" i="5"/>
  <c r="N398" i="5"/>
  <c r="D398" i="5"/>
  <c r="C398" i="5"/>
  <c r="P397" i="5"/>
  <c r="O397" i="5"/>
  <c r="N397" i="5"/>
  <c r="D397" i="5"/>
  <c r="C397" i="5"/>
  <c r="P396" i="5"/>
  <c r="O396" i="5"/>
  <c r="N396" i="5"/>
  <c r="D396" i="5"/>
  <c r="C396" i="5"/>
  <c r="P395" i="5"/>
  <c r="O395" i="5"/>
  <c r="N395" i="5"/>
  <c r="D395" i="5"/>
  <c r="C395" i="5"/>
  <c r="P394" i="5"/>
  <c r="O394" i="5"/>
  <c r="N394" i="5"/>
  <c r="D394" i="5"/>
  <c r="C394" i="5"/>
  <c r="P393" i="5"/>
  <c r="O393" i="5"/>
  <c r="N393" i="5"/>
  <c r="D393" i="5"/>
  <c r="C393" i="5"/>
  <c r="P392" i="5"/>
  <c r="O392" i="5"/>
  <c r="N392" i="5"/>
  <c r="D392" i="5"/>
  <c r="C392" i="5"/>
  <c r="P391" i="5"/>
  <c r="O391" i="5"/>
  <c r="N391" i="5"/>
  <c r="D391" i="5"/>
  <c r="C391" i="5"/>
  <c r="P390" i="5"/>
  <c r="O390" i="5"/>
  <c r="N390" i="5"/>
  <c r="D390" i="5"/>
  <c r="C390" i="5"/>
  <c r="P389" i="5"/>
  <c r="O389" i="5"/>
  <c r="N389" i="5"/>
  <c r="D389" i="5"/>
  <c r="C389" i="5"/>
  <c r="P388" i="5"/>
  <c r="O388" i="5"/>
  <c r="N388" i="5"/>
  <c r="D388" i="5"/>
  <c r="C388" i="5"/>
  <c r="P387" i="5"/>
  <c r="O387" i="5"/>
  <c r="N387" i="5"/>
  <c r="D387" i="5"/>
  <c r="C387" i="5"/>
  <c r="P386" i="5"/>
  <c r="O386" i="5"/>
  <c r="N386" i="5"/>
  <c r="D386" i="5"/>
  <c r="C386" i="5"/>
  <c r="P385" i="5"/>
  <c r="O385" i="5"/>
  <c r="N385" i="5"/>
  <c r="D385" i="5"/>
  <c r="C385" i="5"/>
  <c r="P384" i="5"/>
  <c r="O384" i="5"/>
  <c r="N384" i="5"/>
  <c r="D384" i="5"/>
  <c r="C384" i="5"/>
  <c r="P383" i="5"/>
  <c r="O383" i="5"/>
  <c r="N383" i="5"/>
  <c r="D383" i="5"/>
  <c r="C383" i="5"/>
  <c r="P382" i="5"/>
  <c r="O382" i="5"/>
  <c r="N382" i="5"/>
  <c r="D382" i="5"/>
  <c r="C382" i="5"/>
  <c r="P381" i="5"/>
  <c r="O381" i="5"/>
  <c r="N381" i="5"/>
  <c r="D381" i="5"/>
  <c r="C381" i="5"/>
  <c r="P380" i="5"/>
  <c r="O380" i="5"/>
  <c r="N380" i="5"/>
  <c r="D380" i="5"/>
  <c r="C380" i="5"/>
  <c r="P377" i="5"/>
  <c r="N377" i="5"/>
  <c r="D377" i="5"/>
  <c r="C377" i="5"/>
  <c r="P376" i="5"/>
  <c r="N376" i="5"/>
  <c r="D376" i="5"/>
  <c r="C376" i="5"/>
  <c r="P375" i="5"/>
  <c r="O375" i="5"/>
  <c r="N375" i="5"/>
  <c r="D375" i="5"/>
  <c r="C375" i="5"/>
  <c r="P374" i="5"/>
  <c r="O374" i="5"/>
  <c r="N374" i="5"/>
  <c r="D374" i="5"/>
  <c r="C374" i="5"/>
  <c r="P373" i="5"/>
  <c r="O373" i="5"/>
  <c r="N373" i="5"/>
  <c r="D373" i="5"/>
  <c r="C373" i="5"/>
  <c r="P372" i="5"/>
  <c r="O372" i="5"/>
  <c r="N372" i="5"/>
  <c r="D372" i="5"/>
  <c r="C372" i="5"/>
  <c r="P371" i="5"/>
  <c r="O371" i="5"/>
  <c r="N371" i="5"/>
  <c r="D371" i="5"/>
  <c r="C371" i="5"/>
  <c r="P370" i="5"/>
  <c r="O370" i="5"/>
  <c r="N370" i="5"/>
  <c r="D370" i="5"/>
  <c r="C370" i="5"/>
  <c r="P369" i="5"/>
  <c r="O369" i="5"/>
  <c r="N369" i="5"/>
  <c r="D369" i="5"/>
  <c r="C369" i="5"/>
  <c r="P368" i="5"/>
  <c r="O368" i="5"/>
  <c r="N368" i="5"/>
  <c r="D368" i="5"/>
  <c r="C368" i="5"/>
  <c r="P367" i="5"/>
  <c r="O367" i="5"/>
  <c r="N367" i="5"/>
  <c r="D367" i="5"/>
  <c r="C367" i="5"/>
  <c r="P366" i="5"/>
  <c r="O366" i="5"/>
  <c r="N366" i="5"/>
  <c r="D366" i="5"/>
  <c r="C366" i="5"/>
  <c r="D364" i="5"/>
  <c r="C364" i="5"/>
  <c r="D363" i="5"/>
  <c r="C363" i="5"/>
  <c r="D362" i="5"/>
  <c r="C362" i="5"/>
  <c r="D361" i="5"/>
  <c r="C361" i="5"/>
  <c r="D360" i="5"/>
  <c r="C360" i="5"/>
  <c r="D359" i="5"/>
  <c r="C359" i="5"/>
  <c r="P358" i="5"/>
  <c r="O358" i="5"/>
  <c r="N358" i="5"/>
  <c r="D358" i="5"/>
  <c r="C358" i="5"/>
  <c r="P357" i="5"/>
  <c r="O357" i="5"/>
  <c r="N357" i="5"/>
  <c r="D357" i="5"/>
  <c r="C357" i="5"/>
  <c r="P356" i="5"/>
  <c r="O356" i="5"/>
  <c r="N356" i="5"/>
  <c r="D356" i="5"/>
  <c r="C356" i="5"/>
  <c r="P355" i="5"/>
  <c r="O355" i="5"/>
  <c r="N355" i="5"/>
  <c r="D355" i="5"/>
  <c r="C355" i="5"/>
  <c r="P354" i="5"/>
  <c r="O354" i="5"/>
  <c r="N354" i="5"/>
  <c r="D354" i="5"/>
  <c r="C354" i="5"/>
  <c r="P353" i="5"/>
  <c r="O353" i="5"/>
  <c r="N353" i="5"/>
  <c r="D353" i="5"/>
  <c r="C353" i="5"/>
  <c r="P352" i="5"/>
  <c r="O352" i="5"/>
  <c r="N352" i="5"/>
  <c r="D352" i="5"/>
  <c r="C352" i="5"/>
  <c r="P351" i="5"/>
  <c r="O351" i="5"/>
  <c r="N351" i="5"/>
  <c r="D351" i="5"/>
  <c r="C351" i="5"/>
  <c r="P350" i="5"/>
  <c r="O350" i="5"/>
  <c r="N350" i="5"/>
  <c r="D350" i="5"/>
  <c r="C350" i="5"/>
  <c r="P349" i="5"/>
  <c r="O349" i="5"/>
  <c r="N349" i="5"/>
  <c r="D349" i="5"/>
  <c r="C349" i="5"/>
  <c r="P348" i="5"/>
  <c r="O348" i="5"/>
  <c r="N348" i="5"/>
  <c r="D348" i="5"/>
  <c r="C348" i="5"/>
  <c r="P347" i="5"/>
  <c r="O347" i="5"/>
  <c r="N347" i="5"/>
  <c r="D347" i="5"/>
  <c r="C347" i="5"/>
  <c r="P346" i="5"/>
  <c r="O346" i="5"/>
  <c r="N346" i="5"/>
  <c r="D346" i="5"/>
  <c r="C346" i="5"/>
  <c r="P345" i="5"/>
  <c r="O345" i="5"/>
  <c r="N345" i="5"/>
  <c r="D345" i="5"/>
  <c r="C345" i="5"/>
  <c r="P344" i="5"/>
  <c r="O344" i="5"/>
  <c r="N344" i="5"/>
  <c r="D344" i="5"/>
  <c r="C344" i="5"/>
  <c r="P343" i="5"/>
  <c r="O343" i="5"/>
  <c r="N343" i="5"/>
  <c r="D343" i="5"/>
  <c r="C343" i="5"/>
  <c r="P342" i="5"/>
  <c r="O342" i="5"/>
  <c r="N342" i="5"/>
  <c r="D342" i="5"/>
  <c r="C342" i="5"/>
  <c r="P341" i="5"/>
  <c r="O341" i="5"/>
  <c r="N341" i="5"/>
  <c r="D341" i="5"/>
  <c r="C341" i="5"/>
  <c r="P340" i="5"/>
  <c r="O340" i="5"/>
  <c r="N340" i="5"/>
  <c r="D340" i="5"/>
  <c r="C340" i="5"/>
  <c r="P339" i="5"/>
  <c r="O339" i="5"/>
  <c r="N339" i="5"/>
  <c r="D339" i="5"/>
  <c r="C339" i="5"/>
  <c r="P338" i="5"/>
  <c r="O338" i="5"/>
  <c r="N338" i="5"/>
  <c r="D338" i="5"/>
  <c r="C338" i="5"/>
  <c r="P337" i="5"/>
  <c r="O337" i="5"/>
  <c r="N337" i="5"/>
  <c r="D337" i="5"/>
  <c r="C337" i="5"/>
  <c r="P336" i="5"/>
  <c r="O336" i="5"/>
  <c r="N336" i="5"/>
  <c r="D336" i="5"/>
  <c r="C336" i="5"/>
  <c r="P335" i="5"/>
  <c r="O335" i="5"/>
  <c r="N335" i="5"/>
  <c r="D335" i="5"/>
  <c r="C335" i="5"/>
  <c r="P334" i="5"/>
  <c r="O334" i="5"/>
  <c r="N334" i="5"/>
  <c r="D334" i="5"/>
  <c r="C334" i="5"/>
  <c r="P333" i="5"/>
  <c r="O333" i="5"/>
  <c r="N333" i="5"/>
  <c r="D333" i="5"/>
  <c r="C333" i="5"/>
  <c r="P332" i="5"/>
  <c r="O332" i="5"/>
  <c r="N332" i="5"/>
  <c r="D332" i="5"/>
  <c r="C332" i="5"/>
  <c r="P331" i="5"/>
  <c r="O331" i="5"/>
  <c r="N331" i="5"/>
  <c r="D331" i="5"/>
  <c r="C331" i="5"/>
  <c r="P330" i="5"/>
  <c r="O330" i="5"/>
  <c r="N330" i="5"/>
  <c r="D330" i="5"/>
  <c r="C330" i="5"/>
  <c r="P329" i="5"/>
  <c r="O329" i="5"/>
  <c r="N329" i="5"/>
  <c r="D329" i="5"/>
  <c r="C329" i="5"/>
  <c r="P328" i="5"/>
  <c r="O328" i="5"/>
  <c r="N328" i="5"/>
  <c r="D328" i="5"/>
  <c r="C328" i="5"/>
  <c r="P327" i="5"/>
  <c r="O327" i="5"/>
  <c r="N327" i="5"/>
  <c r="D327" i="5"/>
  <c r="C327" i="5"/>
  <c r="P326" i="5"/>
  <c r="O326" i="5"/>
  <c r="N326" i="5"/>
  <c r="D326" i="5"/>
  <c r="C326" i="5"/>
  <c r="P325" i="5"/>
  <c r="O325" i="5"/>
  <c r="N325" i="5"/>
  <c r="D325" i="5"/>
  <c r="C325" i="5"/>
  <c r="P324" i="5"/>
  <c r="O324" i="5"/>
  <c r="N324" i="5"/>
  <c r="D324" i="5"/>
  <c r="C324" i="5"/>
  <c r="P323" i="5"/>
  <c r="O323" i="5"/>
  <c r="N323" i="5"/>
  <c r="D323" i="5"/>
  <c r="C323" i="5"/>
  <c r="P322" i="5"/>
  <c r="O322" i="5"/>
  <c r="N322" i="5"/>
  <c r="D322" i="5"/>
  <c r="C322" i="5"/>
  <c r="P321" i="5"/>
  <c r="O321" i="5"/>
  <c r="N321" i="5"/>
  <c r="D321" i="5"/>
  <c r="C321" i="5"/>
  <c r="P320" i="5"/>
  <c r="O320" i="5"/>
  <c r="N320" i="5"/>
  <c r="D320" i="5"/>
  <c r="C320" i="5"/>
  <c r="P319" i="5"/>
  <c r="O319" i="5"/>
  <c r="N319" i="5"/>
  <c r="D319" i="5"/>
  <c r="C319" i="5"/>
  <c r="P318" i="5"/>
  <c r="O318" i="5"/>
  <c r="N318" i="5"/>
  <c r="D318" i="5"/>
  <c r="C318" i="5"/>
  <c r="P317" i="5"/>
  <c r="O317" i="5"/>
  <c r="N317" i="5"/>
  <c r="D317" i="5"/>
  <c r="C317" i="5"/>
  <c r="P316" i="5"/>
  <c r="O316" i="5"/>
  <c r="N316" i="5"/>
  <c r="D316" i="5"/>
  <c r="C316" i="5"/>
  <c r="P315" i="5"/>
  <c r="O315" i="5"/>
  <c r="N315" i="5"/>
  <c r="D315" i="5"/>
  <c r="C315" i="5"/>
  <c r="P314" i="5"/>
  <c r="O314" i="5"/>
  <c r="N314" i="5"/>
  <c r="D314" i="5"/>
  <c r="C314" i="5"/>
  <c r="P313" i="5"/>
  <c r="O313" i="5"/>
  <c r="N313" i="5"/>
  <c r="D313" i="5"/>
  <c r="C313" i="5"/>
  <c r="P312" i="5"/>
  <c r="O312" i="5"/>
  <c r="D312" i="5"/>
  <c r="C312" i="5"/>
  <c r="P311" i="5"/>
  <c r="O311" i="5"/>
  <c r="N311" i="5"/>
  <c r="D311" i="5"/>
  <c r="C311" i="5"/>
  <c r="P310" i="5"/>
  <c r="O310" i="5"/>
  <c r="N310" i="5"/>
  <c r="D310" i="5"/>
  <c r="C310" i="5"/>
  <c r="P309" i="5"/>
  <c r="O309" i="5"/>
  <c r="N309" i="5"/>
  <c r="D309" i="5"/>
  <c r="C309" i="5"/>
  <c r="P308" i="5"/>
  <c r="O308" i="5"/>
  <c r="N308" i="5"/>
  <c r="D308" i="5"/>
  <c r="C308" i="5"/>
  <c r="P307" i="5"/>
  <c r="O307" i="5"/>
  <c r="D307" i="5"/>
  <c r="C307" i="5"/>
  <c r="P306" i="5"/>
  <c r="O306" i="5"/>
  <c r="D306" i="5"/>
  <c r="C306" i="5"/>
  <c r="P305" i="5"/>
  <c r="O305" i="5"/>
  <c r="D305" i="5"/>
  <c r="C305" i="5"/>
  <c r="P304" i="5"/>
  <c r="O304" i="5"/>
  <c r="N304" i="5"/>
  <c r="D304" i="5"/>
  <c r="C304" i="5"/>
  <c r="P303" i="5"/>
  <c r="O303" i="5"/>
  <c r="N303" i="5"/>
  <c r="D303" i="5"/>
  <c r="C303" i="5"/>
  <c r="P302" i="5"/>
  <c r="O302" i="5"/>
  <c r="D302" i="5"/>
  <c r="C302" i="5"/>
  <c r="P301" i="5"/>
  <c r="O301" i="5"/>
  <c r="N301" i="5"/>
  <c r="D301" i="5"/>
  <c r="C301" i="5"/>
  <c r="P300" i="5"/>
  <c r="O300" i="5"/>
  <c r="N300" i="5"/>
  <c r="D300" i="5"/>
  <c r="C300" i="5"/>
  <c r="P299" i="5"/>
  <c r="O299" i="5"/>
  <c r="N299" i="5"/>
  <c r="D299" i="5"/>
  <c r="C299" i="5"/>
  <c r="P298" i="5"/>
  <c r="O298" i="5"/>
  <c r="N298" i="5"/>
  <c r="D298" i="5"/>
  <c r="C298" i="5"/>
  <c r="P297" i="5"/>
  <c r="O297" i="5"/>
  <c r="D297" i="5"/>
  <c r="C297" i="5"/>
  <c r="P296" i="5"/>
  <c r="O296" i="5"/>
  <c r="D296" i="5"/>
  <c r="C296" i="5"/>
  <c r="P295" i="5"/>
  <c r="O295" i="5"/>
  <c r="D295" i="5"/>
  <c r="C295" i="5"/>
  <c r="P294" i="5"/>
  <c r="O294" i="5"/>
  <c r="N294" i="5"/>
  <c r="D294" i="5"/>
  <c r="C294" i="5"/>
  <c r="P293" i="5"/>
  <c r="O293" i="5"/>
  <c r="N293" i="5"/>
  <c r="D293" i="5"/>
  <c r="C293" i="5"/>
  <c r="P292" i="5"/>
  <c r="O292" i="5"/>
  <c r="D292" i="5"/>
  <c r="C292" i="5"/>
  <c r="P291" i="5"/>
  <c r="O291" i="5"/>
  <c r="N291" i="5"/>
  <c r="D291" i="5"/>
  <c r="C291" i="5"/>
  <c r="P290" i="5"/>
  <c r="O290" i="5"/>
  <c r="N290" i="5"/>
  <c r="D290" i="5"/>
  <c r="C290" i="5"/>
  <c r="P289" i="5"/>
  <c r="O289" i="5"/>
  <c r="N289" i="5"/>
  <c r="D289" i="5"/>
  <c r="C289" i="5"/>
  <c r="P288" i="5"/>
  <c r="O288" i="5"/>
  <c r="N288" i="5"/>
  <c r="D288" i="5"/>
  <c r="C288" i="5"/>
  <c r="P287" i="5"/>
  <c r="O287" i="5"/>
  <c r="D287" i="5"/>
  <c r="C287" i="5"/>
  <c r="P286" i="5"/>
  <c r="O286" i="5"/>
  <c r="D286" i="5"/>
  <c r="C286" i="5"/>
  <c r="P285" i="5"/>
  <c r="O285" i="5"/>
  <c r="D285" i="5"/>
  <c r="C285" i="5"/>
  <c r="P284" i="5"/>
  <c r="O284" i="5"/>
  <c r="N284" i="5"/>
  <c r="D284" i="5"/>
  <c r="C284" i="5"/>
  <c r="P283" i="5"/>
  <c r="O283" i="5"/>
  <c r="N283" i="5"/>
  <c r="D283" i="5"/>
  <c r="C283" i="5"/>
  <c r="P282" i="5"/>
  <c r="O282" i="5"/>
  <c r="D282" i="5"/>
  <c r="C282" i="5"/>
  <c r="P281" i="5"/>
  <c r="O281" i="5"/>
  <c r="N281" i="5"/>
  <c r="D281" i="5"/>
  <c r="C281" i="5"/>
  <c r="P280" i="5"/>
  <c r="O280" i="5"/>
  <c r="N280" i="5"/>
  <c r="D280" i="5"/>
  <c r="C280" i="5"/>
  <c r="P279" i="5"/>
  <c r="O279" i="5"/>
  <c r="N279" i="5"/>
  <c r="D279" i="5"/>
  <c r="C279" i="5"/>
  <c r="P278" i="5"/>
  <c r="O278" i="5"/>
  <c r="N278" i="5"/>
  <c r="D278" i="5"/>
  <c r="C278" i="5"/>
  <c r="P277" i="5"/>
  <c r="O277" i="5"/>
  <c r="N277" i="5"/>
  <c r="D277" i="5"/>
  <c r="C277" i="5"/>
  <c r="P276" i="5"/>
  <c r="O276" i="5"/>
  <c r="N276" i="5"/>
  <c r="D276" i="5"/>
  <c r="C276" i="5"/>
  <c r="P275" i="5"/>
  <c r="O275" i="5"/>
  <c r="N275" i="5"/>
  <c r="D275" i="5"/>
  <c r="C275" i="5"/>
  <c r="P274" i="5"/>
  <c r="O274" i="5"/>
  <c r="N274" i="5"/>
  <c r="D274" i="5"/>
  <c r="C274" i="5"/>
  <c r="P273" i="5"/>
  <c r="O273" i="5"/>
  <c r="N273" i="5"/>
  <c r="D273" i="5"/>
  <c r="C273" i="5"/>
  <c r="P272" i="5"/>
  <c r="O272" i="5"/>
  <c r="D272" i="5"/>
  <c r="C272" i="5"/>
  <c r="P271" i="5"/>
  <c r="O271" i="5"/>
  <c r="N271" i="5"/>
  <c r="D271" i="5"/>
  <c r="C271" i="5"/>
  <c r="P270" i="5"/>
  <c r="O270" i="5"/>
  <c r="N270" i="5"/>
  <c r="D270" i="5"/>
  <c r="C270" i="5"/>
  <c r="P269" i="5"/>
  <c r="O269" i="5"/>
  <c r="N269" i="5"/>
  <c r="D269" i="5"/>
  <c r="C269" i="5"/>
  <c r="P268" i="5"/>
  <c r="O268" i="5"/>
  <c r="N268" i="5"/>
  <c r="D268" i="5"/>
  <c r="C268" i="5"/>
  <c r="P267" i="5"/>
  <c r="O267" i="5"/>
  <c r="N267" i="5"/>
  <c r="D267" i="5"/>
  <c r="C267" i="5"/>
  <c r="P266" i="5"/>
  <c r="O266" i="5"/>
  <c r="N266" i="5"/>
  <c r="D266" i="5"/>
  <c r="C266" i="5"/>
  <c r="P265" i="5"/>
  <c r="O265" i="5"/>
  <c r="N265" i="5"/>
  <c r="D265" i="5"/>
  <c r="C265" i="5"/>
  <c r="P264" i="5"/>
  <c r="O264" i="5"/>
  <c r="N264" i="5"/>
  <c r="D264" i="5"/>
  <c r="C264" i="5"/>
  <c r="P263" i="5"/>
  <c r="O263" i="5"/>
  <c r="N263" i="5"/>
  <c r="D263" i="5"/>
  <c r="C263" i="5"/>
  <c r="P262" i="5"/>
  <c r="O262" i="5"/>
  <c r="D262" i="5"/>
  <c r="C262" i="5"/>
  <c r="P261" i="5"/>
  <c r="O261" i="5"/>
  <c r="N261" i="5"/>
  <c r="D261" i="5"/>
  <c r="C261" i="5"/>
  <c r="P260" i="5"/>
  <c r="O260" i="5"/>
  <c r="N260" i="5"/>
  <c r="D260" i="5"/>
  <c r="C260" i="5"/>
  <c r="P259" i="5"/>
  <c r="O259" i="5"/>
  <c r="N259" i="5"/>
  <c r="D259" i="5"/>
  <c r="C259" i="5"/>
  <c r="P258" i="5"/>
  <c r="O258" i="5"/>
  <c r="N258" i="5"/>
  <c r="D258" i="5"/>
  <c r="C258" i="5"/>
  <c r="P257" i="5"/>
  <c r="O257" i="5"/>
  <c r="D257" i="5"/>
  <c r="C257" i="5"/>
  <c r="P256" i="5"/>
  <c r="O256" i="5"/>
  <c r="D256" i="5"/>
  <c r="C256" i="5"/>
  <c r="P255" i="5"/>
  <c r="O255" i="5"/>
  <c r="N255" i="5"/>
  <c r="D255" i="5"/>
  <c r="C255" i="5"/>
  <c r="P254" i="5"/>
  <c r="O254" i="5"/>
  <c r="N254" i="5"/>
  <c r="D254" i="5"/>
  <c r="C254" i="5"/>
  <c r="P253" i="5"/>
  <c r="O253" i="5"/>
  <c r="N253" i="5"/>
  <c r="D253" i="5"/>
  <c r="C253" i="5"/>
  <c r="P252" i="5"/>
  <c r="O252" i="5"/>
  <c r="D252" i="5"/>
  <c r="C252" i="5"/>
  <c r="P251" i="5"/>
  <c r="O251" i="5"/>
  <c r="N251" i="5"/>
  <c r="D251" i="5"/>
  <c r="C251" i="5"/>
  <c r="P250" i="5"/>
  <c r="O250" i="5"/>
  <c r="N250" i="5"/>
  <c r="D250" i="5"/>
  <c r="C250" i="5"/>
  <c r="P249" i="5"/>
  <c r="O249" i="5"/>
  <c r="N249" i="5"/>
  <c r="D249" i="5"/>
  <c r="C249" i="5"/>
  <c r="P248" i="5"/>
  <c r="O248" i="5"/>
  <c r="N248" i="5"/>
  <c r="D248" i="5"/>
  <c r="C248" i="5"/>
  <c r="P247" i="5"/>
  <c r="O247" i="5"/>
  <c r="D247" i="5"/>
  <c r="C247" i="5"/>
  <c r="P246" i="5"/>
  <c r="O246" i="5"/>
  <c r="D246" i="5"/>
  <c r="C246" i="5"/>
  <c r="P245" i="5"/>
  <c r="O245" i="5"/>
  <c r="N245" i="5"/>
  <c r="D245" i="5"/>
  <c r="C245" i="5"/>
  <c r="P244" i="5"/>
  <c r="O244" i="5"/>
  <c r="N244" i="5"/>
  <c r="D244" i="5"/>
  <c r="C244" i="5"/>
  <c r="P243" i="5"/>
  <c r="O243" i="5"/>
  <c r="N243" i="5"/>
  <c r="D243" i="5"/>
  <c r="C243" i="5"/>
  <c r="P242" i="5"/>
  <c r="O242" i="5"/>
  <c r="D242" i="5"/>
  <c r="C242" i="5"/>
  <c r="P241" i="5"/>
  <c r="O241" i="5"/>
  <c r="N241" i="5"/>
  <c r="D241" i="5"/>
  <c r="C241" i="5"/>
  <c r="P240" i="5"/>
  <c r="O240" i="5"/>
  <c r="N240" i="5"/>
  <c r="D240" i="5"/>
  <c r="C240" i="5"/>
  <c r="P239" i="5"/>
  <c r="O239" i="5"/>
  <c r="N239" i="5"/>
  <c r="D239" i="5"/>
  <c r="C239" i="5"/>
  <c r="P238" i="5"/>
  <c r="O238" i="5"/>
  <c r="N238" i="5"/>
  <c r="D238" i="5"/>
  <c r="C238" i="5"/>
  <c r="P237" i="5"/>
  <c r="O237" i="5"/>
  <c r="D237" i="5"/>
  <c r="C237" i="5"/>
  <c r="P236" i="5"/>
  <c r="O236" i="5"/>
  <c r="N236" i="5"/>
  <c r="D236" i="5"/>
  <c r="C236" i="5"/>
  <c r="P235" i="5"/>
  <c r="O235" i="5"/>
  <c r="N235" i="5"/>
  <c r="D235" i="5"/>
  <c r="C235" i="5"/>
  <c r="P234" i="5"/>
  <c r="O234" i="5"/>
  <c r="N234" i="5"/>
  <c r="D234" i="5"/>
  <c r="C234" i="5"/>
  <c r="P233" i="5"/>
  <c r="O233" i="5"/>
  <c r="N233" i="5"/>
  <c r="D233" i="5"/>
  <c r="C233" i="5"/>
  <c r="P232" i="5"/>
  <c r="O232" i="5"/>
  <c r="D232" i="5"/>
  <c r="C232" i="5"/>
  <c r="P231" i="5"/>
  <c r="O231" i="5"/>
  <c r="N231" i="5"/>
  <c r="D231" i="5"/>
  <c r="C231" i="5"/>
  <c r="P230" i="5"/>
  <c r="O230" i="5"/>
  <c r="N230" i="5"/>
  <c r="D230" i="5"/>
  <c r="C230" i="5"/>
  <c r="P229" i="5"/>
  <c r="O229" i="5"/>
  <c r="N229" i="5"/>
  <c r="D229" i="5"/>
  <c r="C229" i="5"/>
  <c r="P228" i="5"/>
  <c r="O228" i="5"/>
  <c r="N228" i="5"/>
  <c r="D228" i="5"/>
  <c r="C228" i="5"/>
  <c r="P227" i="5"/>
  <c r="O227" i="5"/>
  <c r="D227" i="5"/>
  <c r="C227" i="5"/>
  <c r="P226" i="5"/>
  <c r="O226" i="5"/>
  <c r="D226" i="5"/>
  <c r="C226" i="5"/>
  <c r="P225" i="5"/>
  <c r="O225" i="5"/>
  <c r="D225" i="5"/>
  <c r="C225" i="5"/>
  <c r="P224" i="5"/>
  <c r="O224" i="5"/>
  <c r="D224" i="5"/>
  <c r="C224" i="5"/>
  <c r="P223" i="5"/>
  <c r="O223" i="5"/>
  <c r="D223" i="5"/>
  <c r="C223" i="5"/>
  <c r="P222" i="5"/>
  <c r="O222" i="5"/>
  <c r="D222" i="5"/>
  <c r="C222" i="5"/>
  <c r="P221" i="5"/>
  <c r="O221" i="5"/>
  <c r="D221" i="5"/>
  <c r="C221" i="5"/>
  <c r="P220" i="5"/>
  <c r="O220" i="5"/>
  <c r="N220" i="5"/>
  <c r="D220" i="5"/>
  <c r="C220" i="5"/>
  <c r="P219" i="5"/>
  <c r="O219" i="5"/>
  <c r="N219" i="5"/>
  <c r="D219" i="5"/>
  <c r="C219" i="5"/>
  <c r="P218" i="5"/>
  <c r="O218" i="5"/>
  <c r="N218" i="5"/>
  <c r="D218" i="5"/>
  <c r="C218" i="5"/>
  <c r="P217" i="5"/>
  <c r="O217" i="5"/>
  <c r="D217" i="5"/>
  <c r="C217" i="5"/>
  <c r="P216" i="5"/>
  <c r="O216" i="5"/>
  <c r="D216" i="5"/>
  <c r="C216" i="5"/>
  <c r="P215" i="5"/>
  <c r="O215" i="5"/>
  <c r="D215" i="5"/>
  <c r="C215" i="5"/>
  <c r="P214" i="5"/>
  <c r="O214" i="5"/>
  <c r="D214" i="5"/>
  <c r="C214" i="5"/>
  <c r="P213" i="5"/>
  <c r="O213" i="5"/>
  <c r="D213" i="5"/>
  <c r="C213" i="5"/>
  <c r="P212" i="5"/>
  <c r="O212" i="5"/>
  <c r="D212" i="5"/>
  <c r="C212" i="5"/>
  <c r="P211" i="5"/>
  <c r="O211" i="5"/>
  <c r="D211" i="5"/>
  <c r="C211" i="5"/>
  <c r="P210" i="5"/>
  <c r="O210" i="5"/>
  <c r="N210" i="5"/>
  <c r="D210" i="5"/>
  <c r="C210" i="5"/>
  <c r="P209" i="5"/>
  <c r="O209" i="5"/>
  <c r="N209" i="5"/>
  <c r="D209" i="5"/>
  <c r="C209" i="5"/>
  <c r="P208" i="5"/>
  <c r="O208" i="5"/>
  <c r="N208" i="5"/>
  <c r="D208" i="5"/>
  <c r="C208" i="5"/>
  <c r="P207" i="5"/>
  <c r="O207" i="5"/>
  <c r="D207" i="5"/>
  <c r="C207" i="5"/>
  <c r="P206" i="5"/>
  <c r="O206" i="5"/>
  <c r="D206" i="5"/>
  <c r="C206" i="5"/>
  <c r="P205" i="5"/>
  <c r="O205" i="5"/>
  <c r="D205" i="5"/>
  <c r="C205" i="5"/>
  <c r="P204" i="5"/>
  <c r="O204" i="5"/>
  <c r="D204" i="5"/>
  <c r="C204" i="5"/>
  <c r="P203" i="5"/>
  <c r="O203" i="5"/>
  <c r="D203" i="5"/>
  <c r="C203" i="5"/>
  <c r="P202" i="5"/>
  <c r="O202" i="5"/>
  <c r="D202" i="5"/>
  <c r="C202" i="5"/>
  <c r="P201" i="5"/>
  <c r="O201" i="5"/>
  <c r="D201" i="5"/>
  <c r="C201" i="5"/>
  <c r="P200" i="5"/>
  <c r="O200" i="5"/>
  <c r="N200" i="5"/>
  <c r="D200" i="5"/>
  <c r="C200" i="5"/>
  <c r="P199" i="5"/>
  <c r="O199" i="5"/>
  <c r="N199" i="5"/>
  <c r="D199" i="5"/>
  <c r="C199" i="5"/>
  <c r="P198" i="5"/>
  <c r="O198" i="5"/>
  <c r="N198" i="5"/>
  <c r="D198" i="5"/>
  <c r="C198" i="5"/>
  <c r="P197" i="5"/>
  <c r="O197" i="5"/>
  <c r="N197" i="5"/>
  <c r="D197" i="5"/>
  <c r="C197" i="5"/>
  <c r="P196" i="5"/>
  <c r="O196" i="5"/>
  <c r="N196" i="5"/>
  <c r="D196" i="5"/>
  <c r="C196" i="5"/>
  <c r="P195" i="5"/>
  <c r="O195" i="5"/>
  <c r="N195" i="5"/>
  <c r="D195" i="5"/>
  <c r="C195" i="5"/>
  <c r="P194" i="5"/>
  <c r="O194" i="5"/>
  <c r="N194" i="5"/>
  <c r="D194" i="5"/>
  <c r="C194" i="5"/>
  <c r="P193" i="5"/>
  <c r="O193" i="5"/>
  <c r="N193" i="5"/>
  <c r="D193" i="5"/>
  <c r="C193" i="5"/>
  <c r="P192" i="5"/>
  <c r="O192" i="5"/>
  <c r="N192" i="5"/>
  <c r="D192" i="5"/>
  <c r="C192" i="5"/>
  <c r="P191" i="5"/>
  <c r="O191" i="5"/>
  <c r="N191" i="5"/>
  <c r="D191" i="5"/>
  <c r="C191" i="5"/>
  <c r="P190" i="5"/>
  <c r="O190" i="5"/>
  <c r="N190" i="5"/>
  <c r="D190" i="5"/>
  <c r="C190" i="5"/>
  <c r="P189" i="5"/>
  <c r="O189" i="5"/>
  <c r="N189" i="5"/>
  <c r="D189" i="5"/>
  <c r="C189" i="5"/>
  <c r="P188" i="5"/>
  <c r="O188" i="5"/>
  <c r="N188" i="5"/>
  <c r="D188" i="5"/>
  <c r="C188" i="5"/>
  <c r="P187" i="5"/>
  <c r="O187" i="5"/>
  <c r="N187" i="5"/>
  <c r="D187" i="5"/>
  <c r="C187" i="5"/>
  <c r="P186" i="5"/>
  <c r="O186" i="5"/>
  <c r="N186" i="5"/>
  <c r="D186" i="5"/>
  <c r="C186" i="5"/>
  <c r="P185" i="5"/>
  <c r="O185" i="5"/>
  <c r="N185" i="5"/>
  <c r="D185" i="5"/>
  <c r="C185" i="5"/>
  <c r="P184" i="5"/>
  <c r="O184" i="5"/>
  <c r="D184" i="5"/>
  <c r="C184" i="5"/>
  <c r="P183" i="5"/>
  <c r="O183" i="5"/>
  <c r="N183" i="5"/>
  <c r="D183" i="5"/>
  <c r="C183" i="5"/>
  <c r="P182" i="5"/>
  <c r="O182" i="5"/>
  <c r="N182" i="5"/>
  <c r="D182" i="5"/>
  <c r="C182" i="5"/>
  <c r="P181" i="5"/>
  <c r="O181" i="5"/>
  <c r="N181" i="5"/>
  <c r="D181" i="5"/>
  <c r="C181" i="5"/>
  <c r="P180" i="5"/>
  <c r="O180" i="5"/>
  <c r="D180" i="5"/>
  <c r="C180" i="5"/>
  <c r="P179" i="5"/>
  <c r="O179" i="5"/>
  <c r="N179" i="5"/>
  <c r="D179" i="5"/>
  <c r="C179" i="5"/>
  <c r="P178" i="5"/>
  <c r="O178" i="5"/>
  <c r="N178" i="5"/>
  <c r="D178" i="5"/>
  <c r="C178" i="5"/>
  <c r="P177" i="5"/>
  <c r="O177" i="5"/>
  <c r="N177" i="5"/>
  <c r="D177" i="5"/>
  <c r="C177" i="5"/>
  <c r="P176" i="5"/>
  <c r="O176" i="5"/>
  <c r="N176" i="5"/>
  <c r="D176" i="5"/>
  <c r="C176" i="5"/>
  <c r="P175" i="5"/>
  <c r="O175" i="5"/>
  <c r="N175" i="5"/>
  <c r="D175" i="5"/>
  <c r="C175" i="5"/>
  <c r="P174" i="5"/>
  <c r="O174" i="5"/>
  <c r="N174" i="5"/>
  <c r="D174" i="5"/>
  <c r="C174" i="5"/>
  <c r="P173" i="5"/>
  <c r="N173" i="5"/>
  <c r="D173" i="5"/>
  <c r="C173" i="5"/>
  <c r="P172" i="5"/>
  <c r="O172" i="5"/>
  <c r="N172" i="5"/>
  <c r="D172" i="5"/>
  <c r="C172" i="5"/>
  <c r="P171" i="5"/>
  <c r="O171" i="5"/>
  <c r="N171" i="5"/>
  <c r="D171" i="5"/>
  <c r="C171" i="5"/>
  <c r="P170" i="5"/>
  <c r="O170" i="5"/>
  <c r="N170" i="5"/>
  <c r="D170" i="5"/>
  <c r="C170" i="5"/>
  <c r="P169" i="5"/>
  <c r="O169" i="5"/>
  <c r="N169" i="5"/>
  <c r="D169" i="5"/>
  <c r="C169" i="5"/>
  <c r="P168" i="5"/>
  <c r="O168" i="5"/>
  <c r="N168" i="5"/>
  <c r="D168" i="5"/>
  <c r="C168" i="5"/>
  <c r="P167" i="5"/>
  <c r="O167" i="5"/>
  <c r="N167" i="5"/>
  <c r="D167" i="5"/>
  <c r="C167" i="5"/>
  <c r="P166" i="5"/>
  <c r="O166" i="5"/>
  <c r="N166" i="5"/>
  <c r="D166" i="5"/>
  <c r="C166" i="5"/>
  <c r="G165" i="5"/>
  <c r="F165" i="5"/>
  <c r="D165" i="5"/>
  <c r="C165" i="5"/>
  <c r="G164" i="5"/>
  <c r="F164" i="5"/>
  <c r="D164" i="5"/>
  <c r="C164" i="5"/>
  <c r="D163" i="5"/>
  <c r="C163" i="5"/>
  <c r="G162" i="5"/>
  <c r="F162" i="5"/>
  <c r="D162" i="5"/>
  <c r="C162" i="5"/>
  <c r="D161" i="5"/>
  <c r="C161" i="5"/>
  <c r="G160" i="5"/>
  <c r="F160" i="5"/>
  <c r="D160" i="5"/>
  <c r="C160" i="5"/>
  <c r="G159" i="5"/>
  <c r="F159" i="5"/>
  <c r="D159" i="5"/>
  <c r="C159" i="5"/>
  <c r="D158" i="5"/>
  <c r="C158" i="5"/>
  <c r="G157" i="5"/>
  <c r="F157" i="5"/>
  <c r="D157" i="5"/>
  <c r="C157" i="5"/>
  <c r="D156" i="5"/>
  <c r="C156" i="5"/>
  <c r="G155" i="5"/>
  <c r="F155" i="5"/>
  <c r="D155" i="5"/>
  <c r="C155" i="5"/>
  <c r="G154" i="5"/>
  <c r="F154" i="5"/>
  <c r="D154" i="5"/>
  <c r="C154" i="5"/>
  <c r="D153" i="5"/>
  <c r="C153" i="5"/>
  <c r="G152" i="5"/>
  <c r="F152" i="5"/>
  <c r="D152" i="5"/>
  <c r="C152" i="5"/>
  <c r="D151" i="5"/>
  <c r="C151" i="5"/>
  <c r="G150" i="5"/>
  <c r="F150" i="5"/>
  <c r="D150" i="5"/>
  <c r="C150" i="5"/>
  <c r="G149" i="5"/>
  <c r="F149" i="5"/>
  <c r="D149" i="5"/>
  <c r="C149" i="5"/>
  <c r="D148" i="5"/>
  <c r="C148" i="5"/>
  <c r="G147" i="5"/>
  <c r="F147" i="5"/>
  <c r="D147" i="5"/>
  <c r="C147" i="5"/>
  <c r="D146" i="5"/>
  <c r="C146" i="5"/>
  <c r="O145" i="5"/>
  <c r="N145" i="5"/>
  <c r="G145" i="5"/>
  <c r="P145" i="5" s="1"/>
  <c r="F145" i="5"/>
  <c r="D145" i="5"/>
  <c r="C145" i="5"/>
  <c r="O144" i="5"/>
  <c r="N144" i="5"/>
  <c r="G144" i="5"/>
  <c r="P144" i="5" s="1"/>
  <c r="F144" i="5"/>
  <c r="D144" i="5"/>
  <c r="C144" i="5"/>
  <c r="P143" i="5"/>
  <c r="O143" i="5"/>
  <c r="N143" i="5"/>
  <c r="D143" i="5"/>
  <c r="C143" i="5"/>
  <c r="O142" i="5"/>
  <c r="N142" i="5"/>
  <c r="G142" i="5"/>
  <c r="P142" i="5" s="1"/>
  <c r="F142" i="5"/>
  <c r="D142" i="5"/>
  <c r="C142" i="5"/>
  <c r="P141" i="5"/>
  <c r="O141" i="5"/>
  <c r="N141" i="5"/>
  <c r="D141" i="5"/>
  <c r="C141" i="5"/>
  <c r="P140" i="5"/>
  <c r="O140" i="5"/>
  <c r="N140" i="5"/>
  <c r="D140" i="5"/>
  <c r="C140" i="5"/>
  <c r="P139" i="5"/>
  <c r="O139" i="5"/>
  <c r="N139" i="5"/>
  <c r="D139" i="5"/>
  <c r="C139" i="5"/>
  <c r="P138" i="5"/>
  <c r="O138" i="5"/>
  <c r="N138" i="5"/>
  <c r="D138" i="5"/>
  <c r="C138" i="5"/>
  <c r="P137" i="5"/>
  <c r="O137" i="5"/>
  <c r="N137" i="5"/>
  <c r="D137" i="5"/>
  <c r="C137" i="5"/>
  <c r="P136" i="5"/>
  <c r="O136" i="5"/>
  <c r="D136" i="5"/>
  <c r="C136" i="5"/>
  <c r="P135" i="5"/>
  <c r="O135" i="5"/>
  <c r="N135" i="5"/>
  <c r="D135" i="5"/>
  <c r="C135" i="5"/>
  <c r="P134" i="5"/>
  <c r="O134" i="5"/>
  <c r="N134" i="5"/>
  <c r="D134" i="5"/>
  <c r="C134" i="5"/>
  <c r="P133" i="5"/>
  <c r="O133" i="5"/>
  <c r="N133" i="5"/>
  <c r="D133" i="5"/>
  <c r="C133" i="5"/>
  <c r="P132" i="5"/>
  <c r="O132" i="5"/>
  <c r="N132" i="5"/>
  <c r="D132" i="5"/>
  <c r="C132" i="5"/>
  <c r="P131" i="5"/>
  <c r="O131" i="5"/>
  <c r="N131" i="5"/>
  <c r="D131" i="5"/>
  <c r="C131" i="5"/>
  <c r="P130" i="5"/>
  <c r="O130" i="5"/>
  <c r="N130" i="5"/>
  <c r="D130" i="5"/>
  <c r="C130" i="5"/>
  <c r="P129" i="5"/>
  <c r="O129" i="5"/>
  <c r="N129" i="5"/>
  <c r="D129" i="5"/>
  <c r="C129" i="5"/>
  <c r="P128" i="5"/>
  <c r="O128" i="5"/>
  <c r="N128" i="5"/>
  <c r="D128" i="5"/>
  <c r="C128" i="5"/>
  <c r="P127" i="5"/>
  <c r="O127" i="5"/>
  <c r="N127" i="5"/>
  <c r="D127" i="5"/>
  <c r="C127" i="5"/>
  <c r="P126" i="5"/>
  <c r="O126" i="5"/>
  <c r="N126" i="5"/>
  <c r="D126" i="5"/>
  <c r="C126" i="5"/>
  <c r="P125" i="5"/>
  <c r="O125" i="5"/>
  <c r="N125" i="5"/>
  <c r="D125" i="5"/>
  <c r="C125" i="5"/>
  <c r="P124" i="5"/>
  <c r="O124" i="5"/>
  <c r="N124" i="5"/>
  <c r="D124" i="5"/>
  <c r="C124" i="5"/>
  <c r="O123" i="5"/>
  <c r="D123" i="5"/>
  <c r="C123" i="5"/>
  <c r="O122" i="5"/>
  <c r="D122" i="5"/>
  <c r="C122" i="5"/>
  <c r="O121" i="5"/>
  <c r="D121" i="5"/>
  <c r="C121" i="5"/>
  <c r="O120" i="5"/>
  <c r="D120" i="5"/>
  <c r="C120" i="5"/>
  <c r="O119" i="5"/>
  <c r="D119" i="5"/>
  <c r="C119" i="5"/>
  <c r="O118" i="5"/>
  <c r="D118" i="5"/>
  <c r="C118" i="5"/>
  <c r="O117" i="5"/>
  <c r="D117" i="5"/>
  <c r="C117" i="5"/>
  <c r="O116" i="5"/>
  <c r="D116" i="5"/>
  <c r="C116" i="5"/>
  <c r="O115" i="5"/>
  <c r="D115" i="5"/>
  <c r="C115" i="5"/>
  <c r="O114" i="5"/>
  <c r="D114" i="5"/>
  <c r="C114" i="5"/>
  <c r="O113" i="5"/>
  <c r="D113" i="5"/>
  <c r="C113" i="5"/>
  <c r="O112" i="5"/>
  <c r="D112" i="5"/>
  <c r="C112" i="5"/>
  <c r="O111" i="5"/>
  <c r="D111" i="5"/>
  <c r="C111" i="5"/>
  <c r="O110" i="5"/>
  <c r="D110" i="5"/>
  <c r="C110" i="5"/>
  <c r="O109" i="5"/>
  <c r="D109" i="5"/>
  <c r="C109" i="5"/>
  <c r="O108" i="5"/>
  <c r="D108" i="5"/>
  <c r="C108" i="5"/>
  <c r="O107" i="5"/>
  <c r="D107" i="5"/>
  <c r="C107" i="5"/>
  <c r="O106" i="5"/>
  <c r="D106" i="5"/>
  <c r="C106" i="5"/>
  <c r="O105" i="5"/>
  <c r="D105" i="5"/>
  <c r="C105" i="5"/>
  <c r="O104" i="5"/>
  <c r="D104" i="5"/>
  <c r="C104" i="5"/>
  <c r="O103" i="5"/>
  <c r="D103" i="5"/>
  <c r="C103" i="5"/>
  <c r="O102" i="5"/>
  <c r="D102" i="5"/>
  <c r="C102" i="5"/>
  <c r="O101" i="5"/>
  <c r="D101" i="5"/>
  <c r="C101" i="5"/>
  <c r="O100" i="5"/>
  <c r="D100" i="5"/>
  <c r="C100" i="5"/>
  <c r="O99" i="5"/>
  <c r="D99" i="5"/>
  <c r="C99" i="5"/>
  <c r="O98" i="5"/>
  <c r="D98" i="5"/>
  <c r="C98" i="5"/>
  <c r="O97" i="5"/>
  <c r="D97" i="5"/>
  <c r="C97" i="5"/>
  <c r="O96" i="5"/>
  <c r="D96" i="5"/>
  <c r="C96" i="5"/>
  <c r="O95" i="5"/>
  <c r="D95" i="5"/>
  <c r="C95" i="5"/>
  <c r="O94" i="5"/>
  <c r="D94" i="5"/>
  <c r="C94" i="5"/>
  <c r="O93" i="5"/>
  <c r="D93" i="5"/>
  <c r="C93" i="5"/>
  <c r="O92" i="5"/>
  <c r="D92" i="5"/>
  <c r="C92" i="5"/>
  <c r="P91" i="5"/>
  <c r="O91" i="5"/>
  <c r="D91" i="5"/>
  <c r="C91" i="5"/>
  <c r="O90" i="5"/>
  <c r="D90" i="5"/>
  <c r="C90" i="5"/>
  <c r="P89" i="5"/>
  <c r="O89" i="5"/>
  <c r="D89" i="5"/>
  <c r="C89" i="5"/>
  <c r="P88" i="5"/>
  <c r="O88" i="5"/>
  <c r="D88" i="5"/>
  <c r="C88" i="5"/>
  <c r="P87" i="5"/>
  <c r="O87" i="5"/>
  <c r="N87" i="5"/>
  <c r="D87" i="5"/>
  <c r="C87" i="5"/>
  <c r="P86" i="5"/>
  <c r="O86" i="5"/>
  <c r="N86" i="5"/>
  <c r="D86" i="5"/>
  <c r="C86" i="5"/>
  <c r="P85" i="5"/>
  <c r="O85" i="5"/>
  <c r="N85" i="5"/>
  <c r="D85" i="5"/>
  <c r="C85" i="5"/>
  <c r="D84" i="5"/>
  <c r="C84" i="5"/>
  <c r="P83" i="5"/>
  <c r="O83" i="5"/>
  <c r="N83" i="5"/>
  <c r="D83" i="5"/>
  <c r="C83" i="5"/>
  <c r="O82" i="5"/>
  <c r="D82" i="5"/>
  <c r="C82" i="5"/>
  <c r="D81" i="5"/>
  <c r="C81" i="5"/>
  <c r="O80" i="5"/>
  <c r="D80" i="5"/>
  <c r="C80" i="5"/>
  <c r="O79" i="5"/>
  <c r="D79" i="5"/>
  <c r="C79" i="5"/>
  <c r="O78" i="5"/>
  <c r="D78" i="5"/>
  <c r="C78" i="5"/>
  <c r="O77" i="5"/>
  <c r="D77" i="5"/>
  <c r="C77" i="5"/>
  <c r="O76" i="5"/>
  <c r="D76" i="5"/>
  <c r="C76" i="5"/>
  <c r="O75" i="5"/>
  <c r="D75" i="5"/>
  <c r="C75" i="5"/>
  <c r="P74" i="5"/>
  <c r="O74" i="5"/>
  <c r="N74" i="5"/>
  <c r="D74" i="5"/>
  <c r="C74" i="5"/>
  <c r="P73" i="5"/>
  <c r="O73" i="5"/>
  <c r="N73" i="5"/>
  <c r="D73" i="5"/>
  <c r="C73" i="5"/>
  <c r="O72" i="5"/>
  <c r="D72" i="5"/>
  <c r="C72" i="5"/>
  <c r="P71" i="5"/>
  <c r="O71" i="5"/>
  <c r="N71" i="5"/>
  <c r="D71" i="5"/>
  <c r="C71" i="5"/>
  <c r="O70" i="5"/>
  <c r="D70" i="5"/>
  <c r="C70" i="5"/>
  <c r="O69" i="5"/>
  <c r="D69" i="5"/>
  <c r="C69" i="5"/>
  <c r="P68" i="5"/>
  <c r="O68" i="5"/>
  <c r="N68" i="5"/>
  <c r="D68" i="5"/>
  <c r="C68" i="5"/>
  <c r="O67" i="5"/>
  <c r="D67" i="5"/>
  <c r="C67" i="5"/>
  <c r="O66" i="5"/>
  <c r="D66" i="5"/>
  <c r="C66" i="5"/>
  <c r="P65" i="5"/>
  <c r="O65" i="5"/>
  <c r="N65" i="5"/>
  <c r="D65" i="5"/>
  <c r="C65" i="5"/>
  <c r="P64" i="5"/>
  <c r="O64" i="5"/>
  <c r="N64" i="5"/>
  <c r="D64" i="5"/>
  <c r="C64" i="5"/>
  <c r="P63" i="5"/>
  <c r="O63" i="5"/>
  <c r="D63" i="5"/>
  <c r="C63" i="5"/>
  <c r="O62" i="5"/>
  <c r="N62" i="5"/>
  <c r="G62" i="5"/>
  <c r="P62" i="5" s="1"/>
  <c r="F62" i="5"/>
  <c r="D62" i="5"/>
  <c r="C62" i="5"/>
  <c r="O61" i="5"/>
  <c r="N61" i="5"/>
  <c r="G61" i="5"/>
  <c r="P61" i="5" s="1"/>
  <c r="F61" i="5"/>
  <c r="D61" i="5"/>
  <c r="C61" i="5"/>
  <c r="O60" i="5"/>
  <c r="N60" i="5"/>
  <c r="G60" i="5"/>
  <c r="P60" i="5" s="1"/>
  <c r="F60" i="5"/>
  <c r="D60" i="5"/>
  <c r="C60" i="5"/>
  <c r="O59" i="5"/>
  <c r="N59" i="5"/>
  <c r="G59" i="5"/>
  <c r="P59" i="5" s="1"/>
  <c r="F59" i="5"/>
  <c r="D59" i="5"/>
  <c r="C59" i="5"/>
  <c r="P58" i="5"/>
  <c r="O58" i="5"/>
  <c r="N58" i="5"/>
  <c r="D58" i="5"/>
  <c r="C58" i="5"/>
  <c r="O57" i="5"/>
  <c r="D57" i="5"/>
  <c r="C57" i="5"/>
  <c r="O56" i="5"/>
  <c r="D56" i="5"/>
  <c r="C56" i="5"/>
  <c r="O55" i="5"/>
  <c r="D55" i="5"/>
  <c r="C55" i="5"/>
  <c r="P54" i="5"/>
  <c r="O54" i="5"/>
  <c r="N54" i="5"/>
  <c r="D54" i="5"/>
  <c r="C54" i="5"/>
  <c r="P53" i="5"/>
  <c r="O53" i="5"/>
  <c r="N53" i="5"/>
  <c r="D53" i="5"/>
  <c r="C53" i="5"/>
  <c r="P52" i="5"/>
  <c r="O52" i="5"/>
  <c r="N52" i="5"/>
  <c r="D52" i="5"/>
  <c r="C52" i="5"/>
  <c r="O51" i="5"/>
  <c r="D51" i="5"/>
  <c r="C51" i="5"/>
  <c r="O50" i="5"/>
  <c r="D50" i="5"/>
  <c r="C50" i="5"/>
  <c r="P49" i="5"/>
  <c r="O49" i="5"/>
  <c r="N49" i="5"/>
  <c r="D49" i="5"/>
  <c r="C49" i="5"/>
  <c r="P48" i="5"/>
  <c r="O48" i="5"/>
  <c r="N48" i="5"/>
  <c r="D48" i="5"/>
  <c r="C48" i="5"/>
  <c r="P47" i="5"/>
  <c r="O47" i="5"/>
  <c r="N47" i="5"/>
  <c r="D47" i="5"/>
  <c r="C47" i="5"/>
  <c r="O46" i="5"/>
  <c r="N46" i="5"/>
  <c r="G46" i="5"/>
  <c r="P46" i="5" s="1"/>
  <c r="F46" i="5"/>
  <c r="D46" i="5"/>
  <c r="C46" i="5"/>
  <c r="O45" i="5"/>
  <c r="N45" i="5"/>
  <c r="G45" i="5"/>
  <c r="P45" i="5" s="1"/>
  <c r="F45" i="5"/>
  <c r="D45" i="5"/>
  <c r="C45" i="5"/>
  <c r="P44" i="5"/>
  <c r="O44" i="5"/>
  <c r="N44" i="5"/>
  <c r="D44" i="5"/>
  <c r="C44" i="5"/>
  <c r="P43" i="5"/>
  <c r="D43" i="5"/>
  <c r="C43" i="5"/>
  <c r="P42" i="5"/>
  <c r="O42" i="5"/>
  <c r="N42" i="5"/>
  <c r="D42" i="5"/>
  <c r="C42" i="5"/>
  <c r="P41" i="5"/>
  <c r="O41" i="5"/>
  <c r="N41" i="5"/>
  <c r="P40" i="5"/>
  <c r="O40" i="5"/>
  <c r="N40" i="5"/>
  <c r="D40" i="5"/>
  <c r="C40" i="5"/>
  <c r="P39" i="5"/>
  <c r="O39" i="5"/>
  <c r="N39" i="5"/>
  <c r="D39" i="5"/>
  <c r="C39" i="5"/>
  <c r="P38" i="5"/>
  <c r="O38" i="5"/>
  <c r="N38" i="5"/>
  <c r="D38" i="5"/>
  <c r="C38" i="5"/>
  <c r="P37" i="5"/>
  <c r="O37" i="5"/>
  <c r="N37" i="5"/>
  <c r="D37" i="5"/>
  <c r="C37" i="5"/>
  <c r="P36" i="5"/>
  <c r="O36" i="5"/>
  <c r="N36" i="5"/>
  <c r="D36" i="5"/>
  <c r="C36" i="5"/>
  <c r="P35" i="5"/>
  <c r="O35" i="5"/>
  <c r="N35" i="5"/>
  <c r="D35" i="5"/>
  <c r="C35" i="5"/>
  <c r="P34" i="5"/>
  <c r="O34" i="5"/>
  <c r="N34" i="5"/>
  <c r="D34" i="5"/>
  <c r="C34" i="5"/>
  <c r="P33" i="5"/>
  <c r="O33" i="5"/>
  <c r="N33" i="5"/>
  <c r="D33" i="5"/>
  <c r="C33" i="5"/>
  <c r="P32" i="5"/>
  <c r="O32" i="5"/>
  <c r="D32" i="5"/>
  <c r="C32" i="5"/>
  <c r="P31" i="5"/>
  <c r="O31" i="5"/>
  <c r="N31" i="5"/>
  <c r="D31" i="5"/>
  <c r="C31" i="5"/>
  <c r="P30" i="5"/>
  <c r="O30" i="5"/>
  <c r="N30" i="5"/>
  <c r="D30" i="5"/>
  <c r="C30" i="5"/>
  <c r="P29" i="5"/>
  <c r="O29" i="5"/>
  <c r="N29" i="5"/>
  <c r="D29" i="5"/>
  <c r="C29" i="5"/>
  <c r="D28" i="5"/>
  <c r="C28" i="5"/>
  <c r="D27" i="5"/>
  <c r="C27" i="5"/>
  <c r="D26" i="5"/>
  <c r="C26" i="5"/>
  <c r="O25" i="5"/>
  <c r="D25" i="5"/>
  <c r="C25" i="5"/>
  <c r="O24" i="5"/>
  <c r="D24" i="5"/>
  <c r="C24" i="5"/>
  <c r="O23" i="5"/>
  <c r="N23" i="5"/>
  <c r="G23" i="5"/>
  <c r="P23" i="5" s="1"/>
  <c r="F23" i="5"/>
  <c r="D23" i="5"/>
  <c r="C23" i="5"/>
  <c r="P22" i="5"/>
  <c r="O22" i="5"/>
  <c r="N22" i="5"/>
  <c r="D22" i="5"/>
  <c r="C22" i="5"/>
  <c r="P21" i="5"/>
  <c r="O21" i="5"/>
  <c r="D21" i="5"/>
  <c r="C21" i="5"/>
  <c r="P20" i="5"/>
  <c r="O20" i="5"/>
  <c r="N20" i="5"/>
  <c r="D20" i="5"/>
  <c r="C20" i="5"/>
  <c r="P19" i="5"/>
  <c r="O19" i="5"/>
  <c r="N19" i="5"/>
  <c r="D19" i="5"/>
  <c r="C19" i="5"/>
  <c r="P18" i="5"/>
  <c r="O18" i="5"/>
  <c r="N18" i="5"/>
  <c r="D18" i="5"/>
  <c r="C18" i="5"/>
  <c r="P17" i="5"/>
  <c r="O17" i="5"/>
  <c r="N17" i="5"/>
  <c r="D17" i="5"/>
  <c r="C17" i="5"/>
  <c r="P16" i="5"/>
  <c r="O16" i="5"/>
  <c r="N16" i="5"/>
  <c r="D16" i="5"/>
  <c r="C16" i="5"/>
  <c r="P15" i="5"/>
  <c r="O15" i="5"/>
  <c r="N15" i="5"/>
  <c r="D15" i="5"/>
  <c r="C15" i="5"/>
  <c r="P14" i="5"/>
  <c r="O14" i="5"/>
  <c r="N14" i="5"/>
  <c r="D14" i="5"/>
  <c r="C14" i="5"/>
  <c r="P13" i="5"/>
  <c r="O13" i="5"/>
  <c r="N13" i="5"/>
  <c r="D13" i="5"/>
  <c r="C13" i="5"/>
  <c r="D12" i="5"/>
  <c r="C12" i="5"/>
  <c r="P11" i="5"/>
  <c r="O11" i="5"/>
  <c r="D11" i="5"/>
  <c r="C11" i="5"/>
  <c r="P10" i="5"/>
  <c r="O10" i="5"/>
  <c r="N10" i="5"/>
  <c r="D10" i="5"/>
  <c r="C10" i="5"/>
  <c r="P9" i="5"/>
  <c r="O9" i="5"/>
  <c r="N9" i="5"/>
  <c r="D9" i="5"/>
  <c r="C9" i="5"/>
  <c r="P8" i="5"/>
  <c r="O8" i="5"/>
  <c r="N8" i="5"/>
  <c r="D8" i="5"/>
  <c r="C8" i="5"/>
  <c r="P7" i="5"/>
  <c r="O7" i="5"/>
  <c r="N7" i="5"/>
  <c r="D7" i="5"/>
  <c r="C7" i="5"/>
  <c r="P6" i="5"/>
  <c r="O6" i="5"/>
  <c r="N6" i="5"/>
  <c r="D6" i="5"/>
  <c r="C6" i="5"/>
  <c r="P5" i="5"/>
  <c r="O5" i="5"/>
  <c r="N5" i="5"/>
  <c r="D5" i="5"/>
  <c r="C5" i="5"/>
  <c r="P4" i="5"/>
  <c r="O4" i="5"/>
  <c r="N4" i="5"/>
  <c r="D4" i="5"/>
  <c r="C4" i="5"/>
  <c r="P3" i="5"/>
  <c r="O3" i="5"/>
  <c r="N3" i="5"/>
  <c r="D3" i="5"/>
  <c r="C3" i="5"/>
  <c r="AF289" i="3"/>
  <c r="AE289" i="3"/>
  <c r="AJ289" i="3" s="1"/>
  <c r="AD289" i="3"/>
  <c r="AI289" i="3" s="1"/>
  <c r="X289" i="3"/>
  <c r="W289" i="3"/>
  <c r="D289" i="3"/>
  <c r="C289" i="3"/>
  <c r="AF288" i="3"/>
  <c r="AE288" i="3"/>
  <c r="AJ288" i="3" s="1"/>
  <c r="AD288" i="3"/>
  <c r="AI288" i="3" s="1"/>
  <c r="X288" i="3"/>
  <c r="W288" i="3"/>
  <c r="D288" i="3"/>
  <c r="C288" i="3"/>
  <c r="AJ287" i="3"/>
  <c r="AG287" i="3"/>
  <c r="AF287" i="3"/>
  <c r="AD287" i="3"/>
  <c r="AI287" i="3" s="1"/>
  <c r="X287" i="3"/>
  <c r="W287" i="3"/>
  <c r="D287" i="3"/>
  <c r="C287" i="3"/>
  <c r="AJ286" i="3"/>
  <c r="AI286" i="3"/>
  <c r="X286" i="3"/>
  <c r="W286" i="3"/>
  <c r="D286" i="3"/>
  <c r="C286" i="3"/>
  <c r="AJ285" i="3"/>
  <c r="AI285" i="3"/>
  <c r="X285" i="3"/>
  <c r="W285" i="3"/>
  <c r="D285" i="3"/>
  <c r="C285" i="3"/>
  <c r="AJ284" i="3"/>
  <c r="AI284" i="3"/>
  <c r="X284" i="3"/>
  <c r="W284" i="3"/>
  <c r="D284" i="3"/>
  <c r="C284" i="3"/>
  <c r="AJ283" i="3"/>
  <c r="AG283" i="3"/>
  <c r="AF283" i="3"/>
  <c r="AD283" i="3"/>
  <c r="AI283" i="3" s="1"/>
  <c r="X283" i="3"/>
  <c r="W283" i="3"/>
  <c r="D283" i="3"/>
  <c r="C283" i="3"/>
  <c r="AJ282" i="3"/>
  <c r="AG282" i="3"/>
  <c r="AF282" i="3"/>
  <c r="AD282" i="3"/>
  <c r="AI282" i="3" s="1"/>
  <c r="X282" i="3"/>
  <c r="W282" i="3"/>
  <c r="D282" i="3"/>
  <c r="C282" i="3"/>
  <c r="AE281" i="3"/>
  <c r="AJ281" i="3" s="1"/>
  <c r="AD281" i="3"/>
  <c r="AI281" i="3" s="1"/>
  <c r="X281" i="3"/>
  <c r="W281" i="3"/>
  <c r="D281" i="3"/>
  <c r="C281" i="3"/>
  <c r="AE280" i="3"/>
  <c r="AJ280" i="3" s="1"/>
  <c r="AD280" i="3"/>
  <c r="AI280" i="3" s="1"/>
  <c r="X280" i="3"/>
  <c r="W280" i="3"/>
  <c r="D280" i="3"/>
  <c r="C280" i="3"/>
  <c r="AE279" i="3"/>
  <c r="AJ279" i="3" s="1"/>
  <c r="AD279" i="3"/>
  <c r="AI279" i="3" s="1"/>
  <c r="X279" i="3"/>
  <c r="W279" i="3"/>
  <c r="D279" i="3"/>
  <c r="C279" i="3"/>
  <c r="AE278" i="3"/>
  <c r="AJ278" i="3" s="1"/>
  <c r="AD278" i="3"/>
  <c r="AI278" i="3" s="1"/>
  <c r="X278" i="3"/>
  <c r="W278" i="3"/>
  <c r="D278" i="3"/>
  <c r="C278" i="3"/>
  <c r="AE277" i="3"/>
  <c r="AJ277" i="3" s="1"/>
  <c r="AD277" i="3"/>
  <c r="AI277" i="3" s="1"/>
  <c r="X277" i="3"/>
  <c r="W277" i="3"/>
  <c r="D277" i="3"/>
  <c r="C277" i="3"/>
  <c r="AG276" i="3"/>
  <c r="AF276" i="3"/>
  <c r="AE276" i="3"/>
  <c r="AJ276" i="3" s="1"/>
  <c r="AD276" i="3"/>
  <c r="AI276" i="3" s="1"/>
  <c r="X276" i="3"/>
  <c r="W276" i="3"/>
  <c r="D276" i="3"/>
  <c r="C276" i="3"/>
  <c r="AG275" i="3"/>
  <c r="AF275" i="3"/>
  <c r="AE275" i="3"/>
  <c r="AJ275" i="3" s="1"/>
  <c r="AD275" i="3"/>
  <c r="AI275" i="3" s="1"/>
  <c r="X275" i="3"/>
  <c r="W275" i="3"/>
  <c r="D275" i="3"/>
  <c r="C275" i="3"/>
  <c r="AG274" i="3"/>
  <c r="AF274" i="3"/>
  <c r="AE274" i="3"/>
  <c r="AJ274" i="3" s="1"/>
  <c r="AD274" i="3"/>
  <c r="AI274" i="3" s="1"/>
  <c r="X274" i="3"/>
  <c r="W274" i="3"/>
  <c r="D274" i="3"/>
  <c r="C274" i="3"/>
  <c r="AG273" i="3"/>
  <c r="AF273" i="3"/>
  <c r="AE273" i="3"/>
  <c r="AJ273" i="3" s="1"/>
  <c r="AD273" i="3"/>
  <c r="AI273" i="3" s="1"/>
  <c r="X273" i="3"/>
  <c r="W273" i="3"/>
  <c r="D273" i="3"/>
  <c r="C273" i="3"/>
  <c r="AJ272" i="3"/>
  <c r="AG272" i="3"/>
  <c r="AF272" i="3"/>
  <c r="AD272" i="3"/>
  <c r="AI272" i="3" s="1"/>
  <c r="X272" i="3"/>
  <c r="W272" i="3"/>
  <c r="D272" i="3"/>
  <c r="C272" i="3"/>
  <c r="AJ271" i="3"/>
  <c r="AG271" i="3"/>
  <c r="AF271" i="3"/>
  <c r="AD271" i="3"/>
  <c r="AI271" i="3" s="1"/>
  <c r="X271" i="3"/>
  <c r="W271" i="3"/>
  <c r="D271" i="3"/>
  <c r="C271" i="3"/>
  <c r="AJ270" i="3"/>
  <c r="AI270" i="3"/>
  <c r="AF270" i="3"/>
  <c r="X270" i="3"/>
  <c r="W270" i="3"/>
  <c r="D270" i="3"/>
  <c r="C270" i="3"/>
  <c r="AJ269" i="3"/>
  <c r="AF269" i="3"/>
  <c r="AD269" i="3"/>
  <c r="AI269" i="3" s="1"/>
  <c r="X269" i="3"/>
  <c r="W269" i="3"/>
  <c r="D269" i="3"/>
  <c r="C269" i="3"/>
  <c r="AJ268" i="3"/>
  <c r="AG268" i="3"/>
  <c r="AF268" i="3" s="1"/>
  <c r="AD268" i="3"/>
  <c r="AI268" i="3" s="1"/>
  <c r="X268" i="3"/>
  <c r="W268" i="3"/>
  <c r="D268" i="3"/>
  <c r="C268" i="3"/>
  <c r="AF267" i="3"/>
  <c r="AE267" i="3"/>
  <c r="AJ267" i="3" s="1"/>
  <c r="AD267" i="3"/>
  <c r="AI267" i="3" s="1"/>
  <c r="X267" i="3"/>
  <c r="W267" i="3"/>
  <c r="D267" i="3"/>
  <c r="C267" i="3"/>
  <c r="AF266" i="3"/>
  <c r="AE266" i="3"/>
  <c r="AJ266" i="3" s="1"/>
  <c r="AD266" i="3"/>
  <c r="AI266" i="3" s="1"/>
  <c r="X266" i="3"/>
  <c r="W266" i="3"/>
  <c r="D266" i="3"/>
  <c r="C266" i="3"/>
  <c r="AF265" i="3"/>
  <c r="AE265" i="3"/>
  <c r="AJ265" i="3" s="1"/>
  <c r="AD265" i="3"/>
  <c r="AI265" i="3" s="1"/>
  <c r="X265" i="3"/>
  <c r="W265" i="3"/>
  <c r="D265" i="3"/>
  <c r="C265" i="3"/>
  <c r="AF264" i="3"/>
  <c r="AE264" i="3"/>
  <c r="AJ264" i="3" s="1"/>
  <c r="AD264" i="3"/>
  <c r="AI264" i="3" s="1"/>
  <c r="X264" i="3"/>
  <c r="W264" i="3"/>
  <c r="D264" i="3"/>
  <c r="C264" i="3"/>
  <c r="AF263" i="3"/>
  <c r="AE263" i="3"/>
  <c r="AJ263" i="3" s="1"/>
  <c r="AD263" i="3"/>
  <c r="AI263" i="3" s="1"/>
  <c r="X263" i="3"/>
  <c r="W263" i="3"/>
  <c r="D263" i="3"/>
  <c r="C263" i="3"/>
  <c r="AJ262" i="3"/>
  <c r="AF262" i="3"/>
  <c r="AD262" i="3"/>
  <c r="AI262" i="3" s="1"/>
  <c r="X262" i="3"/>
  <c r="W262" i="3"/>
  <c r="D262" i="3"/>
  <c r="C262" i="3"/>
  <c r="AJ261" i="3"/>
  <c r="AF261" i="3"/>
  <c r="AD261" i="3"/>
  <c r="AI261" i="3" s="1"/>
  <c r="X261" i="3"/>
  <c r="W261" i="3"/>
  <c r="D261" i="3"/>
  <c r="C261" i="3"/>
  <c r="AJ260" i="3"/>
  <c r="AF260" i="3"/>
  <c r="AD260" i="3"/>
  <c r="AI260" i="3" s="1"/>
  <c r="X260" i="3"/>
  <c r="W260" i="3"/>
  <c r="D260" i="3"/>
  <c r="C260" i="3"/>
  <c r="AJ259" i="3"/>
  <c r="AF259" i="3"/>
  <c r="AD259" i="3"/>
  <c r="AI259" i="3" s="1"/>
  <c r="X259" i="3"/>
  <c r="W259" i="3"/>
  <c r="D259" i="3"/>
  <c r="C259" i="3"/>
  <c r="AJ258" i="3"/>
  <c r="AF258" i="3"/>
  <c r="AD258" i="3"/>
  <c r="AI258" i="3" s="1"/>
  <c r="X258" i="3"/>
  <c r="W258" i="3"/>
  <c r="D258" i="3"/>
  <c r="C258" i="3"/>
  <c r="AJ257" i="3"/>
  <c r="AF257" i="3"/>
  <c r="AD257" i="3"/>
  <c r="AI257" i="3" s="1"/>
  <c r="X257" i="3"/>
  <c r="W257" i="3"/>
  <c r="D257" i="3"/>
  <c r="C257" i="3"/>
  <c r="AJ256" i="3"/>
  <c r="AF256" i="3"/>
  <c r="AD256" i="3"/>
  <c r="AI256" i="3" s="1"/>
  <c r="X256" i="3"/>
  <c r="W256" i="3"/>
  <c r="D256" i="3"/>
  <c r="C256" i="3"/>
  <c r="AJ255" i="3"/>
  <c r="AF255" i="3"/>
  <c r="AD255" i="3"/>
  <c r="AI255" i="3" s="1"/>
  <c r="X255" i="3"/>
  <c r="W255" i="3"/>
  <c r="D255" i="3"/>
  <c r="C255" i="3"/>
  <c r="AJ254" i="3"/>
  <c r="AF254" i="3"/>
  <c r="AD254" i="3"/>
  <c r="AI254" i="3" s="1"/>
  <c r="X254" i="3"/>
  <c r="W254" i="3"/>
  <c r="D254" i="3"/>
  <c r="C254" i="3"/>
  <c r="AJ253" i="3"/>
  <c r="AG253" i="3"/>
  <c r="AF253" i="3"/>
  <c r="AD253" i="3"/>
  <c r="AI253" i="3" s="1"/>
  <c r="X253" i="3"/>
  <c r="W253" i="3"/>
  <c r="D253" i="3"/>
  <c r="C253" i="3"/>
  <c r="AF252" i="3"/>
  <c r="AE252" i="3"/>
  <c r="AJ252" i="3" s="1"/>
  <c r="AD252" i="3"/>
  <c r="AI252" i="3" s="1"/>
  <c r="X252" i="3"/>
  <c r="W252" i="3"/>
  <c r="D252" i="3"/>
  <c r="C252" i="3"/>
  <c r="AF251" i="3"/>
  <c r="AE251" i="3"/>
  <c r="AJ251" i="3" s="1"/>
  <c r="AD251" i="3"/>
  <c r="AI251" i="3" s="1"/>
  <c r="X251" i="3"/>
  <c r="W251" i="3"/>
  <c r="D251" i="3"/>
  <c r="C251" i="3"/>
  <c r="AJ250" i="3"/>
  <c r="AF250" i="3"/>
  <c r="AD250" i="3"/>
  <c r="AI250" i="3" s="1"/>
  <c r="X250" i="3"/>
  <c r="W250" i="3"/>
  <c r="D250" i="3"/>
  <c r="C250" i="3"/>
  <c r="AJ249" i="3"/>
  <c r="AF249" i="3"/>
  <c r="AD249" i="3"/>
  <c r="AI249" i="3" s="1"/>
  <c r="X249" i="3"/>
  <c r="W249" i="3"/>
  <c r="D249" i="3"/>
  <c r="C249" i="3"/>
  <c r="AJ248" i="3"/>
  <c r="AF248" i="3"/>
  <c r="AD248" i="3"/>
  <c r="AI248" i="3" s="1"/>
  <c r="X248" i="3"/>
  <c r="W248" i="3"/>
  <c r="D248" i="3"/>
  <c r="C248" i="3"/>
  <c r="AJ247" i="3"/>
  <c r="AF247" i="3"/>
  <c r="AD247" i="3"/>
  <c r="AI247" i="3" s="1"/>
  <c r="X247" i="3"/>
  <c r="W247" i="3"/>
  <c r="D247" i="3"/>
  <c r="C247" i="3"/>
  <c r="AJ246" i="3"/>
  <c r="AF246" i="3"/>
  <c r="AD246" i="3"/>
  <c r="AI246" i="3" s="1"/>
  <c r="X246" i="3"/>
  <c r="W246" i="3"/>
  <c r="D246" i="3"/>
  <c r="C246" i="3"/>
  <c r="AF245" i="3"/>
  <c r="AE245" i="3"/>
  <c r="AJ245" i="3" s="1"/>
  <c r="AD245" i="3"/>
  <c r="AI245" i="3" s="1"/>
  <c r="X245" i="3"/>
  <c r="W245" i="3"/>
  <c r="D245" i="3"/>
  <c r="C245" i="3"/>
  <c r="AF244" i="3"/>
  <c r="AE244" i="3"/>
  <c r="AJ244" i="3" s="1"/>
  <c r="AD244" i="3"/>
  <c r="AI244" i="3" s="1"/>
  <c r="X244" i="3"/>
  <c r="W244" i="3"/>
  <c r="D244" i="3"/>
  <c r="C244" i="3"/>
  <c r="AF243" i="3"/>
  <c r="AE243" i="3"/>
  <c r="AJ243" i="3" s="1"/>
  <c r="AD243" i="3"/>
  <c r="AI243" i="3" s="1"/>
  <c r="X243" i="3"/>
  <c r="W243" i="3"/>
  <c r="D243" i="3"/>
  <c r="C243" i="3"/>
  <c r="AF242" i="3"/>
  <c r="AE242" i="3"/>
  <c r="AJ242" i="3" s="1"/>
  <c r="AD242" i="3"/>
  <c r="AI242" i="3" s="1"/>
  <c r="X242" i="3"/>
  <c r="W242" i="3"/>
  <c r="D242" i="3"/>
  <c r="C242" i="3"/>
  <c r="AF241" i="3"/>
  <c r="AE241" i="3"/>
  <c r="AJ241" i="3" s="1"/>
  <c r="AD241" i="3"/>
  <c r="AI241" i="3" s="1"/>
  <c r="X241" i="3"/>
  <c r="W241" i="3"/>
  <c r="D241" i="3"/>
  <c r="C241" i="3"/>
  <c r="AF240" i="3"/>
  <c r="AE240" i="3"/>
  <c r="AJ240" i="3" s="1"/>
  <c r="AD240" i="3"/>
  <c r="AI240" i="3" s="1"/>
  <c r="X240" i="3"/>
  <c r="W240" i="3"/>
  <c r="D240" i="3"/>
  <c r="C240" i="3"/>
  <c r="AF239" i="3"/>
  <c r="AE239" i="3"/>
  <c r="AJ239" i="3" s="1"/>
  <c r="AD239" i="3"/>
  <c r="AI239" i="3" s="1"/>
  <c r="X239" i="3"/>
  <c r="W239" i="3"/>
  <c r="D239" i="3"/>
  <c r="C239" i="3"/>
  <c r="AF238" i="3"/>
  <c r="AE238" i="3"/>
  <c r="AJ238" i="3" s="1"/>
  <c r="AD238" i="3"/>
  <c r="AI238" i="3" s="1"/>
  <c r="X238" i="3"/>
  <c r="W238" i="3"/>
  <c r="D238" i="3"/>
  <c r="C238" i="3"/>
  <c r="AF237" i="3"/>
  <c r="AE237" i="3"/>
  <c r="AJ237" i="3" s="1"/>
  <c r="AD237" i="3"/>
  <c r="AI237" i="3" s="1"/>
  <c r="X237" i="3"/>
  <c r="W237" i="3"/>
  <c r="D237" i="3"/>
  <c r="C237" i="3"/>
  <c r="AJ236" i="3"/>
  <c r="AI236" i="3"/>
  <c r="X236" i="3"/>
  <c r="W236" i="3"/>
  <c r="D236" i="3"/>
  <c r="C236" i="3"/>
  <c r="AJ235" i="3"/>
  <c r="AI235" i="3"/>
  <c r="X235" i="3"/>
  <c r="W235" i="3"/>
  <c r="D235" i="3"/>
  <c r="C235" i="3"/>
  <c r="AJ234" i="3"/>
  <c r="AI234" i="3"/>
  <c r="X234" i="3"/>
  <c r="W234" i="3"/>
  <c r="D234" i="3"/>
  <c r="C234" i="3"/>
  <c r="AJ233" i="3"/>
  <c r="AG233" i="3"/>
  <c r="AF233" i="3"/>
  <c r="AD233" i="3"/>
  <c r="AI233" i="3" s="1"/>
  <c r="X233" i="3"/>
  <c r="W233" i="3"/>
  <c r="D233" i="3"/>
  <c r="C233" i="3"/>
  <c r="AJ232" i="3"/>
  <c r="AI232" i="3"/>
  <c r="X232" i="3"/>
  <c r="W232" i="3"/>
  <c r="D232" i="3"/>
  <c r="C232" i="3"/>
  <c r="AJ231" i="3"/>
  <c r="AI231" i="3"/>
  <c r="X231" i="3"/>
  <c r="W231" i="3"/>
  <c r="D231" i="3"/>
  <c r="C231" i="3"/>
  <c r="AJ230" i="3"/>
  <c r="AI230" i="3"/>
  <c r="X230" i="3"/>
  <c r="W230" i="3"/>
  <c r="D230" i="3"/>
  <c r="C230" i="3"/>
  <c r="AJ229" i="3"/>
  <c r="AG229" i="3"/>
  <c r="AF229" i="3"/>
  <c r="AD229" i="3"/>
  <c r="AI229" i="3" s="1"/>
  <c r="X229" i="3"/>
  <c r="W229" i="3"/>
  <c r="D229" i="3"/>
  <c r="C229" i="3"/>
  <c r="AJ228" i="3"/>
  <c r="AI228" i="3"/>
  <c r="X228" i="3"/>
  <c r="W228" i="3"/>
  <c r="D228" i="3"/>
  <c r="C228" i="3"/>
  <c r="AJ227" i="3"/>
  <c r="AI227" i="3"/>
  <c r="X227" i="3"/>
  <c r="W227" i="3"/>
  <c r="D227" i="3"/>
  <c r="C227" i="3"/>
  <c r="AJ226" i="3"/>
  <c r="AI226" i="3"/>
  <c r="X226" i="3"/>
  <c r="W226" i="3"/>
  <c r="D226" i="3"/>
  <c r="C226" i="3"/>
  <c r="AJ225" i="3"/>
  <c r="AG225" i="3"/>
  <c r="AF225" i="3"/>
  <c r="AD225" i="3"/>
  <c r="AI225" i="3" s="1"/>
  <c r="X225" i="3"/>
  <c r="W225" i="3"/>
  <c r="D225" i="3"/>
  <c r="C225" i="3"/>
  <c r="AJ224" i="3"/>
  <c r="AI224" i="3"/>
  <c r="X224" i="3"/>
  <c r="W224" i="3"/>
  <c r="D224" i="3"/>
  <c r="C224" i="3"/>
  <c r="AJ223" i="3"/>
  <c r="AI223" i="3"/>
  <c r="X223" i="3"/>
  <c r="W223" i="3"/>
  <c r="D223" i="3"/>
  <c r="C223" i="3"/>
  <c r="AJ222" i="3"/>
  <c r="AI222" i="3"/>
  <c r="X222" i="3"/>
  <c r="W222" i="3"/>
  <c r="D222" i="3"/>
  <c r="C222" i="3"/>
  <c r="AJ221" i="3"/>
  <c r="AG221" i="3"/>
  <c r="AF221" i="3" s="1"/>
  <c r="AD221" i="3"/>
  <c r="AI221" i="3" s="1"/>
  <c r="X221" i="3"/>
  <c r="W221" i="3"/>
  <c r="D221" i="3"/>
  <c r="C221" i="3"/>
  <c r="AJ220" i="3"/>
  <c r="AG220" i="3"/>
  <c r="AF220" i="3"/>
  <c r="AD220" i="3"/>
  <c r="AI220" i="3" s="1"/>
  <c r="X220" i="3"/>
  <c r="W220" i="3"/>
  <c r="D220" i="3"/>
  <c r="C220" i="3"/>
  <c r="AJ219" i="3"/>
  <c r="AG219" i="3"/>
  <c r="AF219" i="3"/>
  <c r="AD219" i="3"/>
  <c r="AI219" i="3" s="1"/>
  <c r="X219" i="3"/>
  <c r="W219" i="3"/>
  <c r="D219" i="3"/>
  <c r="C219" i="3"/>
  <c r="AJ218" i="3"/>
  <c r="AG218" i="3"/>
  <c r="AF218" i="3"/>
  <c r="AD218" i="3"/>
  <c r="AI218" i="3" s="1"/>
  <c r="X218" i="3"/>
  <c r="W218" i="3"/>
  <c r="D218" i="3"/>
  <c r="C218" i="3"/>
  <c r="AJ217" i="3"/>
  <c r="AG217" i="3"/>
  <c r="AF217" i="3"/>
  <c r="AD217" i="3"/>
  <c r="AI217" i="3" s="1"/>
  <c r="X217" i="3"/>
  <c r="W217" i="3"/>
  <c r="D217" i="3"/>
  <c r="C217" i="3"/>
  <c r="AJ216" i="3"/>
  <c r="AG216" i="3"/>
  <c r="AF216" i="3"/>
  <c r="AD216" i="3"/>
  <c r="AI216" i="3" s="1"/>
  <c r="X216" i="3"/>
  <c r="W216" i="3"/>
  <c r="D216" i="3"/>
  <c r="C216" i="3"/>
  <c r="AJ215" i="3"/>
  <c r="AG215" i="3"/>
  <c r="AF215" i="3"/>
  <c r="AD215" i="3"/>
  <c r="AI215" i="3" s="1"/>
  <c r="X215" i="3"/>
  <c r="W215" i="3"/>
  <c r="D215" i="3"/>
  <c r="C215" i="3"/>
  <c r="AJ214" i="3"/>
  <c r="AF214" i="3"/>
  <c r="AD214" i="3"/>
  <c r="AI214" i="3" s="1"/>
  <c r="X214" i="3"/>
  <c r="W214" i="3"/>
  <c r="D214" i="3"/>
  <c r="C214" i="3"/>
  <c r="AF213" i="3"/>
  <c r="AE213" i="3"/>
  <c r="AJ213" i="3" s="1"/>
  <c r="AD213" i="3"/>
  <c r="AI213" i="3" s="1"/>
  <c r="X213" i="3"/>
  <c r="W213" i="3"/>
  <c r="D213" i="3"/>
  <c r="C213" i="3"/>
  <c r="AJ212" i="3"/>
  <c r="AG212" i="3"/>
  <c r="AF212" i="3"/>
  <c r="AD212" i="3"/>
  <c r="AI212" i="3" s="1"/>
  <c r="X212" i="3"/>
  <c r="W212" i="3"/>
  <c r="D212" i="3"/>
  <c r="C212" i="3"/>
  <c r="AF211" i="3"/>
  <c r="AE211" i="3"/>
  <c r="AJ211" i="3" s="1"/>
  <c r="AD211" i="3"/>
  <c r="AI211" i="3" s="1"/>
  <c r="X211" i="3"/>
  <c r="W211" i="3"/>
  <c r="D211" i="3"/>
  <c r="C211" i="3"/>
  <c r="AF210" i="3"/>
  <c r="AE210" i="3"/>
  <c r="AJ210" i="3" s="1"/>
  <c r="AD210" i="3"/>
  <c r="AI210" i="3" s="1"/>
  <c r="X210" i="3"/>
  <c r="W210" i="3"/>
  <c r="D210" i="3"/>
  <c r="C210" i="3"/>
  <c r="AF209" i="3"/>
  <c r="AE209" i="3"/>
  <c r="AJ209" i="3" s="1"/>
  <c r="AD209" i="3"/>
  <c r="AI209" i="3" s="1"/>
  <c r="X209" i="3"/>
  <c r="W209" i="3"/>
  <c r="D209" i="3"/>
  <c r="C209" i="3"/>
  <c r="AF208" i="3"/>
  <c r="AE208" i="3"/>
  <c r="AJ208" i="3" s="1"/>
  <c r="AD208" i="3"/>
  <c r="AI208" i="3" s="1"/>
  <c r="X208" i="3"/>
  <c r="W208" i="3"/>
  <c r="D208" i="3"/>
  <c r="C208" i="3"/>
  <c r="AG207" i="3"/>
  <c r="AD207" i="3"/>
  <c r="AI207" i="3" s="1"/>
  <c r="X207" i="3"/>
  <c r="W207" i="3"/>
  <c r="D207" i="3"/>
  <c r="C207" i="3"/>
  <c r="AH206" i="3"/>
  <c r="AF206" i="3"/>
  <c r="AE206" i="3"/>
  <c r="AD206" i="3"/>
  <c r="X206" i="3"/>
  <c r="W206" i="3"/>
  <c r="D206" i="3"/>
  <c r="C206" i="3"/>
  <c r="AJ205" i="3"/>
  <c r="AI205" i="3"/>
  <c r="X205" i="3"/>
  <c r="W205" i="3"/>
  <c r="D205" i="3"/>
  <c r="C205" i="3"/>
  <c r="AH204" i="3"/>
  <c r="AF204" i="3"/>
  <c r="AE204" i="3"/>
  <c r="AD204" i="3"/>
  <c r="X204" i="3"/>
  <c r="W204" i="3"/>
  <c r="D204" i="3"/>
  <c r="C204" i="3"/>
  <c r="AJ203" i="3"/>
  <c r="AI203" i="3"/>
  <c r="AF203" i="3"/>
  <c r="X203" i="3"/>
  <c r="W203" i="3"/>
  <c r="D203" i="3"/>
  <c r="C203" i="3"/>
  <c r="AF202" i="3"/>
  <c r="AE202" i="3"/>
  <c r="AJ202" i="3" s="1"/>
  <c r="AD202" i="3"/>
  <c r="AI202" i="3" s="1"/>
  <c r="X202" i="3"/>
  <c r="W202" i="3"/>
  <c r="D202" i="3"/>
  <c r="C202" i="3"/>
  <c r="AJ201" i="3"/>
  <c r="AI201" i="3"/>
  <c r="AF201" i="3"/>
  <c r="X201" i="3"/>
  <c r="W201" i="3"/>
  <c r="D201" i="3"/>
  <c r="C201" i="3"/>
  <c r="AH200" i="3"/>
  <c r="AF200" i="3"/>
  <c r="AE200" i="3"/>
  <c r="AD200" i="3"/>
  <c r="X200" i="3"/>
  <c r="W200" i="3"/>
  <c r="D200" i="3"/>
  <c r="C200" i="3"/>
  <c r="AF199" i="3"/>
  <c r="AE199" i="3"/>
  <c r="AJ199" i="3" s="1"/>
  <c r="AD199" i="3"/>
  <c r="AI199" i="3" s="1"/>
  <c r="X199" i="3"/>
  <c r="W199" i="3"/>
  <c r="D199" i="3"/>
  <c r="C199" i="3"/>
  <c r="AF198" i="3"/>
  <c r="AE198" i="3"/>
  <c r="AJ198" i="3" s="1"/>
  <c r="AD198" i="3"/>
  <c r="AI198" i="3" s="1"/>
  <c r="X198" i="3"/>
  <c r="W198" i="3"/>
  <c r="D198" i="3"/>
  <c r="C198" i="3"/>
  <c r="AJ197" i="3"/>
  <c r="AF197" i="3"/>
  <c r="AD197" i="3"/>
  <c r="AI197" i="3" s="1"/>
  <c r="X197" i="3"/>
  <c r="W197" i="3"/>
  <c r="D197" i="3"/>
  <c r="C197" i="3"/>
  <c r="AF196" i="3"/>
  <c r="AE196" i="3"/>
  <c r="AJ196" i="3" s="1"/>
  <c r="AD196" i="3"/>
  <c r="AI196" i="3" s="1"/>
  <c r="X196" i="3"/>
  <c r="W196" i="3"/>
  <c r="D196" i="3"/>
  <c r="C196" i="3"/>
  <c r="AF195" i="3"/>
  <c r="AE195" i="3"/>
  <c r="AJ195" i="3" s="1"/>
  <c r="AD195" i="3"/>
  <c r="AI195" i="3" s="1"/>
  <c r="X195" i="3"/>
  <c r="W195" i="3"/>
  <c r="D195" i="3"/>
  <c r="C195" i="3"/>
  <c r="AF194" i="3"/>
  <c r="AE194" i="3"/>
  <c r="AJ194" i="3" s="1"/>
  <c r="AD194" i="3"/>
  <c r="AI194" i="3" s="1"/>
  <c r="X194" i="3"/>
  <c r="W194" i="3"/>
  <c r="D194" i="3"/>
  <c r="C194" i="3"/>
  <c r="AF193" i="3"/>
  <c r="AE193" i="3"/>
  <c r="AJ193" i="3" s="1"/>
  <c r="AD193" i="3"/>
  <c r="AI193" i="3" s="1"/>
  <c r="X193" i="3"/>
  <c r="W193" i="3"/>
  <c r="D193" i="3"/>
  <c r="C193" i="3"/>
  <c r="AE192" i="3"/>
  <c r="AJ192" i="3" s="1"/>
  <c r="AD192" i="3"/>
  <c r="AI192" i="3" s="1"/>
  <c r="X192" i="3"/>
  <c r="W192" i="3"/>
  <c r="D192" i="3"/>
  <c r="C192" i="3"/>
  <c r="AJ191" i="3"/>
  <c r="AG191" i="3"/>
  <c r="AF191" i="3"/>
  <c r="AD191" i="3"/>
  <c r="AI191" i="3" s="1"/>
  <c r="X191" i="3"/>
  <c r="W191" i="3"/>
  <c r="D191" i="3"/>
  <c r="C191" i="3"/>
  <c r="AE190" i="3"/>
  <c r="AJ190" i="3" s="1"/>
  <c r="AD190" i="3"/>
  <c r="AI190" i="3" s="1"/>
  <c r="X190" i="3"/>
  <c r="W190" i="3"/>
  <c r="D190" i="3"/>
  <c r="C190" i="3"/>
  <c r="AJ189" i="3"/>
  <c r="AI189" i="3"/>
  <c r="AF189" i="3"/>
  <c r="X189" i="3"/>
  <c r="W189" i="3"/>
  <c r="D189" i="3"/>
  <c r="C189" i="3"/>
  <c r="AJ188" i="3"/>
  <c r="AF188" i="3"/>
  <c r="AD188" i="3"/>
  <c r="AI188" i="3" s="1"/>
  <c r="X188" i="3"/>
  <c r="W188" i="3"/>
  <c r="D188" i="3"/>
  <c r="C188" i="3"/>
  <c r="AJ187" i="3"/>
  <c r="AI187" i="3"/>
  <c r="AF187" i="3"/>
  <c r="X187" i="3"/>
  <c r="W187" i="3"/>
  <c r="D187" i="3"/>
  <c r="C187" i="3"/>
  <c r="AJ186" i="3"/>
  <c r="AF186" i="3"/>
  <c r="AD186" i="3"/>
  <c r="AI186" i="3" s="1"/>
  <c r="X186" i="3"/>
  <c r="W186" i="3"/>
  <c r="D186" i="3"/>
  <c r="C186" i="3"/>
  <c r="AJ185" i="3"/>
  <c r="AG185" i="3"/>
  <c r="AF185" i="3"/>
  <c r="AD185" i="3"/>
  <c r="AI185" i="3" s="1"/>
  <c r="X185" i="3"/>
  <c r="W185" i="3"/>
  <c r="D185" i="3"/>
  <c r="C185" i="3"/>
  <c r="AJ184" i="3"/>
  <c r="AG184" i="3"/>
  <c r="AF184" i="3"/>
  <c r="AD184" i="3"/>
  <c r="AI184" i="3" s="1"/>
  <c r="X184" i="3"/>
  <c r="W184" i="3"/>
  <c r="D184" i="3"/>
  <c r="C184" i="3"/>
  <c r="AE183" i="3"/>
  <c r="AJ183" i="3" s="1"/>
  <c r="AD183" i="3"/>
  <c r="AI183" i="3" s="1"/>
  <c r="X183" i="3"/>
  <c r="W183" i="3"/>
  <c r="D183" i="3"/>
  <c r="C183" i="3"/>
  <c r="AJ182" i="3"/>
  <c r="AF182" i="3"/>
  <c r="AD182" i="3"/>
  <c r="AI182" i="3" s="1"/>
  <c r="X182" i="3"/>
  <c r="W182" i="3"/>
  <c r="D182" i="3"/>
  <c r="C182" i="3"/>
  <c r="AJ181" i="3"/>
  <c r="AF181" i="3"/>
  <c r="AD181" i="3"/>
  <c r="AI181" i="3" s="1"/>
  <c r="X181" i="3"/>
  <c r="W181" i="3"/>
  <c r="D181" i="3"/>
  <c r="C181" i="3"/>
  <c r="AJ180" i="3"/>
  <c r="AF180" i="3"/>
  <c r="AD180" i="3"/>
  <c r="AI180" i="3" s="1"/>
  <c r="X180" i="3"/>
  <c r="W180" i="3"/>
  <c r="D180" i="3"/>
  <c r="C180" i="3"/>
  <c r="AF179" i="3"/>
  <c r="AE179" i="3"/>
  <c r="AJ179" i="3" s="1"/>
  <c r="AD179" i="3"/>
  <c r="AI179" i="3" s="1"/>
  <c r="X179" i="3"/>
  <c r="W179" i="3"/>
  <c r="D179" i="3"/>
  <c r="C179" i="3"/>
  <c r="AF178" i="3"/>
  <c r="AE178" i="3"/>
  <c r="AJ178" i="3" s="1"/>
  <c r="AD178" i="3"/>
  <c r="AI178" i="3" s="1"/>
  <c r="X178" i="3"/>
  <c r="W178" i="3"/>
  <c r="D178" i="3"/>
  <c r="C178" i="3"/>
  <c r="AJ177" i="3"/>
  <c r="AI177" i="3"/>
  <c r="AF177" i="3"/>
  <c r="X177" i="3"/>
  <c r="W177" i="3"/>
  <c r="D177" i="3"/>
  <c r="C177" i="3"/>
  <c r="AH176" i="3"/>
  <c r="AF176" i="3"/>
  <c r="AD176" i="3"/>
  <c r="X176" i="3"/>
  <c r="W176" i="3"/>
  <c r="D176" i="3"/>
  <c r="C176" i="3"/>
  <c r="AH175" i="3"/>
  <c r="AF175" i="3"/>
  <c r="AD175" i="3"/>
  <c r="X175" i="3"/>
  <c r="W175" i="3"/>
  <c r="D175" i="3"/>
  <c r="C175" i="3"/>
  <c r="AH174" i="3"/>
  <c r="AF174" i="3"/>
  <c r="AD174" i="3"/>
  <c r="X174" i="3"/>
  <c r="W174" i="3"/>
  <c r="D174" i="3"/>
  <c r="C174" i="3"/>
  <c r="AH173" i="3"/>
  <c r="AF173" i="3"/>
  <c r="AD173" i="3"/>
  <c r="X173" i="3"/>
  <c r="W173" i="3"/>
  <c r="D173" i="3"/>
  <c r="C173" i="3"/>
  <c r="AH172" i="3"/>
  <c r="AF172" i="3"/>
  <c r="AD172" i="3"/>
  <c r="X172" i="3"/>
  <c r="W172" i="3"/>
  <c r="D172" i="3"/>
  <c r="C172" i="3"/>
  <c r="AH171" i="3"/>
  <c r="AF171" i="3"/>
  <c r="AD171" i="3"/>
  <c r="X171" i="3"/>
  <c r="W171" i="3"/>
  <c r="D171" i="3"/>
  <c r="C171" i="3"/>
  <c r="AH170" i="3"/>
  <c r="AF170" i="3"/>
  <c r="AD170" i="3"/>
  <c r="X170" i="3"/>
  <c r="W170" i="3"/>
  <c r="D170" i="3"/>
  <c r="C170" i="3"/>
  <c r="AH169" i="3"/>
  <c r="AF169" i="3"/>
  <c r="AD169" i="3"/>
  <c r="X169" i="3"/>
  <c r="W169" i="3"/>
  <c r="D169" i="3"/>
  <c r="C169" i="3"/>
  <c r="AH168" i="3"/>
  <c r="AF168" i="3"/>
  <c r="AD168" i="3"/>
  <c r="X168" i="3"/>
  <c r="W168" i="3"/>
  <c r="D168" i="3"/>
  <c r="C168" i="3"/>
  <c r="AH167" i="3"/>
  <c r="AF167" i="3"/>
  <c r="AD167" i="3"/>
  <c r="X167" i="3"/>
  <c r="W167" i="3"/>
  <c r="D167" i="3"/>
  <c r="C167" i="3"/>
  <c r="AH166" i="3"/>
  <c r="AF166" i="3"/>
  <c r="AD166" i="3"/>
  <c r="X166" i="3"/>
  <c r="W166" i="3"/>
  <c r="D166" i="3"/>
  <c r="C166" i="3"/>
  <c r="AH165" i="3"/>
  <c r="AF165" i="3"/>
  <c r="AD165" i="3"/>
  <c r="X165" i="3"/>
  <c r="W165" i="3"/>
  <c r="D165" i="3"/>
  <c r="C165" i="3"/>
  <c r="AH164" i="3"/>
  <c r="AF164" i="3"/>
  <c r="AD164" i="3"/>
  <c r="X164" i="3"/>
  <c r="W164" i="3"/>
  <c r="D164" i="3"/>
  <c r="C164" i="3"/>
  <c r="AH163" i="3"/>
  <c r="AF163" i="3"/>
  <c r="AD163" i="3"/>
  <c r="X163" i="3"/>
  <c r="W163" i="3"/>
  <c r="D163" i="3"/>
  <c r="C163" i="3"/>
  <c r="AH162" i="3"/>
  <c r="AF162" i="3"/>
  <c r="AD162" i="3"/>
  <c r="X162" i="3"/>
  <c r="W162" i="3"/>
  <c r="D162" i="3"/>
  <c r="C162" i="3"/>
  <c r="AH161" i="3"/>
  <c r="AF161" i="3"/>
  <c r="AD161" i="3"/>
  <c r="X161" i="3"/>
  <c r="W161" i="3"/>
  <c r="D161" i="3"/>
  <c r="C161" i="3"/>
  <c r="AH160" i="3"/>
  <c r="AF160" i="3"/>
  <c r="AD160" i="3"/>
  <c r="X160" i="3"/>
  <c r="W160" i="3"/>
  <c r="D160" i="3"/>
  <c r="C160" i="3"/>
  <c r="AH159" i="3"/>
  <c r="AF159" i="3"/>
  <c r="AD159" i="3"/>
  <c r="X159" i="3"/>
  <c r="W159" i="3"/>
  <c r="D159" i="3"/>
  <c r="C159" i="3"/>
  <c r="AH158" i="3"/>
  <c r="AF158" i="3"/>
  <c r="AD158" i="3"/>
  <c r="X158" i="3"/>
  <c r="W158" i="3"/>
  <c r="D158" i="3"/>
  <c r="C158" i="3"/>
  <c r="AH157" i="3"/>
  <c r="AF157" i="3"/>
  <c r="AD157" i="3"/>
  <c r="X157" i="3"/>
  <c r="W157" i="3"/>
  <c r="D157" i="3"/>
  <c r="C157" i="3"/>
  <c r="AH156" i="3"/>
  <c r="AF156" i="3"/>
  <c r="AD156" i="3"/>
  <c r="X156" i="3"/>
  <c r="W156" i="3"/>
  <c r="D156" i="3"/>
  <c r="C156" i="3"/>
  <c r="AH155" i="3"/>
  <c r="AF155" i="3"/>
  <c r="AE155" i="3"/>
  <c r="AD155" i="3"/>
  <c r="X155" i="3"/>
  <c r="W155" i="3"/>
  <c r="D155" i="3"/>
  <c r="C155" i="3"/>
  <c r="AH154" i="3"/>
  <c r="AF154" i="3"/>
  <c r="AE154" i="3"/>
  <c r="AD154" i="3"/>
  <c r="X154" i="3"/>
  <c r="W154" i="3"/>
  <c r="D154" i="3"/>
  <c r="C154" i="3"/>
  <c r="AF153" i="3"/>
  <c r="AE153" i="3"/>
  <c r="AJ153" i="3" s="1"/>
  <c r="AD153" i="3"/>
  <c r="AI153" i="3" s="1"/>
  <c r="X153" i="3"/>
  <c r="W153" i="3"/>
  <c r="D153" i="3"/>
  <c r="C153" i="3"/>
  <c r="AJ152" i="3"/>
  <c r="AF152" i="3"/>
  <c r="AD152" i="3"/>
  <c r="AI152" i="3" s="1"/>
  <c r="X152" i="3"/>
  <c r="W152" i="3"/>
  <c r="D152" i="3"/>
  <c r="C152" i="3"/>
  <c r="AJ151" i="3"/>
  <c r="AF151" i="3"/>
  <c r="AD151" i="3"/>
  <c r="AI151" i="3" s="1"/>
  <c r="X151" i="3"/>
  <c r="W151" i="3"/>
  <c r="D151" i="3"/>
  <c r="C151" i="3"/>
  <c r="AJ150" i="3"/>
  <c r="AF150" i="3"/>
  <c r="AD150" i="3"/>
  <c r="AI150" i="3" s="1"/>
  <c r="X150" i="3"/>
  <c r="W150" i="3"/>
  <c r="D150" i="3"/>
  <c r="C150" i="3"/>
  <c r="AJ149" i="3"/>
  <c r="AF149" i="3"/>
  <c r="AD149" i="3"/>
  <c r="AI149" i="3" s="1"/>
  <c r="X149" i="3"/>
  <c r="W149" i="3"/>
  <c r="D149" i="3"/>
  <c r="C149" i="3"/>
  <c r="AJ148" i="3"/>
  <c r="AF148" i="3"/>
  <c r="AD148" i="3"/>
  <c r="AI148" i="3" s="1"/>
  <c r="X148" i="3"/>
  <c r="W148" i="3"/>
  <c r="D148" i="3"/>
  <c r="C148" i="3"/>
  <c r="AJ147" i="3"/>
  <c r="AF147" i="3"/>
  <c r="AD147" i="3"/>
  <c r="AI147" i="3" s="1"/>
  <c r="X147" i="3"/>
  <c r="W147" i="3"/>
  <c r="D147" i="3"/>
  <c r="C147" i="3"/>
  <c r="AJ146" i="3"/>
  <c r="AF146" i="3"/>
  <c r="AD146" i="3"/>
  <c r="AI146" i="3" s="1"/>
  <c r="X146" i="3"/>
  <c r="W146" i="3"/>
  <c r="D146" i="3"/>
  <c r="C146" i="3"/>
  <c r="AJ145" i="3"/>
  <c r="AF145" i="3"/>
  <c r="AD145" i="3"/>
  <c r="AI145" i="3" s="1"/>
  <c r="X145" i="3"/>
  <c r="W145" i="3"/>
  <c r="D145" i="3"/>
  <c r="C145" i="3"/>
  <c r="AJ144" i="3"/>
  <c r="AF144" i="3"/>
  <c r="AD144" i="3"/>
  <c r="AI144" i="3" s="1"/>
  <c r="X144" i="3"/>
  <c r="W144" i="3"/>
  <c r="D144" i="3"/>
  <c r="C144" i="3"/>
  <c r="AJ143" i="3"/>
  <c r="AF143" i="3"/>
  <c r="AD143" i="3"/>
  <c r="AI143" i="3" s="1"/>
  <c r="X143" i="3"/>
  <c r="W143" i="3"/>
  <c r="D143" i="3"/>
  <c r="C143" i="3"/>
  <c r="AJ142" i="3"/>
  <c r="AF142" i="3"/>
  <c r="AD142" i="3"/>
  <c r="AI142" i="3" s="1"/>
  <c r="X142" i="3"/>
  <c r="W142" i="3"/>
  <c r="D142" i="3"/>
  <c r="C142" i="3"/>
  <c r="AJ141" i="3"/>
  <c r="AF141" i="3"/>
  <c r="AD141" i="3"/>
  <c r="AI141" i="3" s="1"/>
  <c r="X141" i="3"/>
  <c r="W141" i="3"/>
  <c r="D141" i="3"/>
  <c r="C141" i="3"/>
  <c r="AH140" i="3"/>
  <c r="AF140" i="3"/>
  <c r="AD140" i="3"/>
  <c r="X140" i="3"/>
  <c r="W140" i="3"/>
  <c r="D140" i="3"/>
  <c r="C140" i="3"/>
  <c r="AH139" i="3"/>
  <c r="AF139" i="3"/>
  <c r="AD139" i="3"/>
  <c r="X139" i="3"/>
  <c r="W139" i="3"/>
  <c r="D139" i="3"/>
  <c r="C139" i="3"/>
  <c r="AH138" i="3"/>
  <c r="AF138" i="3"/>
  <c r="AD138" i="3"/>
  <c r="X138" i="3"/>
  <c r="W138" i="3"/>
  <c r="D138" i="3"/>
  <c r="C138" i="3"/>
  <c r="AH137" i="3"/>
  <c r="AF137" i="3"/>
  <c r="AD137" i="3"/>
  <c r="X137" i="3"/>
  <c r="W137" i="3"/>
  <c r="D137" i="3"/>
  <c r="C137" i="3"/>
  <c r="AH136" i="3"/>
  <c r="AF136" i="3"/>
  <c r="AD136" i="3"/>
  <c r="X136" i="3"/>
  <c r="W136" i="3"/>
  <c r="D136" i="3"/>
  <c r="C136" i="3"/>
  <c r="AH135" i="3"/>
  <c r="AF135" i="3"/>
  <c r="AD135" i="3"/>
  <c r="X135" i="3"/>
  <c r="W135" i="3"/>
  <c r="D135" i="3"/>
  <c r="C135" i="3"/>
  <c r="AH134" i="3"/>
  <c r="AF134" i="3"/>
  <c r="AD134" i="3"/>
  <c r="X134" i="3"/>
  <c r="W134" i="3"/>
  <c r="D134" i="3"/>
  <c r="C134" i="3"/>
  <c r="AH133" i="3"/>
  <c r="AF133" i="3"/>
  <c r="AD133" i="3"/>
  <c r="X133" i="3"/>
  <c r="W133" i="3"/>
  <c r="D133" i="3"/>
  <c r="C133" i="3"/>
  <c r="AH132" i="3"/>
  <c r="AF132" i="3"/>
  <c r="AD132" i="3"/>
  <c r="X132" i="3"/>
  <c r="W132" i="3"/>
  <c r="D132" i="3"/>
  <c r="C132" i="3"/>
  <c r="AH131" i="3"/>
  <c r="AF131" i="3"/>
  <c r="AD131" i="3"/>
  <c r="X131" i="3"/>
  <c r="W131" i="3"/>
  <c r="D131" i="3"/>
  <c r="C131" i="3"/>
  <c r="AH130" i="3"/>
  <c r="AF130" i="3"/>
  <c r="AD130" i="3"/>
  <c r="X130" i="3"/>
  <c r="W130" i="3"/>
  <c r="D130" i="3"/>
  <c r="C130" i="3"/>
  <c r="AH129" i="3"/>
  <c r="AF129" i="3"/>
  <c r="AD129" i="3"/>
  <c r="X129" i="3"/>
  <c r="W129" i="3"/>
  <c r="D129" i="3"/>
  <c r="C129" i="3"/>
  <c r="AJ128" i="3"/>
  <c r="AI128" i="3"/>
  <c r="AF128" i="3"/>
  <c r="X128" i="3"/>
  <c r="W128" i="3"/>
  <c r="D128" i="3"/>
  <c r="C128" i="3"/>
  <c r="AJ127" i="3"/>
  <c r="AI127" i="3"/>
  <c r="AF127" i="3"/>
  <c r="X127" i="3"/>
  <c r="W127" i="3"/>
  <c r="D127" i="3"/>
  <c r="C127" i="3"/>
  <c r="AJ126" i="3"/>
  <c r="AI126" i="3"/>
  <c r="AF126" i="3"/>
  <c r="X126" i="3"/>
  <c r="W126" i="3"/>
  <c r="D126" i="3"/>
  <c r="C126" i="3"/>
  <c r="AJ125" i="3"/>
  <c r="AF125" i="3"/>
  <c r="AD125" i="3"/>
  <c r="AI125" i="3" s="1"/>
  <c r="X125" i="3"/>
  <c r="W125" i="3"/>
  <c r="D125" i="3"/>
  <c r="C125" i="3"/>
  <c r="AJ124" i="3"/>
  <c r="AI124" i="3"/>
  <c r="AF124" i="3"/>
  <c r="X124" i="3"/>
  <c r="W124" i="3"/>
  <c r="D124" i="3"/>
  <c r="C124" i="3"/>
  <c r="AJ123" i="3"/>
  <c r="AI123" i="3"/>
  <c r="AF123" i="3"/>
  <c r="X123" i="3"/>
  <c r="W123" i="3"/>
  <c r="D123" i="3"/>
  <c r="C123" i="3"/>
  <c r="AJ122" i="3"/>
  <c r="AI122" i="3"/>
  <c r="AF122" i="3"/>
  <c r="X122" i="3"/>
  <c r="W122" i="3"/>
  <c r="D122" i="3"/>
  <c r="C122" i="3"/>
  <c r="AJ121" i="3"/>
  <c r="AF121" i="3"/>
  <c r="AD121" i="3"/>
  <c r="AI121" i="3" s="1"/>
  <c r="X121" i="3"/>
  <c r="W121" i="3"/>
  <c r="D121" i="3"/>
  <c r="C121" i="3"/>
  <c r="AJ120" i="3"/>
  <c r="AI120" i="3"/>
  <c r="AF120" i="3"/>
  <c r="X120" i="3"/>
  <c r="W120" i="3"/>
  <c r="D120" i="3"/>
  <c r="C120" i="3"/>
  <c r="AJ119" i="3"/>
  <c r="AI119" i="3"/>
  <c r="AF119" i="3"/>
  <c r="X119" i="3"/>
  <c r="W119" i="3"/>
  <c r="D119" i="3"/>
  <c r="C119" i="3"/>
  <c r="AJ118" i="3"/>
  <c r="AI118" i="3"/>
  <c r="AF118" i="3"/>
  <c r="X118" i="3"/>
  <c r="W118" i="3"/>
  <c r="D118" i="3"/>
  <c r="C118" i="3"/>
  <c r="AJ117" i="3"/>
  <c r="AF117" i="3"/>
  <c r="AD117" i="3"/>
  <c r="AI117" i="3" s="1"/>
  <c r="X117" i="3"/>
  <c r="W117" i="3"/>
  <c r="D117" i="3"/>
  <c r="C117" i="3"/>
  <c r="AJ116" i="3"/>
  <c r="AI116" i="3"/>
  <c r="AF116" i="3"/>
  <c r="X116" i="3"/>
  <c r="W116" i="3"/>
  <c r="D116" i="3"/>
  <c r="C116" i="3"/>
  <c r="AJ115" i="3"/>
  <c r="AF115" i="3"/>
  <c r="AD115" i="3"/>
  <c r="AI115" i="3" s="1"/>
  <c r="X115" i="3"/>
  <c r="W115" i="3"/>
  <c r="D115" i="3"/>
  <c r="C115" i="3"/>
  <c r="AJ114" i="3"/>
  <c r="AI114" i="3"/>
  <c r="AF114" i="3"/>
  <c r="X114" i="3"/>
  <c r="W114" i="3"/>
  <c r="D114" i="3"/>
  <c r="C114" i="3"/>
  <c r="AJ113" i="3"/>
  <c r="AF113" i="3"/>
  <c r="AD113" i="3"/>
  <c r="AI113" i="3" s="1"/>
  <c r="X113" i="3"/>
  <c r="W113" i="3"/>
  <c r="D113" i="3"/>
  <c r="C113" i="3"/>
  <c r="AJ112" i="3"/>
  <c r="AF112" i="3"/>
  <c r="AD112" i="3"/>
  <c r="AI112" i="3" s="1"/>
  <c r="X112" i="3"/>
  <c r="W112" i="3"/>
  <c r="D112" i="3"/>
  <c r="C112" i="3"/>
  <c r="AJ111" i="3"/>
  <c r="AI111" i="3"/>
  <c r="AF111" i="3"/>
  <c r="X111" i="3"/>
  <c r="W111" i="3"/>
  <c r="D111" i="3"/>
  <c r="C111" i="3"/>
  <c r="AJ110" i="3"/>
  <c r="AI110" i="3"/>
  <c r="AF110" i="3"/>
  <c r="X110" i="3"/>
  <c r="W110" i="3"/>
  <c r="D110" i="3"/>
  <c r="C110" i="3"/>
  <c r="AJ109" i="3"/>
  <c r="AI109" i="3"/>
  <c r="AF109" i="3"/>
  <c r="X109" i="3"/>
  <c r="W109" i="3"/>
  <c r="D109" i="3"/>
  <c r="C109" i="3"/>
  <c r="AJ108" i="3"/>
  <c r="AF108" i="3"/>
  <c r="AD108" i="3"/>
  <c r="AI108" i="3" s="1"/>
  <c r="X108" i="3"/>
  <c r="W108" i="3"/>
  <c r="D108" i="3"/>
  <c r="C108" i="3"/>
  <c r="AJ107" i="3"/>
  <c r="AI107" i="3"/>
  <c r="AF107" i="3"/>
  <c r="X107" i="3"/>
  <c r="W107" i="3"/>
  <c r="D107" i="3"/>
  <c r="C107" i="3"/>
  <c r="AJ106" i="3"/>
  <c r="AF106" i="3"/>
  <c r="AD106" i="3"/>
  <c r="AI106" i="3" s="1"/>
  <c r="X106" i="3"/>
  <c r="W106" i="3"/>
  <c r="D106" i="3"/>
  <c r="C106" i="3"/>
  <c r="AJ105" i="3"/>
  <c r="AG105" i="3"/>
  <c r="AF105" i="3" s="1"/>
  <c r="AD105" i="3"/>
  <c r="AI105" i="3" s="1"/>
  <c r="X105" i="3"/>
  <c r="W105" i="3"/>
  <c r="D105" i="3"/>
  <c r="C105" i="3"/>
  <c r="AJ104" i="3"/>
  <c r="AI104" i="3"/>
  <c r="X104" i="3"/>
  <c r="W104" i="3"/>
  <c r="D104" i="3"/>
  <c r="C104" i="3"/>
  <c r="AJ103" i="3"/>
  <c r="AI103" i="3"/>
  <c r="X103" i="3"/>
  <c r="W103" i="3"/>
  <c r="D103" i="3"/>
  <c r="C103" i="3"/>
  <c r="AJ102" i="3"/>
  <c r="AI102" i="3"/>
  <c r="X102" i="3"/>
  <c r="W102" i="3"/>
  <c r="D102" i="3"/>
  <c r="C102" i="3"/>
  <c r="AJ101" i="3"/>
  <c r="AG101" i="3"/>
  <c r="AF101" i="3"/>
  <c r="AD101" i="3"/>
  <c r="AI101" i="3" s="1"/>
  <c r="X101" i="3"/>
  <c r="W101" i="3"/>
  <c r="D101" i="3"/>
  <c r="C101" i="3"/>
  <c r="AJ100" i="3"/>
  <c r="AI100" i="3"/>
  <c r="X100" i="3"/>
  <c r="W100" i="3"/>
  <c r="D100" i="3"/>
  <c r="C100" i="3"/>
  <c r="AJ99" i="3"/>
  <c r="AI99" i="3"/>
  <c r="X99" i="3"/>
  <c r="W99" i="3"/>
  <c r="D99" i="3"/>
  <c r="C99" i="3"/>
  <c r="AJ98" i="3"/>
  <c r="AI98" i="3"/>
  <c r="X98" i="3"/>
  <c r="W98" i="3"/>
  <c r="D98" i="3"/>
  <c r="C98" i="3"/>
  <c r="AJ97" i="3"/>
  <c r="AG97" i="3"/>
  <c r="AF97" i="3"/>
  <c r="AD97" i="3"/>
  <c r="AI97" i="3" s="1"/>
  <c r="X97" i="3"/>
  <c r="W97" i="3"/>
  <c r="D97" i="3"/>
  <c r="C97" i="3"/>
  <c r="AJ96" i="3"/>
  <c r="AG96" i="3"/>
  <c r="AF96" i="3"/>
  <c r="AD96" i="3"/>
  <c r="AI96" i="3" s="1"/>
  <c r="X96" i="3"/>
  <c r="W96" i="3"/>
  <c r="D96" i="3"/>
  <c r="C96" i="3"/>
  <c r="AJ95" i="3"/>
  <c r="AG95" i="3"/>
  <c r="AF95" i="3"/>
  <c r="AD95" i="3"/>
  <c r="AI95" i="3" s="1"/>
  <c r="X95" i="3"/>
  <c r="W95" i="3"/>
  <c r="D95" i="3"/>
  <c r="C95" i="3"/>
  <c r="AF94" i="3"/>
  <c r="AE94" i="3"/>
  <c r="AJ94" i="3" s="1"/>
  <c r="AD94" i="3"/>
  <c r="AI94" i="3" s="1"/>
  <c r="X94" i="3"/>
  <c r="W94" i="3"/>
  <c r="D94" i="3"/>
  <c r="C94" i="3"/>
  <c r="AF93" i="3"/>
  <c r="AE93" i="3"/>
  <c r="AJ93" i="3" s="1"/>
  <c r="AD93" i="3"/>
  <c r="AI93" i="3" s="1"/>
  <c r="X93" i="3"/>
  <c r="W93" i="3"/>
  <c r="D93" i="3"/>
  <c r="C93" i="3"/>
  <c r="AJ92" i="3"/>
  <c r="AG92" i="3"/>
  <c r="AF92" i="3"/>
  <c r="AD92" i="3"/>
  <c r="AI92" i="3" s="1"/>
  <c r="X92" i="3"/>
  <c r="W92" i="3"/>
  <c r="D92" i="3"/>
  <c r="C92" i="3"/>
  <c r="AJ91" i="3"/>
  <c r="AG91" i="3"/>
  <c r="AF91" i="3"/>
  <c r="AD91" i="3"/>
  <c r="AI91" i="3" s="1"/>
  <c r="X91" i="3"/>
  <c r="W91" i="3"/>
  <c r="D91" i="3"/>
  <c r="C91" i="3"/>
  <c r="AJ90" i="3"/>
  <c r="AG90" i="3"/>
  <c r="AF90" i="3"/>
  <c r="AD90" i="3"/>
  <c r="AI90" i="3" s="1"/>
  <c r="X90" i="3"/>
  <c r="W90" i="3"/>
  <c r="D90" i="3"/>
  <c r="C90" i="3"/>
  <c r="AF89" i="3"/>
  <c r="AE89" i="3"/>
  <c r="AJ89" i="3" s="1"/>
  <c r="AD89" i="3"/>
  <c r="AI89" i="3" s="1"/>
  <c r="X89" i="3"/>
  <c r="W89" i="3"/>
  <c r="D89" i="3"/>
  <c r="C89" i="3"/>
  <c r="AF88" i="3"/>
  <c r="AE88" i="3"/>
  <c r="AJ88" i="3" s="1"/>
  <c r="AD88" i="3"/>
  <c r="AI88" i="3" s="1"/>
  <c r="X88" i="3"/>
  <c r="W88" i="3"/>
  <c r="D88" i="3"/>
  <c r="C88" i="3"/>
  <c r="X87" i="3"/>
  <c r="W87" i="3"/>
  <c r="D87" i="3"/>
  <c r="C87" i="3"/>
  <c r="AF86" i="3"/>
  <c r="AE86" i="3"/>
  <c r="AJ86" i="3" s="1"/>
  <c r="AD86" i="3"/>
  <c r="AI86" i="3" s="1"/>
  <c r="X86" i="3"/>
  <c r="W86" i="3"/>
  <c r="D86" i="3"/>
  <c r="C86" i="3"/>
  <c r="X85" i="3"/>
  <c r="W85" i="3"/>
  <c r="D85" i="3"/>
  <c r="C85" i="3"/>
  <c r="AF84" i="3"/>
  <c r="AE84" i="3"/>
  <c r="AJ84" i="3" s="1"/>
  <c r="AD84" i="3"/>
  <c r="AI84" i="3" s="1"/>
  <c r="X84" i="3"/>
  <c r="W84" i="3"/>
  <c r="D84" i="3"/>
  <c r="C84" i="3"/>
  <c r="AJ83" i="3"/>
  <c r="AI83" i="3"/>
  <c r="AF83" i="3"/>
  <c r="X83" i="3"/>
  <c r="W83" i="3"/>
  <c r="D83" i="3"/>
  <c r="C83" i="3"/>
  <c r="AF82" i="3"/>
  <c r="AE82" i="3"/>
  <c r="AJ82" i="3" s="1"/>
  <c r="AD82" i="3"/>
  <c r="AI82" i="3" s="1"/>
  <c r="X82" i="3"/>
  <c r="W82" i="3"/>
  <c r="D82" i="3"/>
  <c r="C82" i="3"/>
  <c r="AJ81" i="3"/>
  <c r="AI81" i="3"/>
  <c r="AF81" i="3"/>
  <c r="X81" i="3"/>
  <c r="W81" i="3"/>
  <c r="D81" i="3"/>
  <c r="C81" i="3"/>
  <c r="AF80" i="3"/>
  <c r="AE80" i="3"/>
  <c r="AJ80" i="3" s="1"/>
  <c r="AD80" i="3"/>
  <c r="AI80" i="3" s="1"/>
  <c r="X80" i="3"/>
  <c r="W80" i="3"/>
  <c r="D80" i="3"/>
  <c r="C80" i="3"/>
  <c r="AF79" i="3"/>
  <c r="AE79" i="3"/>
  <c r="AJ79" i="3" s="1"/>
  <c r="AD79" i="3"/>
  <c r="AI79" i="3" s="1"/>
  <c r="X79" i="3"/>
  <c r="W79" i="3"/>
  <c r="D79" i="3"/>
  <c r="C79" i="3"/>
  <c r="AF78" i="3"/>
  <c r="AE78" i="3"/>
  <c r="AJ78" i="3" s="1"/>
  <c r="AD78" i="3"/>
  <c r="AI78" i="3" s="1"/>
  <c r="X78" i="3"/>
  <c r="W78" i="3"/>
  <c r="D78" i="3"/>
  <c r="C78" i="3"/>
  <c r="AJ77" i="3"/>
  <c r="AF77" i="3"/>
  <c r="AD77" i="3"/>
  <c r="AI77" i="3" s="1"/>
  <c r="X77" i="3"/>
  <c r="W77" i="3"/>
  <c r="D77" i="3"/>
  <c r="C77" i="3"/>
  <c r="AF76" i="3"/>
  <c r="AE76" i="3"/>
  <c r="AJ76" i="3" s="1"/>
  <c r="AD76" i="3"/>
  <c r="AI76" i="3" s="1"/>
  <c r="X76" i="3"/>
  <c r="W76" i="3"/>
  <c r="D76" i="3"/>
  <c r="C76" i="3"/>
  <c r="AF75" i="3"/>
  <c r="AE75" i="3"/>
  <c r="AJ75" i="3" s="1"/>
  <c r="AD75" i="3"/>
  <c r="AI75" i="3" s="1"/>
  <c r="X75" i="3"/>
  <c r="W75" i="3"/>
  <c r="D75" i="3"/>
  <c r="C75" i="3"/>
  <c r="AG74" i="3"/>
  <c r="AF74" i="3"/>
  <c r="AE74" i="3"/>
  <c r="AJ74" i="3" s="1"/>
  <c r="AD74" i="3"/>
  <c r="AI74" i="3" s="1"/>
  <c r="X74" i="3"/>
  <c r="W74" i="3"/>
  <c r="D74" i="3"/>
  <c r="C74" i="3"/>
  <c r="AJ73" i="3"/>
  <c r="AG73" i="3"/>
  <c r="AF73" i="3"/>
  <c r="AD73" i="3"/>
  <c r="AI73" i="3" s="1"/>
  <c r="X73" i="3"/>
  <c r="W73" i="3"/>
  <c r="D73" i="3"/>
  <c r="C73" i="3"/>
  <c r="AJ72" i="3"/>
  <c r="AI72" i="3"/>
  <c r="AF72" i="3"/>
  <c r="X72" i="3"/>
  <c r="W72" i="3"/>
  <c r="D72" i="3"/>
  <c r="C72" i="3"/>
  <c r="AH71" i="3"/>
  <c r="AF71" i="3"/>
  <c r="AE71" i="3"/>
  <c r="AD71" i="3"/>
  <c r="X71" i="3"/>
  <c r="W71" i="3"/>
  <c r="D71" i="3"/>
  <c r="C71" i="3"/>
  <c r="AJ70" i="3"/>
  <c r="AI70" i="3"/>
  <c r="AF70" i="3"/>
  <c r="X70" i="3"/>
  <c r="W70" i="3"/>
  <c r="D70" i="3"/>
  <c r="C70" i="3"/>
  <c r="AH69" i="3"/>
  <c r="AF69" i="3"/>
  <c r="AE69" i="3"/>
  <c r="AD69" i="3"/>
  <c r="X69" i="3"/>
  <c r="W69" i="3"/>
  <c r="D69" i="3"/>
  <c r="C69" i="3"/>
  <c r="AJ68" i="3"/>
  <c r="AI68" i="3"/>
  <c r="AF68" i="3"/>
  <c r="X68" i="3"/>
  <c r="W68" i="3"/>
  <c r="D68" i="3"/>
  <c r="C68" i="3"/>
  <c r="AJ67" i="3"/>
  <c r="AF67" i="3"/>
  <c r="AD67" i="3"/>
  <c r="AI67" i="3" s="1"/>
  <c r="X67" i="3"/>
  <c r="W67" i="3"/>
  <c r="D67" i="3"/>
  <c r="C67" i="3"/>
  <c r="AJ66" i="3"/>
  <c r="AI66" i="3"/>
  <c r="AF66" i="3"/>
  <c r="X66" i="3"/>
  <c r="W66" i="3"/>
  <c r="D66" i="3"/>
  <c r="C66" i="3"/>
  <c r="AJ65" i="3"/>
  <c r="AF65" i="3"/>
  <c r="AD65" i="3"/>
  <c r="AI65" i="3" s="1"/>
  <c r="X65" i="3"/>
  <c r="W65" i="3"/>
  <c r="D65" i="3"/>
  <c r="C65" i="3"/>
  <c r="AF64" i="3"/>
  <c r="AE64" i="3"/>
  <c r="AJ64" i="3" s="1"/>
  <c r="AD64" i="3"/>
  <c r="AI64" i="3" s="1"/>
  <c r="X64" i="3"/>
  <c r="W64" i="3"/>
  <c r="D64" i="3"/>
  <c r="C64" i="3"/>
  <c r="AF63" i="3"/>
  <c r="AE63" i="3"/>
  <c r="AJ63" i="3" s="1"/>
  <c r="AD63" i="3"/>
  <c r="AI63" i="3" s="1"/>
  <c r="X63" i="3"/>
  <c r="W63" i="3"/>
  <c r="D63" i="3"/>
  <c r="C63" i="3"/>
  <c r="AF62" i="3"/>
  <c r="AE62" i="3"/>
  <c r="AJ62" i="3" s="1"/>
  <c r="AD62" i="3"/>
  <c r="AI62" i="3" s="1"/>
  <c r="X62" i="3"/>
  <c r="W62" i="3"/>
  <c r="D62" i="3"/>
  <c r="C62" i="3"/>
  <c r="AF61" i="3"/>
  <c r="AE61" i="3"/>
  <c r="AJ61" i="3" s="1"/>
  <c r="AD61" i="3"/>
  <c r="AI61" i="3" s="1"/>
  <c r="X61" i="3"/>
  <c r="W61" i="3"/>
  <c r="D61" i="3"/>
  <c r="C61" i="3"/>
  <c r="AJ60" i="3"/>
  <c r="AG60" i="3"/>
  <c r="AF60" i="3" s="1"/>
  <c r="AD60" i="3"/>
  <c r="AI60" i="3" s="1"/>
  <c r="X60" i="3"/>
  <c r="W60" i="3"/>
  <c r="D60" i="3"/>
  <c r="C60" i="3"/>
  <c r="AJ59" i="3"/>
  <c r="AG59" i="3"/>
  <c r="AF59" i="3"/>
  <c r="AD59" i="3"/>
  <c r="AI59" i="3" s="1"/>
  <c r="X59" i="3"/>
  <c r="W59" i="3"/>
  <c r="D59" i="3"/>
  <c r="C59" i="3"/>
  <c r="AF58" i="3"/>
  <c r="AE58" i="3"/>
  <c r="AJ58" i="3" s="1"/>
  <c r="AD58" i="3"/>
  <c r="AI58" i="3" s="1"/>
  <c r="X58" i="3"/>
  <c r="W58" i="3"/>
  <c r="D58" i="3"/>
  <c r="C58" i="3"/>
  <c r="AJ57" i="3"/>
  <c r="AF57" i="3"/>
  <c r="AD57" i="3"/>
  <c r="AI57" i="3" s="1"/>
  <c r="X57" i="3"/>
  <c r="W57" i="3"/>
  <c r="D57" i="3"/>
  <c r="C57" i="3"/>
  <c r="AJ56" i="3"/>
  <c r="AF56" i="3"/>
  <c r="AD56" i="3"/>
  <c r="AI56" i="3" s="1"/>
  <c r="X56" i="3"/>
  <c r="W56" i="3"/>
  <c r="D56" i="3"/>
  <c r="C56" i="3"/>
  <c r="AJ55" i="3"/>
  <c r="AF55" i="3"/>
  <c r="AD55" i="3"/>
  <c r="AI55" i="3" s="1"/>
  <c r="X55" i="3"/>
  <c r="W55" i="3"/>
  <c r="D55" i="3"/>
  <c r="C55" i="3"/>
  <c r="AJ54" i="3"/>
  <c r="AF54" i="3"/>
  <c r="AD54" i="3"/>
  <c r="AI54" i="3" s="1"/>
  <c r="X54" i="3"/>
  <c r="W54" i="3"/>
  <c r="D54" i="3"/>
  <c r="C54" i="3"/>
  <c r="AJ53" i="3"/>
  <c r="AF53" i="3"/>
  <c r="AD53" i="3"/>
  <c r="AI53" i="3" s="1"/>
  <c r="X53" i="3"/>
  <c r="W53" i="3"/>
  <c r="D53" i="3"/>
  <c r="C53" i="3"/>
  <c r="AJ52" i="3"/>
  <c r="AF52" i="3"/>
  <c r="AD52" i="3"/>
  <c r="AI52" i="3" s="1"/>
  <c r="X52" i="3"/>
  <c r="W52" i="3"/>
  <c r="D52" i="3"/>
  <c r="C52" i="3"/>
  <c r="AF51" i="3"/>
  <c r="AE51" i="3"/>
  <c r="AJ51" i="3" s="1"/>
  <c r="AD51" i="3"/>
  <c r="AI51" i="3" s="1"/>
  <c r="X51" i="3"/>
  <c r="W51" i="3"/>
  <c r="D51" i="3"/>
  <c r="C51" i="3"/>
  <c r="AF50" i="3"/>
  <c r="AE50" i="3"/>
  <c r="AJ50" i="3" s="1"/>
  <c r="AD50" i="3"/>
  <c r="AI50" i="3" s="1"/>
  <c r="X50" i="3"/>
  <c r="W50" i="3"/>
  <c r="D50" i="3"/>
  <c r="C50" i="3"/>
  <c r="AF49" i="3"/>
  <c r="AE49" i="3"/>
  <c r="AJ49" i="3" s="1"/>
  <c r="AD49" i="3"/>
  <c r="AI49" i="3" s="1"/>
  <c r="X49" i="3"/>
  <c r="W49" i="3"/>
  <c r="D49" i="3"/>
  <c r="C49" i="3"/>
  <c r="AF48" i="3"/>
  <c r="AE48" i="3"/>
  <c r="AJ48" i="3" s="1"/>
  <c r="AD48" i="3"/>
  <c r="AI48" i="3" s="1"/>
  <c r="X48" i="3"/>
  <c r="W48" i="3"/>
  <c r="D48" i="3"/>
  <c r="C48" i="3"/>
  <c r="AF47" i="3"/>
  <c r="AE47" i="3"/>
  <c r="AJ47" i="3" s="1"/>
  <c r="AD47" i="3"/>
  <c r="AI47" i="3" s="1"/>
  <c r="X47" i="3"/>
  <c r="W47" i="3"/>
  <c r="D47" i="3"/>
  <c r="C47" i="3"/>
  <c r="AH46" i="3"/>
  <c r="AF46" i="3"/>
  <c r="AE46" i="3"/>
  <c r="AD46" i="3"/>
  <c r="X46" i="3"/>
  <c r="W46" i="3"/>
  <c r="D46" i="3"/>
  <c r="C46" i="3"/>
  <c r="AH45" i="3"/>
  <c r="AF45" i="3"/>
  <c r="AE45" i="3"/>
  <c r="AD45" i="3"/>
  <c r="X45" i="3"/>
  <c r="W45" i="3"/>
  <c r="D45" i="3"/>
  <c r="C45" i="3"/>
  <c r="AJ44" i="3"/>
  <c r="AF44" i="3"/>
  <c r="AD44" i="3"/>
  <c r="AI44" i="3" s="1"/>
  <c r="X44" i="3"/>
  <c r="W44" i="3"/>
  <c r="D44" i="3"/>
  <c r="C44" i="3"/>
  <c r="AJ43" i="3"/>
  <c r="AF43" i="3"/>
  <c r="AD43" i="3"/>
  <c r="AI43" i="3" s="1"/>
  <c r="X43" i="3"/>
  <c r="W43" i="3"/>
  <c r="D43" i="3"/>
  <c r="C43" i="3"/>
  <c r="AJ42" i="3"/>
  <c r="AI42" i="3"/>
  <c r="AF42" i="3"/>
  <c r="X42" i="3"/>
  <c r="W42" i="3"/>
  <c r="D42" i="3"/>
  <c r="C42" i="3"/>
  <c r="AJ41" i="3"/>
  <c r="AI41" i="3"/>
  <c r="AF41" i="3"/>
  <c r="X41" i="3"/>
  <c r="W41" i="3"/>
  <c r="D41" i="3"/>
  <c r="C41" i="3"/>
  <c r="AJ40" i="3"/>
  <c r="AI40" i="3"/>
  <c r="AF40" i="3"/>
  <c r="X40" i="3"/>
  <c r="W40" i="3"/>
  <c r="D40" i="3"/>
  <c r="C40" i="3"/>
  <c r="AJ39" i="3"/>
  <c r="AF39" i="3"/>
  <c r="AD39" i="3"/>
  <c r="AI39" i="3" s="1"/>
  <c r="X39" i="3"/>
  <c r="W39" i="3"/>
  <c r="D39" i="3"/>
  <c r="C39" i="3"/>
  <c r="AJ38" i="3"/>
  <c r="AI38" i="3"/>
  <c r="X38" i="3"/>
  <c r="W38" i="3"/>
  <c r="D38" i="3"/>
  <c r="C38" i="3"/>
  <c r="AJ37" i="3"/>
  <c r="AF37" i="3"/>
  <c r="AD37" i="3"/>
  <c r="AI37" i="3" s="1"/>
  <c r="X37" i="3"/>
  <c r="W37" i="3"/>
  <c r="D37" i="3"/>
  <c r="C37" i="3"/>
  <c r="AJ36" i="3"/>
  <c r="AG36" i="3"/>
  <c r="AF36" i="3"/>
  <c r="AD36" i="3"/>
  <c r="AI36" i="3" s="1"/>
  <c r="X36" i="3"/>
  <c r="W36" i="3"/>
  <c r="D36" i="3"/>
  <c r="C36" i="3"/>
  <c r="AJ35" i="3"/>
  <c r="AI35" i="3"/>
  <c r="X35" i="3"/>
  <c r="W35" i="3"/>
  <c r="D35" i="3"/>
  <c r="C35" i="3"/>
  <c r="AF34" i="3"/>
  <c r="AE34" i="3"/>
  <c r="AJ34" i="3" s="1"/>
  <c r="AD34" i="3"/>
  <c r="AI34" i="3" s="1"/>
  <c r="X34" i="3"/>
  <c r="W34" i="3"/>
  <c r="D34" i="3"/>
  <c r="C34" i="3"/>
  <c r="AJ33" i="3"/>
  <c r="AI33" i="3"/>
  <c r="AF33" i="3"/>
  <c r="X33" i="3"/>
  <c r="W33" i="3"/>
  <c r="D33" i="3"/>
  <c r="C33" i="3"/>
  <c r="AH32" i="3"/>
  <c r="AF32" i="3"/>
  <c r="AE32" i="3"/>
  <c r="AD32" i="3"/>
  <c r="X32" i="3"/>
  <c r="W32" i="3"/>
  <c r="D32" i="3"/>
  <c r="C32" i="3"/>
  <c r="AF31" i="3"/>
  <c r="AE31" i="3"/>
  <c r="AJ31" i="3" s="1"/>
  <c r="AD31" i="3"/>
  <c r="AI31" i="3" s="1"/>
  <c r="X31" i="3"/>
  <c r="W31" i="3"/>
  <c r="D31" i="3"/>
  <c r="C31" i="3"/>
  <c r="AF30" i="3"/>
  <c r="AE30" i="3"/>
  <c r="AJ30" i="3" s="1"/>
  <c r="AD30" i="3"/>
  <c r="AI30" i="3" s="1"/>
  <c r="X30" i="3"/>
  <c r="W30" i="3"/>
  <c r="D30" i="3"/>
  <c r="C30" i="3"/>
  <c r="AJ29" i="3"/>
  <c r="AG29" i="3"/>
  <c r="AF29" i="3"/>
  <c r="AD29" i="3"/>
  <c r="AI29" i="3" s="1"/>
  <c r="X29" i="3"/>
  <c r="W29" i="3"/>
  <c r="D29" i="3"/>
  <c r="C29" i="3"/>
  <c r="AE28" i="3"/>
  <c r="AJ28" i="3" s="1"/>
  <c r="AD28" i="3"/>
  <c r="AI28" i="3" s="1"/>
  <c r="X28" i="3"/>
  <c r="W28" i="3"/>
  <c r="D28" i="3"/>
  <c r="C28" i="3"/>
  <c r="AE27" i="3"/>
  <c r="AJ27" i="3" s="1"/>
  <c r="AD27" i="3"/>
  <c r="AI27" i="3" s="1"/>
  <c r="X27" i="3"/>
  <c r="W27" i="3"/>
  <c r="D27" i="3"/>
  <c r="C27" i="3"/>
  <c r="AE26" i="3"/>
  <c r="AJ26" i="3" s="1"/>
  <c r="AD26" i="3"/>
  <c r="AI26" i="3" s="1"/>
  <c r="X26" i="3"/>
  <c r="W26" i="3"/>
  <c r="D26" i="3"/>
  <c r="C26" i="3"/>
  <c r="AE25" i="3"/>
  <c r="AJ25" i="3" s="1"/>
  <c r="AD25" i="3"/>
  <c r="AI25" i="3" s="1"/>
  <c r="X25" i="3"/>
  <c r="W25" i="3"/>
  <c r="D25" i="3"/>
  <c r="C25" i="3"/>
  <c r="AE24" i="3"/>
  <c r="AJ24" i="3" s="1"/>
  <c r="AD24" i="3"/>
  <c r="AI24" i="3" s="1"/>
  <c r="X24" i="3"/>
  <c r="W24" i="3"/>
  <c r="D24" i="3"/>
  <c r="C24" i="3"/>
  <c r="AF23" i="3"/>
  <c r="AE23" i="3"/>
  <c r="AJ23" i="3" s="1"/>
  <c r="AD23" i="3"/>
  <c r="AI23" i="3" s="1"/>
  <c r="X23" i="3"/>
  <c r="W23" i="3"/>
  <c r="D23" i="3"/>
  <c r="C23" i="3"/>
  <c r="AF22" i="3"/>
  <c r="AE22" i="3"/>
  <c r="AJ22" i="3" s="1"/>
  <c r="AD22" i="3"/>
  <c r="AI22" i="3" s="1"/>
  <c r="X22" i="3"/>
  <c r="W22" i="3"/>
  <c r="D22" i="3"/>
  <c r="C22" i="3"/>
  <c r="AF21" i="3"/>
  <c r="AE21" i="3"/>
  <c r="AJ21" i="3" s="1"/>
  <c r="AD21" i="3"/>
  <c r="AI21" i="3" s="1"/>
  <c r="X21" i="3"/>
  <c r="W21" i="3"/>
  <c r="D21" i="3"/>
  <c r="C21" i="3"/>
  <c r="AF20" i="3"/>
  <c r="AE20" i="3"/>
  <c r="AJ20" i="3" s="1"/>
  <c r="AD20" i="3"/>
  <c r="AI20" i="3" s="1"/>
  <c r="X20" i="3"/>
  <c r="W20" i="3"/>
  <c r="D20" i="3"/>
  <c r="C20" i="3"/>
  <c r="AF19" i="3"/>
  <c r="AE19" i="3"/>
  <c r="AJ19" i="3" s="1"/>
  <c r="AD19" i="3"/>
  <c r="AI19" i="3" s="1"/>
  <c r="X19" i="3"/>
  <c r="W19" i="3"/>
  <c r="D19" i="3"/>
  <c r="C19" i="3"/>
  <c r="AF18" i="3"/>
  <c r="AE18" i="3"/>
  <c r="AJ18" i="3" s="1"/>
  <c r="AD18" i="3"/>
  <c r="AI18" i="3" s="1"/>
  <c r="X18" i="3"/>
  <c r="W18" i="3"/>
  <c r="D18" i="3"/>
  <c r="C18" i="3"/>
  <c r="AF17" i="3"/>
  <c r="AE17" i="3"/>
  <c r="AJ17" i="3" s="1"/>
  <c r="AD17" i="3"/>
  <c r="AI17" i="3" s="1"/>
  <c r="X17" i="3"/>
  <c r="W17" i="3"/>
  <c r="D17" i="3"/>
  <c r="C17" i="3"/>
  <c r="AJ16" i="3"/>
  <c r="AI16" i="3"/>
  <c r="AF16" i="3"/>
  <c r="X16" i="3"/>
  <c r="W16" i="3"/>
  <c r="D16" i="3"/>
  <c r="C16" i="3"/>
  <c r="AF15" i="3"/>
  <c r="AE15" i="3"/>
  <c r="AJ15" i="3" s="1"/>
  <c r="AD15" i="3"/>
  <c r="AI15" i="3" s="1"/>
  <c r="X15" i="3"/>
  <c r="W15" i="3"/>
  <c r="D15" i="3"/>
  <c r="C15" i="3"/>
  <c r="AJ14" i="3"/>
  <c r="AI14" i="3"/>
  <c r="AF14" i="3"/>
  <c r="X14" i="3"/>
  <c r="W14" i="3"/>
  <c r="D14" i="3"/>
  <c r="C14" i="3"/>
  <c r="AJ13" i="3"/>
  <c r="AF13" i="3"/>
  <c r="AD13" i="3"/>
  <c r="AI13" i="3" s="1"/>
  <c r="X13" i="3"/>
  <c r="W13" i="3"/>
  <c r="D13" i="3"/>
  <c r="C13" i="3"/>
  <c r="AJ12" i="3"/>
  <c r="AI12" i="3"/>
  <c r="AF12" i="3"/>
  <c r="X12" i="3"/>
  <c r="W12" i="3"/>
  <c r="D12" i="3"/>
  <c r="C12" i="3"/>
  <c r="AJ11" i="3"/>
  <c r="AF11" i="3"/>
  <c r="AD11" i="3"/>
  <c r="AI11" i="3" s="1"/>
  <c r="X11" i="3"/>
  <c r="W11" i="3"/>
  <c r="D11" i="3"/>
  <c r="C11" i="3"/>
  <c r="AJ10" i="3"/>
  <c r="AI10" i="3"/>
  <c r="AF10" i="3"/>
  <c r="X10" i="3"/>
  <c r="W10" i="3"/>
  <c r="D10" i="3"/>
  <c r="C10" i="3"/>
  <c r="AJ9" i="3"/>
  <c r="AF9" i="3"/>
  <c r="AD9" i="3"/>
  <c r="AI9" i="3" s="1"/>
  <c r="X9" i="3"/>
  <c r="W9" i="3"/>
  <c r="D9" i="3"/>
  <c r="C9" i="3"/>
  <c r="AJ8" i="3"/>
  <c r="AI8" i="3"/>
  <c r="AF8" i="3"/>
  <c r="X8" i="3"/>
  <c r="W8" i="3"/>
  <c r="D8" i="3"/>
  <c r="C8" i="3"/>
  <c r="AJ7" i="3"/>
  <c r="AF7" i="3"/>
  <c r="AD7" i="3"/>
  <c r="AI7" i="3" s="1"/>
  <c r="X7" i="3"/>
  <c r="W7" i="3"/>
  <c r="D7" i="3"/>
  <c r="C7" i="3"/>
  <c r="AF6" i="3"/>
  <c r="AE6" i="3"/>
  <c r="AJ6" i="3" s="1"/>
  <c r="AD6" i="3"/>
  <c r="AI6" i="3" s="1"/>
  <c r="X6" i="3"/>
  <c r="W6" i="3"/>
  <c r="D6" i="3"/>
  <c r="C6" i="3"/>
  <c r="AF5" i="3"/>
  <c r="AE5" i="3"/>
  <c r="AD5" i="3"/>
  <c r="AI5" i="3" s="1"/>
  <c r="X5" i="3"/>
  <c r="W5" i="3"/>
  <c r="D5" i="3"/>
  <c r="C5" i="3"/>
  <c r="AJ4" i="3"/>
  <c r="AG4" i="3"/>
  <c r="AF4" i="3"/>
  <c r="AD4" i="3"/>
  <c r="AI4" i="3" s="1"/>
  <c r="X4" i="3"/>
  <c r="W4" i="3"/>
  <c r="D4" i="3"/>
  <c r="C4" i="3"/>
  <c r="AJ3" i="3"/>
  <c r="AG3" i="3"/>
  <c r="AF3" i="3"/>
  <c r="AD3" i="3"/>
  <c r="AI3" i="3" s="1"/>
  <c r="X3" i="3"/>
  <c r="W3" i="3"/>
  <c r="D3" i="3"/>
  <c r="C3" i="3"/>
  <c r="AJ2" i="3"/>
  <c r="AG2" i="3"/>
  <c r="AF2" i="3"/>
  <c r="AD2" i="3"/>
  <c r="X2" i="3"/>
  <c r="W2" i="3"/>
  <c r="D2" i="3"/>
  <c r="C2" i="3"/>
  <c r="I417" i="2"/>
  <c r="H417" i="2"/>
  <c r="K413" i="2"/>
  <c r="J413" i="2"/>
  <c r="I411" i="2"/>
  <c r="H411" i="2"/>
  <c r="I410" i="2"/>
  <c r="H410" i="2"/>
  <c r="I408" i="2"/>
  <c r="H408" i="2"/>
  <c r="I407" i="2"/>
  <c r="H407" i="2"/>
  <c r="I406" i="2"/>
  <c r="H406" i="2"/>
  <c r="I405" i="2"/>
  <c r="H405" i="2"/>
  <c r="I404" i="2"/>
  <c r="H404" i="2"/>
  <c r="I403" i="2"/>
  <c r="H403" i="2"/>
  <c r="K8" i="2"/>
  <c r="J8" i="2"/>
  <c r="I8" i="2"/>
  <c r="H8" i="2"/>
  <c r="AE207" i="3" l="1"/>
  <c r="AJ207" i="3" s="1"/>
  <c r="AF207" i="3"/>
  <c r="N591" i="5"/>
  <c r="P591" i="5"/>
  <c r="P587" i="5"/>
  <c r="N587" i="5"/>
  <c r="P583" i="5"/>
  <c r="N583" i="5"/>
  <c r="AJ206" i="3"/>
  <c r="AI206" i="3"/>
  <c r="AJ204" i="3"/>
  <c r="AI204" i="3"/>
  <c r="AI200" i="3"/>
  <c r="AJ200" i="3"/>
  <c r="AI176" i="3"/>
  <c r="AJ176" i="3"/>
  <c r="AI175" i="3"/>
  <c r="AJ175" i="3"/>
  <c r="AI174" i="3"/>
  <c r="AJ174" i="3"/>
  <c r="AJ173" i="3"/>
  <c r="AI173" i="3"/>
  <c r="AJ172" i="3"/>
  <c r="AI172" i="3"/>
  <c r="AI171" i="3"/>
  <c r="AJ171" i="3"/>
  <c r="AJ170" i="3"/>
  <c r="AI170" i="3"/>
  <c r="AJ169" i="3"/>
  <c r="AI169" i="3"/>
  <c r="AI168" i="3"/>
  <c r="AJ168" i="3"/>
  <c r="AJ167" i="3"/>
  <c r="AI167" i="3"/>
  <c r="AI166" i="3"/>
  <c r="AJ166" i="3"/>
  <c r="AJ165" i="3"/>
  <c r="AI165" i="3"/>
  <c r="AJ164" i="3"/>
  <c r="AI164" i="3"/>
  <c r="AI163" i="3"/>
  <c r="AJ163" i="3"/>
  <c r="AJ162" i="3"/>
  <c r="AI162" i="3"/>
  <c r="AI161" i="3"/>
  <c r="AJ161" i="3"/>
  <c r="AI160" i="3"/>
  <c r="AJ160" i="3"/>
  <c r="AI159" i="3"/>
  <c r="AJ159" i="3"/>
  <c r="AJ158" i="3"/>
  <c r="AI158" i="3"/>
  <c r="AI157" i="3"/>
  <c r="AJ157" i="3"/>
  <c r="AI156" i="3"/>
  <c r="AJ156" i="3"/>
  <c r="AJ155" i="3"/>
  <c r="AI155" i="3"/>
  <c r="AI154" i="3"/>
  <c r="AJ154" i="3"/>
  <c r="AJ140" i="3"/>
  <c r="AI140" i="3"/>
  <c r="AI139" i="3"/>
  <c r="AJ139" i="3"/>
  <c r="AI138" i="3"/>
  <c r="AJ138" i="3"/>
  <c r="AJ137" i="3"/>
  <c r="AI137" i="3"/>
  <c r="AI136" i="3"/>
  <c r="AJ136" i="3"/>
  <c r="AJ135" i="3"/>
  <c r="AI135" i="3"/>
  <c r="AI134" i="3"/>
  <c r="AJ134" i="3"/>
  <c r="AI133" i="3"/>
  <c r="AJ133" i="3"/>
  <c r="AJ132" i="3"/>
  <c r="AI132" i="3"/>
  <c r="AJ131" i="3"/>
  <c r="AI131" i="3"/>
  <c r="AJ130" i="3"/>
  <c r="AI130" i="3"/>
  <c r="AI129" i="3"/>
  <c r="AJ129" i="3"/>
  <c r="AJ71" i="3"/>
  <c r="AI71" i="3"/>
  <c r="AJ69" i="3"/>
  <c r="AI69" i="3"/>
  <c r="AI46" i="3"/>
  <c r="AJ46" i="3"/>
  <c r="AI45" i="3"/>
  <c r="AJ45" i="3"/>
  <c r="AI32" i="3"/>
  <c r="AJ32" i="3"/>
  <c r="AH292" i="3"/>
  <c r="AJ5" i="3"/>
  <c r="AE292" i="3"/>
  <c r="AD292" i="3"/>
  <c r="AF292" i="3"/>
</calcChain>
</file>

<file path=xl/sharedStrings.xml><?xml version="1.0" encoding="utf-8"?>
<sst xmlns="http://schemas.openxmlformats.org/spreadsheetml/2006/main" count="15131" uniqueCount="2116">
  <si>
    <t>SITE NAME</t>
  </si>
  <si>
    <t>NOTES</t>
  </si>
  <si>
    <t>(YYYY-MM-DD)</t>
  </si>
  <si>
    <t>DNR 2020</t>
  </si>
  <si>
    <t>NE Squamish Harbor</t>
  </si>
  <si>
    <t>NE Squamish Harbor-PNNL-2012 Site Assessment point</t>
  </si>
  <si>
    <t>restoration</t>
  </si>
  <si>
    <t>point</t>
  </si>
  <si>
    <t>camera</t>
  </si>
  <si>
    <t>WGS84</t>
  </si>
  <si>
    <t>clear</t>
  </si>
  <si>
    <t>sand</t>
  </si>
  <si>
    <t>present</t>
  </si>
  <si>
    <t>na</t>
  </si>
  <si>
    <t>zm patch</t>
  </si>
  <si>
    <t>2012_1102to1113_EelgrassSiteAssessments.pdf</t>
  </si>
  <si>
    <t>NE Squamish Harbor-PNNL-2012 Site Assessment track</t>
  </si>
  <si>
    <t>drift</t>
  </si>
  <si>
    <t>sparse</t>
  </si>
  <si>
    <t>elevation range from -0.8m to -7.0m, some cobble and some fines mixed with sand, some zm shoots separated from the patch, many houses w/ docks on shoreline possible increased boat traffic in summer</t>
  </si>
  <si>
    <t>Port Gamble</t>
  </si>
  <si>
    <t>Port Gamble-PNNL-2012 Site Assessment point</t>
  </si>
  <si>
    <t>mud/silt</t>
  </si>
  <si>
    <t>absent</t>
  </si>
  <si>
    <t>poor</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</si>
  <si>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</si>
  <si>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</si>
  <si>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</si>
  <si>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</si>
  <si>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</si>
  <si>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Squamish Bay Shoal</t>
  </si>
  <si>
    <t xml:space="preserve">Suquamish Bay Shoal-PNNL-2012 Site Assessment point 1 </t>
  </si>
  <si>
    <t>cobble</t>
  </si>
  <si>
    <t>small patch near another small patch</t>
  </si>
  <si>
    <t>Suquamish Bay Shoal-PNNL-2012 Site Assessment track 1</t>
  </si>
  <si>
    <t>sand, cobble</t>
  </si>
  <si>
    <t>dense</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</si>
  <si>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</si>
  <si>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</si>
  <si>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</si>
  <si>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</si>
  <si>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Fey Bainbridge</t>
  </si>
  <si>
    <t>Fey Bainbridge-PNNL-2012 Site Assessment</t>
  </si>
  <si>
    <t>elevation range from 0.4m to -3.5m, large thick meadow with small patches nearby</t>
  </si>
  <si>
    <t>Liberty Bay</t>
  </si>
  <si>
    <t>Liberty Bay "why not"-PNNL-2012 Site Assessment</t>
  </si>
  <si>
    <t>elevation range from -4.4m to -0.1m, substrate sand to more course, not promising by worth test planting if already planting nearby</t>
  </si>
  <si>
    <t>Liberty Bay mouth-PNNL-2012 Site Assessment point</t>
  </si>
  <si>
    <t>moderate</t>
  </si>
  <si>
    <t>definite shipt in substrate from sand to cobble and lots of shells</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</si>
  <si>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</si>
  <si>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</si>
  <si>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</si>
  <si>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</si>
  <si>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Miller Bay</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</si>
  <si>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</si>
  <si>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</si>
  <si>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</si>
  <si>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</si>
  <si>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</si>
  <si>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</si>
  <si>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Anderson Island</t>
  </si>
  <si>
    <t>Anderson Island, Amsterdam Bay- PNNL-2012 Site Assessment</t>
  </si>
  <si>
    <t>good</t>
  </si>
  <si>
    <t>some algae, appears settled, appears to be a good site for planting, only concern is depth and recreational dock</t>
  </si>
  <si>
    <t>Anderson Island, outside Amsterdam Bay-PNNL-2012 Site Assessment</t>
  </si>
  <si>
    <t>turbid</t>
  </si>
  <si>
    <t>elevation range from -0.9m to -3.5m, green and red algae patches, "turfing" red algae, open sand with little vegetation</t>
  </si>
  <si>
    <t>Dickerson Point</t>
  </si>
  <si>
    <t>Dickerson Point-PNNL-2012 Site Assessment</t>
  </si>
  <si>
    <t>elevation range from 0.5m to -4.7m, sand dollars, sand not veg, patches of red algae, substrate and slope good, unsre of target depth, moorings could indicate heavy summer traffic</t>
  </si>
  <si>
    <t>Dover Point</t>
  </si>
  <si>
    <t>Dover Point-PNNL-2012 Site Assessment</t>
  </si>
  <si>
    <t>elevation range from 0.9m to -3.6m, substrate and grade look good but don't know appropriate target depth at this location, suspect it gets storm exposure</t>
  </si>
  <si>
    <t>Joemma State Park</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</si>
  <si>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</si>
  <si>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</si>
  <si>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</si>
  <si>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</si>
  <si>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</si>
  <si>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</si>
  <si>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</si>
  <si>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NE Anderson Island-PNNL-2012 Site Assessment</t>
  </si>
  <si>
    <t>elevation range from -0.1m to -3.2m, due to substrate and fetch from nw, high exposure, not a good candidate site</t>
  </si>
  <si>
    <t>NW Anderson Island (CPS1285)-PNNL-2012 Site Assessment</t>
  </si>
  <si>
    <t>elevation range from 0.2m to -4.8m, could grow a narrow fringe here</t>
  </si>
  <si>
    <t>Crescent Harbor</t>
  </si>
  <si>
    <t>Crescent Harbor-PNNL-2012 Site Assessment</t>
  </si>
  <si>
    <t>elevation range from 0.5m to -3.4m, extensive sparse, thin density meadow of zm</t>
  </si>
  <si>
    <t>Discovery Bay</t>
  </si>
  <si>
    <t>Discovery Bay-PNNL-2012 Site Assessment</t>
  </si>
  <si>
    <t>elevation range from -0.7m to -7.6m, healthy zm in large bed and smaller patches, some with lots of epiphytes</t>
  </si>
  <si>
    <t>Indian Island</t>
  </si>
  <si>
    <t>Indian Island-PNNL-2012 Site Assessment</t>
  </si>
  <si>
    <t>elevation range from 0.5m to -4.3m, lots of ulva, some patchy zm and a large bed near to shore</t>
  </si>
  <si>
    <t>Oak Harbor</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</si>
  <si>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</si>
  <si>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</si>
  <si>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</si>
  <si>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</si>
  <si>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Port Hadlock</t>
  </si>
  <si>
    <t>Port Hadlock/Irondale-PNNL-2012 Site Assessment</t>
  </si>
  <si>
    <t>elevation range from -0.2m to -4.8m, zm in small thin patches, lots of ulva, possible zm choked by ulva</t>
  </si>
  <si>
    <t>Decator Island</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</si>
  <si>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</si>
  <si>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</si>
  <si>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</si>
  <si>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</si>
  <si>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</si>
  <si>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</si>
  <si>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</si>
  <si>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Guemes Island - east</t>
  </si>
  <si>
    <t>Guemes Island - east -PNNL-2012 Site Assessment point</t>
  </si>
  <si>
    <t>zm habitat and grass look healthy, thin but long shoots among kelp and some algae</t>
  </si>
  <si>
    <t>Guemes Island - west</t>
  </si>
  <si>
    <t>Guemes Island - west -PNNL-2012 Site Assessment drift</t>
  </si>
  <si>
    <t>sand, coarse sand</t>
  </si>
  <si>
    <t>elevation range from -1.6m to -5.8m, habitat looks healthy, zm is a wide swath</t>
  </si>
  <si>
    <t>Orcas Island</t>
  </si>
  <si>
    <t>Orcas Island-PNNL-2012 Site Assessment drift</t>
  </si>
  <si>
    <t>lots of zm, some with algae, all very healthy</t>
  </si>
  <si>
    <t>Orcas Island-PNNL-2012 Site Assessment point</t>
  </si>
  <si>
    <t>zm bed</t>
  </si>
  <si>
    <t>Eelgrass Restoration in PS</t>
  </si>
  <si>
    <t>Key Peninsula-east</t>
  </si>
  <si>
    <t>Key Peninsula-east-PNNL-2014 Site Assessment point 1</t>
  </si>
  <si>
    <t xml:space="preserve">sandy w/ eelgrass. Eelgrass present at elevations -0.9, -1.9, -0.1 but eelgrass is patchy. </t>
  </si>
  <si>
    <t>2014_1125_S Sound out of Home.pdf</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</si>
  <si>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</si>
  <si>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</si>
  <si>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</si>
  <si>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</si>
  <si>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</si>
  <si>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</si>
  <si>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</si>
  <si>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</si>
  <si>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</si>
  <si>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</si>
  <si>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</si>
  <si>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</si>
  <si>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</si>
  <si>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</si>
  <si>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</si>
  <si>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</si>
  <si>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</si>
  <si>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</si>
  <si>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</si>
  <si>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</si>
  <si>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</si>
  <si>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</si>
  <si>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</si>
  <si>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</si>
  <si>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</si>
  <si>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</si>
  <si>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</si>
  <si>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</si>
  <si>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</si>
  <si>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</si>
  <si>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</si>
  <si>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</si>
  <si>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McNeil Island</t>
  </si>
  <si>
    <t>McNeil Island-PNNL-2014 Site Assessment1</t>
  </si>
  <si>
    <t>good site, bare, sandy</t>
  </si>
  <si>
    <t>McNeil Island-PNNL-2014 Site Assessment2</t>
  </si>
  <si>
    <t>good site, range 9-12', bare sand, little ulva</t>
  </si>
  <si>
    <t>McNeil Island-PNNL-2014 Site Assessment3</t>
  </si>
  <si>
    <t>good site, range 10-15', bare sm. Ant ulva, sand</t>
  </si>
  <si>
    <t>McNeil Island-PNNL-2014 Site Assessment4</t>
  </si>
  <si>
    <t>good site, range 10-15'</t>
  </si>
  <si>
    <t>McNeil Island-PNNL-2014 Site Assessment5</t>
  </si>
  <si>
    <t>mod, sandy, little bit east of ulva</t>
  </si>
  <si>
    <t>McNeil Island-PNNL-2014 Site Assessment6</t>
  </si>
  <si>
    <t>mod, sandy, little bit of ulva</t>
  </si>
  <si>
    <t>Wyckoff Shoal</t>
  </si>
  <si>
    <t>Wyckoff Shoal-PNNL-2014 Site Assessment1</t>
  </si>
  <si>
    <t>poor, rocky, cobble, kelp</t>
  </si>
  <si>
    <t>Wyckoff Shoal-PNNL-2014 Site Assessment2</t>
  </si>
  <si>
    <t>present patchy zm</t>
  </si>
  <si>
    <t>Wyckoff Shoal-PNNL-2014 Site Assessment3</t>
  </si>
  <si>
    <t>present, clean plants, laying down, good donor area</t>
  </si>
  <si>
    <t>Wyckoff Shoal-PNNL-2014 Site Assessment4</t>
  </si>
  <si>
    <t>present, eelgrass sandy, big healthy plants</t>
  </si>
  <si>
    <t>Camano Island</t>
  </si>
  <si>
    <t>Camano Island (east)-PNNL-2015 Site Assessment1</t>
  </si>
  <si>
    <t>Sandy with eelgrass; depth range -0.2 m to -1.6 m, MLLW</t>
  </si>
  <si>
    <t>2015_0213_PortSusan_Mulkutio.pdf</t>
  </si>
  <si>
    <t>Camano Island (east)-PNNL-2015 Site Assessment10</t>
  </si>
  <si>
    <t>fine sand</t>
  </si>
  <si>
    <t>no eelgrass.  Not quite so mucky, sticky.  Silty but not anoxic?  Maybe good for test plot but still maybe too turbid because of resuspension of fine from fetch and from the Snohomish.</t>
  </si>
  <si>
    <t>Camano Island (east)-PNNL-2015 Site Assessment11</t>
  </si>
  <si>
    <t>head of bay; no eelgrass.  Seems mucky</t>
  </si>
  <si>
    <t>Camano Island (east)-PNNL-2015 Site Assessment12</t>
  </si>
  <si>
    <t>no eelgrass</t>
  </si>
  <si>
    <t>Camano Island (east)-PNNL-2015 Site Assessment13</t>
  </si>
  <si>
    <t>no eelgrass.  Soft, mucky, anoxic?</t>
  </si>
  <si>
    <t>Camano Island (east)-PNNL-2015 Site Assessment14</t>
  </si>
  <si>
    <t>eelgrass; depth range -0.3 m to -2.2 m, MLLW</t>
  </si>
  <si>
    <t>Camano Island (east)-PNNL-2015 Site Assessment15</t>
  </si>
  <si>
    <t>no eelgrass.  Sediment is better, may still be fines.  Moorings to the south but maybe a  good area to north for test transplant until flat start to spread out and sediment is more mucky.</t>
  </si>
  <si>
    <t>Camano Island (east)-PNNL-2015 Site Assessment2</t>
  </si>
  <si>
    <t>Camano Island (east)-PNNL-2015 Site Assessment3</t>
  </si>
  <si>
    <t>Camano Island (east)-PNNL-2015 Site Assessment4</t>
  </si>
  <si>
    <t>eelgrass, narrow fringe</t>
  </si>
  <si>
    <t>Camano Island (east)-PNNL-2015 Site Assessment5</t>
  </si>
  <si>
    <t>cobble, no eelgrass</t>
  </si>
  <si>
    <t>Camano Island (east)-PNNL-2015 Site Assessment6</t>
  </si>
  <si>
    <t>cobble no eelgrass</t>
  </si>
  <si>
    <t>Camano Island (east)-PNNL-2015 Site Assessment7</t>
  </si>
  <si>
    <t>sparse eelgrass from -0.2 m to -2.8 m, MLLW</t>
  </si>
  <si>
    <t>Camano Island (east)-PNNL-2015 Site Assessment8</t>
  </si>
  <si>
    <t>eelgrass patchy</t>
  </si>
  <si>
    <t>Camano Island (east)-PNNL-2015 Site Assessment9</t>
  </si>
  <si>
    <t>eelgrass moderatly dense -0.1 m to -1.0 m, MLLW, present out to -1.6 m, MLLW</t>
  </si>
  <si>
    <t>Mukilteo</t>
  </si>
  <si>
    <t xml:space="preserve">Mukilteo </t>
  </si>
  <si>
    <t>shell hash, cobble, pilings, no eelgrass; not suitable for transplants. Maybe potential inside  big fuel dock if it is removed.</t>
  </si>
  <si>
    <t>Chico Bay</t>
  </si>
  <si>
    <t>Chico Bay-PNNL-2015 Site Assessment drift</t>
  </si>
  <si>
    <t>elevation range from -0.3m to -0.4m, mostly sandy, bottom is pretty flat and sandy, a bit soft but not anoxic</t>
  </si>
  <si>
    <t>2015_0217and18_DyesInlet site survey and TestPlanting.pdf</t>
  </si>
  <si>
    <t>Chico Bay-PNNL-2015 Site Assessment point 1</t>
  </si>
  <si>
    <t>nice and flat, fines not sand, seems to have potential as planting site, pretty boring looking, maybe some burrows of worms</t>
  </si>
  <si>
    <t>Chico Bay-PNNL-2015 Site Assessment point 2</t>
  </si>
  <si>
    <t>good site</t>
  </si>
  <si>
    <t>Dyes Inlet</t>
  </si>
  <si>
    <t>Dyes Inlet-PNNL-2015 Site Assessment drift 1</t>
  </si>
  <si>
    <t>elevation range from -0.8m to -1.0m, mostly sand with some shell hash, gentle slope, no macroalgae, houses on shore with shoreline armoring</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</si>
  <si>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</si>
  <si>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</si>
  <si>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</si>
  <si>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</si>
  <si>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</si>
  <si>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</si>
  <si>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Lynch Cove</t>
  </si>
  <si>
    <t>Lynch Cove-PNNL-2015 Site Assessment</t>
  </si>
  <si>
    <t>elevation range from -0.5m to -2.1m, longer blades on zm, soft bottom</t>
  </si>
  <si>
    <t>2015_0219and20_SouthHoodCanalObsAndLightSensors.pdf</t>
  </si>
  <si>
    <t>S. Hood Canal</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</si>
  <si>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</si>
  <si>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</si>
  <si>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</si>
  <si>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</si>
  <si>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</si>
  <si>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</si>
  <si>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</si>
  <si>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</si>
  <si>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</si>
  <si>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</si>
  <si>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</si>
  <si>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</si>
  <si>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</si>
  <si>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</si>
  <si>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</si>
  <si>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</si>
  <si>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</si>
  <si>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</si>
  <si>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coarse sand</t>
  </si>
  <si>
    <t>elevation range from 0.2m to -4.0m, pebbles and sand, rough bottom, not good for zm</t>
  </si>
  <si>
    <t>S. Hood Canal-PNNL-2015 Site Assessment point 1</t>
  </si>
  <si>
    <t>very course substrate, cobble, very steep, not good</t>
  </si>
  <si>
    <t>S. Hood Canal-PNNL-2015 Site Assessment point 2</t>
  </si>
  <si>
    <t>near mouth of creek, very shallow, small cobble and pebbles, some fines but not enough to be good</t>
  </si>
  <si>
    <t>S. Hood Canal-PNNL-2015 Site Assessment point 3</t>
  </si>
  <si>
    <t>zm dense, sandy/shelly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</si>
  <si>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</si>
  <si>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</si>
  <si>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</si>
  <si>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</si>
  <si>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</si>
  <si>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</si>
  <si>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</si>
  <si>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</si>
  <si>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</si>
  <si>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</si>
  <si>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</si>
  <si>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</si>
  <si>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</si>
  <si>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</si>
  <si>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</si>
  <si>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</si>
  <si>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</si>
  <si>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1</t>
  </si>
  <si>
    <t>soft sediment, anemones on sticks. Sticky. Moorings and marking sticks (aquaculture?) along here. Not recommended</t>
  </si>
  <si>
    <t>Eld Inlet-PNNL-2015 Site Assessment point 2</t>
  </si>
  <si>
    <t>some shade from shore, maybe sandier, less diatoms. Slight armoring on shore, few moorings. Definitely potential site. Marked site wp#657</t>
  </si>
  <si>
    <t>Pickering Passage</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</si>
  <si>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</si>
  <si>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</si>
  <si>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</si>
  <si>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</si>
  <si>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</si>
  <si>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</si>
  <si>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</si>
  <si>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</si>
  <si>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Totten Inlet</t>
  </si>
  <si>
    <t>Totten Inlet-PNNL-2015 Site Assessment point 1</t>
  </si>
  <si>
    <t>surrounded by aquaculture, very soft bottom, ok water clarity, some diatom cover, not many mobile inverts, not recommended because of aquaculture. Camera deployed from boat.</t>
  </si>
  <si>
    <t>Totten Inlet-PNNL-2015 Site Assessment point 2</t>
  </si>
  <si>
    <t>mouth of hammersley inlet, sandy w/fines, tubes, water clarity very good, depth probably too deep. Camera deployed from boat.</t>
  </si>
  <si>
    <t>Totten Inlet-PNNL-2015 Site Assessment point 3</t>
  </si>
  <si>
    <t>gravel and cobble, probably too course for eelgrass, burrowing anemones, between current and sediment not good site. Camera deployed from boat.</t>
  </si>
  <si>
    <t>Case Inlet</t>
  </si>
  <si>
    <t>Case Inlet-PNNL-2015 Site Assessment drift</t>
  </si>
  <si>
    <t>possible for planting, sandy bottom, but might have lots of fetch. Aquaculture to south. Better planting to north, long narrow thing band possible. Sandy with steep drop off. Camera deployed from boat.</t>
  </si>
  <si>
    <t>Case Inlet-PNNL-2015 Site Assessment point 1</t>
  </si>
  <si>
    <t>sandy. Flat. Some diatoms &amp; seastars. Some gravel. Evidence of some ulva already in season. Possible planting site. Camera deployed from boat.</t>
  </si>
  <si>
    <t>Case Inlet-PNNL-2015 Site Assessment point 10</t>
  </si>
  <si>
    <t>sandy. Cleaner bottom. Patches of erect algae @10'.  Camera deployed from boat.</t>
  </si>
  <si>
    <t>Case Inlet-PNNL-2015 Site Assessment point 11</t>
  </si>
  <si>
    <t>very little fringe along cobble shore. A lot of moorings. Cobble on bottom. Camera deployed from boat.</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</si>
  <si>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</si>
  <si>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</si>
  <si>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</si>
  <si>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</si>
  <si>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</si>
  <si>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</si>
  <si>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</si>
  <si>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</si>
  <si>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</si>
  <si>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</si>
  <si>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</si>
  <si>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</si>
  <si>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</si>
  <si>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</si>
  <si>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</si>
  <si>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</si>
  <si>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</si>
  <si>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</si>
  <si>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</si>
  <si>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</si>
  <si>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Elliott Bay</t>
  </si>
  <si>
    <t>Elliott Bay-PNNL-2015 Site Assessment1</t>
  </si>
  <si>
    <t>surveyed perpendicular to shore from 0.0m to -5m, MLLW. No eelgrass present; big cobble and rip-rap. Not recommended for planting.</t>
  </si>
  <si>
    <t>2015_0317__FieldNotebook_PortOrchardSinclairInletSeattleSiteSelection</t>
  </si>
  <si>
    <t>Elliott Bay-PNNL-2015 Site Assessment2</t>
  </si>
  <si>
    <t>surveyed perpendicular to shore from 0.0m to -5m, MLLW. No eelgrass present; cobble w/ macroalgae. Not recommended for planting.</t>
  </si>
  <si>
    <t>Elliott Bay-PNNL-2015 Site Assessment3</t>
  </si>
  <si>
    <t>surveyed 3 swaths perpendicular to shore from -0.5m to -4.0m, MLLW. No eelgrass present; boulders, cobble, and gravel mixed with sand; mix of algae (kelp, reds, ulva). Not recommended for planting.</t>
  </si>
  <si>
    <t>Elliott Bay-PNNL-2015 Site Assessment4</t>
  </si>
  <si>
    <t>surveyed perpendicular to shore from 0 m to -4.0 m, MLLW. Eelgrass present from -0.3 m to -3.2 m, MLLW.</t>
  </si>
  <si>
    <t>Sinclair Inlet</t>
  </si>
  <si>
    <t>Sinclair Inlet-PNNL-2015 Site Assessment1</t>
  </si>
  <si>
    <t>surveyed perpendicular to shore from 0 m to -3.7 m, MLLW. Eelgrass absent, -0.9 to -2.0m, MLLW sediment looks good, good possible planting area, short algae present in deeper water.</t>
  </si>
  <si>
    <t>Sinclair Inlet-PNNL-2015 Site Assessment2</t>
  </si>
  <si>
    <t>sparse, patchy eelgrass</t>
  </si>
  <si>
    <t>Sinclair Inlet-PNNL-2015 Site Assessment3</t>
  </si>
  <si>
    <t>surveyed perpendicular to shore from 0 m to -4.5 m, MLLW. Eelgrass absent; Ulva and sand from -4.5 to -2.0m, MLLW, more algae and coarse sediment as approaching 0 m, MLLW.</t>
  </si>
  <si>
    <t>Sinclair Inlet-PNNL-2015 Site Assessment4</t>
  </si>
  <si>
    <t xml:space="preserve">surveyed perpendicular to shore from 0 m to -3.7 m, MLLW. Eelgrass absent, sandy with lots of ulva and other algae present, water quality more turbid. </t>
  </si>
  <si>
    <t>Puget Sound Eelgrass Restoration: 3 deltas</t>
  </si>
  <si>
    <t>Skokomish Delta and west shore-PNNL-Oct2015 Site Assessment1</t>
  </si>
  <si>
    <t>lots and lots of grass</t>
  </si>
  <si>
    <t>2015_1019to1020_Skok_Nisqually_Ssound.pdf</t>
  </si>
  <si>
    <t>Skokomish Delta and west shore-PNNL-Oct2015 Site Assessment10</t>
  </si>
  <si>
    <t>nice eelgrass meadow, sandy silt, fairly dense, nice meadow</t>
  </si>
  <si>
    <t>Skokomish Delta and west shore-PNNL-Oct2015 Site Assessment2</t>
  </si>
  <si>
    <t>healthy, happy meadow</t>
  </si>
  <si>
    <t>Skokomish Delta and west shore-PNNL-Oct2015 Site Assessment3</t>
  </si>
  <si>
    <t>ditto on grass, sandy</t>
  </si>
  <si>
    <t>Skokomish Delta and west shore-PNNL-Oct2015 Site Assessment4</t>
  </si>
  <si>
    <t>grass</t>
  </si>
  <si>
    <t>Skokomish Delta and west shore-PNNL-Oct2015 Site Assessment5</t>
  </si>
  <si>
    <t>ditto on grass, hundreds of grebes</t>
  </si>
  <si>
    <t>Skokomish Delta and west shore-PNNL-Oct2015 Site Assessment6</t>
  </si>
  <si>
    <t>happy meadow</t>
  </si>
  <si>
    <t>Skokomish Delta and west shore-PNNL-Oct2015 Site Assessment7</t>
  </si>
  <si>
    <t>coarse, too shallow</t>
  </si>
  <si>
    <t>Skokomish Delta and west shore-PNNL-Oct2015 Site Assessment8</t>
  </si>
  <si>
    <t>Skokomish Delta and west shore-PNNL-Oct2015 Site Assessment9</t>
  </si>
  <si>
    <t>still eelgrass, going perpendicular to shore, deep edge at -1.4 m, MLLW then drops off</t>
  </si>
  <si>
    <t>Nisqually Delta</t>
  </si>
  <si>
    <t>Nisqually Delta-PNNL-Oct2015 Site Assessment1</t>
  </si>
  <si>
    <t>lots of grass</t>
  </si>
  <si>
    <t>Nisqually Delta-PNNL-Oct2015 Site Assessment10</t>
  </si>
  <si>
    <t>sparse, good amount of grass, dense patches</t>
  </si>
  <si>
    <t>Nisqually Delta-PNNL-Oct2015 Site Assessment11</t>
  </si>
  <si>
    <t>sandy, small patch ulva, few sand waves</t>
  </si>
  <si>
    <t>Nisqually Delta-PNNL-Oct2015 Site Assessment12</t>
  </si>
  <si>
    <t>no grass, algae, sand patches</t>
  </si>
  <si>
    <t>Nisqually Delta-PNNL-Oct2015 Site Assessment13</t>
  </si>
  <si>
    <t>grass. thin blade, out of it now. Any further north probably out of grass</t>
  </si>
  <si>
    <t>Nisqually Delta-PNNL-Oct2015 Site Assessment14</t>
  </si>
  <si>
    <t>sparse grass, sandy, sand waves</t>
  </si>
  <si>
    <t>Nisqually Delta-PNNL-Oct2015 Site Assessment15</t>
  </si>
  <si>
    <t>drop off</t>
  </si>
  <si>
    <t>Nisqually Delta-PNNL-Oct2015 Site Assessment16</t>
  </si>
  <si>
    <t>no grass, sand waves</t>
  </si>
  <si>
    <t>Nisqually Delta-PNNL-Oct2015 Site Assessment17</t>
  </si>
  <si>
    <t>following shore line N of sand spit. Sandy beach area is fairly steep. Drop off close to shore</t>
  </si>
  <si>
    <t>Nisqually Delta-PNNL-Oct2015 Site Assessment18</t>
  </si>
  <si>
    <t>cobbly bottom</t>
  </si>
  <si>
    <t>Nisqually Delta-PNNL-Oct2015 Site Assessment19</t>
  </si>
  <si>
    <t>mixed ulva</t>
  </si>
  <si>
    <t>Nisqually Delta-PNNL-Oct2015 Site Assessment2</t>
  </si>
  <si>
    <t>Nisqually Delta-PNNL-Oct2015 Site Assessment20</t>
  </si>
  <si>
    <t>boat 10:5', dense patch</t>
  </si>
  <si>
    <t>Nisqually Delta-PNNL-Oct2015 Site Assessment21</t>
  </si>
  <si>
    <t>lots of grass, abrupt drop, still in grass at 19.1'</t>
  </si>
  <si>
    <t>Nisqually Delta-PNNL-Oct2015 Site Assessment22</t>
  </si>
  <si>
    <t>deep end of grass</t>
  </si>
  <si>
    <t>Nisqually Delta-PNNL-Oct2015 Site Assessment3</t>
  </si>
  <si>
    <t>no grass, sandy</t>
  </si>
  <si>
    <t>Nisqually Delta-PNNL-Oct2015 Site Assessment4</t>
  </si>
  <si>
    <t>no grass</t>
  </si>
  <si>
    <t>Nisqually Delta-PNNL-Oct2015 Site Assessment5</t>
  </si>
  <si>
    <t>Nisqually Delta-PNNL-Oct2015 Site Assessment6</t>
  </si>
  <si>
    <t>sand waves, bare</t>
  </si>
  <si>
    <t>Nisqually Delta-PNNL-Oct2015 Site Assessment7</t>
  </si>
  <si>
    <t>Nisqually Delta-PNNL-Oct2015 Site Assessment8</t>
  </si>
  <si>
    <t>bare sand, patches of ulva</t>
  </si>
  <si>
    <t>Nisqually Delta-PNNL-Oct2015 Site Assessment9</t>
  </si>
  <si>
    <t>large patch of ulva</t>
  </si>
  <si>
    <t>S Anderson Island-PNNL-Oct2015 Site Assessment1</t>
  </si>
  <si>
    <t>just left grass, shortly after - in grass</t>
  </si>
  <si>
    <t>S Anderson Island-PNNL-Oct2015 Site Assessment10</t>
  </si>
  <si>
    <t>no grass, end of bed</t>
  </si>
  <si>
    <t>S Anderson Island-PNNL-Oct2015 Site Assessment11</t>
  </si>
  <si>
    <t>coarse sand, grassilaria</t>
  </si>
  <si>
    <t>S Anderson Island-PNNL-Oct2015 Site Assessment12</t>
  </si>
  <si>
    <t>cobble, shell hash</t>
  </si>
  <si>
    <t>S Anderson Island-PNNL-Oct2015 Site Assessment13</t>
  </si>
  <si>
    <t>bare bottom, small clump algae</t>
  </si>
  <si>
    <t>S Anderson Island-PNNL-Oct2015 Site Assessment14</t>
  </si>
  <si>
    <t>bare bottom, sandy, grassilaria?</t>
  </si>
  <si>
    <t>S Anderson Island-PNNL-Oct2015 Site Assessment15</t>
  </si>
  <si>
    <t>sandy bottom, good potential to test plant in this area</t>
  </si>
  <si>
    <t>S Anderson Island-PNNL-Oct2015 Site Assessment16</t>
  </si>
  <si>
    <t>sandy, band of algae, higher density in shallower water</t>
  </si>
  <si>
    <t>S Anderson Island-PNNL-Oct2015 Site Assessment17</t>
  </si>
  <si>
    <t>15-16' sand, 25% green algae, thumbs up - good potential. Two other depths near this point were surveyed with a poor assessment at 0.8 (closer to shore, more cobble) and -0.6 (60% ulva, sand) elevation.</t>
  </si>
  <si>
    <t>S Anderson Island-PNNL-Oct2015 Site Assessment18</t>
  </si>
  <si>
    <t>clump algae, sandy bottom</t>
  </si>
  <si>
    <t>S Anderson Island-PNNL-Oct2015 Site Assessment19</t>
  </si>
  <si>
    <t>fine sand, nice! Very little algae, shell debris</t>
  </si>
  <si>
    <t>S Anderson Island-PNNL-Oct2015 Site Assessment2</t>
  </si>
  <si>
    <t>grass in an out edge, 13.4' - out, 12.5 - in</t>
  </si>
  <si>
    <t>S Anderson Island-PNNL-Oct2015 Site Assessment20</t>
  </si>
  <si>
    <t>S Anderson Island-PNNL-Oct2015 Site Assessment21</t>
  </si>
  <si>
    <t>soft bottom, small clumps green algal</t>
  </si>
  <si>
    <t>S Anderson Island-PNNL-Oct2015 Site Assessment3</t>
  </si>
  <si>
    <t>have grass, heading west</t>
  </si>
  <si>
    <t>S Anderson Island-PNNL-Oct2015 Site Assessment4</t>
  </si>
  <si>
    <t>grass smaller, more sparse</t>
  </si>
  <si>
    <t>S Anderson Island-PNNL-Oct2015 Site Assessment5</t>
  </si>
  <si>
    <t>in grass</t>
  </si>
  <si>
    <t>S Anderson Island-PNNL-Oct2015 Site Assessment6</t>
  </si>
  <si>
    <t>S Anderson Island-PNNL-Oct2015 Site Assessment7</t>
  </si>
  <si>
    <t>out of grass</t>
  </si>
  <si>
    <t>S Anderson Island-PNNL-Oct2015 Site Assessment8</t>
  </si>
  <si>
    <t>S Anderson Island-PNNL-Oct2015 Site Assessment9</t>
  </si>
  <si>
    <t>in grass. Eelgrass not present at elevation 0.4.</t>
  </si>
  <si>
    <t>Tolmie State Park</t>
  </si>
  <si>
    <t>Tolmie State Park-PNNL-Oct2015 Site Assessment1</t>
  </si>
  <si>
    <t>japonica, sand dollar, sand, bits of ulva, no ZM. Second location at elevation 1.8, japonica still present.</t>
  </si>
  <si>
    <t>Tolmie State Park-PNNL-Oct2015 Site Assessment2</t>
  </si>
  <si>
    <t>sand dollars, ulva</t>
  </si>
  <si>
    <t>Tolmie State Park-PNNL-Oct2015 Site Assessment3</t>
  </si>
  <si>
    <t>getting out of ulva?</t>
  </si>
  <si>
    <t>Tolmie State Park-PNNL-Oct2015 Site Assessment4</t>
  </si>
  <si>
    <t>sandy with ulva, 12' camera depth, this is off park</t>
  </si>
  <si>
    <t>Tolmie State Park-PNNL-Oct2015 Site Assessment5</t>
  </si>
  <si>
    <t>less ulva, more sand. Second locations at -1.1 elevation, but eelgrass absent with poor status.</t>
  </si>
  <si>
    <t>Elwha Delta</t>
  </si>
  <si>
    <t>Elwha Delta-PNNL-Oct2015 Site Assessment1</t>
  </si>
  <si>
    <t>depth range -1.8 m to -5.1 m, MLLW; lower visability and lots of detritus at shallow end; kelp from -2.6 to -3.1 m, MLLW; small and large (2 ft) sand waves w/ little bits of vegetation sticking out indicating a lot of sediment movement from -3.5 to -5.1 m, MLLW.</t>
  </si>
  <si>
    <t>Elwha Delta-PNNL-Oct2015 Site Assessment2</t>
  </si>
  <si>
    <t>depth range -1.5 m to -4.7 m, MLLW; low visability in shallow elev; patchy kelp from -2.4 m to -4.7 m, MLLW; sand looks like good planting area but wonder if cobble underneath</t>
  </si>
  <si>
    <t>Elwha Delta-PNNL-Oct2015 Site Assessment3</t>
  </si>
  <si>
    <t>depth range -0.6 to -4.6 m, MLLW; some seagrass (likely phylospadix) and algae from -0.6 m to -1.7 m, MLLW; low milky visability out to -2.0 m, MLLW; sand cobble, and kelp from -2.0 m to -4.6 m, MLLW.</t>
  </si>
  <si>
    <t>Elwha Delta-PNNL-Oct2015 Site Assessment4</t>
  </si>
  <si>
    <t>depth range -1.6 m to -4.8 m, MLLW; sand, sand waves, and low visability shallow to ~-2.0 m, MLLW then sandy with fine gravel out to -3.5 m where kelp and more coarse sediment starts.</t>
  </si>
  <si>
    <t>Elwha Delta-PNNL-Oct2015 Site Assessment5</t>
  </si>
  <si>
    <t>depth range -0.8 m to -4.8 m, MLLW; sandy and low vis out to -2.3 m, MLLW; sand, gravel, cobble, and dense kelp w/ 10' visability out to -4.8 m, MLLW.</t>
  </si>
  <si>
    <t>Elwha Delta-PNNL-Oct2015 Site Assessment6</t>
  </si>
  <si>
    <t>depth range -2.8 m to -5.0 m, MLLW; sand and gravel at shallow end, sparse Zm and kelp at -3.6m, MLLW, sandy at -4.6 m, MLLW, patchy Zm and kelp at deeper end.</t>
  </si>
  <si>
    <t>Elwha Delta-PNNL-Oct2015 Site Assessment7</t>
  </si>
  <si>
    <t xml:space="preserve">depth range -1.5 m to -4.8 m, MLLW; sand and buried kelp from -1.5 m to -2.1 m, MLLW; sand, cobble, and kelp from -2.1 m to -4.4 m, MLLW sandier at shallow end; gravel and kelp out to -4.8 m, MLLW. </t>
  </si>
  <si>
    <t>Elwha Delta-PNNL-Oct2015 Site Assessment8</t>
  </si>
  <si>
    <t>depth range -1.2 m to -4.2 m, MLLW; sand and buried kelp from -1.2 m to -2.1 m, MLLW; sand, no kelp from -2.1 m to -3.1 m, MLLW; kelp at -3.2 m to -4.2 m, MLLW. Planting potential moderate, but may be a lot of sediment movement from dam removal activities.</t>
  </si>
  <si>
    <t>Elwha Delta-PNNL-Mar2016 Site Assessment1</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</si>
  <si>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</si>
  <si>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2016_0328_ElwhaReconAndLightSensorDeployment.pdf</t>
  </si>
  <si>
    <t>Elwha Delta-PNNL-Mar2016 Site Assessment2</t>
  </si>
  <si>
    <t>No Zm present. Cruised along shelf near mill at base of Ediz Hook. Sediment churned up near shore. Transect perpendicular to shore indicates that there is a big shelf that could be  a big potential planting area if not too deep (23-25 ft, MLLW).</t>
  </si>
  <si>
    <t>Elwha Delta-PNNL-Mar2016 Site Assessment3</t>
  </si>
  <si>
    <t xml:space="preserve">light sensor deployment; Odyssey PAR sensor 4589 "Elwha west" </t>
  </si>
  <si>
    <t>Elwha Delta-PNNL-Mar2016 Site Assessment4</t>
  </si>
  <si>
    <t>Eelgrass and some kelp. Substrate looks ok, not cobbly. More kelp as we drift west -13.5 to -18.5 ft, MLLW. About 200m west of houses on shore; shelf is more gradual than to the east.</t>
  </si>
  <si>
    <t>Elwha Delta-PNNL-Mar2016 Site Assessment5</t>
  </si>
  <si>
    <t xml:space="preserve">No Zm, bull kelp present; beach sandy. </t>
  </si>
  <si>
    <t>Elwha Delta-PNNL-Mar2016 Site Assessment6</t>
  </si>
  <si>
    <t xml:space="preserve"> </t>
  </si>
  <si>
    <t>Camera problems, but possible phylospadix observed. Depth goes from 15 ft quickly to 18 ft then deepens and levels out at about 30 ft.</t>
  </si>
  <si>
    <t>Elwha Delta-PNNL-Mar2016 Site Assessment7</t>
  </si>
  <si>
    <t xml:space="preserve">Visability very poor seems to be fine sediment in water; sparse seagrass but can't tell if Zm or Phylospadix. Bottom firm but some fines. Not good planting spot due to extremely poor visability. </t>
  </si>
  <si>
    <t>Elwha Delta-PNNL-Mar2016 Site Assessment8</t>
  </si>
  <si>
    <t>light sensor deployment; Odyssey PAR sensor 4600 "Elwha east" in location out of current River plume</t>
  </si>
  <si>
    <t>Skagit Delta</t>
  </si>
  <si>
    <t>Skagit Delta-PNNL-2016 Site Assessment1</t>
  </si>
  <si>
    <t>possible donor bed; meadow #12 on map. Near area of avulsion so Zm may be dying back.</t>
  </si>
  <si>
    <t>2016_0503_SkagitDeltaCameraSurvey.pdf and 2016_0503_SkagitDeltaCameraSurvey_Map.pdf</t>
  </si>
  <si>
    <t>Skagit Delta-PNNL-2016 Site Assessment10</t>
  </si>
  <si>
    <t>south edge of meadow #3 is at -3.1 ft MLLW.</t>
  </si>
  <si>
    <t>Skagit Delta-PNNL-2016 Site Assessment11</t>
  </si>
  <si>
    <t>meadow #4 on map; west edge of meadow is -2.3 ft, MLLW</t>
  </si>
  <si>
    <t>Skagit Delta-PNNL-2016 Site Assessment12</t>
  </si>
  <si>
    <t>Zm meadow #4 on map.</t>
  </si>
  <si>
    <t>Skagit Delta-PNNL-2016 Site Assessment13</t>
  </si>
  <si>
    <t>small but thick patch of Zm</t>
  </si>
  <si>
    <t>Skagit Delta-PNNL-2016 Site Assessment14</t>
  </si>
  <si>
    <t>long thin patch of Zm;  #5 on map.</t>
  </si>
  <si>
    <t>Skagit Delta-PNNL-2016 Site Assessment15</t>
  </si>
  <si>
    <t>potential planting location</t>
  </si>
  <si>
    <t>Skagit Delta-PNNL-2016 Site Assessment16</t>
  </si>
  <si>
    <t>5A on map.</t>
  </si>
  <si>
    <t>Skagit Delta-PNNL-2016 Site Assessment17</t>
  </si>
  <si>
    <t>Meadow #6 on map</t>
  </si>
  <si>
    <t>Skagit Delta-PNNL-2016 Site Assessment18</t>
  </si>
  <si>
    <t>Meadow #7 on map; south edge of meadow at 1.9 ft, MLLW; western edge is at -3.5 ft, MLLW</t>
  </si>
  <si>
    <t>Skagit Delta-PNNL-2016 Site Assessment19</t>
  </si>
  <si>
    <t>Meadow #8 on map.</t>
  </si>
  <si>
    <t>Skagit Delta-PNNL-2016 Site Assessment2</t>
  </si>
  <si>
    <t>possible donor bed; meadow #11 on map. Near area of avulsion so Zm may be dying back.</t>
  </si>
  <si>
    <t>Skagit Delta-PNNL-2016 Site Assessment20</t>
  </si>
  <si>
    <t>Meadow #9 on map.</t>
  </si>
  <si>
    <t>Skagit Delta-PNNL-2016 Site Assessment21</t>
  </si>
  <si>
    <t>eelgrass is almost flat with current</t>
  </si>
  <si>
    <t>Skagit Delta-PNNL-2016 Site Assessment3</t>
  </si>
  <si>
    <t>No Zm, depth sounder is showing sand waves. Looks bad.</t>
  </si>
  <si>
    <t>Skagit Delta-PNNL-2016 Site Assessment4</t>
  </si>
  <si>
    <t>Meadow #10, appears patchy.</t>
  </si>
  <si>
    <t>Skagit Delta-PNNL-2016 Site Assessment5</t>
  </si>
  <si>
    <t>meadow #9A on map, more turbid.  Upper edge of #9 is  ~0 ft, MLLW.</t>
  </si>
  <si>
    <t>Skagit Delta-PNNL-2016 Site Assessment6</t>
  </si>
  <si>
    <t>Skagit Delta-PNNL-2016 Site Assessment7</t>
  </si>
  <si>
    <t>#1 on map "July 2015"; this meadow is 0-3 ft, MLLW. (NOTE: coordinates in notes are wrong used map to id location)</t>
  </si>
  <si>
    <t>Skagit Delta-PNNL-2016 Site Assessment8</t>
  </si>
  <si>
    <t>Zm; deeper edge of meadow #2 = -3ft, MLLW</t>
  </si>
  <si>
    <t>Skagit Delta-PNNL-2016 Site Assessment9</t>
  </si>
  <si>
    <t>near shore of can #10; patchy grass.</t>
  </si>
  <si>
    <t>Quilcene Delta</t>
  </si>
  <si>
    <t>Quilcene Bay-PNNL-2016 Site Assessment1</t>
  </si>
  <si>
    <t>Starting new transect; muddy sand sediment. Zig-zag between -1 ft to -6 ft, MLLW - No Zm or Zj.</t>
  </si>
  <si>
    <t>2016_0629_Quilcene Bay test plot camera survey.pdf</t>
  </si>
  <si>
    <t>Quilcene Bay-PNNL-2016 Site Assessment10</t>
  </si>
  <si>
    <t>Zm; near lower limit</t>
  </si>
  <si>
    <t>Quilcene Bay-PNNL-2016 Site Assessment2</t>
  </si>
  <si>
    <t>Zm present (dense)</t>
  </si>
  <si>
    <t>Quilcene Bay-PNNL-2016 Site Assessment3</t>
  </si>
  <si>
    <t>sparse grass; Zm or Zj? at -2.9 ft, MLLW. Nothing at depth of -5 ft, MLLW; drifted N to location of old test plot</t>
  </si>
  <si>
    <t>Quilcene Bay-PNNL-2016 Site Assessment4</t>
  </si>
  <si>
    <t>Zj and upper edge of Zm at ~-1.3 ft, MLLW; flowering shoot; dense at -4.3 ft, MLLW</t>
  </si>
  <si>
    <t>Quilcene Bay-PNNL-2016 Site Assessment5</t>
  </si>
  <si>
    <t>looking for northern edge of possible planting area; Zm here dense at -3.7 ft, MLLW</t>
  </si>
  <si>
    <t>Quilcene Bay-PNNL-2016 Site Assessment6</t>
  </si>
  <si>
    <t>looking for northern edge of possible planting area; Zm here</t>
  </si>
  <si>
    <t>Quilcene Bay-PNNL-2016 Site Assessment7</t>
  </si>
  <si>
    <t>out of Zm; too deep</t>
  </si>
  <si>
    <t>Quilcene Bay-PNNL-2016 Site Assessment8</t>
  </si>
  <si>
    <t>patchy Zm</t>
  </si>
  <si>
    <t>Quilcene Bay-PNNL-2016 Site Assessment9</t>
  </si>
  <si>
    <t>still in Zm from -4.3 ft to -5.4 ft, MLLW</t>
  </si>
  <si>
    <t>USFWS</t>
  </si>
  <si>
    <t>Fox Island</t>
  </si>
  <si>
    <t>Fox Island/Tanglewood Island-PNNL-2016 Site Assessment</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</si>
  <si>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</si>
  <si>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2016_0913_19_S Sound site survey notes_1 of 2.pdf; 2016_0913_15_S Sound site survey map.pdf</t>
  </si>
  <si>
    <t>Fox Island-PNNL-2016 Site Assessment10</t>
  </si>
  <si>
    <t>Not good - too much ulva &amp; kelp</t>
  </si>
  <si>
    <t>Fox Island-PNNL-2016 Site Assessment11</t>
  </si>
  <si>
    <t>between here and shore is a lot of colored buoys - slalom ski course.</t>
  </si>
  <si>
    <t>Fox Island-PNNL-2016 Site Assessment12</t>
  </si>
  <si>
    <t>#7 on map; possible planting location, some ulva, sand w/ some fines, worried about tide</t>
  </si>
  <si>
    <t>Fox Island-PNNL-2016 Site Assessment13</t>
  </si>
  <si>
    <t>Too much ulva</t>
  </si>
  <si>
    <t>Fox Island-PNNL-2016 Site Assessment14</t>
  </si>
  <si>
    <t>#9 on map; Some Zm mixed w/ lots of ulva, small patch possible thin band</t>
  </si>
  <si>
    <t>Fox Island-PNNL-2016 Site Assessment15</t>
  </si>
  <si>
    <t>ulva - lots.</t>
  </si>
  <si>
    <t>Fox Island-PNNL-2016 Site Assessment16</t>
  </si>
  <si>
    <t>#10 on map; possible planting area - not great</t>
  </si>
  <si>
    <t>Fox Island-PNNL-2016 Site Assessment17</t>
  </si>
  <si>
    <t>Otherside of cosway from 9, same sand, lots of ulva and kelp; no.</t>
  </si>
  <si>
    <t>Fox Island-PNNL-2016 Site Assessment18</t>
  </si>
  <si>
    <t>#11 on map; ulva - lots; nope.</t>
  </si>
  <si>
    <t>Fox Island-PNNL-2016 Site Assessment19</t>
  </si>
  <si>
    <t>#12 on map; probable hight current, fetch and current are a concern, sand waves; no.</t>
  </si>
  <si>
    <t>Fox Island-PNNL-2016 Site Assessment20</t>
  </si>
  <si>
    <t>No, too much current; cobble bottom</t>
  </si>
  <si>
    <t>Fox Island-PNNL-2016 Site Assessment3</t>
  </si>
  <si>
    <t>#1 on map; ulva, Kelp (red and brown)</t>
  </si>
  <si>
    <t>Fox Island-PNNL-2016 Site Assessment5</t>
  </si>
  <si>
    <t>#3 on map; no moorings in this area, sandy bottom, mixed fines, some large blades of kelp; cobble with kelp, some ulva, appear to get traffic here, no good</t>
  </si>
  <si>
    <t>Fox Island-PNNL-2016 Site Assessment7</t>
  </si>
  <si>
    <t>#4 on map; lots of ulva w/kelp; no good</t>
  </si>
  <si>
    <t>Fox Island-PNNL-2016 Site Assessment8</t>
  </si>
  <si>
    <t>#5 on map; possible; less ulva where bottom starts to drop deeper; JV suggests we plant just on the edge of the shelf so Zm can establish then creep up on it's own when ulva dies back; low priority but possible.</t>
  </si>
  <si>
    <t>Fox Island-PNNL-2016 Site Assessment9</t>
  </si>
  <si>
    <t>#6 on map; ulva (lots) difficult to tell the substarate, ulva appears to be thin.  Location is between two docks, not a very good spot but unsure of sediment.</t>
  </si>
  <si>
    <t>Hale Passage</t>
  </si>
  <si>
    <t>Hale Passage-PNNL-2016 Site Assessment3</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</si>
  <si>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</si>
  <si>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Hale Passage-PNNL-2016 Site Assessment4</t>
  </si>
  <si>
    <t>No Zm, (inside point w/ barge), but nearby</t>
  </si>
  <si>
    <t>Carr Inlet</t>
  </si>
  <si>
    <t>Carr Inlet-PNNL-2016 Site Assessment1</t>
  </si>
  <si>
    <t>#22 on map; sandy bottom, some ulva</t>
  </si>
  <si>
    <t>Carr Inlet-PNNL-2016 Site Assessment2</t>
  </si>
  <si>
    <t>#23 on map; Zm, small amounts of ulva, sandy substrate, sparse Zm</t>
  </si>
  <si>
    <t>Carr Inlet-PNNL-2016 Site Assessment3</t>
  </si>
  <si>
    <t>#14 on map; eelgrass spotted, sparse Zm, patchy upper limit = 3', possible Zj, may have been aquaculture buoys</t>
  </si>
  <si>
    <t>Carr Inlet-PNNL-2016 Site Assessment4</t>
  </si>
  <si>
    <t>#15 on map; ulva, sand underneath Zj in the shallows, good substrate</t>
  </si>
  <si>
    <t>Carr Inlet-PNNL-2016 Site Assessment5</t>
  </si>
  <si>
    <t>#20 on map; some Zm</t>
  </si>
  <si>
    <t>Carr Inlet-PNNL-2016 Site Assessment6</t>
  </si>
  <si>
    <t>#21 on map; Zm w/ some ulva mixed in; dense in some places</t>
  </si>
  <si>
    <t>Carr Inlet-PNNL-2016 Site Assessment7</t>
  </si>
  <si>
    <t>#19 on map; Zm</t>
  </si>
  <si>
    <t>Carr Inlet-PNNL-2016 Site Assessment8</t>
  </si>
  <si>
    <t>5.8-2.8ft = Zj, 5.9ft = Zm, 7.8 sandy, 8.1-11.1 red algae and kelp</t>
  </si>
  <si>
    <t>Carr Inlet-PNNL-2016 Site Assessment9</t>
  </si>
  <si>
    <t>#18 on map; very sparse Zm</t>
  </si>
  <si>
    <t>Fox Island-PNNL-2016 Site Assessment1</t>
  </si>
  <si>
    <t>#30 on map; sandy w/ ulva &amp; kelp; rocky w/ lots of current, large variation in grain size.</t>
  </si>
  <si>
    <t>Fox Island-PNNL-2016 Site Assessment2</t>
  </si>
  <si>
    <t>#33 on map; touched camera down, saw Zm, left area because of water skiiers in area; sandy bottom w/ some ulva</t>
  </si>
  <si>
    <t>Fox Island-PNNL-2016 Site Assessment4</t>
  </si>
  <si>
    <t>#32 on map; Zm, very sparse, lots of ulva</t>
  </si>
  <si>
    <t>Fox Island-PNNL-2016 Site Assessment6</t>
  </si>
  <si>
    <t>#31 on map; lots of ulva, eelgrass; Zm patchy but abundant</t>
  </si>
  <si>
    <t>Glenn Cove</t>
  </si>
  <si>
    <t>Glenn Cove-PNNL-2016 Site Assessment1</t>
  </si>
  <si>
    <t>#16 on map; sandy bottom, minimal ulva, good substrate, no Zm</t>
  </si>
  <si>
    <t>Glenn Cove-PNNL-2016 Site Assessment2</t>
  </si>
  <si>
    <t>#16 on map; spotted Zm most likely</t>
  </si>
  <si>
    <t>Hale Passage-PNNL-2016 Site Assessment1</t>
  </si>
  <si>
    <t>#26 on map; more ulva, no Zm, cruised east along shore @ 8' no Zm seen, lots of ulva; potential for planting but narrow band w/ current and cable crossing.</t>
  </si>
  <si>
    <t>Hale Passage-PNNL-2016 Site Assessment2</t>
  </si>
  <si>
    <t>#25 on map; Blades of Zm on surface; sandy w/ some kelp &amp; ulva; too narrow &amp; steep shelf</t>
  </si>
  <si>
    <t>Hale Passage-PNNL-2016 Site Assessment5</t>
  </si>
  <si>
    <t>#24 on map; minimal ulva, narrow swath; substrate looks good, current may be too strong, can see ~10' into water</t>
  </si>
  <si>
    <t>Wollochet Bay</t>
  </si>
  <si>
    <t>Wollochet Bay-PNNL-2016 Site Assessment1</t>
  </si>
  <si>
    <t>#27 on map; sandy w/ ulva; minimal ulva could be good for planting, no Zm seen.</t>
  </si>
  <si>
    <t>Wollochet Bay-PNNL-2016 Site Assessment2</t>
  </si>
  <si>
    <t>#29 on map; sandy, some ulva in a row of moorings.</t>
  </si>
  <si>
    <t>Wollochet Bay-PNNL-2016 Site Assessment3</t>
  </si>
  <si>
    <t>#28 on map; sandy w/ some ulva; lots of boating &amp; mooring activity in entire cove, lots of houses &amp; docks.</t>
  </si>
  <si>
    <t>Anderson Island/"Gaeckle 1"-PNNL-2016 Site Assessment</t>
  </si>
  <si>
    <t>Gaeckle 1; sandy, ulva, red algae, shelf could be woder b/c of water clarity, some bioturbation, good spot for planting but narrow shelf, not high priority.  Sites 2 &amp; 3 (Gaeckle 2 and Gaeckle 3) are better, less ulva.</t>
  </si>
  <si>
    <t>2016_0913_19_S Sound site survey notes_2 of 2.pdf; 2016_0913_15_S Sound site survey map.pdf</t>
  </si>
  <si>
    <t>Anderson Island/"Gaeckle 2"-PNNL-2016 Site Assessment</t>
  </si>
  <si>
    <t>Gaeckle 2; narrow shelf; sandy, limited ulva, some bioturbation, clear water; too narrow; Zm could grow deeper due to clarity.</t>
  </si>
  <si>
    <t>Anderson Island/"Gaeckle 3"-PNNL-2016 Site Assessment</t>
  </si>
  <si>
    <t>Gaeckle 3; narrow shelf, rocky shoreline, sandy bottom, some bioturbaion.  Too narrow.</t>
  </si>
  <si>
    <t>Anderson Island/Oro Bay-PNNL-2016 Site Assessment1</t>
  </si>
  <si>
    <t>#38 on map; sandy but exposed ulva &amp; kelp, substrate is too coarse for planting; headed east along shore</t>
  </si>
  <si>
    <t>Anderson Island/Oro Bay-PNNL-2016 Site Assessment2</t>
  </si>
  <si>
    <t>#39 on map; Zm seen from boat (w/o camera, visibility is good); very thick, solid bed, a little south of sandy pt. (slightly below #39 on map) possible donor site thins out at 11.9'</t>
  </si>
  <si>
    <t>Anderson Island-PNNL-2016 Site Assessment1</t>
  </si>
  <si>
    <t>#43 on map; lots of ulva; ULVA!</t>
  </si>
  <si>
    <t>Anderson Island-PNNL-2016 Site Assessment2</t>
  </si>
  <si>
    <t>#42 on map; bad visiblity, biotrbation; sand has lots of floculatn, turbid, some ulva.  Ulva not big issue but water clarity could be an issue.</t>
  </si>
  <si>
    <t>Anderson Island-PNNL-2016 Site Assessment3</t>
  </si>
  <si>
    <t>#40 on map; lots of moorings in the area, ulva &amp; kelp w/ sand atop</t>
  </si>
  <si>
    <t>Anderson Island-PNNL-2016 Site Assessment4</t>
  </si>
  <si>
    <t>#41 on map; bioturbation, sandy, sand seems firm</t>
  </si>
  <si>
    <t>Anderson Island-PNNL-2016 Site Assessment5</t>
  </si>
  <si>
    <t>WP 686 on Strait Science; ulva, red algae,</t>
  </si>
  <si>
    <t>Drayton Passage</t>
  </si>
  <si>
    <t>Drayton Passage-PNNL-2016 Site Assessment1</t>
  </si>
  <si>
    <t>#44 on map; not great clarity, not high amount ulva, cable crossing, close to camp's pier, nice wide shelf, concerns about bioturbation; potential site, need to stay in 4 - 6' range; deeper on south side of camp's dock</t>
  </si>
  <si>
    <t>Drayton Passage-PNNL-2016 Site Assessment2</t>
  </si>
  <si>
    <t>#45 on map; bioturbation, good visiblility ulva overall is patchy more current on N side of dock but overall better (less ulva) 4-7' depth ideal MLLW; nice flat, not fringy.</t>
  </si>
  <si>
    <t>Drayton Passage-PNNL-2016 Site Assessment3</t>
  </si>
  <si>
    <t>#46 on map; lots of ulva, poor visibility, very dark; fringey; narrow shelf on north side of point</t>
  </si>
  <si>
    <t>Drayton Passage-PNNL-2016 Site Assessment4</t>
  </si>
  <si>
    <t>#47 on map; ulva, sandy substrate, some algae</t>
  </si>
  <si>
    <t>Drayton Passage-PNNL-2016 Site Assessment5</t>
  </si>
  <si>
    <t>#48 on map; find sand, some ulva</t>
  </si>
  <si>
    <t>Filucy Bay</t>
  </si>
  <si>
    <t>Filucy Bay-PNNL-2016 Site Assessment</t>
  </si>
  <si>
    <t>#49 on map; lots of particulates in water column, some ulva, not high priority, should do light sensor test before considering planting; aquaculture &amp; moorings in Filucy Bay.</t>
  </si>
  <si>
    <t>McNeil Island/Pitt Passage-PNNL-2016 Site Assessment</t>
  </si>
  <si>
    <t xml:space="preserve">#50 on map; ulva w/ sand on top; </t>
  </si>
  <si>
    <t>McNeil Island/Still Harbor-PNNL-2016 Site Assessment1</t>
  </si>
  <si>
    <t xml:space="preserve">#37 on map; ulva w/ sandy bottom; no Zm, in the harbor, less ulva around #36 (west side of harbor); concerned about ghost shrimp no siphons out of holes.  </t>
  </si>
  <si>
    <t>McNeil Island/Still Harbor-PNNL-2016 Site Assessment2</t>
  </si>
  <si>
    <t>#36 on map; no Zm spotted, ulva got very dense as we approach peir</t>
  </si>
  <si>
    <t>McNeil Island/Still Harbor-PNNL-2016 Site Assessment3</t>
  </si>
  <si>
    <t>#35 on map; lots of ulva; at 5' depth = thick ulva</t>
  </si>
  <si>
    <t>McNeil Island-PNNL-2016 Site Assessment1</t>
  </si>
  <si>
    <t>#34 on map; sand w/ ulva; potential test site; concern about exposure</t>
  </si>
  <si>
    <t>McNeil Island-PNNL-2016 Site Assessment2</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</si>
  <si>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</si>
  <si>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Whidbey Island</t>
  </si>
  <si>
    <t>NW Whidbey Island/NAS-PNNL-2016 Site Assessment1</t>
  </si>
  <si>
    <t>depth -3.5m to -6.4m, MLLW. Just north of the ristricted zone and runway for NAS, no eelgrass, possible planting area; (why is Zm not here already?)</t>
  </si>
  <si>
    <t>2016_0927_28N Sound site survey.pdf</t>
  </si>
  <si>
    <t>NW Whidbey Island/NAS-PNNL-2016 Site Assessment2</t>
  </si>
  <si>
    <t>depth -1.7m to -5.7m, MLLW;  diatoms, sand waves, little bit of ulva, lots of holes. Potnential planting site; (why is Zm not here already?)</t>
  </si>
  <si>
    <t>NW Whidbey Island/NAS-PNNL-2016 Site Assessment3</t>
  </si>
  <si>
    <t>depth -3.1m to -6.5m, MLLW;  diatoms thicker, lots of holes, narrower fringe.  Potential test plot area; (why is Zm not here already?)</t>
  </si>
  <si>
    <t>NW Whidbey Island/Point Partridge-PNNL-2016 Site Assessment1</t>
  </si>
  <si>
    <t>depth-3.9m to -4.5m, MLLW'; sparse eelgrass, mostly sand, some kelp likely on scattered rocks.</t>
  </si>
  <si>
    <t>NW Whidbey Island/Point Partridge-PNNL-2016 Site Assessment2</t>
  </si>
  <si>
    <t>coarse</t>
  </si>
  <si>
    <t>depth -5.0 to -5.3m, MLLW; a few small shoots, kelp more coarse sediment</t>
  </si>
  <si>
    <t>NW Whidbey Island/Point Partridge-PNNL-2016 Site Assessment3</t>
  </si>
  <si>
    <t>depth -1.9 to -4.7m, MLLW; little bit of kelp &amp; ulva detritus, sand, big siphons, sand waves, algae mat, diatoms</t>
  </si>
  <si>
    <t>NW Whidbey Island/Swantown-PNNL-2016 Site Assessment1</t>
  </si>
  <si>
    <t>depth -3.6m to -6.1m, MLLW patchy sparse eelgrass, lots of diatoms, sandy; -6.4m, MLLW no eelgrass too deep.</t>
  </si>
  <si>
    <t>NW Whidbey Island/Swantown-PNNL-2016 Site Assessment2</t>
  </si>
  <si>
    <t>depth -3.8 to -5.0m, MLLW patchy, sparse eelgrass, more dense at deeper end; -3.4m, MLLW no Zm too shallow; -5.9m, MLLW no Zm too deep.</t>
  </si>
  <si>
    <t>Similk Bay</t>
  </si>
  <si>
    <t>Similk Bay-PNNL-2016 Site Assessment1</t>
  </si>
  <si>
    <t>Zm depth -0.6 to -1.5m, MLLW; sediment is softer than outside (W of Whidbey), vis is low, sand w/ some diatoms, crabs and anenomes, lots of epiphytes on blades &amp; detritus on sediment</t>
  </si>
  <si>
    <t>Similk Bay-PNNL-2016 Site Assessment2</t>
  </si>
  <si>
    <t>Zm deeper here range -0.1 to -2.7m, MLLW; near mouth of Bay, W shore, Zm dense.</t>
  </si>
  <si>
    <t>Similk Bay-PNNL-2016 Site Assessment3</t>
  </si>
  <si>
    <t>Zm depth -0.5m to -1.7m, MLLW;  head of bay, water turbid sparse Zm past -1.1m, MLLW; narrow depth range, low vis, soft sediment kicked up from wind.</t>
  </si>
  <si>
    <t>Blakely Island</t>
  </si>
  <si>
    <t>Blakely Island-PNNL-2016 Site Assessment</t>
  </si>
  <si>
    <t>Zm depth from -1.3 m to -5.6m, MLLW; eelgrass in coarse substrate, sandy cobble, dense w/ heavy red epiphytic algae, laying over in current</t>
  </si>
  <si>
    <t>Zm depth from -1.0m to -3.6 m, MLLW; Zm mixed with kelp, sparse at upper and lower depths.</t>
  </si>
  <si>
    <t>Nooksack Delta</t>
  </si>
  <si>
    <t>Nooksack Delta-PNNL-2016 Site Assessment1</t>
  </si>
  <si>
    <t xml:space="preserve">covered depth range from -0.8m to -2.0m, MLLW;  sand ripples at -1.4m, MLLW, no Zm or Zj, bare sand, sed is firm w/ little bit of fines on top. </t>
  </si>
  <si>
    <t>Nooksack Delta-PNNL-2016 Site Assessment2</t>
  </si>
  <si>
    <t>depth -0.8m to -2.8m, MLLW; mostly bare sand, small patches of eelgrass at -0.9m and -1.2m, MLLW, Z. japonica at -0.8m, MLLW; no ulva or diatoms, sand waves</t>
  </si>
  <si>
    <t>Nooksack Delta-PNNL-2016 Site Assessment3</t>
  </si>
  <si>
    <t>covered depth range from -0.5m to -4.0m, MLLW;  sand ripples from -0.8 to -1.6m, MLLW, no Zm or Zj, bare sand, sed is firm w/ little bit of fines on top. No ulva, little bit of diatoms in sand ripples.</t>
  </si>
  <si>
    <t>Orcas Island-W Sound-PNNL-2016 Site Assessment1</t>
  </si>
  <si>
    <t>West Sound 1st inlet on W shore. Checked depths from -1.4 m to -6.6 m, MLLW; no eelgrass, cobble, ulva, kelp, reds; straight into shore, no suitable habitat.</t>
  </si>
  <si>
    <t>Orcas Island-W Sound-PNNL-2016 Site Assessment2</t>
  </si>
  <si>
    <t>rocky and ulva, cobble.  This location is between little island &amp; shore</t>
  </si>
  <si>
    <t>Orcas Island-W Sound-PNNL-2016 Site Assessment3</t>
  </si>
  <si>
    <t>in between floats, substrate coarse cobble &amp; sand, ulva. Checked depths from -1.3 m to -5.2m, MLLW; no good planting potential.  inlet has 2 floating docks</t>
  </si>
  <si>
    <t>Orcas Island-W Sound-PNNL-2016 Site Assessment4</t>
  </si>
  <si>
    <t>sandy, gravel, ulva &amp; red algae; some cobble, checked depths from -0.9m to -2.7m, MLLW; no eelgrass. Some potential, but small area &amp; marginal substrate.</t>
  </si>
  <si>
    <t>Orcas Island-W Sound-PNNL-2016 Site Assessment5</t>
  </si>
  <si>
    <t>bedrock</t>
  </si>
  <si>
    <t>rocky, kelp, ulva.  No Zm but NO potential</t>
  </si>
  <si>
    <t>Orcas Island-W Sound-PNNL-2016 Site Assessment6</t>
  </si>
  <si>
    <t>unknown</t>
  </si>
  <si>
    <t>cove on E shore; full of docks, moorage &amp; floats</t>
  </si>
  <si>
    <t>Orcas Island-W Sound-PNNL-2016 Site Assessment7</t>
  </si>
  <si>
    <t>sand/rock</t>
  </si>
  <si>
    <t>checked depths from -2.8m to -5.2 m, MLLW; rocky w/ kelp and some sand; found one Zm shoot.  Some potential, marginal substrate.  Some marginal potential, test plots could be planted but areas for large scale would be limited.</t>
  </si>
  <si>
    <t>Portage Bay</t>
  </si>
  <si>
    <t>Portage Bay-PNNL-2016 Site Assessment1</t>
  </si>
  <si>
    <t>existing</t>
  </si>
  <si>
    <t>portage channel, bare sand, no Zm, too deep</t>
  </si>
  <si>
    <t>Portage Bay-PNNL-2016 Site Assessment2</t>
  </si>
  <si>
    <t>cobble, rocks, too deep</t>
  </si>
  <si>
    <t>Portage Bay-PNNL-2016 Site Assessment3</t>
  </si>
  <si>
    <t>dense eelgrass, 6' long blades, potential donor bed.</t>
  </si>
  <si>
    <t>Portage Bay-PNNL-2016 Site Assessment4</t>
  </si>
  <si>
    <t>patch of eelgrass, tall blades, cobble w/kelp</t>
  </si>
  <si>
    <t>Portage Bay-PNNL-2016 Site Assessment5</t>
  </si>
  <si>
    <t>sand w/ occasional boulders; at lower limit of Zm?</t>
  </si>
  <si>
    <t>Westcott Bay</t>
  </si>
  <si>
    <t>Westcott Bay-PNNL-2016 Site Assessment1</t>
  </si>
  <si>
    <t>Farther into Garrison bay; water clarity greatly reduced, can't see bottom in 2m depth, bottom pretty soft, not much ulva, No Zm, questionable planting area.</t>
  </si>
  <si>
    <t>Westcott Bay-PNNL-2016 Site Assessment2</t>
  </si>
  <si>
    <t>Near mouth of Westcott, S. shore; sparse Zm (dense patch); found between -1.4m and -2.3m, MLLW; ulva at upper edge.</t>
  </si>
  <si>
    <t>Westcott Bay-PNNL-2016 Site Assessment3</t>
  </si>
  <si>
    <t>around point in Garrison bay; bare sand, very little ulv; checked depth from -0.4m to -1.7m, MLLW; no Zm. Maybe good planting potential here.</t>
  </si>
  <si>
    <t>Westcott Bay-PNNL-2016 Site Assessment4</t>
  </si>
  <si>
    <t>kelp and ulva</t>
  </si>
  <si>
    <t>Westcott Bay-PNNL-2016 Site Assessment5</t>
  </si>
  <si>
    <t>Zm sparse, sandy</t>
  </si>
  <si>
    <t>Westcott Bay-PNNL-2016 Site Assessment6</t>
  </si>
  <si>
    <t>sparse eelgrass toward mouth</t>
  </si>
  <si>
    <t>Westcott Bay-PNNL-2016 Site Assessment7</t>
  </si>
  <si>
    <t>super dense eelgrass, but very narrow depth range; checked surrounding area from -1.7m to -3.2m, MLLW and found no Zm; shell, sand, macroalgae.</t>
  </si>
  <si>
    <t>Westcott Bay-PNNL-2016 Site Assessment8</t>
  </si>
  <si>
    <t>old mid-bay planting site; couldn't find transect, spotted a few blades.  Recommendation: replant test plots using dense planting and rebar method at -4 to -5'; check survival data.  Please see original notes for more information.</t>
  </si>
  <si>
    <t>Quimper Peninsula</t>
  </si>
  <si>
    <t>Quimper Peninsula-PNNL-2017 Site Assessment1</t>
  </si>
  <si>
    <t>Depth -2.6 to -3.8m, MLLW; sparse eelgrass; rocks and cobble deeper; red algae, sand inbetween. no need to plant, narrow fringe present.</t>
  </si>
  <si>
    <t>2017_0213_E Strait of Juan de Fuca site assessments.pdf</t>
  </si>
  <si>
    <t>Quimper Peninsula-PNNL-2017 Site Assessment2</t>
  </si>
  <si>
    <t>Depth -2.9 to -4.5m, MLLW; sparse eelgrass, homogenous, slightly more dense, thins out 10-12'; no need to plant, but maybe an indication that it could grow in this sandy band.</t>
  </si>
  <si>
    <t>Quimper Peninsula-PNNL-2017 Site Assessment3</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</si>
  <si>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</si>
  <si>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Quimper Peninsula-PNNL-2017 Site Assessment4</t>
  </si>
  <si>
    <t>sand w/ a little eelgrass, turned into cobble, gravel @ 11-12', mixed algae &amp; phylospadix &amp; maybe a little eelgrass depth -2.7m to -3.6m, MLLW</t>
  </si>
  <si>
    <t>Quimper Peninsula-PNNL-2017 Site Assessment5</t>
  </si>
  <si>
    <t>phylospadix/eelgrass mix maybe or all eelgrass.  Cobble, murk, thin fringe of area inside kelp bed (8'-14'); NO room to plant.</t>
  </si>
  <si>
    <t>Quimper Peninsula-PNNL-2017 Site Assessment6</t>
  </si>
  <si>
    <t>Zm present, sparse &amp; patchy 12' to 20' on depth sounder = -2.4 to -4.9m, MLLW; kelp out beyond eelgrass. Located off park/glass beach/sewer line between bluffs.</t>
  </si>
  <si>
    <t>Quimper Peninsula-PNNL-2017 Site Assessment7</t>
  </si>
  <si>
    <t>sparse but consistant eelgrass, some brown algae, eelgrass upper limit at -2.7 m, MLLW</t>
  </si>
  <si>
    <t>Quimper Peninsula-PNNL-2017 Site Assessment8</t>
  </si>
  <si>
    <t>murkey in water depth 12-16'; very small patches of eelgrass.</t>
  </si>
  <si>
    <t>Quimper Peninsula-PNNL-2017 Site Assessment9</t>
  </si>
  <si>
    <t>At Pt. Wilson, cobble, brown algae, generally getting more coarse w/ depth.</t>
  </si>
  <si>
    <t>Dungeness Spit</t>
  </si>
  <si>
    <t>W Dungeness Spit-PNNL-2017 Site Assessment1</t>
  </si>
  <si>
    <t>eelgrass present but murkey</t>
  </si>
  <si>
    <t>W Dungeness Spit-PNNL-2017 Site Assessment2</t>
  </si>
  <si>
    <t>mix of algae, phylospadix and eelgrass</t>
  </si>
  <si>
    <t>W Dungeness Spit-PNNL-2017 Site Assessment3</t>
  </si>
  <si>
    <t>VERY murkey, sandy bottom (don't know why visability is so bd, incoming tide, very calm, not much swell), can't see if eelgrass present or not. Was present on maps.</t>
  </si>
  <si>
    <t>W Dungeness Spit-PNNL-2017 Site Assessment4</t>
  </si>
  <si>
    <t>sandy w/ sand waves, no eelgrass; no eelgrass this deep, because of murk? (note; at this time range 14-16' = 8-10MLLW)</t>
  </si>
  <si>
    <t>W Dungeness Spit-PNNL-2017 Site Assessment5</t>
  </si>
  <si>
    <t>depth -3.8 m to -4.7 m, MLLW too deep?; cobble, sand, some algae, sparse or no eelgrass; not very good planting area; either eelgrass present or conditions are not good.</t>
  </si>
  <si>
    <t>Dyes Inlet-PNNL-2017 Site Assessment1</t>
  </si>
  <si>
    <t>Same weird algae and ulva; serious nutrient problem.  BAD - No planting potential.</t>
  </si>
  <si>
    <t>Dyes Inlet-PNNL-2017 Site Assessment10</t>
  </si>
  <si>
    <t>Very coarse, high current; no planting potential.</t>
  </si>
  <si>
    <t>Dyes Inlet-PNNL-2017 Site Assessment11</t>
  </si>
  <si>
    <t>course sed &amp; rocks; NOT good planting potential.</t>
  </si>
  <si>
    <t>Dyes Inlet-PNNL-2017 Site Assessment12</t>
  </si>
  <si>
    <t>Very coarse, steep slope; NOT good planting potential.</t>
  </si>
  <si>
    <t>Dyes Inlet-PNNL-2017 Site Assessment13</t>
  </si>
  <si>
    <t>lots of snails, sed coarse, moderate amount of algae; potential algae/ulva deposition area; NOT good planting potential.</t>
  </si>
  <si>
    <t>Dyes Inlet-PNNL-2017 Site Assessment2</t>
  </si>
  <si>
    <t>Weird algae dense and completely covering the bottom.  KH took photos with phone of video screen; BAD (not a good place to plant)</t>
  </si>
  <si>
    <t>Dyes Inlet-PNNL-2017 Site Assessment3</t>
  </si>
  <si>
    <t>Mostly sand, several moorings; possible planting area</t>
  </si>
  <si>
    <t>Dyes Inlet-PNNL-2017 Site Assessment4</t>
  </si>
  <si>
    <t>Sand &amp; big cobble, lots of snails</t>
  </si>
  <si>
    <t>Dyes Inlet-PNNL-2017 Site Assessment5</t>
  </si>
  <si>
    <t>sediment coarse, cobble, little bit of algae; too coarse for eelgrass</t>
  </si>
  <si>
    <t>Dyes Inlet-PNNL-2017 Site Assessment6</t>
  </si>
  <si>
    <t>small ulva attached to shells &amp; cobble, some sand snails, too much ulva for this season; NO planting potential.</t>
  </si>
  <si>
    <t>Dyes Inlet-PNNL-2017 Site Assessment7</t>
  </si>
  <si>
    <t>less ulva, sand, diatoms, snails, high current; potential rebar planting area</t>
  </si>
  <si>
    <t>Dyes Inlet-PNNL-2017 Site Assessment8</t>
  </si>
  <si>
    <t>rocky; no planting potential.</t>
  </si>
  <si>
    <t>Dyes Inlet-PNNL-2017 Site Assessment9</t>
  </si>
  <si>
    <t>sandy but urchins present.  High currents from tide, moorings numerous. NOT good planting potential</t>
  </si>
  <si>
    <t>Commencement Bay</t>
  </si>
  <si>
    <t>Commencement Bay-PNNL-2016 Site Assessment1</t>
  </si>
  <si>
    <t>eelgrass present from -1.7 to -4.9 m, MLLW (lower depth limit)</t>
  </si>
  <si>
    <t>2017_0313_14Central Sound_Dyes_QM Harbor_Commencement Bay.pdf</t>
  </si>
  <si>
    <t>Commencement Bay-PNNL-2016 Site Assessment10</t>
  </si>
  <si>
    <t>too coarse &amp; steep</t>
  </si>
  <si>
    <t>Commencement Bay-PNNL-2016 Site Assessment11</t>
  </si>
  <si>
    <t>too coarse and steep</t>
  </si>
  <si>
    <t>Commencement Bay-PNNL-2016 Site Assessment2</t>
  </si>
  <si>
    <t>no eelgrass, sandy, diatoms, small burrows (covered whole depth range from -1.2 to -4.9m, MLLW); good potential, small area but important pocket in developed area</t>
  </si>
  <si>
    <t>Commencement Bay-PNNL-2016 Site Assessment3</t>
  </si>
  <si>
    <t>eelgrass more dense, but still patchy from -1.2 tp -5.2 m, MLLW</t>
  </si>
  <si>
    <t>Commencement Bay-PNNL-2016 Site Assessment4</t>
  </si>
  <si>
    <t>dense eelgrass from -1.2 to -4.9 m, MLLW</t>
  </si>
  <si>
    <t>Commencement Bay-PNNL-2016 Site Assessment5</t>
  </si>
  <si>
    <t>checking restoration area, 21 m from coordinates JG provided; very turbid run off from Puyallup; spot-checked other areas in restoration areas and found eelgrass absent at -2.4, sparse at -2.7, absent -1.2, and present at -1.6</t>
  </si>
  <si>
    <t>Commencement Bay-PNNL-2016 Site Assessment6</t>
  </si>
  <si>
    <t>lots of debris in water, no eelgrass; out from pile field. Good potential but eelgrass nearby</t>
  </si>
  <si>
    <t>Commencement Bay-PNNL-2016 Site Assessment7</t>
  </si>
  <si>
    <t>sandy, firm, diatoms good? Good potential but eelgrass nearby</t>
  </si>
  <si>
    <t>Commencement Bay-PNNL-2016 Site Assessment8</t>
  </si>
  <si>
    <t xml:space="preserve">patchy eelgrass &amp; somewhat dense patches.  </t>
  </si>
  <si>
    <t>Commencement Bay-PNNL-2016 Site Assessment9</t>
  </si>
  <si>
    <t>coarse sed &amp; sand, some red algae, diatoms.  Jeff's point by Anthony's.  No eelgrass observed in area.</t>
  </si>
  <si>
    <t>Quartermaster Harbor</t>
  </si>
  <si>
    <t>Quartermaster Harbor-PNNL-2017 Site Assessment1</t>
  </si>
  <si>
    <t>sandy, shells, diatoms, tiny ulva; good potential, no eelgrass.  If conditions improved? coordinates for estimated upper (-0.9m, MLLW) &amp; lower depth range (-2.1m, MLLW) for Zm (based on observation of Zm in other parts of bay).</t>
  </si>
  <si>
    <t>Quartermaster Harbor-PNNL-2017 Site Assessment10</t>
  </si>
  <si>
    <t>eelgrass sparse &amp; small; lower edge 12.5</t>
  </si>
  <si>
    <t>Quartermaster Harbor-PNNL-2017 Site Assessment11</t>
  </si>
  <si>
    <t>sand, shell, location of previously observed eelgrass 2003-2014 SVMP survey (unsure of sp year). Some algae</t>
  </si>
  <si>
    <t>Quartermaster Harbor-PNNL-2017 Site Assessment12</t>
  </si>
  <si>
    <t>sand dollars at -0.7 m, MLLW; sticks deeper at -1.6 m, MLLW</t>
  </si>
  <si>
    <t>Quartermaster Harbor-PNNL-2017 Site Assessment13</t>
  </si>
  <si>
    <t>11.5' sparse eelgrass, sand, shells</t>
  </si>
  <si>
    <t>Quartermaster Harbor-PNNL-2017 Site Assessment14</t>
  </si>
  <si>
    <t xml:space="preserve">bare sand/shells, no observable eelgrass.  Planting potential, but previous surveys indicate e.g. @ this location and we saw none.  Don't know why it's gone.  </t>
  </si>
  <si>
    <t>Quartermaster Harbor-PNNL-2017 Site Assessment15</t>
  </si>
  <si>
    <t>upper edge ~8.9 (-3ft MLLW); lower edge ~12' (-7ft MLLW)</t>
  </si>
  <si>
    <t>Quartermaster Harbor-PNNL-2017 Site Assessment16</t>
  </si>
  <si>
    <t>eelgrass @ 11.3, lower edge; 10' = very sparse.</t>
  </si>
  <si>
    <t>Quartermaster Harbor-PNNL-2017 Site Assessment17</t>
  </si>
  <si>
    <t>sparse eelgrass patches, maybe potential in area.</t>
  </si>
  <si>
    <t>Quartermaster Harbor-PNNL-2017 Site Assessment18</t>
  </si>
  <si>
    <t>no eelgrass, sediment looks fine.</t>
  </si>
  <si>
    <t>Quartermaster Harbor-PNNL-2017 Site Assessment19</t>
  </si>
  <si>
    <t>coarse sed w/ big rocks on shore, steep slope - no end coordinates.</t>
  </si>
  <si>
    <t>Quartermaster Harbor-PNNL-2017 Site Assessment2</t>
  </si>
  <si>
    <t>sandy, diatoms, small algae, small burrows; coordinates for estimated upper (-0.9m, MLLW) &amp; lower depth range (-2.1m, MLLW) for Zm (based on observation of Zm in other parts of bay).</t>
  </si>
  <si>
    <t>Quartermaster Harbor-PNNL-2017 Site Assessment20</t>
  </si>
  <si>
    <t>At location of way point Jeff G gave (~4m away); no eelgrass observed, visibility less, lots of mounds from burrows, sand, some fines.  Planting potential OK, but don't know reason for loss.  Biggest concern is probably turbidity.</t>
  </si>
  <si>
    <t>Quartermaster Harbor-PNNL-2017 Site Assessment3</t>
  </si>
  <si>
    <t>sed looks good, diatoms &amp; snails, some small burrows; no eelgrass; good planting potential.  coordinates for estimated upper (-0.9m, MLLW) &amp; lower depth range (-2.1m, MLLW) for Zm (based on observation of Zm in other parts of bay).</t>
  </si>
  <si>
    <t>Quartermaster Harbor-PNNL-2017 Site Assessment4</t>
  </si>
  <si>
    <t>burrows, mooring field, sandy bottom, no eelgrass. planting potential = moderate. coordinates for estimated upper (-0.9m, MLLW) &amp; lower depth range (-2.1m, MLLW) for Zm (based on observation of Zm in other parts of bay).</t>
  </si>
  <si>
    <t>Quartermaster Harbor-PNNL-2017 Site Assessment5</t>
  </si>
  <si>
    <t xml:space="preserve"> sandy, little bit of algae; visibility = 8-9 feet at least; coordinates for estimated upper (-0.9m, MLLW) &amp; lower depth range (-2.1m, MLLW) for Zm (based on observation of Zm in other parts of bay).</t>
  </si>
  <si>
    <t>Quartermaster Harbor-PNNL-2017 Site Assessment6</t>
  </si>
  <si>
    <t>too narrow, likely too coarse, mooring and piers, no eelgrass, no planting potential; coordinates for estimated upper (-0.9m, MLLW) &amp; lower depth range (-2.1m, MLLW) for Zm (based on observation of Zm in other parts of bay).</t>
  </si>
  <si>
    <t>Quartermaster Harbor-PNNL-2017 Site Assessment7</t>
  </si>
  <si>
    <t>location of prev (2013-2014) observed e.g.  Sparse e.g., small but consistent.  Upper edge ~9.0 ft. Sparse at 13 ft.</t>
  </si>
  <si>
    <t>Quartermaster Harbor-PNNL-2017 Site Assessment8</t>
  </si>
  <si>
    <t>lower edge ~13 ft.</t>
  </si>
  <si>
    <t>Quartermaster Harbor-PNNL-2017 Site Assessment9</t>
  </si>
  <si>
    <t>shore steep, rocks, piers, no end coordinates for depth.</t>
  </si>
  <si>
    <t>Ediz Hook</t>
  </si>
  <si>
    <t>Ediz Hook1</t>
  </si>
  <si>
    <t>surface</t>
  </si>
  <si>
    <t>close to shore and surf zone</t>
  </si>
  <si>
    <t>2017_0417_ElwhaQualitativeSurvey_EdizHookAssessment.pdf</t>
  </si>
  <si>
    <t>Ediz Hook2</t>
  </si>
  <si>
    <t>bull kelp on surface, still too close to shore</t>
  </si>
  <si>
    <t>Ediz Hook3</t>
  </si>
  <si>
    <t>boat length is width of plantable fringe</t>
  </si>
  <si>
    <t>Ediz Hook4</t>
  </si>
  <si>
    <t>60yards from shore</t>
  </si>
  <si>
    <t>Ediz Hook5</t>
  </si>
  <si>
    <t>sandy bottom, very firm with kelp attached to small cobble, substrate probably ok, kelp spaced far apart</t>
  </si>
  <si>
    <t>Ediz Hook6</t>
  </si>
  <si>
    <t>Stuart Island</t>
  </si>
  <si>
    <t>Johns Island 10</t>
  </si>
  <si>
    <t>sounder</t>
  </si>
  <si>
    <t>healthy Zm down to 24'@1307</t>
  </si>
  <si>
    <t>2017_0526_Westcott test plot survey and John Stewart Is camera survey.pdf</t>
  </si>
  <si>
    <t>Johns Island 7</t>
  </si>
  <si>
    <t>sandy pocket beach with moorings and boats, thick and health Zm, down to 15.9'@1238</t>
  </si>
  <si>
    <t>Johns Island 8</t>
  </si>
  <si>
    <t>eelgrass more sparse than other places, down to 15'@1250, patchy eelgrass, may be more exposed to waves</t>
  </si>
  <si>
    <t>Johns Island 9</t>
  </si>
  <si>
    <t>beach is shallow so probably wide band of eelgrass</t>
  </si>
  <si>
    <t>Provost Harbor 1</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</si>
  <si>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</si>
  <si>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</si>
  <si>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</si>
  <si>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</si>
  <si>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</si>
  <si>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</si>
  <si>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</si>
  <si>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</si>
  <si>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Too rocky and too steep</t>
  </si>
  <si>
    <t>Stuart Island 6</t>
  </si>
  <si>
    <t>not suitable for eelgrass</t>
  </si>
  <si>
    <t>King County</t>
  </si>
  <si>
    <t>Seacrest Park Cove 1 - 2</t>
  </si>
  <si>
    <t>snorkel</t>
  </si>
  <si>
    <t>Snorkeled from Seacrest Park Cove 2 to Seacrest Park Cove 1. Not ideal substrate and very turbid. May consider assessing site at another time, but initial impressions did not indicate site would be suitable for transplanting.</t>
  </si>
  <si>
    <t>Dumas Bay</t>
  </si>
  <si>
    <t>deployed sensor at GPS location. Definitely a suitable site.</t>
  </si>
  <si>
    <t>Myrtle Edwards Park</t>
  </si>
  <si>
    <t xml:space="preserve">some cobble and laminaria at site. Lots of shell hash. Could be high energy site but possible eelgrass can persist. Worth a small test transplant. </t>
  </si>
  <si>
    <t>SITE LOCATION</t>
  </si>
  <si>
    <t>planting_location_code</t>
  </si>
  <si>
    <t>planting_relationships</t>
  </si>
  <si>
    <t>FUNDING SOURCE</t>
  </si>
  <si>
    <t>ACTIVITY TYPE</t>
  </si>
  <si>
    <t>PLANTING DATE</t>
  </si>
  <si>
    <t>PLANTING METHOD</t>
  </si>
  <si>
    <t>PLANTED AREA</t>
  </si>
  <si>
    <t>(staple, rebar, washer, burlap, turf, ?)</t>
  </si>
  <si>
    <t>Amsterdam Bay - PNNL - shallow - test - 2013</t>
  </si>
  <si>
    <t>Thom, RM, and L Hallum. 1990. Long‐term changes in the areal extent of tidal marshes, eelgrass meadows, and kelp forests of Puget Sound. FRI‐UW‐9008, Fisheries Research Institute, School of Fisheries, University of Washington, Seattle. Pp. 110.</t>
  </si>
  <si>
    <t>CPS</t>
  </si>
  <si>
    <t>20% more ZM</t>
  </si>
  <si>
    <t>WDFW</t>
  </si>
  <si>
    <t>National Estuary Program</t>
  </si>
  <si>
    <t>12-1117</t>
  </si>
  <si>
    <t xml:space="preserve"> IAA 12-316</t>
  </si>
  <si>
    <t>PNNL</t>
  </si>
  <si>
    <t>IAA 12-317</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</si>
  <si>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</si>
  <si>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test</t>
  </si>
  <si>
    <t>staple</t>
  </si>
  <si>
    <t>Thompson Cove</t>
  </si>
  <si>
    <t>Amsterdam Bay - PNNL - deep - test - 2013</t>
  </si>
  <si>
    <t>Anderson Island West - PNNL - test - 2015</t>
  </si>
  <si>
    <t>DNR</t>
  </si>
  <si>
    <t>Aquatic Restoration Program</t>
  </si>
  <si>
    <t>IAA 12-317.1</t>
  </si>
  <si>
    <t>Aston, L.A., A.B. Borde and J. Vavrinec. 2015. Final Summary Report - Eelgrass Restoration in Puget Sound Project Summary. Pacific Northwest National Laboratory, Richland, WA. PNNL-24445.</t>
  </si>
  <si>
    <t>Ketron Island</t>
  </si>
  <si>
    <t>Anderson Island West - PNNL - test - 2016</t>
  </si>
  <si>
    <t>Nisqually Reach</t>
  </si>
  <si>
    <t>USACE</t>
  </si>
  <si>
    <t>W912DW-14-2-0009 (93-099566)</t>
  </si>
  <si>
    <t>IAA 15-45</t>
  </si>
  <si>
    <t>93-099661</t>
  </si>
  <si>
    <t>rebar</t>
  </si>
  <si>
    <t>Sandy Point</t>
  </si>
  <si>
    <t>Anderson Island South - PNNL - test - 2016</t>
  </si>
  <si>
    <t>Also known as Gaeckle 3</t>
  </si>
  <si>
    <t>Anderson Island West - North - south - HC - test - 2017</t>
  </si>
  <si>
    <t>line</t>
  </si>
  <si>
    <t>Eelgrass Restoration in Puget Sound</t>
  </si>
  <si>
    <t>14-02072</t>
  </si>
  <si>
    <t>IAA 15-110</t>
  </si>
  <si>
    <t>Hart Crowser</t>
  </si>
  <si>
    <t>SC 16-17</t>
  </si>
  <si>
    <t>Shannon, J., J. Blanchette and J. Gaeckle. 2018. Eelgrass (Zostera marina) Restoration in Puget Sound, WA. Final Restoration and Monitoring Report (12059-05) for US EPA, Hart Crowser, Edmonds, WA. Pp. 131.</t>
  </si>
  <si>
    <t>turf</t>
  </si>
  <si>
    <t>Rocky Bay</t>
  </si>
  <si>
    <t>Referred to as 'Anderson Island West 1' in final report. Turfs plant 5-15 shoots per staple (X= ~10 shoots/staple). Estimated number of PUs at test-transplant site as 869/10 = 87.</t>
  </si>
  <si>
    <t>Anderson Island West - North - north - HC - test - 2017</t>
  </si>
  <si>
    <t>--</t>
  </si>
  <si>
    <t>Anderson Island West - South - south - HC - test - 2017</t>
  </si>
  <si>
    <t>Referred to as 'Anderson Island West 2' in final report. Turfs plant 5-15 shoots per staple (X= ~10 shoots/staple). Estimated number of PUs at test-transplant site as 869/10 = 87.</t>
  </si>
  <si>
    <t>Anderson Island West - South - north - HC - test - 2017</t>
  </si>
  <si>
    <t>Anderson Island South 1 - west - HC - large - 2017</t>
  </si>
  <si>
    <t>polygon</t>
  </si>
  <si>
    <t>large scale</t>
  </si>
  <si>
    <t>large scale area of 40 m X 4 m (160 m2). Planted with plants from Rocky Bay. Turfs plant 5-15 shoots per staple (X= ~10 shoots/staple). Estimated number of PUs at test-transplant site as 20500/10 = 2050.</t>
  </si>
  <si>
    <t>Anderson Island South 1 - east - HC - large - 2017</t>
  </si>
  <si>
    <t>Anderson Island South 2 - west - HC - large - 2017</t>
  </si>
  <si>
    <t>large scale area of 40 m X 4 m (160 m2). Planted with plants from Rocky Bay. Planted with plants from Rocky Bay. Turfs plant 5-15 shoots per staple (X= ~10 shoots/staple). Estimated number of PUs at test-transplant site as 24,830/10 = 2483.</t>
  </si>
  <si>
    <t>Anderson Island South 2 - east - HC - large - 2017</t>
  </si>
  <si>
    <t>Anderson Island South 3 - east - PNNL - large - 2017</t>
  </si>
  <si>
    <t>IAA 15-101</t>
  </si>
  <si>
    <t>Site also known as Gaeckle 3, base line runs 320°</t>
  </si>
  <si>
    <t>Amsterdam Bay - PNNL - deeper - test - 2020</t>
  </si>
  <si>
    <t>Eelgrass Recovery in PS</t>
  </si>
  <si>
    <t>180 deg az, sandy with gravel some wispy ulva</t>
  </si>
  <si>
    <t>Anderson Island West - PNNL - test - 2020</t>
  </si>
  <si>
    <t>180deg az, sandy with little bit of ulva</t>
  </si>
  <si>
    <t>Anderson Island Northwest - PNNL - test - 2020</t>
  </si>
  <si>
    <t>170deg az, sandy with non-attached ulva</t>
  </si>
  <si>
    <t>Anderson Island South 1 - west - test - 2021</t>
  </si>
  <si>
    <t>DuPont Wharf</t>
  </si>
  <si>
    <t>Anderson Island South 2 - west - test - 2021</t>
  </si>
  <si>
    <t>Anderson Island South 3 - west - test - 2021</t>
  </si>
  <si>
    <t>Anderson Island - Carlson Bay SE - DNR - test 1 - 2023</t>
  </si>
  <si>
    <t>Blind Bay</t>
  </si>
  <si>
    <t>Blind Bay - DNR - test - 2020</t>
  </si>
  <si>
    <t>SVMP</t>
  </si>
  <si>
    <t>SJS</t>
  </si>
  <si>
    <t>Eelgrass Recovery in the San Juan Islands</t>
  </si>
  <si>
    <t>SRFB - 19-1402</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</si>
  <si>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</si>
  <si>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Fay Bainbridge</t>
  </si>
  <si>
    <t>Henry Island</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</si>
  <si>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</si>
  <si>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Ship Harbor</t>
  </si>
  <si>
    <t>Mixed</t>
  </si>
  <si>
    <t>Chico Bay - PNNL - test - 2015</t>
  </si>
  <si>
    <t>Creosote Point</t>
  </si>
  <si>
    <t>Commencement Bay - PNNL - Test Plot shallow - 2017</t>
  </si>
  <si>
    <t>WA F16AP00163 AL</t>
  </si>
  <si>
    <t>93-094344</t>
  </si>
  <si>
    <t>Commencement Bay - PNNL - Test Plot deep - 2017</t>
  </si>
  <si>
    <t>Commencement Bay - PNNL - large - 2018</t>
  </si>
  <si>
    <t>Planting occurred near 2 test plots so planting was irregular to not overlap with the test plots. See planting diagram</t>
  </si>
  <si>
    <t>Commencement Bay - PNNL - large - 2019</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</si>
  <si>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</si>
  <si>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Delano Beach</t>
  </si>
  <si>
    <t>Delano Beach - PNNL - test - 2015</t>
  </si>
  <si>
    <t>"mega"-bundles were planted with 260 shoots on 26 staples outside of the plot and just south</t>
  </si>
  <si>
    <t>Delano W T1 - HC - test - 2016</t>
  </si>
  <si>
    <t xml:space="preserve"> IAA 15-110</t>
  </si>
  <si>
    <t>burlap</t>
  </si>
  <si>
    <t>Cutts Island</t>
  </si>
  <si>
    <t>transect line that includes 3 test plots</t>
  </si>
  <si>
    <t>Delano W T2 - HC - test - 2016</t>
  </si>
  <si>
    <t>Delano Beach - SE - HC - large - 2016</t>
  </si>
  <si>
    <t>Delano Beach - SW - HC - large - 2016</t>
  </si>
  <si>
    <t>Delano Beach - NE - HC - large - 2016</t>
  </si>
  <si>
    <t>Delano Beach - NW - HC - large - 2016</t>
  </si>
  <si>
    <t>Delano Beach East - north - HC - test - 2017</t>
  </si>
  <si>
    <t>Referred to as 'South Head 1' in final report. Turfs plant 5-15 shoots per staple (X= ~7 shoots/staple because donor site was Cutts Island with larger Zm than Rocky Bay). Estimated number of PUs at test-transplant site as 1172/7 = 167.</t>
  </si>
  <si>
    <t>Delano Beach East - south - HC - test - 2017</t>
  </si>
  <si>
    <t>Referred to as 'South Head 2' in final report. Turfs plant 5-15 shoots per staple (X= ~7 shoots/staple because donor site was Cutts Island with larger Zm than Rocky Bay). Estimated number of PUs at test-transplant site as 1015/7 = 145.</t>
  </si>
  <si>
    <t>Delano Beach - PNNL - test - enhancement</t>
  </si>
  <si>
    <t>Nearshore Habitat Program</t>
  </si>
  <si>
    <t>transplanted 4, 0.25 m2 patches. 3 patches had 3, 50 cm lengths of rebar each with 25 shoots while 1 patch had 2, 50 cm lengths of rebar each with 25 shoots.</t>
  </si>
  <si>
    <t xml:space="preserve">Delano Beach East - north - HC - test - enhancement </t>
  </si>
  <si>
    <t>transplanted 3, 0.25 m2 patch with 3, 50 cm lengths of rebar each with 25 shoots near north buoy</t>
  </si>
  <si>
    <t>Delano Beach East - PNNL - test - 2020</t>
  </si>
  <si>
    <t>180deg az, sandy with shell hash, some ulva with sand on it and chaetomorpha, firm bottom</t>
  </si>
  <si>
    <t>Delano Beach West - PNNL - test - 2020</t>
  </si>
  <si>
    <t>270deg az, sandy with patches of ulva and other "green stuff"</t>
  </si>
  <si>
    <t>Delano Beach West - PNNL - large - 2021</t>
  </si>
  <si>
    <t>Green Point</t>
  </si>
  <si>
    <t>Delano Beach West - DNR - shallow - test - 2021</t>
  </si>
  <si>
    <t>Delano Beach West - DNR - deep - test - 2021</t>
  </si>
  <si>
    <t>Dumas Bay - KC Zm Restoration - test - 2020</t>
  </si>
  <si>
    <t>East Passage</t>
  </si>
  <si>
    <t>King County Department of Natural Resources and Parks Wastewater Treatment Division</t>
  </si>
  <si>
    <t>93-097520</t>
  </si>
  <si>
    <t>eelgrass harvested from area between Transects B and C at the Dumas Bay SeagrassNet site (WA50.1)</t>
  </si>
  <si>
    <t>Dumas Bay - KC Zm Restoration - test - 2021</t>
  </si>
  <si>
    <t>2020 test transplants were present so decided to add to the site. Eelgrass harvested from area between Transects B and C at the Dumas Bay SeagrassNet site (WA50.1)</t>
  </si>
  <si>
    <t>Planted on plot southwest of light sensor location, then one deeper from there and one plot shallower from there</t>
  </si>
  <si>
    <t>Planted on plot ENE of light sensor location. 3 plots of 3 rebar planted at 5m, 6m and 7m ENE of light sensor</t>
  </si>
  <si>
    <t>planted in parallel groups of 3 in line with transplants from May. One row set 1 m further offshore than the shallow row.</t>
  </si>
  <si>
    <t>Dumas Bay - KC Zm Restoration - test 2 - 2022</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</si>
  <si>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</si>
  <si>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Dumas Bay - KC Zm Restoration - test 1 - 2022</t>
  </si>
  <si>
    <t xml:space="preserve">planted 20 rebar (6, 0.25 m2 plots + 2 rebar) parallel to shore and deeper than 2021 test transplants from 05/26/2021. </t>
  </si>
  <si>
    <t>Eld Inlet - shallow - PNNL - test - 2015</t>
  </si>
  <si>
    <t>SPS</t>
  </si>
  <si>
    <t>Windy Bluff</t>
  </si>
  <si>
    <t>"mega"-bundles were planted with 260 shoots on 26 staples outside of the plot 1 m west of the shallow plot</t>
  </si>
  <si>
    <t>Eld Inlet - deep - PNNL - test - 2015</t>
  </si>
  <si>
    <t>"mega"-bundles were planted nearby, see Eld Inlet shallow</t>
  </si>
  <si>
    <t>Eld Inlet - PNNL - test - 2020</t>
  </si>
  <si>
    <t>160deg az, mixed fines, soft, no algae</t>
  </si>
  <si>
    <t>Elwha Delta - deep west - PNNL - test - 2016</t>
  </si>
  <si>
    <t>Freshwater Bay</t>
  </si>
  <si>
    <t>Elwha Delta - shallow west - PNNL - test - 2016</t>
  </si>
  <si>
    <t>Fudge Point</t>
  </si>
  <si>
    <t>Fudge Point South - north - DNR - rebar test - 2017</t>
  </si>
  <si>
    <t>Fudge Point South - south - HC - test - 2017</t>
  </si>
  <si>
    <t>Referred to as 'Fudge Point 2' in final report. Turfs plant 5-15 shoots per staple (X= ~10 shoots/staple b/c donor site was Rocky Bay). Estimated number of PUs at test-transplant site as 1056/10 = 105</t>
  </si>
  <si>
    <t>Fudge Point South - north - HC test - 2017</t>
  </si>
  <si>
    <t>Fudge Point North - south - HC - test - 2017</t>
  </si>
  <si>
    <t>Referred to as 'Fudge Point 1' in final report. Turfs plant 5-15 shoots per staple (X= ~10 shoots/staple b/c donor site was Rocky Bay). Estimated number of PUs at test-transplant site as 1160/10 = 116</t>
  </si>
  <si>
    <t>Fudge Point North - north - HC - test - 2017</t>
  </si>
  <si>
    <t>Fudge Point South - south - HC - test - 2018</t>
  </si>
  <si>
    <t>Same location as 2017 Fudge Point test transplant sites, just different donor plants. Screw anchor at 0 and 10 m, planted at 1, 5, and 9 meters between screw anchor</t>
  </si>
  <si>
    <t>Fudge Point South - north - HC test - 2018</t>
  </si>
  <si>
    <t>Fudge Point North - south - HC - test - 2018</t>
  </si>
  <si>
    <t>Fudge Point North - north - HC - test - 2018</t>
  </si>
  <si>
    <t>Graham Point</t>
  </si>
  <si>
    <t>Graham Point - PNNL - test - 2015</t>
  </si>
  <si>
    <t>planting depths on slope depth range of -1.2m, MLLW to -2.1m, MLLW</t>
  </si>
  <si>
    <t>Graham Point - DNR - test - chia -2016</t>
  </si>
  <si>
    <t>planted 0.0625 m2 rebar quads at 0 m, -0.2 m, -0.3 m &amp; -0.4 m (4 total 0.0625 m2 quads). Planted slightly shallower than 2015 test plots.</t>
  </si>
  <si>
    <t>Harstine Island</t>
  </si>
  <si>
    <t>Harstine Island - PNNL - Test Plot 2 of 4 (north plot) - 2017</t>
  </si>
  <si>
    <t>S screw anchor for test plot</t>
  </si>
  <si>
    <t>Harstine Island - PNNL - Test Plot 3 of 4 (south plot) - 2017</t>
  </si>
  <si>
    <t>Harstine Island - PNNL - Test Plot 4 of 4 (south of south plot) staples - 2017</t>
  </si>
  <si>
    <t>side by side plantings using 2 methods</t>
  </si>
  <si>
    <t>Harstine Island - PNNL - Test Plot 4 of 4 (south of south plot) rebar - 2017</t>
  </si>
  <si>
    <t>Harstine Island - PNNL - Test Plot 1 of 4 (north of north plot) - 2017</t>
  </si>
  <si>
    <t>Harstine - PNNL - Large Scale 1 - north (deep) - 2018</t>
  </si>
  <si>
    <t>Rocky Point</t>
  </si>
  <si>
    <t>base line runs 30°M; 25 shoots/rebar; 552 rebar planted on the offshore side of the base line, see planting diagram, offshore transect</t>
  </si>
  <si>
    <t>Harstine - PNNL - Large Scale 1 - south (shallow) - 2018</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</si>
  <si>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</si>
  <si>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40 m screw anchor for baseline, but planting stopped at 31 m</t>
  </si>
  <si>
    <t>Harstine Island - PNNL - Large Scale 2 - shallow - 2019</t>
  </si>
  <si>
    <t>Anderson Island, Windy Bluff</t>
  </si>
  <si>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</si>
  <si>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40 m screw anchor, but planting stopped at 31 m.</t>
  </si>
  <si>
    <t>Harstine Island - PNNL - Large Scale 3 - shallow - 2020</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</si>
  <si>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</si>
  <si>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t>40 m screw anchor, but planting stopped at 32 m.</t>
  </si>
  <si>
    <t>Harstine Island - PNNL - Test Plot 5 (north of north plot) rebar shallow- 2020</t>
  </si>
  <si>
    <t>330 deg az, substrate is bare sand, little more current at this site on a rising tide, substrate is more course and sand is not sticky</t>
  </si>
  <si>
    <t>Harstine Island - PNNL - Test Plot 6 (south of south plot) rebar shallow - 2020</t>
  </si>
  <si>
    <t>15deg azimuth, offshore depth 11ft dive computer,</t>
  </si>
  <si>
    <t>Herron Island</t>
  </si>
  <si>
    <t>Herron Island - PNNL - test - 2015</t>
  </si>
  <si>
    <t>"mega"-bundles were planted with 260 shoots on 26 staples outside of the plot and south</t>
  </si>
  <si>
    <t>Hunter Point</t>
  </si>
  <si>
    <t>Edgewater - south - PNNL - test - 2015</t>
  </si>
  <si>
    <t>SW corner of plot</t>
  </si>
  <si>
    <t>Edgewater - north - PNNL - test - 2015</t>
  </si>
  <si>
    <t>SW corner of plot, depth taken at NE corner of plot</t>
  </si>
  <si>
    <t>Edgewater - south - PNNL - test - deep - 2020</t>
  </si>
  <si>
    <t>10deg az, course and compacted sand with lots of fines, lots of algae but still lots of sand visible</t>
  </si>
  <si>
    <t>Edgewater - north - PNNL - test - deep - 2020</t>
  </si>
  <si>
    <t>4 extra rebar planted at this site, 60 deg az, mixed fines fairly compact some kelp but can see mostly sand, baseline 14' offshore 15'</t>
  </si>
  <si>
    <t>Joemma Beach State Park</t>
  </si>
  <si>
    <t>Joemma Beach State Park Mid - PNNL - shallow - test - 2013</t>
  </si>
  <si>
    <t>Windy Bluff/Thompson Cove</t>
  </si>
  <si>
    <t>Plants from two donor sites were tested at Joemma Beach State Park. Helical removed from test plot on 7 June 2016.</t>
  </si>
  <si>
    <t>Joemma Beach State Park Mid - PNNL - deep - test - 2013</t>
  </si>
  <si>
    <t>Plants from two donor sites were tested at Joemma State Park</t>
  </si>
  <si>
    <t>Joemma Beach State Park Mid South - W - PNNL - large - 2015</t>
  </si>
  <si>
    <t>Windy Bluff and Thompson Cove</t>
  </si>
  <si>
    <t>north corner, south plot. Most offshore transect was all Thompson Cove plants, most onshore line was all Windy Bluff plants, south end of the plot was all Windy Bluff plants, north end of the plot was all Thompson Cove plants. See diagram.</t>
  </si>
  <si>
    <t>Joemma Beach State Park Mid South - N - PNNL - large - 2015</t>
  </si>
  <si>
    <t>east corner, south plot</t>
  </si>
  <si>
    <t>Joemma Beach State Park Mid South - E - PNNL - large - 2015</t>
  </si>
  <si>
    <t>south corner, south plot</t>
  </si>
  <si>
    <t>Joemma Beach State Park Mid South - S - PNNL - large - 2015</t>
  </si>
  <si>
    <t>west corner, south plot</t>
  </si>
  <si>
    <t>Joemma Beach State Park Mid North - NW - PNNL - large - 2015</t>
  </si>
  <si>
    <t>Aston, L.A., A.B. Borde and J. Vavrinec. 2015. Final Summary Report - Eelgrass Restoration in Puget Sound Project Summary. Pacific Northwest National Laboratory, Sequim, WA. PNNL-24445.</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</si>
  <si>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</si>
  <si>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Joemma Beach State Park Mid North - NE - PNNL - large - 2015</t>
  </si>
  <si>
    <t>NE corner, north plot</t>
  </si>
  <si>
    <t>Joemma Beach State Park Mid North - SE - PNNL - large - 2015</t>
  </si>
  <si>
    <t>SE corner, north plot</t>
  </si>
  <si>
    <t>Joemma Beach State Park Mid North - SW - PNNL - large - 2015</t>
  </si>
  <si>
    <t>SW corner, north plot</t>
  </si>
  <si>
    <t>Joemma Beach State Park - southeast - PNNL - test - 2015</t>
  </si>
  <si>
    <t>planned, site is between JSP and Taylor Bay</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</si>
  <si>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</si>
  <si>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</si>
  <si>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</si>
  <si>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</si>
  <si>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</si>
  <si>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 Mid - chia - 2016</t>
  </si>
  <si>
    <t>Planted 9, rebar quads (0.0625 m2) at the south end of Transect 3 at Joemma Beach State Park Mid South - PNNL - large - 2015.</t>
  </si>
  <si>
    <t>Joemma Beach State Park North - south - HC - test 1 - 2017</t>
  </si>
  <si>
    <t>Referred to as 'Joemma Beach State Park 1' in final report. Turfs plant 5-15 shoots per staple (X= ~10 shoots/staple b/c donor site was Rocky Bay). Estimated number of PUs at test-transplant site as 1042/10 = 104</t>
  </si>
  <si>
    <t>Joemma Beach State Park North - north - HC - test 1 - 2017</t>
  </si>
  <si>
    <t>Joemma Beach State Park North - south - HC - test 2 - 2017</t>
  </si>
  <si>
    <t>Referred to as 'Joemma Beach State Park 2' in final report. Turfs plant 5-15 shoots per staple (X= ~10 shoots/staple b/c donor site was Rocky Bay). Estimated number of PUs at test-transplant site as 1052/10 = 105</t>
  </si>
  <si>
    <t>Joemma Beach State Park North - north - HC - test 2 - 2017</t>
  </si>
  <si>
    <t>Joemma Beach State Park South - SE - HC - large 2 - 2017</t>
  </si>
  <si>
    <t>Referred to as 'Joemma Beach State Park 2' (large-scale site) in final report. Turfs plant 5-15 shoots per staple (X= ~7 shoots/staple b/c donor site was Cutts Island). Estimated number of PUs at test-transplant site as 16570/7 = 2367</t>
  </si>
  <si>
    <t>Joemma Beach State Park South - SW - HC - large 2 - 2017</t>
  </si>
  <si>
    <t>don't have gps coordinates</t>
  </si>
  <si>
    <t>Joemma Beach State Park South - NE - HC - large 2 - 2017</t>
  </si>
  <si>
    <t>Joemma Beach State Park South - NW - HC - large 2 - 2017</t>
  </si>
  <si>
    <t>Joemma Beach State Park South - SE - HC - large 3 - 2017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</si>
  <si>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</si>
  <si>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Joemma Beach State Park South - SW - HC - large 3 - 2017</t>
  </si>
  <si>
    <t>Joemma Beach State Park South - NE - HC - large 3 - 2017</t>
  </si>
  <si>
    <t>Joemma Beach State Park South - NW - HC - large 3 - 2017</t>
  </si>
  <si>
    <t>Joemma Beach State Park South - SE - HC - large 4 - 2017</t>
  </si>
  <si>
    <t>Referred to as 'Joemma Beach State Park 3' (large-scale site) in final report. Turfs plant 5-15 shoots per staple (X= ~7 shoots/staple b/c donor site was DuPont Wharf). Estimated number of PUs at test-transplant site as 26149/10 = 2615</t>
  </si>
  <si>
    <t>Joemma Beach State Park South - SW - HC - large 4 - 2017</t>
  </si>
  <si>
    <t>Joemma Beach State Park South - NE - HC - large 4 - 2017</t>
  </si>
  <si>
    <t>Joemma Beach State Park South - NW - HC - large 4 - 2017</t>
  </si>
  <si>
    <t>Joemma Beach State Park Mid - DNR - BESE - AG - 1 - 2017</t>
  </si>
  <si>
    <t>BESE: Biodegradable ecosystem engineering elements</t>
  </si>
  <si>
    <t>Biodegradable ecosystem engineering elements (BESE) for Marjolijn Christianen, Wageningen University &amp; Research, Netherlands. Overall area was 1 m2. Actual was 0.1 m2 (10 x 10 cm area in center of BESE. 3 planting units with 4 shoots each. DuPont Wharf shoots.</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</si>
  <si>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</si>
  <si>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</si>
  <si>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</si>
  <si>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</si>
  <si>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</si>
  <si>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</si>
  <si>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</si>
  <si>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</si>
  <si>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</si>
  <si>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</si>
  <si>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</si>
  <si>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</si>
  <si>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Zm Restoration Methods Assessment</t>
  </si>
  <si>
    <t>overall area was 10 m x 4 m (40 m2), Actual area was 5 m2 (20, 0.25 m2 plots)</t>
  </si>
  <si>
    <t>Joemma Beach State Park North - SW - DNR - methods - 2017</t>
  </si>
  <si>
    <t>washer</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</si>
  <si>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</si>
  <si>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</si>
  <si>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</si>
  <si>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</si>
  <si>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</si>
  <si>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</si>
  <si>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</si>
  <si>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</si>
  <si>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</si>
  <si>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</si>
  <si>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</si>
  <si>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 xml:space="preserve">4, 50 cm long rebar with 20 shoots attached to each placed between Transects 4 &amp; 5 of JBSP Mid South - PNNL - large - 2015, approximately 10 m from southern end of transects. </t>
  </si>
  <si>
    <t>4, 50 cm long rebar with 20 shoots attached to each placed between Transects 4 &amp; 5 of JBSP Mid South - PNNL - large - 2015. About 5 meters north of southern extent of Transects 4 &amp; 5.</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</si>
  <si>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</si>
  <si>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</si>
  <si>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Joemma Beach State Park Mid - DNR - BESE v1 - 1 - Aboveground (AG)</t>
  </si>
  <si>
    <t>BESE setup version 1 - setup was incorrect. Rather than removing all the eelgrass, it was left in place and new BESEs set just westward. 3 planting units with 4 shoots each. Dumas Bay shoots.</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</si>
  <si>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</si>
  <si>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</si>
  <si>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</si>
  <si>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</si>
  <si>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</si>
  <si>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</si>
  <si>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</si>
  <si>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</si>
  <si>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</si>
  <si>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</si>
  <si>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</si>
  <si>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</si>
  <si>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Joemma Beach State Park Mid South - PNNL - large - T3-4 - 2015</t>
  </si>
  <si>
    <t>3, 50 cm long rebar with 20 shoots attached to each placed between Transects 3 &amp; 4 of JBSP Mid South - PNNL - large - 2015. These plantings are new and between transects 3 &amp; 4.</t>
  </si>
  <si>
    <t>Joemma Beach State Park - Mid - Rebar 1 - 2018</t>
  </si>
  <si>
    <t>Southern most replicate. Transplanted 3, 50 cm long lengths of rebar with 21 shoots each in a 0.25 m2 area.  3 replicates total along a 16 m transect between the north and south points.</t>
  </si>
  <si>
    <t>Joemma Beach State Park - Mid - Puck 1 - 2018</t>
  </si>
  <si>
    <t>pucks</t>
  </si>
  <si>
    <t>Transplanted 9 ceramic pucks with 7 shoots per puck in a 0.25 m2 area. 3 replicates total along a 16 m transect between the north and south points.</t>
  </si>
  <si>
    <t>Joemma Beach State Park - Mid - Puck 2 - 2018</t>
  </si>
  <si>
    <t>Joemma Beach State Park - Mid - Rebar 2 - 2018</t>
  </si>
  <si>
    <t>Transplanted 3, 50 cm long lengths of rebar with 21 shoots each in a 0.25 m2 area.  3 replicates total along a 16 m transect between the north and south points.</t>
  </si>
  <si>
    <t>Joemma Beach State Park - Mid - Rebar 3 - 2018</t>
  </si>
  <si>
    <t>Transplanted 3, 50 cm long lengths of rebar with 21 shoots each in a 0.25 m2 area.  3 replicates total along a 16 m transect between the north and south points..</t>
  </si>
  <si>
    <t>Joemma Beach State Park - Mid - Puck 3 - 2018</t>
  </si>
  <si>
    <t>Northern most replicate. Transplanted 9 ceramic pucks with 7 shoots per puck in a 0.25 m2 area. 3 replicates total along a 16 m transect between the north and south points.</t>
  </si>
  <si>
    <t>Joemma Beach State Park - Mid - test - 2020</t>
  </si>
  <si>
    <t>Planted 4, 0.25 m2 plots of 3 rebar each with Dumas Bay Zm just shoreward of the 2018 Rebar-Puck transplants.</t>
  </si>
  <si>
    <t>Joemma Beach State Park South of South- PNNL - test - 2020</t>
  </si>
  <si>
    <t>130deg az, sed sandy, wispy ulva, 15' depth baseline and 17' depth offshore at 1235, Whiskey Beach Ct SW is the nearest road so planting location is WHB_test_1</t>
  </si>
  <si>
    <t>Joemma Beach State Park - Mid - Rebar - 2021</t>
  </si>
  <si>
    <t xml:space="preserve">Planted just south of Joemma Beach State Park South - SE - HC - large 1 - 2016. </t>
  </si>
  <si>
    <t>Joemma Beach State Park - Mid - Rebar - 2022</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</si>
  <si>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</si>
  <si>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</si>
  <si>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</si>
  <si>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</si>
  <si>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</si>
  <si>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Key Peninsula</t>
  </si>
  <si>
    <t>Dog Camp - PNNL - test - 2020</t>
  </si>
  <si>
    <t>300 deg az, deep sand good current to keep algae away* this was at the slack tide</t>
  </si>
  <si>
    <t>Liberty Bay East - PNNL - test - 2013</t>
  </si>
  <si>
    <t>Sandy Hook</t>
  </si>
  <si>
    <t>Liberty Bay West - PNNL - test - 2013</t>
  </si>
  <si>
    <t>McDermott Point</t>
  </si>
  <si>
    <t>McDermott Point South - south - HC - test - 2017</t>
  </si>
  <si>
    <t>Turfs plant 5-15 shoots per staple (X= ~10 shoots/staple b/c donor site was Rocky Bay). Estimated number of PUs at test-transplant site as 998/10 = 99. Referred to in report as McDermott Point 1.</t>
  </si>
  <si>
    <t>McDermott Point South - north - HC - test - 2017</t>
  </si>
  <si>
    <t>McDermott Point North - south - HC - test - 2017</t>
  </si>
  <si>
    <t>Turfs plant 5-15 shoots per staple (X= ~10 shoots/staple b/c donor site was Rocky Bay). Estimated number of PUs at test-transplant site as 994/10 = 99. Referred to in report as McDermott Point 1.</t>
  </si>
  <si>
    <t>McDermott Point North - north - HC - test - 2017</t>
  </si>
  <si>
    <t>McDermott Point - PNNL - test - 2020</t>
  </si>
  <si>
    <t>200deg az , sandy with patchy ulva but not much, fist-sized pockmarks possibly bivalves</t>
  </si>
  <si>
    <t>McNeil Island - north - PNNL - test - 2015</t>
  </si>
  <si>
    <t>South Shore -PNNL - test - 1 - (eastern most) - 2016</t>
  </si>
  <si>
    <t>South Shore - PNNL - test - 2  - (middle) - 2016</t>
  </si>
  <si>
    <t>South Shore - PNNL - test - 3  - (western most) - 2016</t>
  </si>
  <si>
    <t>Still Harbor - PNNL - test - 1  - (southern most) - 2016</t>
  </si>
  <si>
    <t>Still Harbor - PNNL - test - 2  - rebar (northern most) - 2016</t>
  </si>
  <si>
    <t xml:space="preserve">side by side plantings using 2 methods. </t>
  </si>
  <si>
    <t>Still Harbor - PNNL - test - 2  - staple (northern most) - 2016</t>
  </si>
  <si>
    <t>McNeil Island North - PNNL - test - 1 - 2017</t>
  </si>
  <si>
    <t>McNeil Island North - PNNL - test - 2 - 2017</t>
  </si>
  <si>
    <t>McNeil Island South - mid plot - PNNL - large - 2017</t>
  </si>
  <si>
    <t>McNeil Island South - east plot - PNNL - large - 2017</t>
  </si>
  <si>
    <t>screw anchor at 0m and 16.5 m but only planted through 7.5m  because test plot not as successful as other test plots</t>
  </si>
  <si>
    <t>McNeil Island South - west plot - PNNL - large - 2017</t>
  </si>
  <si>
    <t>screw anchors at 0m and 25m</t>
  </si>
  <si>
    <t>Milwaukee Dock</t>
  </si>
  <si>
    <t>Milwaukee Dock southern depression - PNNL - test - anchor1 - 2017</t>
  </si>
  <si>
    <t>Eagle Harbor</t>
  </si>
  <si>
    <t>Testing to see if rebar will hold better than failed staples at this site. See planting diagram</t>
  </si>
  <si>
    <t>Milwaukee Dock southern depression - PNNL - test - anchor3 - 2017</t>
  </si>
  <si>
    <t>Myrtle Edwards</t>
  </si>
  <si>
    <t>Myrtle Edwards - DNR - test - DW - 2021</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</si>
  <si>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</si>
  <si>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</si>
  <si>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</si>
  <si>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Myrtle Edwards - DNR - test 1 - DW - 2022</t>
  </si>
  <si>
    <t xml:space="preserve">planted 2, 0.25 m2 plots of 3 rebar each with DuPont Wharf Zm near remaining 3 shoots from 2021 test transplant. Transplants were adjacent to rip rap. </t>
  </si>
  <si>
    <t>Myrtle Edwards - DNR - test 2 - DW - 2022</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</si>
  <si>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</si>
  <si>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Ostrich Bay</t>
  </si>
  <si>
    <t>Ostrich Bay - PNNL - test - 2015</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</si>
  <si>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</si>
  <si>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</si>
  <si>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</si>
  <si>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</si>
  <si>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Penrose State Park</t>
  </si>
  <si>
    <t>Penrose North - HC - test - 2016</t>
  </si>
  <si>
    <t>Port Gamble Bay</t>
  </si>
  <si>
    <t>Port Gamble Bay - PNNL - test 5 - 2014</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</si>
  <si>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</si>
  <si>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HDC</t>
  </si>
  <si>
    <t>Port Gamble Bay Eelgrass Restoration Project</t>
  </si>
  <si>
    <t>Ecology</t>
  </si>
  <si>
    <t>Toxics Cleanup Program</t>
  </si>
  <si>
    <t>C1400158</t>
  </si>
  <si>
    <t xml:space="preserve"> 14-147</t>
  </si>
  <si>
    <t>IAA 14-293</t>
  </si>
  <si>
    <t>Vavrinec, J. and A.B. Borde. 2015. Port Gamble eelgrass restoration project summary. Prepared for the Washington State Department of Ecology contracts IAA C1400158 and IAA 14-147. Pacific Northwest National Laboratory, Richland, WA. PNNL-24432.</t>
  </si>
  <si>
    <t>Point Julia</t>
  </si>
  <si>
    <t>Port Gamble Bay - PNNL - test 2 - 2014</t>
  </si>
  <si>
    <t>Port Gamble Bay - PNNL - test 3 - 2014</t>
  </si>
  <si>
    <t>Port Gamble Bay - PNNL - test 4 - 2014</t>
  </si>
  <si>
    <t>Port Gamble Bay - PNNL - test 1 - 2014</t>
  </si>
  <si>
    <t>Port Gamble Bay - PNNL - test 6 - 2014</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</si>
  <si>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</si>
  <si>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</si>
  <si>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</si>
  <si>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</si>
  <si>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</si>
  <si>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</si>
  <si>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</si>
  <si>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</si>
  <si>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</si>
  <si>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</si>
  <si>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</si>
  <si>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</si>
  <si>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</si>
  <si>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</si>
  <si>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</si>
  <si>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</si>
  <si>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Quartermaster Harbor - PNNL - Test Plot 1S - 2018</t>
  </si>
  <si>
    <t>base line runs 230°M; 20 shoots/rebar; 30 rebar planted on the offshore side of baseline</t>
  </si>
  <si>
    <t>Quartermaster Harbor - PNNL - Test Plot 1D - 2018</t>
  </si>
  <si>
    <t>base line runs 240°M; 20 shoots/rebar; 30 rebar planted on the offshore side of baseline</t>
  </si>
  <si>
    <t>Quartermaster Harbor - PNNL - Test Plot 4S - 2018</t>
  </si>
  <si>
    <t>base line runs 90°M; 20 shoots/rebar; 30 rebar planted on the offshore side of baseline</t>
  </si>
  <si>
    <t>Quartermaster Harbor - PNNL - Test Plot 4D - 2018</t>
  </si>
  <si>
    <t>Quartermaster Harbor - PNNL - Test Plot 5S - 2018</t>
  </si>
  <si>
    <t>Quartermaster Harbor - PNNL - Test Plot 5D - 2018</t>
  </si>
  <si>
    <t>Quartermaster Harbor - PNNL - Test Plot 2D - 2018</t>
  </si>
  <si>
    <t>base line runs 305°M; 20 shoots/rebar; 30 rebar planted on the offshore side of baseline</t>
  </si>
  <si>
    <t>Quartermaster Harbor - PNNL - Test Plot 3S - 2018</t>
  </si>
  <si>
    <t>base line runs 40°M; 20 shoots/rebar; 30 rebar planted on the offshore side of baseline</t>
  </si>
  <si>
    <t>Quartermaster Harbor - PNNL - Test Plot 3D - 2018</t>
  </si>
  <si>
    <t>base line runs 25°M; 20 shoots/rebar; 30 rebar planted on the inshore side of baseline</t>
  </si>
  <si>
    <t>Quartermaster Harbor - PNNL - Test Plot 4S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</si>
  <si>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</si>
  <si>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</si>
  <si>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</si>
  <si>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Quartermaster Harbor - PNNL - Test Plot 5a - 2021</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</si>
  <si>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</si>
  <si>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</si>
  <si>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</si>
  <si>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</si>
  <si>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</si>
  <si>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</si>
  <si>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Quilcene Bay</t>
  </si>
  <si>
    <t>Quilcene Bay - PNNL - test - 2014</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</si>
  <si>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</si>
  <si>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</si>
  <si>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</si>
  <si>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</si>
  <si>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</si>
  <si>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</si>
  <si>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</si>
  <si>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</si>
  <si>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</si>
  <si>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 xml:space="preserve">Shine Beach </t>
  </si>
  <si>
    <t>Shine Beach - Squamish Harbor - DNR - test 1 - 2023</t>
  </si>
  <si>
    <t>Squamish Harbor</t>
  </si>
  <si>
    <t>Shine Beach</t>
  </si>
  <si>
    <t>Skagit Delta - PNNL - test - 1 - 2016</t>
  </si>
  <si>
    <t>Thom, RM, and L Hallum. 1990. Long‐term changes in the areal extent of tidal marshes, eelgrass meadows, and kelp forests of Puget Sound. FRI‐UW‐9008, Fisheries Research Institute, School of Fisheries, University of Washington, Seattle. Pp. 110.
SVMP Program</t>
  </si>
  <si>
    <t xml:space="preserve">Skagit Bay </t>
  </si>
  <si>
    <t>SWH</t>
  </si>
  <si>
    <t>Skagit Bay</t>
  </si>
  <si>
    <t>screw anchors 3 meters apart</t>
  </si>
  <si>
    <t>Skagit Delta - PNNL - test - 2 - 2016</t>
  </si>
  <si>
    <t>screw anchors 2 meters apart</t>
  </si>
  <si>
    <t>Skagit Delta - PNNL - test - 5 - 2016</t>
  </si>
  <si>
    <t>screw anchors 1.5 meters apart</t>
  </si>
  <si>
    <t>Skagit Delta - PNNL - test - 6 - 2016</t>
  </si>
  <si>
    <t>Stretch Island</t>
  </si>
  <si>
    <t>Stretch Island - PNNL - test - 2015</t>
  </si>
  <si>
    <t>"mega"-bundles were planted with 260 shoots on 26 staples outside of the plot 4 m west of the SW corner, at -1.5m, MLLW</t>
  </si>
  <si>
    <t>Taylor Bay</t>
  </si>
  <si>
    <t>Taylor Bay North - HC - test - 2016</t>
  </si>
  <si>
    <t>Taylor Bay South - HC - test - 2016</t>
  </si>
  <si>
    <t>Westcott Bay East - PNNL - test - 2013</t>
  </si>
  <si>
    <t>PNNL - MSL Tanks</t>
  </si>
  <si>
    <t>head of bay, planted along a depth gradient from -4.0' to -6.0'</t>
  </si>
  <si>
    <t>Westcott Bay West - PNNL - test - 2013</t>
  </si>
  <si>
    <t>middle of bay, planted along a depth gradient from -5.0' to -9.0'</t>
  </si>
  <si>
    <t>Westcott Bay - PNNL - Test Plot A - 2017</t>
  </si>
  <si>
    <t>Bell Point, Stuart Island</t>
  </si>
  <si>
    <t>Westcott Bay - PNNL - Test Plot B - 2017</t>
  </si>
  <si>
    <t>Bell Point</t>
  </si>
  <si>
    <t>Westcott Bay - PNNL - Test Plot C - 2017</t>
  </si>
  <si>
    <t>Mitchell Bay</t>
  </si>
  <si>
    <t>Westcott Bay - PNNL - Test Plot D - 2017</t>
  </si>
  <si>
    <t>Westcott Bay - Bell Point North - DNR - test - 2020-Dumas</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</si>
  <si>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</si>
  <si>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Westcott Bay - Bell Point North - DNR - test - 2020-Fay</t>
  </si>
  <si>
    <t>Westcott Bay - Bell Point North - DNR - test - 2020-Henry</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</si>
  <si>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</si>
  <si>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Westcott Bay - Bell Point North - DNR - test - 2020-Ship</t>
  </si>
  <si>
    <t>Westcott Bay - Bell Point North - DNR - test - 2020-Mixed</t>
  </si>
  <si>
    <t>Zangle Cove</t>
  </si>
  <si>
    <t>Zangle Cove - PNNL - test - 2013</t>
  </si>
  <si>
    <t>personal observation</t>
  </si>
  <si>
    <t>Dana Passage</t>
  </si>
  <si>
    <t>Zangle Cove - NW - PNNL - large - 2015</t>
  </si>
  <si>
    <t>See planting diagram</t>
  </si>
  <si>
    <t>Zangle Cove - NE - PNNL - large - 2015</t>
  </si>
  <si>
    <t>Zangle Cove - SE - PNNL - large - 2015</t>
  </si>
  <si>
    <t>Zangle Cove - SW - PNNL - large - 2015</t>
  </si>
  <si>
    <t>Zangle Cove - SW - PNNL - test - 2015</t>
  </si>
  <si>
    <t>Zangle Cove - DNR - test - 1 Chia - 2016</t>
  </si>
  <si>
    <t>1, 0.0625 m2 rebar quads planted and PAR sensor installed ~ 2 m away</t>
  </si>
  <si>
    <t>Zangle Cove - DNR - test - 4 Chia - 2016</t>
  </si>
  <si>
    <t>4, 0.0625 m2 rebar quads planted (chia pets)</t>
  </si>
  <si>
    <t>total shoots</t>
  </si>
  <si>
    <t>AMS_shallow</t>
  </si>
  <si>
    <t>single</t>
  </si>
  <si>
    <t>retain</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</si>
  <si>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</si>
  <si>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</si>
  <si>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</si>
  <si>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</si>
  <si>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</si>
  <si>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</si>
  <si>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</si>
  <si>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</si>
  <si>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</si>
  <si>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</si>
  <si>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</si>
  <si>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</si>
  <si>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</si>
  <si>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</si>
  <si>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</si>
  <si>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</si>
  <si>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</si>
  <si>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</si>
  <si>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</si>
  <si>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</si>
  <si>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</si>
  <si>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</si>
  <si>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</si>
  <si>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HPT_south_1</t>
  </si>
  <si>
    <t>added 1</t>
  </si>
  <si>
    <t>HPT_north_2</t>
  </si>
  <si>
    <t>added 2</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</si>
  <si>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</si>
  <si>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</si>
  <si>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</si>
  <si>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</si>
  <si>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</si>
  <si>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</si>
  <si>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</si>
  <si>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</si>
  <si>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</si>
  <si>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</si>
  <si>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</si>
  <si>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</si>
  <si>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</si>
  <si>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</si>
  <si>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</si>
  <si>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</si>
  <si>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</si>
  <si>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</si>
  <si>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</si>
  <si>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</si>
  <si>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</si>
  <si>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</si>
  <si>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drop</t>
  </si>
  <si>
    <t>JSP_north</t>
  </si>
  <si>
    <t>JSP_south_P1</t>
  </si>
  <si>
    <t>MCN_south_1</t>
  </si>
  <si>
    <t>MCN_south_2</t>
  </si>
  <si>
    <t>MCN_south_3</t>
  </si>
  <si>
    <t>MCN_still_1</t>
  </si>
  <si>
    <t>MCN_still_2</t>
  </si>
  <si>
    <t>colocated</t>
  </si>
  <si>
    <t>PEN_L1</t>
  </si>
  <si>
    <t>QLC_north1</t>
  </si>
  <si>
    <t>point?</t>
  </si>
  <si>
    <t>QLC_north2</t>
  </si>
  <si>
    <t>QLC_north3</t>
  </si>
  <si>
    <t>QLC_mid1</t>
  </si>
  <si>
    <t>QLC_mid2</t>
  </si>
  <si>
    <t>QLC_mid3</t>
  </si>
  <si>
    <t>QLC_south1</t>
  </si>
  <si>
    <t>QLC_south2</t>
  </si>
  <si>
    <t>QLC_south3</t>
  </si>
  <si>
    <t>SKG_1</t>
  </si>
  <si>
    <t>SKG_2</t>
  </si>
  <si>
    <t>SKG_5</t>
  </si>
  <si>
    <t>SKG_6</t>
  </si>
  <si>
    <t>TAY_L1</t>
  </si>
  <si>
    <t>line?</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</si>
  <si>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</si>
  <si>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</si>
  <si>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</si>
  <si>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</si>
  <si>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</si>
  <si>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</si>
  <si>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</si>
  <si>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</si>
  <si>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</si>
  <si>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</si>
  <si>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</si>
  <si>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</si>
  <si>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</si>
  <si>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</si>
  <si>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</si>
  <si>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</si>
  <si>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</si>
  <si>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</si>
  <si>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</si>
  <si>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</si>
  <si>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</si>
  <si>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</si>
  <si>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</si>
  <si>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</si>
  <si>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</si>
  <si>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</si>
  <si>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</si>
  <si>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</si>
  <si>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</si>
  <si>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</si>
  <si>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</si>
  <si>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</si>
  <si>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</si>
  <si>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</si>
  <si>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</si>
  <si>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</si>
  <si>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</si>
  <si>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</si>
  <si>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</si>
  <si>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</si>
  <si>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</si>
  <si>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</si>
  <si>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</si>
  <si>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</si>
  <si>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</si>
  <si>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</si>
  <si>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</si>
  <si>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</si>
  <si>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</si>
  <si>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</si>
  <si>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</si>
  <si>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</si>
  <si>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</si>
  <si>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</si>
  <si>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</si>
  <si>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</si>
  <si>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</si>
  <si>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</si>
  <si>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</si>
  <si>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</si>
  <si>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</si>
  <si>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</si>
  <si>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</si>
  <si>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</si>
  <si>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</si>
  <si>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</si>
  <si>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</si>
  <si>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</si>
  <si>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</si>
  <si>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</si>
  <si>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</si>
  <si>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</si>
  <si>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</si>
  <si>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</si>
  <si>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</si>
  <si>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</si>
  <si>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</si>
  <si>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</si>
  <si>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</si>
  <si>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</si>
  <si>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</si>
  <si>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</si>
  <si>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</si>
  <si>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</si>
  <si>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</si>
  <si>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</si>
  <si>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</si>
  <si>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</si>
  <si>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</si>
  <si>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</si>
  <si>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</si>
  <si>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</si>
  <si>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</si>
  <si>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</si>
  <si>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</si>
  <si>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</si>
  <si>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</si>
  <si>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</si>
  <si>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</si>
  <si>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</si>
  <si>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</si>
  <si>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</si>
  <si>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</si>
  <si>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BB_test_1</t>
  </si>
  <si>
    <t>COM_L2</t>
  </si>
  <si>
    <t>DEL_east_1</t>
  </si>
  <si>
    <t>DEL_west_1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</si>
  <si>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</si>
  <si>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</si>
  <si>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</si>
  <si>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</si>
  <si>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</si>
  <si>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</si>
  <si>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</si>
  <si>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</si>
  <si>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</si>
  <si>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</si>
  <si>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</si>
  <si>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</si>
  <si>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</si>
  <si>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</si>
  <si>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</si>
  <si>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</si>
  <si>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</si>
  <si>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</si>
  <si>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repeated HAR_4 - this is rebar, other is staples?</t>
  </si>
  <si>
    <t>HPT_south_2</t>
  </si>
  <si>
    <t>JSP_chia_1</t>
  </si>
  <si>
    <t>not sure what to do with this</t>
  </si>
  <si>
    <t>MCD_1</t>
  </si>
  <si>
    <t>SHB_1</t>
  </si>
  <si>
    <t>OTB_1</t>
  </si>
  <si>
    <t>MRE_1</t>
  </si>
  <si>
    <t xml:space="preserve">giving yr1, 2021, _1 </t>
  </si>
  <si>
    <t>MRE_2</t>
  </si>
  <si>
    <t>giving yr2, 2022, _2</t>
  </si>
  <si>
    <t>AMS_deeper</t>
  </si>
  <si>
    <t>AND_west3</t>
  </si>
  <si>
    <t>curious why Large Scale are indicated as L, whereas Test plots are just a #. Sometimes with a space between the previous descriptor or no space???</t>
  </si>
  <si>
    <t>AND_nw1</t>
  </si>
  <si>
    <t>AND_west4</t>
  </si>
  <si>
    <t>AND_west5</t>
  </si>
  <si>
    <t>AND_west6</t>
  </si>
  <si>
    <t>AND_se1</t>
  </si>
  <si>
    <t>KYP_dog1</t>
  </si>
  <si>
    <t>WES_test_1</t>
  </si>
  <si>
    <t>2020 transect with multiple donor sources. Similar effort completed in Blind Bay</t>
  </si>
  <si>
    <t>planting location code is similar to code for Blind Bay (BB_test_1)</t>
  </si>
  <si>
    <t>WHB_test_1</t>
  </si>
  <si>
    <t>JSP_mid_4</t>
  </si>
  <si>
    <t>JSP_mid_connect</t>
  </si>
  <si>
    <t>this was 4 small, 0.25m2, plots connecting HC2016 with PNNL2015. Is this considered a point or line?</t>
  </si>
  <si>
    <t>HC_off_1</t>
  </si>
  <si>
    <t>HC_off_2</t>
  </si>
  <si>
    <t>JSP_south_test</t>
  </si>
  <si>
    <t>planted south of HC2016</t>
  </si>
  <si>
    <t>these transplants were planted in 2021 and are a repeat of previous transplant plots that were planted in just 2018. How do we account for this repeat transplant that occurred in roughly the same location but a different year (2018 vs 2021)?</t>
  </si>
  <si>
    <t>other challenge is there are 4 - 4S locations, 2 - 5a locations, and 1 additional 4S for 2022</t>
  </si>
  <si>
    <t>copies the 2018 planting_location_code</t>
  </si>
  <si>
    <t>QMH_5a</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</si>
  <si>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</si>
  <si>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</si>
  <si>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</si>
  <si>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 OF SHOOTS PLANTED</t>
  </si>
  <si>
    <t>MONITORING ENTITY</t>
  </si>
  <si>
    <t>MONITORING DATE</t>
  </si>
  <si>
    <t>STATUS - QUAL</t>
  </si>
  <si>
    <t>STATUS - COUNT</t>
  </si>
  <si>
    <t>STATUS - AREA</t>
  </si>
  <si>
    <t>STATUS  - SHOOT DENSITY</t>
  </si>
  <si>
    <t>STATUS - TIME INTERVAL</t>
  </si>
  <si>
    <t>STATUS - SURVIVAL</t>
  </si>
  <si>
    <t>(shoot count)</t>
  </si>
  <si>
    <t>(present, absent, unknown)</t>
  </si>
  <si>
    <t>(Days since planted)</t>
  </si>
  <si>
    <t>(%)</t>
  </si>
  <si>
    <t>approximately 50% of original coverage, plants healthier and larger than shallow site, some over 0.5m, numerous snails on the blades</t>
  </si>
  <si>
    <t>fine sediments</t>
  </si>
  <si>
    <t>Y</t>
  </si>
  <si>
    <t>partially exposed rebar; a little ulva around but not much, can mostly see substrate, elephant ear type algae, lots of snails; plants are crusty</t>
  </si>
  <si>
    <t>disappointing, only 1 clump of eelgrass remaining and some isolated shoots, plants generally short, most ulva gone</t>
  </si>
  <si>
    <t xml:space="preserve">lots of floculent, thick brown mat of diatom or algae with black possibly anoxic layer underneath. Avg. eelgrass size 10 cm but some up to 50 cm. Some eelgrass not actually attached to rebar </t>
  </si>
  <si>
    <t>Only a spot check. There appeared to be many more plants than the last monitoring in April 2021. Photos in Anderson Island folder (K:\projects\Eelgrass_Restoration\Photos\Anderson_Island\Anderson_Island_northwest). Will count during next field effort.</t>
  </si>
  <si>
    <t>Counted shoot density in 9 - 0.25 m2 quadrats and the X - Y area. Area was 4.4 m x 4 m. Average shoot density = 37.8 from monitoring. Multiplied 37.8 x 17.6 to get total estimated shoot count of 665.</t>
  </si>
  <si>
    <t>Counted shoot density in 5 - 0.25 m2 quadrats and the X - Y area. Area was 4.5 m x 5 m. Average shoot density = 37.8 from monitoring. Multiplied 49.2 x 22.5 to get total estimated shoot count of 1107. 80% average canopy height = 70.2 cm.</t>
  </si>
  <si>
    <t>visited site but could not see Zm. Could be that tidal elevation was too high or algal cover too thick (ulvoids present)</t>
  </si>
  <si>
    <t>pretty good survival and the plants look great, current is strong enough to push the plants horizontal</t>
  </si>
  <si>
    <t>DNR snorkel monitoring. Zm present at both sites but loads of ulvoids attached to each planting unit. Easy to find because of clumps of ulvoids. Good photos documenting monitoring.</t>
  </si>
  <si>
    <t>DNR Geoduck Compliance Diver monitoring. Lots of green algae.</t>
  </si>
  <si>
    <t>DNR snorkel monitoring. No Zm found.</t>
  </si>
  <si>
    <t>DNR snorkel monitoring. Few Zm plants found</t>
  </si>
  <si>
    <t>viewed from surface, plants in tidy rows with no evidence of spread</t>
  </si>
  <si>
    <t>counted 40 lines of plants, looked slightly less dense than when planted</t>
  </si>
  <si>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</si>
  <si>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r>
      <t>PNNL divers surveyed 41 0.25 m</t>
    </r>
    <r>
      <rPr>
        <vertAlign val="superscript"/>
        <sz val="11"/>
        <color theme="1"/>
        <rFont val="Aptos Narrow"/>
        <family val="2"/>
        <scheme val="minor"/>
      </rPr>
      <t>2</t>
    </r>
    <r>
      <rPr>
        <sz val="11"/>
        <color theme="1"/>
        <rFont val="Aptos Narrow"/>
        <family val="2"/>
        <scheme val="minor"/>
      </rPr>
      <t xml:space="preserve"> quadrats along the rebar planted transects and calculated density based on shoots counted divided by surveyed area. Applied calculated density to the entire planted area to estimated number of shoots survived.  </t>
    </r>
  </si>
  <si>
    <t>Qualitative assessment from boat.</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</si>
  <si>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</si>
  <si>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</si>
  <si>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HC</t>
  </si>
  <si>
    <t>Eelgrass dying. Site covered in thick ulva.</t>
  </si>
  <si>
    <t>Entire site covered with algae. Line still in place from test plot set up.</t>
  </si>
  <si>
    <t>No eelgrass. Removed helical anchors and line.</t>
  </si>
  <si>
    <t>DNR snorkel monitoring. Zm present but only 4 shoots.</t>
  </si>
  <si>
    <t>there is eelgrass, it is healthy, the ones that are still here look good</t>
  </si>
  <si>
    <t>no eelgrass present</t>
  </si>
  <si>
    <t xml:space="preserve">Some ulva, site was hard to find and set a new waypoint, called A I W Real,  eelgrass 5cm all small </t>
  </si>
  <si>
    <t>No eelgrass present. Removed  2 helical anchors and PVC.</t>
  </si>
  <si>
    <t>No eelgrass.</t>
  </si>
  <si>
    <t>DNR snorkel monitoring</t>
  </si>
  <si>
    <t>DNR monitoring from boat. Zm looked great.</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</si>
  <si>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</si>
  <si>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48 0.25 m</t>
    </r>
    <r>
      <rPr>
        <vertAlign val="superscript"/>
        <sz val="11"/>
        <color theme="1"/>
        <rFont val="Aptos Narrow"/>
        <family val="2"/>
        <scheme val="minor"/>
      </rPr>
      <t>2</t>
    </r>
    <r>
      <rPr>
        <sz val="11"/>
        <color theme="1"/>
        <rFont val="Aptos Narrow"/>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</si>
  <si>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Aptos Narrow"/>
        <family val="2"/>
        <scheme val="minor"/>
      </rPr>
      <t>2</t>
    </r>
    <r>
      <rPr>
        <sz val="11"/>
        <color theme="1"/>
        <rFont val="Aptos Narrow"/>
        <family val="2"/>
        <scheme val="minor"/>
      </rPr>
      <t xml:space="preserve"> quadrats along the rebar planted transects and calculated density based on shoots counted divided by surveyed area. Applied calculated density to the entire planted area to estimated number of shoots survived.  </t>
    </r>
  </si>
  <si>
    <t>No screw anchors present, but clearly our plot because rows present. 4 rows of 5 rebar. Plants growing away from rebar. Site looks great! Deeper end 20' at 1057.</t>
  </si>
  <si>
    <t>Great survival! 4 rows of 5 rebar. Good spread and sediment is compact</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</si>
  <si>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</si>
  <si>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</si>
  <si>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</si>
  <si>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HC monitored PNNL's test transplant at Delano Beach. Observed approximately 800 shoots with an estimated density = 48.5 shoots m-2.</t>
  </si>
  <si>
    <t>DNR snorkel monitoring. Collected three shoot count measurements (197, 146, &amp; 183). Shoots covered in algae. Snails present.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</si>
  <si>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</si>
  <si>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Changing PAR and pH sensors. Photos of Zm in Delano Beach folder.</t>
  </si>
  <si>
    <t>DNR snorkel monitoring. Collecting PAR and pH sensors. Photos of Zm in Delano Beach folder.</t>
  </si>
  <si>
    <t>DNR snorkel monitoring. Zm looked good with some repros.</t>
  </si>
  <si>
    <t>PNNL divers estimated ~50 shoots in 1m x 1.5m patch, 50-70cm tall, 4 flowering shoots, macroalgae present</t>
  </si>
  <si>
    <t>all eelgrass in 1m2 patch in the middle of test plot</t>
  </si>
  <si>
    <t>eelgrass present along with many crabs. Shoots looked small and appear to be heavily disturbed by bioturbators (e.g., crabs). Left original helical anchors (2) and PVC (2) to demarcate site. Recovered rebar that was planted at the site on 06/28/2018.</t>
  </si>
  <si>
    <t>Eelgrass present, evidence of wasting disease</t>
  </si>
  <si>
    <t>Zm looked great. Abundance of green algae too. Lots of photos of transplants in Delano Beach folder.</t>
  </si>
  <si>
    <t>No trace of site found. HC divers surveyed 300 ft in either direction of GPS coordinates. Evidence of disturbance via digging for geoducks.</t>
  </si>
  <si>
    <t>DNR snorkel monitoring. Zm looked OK with some repros. Quite a bit of macroalgae on site.</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</si>
  <si>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</si>
  <si>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</si>
  <si>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PNNL divers found toggle at site and a few eelgrass shoots observed; less macroalgae present than at south site</t>
  </si>
  <si>
    <t xml:space="preserve">Zm present. Removed 16 sticks of rebar. </t>
  </si>
  <si>
    <t>eelgrass present, green algae present</t>
  </si>
  <si>
    <t>moon snail egg pieces could indicate what is disturbing, rebar skewed also showing disturbance, not a lot of ulva in site but patches of ulva just outside of site could be an issue</t>
  </si>
  <si>
    <t>DNR snorkel monitoring. Combined with north monitoring.</t>
  </si>
  <si>
    <t>PNNL divers found toggle at site but no eelgrass observed; macroalgae present throughout site</t>
  </si>
  <si>
    <t>No Zm observed. Thick ulva cover. Removed ground tackle (2 helical anchors with buoys).</t>
  </si>
  <si>
    <t>Lots of eelgrass present. Shoot counts not taken.</t>
  </si>
  <si>
    <t>Quick stop by Delano to check on eelgrass. Lots of eelgrass present. Shoot counts not taken. Rebar collected. Volunteer help from Bruce Morse.</t>
  </si>
  <si>
    <t xml:space="preserve">Lots of Zm present. Shoot counts not taken. </t>
  </si>
  <si>
    <t>Lots of Zm present. Shoot counts not taken. Lots of green algae on the Zm too.</t>
  </si>
  <si>
    <t xml:space="preserve">Zm present. Looks great. </t>
  </si>
  <si>
    <t>Lots of healthy eelgrass! 9 flowering shoots. Good visibility, seems like there are extra rebar... maybe 6-7 in 4 rows</t>
  </si>
  <si>
    <t>Transplants planted too shallow (-1.25 m, MLLW).</t>
  </si>
  <si>
    <t>1 dying eelgrass shoot found at Delano Beach 2016 test transplant site.</t>
  </si>
  <si>
    <t>Checked on transplants and light sensor at the site. Water quality was amazing. Zm still present and it looked good. Lots of algae on the plants. Cleaned sensors.</t>
  </si>
  <si>
    <t>Tide not low enough to adequately count eelgrass. Quite a few plants remain from 2020 test transplant. Recovered 9 rebar sticks.</t>
  </si>
  <si>
    <t xml:space="preserve">Zm looked great. </t>
  </si>
  <si>
    <t>Zm looked great. Lauren Johnson and Julia Ledbetter, replaced zincs on all sensors at SGN and Dumas Bay Zm restoration. Moved some recently tranplanted rebar back in line because they were displaced.</t>
  </si>
  <si>
    <t>Zm looked great. Sensor swapped.</t>
  </si>
  <si>
    <t>eelgrass looks good. One rebar was several feet off the line where it was planted, moved it back in line with the others</t>
  </si>
  <si>
    <t>eelgrass looks good. Sensor swap.</t>
  </si>
  <si>
    <t>Qualitative assessment via snorkel survey with Natalie Gaeckle and Ellie Avallone. All plants looked good, lots of algae but plants still surviving.</t>
  </si>
  <si>
    <t xml:space="preserve">Qualitative assessment via snorkeling while swapping sensors. Eelgrass present and looked good. </t>
  </si>
  <si>
    <t xml:space="preserve">Qualitative assessment via snorkeling while swapping sensors. All looked good. Some reproductive shoots. </t>
  </si>
  <si>
    <t>Qualitative assessment via float over by boat while swapping sensor. Eelgrass transplanted in 2021 and 2022 was present and looked good. Lots of macroalgae, a blanket, over the 2022 eelgrass transplants.</t>
  </si>
  <si>
    <t>Qualitative assessment via snorkel survey. Plants looked great. Planted an additional 720 eelgrass shoots northeast of the 2020, 2021 and early 2022 eelgrass transplants.</t>
  </si>
  <si>
    <t>Qualitative assessment via snorkeling while swapping sensors. Eelgrass present and looked good. Encouraging for transplant success as the plants were smothered with ulva during the last monitoring in August 2022.</t>
  </si>
  <si>
    <t>Qualitative assessment via snorkeling while swapping sensors. All looked good. Some reproductive shoots. Recovered some rebar.</t>
  </si>
  <si>
    <t>found and retrieved all screw anchors. Visibility low, sediment soft. No eelgrass observed.</t>
  </si>
  <si>
    <t xml:space="preserve">Layer of  cf. microalgae approx 1 m below surface = low visibility, collected rebar and screw anchors </t>
  </si>
  <si>
    <t>DNR snorkel monitoring. Lots of plants. Zm looked good. Took lots of photos. Only found shallow.</t>
  </si>
  <si>
    <t xml:space="preserve">DNR boat monitoring. No Zm observed. </t>
  </si>
  <si>
    <t>found and retrieved all screw anchors. Visibility low, sediment soft, fine and jiggly. Mud up to the big knuckle. No eelgrass observed.</t>
  </si>
  <si>
    <t>"all is there but some of the grass is missing on the eastern side ", lots of scour at site</t>
  </si>
  <si>
    <t>found marker stake and some eelgrass but not a lot, some rebar found just below surface and some places where there should be rebar and its missing</t>
  </si>
  <si>
    <t>3-4 rebar worth of Zm is visible, some bar rebar and some rebar completely missing, some scour around Zm, very fine sediment</t>
  </si>
  <si>
    <t>found some rebar without any eelgrass</t>
  </si>
  <si>
    <t>PNNL survey done when doing Harstine Island monitoring; survival sparse, found north and South screw anchors. Counts for N, mid, and S plots. Plants small and scraggly</t>
  </si>
  <si>
    <t>DNR snorkel monitoring. Found buoys marking test transplant transect but no Zm present. Should consider using larger Zm from DuPont Wharf donor site.</t>
  </si>
  <si>
    <t>DNR snorkel monitoring. Less algae at North site than South site.</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</si>
  <si>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</si>
  <si>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</si>
  <si>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Only 1 plant remained. Looked terrible and likely not going to survive.</t>
  </si>
  <si>
    <t>DNR snorkel monitoring. Found 4 corner markers set by PNNL. No Zm observed.</t>
  </si>
  <si>
    <r>
      <t>PNNL divers surveyed 180, 0.25 m</t>
    </r>
    <r>
      <rPr>
        <vertAlign val="superscript"/>
        <sz val="11"/>
        <color theme="1"/>
        <rFont val="Aptos Narrow"/>
        <family val="2"/>
        <scheme val="minor"/>
      </rPr>
      <t>2</t>
    </r>
    <r>
      <rPr>
        <sz val="11"/>
        <color theme="1"/>
        <rFont val="Aptos Narrow"/>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</si>
  <si>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t>PNNL divers could not find screw anchors, but observed some rebar where plot should be. No eelgrass observed.</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</si>
  <si>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</si>
  <si>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24 0.25 m</t>
    </r>
    <r>
      <rPr>
        <vertAlign val="superscript"/>
        <sz val="11"/>
        <color theme="1"/>
        <rFont val="Aptos Narrow"/>
        <family val="2"/>
        <scheme val="minor"/>
      </rPr>
      <t>2</t>
    </r>
    <r>
      <rPr>
        <sz val="11"/>
        <color theme="1"/>
        <rFont val="Aptos Narrow"/>
        <family val="2"/>
        <scheme val="minor"/>
      </rPr>
      <t xml:space="preserve"> quadrats along the rebar planted transects and calculated density based on shoots counted divided by surveyed area. Applied calculated density to the entire planted area to estimated number of shoots survived.  </t>
    </r>
  </si>
  <si>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</si>
  <si>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</si>
  <si>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</si>
  <si>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</si>
  <si>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 xml:space="preserve">Poor visibility, not very much algae on sediment surface but some. Gaps in some of the rows; scour holes? </t>
  </si>
  <si>
    <t>DNR snorkel monitoring. No Zm observed.</t>
  </si>
  <si>
    <t>DNR snorkel monitoring. Zm present, looked OK, but not great.</t>
  </si>
  <si>
    <t>DNR boat monitoring. Lots of Zm at site. Looks encouraging. Photos in Edgewater folder.</t>
  </si>
  <si>
    <t>DNR snorkel monitoring. Plants looked great! Sensors cleaned.</t>
  </si>
  <si>
    <t>DNR snorkel monitoring. 2 reproductive shoots. Swapped PAR sensors</t>
  </si>
  <si>
    <t>DNR snorkel monitoring. Zm looked good, but not expanding much. Collected PAR sensor.</t>
  </si>
  <si>
    <t>DNR snorkel monitoring. Pulled helical anchors and PVC posts delineating plot.</t>
  </si>
  <si>
    <t>DNR boat monitoring. Floated over site but did not observe any Zm.</t>
  </si>
  <si>
    <t>6 shoots on 2 rhizomes... hardly any eelgrass in site. collected screwanchors and some rebar</t>
  </si>
  <si>
    <t>DNR snorkel monitoring. Few Zm plants remaining.</t>
  </si>
  <si>
    <t xml:space="preserve">DNR boat monitoring. </t>
  </si>
  <si>
    <t>DNR snorkel monitoring. No Zm. Pulled helical anchors and PVC posts delineating plot.</t>
  </si>
  <si>
    <t>No eelgrass, can still see rebar but suspect current was too strong, collected rebar and screw anchors</t>
  </si>
  <si>
    <t>puck</t>
  </si>
  <si>
    <t>DNR snorkel monitoring. Zm looked great. Pucks removed.</t>
  </si>
  <si>
    <t>DNR snorkel monitoring. Zm looked great. Pucks removed. 377 shoots + 9 reproductive shoots.</t>
  </si>
  <si>
    <t>DNR snorkel monitoring. Zm looked great. Rebar removed. 229 shoots + 1 reproductive shoot.</t>
  </si>
  <si>
    <t>DNR snorkel monitoring. Zm looked great. Rebar removed. 298 shoots + 5 reproductive shoots.</t>
  </si>
  <si>
    <t>DNR snorkel monitoring. Zm looked great. Rebar removed.</t>
  </si>
  <si>
    <t>DNR snorkel monitoring. Few Zm shoots observed covered with ulvoids. Kelp crab present. Photos in Joemma_SP_way_South folder.</t>
  </si>
  <si>
    <t>DNR snorkel monitoring. Canopy height also recorded. Reproductive shoots listed on data sheet are not included in shoot count as these were planted 3 days earlier.</t>
  </si>
  <si>
    <t>DNR snorkel monitoring. Canopy height also recorded. Reproductive shoots listed on data sheet are not included in shoot count here as these were planted in May.</t>
  </si>
  <si>
    <t>DNR snorkel monitoring. Canopy height recorded. Did not measure rhizome extension to estimate status area.</t>
  </si>
  <si>
    <t>DNR snorkel monitoring. Canopy height also recorded. Status area calculated as area of circle based on diameter measured. A= (pi)r2. 20 cm circle of plants = 3.14*(10)^2.</t>
  </si>
  <si>
    <t xml:space="preserve">DNR snorkel monitoring. </t>
  </si>
  <si>
    <t>DNR snorkel monitoring. Canopy height recorded. Status area calculated as area of circle based on diameter measured. A= (pi)r2. 20 cm circle of plants = 3.14*(10)^2</t>
  </si>
  <si>
    <t>DNR snorkel monitoring. Canopy height also recorded. Status area calculated as area of circle based on diameter measured. A= (pi)r2. 20 cm circle of plants = 3.14*(10)^2</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</si>
  <si>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</si>
  <si>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</si>
  <si>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</si>
  <si>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</si>
  <si>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</si>
  <si>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</si>
  <si>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 xml:space="preserve">DNR snorkel monitoring. Canopy height recorded. Status area calculated as area of ellipse based on the X and Y of vegetated area measured. A = (pi)ab, where a= radius of one axis, b = radias of other axis. </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</si>
  <si>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</si>
  <si>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</si>
  <si>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</si>
  <si>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DNR snorkel monitoring.</t>
  </si>
  <si>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</si>
  <si>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75% - 80% of original coverage and healthy plants, many small snails on blades, 0.75m x 8m long piece of aquaculture or construction fencing nearby</t>
  </si>
  <si>
    <t>anemic shoots</t>
  </si>
  <si>
    <t>Zm snorkel monitoring. Matt Curtis (WDFW) measured shoot density in 14, 0.25 m2, quadrats. Average shoot density = 422 +/- 50 (SE). Area was estimated from length of X and Y axes of patch, less bare area in middle.</t>
  </si>
  <si>
    <t>Zm snorkel monitoring and drone aerial photography. Area estimated from digitizing drone imagery. Shoot count estimated from density measurements throughout transplants.</t>
  </si>
  <si>
    <t>HC monitored PNNL's large scale transplants at Joemma. Observed shoots at about 8.8 shoots m-2.</t>
  </si>
  <si>
    <t>DNR shoot counts along entire transects. Measured density in 152 , 0.25 m2, quadrats. Measured width of transects every meter and extrapolated area to calculate 38 m2 of Zm.</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</si>
  <si>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</si>
  <si>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</si>
  <si>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Zm snorkel monitoring and drone aerial photography. Area estimated from digitizing drone imagery. Shoot count estimated from density measurements throughout all transplants sampled.</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</si>
  <si>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</si>
  <si>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</si>
  <si>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DNR shoot counts along entire transects. Measured density in 124 , 0.25 m2, quadrats. Measured width of transects every meter and extrapolated area to calculate 31 m2 of Zm.</t>
  </si>
  <si>
    <t>DNR shoot counts along entire transects. Removed transplant staples along transect 2 at the south PNNL site b/c no Zm survived.</t>
  </si>
  <si>
    <t>DNR shoot counts along entire transects</t>
  </si>
  <si>
    <t>Qualitative assessment via snorkel survey during sensor swap. Plants looked great!</t>
  </si>
  <si>
    <t>Quantitative assessment via snorkel survey at entire site. UAV surveys conducted on 07/12/2022.</t>
  </si>
  <si>
    <t>Qualitative assessment via snorkeling while swapping sensors. All looked good. Some reproductive shoots at the Anderson Island 2013 shallow test plot and the DuPont Whart 2016 test plots on Transect 3.</t>
  </si>
  <si>
    <r>
      <t>DNR snorkel monitoring. Canopy heights = 42, 30, 85. Area estimated at 1 m x 2 m (2 m</t>
    </r>
    <r>
      <rPr>
        <vertAlign val="superscript"/>
        <sz val="11"/>
        <color theme="1"/>
        <rFont val="Aptos Narrow"/>
        <family val="2"/>
        <scheme val="minor"/>
      </rPr>
      <t>2</t>
    </r>
    <r>
      <rPr>
        <sz val="11"/>
        <color theme="1"/>
        <rFont val="Aptos Narrow"/>
        <family val="2"/>
        <scheme val="minor"/>
      </rPr>
      <t>).</t>
    </r>
  </si>
  <si>
    <t>DNR snorkel monitoring. Plants looked OK to good. Lots of algae. Seems as though site is a depositional area for algae. Staples up and catching algae (ulvoids).</t>
  </si>
  <si>
    <t>DNR snorkel monitoring. Zm looked OK.</t>
  </si>
  <si>
    <t>DNR monitoring from boat. No Zm found.</t>
  </si>
  <si>
    <t>HC monitoring</t>
  </si>
  <si>
    <t>DNR snorkel monitoring. 32 samples of shoot density counted in 0.0625 m2 quadrats. Average density = 674 (+/- 34). Across an estimated 40 m2 = 26960 shoots, across the entire 160 m2 area = 107780 shoots.</t>
  </si>
  <si>
    <t>DNR Geoduck Compliance Divers.  42 samples of shoot density counted in 0.0625 m2 quadrats. Average density = 249. Across an estimated 40 m2 = 9960 shoots. Area estimated at 160 m2 which equates to 39840 shoots.</t>
  </si>
  <si>
    <t>DNR snorkel monitoring. 30 samples. Shoot density = 1410 m-2. Area estimated at 160 m2</t>
  </si>
  <si>
    <t>DNR Geoduck Compliance Divers. 30 samples. Shoot density = 1347 shoots m-2. Area estimated at 160 m2</t>
  </si>
  <si>
    <t>DNR snorkel monitoring. 32 samples of shoot density counted in 0.0625 m2 quadrats. Area estimated from drone imagery.</t>
  </si>
  <si>
    <t>DNR snorkel monitoring. 20 samples of shoot density counted in 0.0625 m2 quadrats. Area estimated from drone imagery.</t>
  </si>
  <si>
    <t>DNR Geoduck Compliance Divers. 27 samples. Shoot density = 159 shoots m-2, area not estimated</t>
  </si>
  <si>
    <t>DNR snorkel monitoring. 5 samples. Shoot density = 207 m-2. Area estimated in aerial imagery.</t>
  </si>
  <si>
    <t>DNR snorkel monitoring. Shoot density not measured. Very few patches of Zm.</t>
  </si>
  <si>
    <t>DNR snorkel monitoring. Shoot density measured at a few patches of Zm.</t>
  </si>
  <si>
    <t>DNR Geoduck Compliance Divers. 32 samples. Shoot density = 266 shoots m-2, area not estimated</t>
  </si>
  <si>
    <t xml:space="preserve">DNR snorkel monitoring. 30 samples. Shoot density = 65 m-2. Area not estimated. </t>
  </si>
  <si>
    <t>DNR Geoduck Compliance Divers. 30 samples. Shoot density = 62 shoots m-2, area not estimated</t>
  </si>
  <si>
    <t>DNR snorkel monitoring. Shoot density not measured - too few patches.</t>
  </si>
  <si>
    <t>DNR Geoduck Compliance Divers. 33 samples. Shoot density = 209 shoots m-2, area not estimated</t>
  </si>
  <si>
    <t xml:space="preserve">DNR snorkel monitoring. 30 samples. Shoot density = 107 m-2. Area not estimated. </t>
  </si>
  <si>
    <t>DNR Geoduck Compliance Divers. 30 samples. Shoot density = 141 shoots m-2, area not estimated</t>
  </si>
  <si>
    <t>status area estimated at 60% of 9m x 4m patch; 4 random 0.25 m2 plots sampled</t>
  </si>
  <si>
    <t>DNR snorkel monitoring. Shoot density not measured. Very few patches of Zm. Patch is about 2 m x 8 m in size. All Rocky Bay Zm.  Photos in folder 2020_18-22_Jul. GOPRO893-947.</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</si>
  <si>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</si>
  <si>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</si>
  <si>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</si>
  <si>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Site covered in thick algae. No Zm present.</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</si>
  <si>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</si>
  <si>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</si>
  <si>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Less algae, small plants, sparse along the lines, ~50% survival though maybe more of the lines had eelgrass thank he MID site. Plants in winter condition.</t>
  </si>
  <si>
    <t>PNNL diver surveyed 30, 0.25 m2 quadrats systematically with a random start throughout row of rebar. Moon snail on transect.  Crabs in area.  No Zm found in test plot or lg scale plot.  All three screw anchors pulled.  Site failed.</t>
  </si>
  <si>
    <t>observed patchy eelgrass. Lots of red algae (gracilaria?) looks like it may have gotten caught on eelgrass. Lots of bare areas but patches had good survival. Winter condition for plants.</t>
  </si>
  <si>
    <t>PNNL diver surveyed 80, 0.25 m2 quadrats systematically with a random start throughout row of rebar.</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</si>
  <si>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</si>
  <si>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observed more consistent eelgrass than West site but plants were small. Maybe 50% survival. Could be plants are in winter condition and will "perk up" come spring.</t>
  </si>
  <si>
    <t>PNNL diver surveyed 35, 0.25 m2 quadrats systematically with a random start throughout row of rebar. Test plot looks good.</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</si>
  <si>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</si>
  <si>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some survival, fair number of snails, mixed with algae and diatoms, plants are green and longer than east site and similar to west site</t>
  </si>
  <si>
    <t>too much algae to get accurate count, at least 28 shoots</t>
  </si>
  <si>
    <t>little bit of exposure, some survival in every line, not the healthiest but definitely green</t>
  </si>
  <si>
    <t>screw anchors removed</t>
  </si>
  <si>
    <t>rebar exposed, one rebar outside plot with ~8 shoots attached. A lot of diatoms everywhere. Moderate survival</t>
  </si>
  <si>
    <t>no rooted eelgrass; car tire on south side of plot; coarse sand; some ulva</t>
  </si>
  <si>
    <t>Rebar no longer in rows. Rebar is moving around a lot but still growing eelgrass. Sed more consolidated than previous surveys but still can stick finger in to first knuckle. 2nd and 3rd rows all mixed up so counted together.</t>
  </si>
  <si>
    <t>lots of rebar on surface; ulva and lg brown algae; exposed rhizomes on eelgrass present</t>
  </si>
  <si>
    <t>DNR snorkel survey, recovered 15 rebar. Need to find 12 more during next low tide series.</t>
  </si>
  <si>
    <t>Eelgrass looks good, no algae in the eelgrass, but algae nearby. Julia Ledbetter &amp; Lauren Johnson.</t>
  </si>
  <si>
    <t>Eelgrass looks good. Assessed during sensor swap. Jeff Gaeckle, Natalie Gaeckle, and Fred Short.</t>
  </si>
  <si>
    <t>Quick check on the 2021 transplant effort with Danielle Claar. Found 3 eelgrass shoots. Cleared site of some competing macroalgae. Checked and cleaned light sensor. Encouraged that 3 plants were remaining, but wish there were more.</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</si>
  <si>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</si>
  <si>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</si>
  <si>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</si>
  <si>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</si>
  <si>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Lisa Ferrier visited the site at low tide (-1.2 m, MLLW) and took photos of the Myrtle Edwards Park 1 site just north of the light sensor.</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</si>
  <si>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</si>
  <si>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Visited Myrtle Edwards on 8/9/2022 to swap sensor at test plot 1 and successfully did so. Could not evaluate test transplants at test plot 2 due to poor water quality. Visibility was terrible.</t>
  </si>
  <si>
    <t>Lisa Ferrier was on site but did not search for these plants.</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</si>
  <si>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</si>
  <si>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JG &amp; Fred Short visited the site to swap the environmental sensor. There were 8 plants present (photos taken)</t>
  </si>
  <si>
    <t>DNR snorkel monitoring. No Zm found in 4 corner markers of test-transplant site.</t>
  </si>
  <si>
    <t>Zm monitored using SeaAll video system. Plants looked in good condition with some macroalgae present.</t>
  </si>
  <si>
    <t xml:space="preserve">only 4 dying Zm shoots found. Site covered with thick ulva. Recovered biodegradable stakes and other ground tackle. </t>
  </si>
  <si>
    <t>DNR snorkel monitoring. No Zm observed. Survey was not 100% thorough due to poor visibility and lack of SCUBA.</t>
  </si>
  <si>
    <t>DNR snorkel monitoring. Zm looked great and mixed with natural Zm.</t>
  </si>
  <si>
    <t>poor; pulled screw anchors</t>
  </si>
  <si>
    <t>DNR snorkel monitoring. Looked better than site #3. Water quality better than other sites.</t>
  </si>
  <si>
    <t>DNR snorkel monitoring. Few plants remaining</t>
  </si>
  <si>
    <t>DNR snorkel monitoring. Tough to find Zm. Few plants remaining. Lots of sea snot in water.</t>
  </si>
  <si>
    <t>poor; lots of snails on plants, small spindly plants. Left screw anchors.</t>
  </si>
  <si>
    <t>poor; lots of clams, moon snails, and snails on plants</t>
  </si>
  <si>
    <t>Zm appeared to have been decimated by crabs. Evidence of burrowing shrimp as well. Rebar was sunken into sediment. Found all but 3 rebar.</t>
  </si>
  <si>
    <t>Zm gone, collected rebar. Lots of crabs present. Notes in Julia Ledbetter's field book.</t>
  </si>
  <si>
    <t>Crabs destroyed the eelgrass test transplants.</t>
  </si>
  <si>
    <t>Zm appeared to have been decimated by crabs. Evidence of burrowing shrimp as well. Rebar was sunken into sediment. Found and removed all rebar.</t>
  </si>
  <si>
    <t>DNR snorkel monitoring. Deep plants were heavily silted.</t>
  </si>
  <si>
    <t xml:space="preserve">poor; Fines with lots of biological activity </t>
  </si>
  <si>
    <t>DNR snorkel monitoring. Shallow plants looked good but water was very murky/muddy.</t>
  </si>
  <si>
    <t>few shoots inside plot, more outside plot. More nearby but looks like a mix of Zm and Zj. Sediment very fine, makes plumes in water when hits the bottom.</t>
  </si>
  <si>
    <t>all anchors removed</t>
  </si>
  <si>
    <t>1 or 2 shoots present, all anchors removed</t>
  </si>
  <si>
    <t>hole in middle, lots of filamentous algae clumped, firm substrate</t>
  </si>
  <si>
    <t>found 1 screw anchor, more filamentous algae, not as much eelgrass but looks healthy, rebar appears to be deeper than when planted, Zm to west a bit beyond the planting</t>
  </si>
  <si>
    <t>found both screw anchors, found 1 rebar deeper than thought (~6"), lower density than previous plots, 5-10 plants per clump, plants look healthy</t>
  </si>
  <si>
    <t>found screw anchors, most productive, Zm north of screw anchors dense and long, south of screw anchors sparse</t>
  </si>
  <si>
    <t>DNR snorkel monitoring. No plants observed. Gear removed.</t>
  </si>
  <si>
    <t>DNR snorkel monitoring. Zm test-transplants did not look good. Maybe an algae depositional zone. Not recommended for a large scale transplant.</t>
  </si>
  <si>
    <t>No Zm observed. Thick ulva cover. Removed ground tackle.</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</si>
  <si>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</si>
  <si>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visibility poor (~1'), divers counting by feeling shoots, gracilaria in plot</t>
  </si>
  <si>
    <t>Eelgrass that was present looked good 60-75cm long wide blades, standing upright. Diatoms covering sed but not plants so much.</t>
  </si>
  <si>
    <t>Snorkel survey; shoot count approximate. Plants may be affected by kelp on nearby rock. Surviving plants looked healthy but not as long as at B &amp; C. NOTE: Existing eelgrass near plot A is at ~-7 ft, MLLW; our plantings were at ~-5 ft, MLLW.</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</si>
  <si>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</si>
  <si>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eelgrass healthy, wide, long blades (70-80cm), some epiphyte growth</t>
  </si>
  <si>
    <t>Same notes for Plot A</t>
  </si>
  <si>
    <t>Snorkel survey; shoot count approximate. Twice as many shoots as at C. More contiguous patch, maybe 60% of area with lots of shoots. Shoots &gt;1m in length and healthy. Better than in spring.</t>
  </si>
  <si>
    <t>Sue found screw anchor; (2.0-2.5: 1 shoot inshore); (0-0.5: evenly spread along length, 7 shoots inshore ~70cm tall); 11 shoots total offshore-spread srovn[sp?] plot; no algae; vis~6'; all shoots 0.5-0.75m tall look wide+healthy; some small amt of sheen noticable on water from our engine</t>
  </si>
  <si>
    <t>visibility very poor, Zm length similar to plots A and B, sediment similar to plots A and B</t>
  </si>
  <si>
    <t>Eelgrass wide and green, 20-50 cm tall. Sediment softer than at A and B, penitration to 3-4 inches. Some blades buried in sed at the top or middle of the plants.</t>
  </si>
  <si>
    <t>Snorkel survey; shoot count approximate. Two clumps that survived, shoots ~ arm length and wide. Surviving plants look healthy so maybe not a light issue but maybe sediment.</t>
  </si>
  <si>
    <t>Found screw anchor but NO EELGRASS; 0.5*1m clump of macroalgae -green, string, moundy like in our big tank</t>
  </si>
  <si>
    <t>visibility 1.8m, plants look good, some kelp</t>
  </si>
  <si>
    <t>This plot had 625 shoots to start with so survival lower. More flocculents on surface. Sediment mucky, with clams or other hard substrate underneath. Diatoms on sed and older leaves. leaf tips or middles were buried.</t>
  </si>
  <si>
    <t>Snorkeling and could not find plot. Tried twice and no sign of plants or screw anchor. JV found sheet of something sticking out of sediment. Sediment a little finer and more anoxic than the other plots.</t>
  </si>
  <si>
    <t>shoot lengths variable from 0.25m - 0.5m, plants present at each depth</t>
  </si>
  <si>
    <t>anchors were found but only 1 shoot was found on the 0m transect, bottom is fine and soft</t>
  </si>
  <si>
    <t>DNR snorkel monitoring. Few plants remaining. Observed ghost shrimp! Sensors cleaned.</t>
  </si>
  <si>
    <t>DNR snorkel monitoring. Cound not find Chia plots</t>
  </si>
  <si>
    <t>DNR snorkel monitoring. Cound not find Chia plots.</t>
  </si>
  <si>
    <t>both natural eelgrass and planted shoots looked very good, plants were larger than expected for this time of year, most 0.5m-0.75m, and nice and green, estimated % remaining = 75 - 90% of area planted still had eelgrass</t>
  </si>
  <si>
    <t>Shrimp burrows and mounds throughout the site</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</si>
  <si>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</si>
  <si>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</si>
  <si>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DNR snorkel monitoring. No plants observed. Quite a bit of algae.</t>
  </si>
  <si>
    <t>Sensor swap, eelgrass check. All transplants from 2020, 2021, and 400 shoots from 2022 looked great.</t>
  </si>
  <si>
    <t>Zm appeared to have been decimated by crabs. Evidence of burrowing shrimp as well. Rebar was sunken into sediment. Found and removed all rebar. KC project (IAA 93-097520) Dockton site, all equipment pulled.</t>
  </si>
  <si>
    <t>visited site but could not find Zm because of excessive green algae biomass</t>
  </si>
  <si>
    <t>Zm present, shoot density measured in 18, 0.25m2 quadrats along with canopy heights</t>
  </si>
  <si>
    <t>no Zm, recovered rebar</t>
  </si>
  <si>
    <t>Zm present, shoot density measured in 6, 0.25m2 quadrats along with canopy heights. Bed was quite a bit smaller than previous years. UAS surveys were likely limited due to visibility</t>
  </si>
  <si>
    <t>sensor swap, no Zm observed</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</si>
  <si>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</si>
  <si>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</si>
  <si>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</si>
  <si>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</si>
  <si>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</si>
  <si>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</si>
  <si>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</si>
  <si>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</si>
  <si>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</si>
  <si>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</si>
  <si>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</si>
  <si>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</si>
  <si>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</si>
  <si>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</si>
  <si>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</si>
  <si>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</si>
  <si>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</si>
  <si>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site_name</t>
  </si>
  <si>
    <t>water_body</t>
  </si>
  <si>
    <t>svmp_region</t>
  </si>
  <si>
    <t>svmp_sitecode</t>
  </si>
  <si>
    <t>datum</t>
  </si>
  <si>
    <t>notes</t>
  </si>
  <si>
    <t>Ketron Island NW</t>
  </si>
  <si>
    <t>Central Puget Sound</t>
  </si>
  <si>
    <t>cps1295</t>
  </si>
  <si>
    <t>cps1277</t>
  </si>
  <si>
    <t>Coordinates of the helical anchors marking donor study sites. Donor site was used for large scale transplants at Zangle and Joemma SP in the spring of 2015. Donor site harvest impact study was established at this site too.</t>
  </si>
  <si>
    <t>hdc2253</t>
  </si>
  <si>
    <t>Coordinates of the helical anchors marking donor study sites. Used for Large Scale Planting in Port Gamble Bay</t>
  </si>
  <si>
    <t>cps1967</t>
  </si>
  <si>
    <t>Was originally called Rocky Point and was changed to prevent confusion with the Rocky Point site. Larger plants and higher density of plants</t>
  </si>
  <si>
    <t>Cutts Island sandspit</t>
  </si>
  <si>
    <t>cps2043</t>
  </si>
  <si>
    <t>cps1965</t>
  </si>
  <si>
    <t>Hood Canal</t>
  </si>
  <si>
    <t>flats42</t>
  </si>
  <si>
    <t>San Juan Islands</t>
  </si>
  <si>
    <t>Nelson Bay</t>
  </si>
  <si>
    <t>flats52</t>
  </si>
  <si>
    <t>Wescott Bay</t>
  </si>
  <si>
    <t>flats53</t>
  </si>
  <si>
    <t>Prevost Harbor</t>
  </si>
  <si>
    <t>sjs0335</t>
  </si>
  <si>
    <t>donor site coordinates are offshore from SVMP site</t>
  </si>
  <si>
    <t>flats55</t>
  </si>
  <si>
    <t>South PS</t>
  </si>
  <si>
    <t>cps1271</t>
  </si>
  <si>
    <t>Small plants and more sparse donor site than Windy Bluff. Coordinates of general donor location of the donor site used for PNNL Harstine Island 1 Lg Scale planting.</t>
  </si>
  <si>
    <t>cps2906</t>
  </si>
  <si>
    <t>Sequim</t>
  </si>
  <si>
    <t>N/A</t>
  </si>
  <si>
    <t>PNNL occassionally provides donor stock grown in the large seawater tanks at the Marine Sciences Lab pier</t>
  </si>
  <si>
    <t>Port Orchard Bay</t>
  </si>
  <si>
    <t>Agate Passage</t>
  </si>
  <si>
    <t>cps2186</t>
  </si>
  <si>
    <t>cps1082</t>
  </si>
  <si>
    <t>Just outside Eagle Harbor and south of the Milwaukee dock restoration areas</t>
  </si>
  <si>
    <t>Saratoga Whidbey Basin</t>
  </si>
  <si>
    <t>flats20</t>
  </si>
  <si>
    <t>cps1828</t>
  </si>
  <si>
    <t>Straits</t>
  </si>
  <si>
    <t>sjs2733</t>
  </si>
  <si>
    <t>cps2053</t>
  </si>
  <si>
    <t>date</t>
  </si>
  <si>
    <t>project</t>
  </si>
  <si>
    <t>site</t>
  </si>
  <si>
    <t>site_type</t>
  </si>
  <si>
    <t>assessment_type</t>
  </si>
  <si>
    <t>assessment_method</t>
  </si>
  <si>
    <t>longitude</t>
  </si>
  <si>
    <t>latitude</t>
  </si>
  <si>
    <t>drift_finish_latitude</t>
  </si>
  <si>
    <t>drift_finish_longitude</t>
  </si>
  <si>
    <t>elevation_m_MLLW</t>
  </si>
  <si>
    <t>water_conditions</t>
  </si>
  <si>
    <t>sediment</t>
  </si>
  <si>
    <t>eelgrass_status</t>
  </si>
  <si>
    <t>assessment_status</t>
  </si>
  <si>
    <t>ancillary_data</t>
  </si>
  <si>
    <t>site_location</t>
  </si>
  <si>
    <t>year</t>
  </si>
  <si>
    <t>historical_presence_source</t>
  </si>
  <si>
    <t>planting_geometry</t>
  </si>
  <si>
    <t>SVMP_region</t>
  </si>
  <si>
    <t>project_name</t>
  </si>
  <si>
    <t>funding_source</t>
  </si>
  <si>
    <t>funding_source_program</t>
  </si>
  <si>
    <t>contract_sponsor_number_incoming_funds</t>
  </si>
  <si>
    <t>contract_DNR_number_incoming_funds</t>
  </si>
  <si>
    <t>contractor_name</t>
  </si>
  <si>
    <t>contract_number_outgoing_funds</t>
  </si>
  <si>
    <t>citation</t>
  </si>
  <si>
    <t>activity_type</t>
  </si>
  <si>
    <t>activity_filter</t>
  </si>
  <si>
    <t>planting_date</t>
  </si>
  <si>
    <t>record_retain_drop</t>
  </si>
  <si>
    <t>planting_method</t>
  </si>
  <si>
    <t>parallel_side_m</t>
  </si>
  <si>
    <t>perpendicular_side_m</t>
  </si>
  <si>
    <t>plot_area_m2</t>
  </si>
  <si>
    <t>planted_area_m2</t>
  </si>
  <si>
    <t>effective_area_planted_m2</t>
  </si>
  <si>
    <t>number_planting_units</t>
  </si>
  <si>
    <t>number_shoots</t>
  </si>
  <si>
    <t>plot_shoot_density_per_m2</t>
  </si>
  <si>
    <t>donor_site_name</t>
  </si>
  <si>
    <r>
      <t>(shoots m</t>
    </r>
    <r>
      <rPr>
        <vertAlign val="superscript"/>
        <sz val="10"/>
        <color theme="1"/>
        <rFont val="Aptos Narrow"/>
        <family val="2"/>
        <scheme val="minor"/>
      </rPr>
      <t>-2</t>
    </r>
    <r>
      <rPr>
        <sz val="10"/>
        <color theme="1"/>
        <rFont val="Aptos Narrow"/>
        <family val="2"/>
        <scheme val="minor"/>
      </rPr>
      <t xml:space="preserve"> of planted area)</t>
    </r>
  </si>
  <si>
    <r>
      <t>(area, m</t>
    </r>
    <r>
      <rPr>
        <b/>
        <vertAlign val="superscript"/>
        <sz val="11"/>
        <color theme="1"/>
        <rFont val="Aptos Narrow"/>
        <family val="2"/>
        <scheme val="minor"/>
      </rPr>
      <t>2</t>
    </r>
    <r>
      <rPr>
        <b/>
        <sz val="11"/>
        <color theme="1"/>
        <rFont val="Aptos Narrow"/>
        <family val="2"/>
        <scheme val="minor"/>
      </rPr>
      <t>)</t>
    </r>
  </si>
  <si>
    <r>
      <t>(shoots m</t>
    </r>
    <r>
      <rPr>
        <b/>
        <vertAlign val="superscript"/>
        <sz val="11"/>
        <color theme="1"/>
        <rFont val="Aptos Narrow"/>
        <family val="2"/>
        <scheme val="minor"/>
      </rPr>
      <t>-2</t>
    </r>
    <r>
      <rPr>
        <b/>
        <sz val="11"/>
        <color theme="1"/>
        <rFont val="Aptos Narrow"/>
        <family val="2"/>
        <scheme val="minor"/>
      </rPr>
      <t>)</t>
    </r>
  </si>
  <si>
    <t>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</si>
</sst>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0000"/>
    <numFmt numFmtId="165" formatCode="0.0"/>
    <numFmt numFmtId="166" formatCode="yyyy\-mm\-dd"/>
    <numFmt numFmtId="167" formatCode="_(* #,##0_);_(* \(#,##0\);_(* &quot;-&quot;??_);_(@_)"/>
    <numFmt numFmtId="168" formatCode="0.000000"/>
    <numFmt numFmtId="169" formatCode="0.0%"/>
    <numFmt numFmtId="170" formatCode="0.0000"/>
  </numFmts>
  <fonts count="18" x14ac:knownFonts="1">
    <font>
      <sz val="11"/>
      <color theme="1"/>
      <name val="Aptos Narrow"/>
      <family val="2"/>
      <scheme val="minor"/>
    </font>
    <font>
      <sz val="11"/>
      <color theme="1"/>
      <name val="Aptos Narrow"/>
      <family val="2"/>
      <scheme val="minor"/>
    </font>
    <font>
      <sz val="11"/>
      <color rgb="FF9C0006"/>
      <name val="Aptos Narrow"/>
      <family val="2"/>
      <scheme val="minor"/>
    </font>
    <font>
      <b/>
      <sz val="11"/>
      <color theme="1"/>
      <name val="Aptos Narrow"/>
      <family val="2"/>
      <scheme val="minor"/>
    </font>
    <font>
      <b/>
      <sz val="10"/>
      <color theme="1"/>
      <name val="Aptos Narrow"/>
      <family val="2"/>
      <scheme val="minor"/>
    </font>
    <font>
      <sz val="11"/>
      <name val="Aptos Narrow"/>
      <family val="2"/>
      <scheme val="minor"/>
    </font>
    <font>
      <sz val="11"/>
      <color rgb="FF000000"/>
      <name val="Calibri"/>
      <family val="2"/>
    </font>
    <font>
      <sz val="11"/>
      <name val="Calibri"/>
      <family val="2"/>
    </font>
    <font>
      <sz val="9"/>
      <color rgb="FF000000"/>
      <name val="Aptos Narrow"/>
      <family val="2"/>
      <scheme val="minor"/>
    </font>
    <font>
      <sz val="11"/>
      <color rgb="FF000000"/>
      <name val="Aptos Narrow"/>
      <family val="2"/>
      <scheme val="minor"/>
    </font>
    <font>
      <sz val="11"/>
      <color theme="1"/>
      <name val="Calibri"/>
      <family val="2"/>
    </font>
    <font>
      <b/>
      <sz val="11"/>
      <color rgb="FFFF0000"/>
      <name val="Aptos Narrow"/>
      <family val="2"/>
      <scheme val="minor"/>
    </font>
    <font>
      <sz val="10"/>
      <color theme="1"/>
      <name val="Aptos Narrow"/>
      <family val="2"/>
      <scheme val="minor"/>
    </font>
    <font>
      <vertAlign val="superscript"/>
      <sz val="11"/>
      <color rgb="FF000000"/>
      <name val="Calibri"/>
      <family val="2"/>
    </font>
    <font>
      <vertAlign val="superscript"/>
      <sz val="11"/>
      <color theme="1"/>
      <name val="Aptos Narrow"/>
      <family val="2"/>
      <scheme val="minor"/>
    </font>
    <font>
      <sz val="11"/>
      <color rgb="FF9C6500"/>
      <name val="Aptos Narrow"/>
      <family val="2"/>
      <scheme val="minor"/>
    </font>
    <font>
      <vertAlign val="superscript"/>
      <sz val="10"/>
      <color theme="1"/>
      <name val="Aptos Narrow"/>
      <family val="2"/>
      <scheme val="minor"/>
    </font>
    <font>
      <b/>
      <vertAlign val="superscript"/>
      <sz val="11"/>
      <color theme="1"/>
      <name val="Aptos Narrow"/>
      <family val="2"/>
      <scheme val="minor"/>
    </font>
  </fonts>
  <fills count="11">
    <fill>
      <patternFill patternType="none"/>
    </fill>
    <fill>
      <patternFill patternType="gray125"/>
    </fill>
    <fill>
      <patternFill patternType="solid">
        <fgColor rgb="FFFFC7CE"/>
      </patternFill>
    </fill>
    <fill>
      <patternFill patternType="solid">
        <fgColor rgb="FFFFEB9C"/>
      </patternFill>
    </fill>
    <fill>
      <patternFill patternType="solid">
        <fgColor theme="0" tint="-0.249977111117893"/>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FFFF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s>
  <borders count="6">
    <border>
      <left/>
      <right/>
      <top/>
      <bottom/>
      <diagonal/>
    </border>
    <border>
      <left style="thin">
        <color theme="8"/>
      </left>
      <right style="thin">
        <color theme="8"/>
      </right>
      <top style="thin">
        <color theme="8"/>
      </top>
      <bottom style="thin">
        <color theme="8"/>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hair">
        <color indexed="64"/>
      </right>
      <top/>
      <bottom/>
      <diagonal/>
    </border>
    <border>
      <left style="hair">
        <color indexed="64"/>
      </left>
      <right/>
      <top/>
      <bottom/>
      <diagonal/>
    </border>
    <border>
      <left style="hair">
        <color indexed="64"/>
      </left>
      <right style="hair">
        <color indexed="64"/>
      </right>
      <top style="hair">
        <color indexed="64"/>
      </top>
      <bottom style="hair">
        <color indexed="64"/>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6" fillId="0" borderId="0"/>
    <xf numFmtId="0" fontId="6" fillId="0" borderId="0"/>
    <xf numFmtId="0" fontId="15" fillId="3" borderId="0" applyNumberFormat="0" applyBorder="0" applyAlignment="0" applyProtection="0"/>
  </cellStyleXfs>
  <cellXfs count="212">
    <xf numFmtId="0" fontId="0" fillId="0" borderId="0" xfId="0"/>
    <xf numFmtId="0" fontId="3" fillId="4" borderId="0" xfId="0" applyFont="1" applyFill="1" applyAlignment="1">
      <alignment horizontal="center" vertical="center"/>
    </xf>
    <xf numFmtId="0" fontId="3" fillId="0" borderId="0" xfId="0" applyFont="1"/>
    <xf numFmtId="166" fontId="5" fillId="0" borderId="0" xfId="0" applyNumberFormat="1" applyFont="1"/>
    <xf numFmtId="0" fontId="5" fillId="0" borderId="0" xfId="3" applyFont="1" applyFill="1" applyAlignment="1">
      <alignment horizontal="center"/>
    </xf>
    <xf numFmtId="0" fontId="0" fillId="0" borderId="0" xfId="0" applyAlignment="1">
      <alignment horizontal="center" vertical="center"/>
    </xf>
    <xf numFmtId="164" fontId="0" fillId="0" borderId="0" xfId="0" applyNumberFormat="1" applyAlignment="1">
      <alignment horizontal="center" vertical="center"/>
    </xf>
    <xf numFmtId="165" fontId="0" fillId="0" borderId="0" xfId="0" applyNumberFormat="1" applyAlignment="1">
      <alignment horizontal="center" vertical="center"/>
    </xf>
    <xf numFmtId="0" fontId="0" fillId="0" borderId="0" xfId="0" applyAlignment="1">
      <alignment horizontal="left"/>
    </xf>
    <xf numFmtId="0" fontId="5" fillId="0" borderId="0" xfId="0" applyFont="1"/>
    <xf numFmtId="0" fontId="4" fillId="0" borderId="0" xfId="0" applyFont="1"/>
    <xf numFmtId="0" fontId="5" fillId="0" borderId="0" xfId="0" applyFont="1" applyAlignment="1">
      <alignment horizontal="left"/>
    </xf>
    <xf numFmtId="0" fontId="5" fillId="0" borderId="0" xfId="3" applyFont="1" applyFill="1" applyBorder="1" applyAlignment="1">
      <alignment horizontal="center"/>
    </xf>
    <xf numFmtId="164" fontId="5" fillId="0" borderId="0" xfId="0" applyNumberFormat="1" applyFont="1" applyAlignment="1">
      <alignment horizontal="center"/>
    </xf>
    <xf numFmtId="164" fontId="5" fillId="0" borderId="0" xfId="3" applyNumberFormat="1" applyFont="1" applyFill="1" applyBorder="1" applyAlignment="1">
      <alignment horizontal="center"/>
    </xf>
    <xf numFmtId="0" fontId="5" fillId="0" borderId="0" xfId="0" applyFont="1" applyAlignment="1">
      <alignment horizontal="center"/>
    </xf>
    <xf numFmtId="165" fontId="5" fillId="0" borderId="0" xfId="3" applyNumberFormat="1" applyFont="1" applyFill="1" applyBorder="1" applyAlignment="1">
      <alignment horizontal="center"/>
    </xf>
    <xf numFmtId="0" fontId="5" fillId="0" borderId="0" xfId="0" applyFont="1" applyAlignment="1">
      <alignment wrapText="1"/>
    </xf>
    <xf numFmtId="0" fontId="5" fillId="0" borderId="0" xfId="3" applyFont="1" applyFill="1" applyBorder="1"/>
    <xf numFmtId="0" fontId="5" fillId="0" borderId="0" xfId="3" applyFont="1" applyFill="1" applyBorder="1" applyAlignment="1">
      <alignment horizontal="center" vertical="center"/>
    </xf>
    <xf numFmtId="165" fontId="5" fillId="0" borderId="0" xfId="0" applyNumberFormat="1" applyFont="1" applyAlignment="1">
      <alignment horizontal="center"/>
    </xf>
    <xf numFmtId="0" fontId="5" fillId="0" borderId="0" xfId="0" applyFont="1" applyAlignment="1">
      <alignment horizontal="left" wrapText="1"/>
    </xf>
    <xf numFmtId="0" fontId="0" fillId="0" borderId="0" xfId="0" applyAlignment="1">
      <alignment horizontal="left" vertical="center"/>
    </xf>
    <xf numFmtId="0" fontId="5" fillId="0" borderId="0" xfId="0" applyFont="1" applyAlignment="1">
      <alignment horizontal="center" vertical="center"/>
    </xf>
    <xf numFmtId="164" fontId="5" fillId="0" borderId="0" xfId="0" applyNumberFormat="1" applyFont="1" applyAlignment="1">
      <alignment horizontal="center" vertical="center"/>
    </xf>
    <xf numFmtId="165" fontId="5" fillId="0" borderId="0" xfId="0" applyNumberFormat="1" applyFont="1" applyAlignment="1">
      <alignment horizontal="center" vertical="center"/>
    </xf>
    <xf numFmtId="0" fontId="5" fillId="0" borderId="0" xfId="0" applyFont="1" applyAlignment="1">
      <alignment horizontal="left" vertical="center"/>
    </xf>
    <xf numFmtId="164" fontId="5" fillId="0" borderId="0" xfId="0" applyNumberFormat="1" applyFont="1" applyAlignment="1">
      <alignment horizontal="left" wrapText="1"/>
    </xf>
    <xf numFmtId="164" fontId="5" fillId="0" borderId="0" xfId="0" applyNumberFormat="1" applyFont="1" applyAlignment="1">
      <alignment horizontal="center" vertical="top"/>
    </xf>
    <xf numFmtId="1" fontId="5" fillId="0" borderId="0" xfId="0" applyNumberFormat="1" applyFont="1" applyAlignment="1">
      <alignment wrapText="1"/>
    </xf>
    <xf numFmtId="0" fontId="5" fillId="0" borderId="0" xfId="0" applyFont="1" applyAlignment="1">
      <alignment vertical="center" wrapText="1"/>
    </xf>
    <xf numFmtId="164" fontId="5" fillId="0" borderId="0" xfId="3" applyNumberFormat="1" applyFont="1" applyFill="1" applyBorder="1" applyAlignment="1">
      <alignment horizontal="center" vertical="top"/>
    </xf>
    <xf numFmtId="0" fontId="5" fillId="0" borderId="0" xfId="3" applyFont="1" applyFill="1" applyBorder="1" applyAlignment="1">
      <alignment wrapText="1"/>
    </xf>
    <xf numFmtId="0" fontId="5" fillId="0" borderId="0" xfId="3" applyFont="1" applyFill="1" applyAlignment="1">
      <alignment horizontal="center" vertical="center"/>
    </xf>
    <xf numFmtId="1" fontId="5" fillId="0" borderId="0" xfId="0" applyNumberFormat="1" applyFont="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0" fontId="0" fillId="0" borderId="0" xfId="0" applyAlignment="1">
      <alignment wrapText="1"/>
    </xf>
    <xf numFmtId="0" fontId="3" fillId="4" borderId="0" xfId="0" applyFont="1" applyFill="1" applyAlignment="1">
      <alignment horizontal="center" vertical="center" wrapText="1"/>
    </xf>
    <xf numFmtId="0" fontId="3" fillId="4" borderId="0" xfId="0" applyFont="1" applyFill="1" applyAlignment="1">
      <alignment horizontal="left" vertical="center"/>
    </xf>
    <xf numFmtId="0" fontId="0" fillId="5" borderId="1" xfId="0" applyFill="1" applyBorder="1"/>
    <xf numFmtId="166" fontId="0" fillId="0" borderId="0" xfId="0" applyNumberFormat="1"/>
    <xf numFmtId="164" fontId="0" fillId="0" borderId="0" xfId="0" applyNumberFormat="1"/>
    <xf numFmtId="165" fontId="0" fillId="0" borderId="0" xfId="0" applyNumberFormat="1"/>
    <xf numFmtId="3" fontId="0" fillId="0" borderId="0" xfId="0" applyNumberFormat="1"/>
    <xf numFmtId="2" fontId="5" fillId="0" borderId="0" xfId="0" applyNumberFormat="1" applyFont="1"/>
    <xf numFmtId="1" fontId="0" fillId="0" borderId="0" xfId="0" applyNumberFormat="1"/>
    <xf numFmtId="0" fontId="0" fillId="0" borderId="0" xfId="0" applyAlignment="1">
      <alignment vertical="center"/>
    </xf>
    <xf numFmtId="164" fontId="5" fillId="0" borderId="0" xfId="0" applyNumberFormat="1" applyFont="1"/>
    <xf numFmtId="164" fontId="0" fillId="0" borderId="0" xfId="0" applyNumberFormat="1" applyAlignment="1">
      <alignment vertical="center"/>
    </xf>
    <xf numFmtId="0" fontId="6" fillId="0" borderId="0" xfId="0" applyFont="1" applyAlignment="1">
      <alignment horizontal="left" vertical="center"/>
    </xf>
    <xf numFmtId="0" fontId="0" fillId="0" borderId="0" xfId="0" quotePrefix="1"/>
    <xf numFmtId="1" fontId="0" fillId="0" borderId="0" xfId="1" applyNumberFormat="1" applyFont="1" applyBorder="1"/>
    <xf numFmtId="0" fontId="5" fillId="0" borderId="0" xfId="0" applyFont="1" applyAlignment="1">
      <alignment vertical="center"/>
    </xf>
    <xf numFmtId="165" fontId="5" fillId="0" borderId="0" xfId="0" applyNumberFormat="1" applyFont="1"/>
    <xf numFmtId="1" fontId="5" fillId="0" borderId="0" xfId="0" applyNumberFormat="1" applyFont="1"/>
    <xf numFmtId="1" fontId="5" fillId="0" borderId="0" xfId="1" applyNumberFormat="1" applyFont="1" applyFill="1" applyBorder="1"/>
    <xf numFmtId="0" fontId="7" fillId="0" borderId="0" xfId="0" applyFont="1" applyAlignment="1">
      <alignment horizontal="left" vertical="center"/>
    </xf>
    <xf numFmtId="166" fontId="5" fillId="0" borderId="0" xfId="3" applyNumberFormat="1" applyFont="1" applyFill="1"/>
    <xf numFmtId="1" fontId="0" fillId="0" borderId="0" xfId="1" applyNumberFormat="1" applyFont="1" applyFill="1" applyBorder="1"/>
    <xf numFmtId="3" fontId="0" fillId="0" borderId="0" xfId="1" applyNumberFormat="1" applyFont="1" applyFill="1" applyBorder="1"/>
    <xf numFmtId="0" fontId="5" fillId="0" borderId="0" xfId="3" applyFont="1" applyFill="1"/>
    <xf numFmtId="0" fontId="2" fillId="0" borderId="0" xfId="3" applyFill="1"/>
    <xf numFmtId="164" fontId="5" fillId="0" borderId="0" xfId="3" applyNumberFormat="1" applyFont="1" applyFill="1"/>
    <xf numFmtId="165" fontId="5" fillId="0" borderId="0" xfId="3" applyNumberFormat="1" applyFont="1" applyFill="1"/>
    <xf numFmtId="1" fontId="5" fillId="0" borderId="0" xfId="3" applyNumberFormat="1" applyFont="1" applyFill="1"/>
    <xf numFmtId="1" fontId="5" fillId="0" borderId="0" xfId="1" applyNumberFormat="1" applyFont="1" applyFill="1"/>
    <xf numFmtId="0" fontId="5" fillId="0" borderId="0" xfId="3" applyFont="1" applyFill="1" applyAlignment="1">
      <alignment horizontal="left"/>
    </xf>
    <xf numFmtId="0" fontId="5" fillId="0" borderId="0" xfId="3" quotePrefix="1" applyFont="1" applyFill="1"/>
    <xf numFmtId="3" fontId="0" fillId="0" borderId="0" xfId="1" applyNumberFormat="1" applyFont="1" applyBorder="1"/>
    <xf numFmtId="0" fontId="7" fillId="0" borderId="0" xfId="0" applyFont="1"/>
    <xf numFmtId="0" fontId="7" fillId="0" borderId="0" xfId="0" applyFont="1" applyAlignment="1">
      <alignment horizontal="left"/>
    </xf>
    <xf numFmtId="165" fontId="8" fillId="0" borderId="0" xfId="0" applyNumberFormat="1" applyFont="1" applyAlignment="1">
      <alignment vertical="center"/>
    </xf>
    <xf numFmtId="1" fontId="5" fillId="0" borderId="0" xfId="3" applyNumberFormat="1" applyFont="1" applyFill="1" applyBorder="1"/>
    <xf numFmtId="2" fontId="5" fillId="0" borderId="0" xfId="0" applyNumberFormat="1" applyFont="1" applyAlignment="1">
      <alignment vertical="top"/>
    </xf>
    <xf numFmtId="0" fontId="9" fillId="0" borderId="0" xfId="0" applyFont="1" applyAlignment="1">
      <alignment horizontal="right" vertical="center"/>
    </xf>
    <xf numFmtId="0" fontId="0" fillId="0" borderId="0" xfId="0" applyAlignment="1">
      <alignment horizontal="right"/>
    </xf>
    <xf numFmtId="1" fontId="0" fillId="0" borderId="0" xfId="0" applyNumberFormat="1" applyAlignment="1">
      <alignment horizontal="right"/>
    </xf>
    <xf numFmtId="0" fontId="5" fillId="0" borderId="0" xfId="0" quotePrefix="1" applyFont="1"/>
    <xf numFmtId="0" fontId="6" fillId="0" borderId="0" xfId="0" applyFont="1" applyAlignment="1">
      <alignment horizontal="left" vertical="center" wrapText="1"/>
    </xf>
    <xf numFmtId="0" fontId="0" fillId="0" borderId="0" xfId="1" applyNumberFormat="1" applyFont="1" applyBorder="1"/>
    <xf numFmtId="167" fontId="0" fillId="0" borderId="0" xfId="1" applyNumberFormat="1" applyFont="1" applyBorder="1"/>
    <xf numFmtId="3" fontId="5" fillId="0" borderId="0" xfId="3" applyNumberFormat="1" applyFont="1" applyFill="1"/>
    <xf numFmtId="166" fontId="5" fillId="0" borderId="0" xfId="3" applyNumberFormat="1" applyFont="1" applyFill="1" applyBorder="1"/>
    <xf numFmtId="164" fontId="5" fillId="0" borderId="0" xfId="3" applyNumberFormat="1" applyFont="1" applyFill="1" applyBorder="1" applyAlignment="1"/>
    <xf numFmtId="0" fontId="5" fillId="0" borderId="0" xfId="3" applyFont="1" applyFill="1" applyBorder="1" applyAlignment="1">
      <alignment vertical="center"/>
    </xf>
    <xf numFmtId="165" fontId="5" fillId="0" borderId="0" xfId="3" applyNumberFormat="1" applyFont="1" applyFill="1" applyBorder="1"/>
    <xf numFmtId="0" fontId="5" fillId="0" borderId="0" xfId="3" applyFont="1" applyFill="1" applyAlignment="1">
      <alignment horizontal="left" vertical="center"/>
    </xf>
    <xf numFmtId="0" fontId="5" fillId="0" borderId="0" xfId="3" quotePrefix="1" applyFont="1" applyFill="1" applyBorder="1"/>
    <xf numFmtId="0" fontId="9" fillId="0" borderId="0" xfId="0" applyFont="1" applyAlignment="1">
      <alignment horizontal="left" vertical="center"/>
    </xf>
    <xf numFmtId="2" fontId="0" fillId="0" borderId="0" xfId="0" applyNumberFormat="1"/>
    <xf numFmtId="0" fontId="11" fillId="0" borderId="0" xfId="0" applyFont="1"/>
    <xf numFmtId="0" fontId="5" fillId="6" borderId="0" xfId="0" applyFont="1" applyFill="1"/>
    <xf numFmtId="0" fontId="0" fillId="5" borderId="0" xfId="0" applyFill="1"/>
    <xf numFmtId="0" fontId="0" fillId="6" borderId="0" xfId="0" applyFill="1"/>
    <xf numFmtId="1" fontId="3" fillId="4" borderId="0" xfId="0" applyNumberFormat="1" applyFont="1" applyFill="1" applyAlignment="1">
      <alignment horizontal="center" vertical="center" wrapText="1"/>
    </xf>
    <xf numFmtId="9" fontId="0" fillId="0" borderId="0" xfId="2" applyFont="1" applyFill="1"/>
    <xf numFmtId="0" fontId="12" fillId="0" borderId="0" xfId="0" applyFont="1"/>
    <xf numFmtId="166" fontId="0" fillId="5" borderId="0" xfId="0" applyNumberFormat="1" applyFill="1"/>
    <xf numFmtId="0" fontId="0" fillId="5" borderId="0" xfId="0" applyFill="1" applyAlignment="1">
      <alignment horizontal="center"/>
    </xf>
    <xf numFmtId="0" fontId="0" fillId="5" borderId="0" xfId="0" applyFill="1" applyAlignment="1">
      <alignment horizontal="right"/>
    </xf>
    <xf numFmtId="165" fontId="0" fillId="5" borderId="0" xfId="0" applyNumberFormat="1" applyFill="1"/>
    <xf numFmtId="9" fontId="0" fillId="5" borderId="0" xfId="2" applyFont="1" applyFill="1"/>
    <xf numFmtId="9" fontId="0" fillId="5" borderId="0" xfId="2" applyFont="1" applyFill="1" applyAlignment="1">
      <alignment horizontal="center"/>
    </xf>
    <xf numFmtId="9" fontId="0" fillId="0" borderId="0" xfId="2" applyFont="1" applyFill="1" applyAlignment="1"/>
    <xf numFmtId="169" fontId="0" fillId="0" borderId="0" xfId="2" applyNumberFormat="1" applyFont="1" applyFill="1"/>
    <xf numFmtId="0" fontId="7" fillId="0" borderId="0" xfId="4" applyFont="1"/>
    <xf numFmtId="166" fontId="7" fillId="0" borderId="0" xfId="4" applyNumberFormat="1" applyFont="1"/>
    <xf numFmtId="165" fontId="7" fillId="0" borderId="0" xfId="4" applyNumberFormat="1" applyFont="1"/>
    <xf numFmtId="0" fontId="6" fillId="0" borderId="0" xfId="4"/>
    <xf numFmtId="1" fontId="7" fillId="0" borderId="0" xfId="4" applyNumberFormat="1" applyFont="1"/>
    <xf numFmtId="166" fontId="0" fillId="7" borderId="0" xfId="0" applyNumberFormat="1" applyFill="1"/>
    <xf numFmtId="0" fontId="0" fillId="7" borderId="0" xfId="0" applyFill="1" applyAlignment="1">
      <alignment horizontal="right"/>
    </xf>
    <xf numFmtId="0" fontId="0" fillId="7" borderId="0" xfId="0" applyFill="1"/>
    <xf numFmtId="0" fontId="6" fillId="0" borderId="0" xfId="0" applyFont="1" applyAlignment="1">
      <alignment horizontal="right" vertical="center"/>
    </xf>
    <xf numFmtId="166" fontId="6" fillId="0" borderId="0" xfId="4" applyNumberFormat="1"/>
    <xf numFmtId="165" fontId="6" fillId="0" borderId="0" xfId="4" applyNumberFormat="1"/>
    <xf numFmtId="9" fontId="0" fillId="0" borderId="0" xfId="2" applyFont="1" applyFill="1" applyAlignment="1">
      <alignment horizontal="left"/>
    </xf>
    <xf numFmtId="14" fontId="0" fillId="0" borderId="0" xfId="0" applyNumberFormat="1"/>
    <xf numFmtId="165" fontId="7" fillId="7" borderId="0" xfId="4" applyNumberFormat="1" applyFont="1" applyFill="1"/>
    <xf numFmtId="1" fontId="7" fillId="7" borderId="0" xfId="4" applyNumberFormat="1" applyFont="1" applyFill="1"/>
    <xf numFmtId="0" fontId="0" fillId="7" borderId="0" xfId="0" applyFill="1" applyAlignment="1">
      <alignment horizontal="center"/>
    </xf>
    <xf numFmtId="1" fontId="0" fillId="7" borderId="0" xfId="0" applyNumberFormat="1" applyFill="1"/>
    <xf numFmtId="165" fontId="0" fillId="7" borderId="0" xfId="0" applyNumberFormat="1" applyFill="1"/>
    <xf numFmtId="9" fontId="0" fillId="7" borderId="0" xfId="2" applyFont="1" applyFill="1"/>
    <xf numFmtId="0" fontId="0" fillId="7" borderId="0" xfId="0" applyFill="1" applyAlignment="1">
      <alignment horizontal="left"/>
    </xf>
    <xf numFmtId="166" fontId="5" fillId="7" borderId="0" xfId="3" applyNumberFormat="1" applyFont="1" applyFill="1"/>
    <xf numFmtId="0" fontId="6" fillId="7" borderId="0" xfId="4" applyFill="1"/>
    <xf numFmtId="0" fontId="0" fillId="8" borderId="0" xfId="0" applyFill="1"/>
    <xf numFmtId="9" fontId="0" fillId="0" borderId="0" xfId="2" applyFont="1" applyFill="1" applyAlignment="1">
      <alignment horizontal="center"/>
    </xf>
    <xf numFmtId="166" fontId="0" fillId="8" borderId="0" xfId="0" applyNumberFormat="1" applyFill="1"/>
    <xf numFmtId="165"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2" applyFont="1" applyFill="1"/>
    <xf numFmtId="0" fontId="0" fillId="8" borderId="0" xfId="0" applyFill="1" applyAlignment="1">
      <alignment horizontal="left"/>
    </xf>
    <xf numFmtId="0" fontId="6" fillId="0" borderId="0" xfId="0" applyFont="1" applyAlignment="1">
      <alignment horizontal="left"/>
    </xf>
    <xf numFmtId="9" fontId="0" fillId="5" borderId="0" xfId="2" applyFont="1" applyFill="1" applyAlignment="1">
      <alignment horizontal="left"/>
    </xf>
    <xf numFmtId="0" fontId="5" fillId="7" borderId="0" xfId="3" applyFont="1" applyFill="1"/>
    <xf numFmtId="0" fontId="5" fillId="7" borderId="0" xfId="0" applyFont="1" applyFill="1"/>
    <xf numFmtId="0" fontId="6" fillId="7" borderId="0" xfId="0" applyFont="1" applyFill="1" applyAlignment="1">
      <alignment horizontal="right" vertical="center"/>
    </xf>
    <xf numFmtId="165" fontId="0" fillId="0" borderId="0" xfId="1" applyNumberFormat="1" applyFont="1" applyFill="1" applyBorder="1"/>
    <xf numFmtId="165" fontId="0" fillId="7" borderId="0" xfId="1" applyNumberFormat="1" applyFont="1" applyFill="1" applyBorder="1"/>
    <xf numFmtId="1" fontId="0" fillId="7" borderId="0" xfId="1" applyNumberFormat="1" applyFont="1" applyFill="1" applyBorder="1"/>
    <xf numFmtId="0" fontId="6" fillId="0" borderId="0" xfId="0" applyFont="1"/>
    <xf numFmtId="0" fontId="0" fillId="0" borderId="2" xfId="0" applyBorder="1"/>
    <xf numFmtId="166" fontId="0" fillId="0" borderId="2" xfId="0" applyNumberFormat="1" applyBorder="1"/>
    <xf numFmtId="0" fontId="0" fillId="0" borderId="2" xfId="0" applyBorder="1" applyAlignment="1">
      <alignment horizontal="center"/>
    </xf>
    <xf numFmtId="0" fontId="0" fillId="0" borderId="2" xfId="0" applyBorder="1" applyAlignment="1">
      <alignment horizontal="right"/>
    </xf>
    <xf numFmtId="165" fontId="0" fillId="0" borderId="2" xfId="0" applyNumberFormat="1" applyBorder="1"/>
    <xf numFmtId="9" fontId="0" fillId="0" borderId="2" xfId="2" applyFont="1" applyFill="1" applyBorder="1"/>
    <xf numFmtId="9" fontId="0" fillId="0" borderId="2" xfId="2" applyFont="1" applyFill="1" applyBorder="1" applyAlignment="1">
      <alignment horizontal="center"/>
    </xf>
    <xf numFmtId="0" fontId="0" fillId="0" borderId="2" xfId="0" applyBorder="1" applyAlignment="1">
      <alignment horizontal="left"/>
    </xf>
    <xf numFmtId="0" fontId="0" fillId="9" borderId="0" xfId="0" applyFill="1"/>
    <xf numFmtId="0" fontId="0" fillId="5" borderId="2" xfId="0" applyFill="1" applyBorder="1"/>
    <xf numFmtId="166" fontId="0" fillId="5" borderId="2" xfId="0" applyNumberFormat="1" applyFill="1" applyBorder="1"/>
    <xf numFmtId="0" fontId="0" fillId="5" borderId="2" xfId="0" applyFill="1" applyBorder="1" applyAlignment="1">
      <alignment horizontal="center"/>
    </xf>
    <xf numFmtId="0" fontId="0" fillId="5" borderId="2" xfId="0" applyFill="1" applyBorder="1" applyAlignment="1">
      <alignment horizontal="right"/>
    </xf>
    <xf numFmtId="165" fontId="0" fillId="5" borderId="2" xfId="0" applyNumberFormat="1" applyFill="1" applyBorder="1"/>
    <xf numFmtId="9" fontId="0" fillId="5" borderId="2" xfId="2" applyFont="1" applyFill="1" applyBorder="1"/>
    <xf numFmtId="9" fontId="0" fillId="5" borderId="2" xfId="2" applyFont="1" applyFill="1" applyBorder="1" applyAlignment="1">
      <alignment horizontal="center"/>
    </xf>
    <xf numFmtId="1" fontId="0" fillId="0" borderId="2" xfId="0" applyNumberFormat="1" applyBorder="1"/>
    <xf numFmtId="0" fontId="5" fillId="0" borderId="2" xfId="0" applyFont="1" applyBorder="1"/>
    <xf numFmtId="166" fontId="5" fillId="0" borderId="2" xfId="0" applyNumberFormat="1" applyFont="1" applyBorder="1"/>
    <xf numFmtId="165" fontId="5" fillId="0" borderId="2" xfId="0" applyNumberFormat="1" applyFont="1" applyBorder="1"/>
    <xf numFmtId="0" fontId="6" fillId="0" borderId="2" xfId="0" applyFont="1" applyBorder="1" applyAlignment="1">
      <alignment horizontal="left"/>
    </xf>
    <xf numFmtId="9" fontId="0" fillId="0" borderId="0" xfId="2" applyFont="1" applyFill="1" applyBorder="1"/>
    <xf numFmtId="0" fontId="5" fillId="9" borderId="0" xfId="3" applyFont="1" applyFill="1" applyBorder="1"/>
    <xf numFmtId="166" fontId="5" fillId="9" borderId="0" xfId="3" applyNumberFormat="1" applyFont="1" applyFill="1" applyBorder="1"/>
    <xf numFmtId="0" fontId="0" fillId="9" borderId="0" xfId="0" applyFill="1" applyAlignment="1">
      <alignment horizontal="center"/>
    </xf>
    <xf numFmtId="166" fontId="0" fillId="9" borderId="0" xfId="0" applyNumberFormat="1" applyFill="1"/>
    <xf numFmtId="0" fontId="0" fillId="9" borderId="0" xfId="0" applyFill="1" applyAlignment="1">
      <alignment horizontal="right"/>
    </xf>
    <xf numFmtId="1" fontId="0" fillId="9" borderId="0" xfId="0" applyNumberFormat="1" applyFill="1"/>
    <xf numFmtId="165" fontId="0" fillId="9" borderId="0" xfId="0" applyNumberFormat="1" applyFill="1"/>
    <xf numFmtId="0" fontId="0" fillId="9" borderId="0" xfId="0" applyFill="1" applyAlignment="1">
      <alignment horizontal="left"/>
    </xf>
    <xf numFmtId="0" fontId="5" fillId="7" borderId="0" xfId="3" applyFont="1" applyFill="1" applyBorder="1"/>
    <xf numFmtId="166" fontId="5" fillId="7" borderId="0" xfId="3" applyNumberFormat="1" applyFont="1" applyFill="1" applyBorder="1"/>
    <xf numFmtId="0" fontId="0" fillId="0" borderId="0" xfId="5" applyFont="1" applyAlignment="1">
      <alignment horizontal="left"/>
    </xf>
    <xf numFmtId="0" fontId="7" fillId="0" borderId="0" xfId="5" applyFont="1" applyAlignment="1">
      <alignment horizontal="left"/>
    </xf>
    <xf numFmtId="0" fontId="5" fillId="10" borderId="0" xfId="0" applyFont="1" applyFill="1"/>
    <xf numFmtId="0" fontId="0" fillId="0" borderId="3" xfId="0" applyBorder="1"/>
    <xf numFmtId="0" fontId="7" fillId="0" borderId="4" xfId="4" applyFont="1" applyBorder="1"/>
    <xf numFmtId="0" fontId="0" fillId="0" borderId="5" xfId="0" applyBorder="1"/>
    <xf numFmtId="0" fontId="5" fillId="0" borderId="5" xfId="0" applyFont="1" applyBorder="1"/>
    <xf numFmtId="0" fontId="5" fillId="9" borderId="5" xfId="3" applyFont="1" applyFill="1" applyBorder="1"/>
    <xf numFmtId="0" fontId="12" fillId="0" borderId="0" xfId="0" applyFont="1" applyAlignment="1">
      <alignment horizontal="center" vertical="center"/>
    </xf>
    <xf numFmtId="170" fontId="0" fillId="0" borderId="0" xfId="0" applyNumberFormat="1"/>
    <xf numFmtId="0" fontId="6" fillId="0" borderId="0" xfId="0" applyFont="1" applyAlignment="1">
      <alignment vertical="center"/>
    </xf>
    <xf numFmtId="170" fontId="0" fillId="0" borderId="0" xfId="0" applyNumberFormat="1" applyAlignment="1">
      <alignment vertical="center"/>
    </xf>
    <xf numFmtId="170" fontId="5" fillId="0" borderId="0" xfId="0" applyNumberFormat="1" applyFont="1" applyAlignment="1">
      <alignment vertical="top"/>
    </xf>
    <xf numFmtId="170" fontId="9" fillId="0" borderId="0" xfId="0" applyNumberFormat="1" applyFont="1" applyAlignment="1">
      <alignment vertical="center"/>
    </xf>
    <xf numFmtId="0" fontId="5" fillId="0" borderId="0" xfId="6" applyFont="1" applyFill="1"/>
    <xf numFmtId="0" fontId="5" fillId="0" borderId="0" xfId="6" applyFont="1" applyFill="1" applyBorder="1"/>
    <xf numFmtId="170" fontId="5" fillId="0" borderId="0" xfId="6" applyNumberFormat="1" applyFont="1" applyFill="1"/>
    <xf numFmtId="170" fontId="0" fillId="0" borderId="0" xfId="0" applyNumberFormat="1" applyAlignment="1">
      <alignment horizontal="right"/>
    </xf>
    <xf numFmtId="0" fontId="5" fillId="0" borderId="0" xfId="3" applyFont="1" applyFill="1" applyBorder="1" applyAlignment="1">
      <alignment horizontal="left"/>
    </xf>
    <xf numFmtId="0" fontId="12" fillId="0" borderId="0" xfId="0" applyFont="1" applyAlignment="1">
      <alignment horizontal="left" vertical="center"/>
    </xf>
    <xf numFmtId="0" fontId="12" fillId="0" borderId="0" xfId="0" applyFont="1" applyAlignment="1">
      <alignment vertical="center"/>
    </xf>
    <xf numFmtId="0" fontId="12" fillId="0" borderId="0" xfId="0" applyFont="1" applyAlignment="1">
      <alignment horizontal="center" vertical="center" wrapText="1"/>
    </xf>
    <xf numFmtId="0" fontId="12" fillId="0" borderId="0" xfId="0" applyFont="1" applyAlignment="1">
      <alignment vertical="center" wrapText="1"/>
    </xf>
    <xf numFmtId="164" fontId="5" fillId="0" borderId="0" xfId="0" applyNumberFormat="1" applyFont="1" applyAlignment="1">
      <alignment vertical="top"/>
    </xf>
    <xf numFmtId="164" fontId="7" fillId="0" borderId="0" xfId="0" applyNumberFormat="1" applyFont="1"/>
    <xf numFmtId="164" fontId="7" fillId="0" borderId="0" xfId="0" quotePrefix="1" applyNumberFormat="1" applyFont="1"/>
    <xf numFmtId="164" fontId="0" fillId="0" borderId="0" xfId="0" applyNumberFormat="1" applyAlignment="1">
      <alignment horizontal="right"/>
    </xf>
    <xf numFmtId="164" fontId="5" fillId="0" borderId="0" xfId="0" applyNumberFormat="1" applyFont="1" applyAlignment="1">
      <alignment vertical="center"/>
    </xf>
    <xf numFmtId="168" fontId="0" fillId="0" borderId="0" xfId="0" applyNumberFormat="1"/>
    <xf numFmtId="164" fontId="5" fillId="0" borderId="0" xfId="0" applyNumberFormat="1" applyFont="1" applyAlignment="1">
      <alignment horizontal="right" vertical="top"/>
    </xf>
    <xf numFmtId="0" fontId="0" fillId="4" borderId="0" xfId="0" applyFill="1"/>
    <xf numFmtId="0" fontId="0" fillId="4" borderId="0" xfId="0" applyFill="1" applyAlignment="1">
      <alignment horizontal="center"/>
    </xf>
    <xf numFmtId="0" fontId="3" fillId="4" borderId="0" xfId="0" applyFont="1" applyFill="1" applyAlignment="1">
      <alignment vertical="center" wrapText="1"/>
    </xf>
    <xf numFmtId="0" fontId="0" fillId="4" borderId="0" xfId="0" applyFill="1" applyAlignment="1">
      <alignment horizontal="left"/>
    </xf>
  </cellXfs>
  <cellStyles count="7">
    <cellStyle name="Bad" xfId="3" builtinId="27"/>
    <cellStyle name="Comma" xfId="1" builtinId="3"/>
    <cellStyle name="Neutral 2" xfId="6" xr:uid="{6613A5BA-1744-45A5-BED9-8E9A90FDBCCD}"/>
    <cellStyle name="Normal" xfId="0" builtinId="0"/>
    <cellStyle name="Normal 2" xfId="4" xr:uid="{BD6ACADE-908F-4896-BD8F-2155F0CA765E}"/>
    <cellStyle name="Normal 4" xfId="5" xr:uid="{9CCCBD78-68D5-4EF7-A153-A9BBE84813D2}"/>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K:\projects\Eelgrass_Restoration\Restoration_Storymap\2025_09_data_prep\source_data\Eelgrass%20Restoration%20Matrix_2021_0113abb_jg_pd_v1_pd.xlsx" TargetMode="External"/><Relationship Id="rId1" Type="http://schemas.openxmlformats.org/officeDocument/2006/relationships/externalLinkPath" Target="Eelgrass%20Restoration%20Matrix_2021_0113abb_jg_pd_v1_p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Data_dictionary"/>
      <sheetName val="Assessments"/>
      <sheetName val="Planting GPS Points"/>
      <sheetName val="Plantings"/>
      <sheetName val="Monitoring"/>
      <sheetName val="Donor Sites"/>
      <sheetName val="Sensors"/>
      <sheetName val="Questions &amp; Follow-up"/>
      <sheetName val="Missing Data"/>
      <sheetName val="SuccessRates"/>
    </sheetNames>
    <sheetDataSet>
      <sheetData sheetId="0"/>
      <sheetData sheetId="1"/>
      <sheetData sheetId="2"/>
      <sheetData sheetId="3">
        <row r="3">
          <cell r="B3" t="str">
            <v>Amsterdam Bay - PNNL - shallow - test - 2013</v>
          </cell>
          <cell r="C3" t="str">
            <v>AMS_shallow</v>
          </cell>
          <cell r="D3" t="str">
            <v>single</v>
          </cell>
          <cell r="E3">
            <v>2013</v>
          </cell>
          <cell r="F3" t="str">
            <v>Thom, RM, and L Hallum. 1990. Long‐term changes in the areal extent of tidal marshes, eelgrass meadows, and kelp forests of Puget Sound. FRI‐UW‐9008, Fisheries Research Institute, School of Fisheries, University of Washington, Seattle. Pp. 110.</v>
          </cell>
          <cell r="G3" t="str">
            <v>point</v>
          </cell>
          <cell r="H3" t="str">
            <v>Drayton Passage</v>
          </cell>
          <cell r="I3" t="str">
            <v>CPS</v>
          </cell>
          <cell r="J3" t="str">
            <v>20% more ZM</v>
          </cell>
          <cell r="K3" t="str">
            <v>WDFW</v>
          </cell>
          <cell r="L3" t="str">
            <v>National Estuary Program</v>
          </cell>
          <cell r="M3" t="str">
            <v>12-1117</v>
          </cell>
          <cell r="N3" t="str">
            <v xml:space="preserve"> IAA 12-316</v>
          </cell>
          <cell r="O3" t="str">
            <v>PNNL</v>
          </cell>
          <cell r="P3" t="str">
            <v>IAA 12-317</v>
          </cell>
          <cell r="Q3"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3" t="str">
            <v>test</v>
          </cell>
          <cell r="S3" t="str">
            <v>test</v>
          </cell>
          <cell r="T3">
            <v>41431</v>
          </cell>
          <cell r="U3">
            <v>47.160600000000002</v>
          </cell>
          <cell r="V3">
            <v>-122.72776666666667</v>
          </cell>
          <cell r="W3" t="str">
            <v>point</v>
          </cell>
          <cell r="X3" t="str">
            <v>retain</v>
          </cell>
          <cell r="Y3" t="str">
            <v>WGS84</v>
          </cell>
          <cell r="Z3">
            <v>-0.91439999999999999</v>
          </cell>
          <cell r="AA3" t="str">
            <v>staple</v>
          </cell>
          <cell r="AB3">
            <v>6</v>
          </cell>
          <cell r="AC3">
            <v>6</v>
          </cell>
          <cell r="AD3">
            <v>36</v>
          </cell>
          <cell r="AE3">
            <v>36</v>
          </cell>
          <cell r="AF3">
            <v>0.9</v>
          </cell>
          <cell r="AG3">
            <v>180</v>
          </cell>
          <cell r="AH3">
            <v>720</v>
          </cell>
          <cell r="AI3">
            <v>20</v>
          </cell>
          <cell r="AJ3">
            <v>20</v>
          </cell>
          <cell r="AK3" t="str">
            <v>Thompson Cove</v>
          </cell>
        </row>
        <row r="4">
          <cell r="B4" t="str">
            <v>Amsterdam Bay - PNNL - deep - test - 2013</v>
          </cell>
          <cell r="C4" t="str">
            <v>AMS_deep</v>
          </cell>
          <cell r="D4" t="str">
            <v>single</v>
          </cell>
          <cell r="E4">
            <v>2013</v>
          </cell>
          <cell r="F4" t="str">
            <v>Thom, RM, and L Hallum. 1990. Long‐term changes in the areal extent of tidal marshes, eelgrass meadows, and kelp forests of Puget Sound. FRI‐UW‐9008, Fisheries Research Institute, School of Fisheries, University of Washington, Seattle. Pp. 110.</v>
          </cell>
          <cell r="G4" t="str">
            <v>point</v>
          </cell>
          <cell r="H4" t="str">
            <v>Drayton Passage</v>
          </cell>
          <cell r="I4" t="str">
            <v>CPS</v>
          </cell>
          <cell r="J4" t="str">
            <v>20% more ZM</v>
          </cell>
          <cell r="K4" t="str">
            <v>WDFW</v>
          </cell>
          <cell r="L4" t="str">
            <v>National Estuary Program</v>
          </cell>
          <cell r="M4" t="str">
            <v>12-1117</v>
          </cell>
          <cell r="N4" t="str">
            <v xml:space="preserve"> IAA 12-316</v>
          </cell>
          <cell r="O4" t="str">
            <v>PNNL</v>
          </cell>
          <cell r="P4" t="str">
            <v>IAA 12-317</v>
          </cell>
          <cell r="Q4"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4" t="str">
            <v>test</v>
          </cell>
          <cell r="S4" t="str">
            <v>test</v>
          </cell>
          <cell r="T4">
            <v>41431</v>
          </cell>
          <cell r="U4">
            <v>47.160683333333331</v>
          </cell>
          <cell r="V4">
            <v>-122.72781666666667</v>
          </cell>
          <cell r="W4" t="str">
            <v>point</v>
          </cell>
          <cell r="X4" t="str">
            <v>retain</v>
          </cell>
          <cell r="Y4" t="str">
            <v>WGS84</v>
          </cell>
          <cell r="Z4">
            <v>-1.524</v>
          </cell>
          <cell r="AA4" t="str">
            <v>staple</v>
          </cell>
          <cell r="AB4">
            <v>6</v>
          </cell>
          <cell r="AC4">
            <v>6</v>
          </cell>
          <cell r="AD4">
            <v>36</v>
          </cell>
          <cell r="AE4">
            <v>36</v>
          </cell>
          <cell r="AF4">
            <v>0.9</v>
          </cell>
          <cell r="AG4">
            <v>180</v>
          </cell>
          <cell r="AH4">
            <v>720</v>
          </cell>
          <cell r="AI4">
            <v>20</v>
          </cell>
          <cell r="AJ4">
            <v>20</v>
          </cell>
          <cell r="AK4" t="str">
            <v>Thompson Cove</v>
          </cell>
        </row>
        <row r="5">
          <cell r="B5" t="str">
            <v>Anderson Island West - PNNL - test - 2015</v>
          </cell>
          <cell r="C5" t="str">
            <v>AND_west1</v>
          </cell>
          <cell r="D5" t="str">
            <v>single</v>
          </cell>
          <cell r="E5">
            <v>2015</v>
          </cell>
          <cell r="F5" t="str">
            <v>Thom, RM, and L Hallum. 1990. Long‐term changes in the areal extent of tidal marshes, eelgrass meadows, and kelp forests of Puget Sound. FRI‐UW‐9008, Fisheries Research Institute, School of Fisheries, University of Washington, Seattle. Pp. 110.</v>
          </cell>
          <cell r="G5" t="str">
            <v>point</v>
          </cell>
          <cell r="H5" t="str">
            <v>Drayton Passage</v>
          </cell>
          <cell r="I5" t="str">
            <v>CPS</v>
          </cell>
          <cell r="J5" t="str">
            <v>Eelgrass Restoration in PS</v>
          </cell>
          <cell r="K5" t="str">
            <v>DNR</v>
          </cell>
          <cell r="L5" t="str">
            <v>Aquatic Restoration Program</v>
          </cell>
          <cell r="M5"/>
          <cell r="N5"/>
          <cell r="O5" t="str">
            <v>PNNL</v>
          </cell>
          <cell r="P5" t="str">
            <v>IAA 12-317.1</v>
          </cell>
          <cell r="Q5" t="str">
            <v>Aston, L.A., A.B. Borde and J. Vavrinec. 2015. Final Summary Report - Eelgrass Restoration in Puget Sound Project Summary. Pacific Northwest National Laboratory, Richland, WA. PNNL-24445.</v>
          </cell>
          <cell r="R5" t="str">
            <v>test</v>
          </cell>
          <cell r="S5" t="str">
            <v>test</v>
          </cell>
          <cell r="T5">
            <v>42062</v>
          </cell>
          <cell r="U5">
            <v>47.170783333333333</v>
          </cell>
          <cell r="V5">
            <v>-122.72888333333333</v>
          </cell>
          <cell r="W5" t="str">
            <v>point</v>
          </cell>
          <cell r="X5" t="str">
            <v>retain</v>
          </cell>
          <cell r="Y5" t="str">
            <v>WGS84</v>
          </cell>
          <cell r="Z5">
            <v>-0.8</v>
          </cell>
          <cell r="AA5" t="str">
            <v>staple</v>
          </cell>
          <cell r="AB5">
            <v>5</v>
          </cell>
          <cell r="AC5">
            <v>5</v>
          </cell>
          <cell r="AD5">
            <v>25</v>
          </cell>
          <cell r="AE5">
            <v>25</v>
          </cell>
          <cell r="AF5">
            <v>0.625</v>
          </cell>
          <cell r="AG5">
            <v>125</v>
          </cell>
          <cell r="AH5">
            <v>500</v>
          </cell>
          <cell r="AI5">
            <v>20</v>
          </cell>
          <cell r="AJ5">
            <v>20</v>
          </cell>
          <cell r="AK5" t="str">
            <v>Ketron Island</v>
          </cell>
          <cell r="AL5"/>
        </row>
        <row r="6">
          <cell r="B6" t="str">
            <v>Anderson Island West - PNNL - test - 2016</v>
          </cell>
          <cell r="C6" t="str">
            <v>AND_west2</v>
          </cell>
          <cell r="D6" t="str">
            <v>single</v>
          </cell>
          <cell r="E6">
            <v>2016</v>
          </cell>
          <cell r="F6" t="str">
            <v>Thom, RM, and L Hallum. 1990. Long‐term changes in the areal extent of tidal marshes, eelgrass meadows, and kelp forests of Puget Sound. FRI‐UW‐9008, Fisheries Research Institute, School of Fisheries, University of Washington, Seattle. Pp. 110.</v>
          </cell>
          <cell r="G6" t="str">
            <v>point</v>
          </cell>
          <cell r="H6" t="str">
            <v>Nisqually Reach</v>
          </cell>
          <cell r="I6" t="str">
            <v>CPS</v>
          </cell>
          <cell r="J6" t="str">
            <v>Puget Sound Eelgrass Restoration: 3 deltas</v>
          </cell>
          <cell r="K6" t="str">
            <v>USACE</v>
          </cell>
          <cell r="L6" t="str">
            <v>USACE</v>
          </cell>
          <cell r="M6" t="str">
            <v>W912DW-14-2-0009 (93-099566)</v>
          </cell>
          <cell r="N6" t="str">
            <v>IAA 15-45</v>
          </cell>
          <cell r="O6" t="str">
            <v>PNNL</v>
          </cell>
          <cell r="P6" t="str">
            <v>93-099661</v>
          </cell>
          <cell r="R6" t="str">
            <v>test</v>
          </cell>
          <cell r="S6" t="str">
            <v>test</v>
          </cell>
          <cell r="T6">
            <v>42633</v>
          </cell>
          <cell r="U6">
            <v>47.17093333333333</v>
          </cell>
          <cell r="V6">
            <v>-122.72905</v>
          </cell>
          <cell r="W6" t="str">
            <v>point</v>
          </cell>
          <cell r="X6" t="str">
            <v>retain</v>
          </cell>
          <cell r="Y6" t="str">
            <v>WGS84</v>
          </cell>
          <cell r="Z6">
            <v>-1.7</v>
          </cell>
          <cell r="AA6" t="str">
            <v>rebar</v>
          </cell>
          <cell r="AB6">
            <v>2.5</v>
          </cell>
          <cell r="AC6">
            <v>2.5</v>
          </cell>
          <cell r="AD6">
            <v>6.25</v>
          </cell>
          <cell r="AE6">
            <v>5</v>
          </cell>
          <cell r="AF6">
            <v>0.5</v>
          </cell>
          <cell r="AG6">
            <v>20</v>
          </cell>
          <cell r="AH6">
            <v>500</v>
          </cell>
          <cell r="AI6">
            <v>80</v>
          </cell>
          <cell r="AJ6">
            <v>100</v>
          </cell>
          <cell r="AK6" t="str">
            <v>Sandy Point</v>
          </cell>
          <cell r="AL6"/>
        </row>
        <row r="7">
          <cell r="B7" t="str">
            <v>Anderson Island South - PNNL - test - 2016</v>
          </cell>
          <cell r="C7" t="str">
            <v>AND_south1</v>
          </cell>
          <cell r="D7" t="str">
            <v>single</v>
          </cell>
          <cell r="E7">
            <v>2016</v>
          </cell>
          <cell r="F7" t="str">
            <v>Thom, RM, and L Hallum. 1990. Long‐term changes in the areal extent of tidal marshes, eelgrass meadows, and kelp forests of Puget Sound. FRI‐UW‐9008, Fisheries Research Institute, School of Fisheries, University of Washington, Seattle. Pp. 110.</v>
          </cell>
          <cell r="G7" t="str">
            <v>point</v>
          </cell>
          <cell r="H7" t="str">
            <v>Nisqually Reach</v>
          </cell>
          <cell r="I7" t="str">
            <v>CPS</v>
          </cell>
          <cell r="J7" t="str">
            <v>Puget Sound Eelgrass Restoration: 3 deltas</v>
          </cell>
          <cell r="K7" t="str">
            <v>USACE</v>
          </cell>
          <cell r="L7" t="str">
            <v>USACE</v>
          </cell>
          <cell r="M7" t="str">
            <v>W912DW-14-2-0009 (93-099566)</v>
          </cell>
          <cell r="N7" t="str">
            <v>IAA 15-45</v>
          </cell>
          <cell r="O7" t="str">
            <v>PNNL</v>
          </cell>
          <cell r="P7" t="str">
            <v>93-099661</v>
          </cell>
          <cell r="Q7"/>
          <cell r="R7" t="str">
            <v>test</v>
          </cell>
          <cell r="S7" t="str">
            <v>test</v>
          </cell>
          <cell r="T7">
            <v>42633</v>
          </cell>
          <cell r="U7">
            <v>47.132633329999997</v>
          </cell>
          <cell r="V7">
            <v>-122.7181167</v>
          </cell>
          <cell r="W7" t="str">
            <v>point</v>
          </cell>
          <cell r="X7" t="str">
            <v>retain</v>
          </cell>
          <cell r="Y7" t="str">
            <v>WGS84</v>
          </cell>
          <cell r="Z7">
            <v>-1.9</v>
          </cell>
          <cell r="AA7" t="str">
            <v>rebar</v>
          </cell>
          <cell r="AB7">
            <v>2.5</v>
          </cell>
          <cell r="AC7">
            <v>2.5</v>
          </cell>
          <cell r="AD7">
            <v>6.25</v>
          </cell>
          <cell r="AE7">
            <v>5</v>
          </cell>
          <cell r="AF7">
            <v>0.5</v>
          </cell>
          <cell r="AG7">
            <v>20</v>
          </cell>
          <cell r="AH7">
            <v>500</v>
          </cell>
          <cell r="AI7">
            <v>80</v>
          </cell>
          <cell r="AJ7">
            <v>100</v>
          </cell>
          <cell r="AK7" t="str">
            <v>Sandy Point</v>
          </cell>
          <cell r="AL7" t="str">
            <v>Also known as Gaeckle 3</v>
          </cell>
        </row>
        <row r="8">
          <cell r="B8" t="str">
            <v>Anderson Island West - North - south - HC - test - 2017</v>
          </cell>
          <cell r="C8" t="str">
            <v>AND_west_L1</v>
          </cell>
          <cell r="D8" t="str">
            <v>single</v>
          </cell>
          <cell r="E8">
            <v>2017</v>
          </cell>
          <cell r="F8" t="str">
            <v>Thom, RM, and L Hallum. 1990. Long‐term changes in the areal extent of tidal marshes, eelgrass meadows, and kelp forests of Puget Sound. FRI‐UW‐9008, Fisheries Research Institute, School of Fisheries, University of Washington, Seattle. Pp. 110.</v>
          </cell>
          <cell r="G8" t="str">
            <v>line</v>
          </cell>
          <cell r="H8" t="str">
            <v>Drayton Passage</v>
          </cell>
          <cell r="I8" t="str">
            <v>CPS</v>
          </cell>
          <cell r="J8" t="str">
            <v>Eelgrass Restoration in Puget Sound</v>
          </cell>
          <cell r="K8" t="str">
            <v>WDFW</v>
          </cell>
          <cell r="L8" t="str">
            <v>National Estuary Program</v>
          </cell>
          <cell r="M8" t="str">
            <v>14-02072</v>
          </cell>
          <cell r="N8" t="str">
            <v>IAA 15-110</v>
          </cell>
          <cell r="O8" t="str">
            <v>Hart Crowser</v>
          </cell>
          <cell r="P8" t="str">
            <v>SC 16-17</v>
          </cell>
          <cell r="Q8" t="str">
            <v>Shannon, J., J. Blanchette and J. Gaeckle. 2018. Eelgrass (Zostera marina) Restoration in Puget Sound, WA. Final Restoration and Monitoring Report (12059-05) for US EPA, Hart Crowser, Edmonds, WA. Pp. 131.</v>
          </cell>
          <cell r="R8" t="str">
            <v>test</v>
          </cell>
          <cell r="S8" t="str">
            <v>test</v>
          </cell>
          <cell r="T8">
            <v>42860</v>
          </cell>
          <cell r="U8">
            <v>47.181829999999998</v>
          </cell>
          <cell r="V8">
            <v>-122.71405</v>
          </cell>
          <cell r="W8" t="str">
            <v>line</v>
          </cell>
          <cell r="X8" t="str">
            <v>retain</v>
          </cell>
          <cell r="Y8" t="str">
            <v>WGS84</v>
          </cell>
          <cell r="Z8">
            <v>-1.6</v>
          </cell>
          <cell r="AA8" t="str">
            <v>turf</v>
          </cell>
          <cell r="AB8">
            <v>10</v>
          </cell>
          <cell r="AC8">
            <v>1</v>
          </cell>
          <cell r="AD8">
            <v>10</v>
          </cell>
          <cell r="AE8">
            <v>6</v>
          </cell>
          <cell r="AF8">
            <v>0.87</v>
          </cell>
          <cell r="AG8">
            <v>87</v>
          </cell>
          <cell r="AH8">
            <v>869</v>
          </cell>
          <cell r="AI8">
            <v>86.9</v>
          </cell>
          <cell r="AJ8">
            <v>144.83333333333334</v>
          </cell>
          <cell r="AK8" t="str">
            <v>Rocky Bay</v>
          </cell>
          <cell r="AL8" t="str">
            <v>Referred to as 'Anderson Island West 1' in final report. Turfs plant 5-15 shoots per staple (X= ~10 shoots/staple). Estimated number of PUs at test-transplant site as 869/10 = 87.</v>
          </cell>
        </row>
        <row r="9">
          <cell r="B9" t="str">
            <v>Anderson Island West - North - north - HC - test - 2017</v>
          </cell>
          <cell r="C9" t="str">
            <v>AND_west_L1</v>
          </cell>
          <cell r="D9" t="str">
            <v>single</v>
          </cell>
          <cell r="E9">
            <v>2017</v>
          </cell>
          <cell r="F9" t="str">
            <v>Thom, RM, and L Hallum. 1990. Long‐term changes in the areal extent of tidal marshes, eelgrass meadows, and kelp forests of Puget Sound. FRI‐UW‐9008, Fisheries Research Institute, School of Fisheries, University of Washington, Seattle. Pp. 110.</v>
          </cell>
          <cell r="G9" t="str">
            <v>line</v>
          </cell>
          <cell r="H9" t="str">
            <v>Drayton Passage</v>
          </cell>
          <cell r="I9" t="str">
            <v>CPS</v>
          </cell>
          <cell r="J9" t="str">
            <v>Eelgrass Restoration in Puget Sound</v>
          </cell>
          <cell r="K9" t="str">
            <v>WDFW</v>
          </cell>
          <cell r="L9" t="str">
            <v>National Estuary Program</v>
          </cell>
          <cell r="M9" t="str">
            <v>14-02072</v>
          </cell>
          <cell r="N9" t="str">
            <v>IAA 15-110</v>
          </cell>
          <cell r="O9" t="str">
            <v>Hart Crowser</v>
          </cell>
          <cell r="P9" t="str">
            <v>SC 16-17</v>
          </cell>
          <cell r="Q9" t="str">
            <v>Shannon, J., J. Blanchette and J. Gaeckle. 2018. Eelgrass (Zostera marina) Restoration in Puget Sound, WA. Final Restoration and Monitoring Report (12059-05) for US EPA, Hart Crowser, Edmonds, WA. Pp. 131.</v>
          </cell>
          <cell r="R9" t="str">
            <v>test</v>
          </cell>
          <cell r="S9" t="str">
            <v>--</v>
          </cell>
          <cell r="T9">
            <v>42860</v>
          </cell>
          <cell r="U9">
            <v>47.18186</v>
          </cell>
          <cell r="V9">
            <v>-122.71402999999999</v>
          </cell>
          <cell r="W9" t="str">
            <v>line</v>
          </cell>
          <cell r="X9" t="str">
            <v>retain</v>
          </cell>
          <cell r="Y9" t="str">
            <v>WGS84</v>
          </cell>
          <cell r="AF9" t="str">
            <v/>
          </cell>
          <cell r="AG9"/>
          <cell r="AH9"/>
          <cell r="AI9" t="str">
            <v/>
          </cell>
          <cell r="AJ9" t="str">
            <v/>
          </cell>
          <cell r="AL9"/>
        </row>
        <row r="10">
          <cell r="B10" t="str">
            <v>Anderson Island West - South - south - HC - test - 2017</v>
          </cell>
          <cell r="C10" t="str">
            <v>AND_south_L1</v>
          </cell>
          <cell r="D10" t="str">
            <v>single</v>
          </cell>
          <cell r="E10">
            <v>2017</v>
          </cell>
          <cell r="F10" t="str">
            <v>Thom, RM, and L Hallum. 1990. Long‐term changes in the areal extent of tidal marshes, eelgrass meadows, and kelp forests of Puget Sound. FRI‐UW‐9008, Fisheries Research Institute, School of Fisheries, University of Washington, Seattle. Pp. 110.</v>
          </cell>
          <cell r="G10" t="str">
            <v>line</v>
          </cell>
          <cell r="H10" t="str">
            <v>Drayton Passage</v>
          </cell>
          <cell r="I10" t="str">
            <v>CPS</v>
          </cell>
          <cell r="J10" t="str">
            <v>Eelgrass Restoration in Puget Sound</v>
          </cell>
          <cell r="K10" t="str">
            <v>WDFW</v>
          </cell>
          <cell r="L10" t="str">
            <v>National Estuary Program</v>
          </cell>
          <cell r="M10" t="str">
            <v>14-02072</v>
          </cell>
          <cell r="N10" t="str">
            <v>IAA 15-110</v>
          </cell>
          <cell r="O10" t="str">
            <v>Hart Crowser</v>
          </cell>
          <cell r="P10" t="str">
            <v>SC 16-17</v>
          </cell>
          <cell r="Q10" t="str">
            <v>Shannon, J., J. Blanchette and J. Gaeckle. 2018. Eelgrass (Zostera marina) Restoration in Puget Sound, WA. Final Restoration and Monitoring Report (12059-05) for US EPA, Hart Crowser, Edmonds, WA. Pp. 131.</v>
          </cell>
          <cell r="R10" t="str">
            <v>test</v>
          </cell>
          <cell r="S10" t="str">
            <v>test</v>
          </cell>
          <cell r="T10">
            <v>42860</v>
          </cell>
          <cell r="U10">
            <v>47.176900000000003</v>
          </cell>
          <cell r="V10">
            <v>-122.7251</v>
          </cell>
          <cell r="W10" t="str">
            <v>line</v>
          </cell>
          <cell r="X10" t="str">
            <v>retain</v>
          </cell>
          <cell r="Y10" t="str">
            <v>WGS84</v>
          </cell>
          <cell r="Z10">
            <v>-1.6</v>
          </cell>
          <cell r="AA10" t="str">
            <v>turf</v>
          </cell>
          <cell r="AB10">
            <v>10</v>
          </cell>
          <cell r="AC10">
            <v>1</v>
          </cell>
          <cell r="AD10">
            <v>10</v>
          </cell>
          <cell r="AE10">
            <v>6</v>
          </cell>
          <cell r="AF10">
            <v>0.87</v>
          </cell>
          <cell r="AG10">
            <v>87</v>
          </cell>
          <cell r="AH10">
            <v>869</v>
          </cell>
          <cell r="AI10">
            <v>86.9</v>
          </cell>
          <cell r="AJ10">
            <v>144.83333333333334</v>
          </cell>
          <cell r="AK10" t="str">
            <v>Rocky Bay</v>
          </cell>
          <cell r="AL10" t="str">
            <v>Referred to as 'Anderson Island West 2' in final report. Turfs plant 5-15 shoots per staple (X= ~10 shoots/staple). Estimated number of PUs at test-transplant site as 869/10 = 87.</v>
          </cell>
        </row>
        <row r="11">
          <cell r="B11" t="str">
            <v>Anderson Island West - South - north - HC - test - 2017</v>
          </cell>
          <cell r="C11" t="str">
            <v>AND_south_L1</v>
          </cell>
          <cell r="D11" t="str">
            <v>single</v>
          </cell>
          <cell r="E11">
            <v>2017</v>
          </cell>
          <cell r="F11" t="str">
            <v>Thom, RM, and L Hallum. 1990. Long‐term changes in the areal extent of tidal marshes, eelgrass meadows, and kelp forests of Puget Sound. FRI‐UW‐9008, Fisheries Research Institute, School of Fisheries, University of Washington, Seattle. Pp. 110.</v>
          </cell>
          <cell r="G11" t="str">
            <v>line</v>
          </cell>
          <cell r="H11" t="str">
            <v>Drayton Passage</v>
          </cell>
          <cell r="I11" t="str">
            <v>CPS</v>
          </cell>
          <cell r="J11" t="str">
            <v>Eelgrass Restoration in Puget Sound</v>
          </cell>
          <cell r="K11" t="str">
            <v>WDFW</v>
          </cell>
          <cell r="L11" t="str">
            <v>National Estuary Program</v>
          </cell>
          <cell r="M11" t="str">
            <v>14-02072</v>
          </cell>
          <cell r="N11" t="str">
            <v>IAA 15-110</v>
          </cell>
          <cell r="O11" t="str">
            <v>Hart Crowser</v>
          </cell>
          <cell r="P11" t="str">
            <v>SC 16-17</v>
          </cell>
          <cell r="Q11" t="str">
            <v>Shannon, J., J. Blanchette and J. Gaeckle. 2018. Eelgrass (Zostera marina) Restoration in Puget Sound, WA. Final Restoration and Monitoring Report (12059-05) for US EPA, Hart Crowser, Edmonds, WA. Pp. 131.</v>
          </cell>
          <cell r="R11" t="str">
            <v>test</v>
          </cell>
          <cell r="S11" t="str">
            <v>--</v>
          </cell>
          <cell r="T11">
            <v>42860</v>
          </cell>
          <cell r="U11">
            <v>47.176929999999999</v>
          </cell>
          <cell r="V11">
            <v>-122.72505</v>
          </cell>
          <cell r="W11" t="str">
            <v>line</v>
          </cell>
          <cell r="X11" t="str">
            <v>retain</v>
          </cell>
          <cell r="Y11" t="str">
            <v>WGS84</v>
          </cell>
          <cell r="AF11" t="str">
            <v/>
          </cell>
          <cell r="AG11"/>
          <cell r="AH11"/>
          <cell r="AI11" t="str">
            <v/>
          </cell>
          <cell r="AJ11" t="str">
            <v/>
          </cell>
          <cell r="AL11"/>
        </row>
        <row r="12">
          <cell r="B12" t="str">
            <v>Anderson Island South 1 - west - HC - large - 2017</v>
          </cell>
          <cell r="C12" t="str">
            <v>AND_south_L2</v>
          </cell>
          <cell r="D12" t="str">
            <v>single</v>
          </cell>
          <cell r="E12">
            <v>2017</v>
          </cell>
          <cell r="F12" t="str">
            <v>Thom, RM, and L Hallum. 1990. Long‐term changes in the areal extent of tidal marshes, eelgrass meadows, and kelp forests of Puget Sound. FRI‐UW‐9008, Fisheries Research Institute, School of Fisheries, University of Washington, Seattle. Pp. 110.</v>
          </cell>
          <cell r="G12" t="str">
            <v>polygon</v>
          </cell>
          <cell r="H12" t="str">
            <v>Nisqually Reach</v>
          </cell>
          <cell r="I12" t="str">
            <v>CPS</v>
          </cell>
          <cell r="J12" t="str">
            <v>Eelgrass Restoration in Puget Sound</v>
          </cell>
          <cell r="K12" t="str">
            <v>WDFW</v>
          </cell>
          <cell r="L12" t="str">
            <v>National Estuary Program</v>
          </cell>
          <cell r="M12" t="str">
            <v>14-02072</v>
          </cell>
          <cell r="N12" t="str">
            <v>IAA 15-110</v>
          </cell>
          <cell r="O12" t="str">
            <v>Hart Crowser</v>
          </cell>
          <cell r="P12" t="str">
            <v>SC 16-17</v>
          </cell>
          <cell r="Q12" t="str">
            <v>Shannon, J., J. Blanchette and J. Gaeckle. 2018. Eelgrass (Zostera marina) Restoration in Puget Sound, WA. Final Restoration and Monitoring Report (12059-05) for US EPA, Hart Crowser, Edmonds, WA. Pp. 131.</v>
          </cell>
          <cell r="R12" t="str">
            <v>large scale</v>
          </cell>
          <cell r="S12" t="str">
            <v>large scale</v>
          </cell>
          <cell r="T12">
            <v>42888</v>
          </cell>
          <cell r="U12">
            <v>47.138750000000002</v>
          </cell>
          <cell r="V12">
            <v>-122.725111</v>
          </cell>
          <cell r="W12" t="str">
            <v>line</v>
          </cell>
          <cell r="X12" t="str">
            <v>retain</v>
          </cell>
          <cell r="Y12" t="str">
            <v>WGS84</v>
          </cell>
          <cell r="Z12">
            <v>-1.6</v>
          </cell>
          <cell r="AA12" t="str">
            <v>turf</v>
          </cell>
          <cell r="AB12">
            <v>40</v>
          </cell>
          <cell r="AC12">
            <v>4</v>
          </cell>
          <cell r="AD12">
            <v>160</v>
          </cell>
          <cell r="AE12">
            <v>155</v>
          </cell>
          <cell r="AF12">
            <v>20.5</v>
          </cell>
          <cell r="AG12">
            <v>2050</v>
          </cell>
          <cell r="AH12">
            <v>20500</v>
          </cell>
          <cell r="AI12">
            <v>128.125</v>
          </cell>
          <cell r="AJ12">
            <v>132.25806451612902</v>
          </cell>
          <cell r="AK12" t="str">
            <v>Rocky Bay</v>
          </cell>
          <cell r="AL12" t="str">
            <v>large scale area of 40 m X 4 m (160 m2). Planted with plants from Rocky Bay. Turfs plant 5-15 shoots per staple (X= ~10 shoots/staple). Estimated number of PUs at test-transplant site as 20500/10 = 2050.</v>
          </cell>
        </row>
        <row r="13">
          <cell r="B13" t="str">
            <v>Anderson Island South 1 - east - HC - large - 2017</v>
          </cell>
          <cell r="C13" t="str">
            <v>AND_south_L2</v>
          </cell>
          <cell r="D13" t="str">
            <v>single</v>
          </cell>
          <cell r="E13">
            <v>2017</v>
          </cell>
          <cell r="F13" t="str">
            <v>Thom, RM, and L Hallum. 1990. Long‐term changes in the areal extent of tidal marshes, eelgrass meadows, and kelp forests of Puget Sound. FRI‐UW‐9008, Fisheries Research Institute, School of Fisheries, University of Washington, Seattle. Pp. 110.</v>
          </cell>
          <cell r="G13" t="str">
            <v>polygon</v>
          </cell>
          <cell r="H13" t="str">
            <v>Nisqually Reach</v>
          </cell>
          <cell r="I13" t="str">
            <v>CPS</v>
          </cell>
          <cell r="J13" t="str">
            <v>Eelgrass Restoration in Puget Sound</v>
          </cell>
          <cell r="K13" t="str">
            <v>WDFW</v>
          </cell>
          <cell r="L13" t="str">
            <v>National Estuary Program</v>
          </cell>
          <cell r="M13" t="str">
            <v>14-02072</v>
          </cell>
          <cell r="N13" t="str">
            <v>IAA 15-110</v>
          </cell>
          <cell r="O13" t="str">
            <v>Hart Crowser</v>
          </cell>
          <cell r="P13" t="str">
            <v>SC 16-17</v>
          </cell>
          <cell r="Q13" t="str">
            <v>Shannon, J., J. Blanchette and J. Gaeckle. 2018. Eelgrass (Zostera marina) Restoration in Puget Sound, WA. Final Restoration and Monitoring Report (12059-05) for US EPA, Hart Crowser, Edmonds, WA. Pp. 131.</v>
          </cell>
          <cell r="R13" t="str">
            <v>large scale</v>
          </cell>
          <cell r="S13" t="str">
            <v>--</v>
          </cell>
          <cell r="T13">
            <v>42888</v>
          </cell>
          <cell r="U13">
            <v>47.138916999999999</v>
          </cell>
          <cell r="V13">
            <v>-122.725556</v>
          </cell>
          <cell r="W13" t="str">
            <v>line</v>
          </cell>
          <cell r="X13" t="str">
            <v>retain</v>
          </cell>
          <cell r="Y13" t="str">
            <v>WGS84</v>
          </cell>
          <cell r="AF13" t="str">
            <v/>
          </cell>
          <cell r="AG13"/>
          <cell r="AH13"/>
          <cell r="AI13" t="str">
            <v/>
          </cell>
          <cell r="AJ13" t="str">
            <v/>
          </cell>
          <cell r="AL13"/>
        </row>
        <row r="14">
          <cell r="B14" t="str">
            <v>Anderson Island South 2 - west - HC - large - 2017</v>
          </cell>
          <cell r="C14" t="str">
            <v>AND_south_L3</v>
          </cell>
          <cell r="D14" t="str">
            <v>single</v>
          </cell>
          <cell r="E14">
            <v>2017</v>
          </cell>
          <cell r="F14" t="str">
            <v>Thom, RM, and L Hallum. 1990. Long‐term changes in the areal extent of tidal marshes, eelgrass meadows, and kelp forests of Puget Sound. FRI‐UW‐9008, Fisheries Research Institute, School of Fisheries, University of Washington, Seattle. Pp. 110.</v>
          </cell>
          <cell r="G14" t="str">
            <v>polygon</v>
          </cell>
          <cell r="H14" t="str">
            <v>Nisqually Reach</v>
          </cell>
          <cell r="I14" t="str">
            <v>CPS</v>
          </cell>
          <cell r="J14" t="str">
            <v>Eelgrass Restoration in Puget Sound</v>
          </cell>
          <cell r="K14" t="str">
            <v>WDFW</v>
          </cell>
          <cell r="L14" t="str">
            <v>National Estuary Program</v>
          </cell>
          <cell r="M14" t="str">
            <v>14-02072</v>
          </cell>
          <cell r="N14" t="str">
            <v>IAA 15-110</v>
          </cell>
          <cell r="O14" t="str">
            <v>Hart Crowser</v>
          </cell>
          <cell r="P14" t="str">
            <v>SC 16-17</v>
          </cell>
          <cell r="Q14" t="str">
            <v>Shannon, J., J. Blanchette and J. Gaeckle. 2018. Eelgrass (Zostera marina) Restoration in Puget Sound, WA. Final Restoration and Monitoring Report (12059-05) for US EPA, Hart Crowser, Edmonds, WA. Pp. 131.</v>
          </cell>
          <cell r="R14" t="str">
            <v>large scale</v>
          </cell>
          <cell r="S14" t="str">
            <v>large scale</v>
          </cell>
          <cell r="T14">
            <v>42890</v>
          </cell>
          <cell r="U14">
            <v>47.138249999999999</v>
          </cell>
          <cell r="V14">
            <v>-122.72369399999999</v>
          </cell>
          <cell r="W14" t="str">
            <v>line</v>
          </cell>
          <cell r="X14" t="str">
            <v>retain</v>
          </cell>
          <cell r="Y14" t="str">
            <v>WGS84</v>
          </cell>
          <cell r="Z14">
            <v>-1.6</v>
          </cell>
          <cell r="AA14" t="str">
            <v>turf</v>
          </cell>
          <cell r="AB14">
            <v>40</v>
          </cell>
          <cell r="AC14">
            <v>4</v>
          </cell>
          <cell r="AD14">
            <v>160</v>
          </cell>
          <cell r="AE14">
            <v>160</v>
          </cell>
          <cell r="AF14">
            <v>24.830000000000002</v>
          </cell>
          <cell r="AG14">
            <v>2483</v>
          </cell>
          <cell r="AH14">
            <v>24830</v>
          </cell>
          <cell r="AI14">
            <v>155.1875</v>
          </cell>
          <cell r="AJ14">
            <v>155.1875</v>
          </cell>
          <cell r="AK14" t="str">
            <v>Rocky Bay</v>
          </cell>
          <cell r="AL14" t="str">
            <v>large scale area of 40 m X 4 m (160 m2). Planted with plants from Rocky Bay. Planted with plants from Rocky Bay. Turfs plant 5-15 shoots per staple (X= ~10 shoots/staple). Estimated number of PUs at test-transplant site as 24,830/10 = 2483.</v>
          </cell>
        </row>
        <row r="15">
          <cell r="B15" t="str">
            <v>Anderson Island South 2 - east - HC - large - 2017</v>
          </cell>
          <cell r="C15" t="str">
            <v>AND_south_L3</v>
          </cell>
          <cell r="D15" t="str">
            <v>single</v>
          </cell>
          <cell r="E15">
            <v>2017</v>
          </cell>
          <cell r="F15" t="str">
            <v>Thom, RM, and L Hallum. 1990. Long‐term changes in the areal extent of tidal marshes, eelgrass meadows, and kelp forests of Puget Sound. FRI‐UW‐9008, Fisheries Research Institute, School of Fisheries, University of Washington, Seattle. Pp. 110.</v>
          </cell>
          <cell r="G15" t="str">
            <v>polygon</v>
          </cell>
          <cell r="H15" t="str">
            <v>Nisqually Reach</v>
          </cell>
          <cell r="I15" t="str">
            <v>CPS</v>
          </cell>
          <cell r="J15" t="str">
            <v>Eelgrass Restoration in Puget Sound</v>
          </cell>
          <cell r="K15" t="str">
            <v>WDFW</v>
          </cell>
          <cell r="L15" t="str">
            <v>National Estuary Program</v>
          </cell>
          <cell r="M15" t="str">
            <v>14-02072</v>
          </cell>
          <cell r="N15" t="str">
            <v>IAA 15-110</v>
          </cell>
          <cell r="O15" t="str">
            <v>Hart Crowser</v>
          </cell>
          <cell r="P15" t="str">
            <v>SC 16-17</v>
          </cell>
          <cell r="Q15" t="str">
            <v>Shannon, J., J. Blanchette and J. Gaeckle. 2018. Eelgrass (Zostera marina) Restoration in Puget Sound, WA. Final Restoration and Monitoring Report (12059-05) for US EPA, Hart Crowser, Edmonds, WA. Pp. 131.</v>
          </cell>
          <cell r="R15" t="str">
            <v>large scale</v>
          </cell>
          <cell r="S15" t="str">
            <v>--</v>
          </cell>
          <cell r="T15">
            <v>42890</v>
          </cell>
          <cell r="U15">
            <v>47.138444</v>
          </cell>
          <cell r="V15">
            <v>-122.72416699999999</v>
          </cell>
          <cell r="W15" t="str">
            <v>line</v>
          </cell>
          <cell r="X15" t="str">
            <v>retain</v>
          </cell>
          <cell r="Y15" t="str">
            <v>WGS84</v>
          </cell>
          <cell r="AF15" t="str">
            <v/>
          </cell>
          <cell r="AG15"/>
          <cell r="AH15"/>
          <cell r="AI15" t="str">
            <v/>
          </cell>
          <cell r="AJ15" t="str">
            <v/>
          </cell>
          <cell r="AL15"/>
        </row>
        <row r="16">
          <cell r="B16" t="str">
            <v>Anderson Island South 3 - east - PNNL - large - 2017</v>
          </cell>
          <cell r="C16" t="str">
            <v>AND_south_L4</v>
          </cell>
          <cell r="D16" t="str">
            <v>single</v>
          </cell>
          <cell r="E16">
            <v>2017</v>
          </cell>
          <cell r="F16" t="str">
            <v>Thom, RM, and L Hallum. 1990. Long‐term changes in the areal extent of tidal marshes, eelgrass meadows, and kelp forests of Puget Sound. FRI‐UW‐9008, Fisheries Research Institute, School of Fisheries, University of Washington, Seattle. Pp. 110.</v>
          </cell>
          <cell r="G16" t="str">
            <v>line</v>
          </cell>
          <cell r="H16" t="str">
            <v>Nisqually Reach</v>
          </cell>
          <cell r="I16" t="str">
            <v>CPS</v>
          </cell>
          <cell r="J16" t="str">
            <v>Puget Sound Eelgrass Restoration: 3 deltas</v>
          </cell>
          <cell r="K16" t="str">
            <v>USACE</v>
          </cell>
          <cell r="L16" t="str">
            <v>USACE</v>
          </cell>
          <cell r="M16" t="str">
            <v>W912DW-14-2-0009 (93-099566)</v>
          </cell>
          <cell r="N16" t="str">
            <v>IAA 15-45</v>
          </cell>
          <cell r="O16" t="str">
            <v>PNNL</v>
          </cell>
          <cell r="P16" t="str">
            <v>IAA 15-101</v>
          </cell>
          <cell r="Q16"/>
          <cell r="R16" t="str">
            <v>large scale</v>
          </cell>
          <cell r="S16" t="str">
            <v>large scale</v>
          </cell>
          <cell r="T16">
            <v>42955</v>
          </cell>
          <cell r="U16">
            <v>47.132633329999997</v>
          </cell>
          <cell r="V16">
            <v>-122.7181167</v>
          </cell>
          <cell r="W16" t="str">
            <v>line</v>
          </cell>
          <cell r="X16" t="str">
            <v>retain</v>
          </cell>
          <cell r="Y16" t="str">
            <v>WGS84</v>
          </cell>
          <cell r="Z16">
            <v>-1.31064</v>
          </cell>
          <cell r="AA16" t="str">
            <v>rebar</v>
          </cell>
          <cell r="AB16">
            <v>30</v>
          </cell>
          <cell r="AC16">
            <v>5</v>
          </cell>
          <cell r="AD16">
            <v>150</v>
          </cell>
          <cell r="AE16">
            <v>105.25</v>
          </cell>
          <cell r="AF16">
            <v>10.525</v>
          </cell>
          <cell r="AG16">
            <v>421</v>
          </cell>
          <cell r="AH16">
            <v>10525</v>
          </cell>
          <cell r="AI16">
            <v>70.166666666666671</v>
          </cell>
          <cell r="AJ16">
            <v>100</v>
          </cell>
          <cell r="AK16" t="str">
            <v>Thompson Cove</v>
          </cell>
          <cell r="AL16" t="str">
            <v>Site also known as Gaeckle 3, base line runs 320°</v>
          </cell>
        </row>
        <row r="17">
          <cell r="B17" t="str">
            <v>Anderson Island South 3 - east - PNNL - large - 2017</v>
          </cell>
          <cell r="C17" t="str">
            <v>AND_south_L4</v>
          </cell>
          <cell r="D17" t="str">
            <v>single</v>
          </cell>
          <cell r="E17">
            <v>2017</v>
          </cell>
          <cell r="F17" t="str">
            <v>Thom, RM, and L Hallum. 1990. Long‐term changes in the areal extent of tidal marshes, eelgrass meadows, and kelp forests of Puget Sound. FRI‐UW‐9008, Fisheries Research Institute, School of Fisheries, University of Washington, Seattle. Pp. 110.</v>
          </cell>
          <cell r="G17" t="str">
            <v>line</v>
          </cell>
          <cell r="H17" t="str">
            <v>Nisqually Reach</v>
          </cell>
          <cell r="I17" t="str">
            <v>CPS</v>
          </cell>
          <cell r="J17" t="str">
            <v>Puget Sound Eelgrass Restoration: 3 deltas</v>
          </cell>
          <cell r="K17" t="str">
            <v>USACE</v>
          </cell>
          <cell r="L17" t="str">
            <v>USACE</v>
          </cell>
          <cell r="M17" t="str">
            <v>W912DW-14-2-0009 (93-099566)</v>
          </cell>
          <cell r="N17" t="str">
            <v>IAA 15-45</v>
          </cell>
          <cell r="O17" t="str">
            <v>PNNL</v>
          </cell>
          <cell r="P17" t="str">
            <v>IAA 15-101</v>
          </cell>
          <cell r="Q17"/>
          <cell r="R17" t="str">
            <v>large scale</v>
          </cell>
          <cell r="S17" t="str">
            <v>--</v>
          </cell>
          <cell r="T17">
            <v>42955</v>
          </cell>
          <cell r="U17">
            <v>47.132379999999998</v>
          </cell>
          <cell r="V17">
            <v>-122.71795</v>
          </cell>
          <cell r="W17" t="str">
            <v>line</v>
          </cell>
          <cell r="X17" t="str">
            <v>retain</v>
          </cell>
          <cell r="Y17" t="str">
            <v>WGS84</v>
          </cell>
          <cell r="Z17"/>
          <cell r="AA17"/>
          <cell r="AB17"/>
          <cell r="AC17"/>
          <cell r="AE17"/>
          <cell r="AF17" t="str">
            <v/>
          </cell>
          <cell r="AG17"/>
          <cell r="AH17"/>
          <cell r="AI17" t="str">
            <v/>
          </cell>
          <cell r="AJ17" t="str">
            <v/>
          </cell>
          <cell r="AK17"/>
          <cell r="AL17"/>
        </row>
        <row r="18">
          <cell r="B18" t="str">
            <v>Amsterdam Bay - PNNL - deeper - test - 2020</v>
          </cell>
          <cell r="C18" t="str">
            <v>AMS_deeper</v>
          </cell>
          <cell r="D18" t="str">
            <v>single</v>
          </cell>
          <cell r="E18">
            <v>2020</v>
          </cell>
          <cell r="F18" t="str">
            <v>Thom, RM, and L Hallum. 1990. Long‐term changes in the areal extent of tidal marshes, eelgrass meadows, and kelp forests of Puget Sound. FRI‐UW‐9008, Fisheries Research Institute, School of Fisheries, University of Washington, Seattle. Pp. 110.</v>
          </cell>
          <cell r="G18" t="str">
            <v>point</v>
          </cell>
          <cell r="H18" t="str">
            <v>Drayton Passage</v>
          </cell>
          <cell r="I18" t="str">
            <v>CPS</v>
          </cell>
          <cell r="J18" t="str">
            <v>Eelgrass Recovery in PS</v>
          </cell>
          <cell r="K18" t="str">
            <v>USACE</v>
          </cell>
          <cell r="L18" t="str">
            <v>USACE</v>
          </cell>
          <cell r="M18" t="str">
            <v>W912DW-14-2-0009 (93-099566)</v>
          </cell>
          <cell r="N18" t="str">
            <v>IAA 15-45</v>
          </cell>
          <cell r="O18" t="str">
            <v>PNNL</v>
          </cell>
          <cell r="R18" t="str">
            <v>test</v>
          </cell>
          <cell r="S18" t="str">
            <v>test</v>
          </cell>
          <cell r="T18">
            <v>44012</v>
          </cell>
          <cell r="U18">
            <v>47.160375999999999</v>
          </cell>
          <cell r="V18">
            <v>-122.72771659999999</v>
          </cell>
          <cell r="W18" t="str">
            <v>point</v>
          </cell>
          <cell r="X18" t="str">
            <v>retain</v>
          </cell>
          <cell r="Y18" t="str">
            <v>WGS84</v>
          </cell>
          <cell r="Z18">
            <v>-1.1000000000000001</v>
          </cell>
          <cell r="AA18" t="str">
            <v>rebar</v>
          </cell>
          <cell r="AB18">
            <v>2.5</v>
          </cell>
          <cell r="AC18">
            <v>2.5</v>
          </cell>
          <cell r="AD18">
            <v>6.25</v>
          </cell>
          <cell r="AE18">
            <v>4.75</v>
          </cell>
          <cell r="AF18">
            <v>0.47500000000000003</v>
          </cell>
          <cell r="AG18">
            <v>19</v>
          </cell>
          <cell r="AH18">
            <v>475</v>
          </cell>
          <cell r="AI18">
            <v>76</v>
          </cell>
          <cell r="AJ18">
            <v>100</v>
          </cell>
          <cell r="AK18" t="str">
            <v>Anderson Island</v>
          </cell>
          <cell r="AL18" t="str">
            <v>180 deg az, sandy with gravel some wispy ulva</v>
          </cell>
        </row>
        <row r="19">
          <cell r="B19" t="str">
            <v>Anderson Island West - PNNL - test - 2020</v>
          </cell>
          <cell r="C19" t="str">
            <v>AND_west3</v>
          </cell>
          <cell r="D19" t="str">
            <v>single</v>
          </cell>
          <cell r="E19">
            <v>2020</v>
          </cell>
          <cell r="F19" t="str">
            <v>Thom, RM, and L Hallum. 1990. Long‐term changes in the areal extent of tidal marshes, eelgrass meadows, and kelp forests of Puget Sound. FRI‐UW‐9008, Fisheries Research Institute, School of Fisheries, University of Washington, Seattle. Pp. 110.</v>
          </cell>
          <cell r="G19" t="str">
            <v>point</v>
          </cell>
          <cell r="H19" t="str">
            <v>Drayton Passage</v>
          </cell>
          <cell r="I19" t="str">
            <v>CPS</v>
          </cell>
          <cell r="J19" t="str">
            <v>Eelgrass Recovery in PS</v>
          </cell>
          <cell r="K19" t="str">
            <v>USACE</v>
          </cell>
          <cell r="L19" t="str">
            <v>USACE</v>
          </cell>
          <cell r="M19" t="str">
            <v>W912DW-14-2-0009 (93-099566)</v>
          </cell>
          <cell r="N19" t="str">
            <v>IAA 15-45</v>
          </cell>
          <cell r="O19" t="str">
            <v>PNNL</v>
          </cell>
          <cell r="R19" t="str">
            <v>test</v>
          </cell>
          <cell r="S19" t="str">
            <v>test</v>
          </cell>
          <cell r="T19">
            <v>44013</v>
          </cell>
          <cell r="U19">
            <v>47.172138166000003</v>
          </cell>
          <cell r="V19">
            <v>-122.7279458</v>
          </cell>
          <cell r="W19" t="str">
            <v>point</v>
          </cell>
          <cell r="X19" t="str">
            <v>retain</v>
          </cell>
          <cell r="Y19" t="str">
            <v>WGS84</v>
          </cell>
          <cell r="Z19">
            <v>-1.2</v>
          </cell>
          <cell r="AA19" t="str">
            <v>rebar</v>
          </cell>
          <cell r="AB19">
            <v>3</v>
          </cell>
          <cell r="AC19">
            <v>2.5</v>
          </cell>
          <cell r="AD19">
            <v>7.5</v>
          </cell>
          <cell r="AE19">
            <v>6.25</v>
          </cell>
          <cell r="AF19">
            <v>0.625</v>
          </cell>
          <cell r="AG19">
            <v>25</v>
          </cell>
          <cell r="AH19">
            <v>625</v>
          </cell>
          <cell r="AI19">
            <v>83.333333333333329</v>
          </cell>
          <cell r="AJ19">
            <v>100</v>
          </cell>
          <cell r="AK19" t="str">
            <v>Anderson Island</v>
          </cell>
          <cell r="AL19" t="str">
            <v>180deg az, sandy with little bit of ulva</v>
          </cell>
        </row>
        <row r="20">
          <cell r="B20" t="str">
            <v>Anderson Island Northwest - PNNL - test - 2020</v>
          </cell>
          <cell r="C20" t="str">
            <v>AND_nw1</v>
          </cell>
          <cell r="D20" t="str">
            <v>single</v>
          </cell>
          <cell r="E20">
            <v>2020</v>
          </cell>
          <cell r="F20" t="str">
            <v>Thom, RM, and L Hallum. 1990. Long‐term changes in the areal extent of tidal marshes, eelgrass meadows, and kelp forests of Puget Sound. FRI‐UW‐9008, Fisheries Research Institute, School of Fisheries, University of Washington, Seattle. Pp. 110.</v>
          </cell>
          <cell r="G20" t="str">
            <v>point</v>
          </cell>
          <cell r="H20" t="str">
            <v>Drayton Passage</v>
          </cell>
          <cell r="I20" t="str">
            <v>CPS</v>
          </cell>
          <cell r="J20" t="str">
            <v>Eelgrass Recovery in PS</v>
          </cell>
          <cell r="K20" t="str">
            <v>USACE</v>
          </cell>
          <cell r="L20" t="str">
            <v>USACE</v>
          </cell>
          <cell r="M20" t="str">
            <v>W912DW-14-2-0009 (93-099566)</v>
          </cell>
          <cell r="N20" t="str">
            <v>IAA 15-45</v>
          </cell>
          <cell r="O20" t="str">
            <v>PNNL</v>
          </cell>
          <cell r="R20" t="str">
            <v>test</v>
          </cell>
          <cell r="S20" t="str">
            <v>test</v>
          </cell>
          <cell r="T20">
            <v>44012</v>
          </cell>
          <cell r="U20">
            <v>47.182099999999998</v>
          </cell>
          <cell r="V20">
            <v>-122.71379159999999</v>
          </cell>
          <cell r="W20" t="str">
            <v>point</v>
          </cell>
          <cell r="X20" t="str">
            <v>retain</v>
          </cell>
          <cell r="Y20" t="str">
            <v>WGS84</v>
          </cell>
          <cell r="Z20">
            <v>-1.3</v>
          </cell>
          <cell r="AA20" t="str">
            <v>rebar</v>
          </cell>
          <cell r="AB20">
            <v>2.5</v>
          </cell>
          <cell r="AC20">
            <v>2.5</v>
          </cell>
          <cell r="AD20">
            <v>6.25</v>
          </cell>
          <cell r="AE20">
            <v>5</v>
          </cell>
          <cell r="AF20">
            <v>0.5</v>
          </cell>
          <cell r="AG20">
            <v>20</v>
          </cell>
          <cell r="AH20">
            <v>500</v>
          </cell>
          <cell r="AI20">
            <v>80</v>
          </cell>
          <cell r="AJ20">
            <v>100</v>
          </cell>
          <cell r="AK20" t="str">
            <v>Anderson Island</v>
          </cell>
          <cell r="AL20" t="str">
            <v>170deg az, sandy with non-attached ulva</v>
          </cell>
        </row>
        <row r="21">
          <cell r="B21" t="str">
            <v>Anderson Island South 1 - west - test - 2021</v>
          </cell>
          <cell r="C21" t="str">
            <v>AND_west4</v>
          </cell>
          <cell r="D21" t="str">
            <v>single</v>
          </cell>
          <cell r="E21">
            <v>2021</v>
          </cell>
          <cell r="F21"/>
          <cell r="J21"/>
          <cell r="K21"/>
          <cell r="L21"/>
          <cell r="M21"/>
          <cell r="N21"/>
          <cell r="O21"/>
          <cell r="R21" t="str">
            <v>test</v>
          </cell>
          <cell r="S21" t="str">
            <v>test</v>
          </cell>
          <cell r="T21">
            <v>44369</v>
          </cell>
          <cell r="U21"/>
          <cell r="V21"/>
          <cell r="W21" t="str">
            <v>point</v>
          </cell>
          <cell r="X21" t="str">
            <v>retain</v>
          </cell>
          <cell r="Y21" t="str">
            <v>WGS84</v>
          </cell>
          <cell r="Z21">
            <v>-1.5</v>
          </cell>
          <cell r="AA21" t="str">
            <v>rebar</v>
          </cell>
          <cell r="AB21">
            <v>3.5</v>
          </cell>
          <cell r="AC21">
            <v>0.5</v>
          </cell>
          <cell r="AD21">
            <v>1.75</v>
          </cell>
          <cell r="AE21">
            <v>2.25</v>
          </cell>
          <cell r="AF21">
            <v>0.22500000000000001</v>
          </cell>
          <cell r="AG21">
            <v>9</v>
          </cell>
          <cell r="AH21">
            <v>135</v>
          </cell>
          <cell r="AI21">
            <v>77.142857142857139</v>
          </cell>
          <cell r="AJ21">
            <v>60</v>
          </cell>
          <cell r="AK21" t="str">
            <v>DuPont Wharf</v>
          </cell>
        </row>
        <row r="22">
          <cell r="B22" t="str">
            <v>Anderson Island South 2 - west - test - 2021</v>
          </cell>
          <cell r="C22" t="str">
            <v>AND_west5</v>
          </cell>
          <cell r="D22" t="str">
            <v>single</v>
          </cell>
          <cell r="E22">
            <v>2021</v>
          </cell>
          <cell r="F22"/>
          <cell r="J22"/>
          <cell r="K22"/>
          <cell r="L22"/>
          <cell r="M22"/>
          <cell r="N22"/>
          <cell r="O22"/>
          <cell r="R22" t="str">
            <v>test</v>
          </cell>
          <cell r="S22" t="str">
            <v>test</v>
          </cell>
          <cell r="T22">
            <v>44372</v>
          </cell>
          <cell r="U22"/>
          <cell r="V22"/>
          <cell r="W22" t="str">
            <v>point</v>
          </cell>
          <cell r="X22" t="str">
            <v>retain</v>
          </cell>
          <cell r="Y22" t="str">
            <v>WGS84</v>
          </cell>
          <cell r="Z22">
            <v>-1.5</v>
          </cell>
          <cell r="AA22" t="str">
            <v>rebar</v>
          </cell>
          <cell r="AB22">
            <v>3.5</v>
          </cell>
          <cell r="AC22">
            <v>0.5</v>
          </cell>
          <cell r="AD22">
            <v>1.75</v>
          </cell>
          <cell r="AE22">
            <v>2.25</v>
          </cell>
          <cell r="AF22">
            <v>0.22500000000000001</v>
          </cell>
          <cell r="AG22">
            <v>9</v>
          </cell>
          <cell r="AH22">
            <v>135</v>
          </cell>
          <cell r="AI22">
            <v>77.142857142857139</v>
          </cell>
          <cell r="AJ22">
            <v>60</v>
          </cell>
          <cell r="AK22" t="str">
            <v>DuPont Wharf</v>
          </cell>
        </row>
        <row r="23">
          <cell r="B23" t="str">
            <v>Anderson Island South 3 - west - test - 2021</v>
          </cell>
          <cell r="C23" t="str">
            <v>AND_west6</v>
          </cell>
          <cell r="D23" t="str">
            <v>single</v>
          </cell>
          <cell r="E23">
            <v>2021</v>
          </cell>
          <cell r="F23"/>
          <cell r="J23"/>
          <cell r="K23"/>
          <cell r="L23"/>
          <cell r="M23"/>
          <cell r="N23"/>
          <cell r="O23"/>
          <cell r="R23" t="str">
            <v>test</v>
          </cell>
          <cell r="S23" t="str">
            <v>test</v>
          </cell>
          <cell r="T23">
            <v>44372</v>
          </cell>
          <cell r="U23"/>
          <cell r="V23"/>
          <cell r="W23" t="str">
            <v>point</v>
          </cell>
          <cell r="X23" t="str">
            <v>retain</v>
          </cell>
          <cell r="Y23" t="str">
            <v>WGS84</v>
          </cell>
          <cell r="Z23">
            <v>-1.5</v>
          </cell>
          <cell r="AA23" t="str">
            <v>rebar</v>
          </cell>
          <cell r="AB23">
            <v>3.5</v>
          </cell>
          <cell r="AC23">
            <v>0.5</v>
          </cell>
          <cell r="AD23">
            <v>1.75</v>
          </cell>
          <cell r="AE23">
            <v>2.25</v>
          </cell>
          <cell r="AF23">
            <v>0.22500000000000001</v>
          </cell>
          <cell r="AG23">
            <v>9</v>
          </cell>
          <cell r="AH23">
            <v>135</v>
          </cell>
          <cell r="AI23">
            <v>77.142857142857139</v>
          </cell>
          <cell r="AJ23">
            <v>60</v>
          </cell>
          <cell r="AK23" t="str">
            <v>DuPont Wharf</v>
          </cell>
        </row>
        <row r="24">
          <cell r="B24" t="str">
            <v>Anderson Island - Carlson Bay SE - DNR - test 1 - 2023</v>
          </cell>
          <cell r="C24" t="str">
            <v>AND_se1</v>
          </cell>
          <cell r="D24" t="str">
            <v>single</v>
          </cell>
          <cell r="E24">
            <v>2023</v>
          </cell>
          <cell r="G24" t="str">
            <v>point</v>
          </cell>
          <cell r="H24" t="str">
            <v>Case Inlet</v>
          </cell>
          <cell r="I24" t="str">
            <v>CPS</v>
          </cell>
          <cell r="R24" t="str">
            <v>test</v>
          </cell>
          <cell r="S24" t="str">
            <v>test</v>
          </cell>
          <cell r="T24">
            <v>45082</v>
          </cell>
          <cell r="U24">
            <v>47.141539999999999</v>
          </cell>
          <cell r="V24">
            <v>-122.73026</v>
          </cell>
          <cell r="W24" t="str">
            <v>point</v>
          </cell>
          <cell r="X24" t="str">
            <v>retain</v>
          </cell>
          <cell r="Y24" t="str">
            <v>WGS84</v>
          </cell>
          <cell r="Z24">
            <v>-1.5</v>
          </cell>
          <cell r="AA24" t="str">
            <v>rebar</v>
          </cell>
          <cell r="AB24">
            <v>1.5</v>
          </cell>
          <cell r="AC24">
            <v>0.5</v>
          </cell>
          <cell r="AD24">
            <v>0.75</v>
          </cell>
          <cell r="AE24">
            <v>2.25</v>
          </cell>
          <cell r="AF24">
            <v>0.22500000000000001</v>
          </cell>
          <cell r="AG24">
            <v>9</v>
          </cell>
          <cell r="AH24">
            <v>150</v>
          </cell>
          <cell r="AI24">
            <v>200</v>
          </cell>
          <cell r="AJ24">
            <v>66.666666666666671</v>
          </cell>
          <cell r="AK24" t="str">
            <v>DuPont Wharf</v>
          </cell>
        </row>
        <row r="25">
          <cell r="B25" t="str">
            <v>Blind Bay - DNR - test - 2020</v>
          </cell>
          <cell r="C25" t="str">
            <v>BB_test_1</v>
          </cell>
          <cell r="D25" t="str">
            <v>single</v>
          </cell>
          <cell r="E25">
            <v>2020</v>
          </cell>
          <cell r="F25" t="str">
            <v>SVMP</v>
          </cell>
          <cell r="G25" t="str">
            <v>line</v>
          </cell>
          <cell r="H25" t="str">
            <v>Blind Bay</v>
          </cell>
          <cell r="I25" t="str">
            <v>SJS</v>
          </cell>
          <cell r="J25" t="str">
            <v>Eelgrass Recovery in the San Juan Islands</v>
          </cell>
          <cell r="K25" t="str">
            <v>DNR</v>
          </cell>
          <cell r="L25" t="str">
            <v>SRFB - 19-1402</v>
          </cell>
          <cell r="R25" t="str">
            <v>test</v>
          </cell>
          <cell r="S25" t="str">
            <v>test</v>
          </cell>
          <cell r="T25">
            <v>44045</v>
          </cell>
          <cell r="U25">
            <v>48.578159999999997</v>
          </cell>
          <cell r="V25">
            <v>-122.94099</v>
          </cell>
          <cell r="W25" t="str">
            <v>line</v>
          </cell>
          <cell r="X25" t="str">
            <v>retain</v>
          </cell>
          <cell r="Y25" t="str">
            <v>WGS84</v>
          </cell>
          <cell r="Z25">
            <v>-1.7</v>
          </cell>
          <cell r="AA25" t="str">
            <v>rebar</v>
          </cell>
          <cell r="AB25">
            <v>14</v>
          </cell>
          <cell r="AC25">
            <v>1</v>
          </cell>
          <cell r="AD25">
            <v>14</v>
          </cell>
          <cell r="AE25">
            <v>4</v>
          </cell>
          <cell r="AF25">
            <v>0.4</v>
          </cell>
          <cell r="AG25">
            <v>16</v>
          </cell>
          <cell r="AH25">
            <v>320</v>
          </cell>
          <cell r="AI25">
            <v>22.857142857142858</v>
          </cell>
          <cell r="AJ25">
            <v>80</v>
          </cell>
          <cell r="AK25" t="str">
            <v>Dumas Bay</v>
          </cell>
          <cell r="AL25" t="str">
            <v>GPS marks the 0 m helical anchor. Another helical is set at 14 m (48.57810 -122.94094). Planting started at 2 m and ended at 10 m to keep transplants 2 m away from helicals at the end of the 14 m transect. Eelgrass harvested from the Shannon Point Marine Center mesocosms on 31 Jul 2020.</v>
          </cell>
        </row>
        <row r="26">
          <cell r="B26" t="str">
            <v>Blind Bay - DNR - test - 2020</v>
          </cell>
          <cell r="C26" t="str">
            <v>BB_test_1</v>
          </cell>
          <cell r="D26" t="str">
            <v>single</v>
          </cell>
          <cell r="E26">
            <v>2020</v>
          </cell>
          <cell r="F26" t="str">
            <v>SVMP</v>
          </cell>
          <cell r="G26" t="str">
            <v>line</v>
          </cell>
          <cell r="H26" t="str">
            <v>Blind Bay</v>
          </cell>
          <cell r="I26" t="str">
            <v>SJS</v>
          </cell>
          <cell r="J26" t="str">
            <v>Eelgrass Recovery in the San Juan Islands</v>
          </cell>
          <cell r="K26" t="str">
            <v>DNR</v>
          </cell>
          <cell r="L26" t="str">
            <v>SRFB - 19-1402</v>
          </cell>
          <cell r="R26" t="str">
            <v>test</v>
          </cell>
          <cell r="S26" t="str">
            <v>test</v>
          </cell>
          <cell r="T26">
            <v>44045</v>
          </cell>
          <cell r="U26">
            <v>48.578159999999997</v>
          </cell>
          <cell r="V26">
            <v>-122.94099</v>
          </cell>
          <cell r="W26" t="str">
            <v>line</v>
          </cell>
          <cell r="X26" t="str">
            <v>retain</v>
          </cell>
          <cell r="Y26" t="str">
            <v>WGS84</v>
          </cell>
          <cell r="Z26">
            <v>-1.7</v>
          </cell>
          <cell r="AA26" t="str">
            <v>rebar</v>
          </cell>
          <cell r="AB26">
            <v>14</v>
          </cell>
          <cell r="AC26">
            <v>1</v>
          </cell>
          <cell r="AD26">
            <v>14</v>
          </cell>
          <cell r="AE26">
            <v>0.75</v>
          </cell>
          <cell r="AF26">
            <v>7.4999999999999997E-2</v>
          </cell>
          <cell r="AG26">
            <v>3</v>
          </cell>
          <cell r="AH26">
            <v>60</v>
          </cell>
          <cell r="AI26">
            <v>4.2857142857142856</v>
          </cell>
          <cell r="AJ26">
            <v>80</v>
          </cell>
          <cell r="AK26" t="str">
            <v>Fay Bainbridge</v>
          </cell>
          <cell r="AL26" t="str">
            <v>GPS marks the 0 m helical anchor. Another helical is set at 14 m (48.57810 -122.94094). Planting started at 2 m and ended at 10 m to keep transplants 2 m away from helicals at the end of the 14 m transect. Eelgrass harvested from the Shannon Point Marine Center mesocosms on 31 Jul 2020.</v>
          </cell>
        </row>
        <row r="27">
          <cell r="B27" t="str">
            <v>Blind Bay - DNR - test - 2020</v>
          </cell>
          <cell r="C27" t="str">
            <v>BB_test_1</v>
          </cell>
          <cell r="D27" t="str">
            <v>single</v>
          </cell>
          <cell r="E27">
            <v>2020</v>
          </cell>
          <cell r="F27" t="str">
            <v>SVMP</v>
          </cell>
          <cell r="G27" t="str">
            <v>line</v>
          </cell>
          <cell r="H27" t="str">
            <v>Blind Bay</v>
          </cell>
          <cell r="I27" t="str">
            <v>SJS</v>
          </cell>
          <cell r="J27" t="str">
            <v>Eelgrass Recovery in the San Juan Islands</v>
          </cell>
          <cell r="K27" t="str">
            <v>DNR</v>
          </cell>
          <cell r="L27" t="str">
            <v>SRFB - 19-1402</v>
          </cell>
          <cell r="R27" t="str">
            <v>test</v>
          </cell>
          <cell r="S27" t="str">
            <v>test</v>
          </cell>
          <cell r="T27">
            <v>44045</v>
          </cell>
          <cell r="U27">
            <v>48.578159999999997</v>
          </cell>
          <cell r="V27">
            <v>-122.94099</v>
          </cell>
          <cell r="W27" t="str">
            <v>line</v>
          </cell>
          <cell r="X27" t="str">
            <v>retain</v>
          </cell>
          <cell r="Y27" t="str">
            <v>WGS84</v>
          </cell>
          <cell r="Z27">
            <v>-1.7</v>
          </cell>
          <cell r="AA27" t="str">
            <v>rebar</v>
          </cell>
          <cell r="AB27">
            <v>14</v>
          </cell>
          <cell r="AC27">
            <v>1</v>
          </cell>
          <cell r="AD27">
            <v>14</v>
          </cell>
          <cell r="AE27">
            <v>2.25</v>
          </cell>
          <cell r="AF27">
            <v>0.22500000000000001</v>
          </cell>
          <cell r="AG27">
            <v>9</v>
          </cell>
          <cell r="AH27">
            <v>135</v>
          </cell>
          <cell r="AI27">
            <v>9.6428571428571423</v>
          </cell>
          <cell r="AJ27">
            <v>60</v>
          </cell>
          <cell r="AK27" t="str">
            <v>Henry Island</v>
          </cell>
          <cell r="AL27" t="str">
            <v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v>
          </cell>
        </row>
        <row r="28">
          <cell r="B28" t="str">
            <v>Blind Bay - DNR - test - 2020</v>
          </cell>
          <cell r="C28" t="str">
            <v>BB_test_1</v>
          </cell>
          <cell r="D28" t="str">
            <v>single</v>
          </cell>
          <cell r="E28">
            <v>2020</v>
          </cell>
          <cell r="F28" t="str">
            <v>SVMP</v>
          </cell>
          <cell r="G28" t="str">
            <v>line</v>
          </cell>
          <cell r="H28" t="str">
            <v>Blind Bay</v>
          </cell>
          <cell r="I28" t="str">
            <v>SJS</v>
          </cell>
          <cell r="J28" t="str">
            <v>Eelgrass Recovery in the San Juan Islands</v>
          </cell>
          <cell r="K28" t="str">
            <v>DNR</v>
          </cell>
          <cell r="L28" t="str">
            <v>SRFB - 19-1402</v>
          </cell>
          <cell r="R28" t="str">
            <v>test</v>
          </cell>
          <cell r="S28" t="str">
            <v>test</v>
          </cell>
          <cell r="T28">
            <v>44045</v>
          </cell>
          <cell r="U28">
            <v>48.578159999999997</v>
          </cell>
          <cell r="V28">
            <v>-122.94099</v>
          </cell>
          <cell r="W28" t="str">
            <v>line</v>
          </cell>
          <cell r="X28" t="str">
            <v>retain</v>
          </cell>
          <cell r="Y28" t="str">
            <v>WGS84</v>
          </cell>
          <cell r="Z28">
            <v>-1.7</v>
          </cell>
          <cell r="AA28" t="str">
            <v>rebar</v>
          </cell>
          <cell r="AB28">
            <v>14</v>
          </cell>
          <cell r="AC28">
            <v>1</v>
          </cell>
          <cell r="AD28">
            <v>14</v>
          </cell>
          <cell r="AE28">
            <v>3.75</v>
          </cell>
          <cell r="AF28">
            <v>0.375</v>
          </cell>
          <cell r="AG28">
            <v>15</v>
          </cell>
          <cell r="AH28">
            <v>210</v>
          </cell>
          <cell r="AI28">
            <v>15</v>
          </cell>
          <cell r="AJ28">
            <v>56</v>
          </cell>
          <cell r="AK28" t="str">
            <v>Ship Harbor</v>
          </cell>
          <cell r="AL28" t="str">
            <v>GPS marks the 0 m helical anchor. Another helical is set at 14 m (48.57810 -122.94094). Planting started at 2 m and ended at 10 m to keep transplants 2 m away from helicals at the end of the 14 m transect. Eelgrass harvested from the Shannon Point Marine Center mesocosms on 31 Jul 2020.</v>
          </cell>
        </row>
        <row r="29">
          <cell r="B29" t="str">
            <v>Blind Bay - DNR - test - 2020</v>
          </cell>
          <cell r="C29" t="str">
            <v>BB_test_1</v>
          </cell>
          <cell r="D29" t="str">
            <v>single</v>
          </cell>
          <cell r="E29">
            <v>2020</v>
          </cell>
          <cell r="F29" t="str">
            <v>SVMP</v>
          </cell>
          <cell r="G29" t="str">
            <v>line</v>
          </cell>
          <cell r="H29" t="str">
            <v>Blind Bay</v>
          </cell>
          <cell r="I29" t="str">
            <v>SJS</v>
          </cell>
          <cell r="J29" t="str">
            <v>Eelgrass Recovery in the San Juan Islands</v>
          </cell>
          <cell r="K29" t="str">
            <v>DNR</v>
          </cell>
          <cell r="L29" t="str">
            <v>SRFB - 19-1402</v>
          </cell>
          <cell r="R29" t="str">
            <v>test</v>
          </cell>
          <cell r="S29" t="str">
            <v>test</v>
          </cell>
          <cell r="T29">
            <v>44045</v>
          </cell>
          <cell r="U29">
            <v>48.578159999999997</v>
          </cell>
          <cell r="V29">
            <v>-122.94099</v>
          </cell>
          <cell r="W29" t="str">
            <v>line</v>
          </cell>
          <cell r="X29" t="str">
            <v>retain</v>
          </cell>
          <cell r="Y29" t="str">
            <v>WGS84</v>
          </cell>
          <cell r="Z29">
            <v>-1.7</v>
          </cell>
          <cell r="AA29" t="str">
            <v>rebar</v>
          </cell>
          <cell r="AB29">
            <v>14</v>
          </cell>
          <cell r="AC29">
            <v>1</v>
          </cell>
          <cell r="AD29">
            <v>14</v>
          </cell>
          <cell r="AE29">
            <v>1.75</v>
          </cell>
          <cell r="AF29">
            <v>0.17499999999999999</v>
          </cell>
          <cell r="AG29">
            <v>7</v>
          </cell>
          <cell r="AH29">
            <v>175</v>
          </cell>
          <cell r="AI29">
            <v>12.5</v>
          </cell>
          <cell r="AJ29">
            <v>100</v>
          </cell>
          <cell r="AK29" t="str">
            <v>Mixed</v>
          </cell>
          <cell r="AL29" t="str">
            <v>GPS marks the 0 m helical anchor. Another helical is set at 14 m (48.57810 -122.94094). Planting started at 2 m and ended at 10 m to keep transplants 2 m away from helicals at the end of the 14 m transect. Eelgrass harvested from the Shannon Point Marine Center mesocosms on 31 Jul 2020.</v>
          </cell>
        </row>
        <row r="30">
          <cell r="B30" t="str">
            <v>Chico Bay - PNNL - test - 2015</v>
          </cell>
          <cell r="C30" t="str">
            <v>CHC</v>
          </cell>
          <cell r="D30" t="str">
            <v>single</v>
          </cell>
          <cell r="E30">
            <v>2015</v>
          </cell>
          <cell r="G30" t="str">
            <v>point</v>
          </cell>
          <cell r="H30" t="str">
            <v>Dyes Inlet</v>
          </cell>
          <cell r="I30" t="str">
            <v>CPS</v>
          </cell>
          <cell r="J30" t="str">
            <v>Eelgrass Restoration in PS</v>
          </cell>
          <cell r="K30" t="str">
            <v>DNR</v>
          </cell>
          <cell r="L30" t="str">
            <v>Aquatic Restoration Program</v>
          </cell>
          <cell r="O30" t="str">
            <v>PNNL</v>
          </cell>
          <cell r="P30" t="str">
            <v>IAA 12-317.1</v>
          </cell>
          <cell r="Q30" t="str">
            <v>Aston, L.A., A.B. Borde and J. Vavrinec. 2015. Final Summary Report - Eelgrass Restoration in Puget Sound Project Summary. Pacific Northwest National Laboratory, Richland, WA. PNNL-24445.</v>
          </cell>
          <cell r="R30" t="str">
            <v>test</v>
          </cell>
          <cell r="S30" t="str">
            <v>test</v>
          </cell>
          <cell r="T30">
            <v>42053</v>
          </cell>
          <cell r="U30">
            <v>47.606483333333337</v>
          </cell>
          <cell r="V30">
            <v>-122.69918333333334</v>
          </cell>
          <cell r="W30" t="str">
            <v>point</v>
          </cell>
          <cell r="X30" t="str">
            <v>retain</v>
          </cell>
          <cell r="Y30" t="str">
            <v>WGS84</v>
          </cell>
          <cell r="Z30">
            <v>-0.85343999999999987</v>
          </cell>
          <cell r="AA30" t="str">
            <v>staple</v>
          </cell>
          <cell r="AB30">
            <v>5</v>
          </cell>
          <cell r="AC30">
            <v>5</v>
          </cell>
          <cell r="AD30">
            <v>25</v>
          </cell>
          <cell r="AE30">
            <v>25</v>
          </cell>
          <cell r="AF30">
            <v>0.625</v>
          </cell>
          <cell r="AG30">
            <v>125</v>
          </cell>
          <cell r="AH30">
            <v>500</v>
          </cell>
          <cell r="AI30">
            <v>20</v>
          </cell>
          <cell r="AJ30">
            <v>20</v>
          </cell>
          <cell r="AK30" t="str">
            <v>Creosote Point</v>
          </cell>
        </row>
        <row r="31">
          <cell r="B31" t="str">
            <v>Commencement Bay - PNNL - Test Plot shallow - 2017</v>
          </cell>
          <cell r="C31" t="str">
            <v>COM_shallow</v>
          </cell>
          <cell r="D31" t="str">
            <v>single</v>
          </cell>
          <cell r="E31">
            <v>2017</v>
          </cell>
          <cell r="F31"/>
          <cell r="G31" t="str">
            <v>point</v>
          </cell>
          <cell r="H31" t="str">
            <v>Commencement Bay</v>
          </cell>
          <cell r="I31" t="str">
            <v>CPS</v>
          </cell>
          <cell r="J31" t="str">
            <v>Eelgrass Recovery in PS</v>
          </cell>
          <cell r="K31" t="str">
            <v>USFWS</v>
          </cell>
          <cell r="L31" t="str">
            <v>USFWS</v>
          </cell>
          <cell r="M31" t="str">
            <v>WA F16AP00163 AL</v>
          </cell>
          <cell r="N31"/>
          <cell r="O31" t="str">
            <v>PNNL</v>
          </cell>
          <cell r="P31" t="str">
            <v>93-094344</v>
          </cell>
          <cell r="Q31"/>
          <cell r="R31" t="str">
            <v>test</v>
          </cell>
          <cell r="S31" t="str">
            <v>test</v>
          </cell>
          <cell r="T31">
            <v>42978</v>
          </cell>
          <cell r="U31">
            <v>47.276260000000001</v>
          </cell>
          <cell r="V31">
            <v>-122.4636385</v>
          </cell>
          <cell r="W31" t="str">
            <v>point</v>
          </cell>
          <cell r="X31" t="str">
            <v>retain</v>
          </cell>
          <cell r="Y31" t="str">
            <v>WGS84</v>
          </cell>
          <cell r="Z31">
            <v>-1.524</v>
          </cell>
          <cell r="AA31" t="str">
            <v>rebar</v>
          </cell>
          <cell r="AB31">
            <v>2.5</v>
          </cell>
          <cell r="AC31">
            <v>2.5</v>
          </cell>
          <cell r="AD31">
            <v>6.25</v>
          </cell>
          <cell r="AE31">
            <v>5</v>
          </cell>
          <cell r="AF31">
            <v>0.5</v>
          </cell>
          <cell r="AG31">
            <v>20</v>
          </cell>
          <cell r="AH31">
            <v>500</v>
          </cell>
          <cell r="AI31">
            <v>80</v>
          </cell>
          <cell r="AJ31">
            <v>100</v>
          </cell>
          <cell r="AK31" t="str">
            <v>Creosote Point</v>
          </cell>
          <cell r="AL31"/>
        </row>
        <row r="32">
          <cell r="B32" t="str">
            <v>Commencement Bay - PNNL - Test Plot deep - 2017</v>
          </cell>
          <cell r="C32" t="str">
            <v>COM_deep</v>
          </cell>
          <cell r="D32" t="str">
            <v>single</v>
          </cell>
          <cell r="E32">
            <v>2017</v>
          </cell>
          <cell r="F32"/>
          <cell r="G32" t="str">
            <v>point</v>
          </cell>
          <cell r="H32" t="str">
            <v>Commencement Bay</v>
          </cell>
          <cell r="I32" t="str">
            <v>CPS</v>
          </cell>
          <cell r="J32" t="str">
            <v>Eelgrass Recovery in PS</v>
          </cell>
          <cell r="K32" t="str">
            <v>USFWS</v>
          </cell>
          <cell r="L32" t="str">
            <v>USFWS</v>
          </cell>
          <cell r="M32" t="str">
            <v>WA F16AP00163 AL</v>
          </cell>
          <cell r="N32"/>
          <cell r="O32" t="str">
            <v>PNNL</v>
          </cell>
          <cell r="P32" t="str">
            <v>93-094344</v>
          </cell>
          <cell r="Q32"/>
          <cell r="R32" t="str">
            <v>test</v>
          </cell>
          <cell r="S32" t="str">
            <v>test</v>
          </cell>
          <cell r="T32">
            <v>42978</v>
          </cell>
          <cell r="U32">
            <v>47.276316666666666</v>
          </cell>
          <cell r="V32">
            <v>-122.46373333333334</v>
          </cell>
          <cell r="W32" t="str">
            <v>point</v>
          </cell>
          <cell r="X32" t="str">
            <v>retain</v>
          </cell>
          <cell r="Y32" t="str">
            <v>WGS84</v>
          </cell>
          <cell r="Z32">
            <v>-2.4384000000000001</v>
          </cell>
          <cell r="AA32" t="str">
            <v>rebar</v>
          </cell>
          <cell r="AB32">
            <v>2.5</v>
          </cell>
          <cell r="AC32">
            <v>2.5</v>
          </cell>
          <cell r="AD32">
            <v>6.25</v>
          </cell>
          <cell r="AE32">
            <v>5</v>
          </cell>
          <cell r="AF32">
            <v>0.5</v>
          </cell>
          <cell r="AG32">
            <v>20</v>
          </cell>
          <cell r="AH32">
            <v>500</v>
          </cell>
          <cell r="AI32">
            <v>80</v>
          </cell>
          <cell r="AJ32">
            <v>100</v>
          </cell>
          <cell r="AK32" t="str">
            <v>Creosote Point</v>
          </cell>
          <cell r="AL32"/>
        </row>
        <row r="33">
          <cell r="B33" t="str">
            <v>Commencement Bay - PNNL - large - 2018</v>
          </cell>
          <cell r="C33" t="str">
            <v>COM_L1</v>
          </cell>
          <cell r="D33" t="str">
            <v>single</v>
          </cell>
          <cell r="E33">
            <v>2018</v>
          </cell>
          <cell r="F33"/>
          <cell r="G33" t="str">
            <v>line</v>
          </cell>
          <cell r="H33" t="str">
            <v>Commencement Bay</v>
          </cell>
          <cell r="I33" t="str">
            <v>CPS</v>
          </cell>
          <cell r="J33" t="str">
            <v>Eelgrass Recovery in PS</v>
          </cell>
          <cell r="K33" t="str">
            <v>USFWS</v>
          </cell>
          <cell r="L33" t="str">
            <v>USFWS</v>
          </cell>
          <cell r="M33" t="str">
            <v>WA F16AP00163 AL</v>
          </cell>
          <cell r="N33"/>
          <cell r="O33" t="str">
            <v>PNNL</v>
          </cell>
          <cell r="P33" t="str">
            <v>93-094344</v>
          </cell>
          <cell r="Q33"/>
          <cell r="R33" t="str">
            <v>large scale</v>
          </cell>
          <cell r="S33" t="str">
            <v>large scale</v>
          </cell>
          <cell r="T33">
            <v>43277</v>
          </cell>
          <cell r="U33">
            <v>47.276299999999999</v>
          </cell>
          <cell r="V33">
            <v>-122.4636</v>
          </cell>
          <cell r="W33" t="str">
            <v>line</v>
          </cell>
          <cell r="X33" t="str">
            <v>retain</v>
          </cell>
          <cell r="Y33" t="str">
            <v>WGS84</v>
          </cell>
          <cell r="Z33">
            <v>-2.4384000000000001</v>
          </cell>
          <cell r="AA33" t="str">
            <v>rebar</v>
          </cell>
          <cell r="AB33">
            <v>19</v>
          </cell>
          <cell r="AC33">
            <v>10</v>
          </cell>
          <cell r="AD33">
            <v>190</v>
          </cell>
          <cell r="AE33">
            <v>108.25</v>
          </cell>
          <cell r="AF33">
            <v>10.825000000000001</v>
          </cell>
          <cell r="AG33">
            <v>433</v>
          </cell>
          <cell r="AH33">
            <v>10825</v>
          </cell>
          <cell r="AI33">
            <v>56.973684210526315</v>
          </cell>
          <cell r="AJ33">
            <v>100</v>
          </cell>
          <cell r="AK33" t="str">
            <v>Dumas Bay</v>
          </cell>
          <cell r="AL33" t="str">
            <v>Planting occurred near 2 test plots so planting was irregular to not overlap with the test plots. See planting diagram</v>
          </cell>
        </row>
        <row r="34">
          <cell r="B34" t="str">
            <v>Commencement Bay - PNNL - large - 2018</v>
          </cell>
          <cell r="C34" t="str">
            <v>COM_L1</v>
          </cell>
          <cell r="D34" t="str">
            <v>single</v>
          </cell>
          <cell r="E34">
            <v>2018</v>
          </cell>
          <cell r="F34"/>
          <cell r="G34" t="str">
            <v>line</v>
          </cell>
          <cell r="H34" t="str">
            <v>Commencement Bay</v>
          </cell>
          <cell r="I34" t="str">
            <v>CPS</v>
          </cell>
          <cell r="J34" t="str">
            <v>Eelgrass Recovery in PS</v>
          </cell>
          <cell r="K34" t="str">
            <v>USFWS</v>
          </cell>
          <cell r="L34" t="str">
            <v>USFWS</v>
          </cell>
          <cell r="M34" t="str">
            <v>WA F16AP00163 AL</v>
          </cell>
          <cell r="N34"/>
          <cell r="O34" t="str">
            <v>PNNL</v>
          </cell>
          <cell r="P34" t="str">
            <v>93-094344</v>
          </cell>
          <cell r="Q34"/>
          <cell r="R34" t="str">
            <v>large scale</v>
          </cell>
          <cell r="S34" t="str">
            <v>--</v>
          </cell>
          <cell r="T34">
            <v>43277</v>
          </cell>
          <cell r="U34">
            <v>47.276319999999998</v>
          </cell>
          <cell r="V34">
            <v>-122.46381</v>
          </cell>
          <cell r="W34" t="str">
            <v>line</v>
          </cell>
          <cell r="X34" t="str">
            <v>retain</v>
          </cell>
          <cell r="Y34" t="str">
            <v>WGS84</v>
          </cell>
          <cell r="Z34"/>
          <cell r="AA34"/>
          <cell r="AB34"/>
          <cell r="AC34"/>
          <cell r="AE34"/>
          <cell r="AF34" t="str">
            <v/>
          </cell>
          <cell r="AG34"/>
          <cell r="AH34"/>
          <cell r="AI34" t="str">
            <v/>
          </cell>
          <cell r="AJ34" t="str">
            <v/>
          </cell>
          <cell r="AK34"/>
          <cell r="AL34"/>
        </row>
        <row r="35">
          <cell r="B35" t="str">
            <v>Commencement Bay - PNNL - large - 2019</v>
          </cell>
          <cell r="C35" t="str">
            <v>COM_L2</v>
          </cell>
          <cell r="D35" t="str">
            <v>single</v>
          </cell>
          <cell r="E35">
            <v>2019</v>
          </cell>
          <cell r="G35" t="str">
            <v>line</v>
          </cell>
          <cell r="H35" t="str">
            <v>Commencement Bay</v>
          </cell>
          <cell r="I35" t="str">
            <v>CPS</v>
          </cell>
          <cell r="J35" t="str">
            <v>Eelgrass Recovery in PS</v>
          </cell>
          <cell r="K35" t="str">
            <v>USACE</v>
          </cell>
          <cell r="L35" t="str">
            <v>USACE</v>
          </cell>
          <cell r="M35" t="str">
            <v>W912DW-14-2-0009 (93-099566)</v>
          </cell>
          <cell r="N35" t="str">
            <v>IAA 15-45</v>
          </cell>
          <cell r="O35" t="str">
            <v>PNNL</v>
          </cell>
          <cell r="P35" t="str">
            <v>93-099661</v>
          </cell>
          <cell r="R35" t="str">
            <v>large scale</v>
          </cell>
          <cell r="S35" t="str">
            <v>large scale</v>
          </cell>
          <cell r="T35">
            <v>43625</v>
          </cell>
          <cell r="U35">
            <v>47.276290000000003</v>
          </cell>
          <cell r="V35">
            <v>-122.46335999999999</v>
          </cell>
          <cell r="W35" t="str">
            <v>line</v>
          </cell>
          <cell r="X35" t="str">
            <v>retain</v>
          </cell>
          <cell r="Y35" t="str">
            <v>WGS84</v>
          </cell>
          <cell r="Z35">
            <v>-2.4</v>
          </cell>
          <cell r="AA35" t="str">
            <v>rebar</v>
          </cell>
          <cell r="AB35">
            <v>27</v>
          </cell>
          <cell r="AC35">
            <v>10</v>
          </cell>
          <cell r="AD35">
            <v>270</v>
          </cell>
          <cell r="AE35">
            <v>164</v>
          </cell>
          <cell r="AF35">
            <v>16.400000000000002</v>
          </cell>
          <cell r="AG35">
            <v>656</v>
          </cell>
          <cell r="AH35">
            <v>16400</v>
          </cell>
          <cell r="AI35">
            <v>60.74074074074074</v>
          </cell>
          <cell r="AJ35">
            <v>100</v>
          </cell>
          <cell r="AK35" t="str">
            <v>Dumas Bay</v>
          </cell>
          <cell r="AL35" t="str">
            <v>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v>
          </cell>
        </row>
        <row r="36">
          <cell r="B36" t="str">
            <v>Commencement Bay - PNNL - large - 2019</v>
          </cell>
          <cell r="C36" t="str">
            <v>COM_L2</v>
          </cell>
          <cell r="D36" t="str">
            <v>single</v>
          </cell>
          <cell r="E36">
            <v>2019</v>
          </cell>
          <cell r="G36" t="str">
            <v>line</v>
          </cell>
          <cell r="H36" t="str">
            <v>Commencement Bay</v>
          </cell>
          <cell r="I36" t="str">
            <v>CPS</v>
          </cell>
          <cell r="J36" t="str">
            <v>Eelgrass Recovery in PS</v>
          </cell>
          <cell r="K36" t="str">
            <v>USACE</v>
          </cell>
          <cell r="L36" t="str">
            <v>USACE</v>
          </cell>
          <cell r="M36" t="str">
            <v>W912DW-14-2-0009 (93-099566)</v>
          </cell>
          <cell r="N36" t="str">
            <v>IAA 15-45</v>
          </cell>
          <cell r="O36" t="str">
            <v>PNNL</v>
          </cell>
          <cell r="P36" t="str">
            <v>93-099661</v>
          </cell>
          <cell r="R36" t="str">
            <v>large scale</v>
          </cell>
          <cell r="S36" t="str">
            <v>--</v>
          </cell>
          <cell r="T36">
            <v>43625</v>
          </cell>
          <cell r="U36">
            <v>47.276294999999998</v>
          </cell>
          <cell r="V36">
            <v>-122.463595</v>
          </cell>
          <cell r="W36" t="str">
            <v>line</v>
          </cell>
          <cell r="X36" t="str">
            <v>retain</v>
          </cell>
          <cell r="Y36" t="str">
            <v>WGS84</v>
          </cell>
          <cell r="Z36">
            <v>-2.6</v>
          </cell>
          <cell r="AA36"/>
          <cell r="AI36" t="str">
            <v/>
          </cell>
          <cell r="AJ36" t="str">
            <v/>
          </cell>
        </row>
        <row r="37">
          <cell r="B37" t="str">
            <v>Delano Beach - PNNL - test - 2015</v>
          </cell>
          <cell r="C37" t="str">
            <v>DEL_1</v>
          </cell>
          <cell r="D37" t="str">
            <v>initial</v>
          </cell>
          <cell r="E37">
            <v>2015</v>
          </cell>
          <cell r="F37" t="str">
            <v>Thom, RM, and L Hallum. 1990. Long‐term changes in the areal extent of tidal marshes, eelgrass meadows, and kelp forests of Puget Sound. FRI‐UW‐9008, Fisheries Research Institute, School of Fisheries, University of Washington, Seattle. Pp. 110.</v>
          </cell>
          <cell r="G37" t="str">
            <v>point</v>
          </cell>
          <cell r="H37" t="str">
            <v>Carr Inlet</v>
          </cell>
          <cell r="I37" t="str">
            <v>CPS</v>
          </cell>
          <cell r="J37" t="str">
            <v>Eelgrass Restoration in PS</v>
          </cell>
          <cell r="K37" t="str">
            <v>DNR</v>
          </cell>
          <cell r="L37" t="str">
            <v>Aquatic Restoration Program</v>
          </cell>
          <cell r="O37" t="str">
            <v>PNNL</v>
          </cell>
          <cell r="P37" t="str">
            <v>IAA 12-317.1</v>
          </cell>
          <cell r="Q37" t="str">
            <v>Aston, L.A., A.B. Borde and J. Vavrinec. 2015. Final Summary Report - Eelgrass Restoration in Puget Sound Project Summary. Pacific Northwest National Laboratory, Richland, WA. PNNL-24445.</v>
          </cell>
          <cell r="R37" t="str">
            <v>test</v>
          </cell>
          <cell r="S37" t="str">
            <v>test</v>
          </cell>
          <cell r="T37">
            <v>42061</v>
          </cell>
          <cell r="U37">
            <v>47.254983333333335</v>
          </cell>
          <cell r="V37">
            <v>-122.73711666666667</v>
          </cell>
          <cell r="W37" t="str">
            <v>point</v>
          </cell>
          <cell r="X37" t="str">
            <v>retain</v>
          </cell>
          <cell r="Y37" t="str">
            <v>WGS84</v>
          </cell>
          <cell r="Z37">
            <v>-2.3469600000000002</v>
          </cell>
          <cell r="AA37" t="str">
            <v>staple</v>
          </cell>
          <cell r="AB37">
            <v>5</v>
          </cell>
          <cell r="AC37">
            <v>5</v>
          </cell>
          <cell r="AD37">
            <v>25</v>
          </cell>
          <cell r="AE37">
            <v>25</v>
          </cell>
          <cell r="AF37">
            <v>0.625</v>
          </cell>
          <cell r="AG37">
            <v>125</v>
          </cell>
          <cell r="AH37">
            <v>500</v>
          </cell>
          <cell r="AI37">
            <v>20</v>
          </cell>
          <cell r="AJ37">
            <v>20</v>
          </cell>
          <cell r="AK37" t="str">
            <v>Ketron Island</v>
          </cell>
          <cell r="AL37" t="str">
            <v>"mega"-bundles were planted with 260 shoots on 26 staples outside of the plot and just south</v>
          </cell>
        </row>
        <row r="38">
          <cell r="B38" t="str">
            <v>Delano W T1 - HC - test - 2016</v>
          </cell>
          <cell r="C38" t="str">
            <v>DEL_L1</v>
          </cell>
          <cell r="D38" t="str">
            <v>single</v>
          </cell>
          <cell r="E38">
            <v>2016</v>
          </cell>
          <cell r="F38" t="str">
            <v>Thom, RM, and L Hallum. 1990. Long‐term changes in the areal extent of tidal marshes, eelgrass meadows, and kelp forests of Puget Sound. FRI‐UW‐9008, Fisheries Research Institute, School of Fisheries, University of Washington, Seattle. Pp. 110.</v>
          </cell>
          <cell r="G38" t="str">
            <v>line</v>
          </cell>
          <cell r="H38" t="str">
            <v>Carr Inlet</v>
          </cell>
          <cell r="I38" t="str">
            <v>CPS</v>
          </cell>
          <cell r="J38" t="str">
            <v>Eelgrass Restoration in Puget Sound</v>
          </cell>
          <cell r="K38" t="str">
            <v>WDFW</v>
          </cell>
          <cell r="L38" t="str">
            <v>National Estuary Program</v>
          </cell>
          <cell r="M38" t="str">
            <v>14-02072</v>
          </cell>
          <cell r="N38" t="str">
            <v xml:space="preserve"> IAA 15-110</v>
          </cell>
          <cell r="O38" t="str">
            <v>Hart Crowser</v>
          </cell>
          <cell r="P38" t="str">
            <v>SC 16-17</v>
          </cell>
          <cell r="Q38" t="str">
            <v>Shannon, J., J. Blanchette and J. Gaeckle. 2018. Eelgrass (Zostera marina) Restoration in Puget Sound, WA. Final Restoration and Monitoring Report (12059-05) for US EPA, Hart Crowser, Edmonds, WA. Pp. 131.</v>
          </cell>
          <cell r="R38" t="str">
            <v>test</v>
          </cell>
          <cell r="S38" t="str">
            <v>test</v>
          </cell>
          <cell r="T38">
            <v>42481</v>
          </cell>
          <cell r="U38">
            <v>47.258040352777776</v>
          </cell>
          <cell r="V38">
            <v>-122.73927132222222</v>
          </cell>
          <cell r="W38" t="str">
            <v>line</v>
          </cell>
          <cell r="X38" t="str">
            <v>retain</v>
          </cell>
          <cell r="Y38" t="str">
            <v>WGS84</v>
          </cell>
          <cell r="Z38">
            <v>-2</v>
          </cell>
          <cell r="AA38" t="str">
            <v>burlap</v>
          </cell>
          <cell r="AB38">
            <v>25</v>
          </cell>
          <cell r="AC38">
            <v>5</v>
          </cell>
          <cell r="AD38">
            <v>125</v>
          </cell>
          <cell r="AE38">
            <v>75</v>
          </cell>
          <cell r="AF38">
            <v>9.75</v>
          </cell>
          <cell r="AG38">
            <v>156</v>
          </cell>
          <cell r="AH38">
            <v>780</v>
          </cell>
          <cell r="AI38">
            <v>6.24</v>
          </cell>
          <cell r="AJ38">
            <v>10.4</v>
          </cell>
          <cell r="AK38" t="str">
            <v>Cutts Island</v>
          </cell>
          <cell r="AL38" t="str">
            <v>transect line that includes 3 test plots</v>
          </cell>
        </row>
        <row r="39">
          <cell r="B39" t="str">
            <v>Delano W T2 - HC - test - 2016</v>
          </cell>
          <cell r="C39" t="str">
            <v>DEL_L1</v>
          </cell>
          <cell r="D39" t="str">
            <v>single</v>
          </cell>
          <cell r="E39">
            <v>2016</v>
          </cell>
          <cell r="F39" t="str">
            <v>Thom, RM, and L Hallum. 1990. Long‐term changes in the areal extent of tidal marshes, eelgrass meadows, and kelp forests of Puget Sound. FRI‐UW‐9008, Fisheries Research Institute, School of Fisheries, University of Washington, Seattle. Pp. 110.</v>
          </cell>
          <cell r="G39" t="str">
            <v>line</v>
          </cell>
          <cell r="H39" t="str">
            <v>Carr Inlet</v>
          </cell>
          <cell r="I39" t="str">
            <v>CPS</v>
          </cell>
          <cell r="J39" t="str">
            <v>Eelgrass Restoration in Puget Sound</v>
          </cell>
          <cell r="K39" t="str">
            <v>WDFW</v>
          </cell>
          <cell r="L39" t="str">
            <v>National Estuary Program</v>
          </cell>
          <cell r="M39" t="str">
            <v>14-02072</v>
          </cell>
          <cell r="N39" t="str">
            <v xml:space="preserve"> IAA 15-110</v>
          </cell>
          <cell r="O39" t="str">
            <v>Hart Crowser</v>
          </cell>
          <cell r="P39" t="str">
            <v>SC 16-17</v>
          </cell>
          <cell r="Q39" t="str">
            <v>Shannon, J., J. Blanchette and J. Gaeckle. 2018. Eelgrass (Zostera marina) Restoration in Puget Sound, WA. Final Restoration and Monitoring Report (12059-05) for US EPA, Hart Crowser, Edmonds, WA. Pp. 131.</v>
          </cell>
          <cell r="R39" t="str">
            <v>test</v>
          </cell>
          <cell r="S39" t="str">
            <v>--</v>
          </cell>
          <cell r="T39">
            <v>42481</v>
          </cell>
          <cell r="U39">
            <v>47.258279688888891</v>
          </cell>
          <cell r="V39">
            <v>-122.7380948</v>
          </cell>
          <cell r="W39" t="str">
            <v>line</v>
          </cell>
          <cell r="X39" t="str">
            <v>retain</v>
          </cell>
          <cell r="Y39" t="str">
            <v>WGS84</v>
          </cell>
          <cell r="Z39">
            <v>-2</v>
          </cell>
          <cell r="AA39" t="str">
            <v>burlap</v>
          </cell>
          <cell r="AF39"/>
          <cell r="AG39"/>
          <cell r="AH39"/>
          <cell r="AI39" t="str">
            <v/>
          </cell>
          <cell r="AJ39" t="str">
            <v/>
          </cell>
          <cell r="AL39"/>
        </row>
        <row r="40">
          <cell r="B40" t="str">
            <v>Delano Beach - SE - HC - large - 2016</v>
          </cell>
          <cell r="C40" t="str">
            <v>DEL_P1</v>
          </cell>
          <cell r="D40" t="str">
            <v>single</v>
          </cell>
          <cell r="E40">
            <v>2016</v>
          </cell>
          <cell r="F40" t="str">
            <v>Thom, RM, and L Hallum. 1990. Long‐term changes in the areal extent of tidal marshes, eelgrass meadows, and kelp forests of Puget Sound. FRI‐UW‐9008, Fisheries Research Institute, School of Fisheries, University of Washington, Seattle. Pp. 110.</v>
          </cell>
          <cell r="G40" t="str">
            <v>polygon</v>
          </cell>
          <cell r="H40" t="str">
            <v>Carr Inlet</v>
          </cell>
          <cell r="I40" t="str">
            <v>CPS</v>
          </cell>
          <cell r="J40" t="str">
            <v>Eelgrass Restoration in Puget Sound</v>
          </cell>
          <cell r="K40" t="str">
            <v>WDFW</v>
          </cell>
          <cell r="L40" t="str">
            <v>National Estuary Program</v>
          </cell>
          <cell r="M40" t="str">
            <v>14-02072</v>
          </cell>
          <cell r="N40" t="str">
            <v xml:space="preserve"> IAA 15-110</v>
          </cell>
          <cell r="O40" t="str">
            <v>Hart Crowser</v>
          </cell>
          <cell r="P40" t="str">
            <v>SC 16-17</v>
          </cell>
          <cell r="Q40" t="str">
            <v>Shannon, J., J. Blanchette and J. Gaeckle. 2018. Eelgrass (Zostera marina) Restoration in Puget Sound, WA. Final Restoration and Monitoring Report (12059-05) for US EPA, Hart Crowser, Edmonds, WA. Pp. 131.</v>
          </cell>
          <cell r="R40" t="str">
            <v>large scale</v>
          </cell>
          <cell r="S40" t="str">
            <v>large scale</v>
          </cell>
          <cell r="T40">
            <v>42535</v>
          </cell>
          <cell r="U40">
            <v>47.257533000000002</v>
          </cell>
          <cell r="V40">
            <v>-122.73820383333333</v>
          </cell>
          <cell r="W40" t="str">
            <v>polygon</v>
          </cell>
          <cell r="X40" t="str">
            <v>retain</v>
          </cell>
          <cell r="Y40" t="str">
            <v>WGS84</v>
          </cell>
          <cell r="Z40">
            <v>-2</v>
          </cell>
          <cell r="AA40" t="str">
            <v>burlap</v>
          </cell>
          <cell r="AB40">
            <v>35</v>
          </cell>
          <cell r="AC40">
            <v>6</v>
          </cell>
          <cell r="AD40">
            <v>210</v>
          </cell>
          <cell r="AE40">
            <v>50.4</v>
          </cell>
          <cell r="AF40">
            <v>78.75</v>
          </cell>
          <cell r="AG40">
            <v>1260</v>
          </cell>
          <cell r="AH40">
            <v>20850</v>
          </cell>
          <cell r="AI40">
            <v>99.285714285714292</v>
          </cell>
          <cell r="AJ40">
            <v>413.6904761904762</v>
          </cell>
          <cell r="AK40" t="str">
            <v>Cutts Island</v>
          </cell>
          <cell r="AL40"/>
        </row>
        <row r="41">
          <cell r="B41" t="str">
            <v>Delano Beach - SW - HC - large - 2016</v>
          </cell>
          <cell r="C41" t="str">
            <v>DEL_P1</v>
          </cell>
          <cell r="D41" t="str">
            <v>single</v>
          </cell>
          <cell r="E41">
            <v>2016</v>
          </cell>
          <cell r="F41" t="str">
            <v>Thom, RM, and L Hallum. 1990. Long‐term changes in the areal extent of tidal marshes, eelgrass meadows, and kelp forests of Puget Sound. FRI‐UW‐9008, Fisheries Research Institute, School of Fisheries, University of Washington, Seattle. Pp. 110.</v>
          </cell>
          <cell r="G41" t="str">
            <v>polygon</v>
          </cell>
          <cell r="H41" t="str">
            <v>Carr Inlet</v>
          </cell>
          <cell r="I41" t="str">
            <v>CPS</v>
          </cell>
          <cell r="J41" t="str">
            <v>Eelgrass Restoration in Puget Sound</v>
          </cell>
          <cell r="K41" t="str">
            <v>WDFW</v>
          </cell>
          <cell r="L41" t="str">
            <v>National Estuary Program</v>
          </cell>
          <cell r="M41" t="str">
            <v>14-02072</v>
          </cell>
          <cell r="N41" t="str">
            <v xml:space="preserve"> IAA 15-110</v>
          </cell>
          <cell r="O41" t="str">
            <v>Hart Crowser</v>
          </cell>
          <cell r="P41" t="str">
            <v>SC 16-17</v>
          </cell>
          <cell r="Q41" t="str">
            <v>Shannon, J., J. Blanchette and J. Gaeckle. 2018. Eelgrass (Zostera marina) Restoration in Puget Sound, WA. Final Restoration and Monitoring Report (12059-05) for US EPA, Hart Crowser, Edmonds, WA. Pp. 131.</v>
          </cell>
          <cell r="R41" t="str">
            <v>large scale</v>
          </cell>
          <cell r="S41" t="str">
            <v>--</v>
          </cell>
          <cell r="T41">
            <v>42535</v>
          </cell>
          <cell r="U41">
            <v>47.257536833333333</v>
          </cell>
          <cell r="V41">
            <v>-122.73813800000001</v>
          </cell>
          <cell r="W41" t="str">
            <v>polygon</v>
          </cell>
          <cell r="X41" t="str">
            <v>retain</v>
          </cell>
          <cell r="Y41" t="str">
            <v>WGS84</v>
          </cell>
          <cell r="Z41"/>
          <cell r="AA41"/>
          <cell r="AF41" t="str">
            <v/>
          </cell>
          <cell r="AG41"/>
          <cell r="AH41"/>
          <cell r="AI41" t="str">
            <v/>
          </cell>
          <cell r="AJ41" t="str">
            <v/>
          </cell>
          <cell r="AL41"/>
        </row>
        <row r="42">
          <cell r="B42" t="str">
            <v>Delano Beach - NE - HC - large - 2016</v>
          </cell>
          <cell r="C42" t="str">
            <v>DEL_P1</v>
          </cell>
          <cell r="D42" t="str">
            <v>single</v>
          </cell>
          <cell r="E42">
            <v>2016</v>
          </cell>
          <cell r="F42" t="str">
            <v>Thom, RM, and L Hallum. 1990. Long‐term changes in the areal extent of tidal marshes, eelgrass meadows, and kelp forests of Puget Sound. FRI‐UW‐9008, Fisheries Research Institute, School of Fisheries, University of Washington, Seattle. Pp. 110.</v>
          </cell>
          <cell r="G42" t="str">
            <v>polygon</v>
          </cell>
          <cell r="H42" t="str">
            <v>Carr Inlet</v>
          </cell>
          <cell r="I42" t="str">
            <v>CPS</v>
          </cell>
          <cell r="J42" t="str">
            <v>Eelgrass Restoration in Puget Sound</v>
          </cell>
          <cell r="K42" t="str">
            <v>WDFW</v>
          </cell>
          <cell r="L42" t="str">
            <v>National Estuary Program</v>
          </cell>
          <cell r="M42" t="str">
            <v>14-02072</v>
          </cell>
          <cell r="N42" t="str">
            <v xml:space="preserve"> IAA 15-110</v>
          </cell>
          <cell r="O42" t="str">
            <v>Hart Crowser</v>
          </cell>
          <cell r="P42" t="str">
            <v>SC 16-17</v>
          </cell>
          <cell r="Q42" t="str">
            <v>Shannon, J., J. Blanchette and J. Gaeckle. 2018. Eelgrass (Zostera marina) Restoration in Puget Sound, WA. Final Restoration and Monitoring Report (12059-05) for US EPA, Hart Crowser, Edmonds, WA. Pp. 131.</v>
          </cell>
          <cell r="R42" t="str">
            <v>large scale</v>
          </cell>
          <cell r="S42" t="str">
            <v>--</v>
          </cell>
          <cell r="T42">
            <v>42535</v>
          </cell>
          <cell r="U42">
            <v>47.25784183333333</v>
          </cell>
          <cell r="V42">
            <v>-122.73817200000001</v>
          </cell>
          <cell r="W42" t="str">
            <v>polygon</v>
          </cell>
          <cell r="X42" t="str">
            <v>retain</v>
          </cell>
          <cell r="Y42" t="str">
            <v>WGS84</v>
          </cell>
          <cell r="Z42"/>
          <cell r="AA42"/>
          <cell r="AF42" t="str">
            <v/>
          </cell>
          <cell r="AG42"/>
          <cell r="AH42"/>
          <cell r="AI42" t="str">
            <v/>
          </cell>
          <cell r="AJ42" t="str">
            <v/>
          </cell>
          <cell r="AL42"/>
        </row>
        <row r="43">
          <cell r="B43" t="str">
            <v>Delano Beach - NW - HC - large - 2016</v>
          </cell>
          <cell r="C43" t="str">
            <v>DEL_P1</v>
          </cell>
          <cell r="D43" t="str">
            <v>single</v>
          </cell>
          <cell r="E43">
            <v>2016</v>
          </cell>
          <cell r="F43" t="str">
            <v>Thom, RM, and L Hallum. 1990. Long‐term changes in the areal extent of tidal marshes, eelgrass meadows, and kelp forests of Puget Sound. FRI‐UW‐9008, Fisheries Research Institute, School of Fisheries, University of Washington, Seattle. Pp. 110.</v>
          </cell>
          <cell r="G43" t="str">
            <v>polygon</v>
          </cell>
          <cell r="H43" t="str">
            <v>Carr Inlet</v>
          </cell>
          <cell r="I43" t="str">
            <v>CPS</v>
          </cell>
          <cell r="J43" t="str">
            <v>Eelgrass Restoration in Puget Sound</v>
          </cell>
          <cell r="K43" t="str">
            <v>WDFW</v>
          </cell>
          <cell r="L43" t="str">
            <v>National Estuary Program</v>
          </cell>
          <cell r="M43" t="str">
            <v>14-02072</v>
          </cell>
          <cell r="N43" t="str">
            <v xml:space="preserve"> IAA 15-110</v>
          </cell>
          <cell r="O43" t="str">
            <v>Hart Crowser</v>
          </cell>
          <cell r="P43" t="str">
            <v>SC 16-17</v>
          </cell>
          <cell r="Q43" t="str">
            <v>Shannon, J., J. Blanchette and J. Gaeckle. 2018. Eelgrass (Zostera marina) Restoration in Puget Sound, WA. Final Restoration and Monitoring Report (12059-05) for US EPA, Hart Crowser, Edmonds, WA. Pp. 131.</v>
          </cell>
          <cell r="R43" t="str">
            <v>large scale</v>
          </cell>
          <cell r="S43" t="str">
            <v>--</v>
          </cell>
          <cell r="T43">
            <v>42535</v>
          </cell>
          <cell r="U43">
            <v>47.257838833333331</v>
          </cell>
          <cell r="V43">
            <v>-122.73823783333333</v>
          </cell>
          <cell r="W43" t="str">
            <v>polygon</v>
          </cell>
          <cell r="X43" t="str">
            <v>retain</v>
          </cell>
          <cell r="Y43" t="str">
            <v>WGS84</v>
          </cell>
          <cell r="Z43"/>
          <cell r="AA43"/>
          <cell r="AF43" t="str">
            <v/>
          </cell>
          <cell r="AG43"/>
          <cell r="AH43"/>
          <cell r="AI43" t="str">
            <v/>
          </cell>
          <cell r="AJ43" t="str">
            <v/>
          </cell>
          <cell r="AL43"/>
        </row>
        <row r="44">
          <cell r="B44" t="str">
            <v>Delano Beach East - north - HC - test - 2017</v>
          </cell>
          <cell r="C44" t="str">
            <v>DEL_3</v>
          </cell>
          <cell r="D44" t="str">
            <v>initial</v>
          </cell>
          <cell r="E44">
            <v>2017</v>
          </cell>
          <cell r="F44" t="str">
            <v>Thom, RM, and L Hallum. 1990. Long‐term changes in the areal extent of tidal marshes, eelgrass meadows, and kelp forests of Puget Sound. FRI‐UW‐9008, Fisheries Research Institute, School of Fisheries, University of Washington, Seattle. Pp. 110.</v>
          </cell>
          <cell r="G44" t="str">
            <v>point</v>
          </cell>
          <cell r="H44" t="str">
            <v>Carr Inlet</v>
          </cell>
          <cell r="I44" t="str">
            <v>CPS</v>
          </cell>
          <cell r="J44" t="str">
            <v>Eelgrass Restoration in Puget Sound</v>
          </cell>
          <cell r="K44" t="str">
            <v>WDFW</v>
          </cell>
          <cell r="L44" t="str">
            <v>National Estuary Program</v>
          </cell>
          <cell r="M44" t="str">
            <v>14-02072</v>
          </cell>
          <cell r="N44" t="str">
            <v>IAA 15-110</v>
          </cell>
          <cell r="O44" t="str">
            <v>Hart Crowser</v>
          </cell>
          <cell r="P44" t="str">
            <v>SC 16-17</v>
          </cell>
          <cell r="Q44" t="str">
            <v>Shannon, J., J. Blanchette and J. Gaeckle. 2018. Eelgrass (Zostera marina) Restoration in Puget Sound, WA. Final Restoration and Monitoring Report (12059-05) for US EPA, Hart Crowser, Edmonds, WA. Pp. 131.</v>
          </cell>
          <cell r="R44" t="str">
            <v>test</v>
          </cell>
          <cell r="S44" t="str">
            <v>test</v>
          </cell>
          <cell r="T44">
            <v>42933</v>
          </cell>
          <cell r="U44">
            <v>47.249850000000002</v>
          </cell>
          <cell r="V44">
            <v>-122.72317</v>
          </cell>
          <cell r="W44" t="str">
            <v>point</v>
          </cell>
          <cell r="X44" t="str">
            <v>retain</v>
          </cell>
          <cell r="Y44" t="str">
            <v>WGS84</v>
          </cell>
          <cell r="Z44">
            <v>-1.6</v>
          </cell>
          <cell r="AA44" t="str">
            <v>turf</v>
          </cell>
          <cell r="AB44">
            <v>10</v>
          </cell>
          <cell r="AC44">
            <v>1</v>
          </cell>
          <cell r="AD44">
            <v>10</v>
          </cell>
          <cell r="AE44">
            <v>6</v>
          </cell>
          <cell r="AF44">
            <v>1.67</v>
          </cell>
          <cell r="AG44">
            <v>167</v>
          </cell>
          <cell r="AH44">
            <v>1172</v>
          </cell>
          <cell r="AI44">
            <v>117.2</v>
          </cell>
          <cell r="AJ44">
            <v>195.33333333333334</v>
          </cell>
          <cell r="AK44" t="str">
            <v>Cutts Island</v>
          </cell>
          <cell r="AL44" t="str">
            <v>Referred to as 'South Head 1' in final report. Turfs plant 5-15 shoots per staple (X= ~7 shoots/staple because donor site was Cutts Island with larger Zm than Rocky Bay). Estimated number of PUs at test-transplant site as 1172/7 = 167.</v>
          </cell>
        </row>
        <row r="45">
          <cell r="B45" t="str">
            <v>Delano Beach East - south - HC - test - 2017</v>
          </cell>
          <cell r="C45" t="str">
            <v>DEL_2</v>
          </cell>
          <cell r="D45" t="str">
            <v>single</v>
          </cell>
          <cell r="E45">
            <v>2017</v>
          </cell>
          <cell r="F45" t="str">
            <v>Thom, RM, and L Hallum. 1990. Long‐term changes in the areal extent of tidal marshes, eelgrass meadows, and kelp forests of Puget Sound. FRI‐UW‐9008, Fisheries Research Institute, School of Fisheries, University of Washington, Seattle. Pp. 110.</v>
          </cell>
          <cell r="G45" t="str">
            <v>point</v>
          </cell>
          <cell r="H45" t="str">
            <v>Carr Inlet</v>
          </cell>
          <cell r="I45" t="str">
            <v>CPS</v>
          </cell>
          <cell r="J45" t="str">
            <v>Eelgrass Restoration in Puget Sound</v>
          </cell>
          <cell r="K45" t="str">
            <v>WDFW</v>
          </cell>
          <cell r="L45" t="str">
            <v>National Estuary Program</v>
          </cell>
          <cell r="M45" t="str">
            <v>14-02072</v>
          </cell>
          <cell r="N45" t="str">
            <v>IAA 15-110</v>
          </cell>
          <cell r="O45" t="str">
            <v>Hart Crowser</v>
          </cell>
          <cell r="P45" t="str">
            <v>SC 16-17</v>
          </cell>
          <cell r="Q45" t="str">
            <v>Shannon, J., J. Blanchette and J. Gaeckle. 2018. Eelgrass (Zostera marina) Restoration in Puget Sound, WA. Final Restoration and Monitoring Report (12059-05) for US EPA, Hart Crowser, Edmonds, WA. Pp. 131.</v>
          </cell>
          <cell r="R45" t="str">
            <v>test</v>
          </cell>
          <cell r="S45" t="str">
            <v>test</v>
          </cell>
          <cell r="T45">
            <v>42933</v>
          </cell>
          <cell r="U45">
            <v>47.249630000000003</v>
          </cell>
          <cell r="V45">
            <v>-122.72338000000001</v>
          </cell>
          <cell r="W45" t="str">
            <v>point</v>
          </cell>
          <cell r="X45" t="str">
            <v>retain</v>
          </cell>
          <cell r="Y45" t="str">
            <v>WGS84</v>
          </cell>
          <cell r="Z45">
            <v>-1.6</v>
          </cell>
          <cell r="AA45" t="str">
            <v>turf</v>
          </cell>
          <cell r="AB45">
            <v>10</v>
          </cell>
          <cell r="AC45">
            <v>1</v>
          </cell>
          <cell r="AD45">
            <v>10</v>
          </cell>
          <cell r="AE45">
            <v>6</v>
          </cell>
          <cell r="AF45">
            <v>1.45</v>
          </cell>
          <cell r="AG45">
            <v>145</v>
          </cell>
          <cell r="AH45">
            <v>1015</v>
          </cell>
          <cell r="AI45">
            <v>101.5</v>
          </cell>
          <cell r="AJ45">
            <v>169.16666666666666</v>
          </cell>
          <cell r="AK45" t="str">
            <v>Cutts Island</v>
          </cell>
          <cell r="AL45" t="str">
            <v>Referred to as 'South Head 2' in final report. Turfs plant 5-15 shoots per staple (X= ~7 shoots/staple because donor site was Cutts Island with larger Zm than Rocky Bay). Estimated number of PUs at test-transplant site as 1015/7 = 145.</v>
          </cell>
        </row>
        <row r="46">
          <cell r="B46" t="str">
            <v>Delano Beach - PNNL - test - enhancement</v>
          </cell>
          <cell r="C46" t="str">
            <v>DEL_1</v>
          </cell>
          <cell r="D46" t="str">
            <v>repeat</v>
          </cell>
          <cell r="E46">
            <v>2018</v>
          </cell>
          <cell r="F46" t="str">
            <v>Thom, RM, and L Hallum. 1990. Long‐term changes in the areal extent of tidal marshes, eelgrass meadows, and kelp forests of Puget Sound. FRI‐UW‐9008, Fisheries Research Institute, School of Fisheries, University of Washington, Seattle. Pp. 110.</v>
          </cell>
          <cell r="G46" t="str">
            <v>point</v>
          </cell>
          <cell r="H46" t="str">
            <v>Carr Inlet</v>
          </cell>
          <cell r="I46" t="str">
            <v>CPS</v>
          </cell>
          <cell r="J46" t="str">
            <v>DNR</v>
          </cell>
          <cell r="K46" t="str">
            <v>DNR</v>
          </cell>
          <cell r="L46" t="str">
            <v>Nearshore Habitat Program</v>
          </cell>
          <cell r="R46" t="str">
            <v>test</v>
          </cell>
          <cell r="S46" t="str">
            <v>test</v>
          </cell>
          <cell r="T46">
            <v>43279</v>
          </cell>
          <cell r="U46">
            <v>47.254983333333335</v>
          </cell>
          <cell r="V46">
            <v>-122.73711666666667</v>
          </cell>
          <cell r="W46" t="str">
            <v>point</v>
          </cell>
          <cell r="X46" t="str">
            <v>retain</v>
          </cell>
          <cell r="Y46" t="str">
            <v>WGS84</v>
          </cell>
          <cell r="Z46">
            <v>-2.3469600000000002</v>
          </cell>
          <cell r="AA46" t="str">
            <v>rebar</v>
          </cell>
          <cell r="AB46">
            <v>5</v>
          </cell>
          <cell r="AC46">
            <v>0.5</v>
          </cell>
          <cell r="AD46">
            <v>2.5</v>
          </cell>
          <cell r="AE46">
            <v>2.75</v>
          </cell>
          <cell r="AF46">
            <v>0.27500000000000002</v>
          </cell>
          <cell r="AG46">
            <v>11</v>
          </cell>
          <cell r="AH46">
            <v>275</v>
          </cell>
          <cell r="AI46">
            <v>110</v>
          </cell>
          <cell r="AJ46">
            <v>100</v>
          </cell>
          <cell r="AK46" t="str">
            <v>DuPont Wharf</v>
          </cell>
          <cell r="AL46" t="str">
            <v>transplanted 4, 0.25 m2 patches. 3 patches had 3, 50 cm lengths of rebar each with 25 shoots while 1 patch had 2, 50 cm lengths of rebar each with 25 shoots.</v>
          </cell>
        </row>
        <row r="47">
          <cell r="B47" t="str">
            <v xml:space="preserve">Delano Beach East - north - HC - test - enhancement </v>
          </cell>
          <cell r="C47" t="str">
            <v>DEL_3</v>
          </cell>
          <cell r="D47" t="str">
            <v>repeat</v>
          </cell>
          <cell r="E47">
            <v>2018</v>
          </cell>
          <cell r="F47" t="str">
            <v>Thom, RM, and L Hallum. 1990. Long‐term changes in the areal extent of tidal marshes, eelgrass meadows, and kelp forests of Puget Sound. FRI‐UW‐9008, Fisheries Research Institute, School of Fisheries, University of Washington, Seattle. Pp. 110.</v>
          </cell>
          <cell r="G47" t="str">
            <v>point</v>
          </cell>
          <cell r="H47" t="str">
            <v>Carr Inlet</v>
          </cell>
          <cell r="I47" t="str">
            <v>CPS</v>
          </cell>
          <cell r="J47" t="str">
            <v>DNR</v>
          </cell>
          <cell r="K47" t="str">
            <v>DNR</v>
          </cell>
          <cell r="L47" t="str">
            <v>Nearshore Habitat Program</v>
          </cell>
          <cell r="R47" t="str">
            <v>test</v>
          </cell>
          <cell r="S47" t="str">
            <v>test</v>
          </cell>
          <cell r="T47">
            <v>43279</v>
          </cell>
          <cell r="U47">
            <v>47.249850000000002</v>
          </cell>
          <cell r="V47">
            <v>-122.72317</v>
          </cell>
          <cell r="W47" t="str">
            <v>point</v>
          </cell>
          <cell r="X47" t="str">
            <v>retain</v>
          </cell>
          <cell r="Y47" t="str">
            <v>WGS84</v>
          </cell>
          <cell r="Z47">
            <v>-1.6</v>
          </cell>
          <cell r="AA47" t="str">
            <v>rebar</v>
          </cell>
          <cell r="AB47">
            <v>5</v>
          </cell>
          <cell r="AC47">
            <v>0.5</v>
          </cell>
          <cell r="AD47">
            <v>2.5</v>
          </cell>
          <cell r="AE47">
            <v>2.25</v>
          </cell>
          <cell r="AF47">
            <v>0.22500000000000001</v>
          </cell>
          <cell r="AG47">
            <v>9</v>
          </cell>
          <cell r="AH47">
            <v>225</v>
          </cell>
          <cell r="AI47">
            <v>90</v>
          </cell>
          <cell r="AJ47">
            <v>100</v>
          </cell>
          <cell r="AK47" t="str">
            <v>DuPont Wharf</v>
          </cell>
          <cell r="AL47" t="str">
            <v>transplanted 3, 0.25 m2 patch with 3, 50 cm lengths of rebar each with 25 shoots near north buoy</v>
          </cell>
        </row>
        <row r="48">
          <cell r="B48" t="str">
            <v>Delano Beach East - PNNL - test - 2020</v>
          </cell>
          <cell r="C48" t="str">
            <v>DEL_east_1</v>
          </cell>
          <cell r="D48" t="str">
            <v>single</v>
          </cell>
          <cell r="E48">
            <v>2020</v>
          </cell>
          <cell r="F48" t="str">
            <v>Thom, RM, and L Hallum. 1990. Long‐term changes in the areal extent of tidal marshes, eelgrass meadows, and kelp forests of Puget Sound. FRI‐UW‐9008, Fisheries Research Institute, School of Fisheries, University of Washington, Seattle. Pp. 110.</v>
          </cell>
          <cell r="G48" t="str">
            <v>point</v>
          </cell>
          <cell r="H48" t="str">
            <v>Carr Inlet</v>
          </cell>
          <cell r="I48" t="str">
            <v>CPS</v>
          </cell>
          <cell r="J48" t="str">
            <v>Eelgrass Recovery in PS</v>
          </cell>
          <cell r="K48" t="str">
            <v>USACE</v>
          </cell>
          <cell r="L48" t="str">
            <v>USACE</v>
          </cell>
          <cell r="M48" t="str">
            <v>W912DW-14-2-0009 (93-099566)</v>
          </cell>
          <cell r="N48" t="str">
            <v>IAA 15-45</v>
          </cell>
          <cell r="O48" t="str">
            <v>PNNL</v>
          </cell>
          <cell r="R48" t="str">
            <v>test</v>
          </cell>
          <cell r="S48" t="str">
            <v>test</v>
          </cell>
          <cell r="T48">
            <v>44013</v>
          </cell>
          <cell r="U48">
            <v>47.249993000000003</v>
          </cell>
          <cell r="V48">
            <v>-122.7228933</v>
          </cell>
          <cell r="W48" t="str">
            <v>point</v>
          </cell>
          <cell r="X48" t="str">
            <v>retain</v>
          </cell>
          <cell r="Y48" t="str">
            <v>WGS84</v>
          </cell>
          <cell r="Z48">
            <v>-1.2</v>
          </cell>
          <cell r="AA48" t="str">
            <v>rebar</v>
          </cell>
          <cell r="AB48">
            <v>2.5</v>
          </cell>
          <cell r="AC48">
            <v>2.5</v>
          </cell>
          <cell r="AD48">
            <v>6.25</v>
          </cell>
          <cell r="AE48">
            <v>6.25</v>
          </cell>
          <cell r="AF48">
            <v>0.625</v>
          </cell>
          <cell r="AG48">
            <v>25</v>
          </cell>
          <cell r="AH48">
            <v>625</v>
          </cell>
          <cell r="AI48">
            <v>100</v>
          </cell>
          <cell r="AJ48">
            <v>100</v>
          </cell>
          <cell r="AK48" t="str">
            <v>Anderson Island</v>
          </cell>
          <cell r="AL48" t="str">
            <v>180deg az, sandy with shell hash, some ulva with sand on it and chaetomorpha, firm bottom</v>
          </cell>
        </row>
        <row r="49">
          <cell r="B49" t="str">
            <v>Delano Beach West - PNNL - test - 2020</v>
          </cell>
          <cell r="C49" t="str">
            <v>DEL_west_1</v>
          </cell>
          <cell r="D49" t="str">
            <v>single</v>
          </cell>
          <cell r="E49">
            <v>2020</v>
          </cell>
          <cell r="F49" t="str">
            <v>Thom, RM, and L Hallum. 1990. Long‐term changes in the areal extent of tidal marshes, eelgrass meadows, and kelp forests of Puget Sound. FRI‐UW‐9008, Fisheries Research Institute, School of Fisheries, University of Washington, Seattle. Pp. 110.</v>
          </cell>
          <cell r="G49" t="str">
            <v>point</v>
          </cell>
          <cell r="H49" t="str">
            <v>Carr Inlet</v>
          </cell>
          <cell r="I49" t="str">
            <v>CPS</v>
          </cell>
          <cell r="J49" t="str">
            <v>Eelgrass Recovery in PS</v>
          </cell>
          <cell r="K49" t="str">
            <v>USACE</v>
          </cell>
          <cell r="L49" t="str">
            <v>USACE</v>
          </cell>
          <cell r="M49" t="str">
            <v>W912DW-14-2-0009 (93-099566)</v>
          </cell>
          <cell r="N49" t="str">
            <v>IAA 15-45</v>
          </cell>
          <cell r="O49" t="str">
            <v>PNNL</v>
          </cell>
          <cell r="R49" t="str">
            <v>test</v>
          </cell>
          <cell r="S49" t="str">
            <v>test</v>
          </cell>
          <cell r="T49">
            <v>44013</v>
          </cell>
          <cell r="U49">
            <v>47.252598300000002</v>
          </cell>
          <cell r="V49">
            <v>-122.73546829999999</v>
          </cell>
          <cell r="W49" t="str">
            <v>point</v>
          </cell>
          <cell r="X49" t="str">
            <v>retain</v>
          </cell>
          <cell r="Y49" t="str">
            <v>WGS84</v>
          </cell>
          <cell r="Z49">
            <v>-1.6</v>
          </cell>
          <cell r="AA49" t="str">
            <v>rebar</v>
          </cell>
          <cell r="AB49">
            <v>3</v>
          </cell>
          <cell r="AC49">
            <v>2.5</v>
          </cell>
          <cell r="AD49">
            <v>7.5</v>
          </cell>
          <cell r="AE49">
            <v>6.75</v>
          </cell>
          <cell r="AF49">
            <v>0.67500000000000004</v>
          </cell>
          <cell r="AG49">
            <v>27</v>
          </cell>
          <cell r="AH49">
            <v>692</v>
          </cell>
          <cell r="AI49">
            <v>92.266666666666666</v>
          </cell>
          <cell r="AJ49">
            <v>102.51851851851852</v>
          </cell>
          <cell r="AK49" t="str">
            <v>Anderson Island</v>
          </cell>
          <cell r="AL49" t="str">
            <v>270deg az, sandy with patches of ulva and other "green stuff"</v>
          </cell>
        </row>
        <row r="50">
          <cell r="B50" t="str">
            <v>Delano Beach West - PNNL - large - 2021</v>
          </cell>
          <cell r="C50" t="str">
            <v>DEL_L</v>
          </cell>
          <cell r="D50" t="str">
            <v>single</v>
          </cell>
          <cell r="E50">
            <v>2021</v>
          </cell>
          <cell r="F50" t="str">
            <v>Thom, RM, and L Hallum. 1990. Long‐term changes in the areal extent of tidal marshes, eelgrass meadows, and kelp forests of Puget Sound. FRI‐UW‐9008, Fisheries Research Institute, School of Fisheries, University of Washington, Seattle. Pp. 110.</v>
          </cell>
          <cell r="G50" t="str">
            <v>point</v>
          </cell>
          <cell r="H50" t="str">
            <v>Carr Inlet</v>
          </cell>
          <cell r="I50" t="str">
            <v>CPS</v>
          </cell>
          <cell r="J50" t="str">
            <v>Eelgrass Recovery in PS</v>
          </cell>
          <cell r="K50" t="str">
            <v>USACE</v>
          </cell>
          <cell r="L50" t="str">
            <v>USACE</v>
          </cell>
          <cell r="M50" t="str">
            <v>W912DW-14-2-0009 (93-099566)</v>
          </cell>
          <cell r="N50" t="str">
            <v>IAA 15-45</v>
          </cell>
          <cell r="O50" t="str">
            <v>PNNL</v>
          </cell>
          <cell r="R50" t="str">
            <v>large scale</v>
          </cell>
          <cell r="S50" t="str">
            <v>large scale</v>
          </cell>
          <cell r="T50">
            <v>44350</v>
          </cell>
          <cell r="U50">
            <v>47.252598300000002</v>
          </cell>
          <cell r="V50">
            <v>-122.73546829999999</v>
          </cell>
          <cell r="W50" t="str">
            <v>point</v>
          </cell>
          <cell r="X50" t="str">
            <v>retain</v>
          </cell>
          <cell r="Y50" t="str">
            <v>WGS84</v>
          </cell>
          <cell r="Z50">
            <v>-1.3</v>
          </cell>
          <cell r="AA50" t="str">
            <v>rebar</v>
          </cell>
          <cell r="AB50">
            <v>50</v>
          </cell>
          <cell r="AC50">
            <v>5</v>
          </cell>
          <cell r="AD50">
            <v>250</v>
          </cell>
          <cell r="AE50">
            <v>149.25</v>
          </cell>
          <cell r="AF50">
            <v>14.925000000000001</v>
          </cell>
          <cell r="AG50">
            <v>597</v>
          </cell>
          <cell r="AH50">
            <v>12305</v>
          </cell>
          <cell r="AI50">
            <v>49.22</v>
          </cell>
          <cell r="AJ50">
            <v>82.44556113902847</v>
          </cell>
          <cell r="AK50" t="str">
            <v>Green Point</v>
          </cell>
          <cell r="AL50"/>
        </row>
        <row r="51">
          <cell r="B51" t="str">
            <v>Delano Beach West - DNR - shallow - test - 2021</v>
          </cell>
          <cell r="C51" t="str">
            <v>DEL_west_shallow_1</v>
          </cell>
          <cell r="D51" t="str">
            <v>single</v>
          </cell>
          <cell r="E51">
            <v>2021</v>
          </cell>
          <cell r="H51"/>
          <cell r="I51"/>
          <cell r="J51" t="str">
            <v>DNR</v>
          </cell>
          <cell r="K51" t="str">
            <v>DNR</v>
          </cell>
          <cell r="L51"/>
          <cell r="M51"/>
          <cell r="N51"/>
          <cell r="O51"/>
          <cell r="R51" t="str">
            <v>test</v>
          </cell>
          <cell r="S51" t="str">
            <v>test</v>
          </cell>
          <cell r="T51">
            <v>44370</v>
          </cell>
          <cell r="U51"/>
          <cell r="V51"/>
          <cell r="W51" t="str">
            <v>point</v>
          </cell>
          <cell r="X51" t="str">
            <v>retain</v>
          </cell>
          <cell r="Y51" t="str">
            <v>WGS84</v>
          </cell>
          <cell r="Z51">
            <v>-1.524</v>
          </cell>
          <cell r="AA51" t="str">
            <v>rebar</v>
          </cell>
          <cell r="AB51">
            <v>1.5</v>
          </cell>
          <cell r="AC51">
            <v>1</v>
          </cell>
          <cell r="AD51">
            <v>1.5</v>
          </cell>
          <cell r="AE51">
            <v>4.5</v>
          </cell>
          <cell r="AF51">
            <v>0.45</v>
          </cell>
          <cell r="AG51">
            <v>18</v>
          </cell>
          <cell r="AH51">
            <v>270</v>
          </cell>
          <cell r="AI51">
            <v>180</v>
          </cell>
          <cell r="AJ51">
            <v>60</v>
          </cell>
          <cell r="AK51" t="str">
            <v>DuPont Wharf</v>
          </cell>
          <cell r="AL51"/>
        </row>
        <row r="52">
          <cell r="B52" t="str">
            <v>Delano Beach West - DNR - deep - test - 2021</v>
          </cell>
          <cell r="C52" t="str">
            <v>DEL_west_deep_1</v>
          </cell>
          <cell r="D52" t="str">
            <v>single</v>
          </cell>
          <cell r="E52">
            <v>2021</v>
          </cell>
          <cell r="H52"/>
          <cell r="I52"/>
          <cell r="J52" t="str">
            <v>DNR</v>
          </cell>
          <cell r="K52" t="str">
            <v>DNR</v>
          </cell>
          <cell r="L52"/>
          <cell r="M52"/>
          <cell r="N52"/>
          <cell r="O52"/>
          <cell r="R52" t="str">
            <v>test</v>
          </cell>
          <cell r="S52" t="str">
            <v>test</v>
          </cell>
          <cell r="T52">
            <v>44370</v>
          </cell>
          <cell r="U52"/>
          <cell r="V52"/>
          <cell r="W52" t="str">
            <v>point</v>
          </cell>
          <cell r="X52" t="str">
            <v>retain</v>
          </cell>
          <cell r="Y52" t="str">
            <v>WGS84</v>
          </cell>
          <cell r="Z52">
            <v>-1.524</v>
          </cell>
          <cell r="AA52" t="str">
            <v>rebar</v>
          </cell>
          <cell r="AB52">
            <v>1</v>
          </cell>
          <cell r="AC52">
            <v>1</v>
          </cell>
          <cell r="AD52">
            <v>1</v>
          </cell>
          <cell r="AE52">
            <v>3</v>
          </cell>
          <cell r="AF52">
            <v>0.30000000000000004</v>
          </cell>
          <cell r="AG52">
            <v>12</v>
          </cell>
          <cell r="AH52">
            <v>180</v>
          </cell>
          <cell r="AI52">
            <v>180</v>
          </cell>
          <cell r="AJ52">
            <v>60</v>
          </cell>
          <cell r="AK52" t="str">
            <v>DuPont Wharf</v>
          </cell>
          <cell r="AL52"/>
        </row>
        <row r="53">
          <cell r="B53" t="str">
            <v>Dumas Bay - KC Zm Restoration - test - 2020</v>
          </cell>
          <cell r="C53" t="str">
            <v>DB_test_1</v>
          </cell>
          <cell r="D53" t="str">
            <v>single</v>
          </cell>
          <cell r="E53">
            <v>2020</v>
          </cell>
          <cell r="F53" t="str">
            <v>SVMP</v>
          </cell>
          <cell r="G53" t="str">
            <v>point</v>
          </cell>
          <cell r="H53" t="str">
            <v>East Passage</v>
          </cell>
          <cell r="I53" t="str">
            <v>CPS</v>
          </cell>
          <cell r="J53" t="str">
            <v>King County</v>
          </cell>
          <cell r="K53" t="str">
            <v>King County</v>
          </cell>
          <cell r="L53" t="str">
            <v>King County Department of Natural Resources and Parks Wastewater Treatment Division</v>
          </cell>
          <cell r="N53" t="str">
            <v>93-097520</v>
          </cell>
          <cell r="R53" t="str">
            <v>test</v>
          </cell>
          <cell r="S53" t="str">
            <v>test</v>
          </cell>
          <cell r="T53">
            <v>44018</v>
          </cell>
          <cell r="U53">
            <v>47.329329999999999</v>
          </cell>
          <cell r="V53">
            <v>-122.38615</v>
          </cell>
          <cell r="W53" t="str">
            <v>point</v>
          </cell>
          <cell r="X53" t="str">
            <v>retain</v>
          </cell>
          <cell r="Y53" t="str">
            <v>WGS84</v>
          </cell>
          <cell r="Z53">
            <v>-1.6</v>
          </cell>
          <cell r="AA53" t="str">
            <v>rebar</v>
          </cell>
          <cell r="AB53">
            <v>3.5</v>
          </cell>
          <cell r="AC53">
            <v>3.5</v>
          </cell>
          <cell r="AD53">
            <v>12.25</v>
          </cell>
          <cell r="AE53">
            <v>1.5</v>
          </cell>
          <cell r="AF53">
            <v>0.45</v>
          </cell>
          <cell r="AG53">
            <v>18</v>
          </cell>
          <cell r="AH53">
            <v>300</v>
          </cell>
          <cell r="AI53">
            <v>24.489795918367346</v>
          </cell>
          <cell r="AJ53">
            <v>200</v>
          </cell>
          <cell r="AK53" t="str">
            <v>Dumas Bay</v>
          </cell>
          <cell r="AL53" t="str">
            <v>eelgrass harvested from area between Transects B and C at the Dumas Bay SeagrassNet site (WA50.1)</v>
          </cell>
        </row>
        <row r="54">
          <cell r="B54" t="str">
            <v>Dumas Bay - KC Zm Restoration - test - 2021</v>
          </cell>
          <cell r="C54" t="str">
            <v>DB_test_2</v>
          </cell>
          <cell r="D54" t="str">
            <v>single</v>
          </cell>
          <cell r="E54">
            <v>2021</v>
          </cell>
          <cell r="F54" t="str">
            <v>SVMP</v>
          </cell>
          <cell r="G54" t="str">
            <v>point</v>
          </cell>
          <cell r="H54" t="str">
            <v>East Passage</v>
          </cell>
          <cell r="I54" t="str">
            <v>CPS</v>
          </cell>
          <cell r="J54" t="str">
            <v>King County</v>
          </cell>
          <cell r="K54" t="str">
            <v>King County</v>
          </cell>
          <cell r="L54" t="str">
            <v>King County Department of Natural Resources and Parks Wastewater Treatment Division</v>
          </cell>
          <cell r="N54" t="str">
            <v>93-097520</v>
          </cell>
          <cell r="R54" t="str">
            <v>test</v>
          </cell>
          <cell r="S54" t="str">
            <v>test</v>
          </cell>
          <cell r="T54">
            <v>44314</v>
          </cell>
          <cell r="U54">
            <v>47.329329999999999</v>
          </cell>
          <cell r="V54">
            <v>-122.38615</v>
          </cell>
          <cell r="W54" t="str">
            <v>point</v>
          </cell>
          <cell r="X54" t="str">
            <v>retain</v>
          </cell>
          <cell r="Y54" t="str">
            <v>WGS84</v>
          </cell>
          <cell r="Z54">
            <v>-1.6</v>
          </cell>
          <cell r="AA54" t="str">
            <v>rebar</v>
          </cell>
          <cell r="AB54">
            <v>3.5</v>
          </cell>
          <cell r="AC54">
            <v>3.5</v>
          </cell>
          <cell r="AD54">
            <v>12.25</v>
          </cell>
          <cell r="AE54">
            <v>1</v>
          </cell>
          <cell r="AF54">
            <v>0.30000000000000004</v>
          </cell>
          <cell r="AG54">
            <v>12</v>
          </cell>
          <cell r="AH54">
            <v>300</v>
          </cell>
          <cell r="AI54">
            <v>24.489795918367346</v>
          </cell>
          <cell r="AJ54">
            <v>300</v>
          </cell>
          <cell r="AK54" t="str">
            <v>Dumas Bay</v>
          </cell>
          <cell r="AL54" t="str">
            <v>2020 test transplants were present so decided to add to the site. Eelgrass harvested from area between Transects B and C at the Dumas Bay SeagrassNet site (WA50.1)</v>
          </cell>
        </row>
        <row r="55">
          <cell r="B55" t="str">
            <v>Dumas Bay - KC Zm Restoration - test - 2021</v>
          </cell>
          <cell r="C55" t="str">
            <v>DB_test_2</v>
          </cell>
          <cell r="D55" t="str">
            <v>single</v>
          </cell>
          <cell r="E55">
            <v>2021</v>
          </cell>
          <cell r="F55" t="str">
            <v>SVMP</v>
          </cell>
          <cell r="G55" t="str">
            <v>point</v>
          </cell>
          <cell r="H55" t="str">
            <v>East Passage</v>
          </cell>
          <cell r="I55" t="str">
            <v>CPS</v>
          </cell>
          <cell r="J55" t="str">
            <v>King County</v>
          </cell>
          <cell r="K55" t="str">
            <v>King County</v>
          </cell>
          <cell r="L55" t="str">
            <v>King County Department of Natural Resources and Parks Wastewater Treatment Division</v>
          </cell>
          <cell r="N55" t="str">
            <v>93-097520</v>
          </cell>
          <cell r="R55" t="str">
            <v>test</v>
          </cell>
          <cell r="S55" t="str">
            <v>test</v>
          </cell>
          <cell r="T55">
            <v>44329</v>
          </cell>
          <cell r="U55">
            <v>47.329329999999999</v>
          </cell>
          <cell r="V55">
            <v>-122.38615</v>
          </cell>
          <cell r="W55" t="str">
            <v>point</v>
          </cell>
          <cell r="X55" t="str">
            <v>retain</v>
          </cell>
          <cell r="Y55" t="str">
            <v>WGS84</v>
          </cell>
          <cell r="Z55">
            <v>-1.6</v>
          </cell>
          <cell r="AA55" t="str">
            <v>rebar</v>
          </cell>
          <cell r="AB55">
            <v>3.5</v>
          </cell>
          <cell r="AC55">
            <v>0.5</v>
          </cell>
          <cell r="AD55">
            <v>1.75</v>
          </cell>
          <cell r="AE55">
            <v>0.75</v>
          </cell>
          <cell r="AF55">
            <v>0.22500000000000001</v>
          </cell>
          <cell r="AG55">
            <v>9</v>
          </cell>
          <cell r="AH55">
            <v>180</v>
          </cell>
          <cell r="AI55">
            <v>102.85714285714286</v>
          </cell>
          <cell r="AJ55">
            <v>240</v>
          </cell>
          <cell r="AK55" t="str">
            <v>DuPont Wharf</v>
          </cell>
          <cell r="AL55" t="str">
            <v>Planted on plot southwest of light sensor location, then one deeper from there and one plot shallower from there</v>
          </cell>
        </row>
        <row r="56">
          <cell r="B56" t="str">
            <v>Dumas Bay - KC Zm Restoration - test - 2021</v>
          </cell>
          <cell r="C56" t="str">
            <v>DB_test_2</v>
          </cell>
          <cell r="D56" t="str">
            <v>single</v>
          </cell>
          <cell r="E56">
            <v>2021</v>
          </cell>
          <cell r="F56" t="str">
            <v>SVMP</v>
          </cell>
          <cell r="G56" t="str">
            <v>point</v>
          </cell>
          <cell r="H56" t="str">
            <v>East Passage</v>
          </cell>
          <cell r="I56" t="str">
            <v>CPS</v>
          </cell>
          <cell r="J56" t="str">
            <v>King County</v>
          </cell>
          <cell r="K56" t="str">
            <v>King County</v>
          </cell>
          <cell r="L56" t="str">
            <v>King County Department of Natural Resources and Parks Wastewater Treatment Division</v>
          </cell>
          <cell r="N56" t="str">
            <v>93-097520</v>
          </cell>
          <cell r="R56" t="str">
            <v>test</v>
          </cell>
          <cell r="S56" t="str">
            <v>test</v>
          </cell>
          <cell r="T56">
            <v>44342</v>
          </cell>
          <cell r="U56">
            <v>47.329329999999999</v>
          </cell>
          <cell r="V56">
            <v>-122.38615</v>
          </cell>
          <cell r="W56" t="str">
            <v>point</v>
          </cell>
          <cell r="X56" t="str">
            <v>retain</v>
          </cell>
          <cell r="Y56" t="str">
            <v>WGS84</v>
          </cell>
          <cell r="Z56">
            <v>-1.6</v>
          </cell>
          <cell r="AA56" t="str">
            <v>rebar</v>
          </cell>
          <cell r="AB56">
            <v>3.5</v>
          </cell>
          <cell r="AC56">
            <v>0.5</v>
          </cell>
          <cell r="AD56">
            <v>1.75</v>
          </cell>
          <cell r="AE56">
            <v>0.75</v>
          </cell>
          <cell r="AF56">
            <v>0.22500000000000001</v>
          </cell>
          <cell r="AG56">
            <v>9</v>
          </cell>
          <cell r="AH56">
            <v>180</v>
          </cell>
          <cell r="AI56">
            <v>102.85714285714286</v>
          </cell>
          <cell r="AJ56">
            <v>240</v>
          </cell>
          <cell r="AK56" t="str">
            <v>DuPont Wharf</v>
          </cell>
          <cell r="AL56" t="str">
            <v>Planted on plot ENE of light sensor location. 3 plots of 3 rebar planted at 5m, 6m and 7m ENE of light sensor</v>
          </cell>
        </row>
        <row r="57">
          <cell r="B57" t="str">
            <v>Dumas Bay - KC Zm Restoration - test - 2021</v>
          </cell>
          <cell r="C57" t="str">
            <v>DB_test_2</v>
          </cell>
          <cell r="D57" t="str">
            <v>single</v>
          </cell>
          <cell r="E57">
            <v>2021</v>
          </cell>
          <cell r="F57" t="str">
            <v>SVMP</v>
          </cell>
          <cell r="G57" t="str">
            <v>point</v>
          </cell>
          <cell r="H57" t="str">
            <v>East Passage</v>
          </cell>
          <cell r="I57" t="str">
            <v>CPS</v>
          </cell>
          <cell r="J57" t="str">
            <v>King County</v>
          </cell>
          <cell r="K57" t="str">
            <v>King County</v>
          </cell>
          <cell r="L57" t="str">
            <v>King County Department of Natural Resources and Parks Wastewater Treatment Division</v>
          </cell>
          <cell r="N57" t="str">
            <v>93-097520</v>
          </cell>
          <cell r="R57" t="str">
            <v>test</v>
          </cell>
          <cell r="S57" t="str">
            <v>test</v>
          </cell>
          <cell r="T57">
            <v>44373</v>
          </cell>
          <cell r="U57">
            <v>47.329329999999999</v>
          </cell>
          <cell r="V57">
            <v>-122.38615</v>
          </cell>
          <cell r="W57" t="str">
            <v>point</v>
          </cell>
          <cell r="X57" t="str">
            <v>retain</v>
          </cell>
          <cell r="Y57" t="str">
            <v>WGS84</v>
          </cell>
          <cell r="Z57">
            <v>-1.6</v>
          </cell>
          <cell r="AA57" t="str">
            <v>rebar</v>
          </cell>
          <cell r="AB57">
            <v>3.5</v>
          </cell>
          <cell r="AC57">
            <v>2</v>
          </cell>
          <cell r="AD57">
            <v>7</v>
          </cell>
          <cell r="AE57">
            <v>1.5</v>
          </cell>
          <cell r="AF57">
            <v>0.45</v>
          </cell>
          <cell r="AG57">
            <v>18</v>
          </cell>
          <cell r="AH57">
            <v>270</v>
          </cell>
          <cell r="AI57">
            <v>38.571428571428569</v>
          </cell>
          <cell r="AJ57">
            <v>180</v>
          </cell>
          <cell r="AK57" t="str">
            <v>DuPont Wharf</v>
          </cell>
          <cell r="AL57" t="str">
            <v>planted in parallel groups of 3 in line with transplants from May. One row set 1 m further offshore than the shallow row.</v>
          </cell>
        </row>
        <row r="58">
          <cell r="B58" t="str">
            <v>Dumas Bay - KC Zm Restoration - test 2 - 2022</v>
          </cell>
          <cell r="C58" t="str">
            <v>DB_test_6</v>
          </cell>
          <cell r="D58" t="str">
            <v>single</v>
          </cell>
          <cell r="E58">
            <v>2022</v>
          </cell>
          <cell r="F58" t="str">
            <v>SVMP</v>
          </cell>
          <cell r="G58" t="str">
            <v>point</v>
          </cell>
          <cell r="H58" t="str">
            <v>East Passage</v>
          </cell>
          <cell r="I58" t="str">
            <v>CPS</v>
          </cell>
          <cell r="J58" t="str">
            <v>King County</v>
          </cell>
          <cell r="K58" t="str">
            <v>King County</v>
          </cell>
          <cell r="L58" t="str">
            <v>King County Department of Natural Resources and Parks Wastewater Treatment Division</v>
          </cell>
          <cell r="N58" t="str">
            <v>93-097520</v>
          </cell>
          <cell r="R58" t="str">
            <v>test</v>
          </cell>
          <cell r="S58" t="str">
            <v>test</v>
          </cell>
          <cell r="T58">
            <v>44728</v>
          </cell>
          <cell r="U58">
            <v>47.329329999999999</v>
          </cell>
          <cell r="V58">
            <v>-122.38615</v>
          </cell>
          <cell r="W58" t="str">
            <v>point</v>
          </cell>
          <cell r="X58" t="str">
            <v>retain</v>
          </cell>
          <cell r="Y58" t="str">
            <v>WGS84</v>
          </cell>
          <cell r="Z58">
            <v>-1.6</v>
          </cell>
          <cell r="AA58" t="str">
            <v>rebar</v>
          </cell>
          <cell r="AB58">
            <v>10</v>
          </cell>
          <cell r="AC58">
            <v>1</v>
          </cell>
          <cell r="AD58">
            <v>10</v>
          </cell>
          <cell r="AE58">
            <v>5</v>
          </cell>
          <cell r="AF58">
            <v>1.5</v>
          </cell>
          <cell r="AG58">
            <v>60</v>
          </cell>
          <cell r="AH58">
            <v>720</v>
          </cell>
          <cell r="AI58">
            <v>72</v>
          </cell>
          <cell r="AJ58">
            <v>144</v>
          </cell>
          <cell r="AK58" t="str">
            <v>DuPont Wharf</v>
          </cell>
          <cell r="AL58" t="str">
            <v>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v>
          </cell>
        </row>
        <row r="59">
          <cell r="B59" t="str">
            <v>Dumas Bay - KC Zm Restoration - test 1 - 2022</v>
          </cell>
          <cell r="C59" t="str">
            <v>DB_test_7</v>
          </cell>
          <cell r="D59" t="str">
            <v>single</v>
          </cell>
          <cell r="E59">
            <v>2022</v>
          </cell>
          <cell r="F59" t="str">
            <v>SVMP</v>
          </cell>
          <cell r="G59" t="str">
            <v>point</v>
          </cell>
          <cell r="H59" t="str">
            <v>East Passage</v>
          </cell>
          <cell r="I59" t="str">
            <v>CPS</v>
          </cell>
          <cell r="J59" t="str">
            <v>King County</v>
          </cell>
          <cell r="K59" t="str">
            <v>King County</v>
          </cell>
          <cell r="L59" t="str">
            <v>King County Department of Natural Resources and Parks Wastewater Treatment Division</v>
          </cell>
          <cell r="N59" t="str">
            <v>93-097520</v>
          </cell>
          <cell r="R59" t="str">
            <v>test</v>
          </cell>
          <cell r="S59" t="str">
            <v>test</v>
          </cell>
          <cell r="T59">
            <v>44700</v>
          </cell>
          <cell r="U59">
            <v>47.329329999999999</v>
          </cell>
          <cell r="V59">
            <v>-122.38615</v>
          </cell>
          <cell r="W59" t="str">
            <v>point</v>
          </cell>
          <cell r="X59" t="str">
            <v>retain</v>
          </cell>
          <cell r="Y59" t="str">
            <v>WGS84</v>
          </cell>
          <cell r="Z59">
            <v>-1.6</v>
          </cell>
          <cell r="AA59" t="str">
            <v>rebar</v>
          </cell>
          <cell r="AB59">
            <v>3</v>
          </cell>
          <cell r="AC59">
            <v>0.5</v>
          </cell>
          <cell r="AD59">
            <v>1.5</v>
          </cell>
          <cell r="AE59">
            <v>5</v>
          </cell>
          <cell r="AF59">
            <v>0.5</v>
          </cell>
          <cell r="AG59">
            <v>20</v>
          </cell>
          <cell r="AH59">
            <v>400</v>
          </cell>
          <cell r="AI59">
            <v>266.66666666666669</v>
          </cell>
          <cell r="AJ59">
            <v>80</v>
          </cell>
          <cell r="AK59" t="str">
            <v>DuPont Wharf</v>
          </cell>
          <cell r="AL59" t="str">
            <v xml:space="preserve">planted 20 rebar (6, 0.25 m2 plots + 2 rebar) parallel to shore and deeper than 2021 test transplants from 05/26/2021. </v>
          </cell>
        </row>
        <row r="60">
          <cell r="B60" t="str">
            <v>Eld Inlet - shallow - PNNL - test - 2015</v>
          </cell>
          <cell r="C60" t="str">
            <v>ELD_shallow</v>
          </cell>
          <cell r="D60" t="str">
            <v>single</v>
          </cell>
          <cell r="E60">
            <v>2015</v>
          </cell>
          <cell r="G60" t="str">
            <v>point</v>
          </cell>
          <cell r="H60" t="str">
            <v>Eld Inlet</v>
          </cell>
          <cell r="I60" t="str">
            <v>SPS</v>
          </cell>
          <cell r="J60" t="str">
            <v>Eelgrass Restoration in PS</v>
          </cell>
          <cell r="K60" t="str">
            <v>DNR</v>
          </cell>
          <cell r="L60" t="str">
            <v>Aquatic Restoration Program</v>
          </cell>
          <cell r="O60" t="str">
            <v>PNNL</v>
          </cell>
          <cell r="P60" t="str">
            <v>IAA 12-317.1</v>
          </cell>
          <cell r="Q60" t="str">
            <v>Aston, L.A., A.B. Borde and J. Vavrinec. 2015. Final Summary Report - Eelgrass Restoration in Puget Sound Project Summary. Pacific Northwest National Laboratory, Richland, WA. PNNL-24445.</v>
          </cell>
          <cell r="R60" t="str">
            <v>test</v>
          </cell>
          <cell r="S60" t="str">
            <v>test</v>
          </cell>
          <cell r="T60">
            <v>42075</v>
          </cell>
          <cell r="U60">
            <v>47.0974</v>
          </cell>
          <cell r="V60">
            <v>-122.95525000000001</v>
          </cell>
          <cell r="W60" t="str">
            <v>point</v>
          </cell>
          <cell r="X60" t="str">
            <v>retain</v>
          </cell>
          <cell r="Y60" t="str">
            <v>WGS84</v>
          </cell>
          <cell r="Z60">
            <v>-1.0668</v>
          </cell>
          <cell r="AA60" t="str">
            <v>staple</v>
          </cell>
          <cell r="AB60">
            <v>5</v>
          </cell>
          <cell r="AC60">
            <v>5</v>
          </cell>
          <cell r="AD60">
            <v>25</v>
          </cell>
          <cell r="AE60">
            <v>25</v>
          </cell>
          <cell r="AF60">
            <v>0.625</v>
          </cell>
          <cell r="AG60">
            <v>125</v>
          </cell>
          <cell r="AH60">
            <v>500</v>
          </cell>
          <cell r="AI60">
            <v>20</v>
          </cell>
          <cell r="AJ60">
            <v>20</v>
          </cell>
          <cell r="AK60" t="str">
            <v>Windy Bluff</v>
          </cell>
          <cell r="AL60" t="str">
            <v>"mega"-bundles were planted with 260 shoots on 26 staples outside of the plot 1 m west of the shallow plot</v>
          </cell>
        </row>
        <row r="61">
          <cell r="B61" t="str">
            <v>Eld Inlet - deep - PNNL - test - 2015</v>
          </cell>
          <cell r="C61" t="str">
            <v>ELD_deep</v>
          </cell>
          <cell r="D61" t="str">
            <v>single</v>
          </cell>
          <cell r="E61">
            <v>2015</v>
          </cell>
          <cell r="G61" t="str">
            <v>point</v>
          </cell>
          <cell r="H61" t="str">
            <v>Eld Inlet</v>
          </cell>
          <cell r="I61" t="str">
            <v>SPS</v>
          </cell>
          <cell r="J61" t="str">
            <v>Eelgrass Restoration in PS</v>
          </cell>
          <cell r="K61" t="str">
            <v>DNR</v>
          </cell>
          <cell r="L61" t="str">
            <v>Aquatic Restoration Program</v>
          </cell>
          <cell r="O61" t="str">
            <v>PNNL</v>
          </cell>
          <cell r="P61" t="str">
            <v>IAA 12-317.1</v>
          </cell>
          <cell r="Q61" t="str">
            <v>Aston, L.A., A.B. Borde and J. Vavrinec. 2015. Final Summary Report - Eelgrass Restoration in Puget Sound Project Summary. Pacific Northwest National Laboratory, Richland, WA. PNNL-24445.</v>
          </cell>
          <cell r="R61" t="str">
            <v>test</v>
          </cell>
          <cell r="S61" t="str">
            <v>test</v>
          </cell>
          <cell r="T61">
            <v>42075</v>
          </cell>
          <cell r="U61">
            <v>47.097516666666664</v>
          </cell>
          <cell r="V61">
            <v>-122.95535</v>
          </cell>
          <cell r="W61" t="str">
            <v>point</v>
          </cell>
          <cell r="X61" t="str">
            <v>retain</v>
          </cell>
          <cell r="Y61" t="str">
            <v>WGS84</v>
          </cell>
          <cell r="Z61">
            <v>-2.1335999999999999</v>
          </cell>
          <cell r="AA61" t="str">
            <v>staple</v>
          </cell>
          <cell r="AB61">
            <v>5</v>
          </cell>
          <cell r="AC61">
            <v>5</v>
          </cell>
          <cell r="AD61">
            <v>25</v>
          </cell>
          <cell r="AE61">
            <v>25</v>
          </cell>
          <cell r="AF61">
            <v>0.625</v>
          </cell>
          <cell r="AG61">
            <v>125</v>
          </cell>
          <cell r="AH61">
            <v>500</v>
          </cell>
          <cell r="AI61">
            <v>20</v>
          </cell>
          <cell r="AJ61">
            <v>20</v>
          </cell>
          <cell r="AK61" t="str">
            <v>Windy Bluff</v>
          </cell>
          <cell r="AL61" t="str">
            <v>"mega"-bundles were planted nearby, see Eld Inlet shallow</v>
          </cell>
        </row>
        <row r="62">
          <cell r="B62" t="str">
            <v>Eld Inlet - PNNL - test - 2020</v>
          </cell>
          <cell r="C62" t="str">
            <v>ELD</v>
          </cell>
          <cell r="D62" t="str">
            <v>single</v>
          </cell>
          <cell r="E62">
            <v>2020</v>
          </cell>
          <cell r="G62" t="str">
            <v>point</v>
          </cell>
          <cell r="H62" t="str">
            <v>Eld Inlet</v>
          </cell>
          <cell r="I62" t="str">
            <v>SPS</v>
          </cell>
          <cell r="J62" t="str">
            <v>Eelgrass Recovery in PS</v>
          </cell>
          <cell r="K62" t="str">
            <v>USACE</v>
          </cell>
          <cell r="L62" t="str">
            <v>USACE</v>
          </cell>
          <cell r="M62" t="str">
            <v>W912DW-14-2-0009 (93-099566)</v>
          </cell>
          <cell r="N62" t="str">
            <v>IAA 15-45</v>
          </cell>
          <cell r="O62" t="str">
            <v>PNNL</v>
          </cell>
          <cell r="R62" t="str">
            <v>test</v>
          </cell>
          <cell r="S62" t="str">
            <v>test</v>
          </cell>
          <cell r="T62">
            <v>44013</v>
          </cell>
          <cell r="U62">
            <v>47.121210165999997</v>
          </cell>
          <cell r="V62">
            <v>-122.9437588</v>
          </cell>
          <cell r="W62" t="str">
            <v>point</v>
          </cell>
          <cell r="X62" t="str">
            <v>retain</v>
          </cell>
          <cell r="Y62" t="str">
            <v>WGS84</v>
          </cell>
          <cell r="Z62">
            <v>-1.6</v>
          </cell>
          <cell r="AA62" t="str">
            <v>rebar</v>
          </cell>
          <cell r="AB62">
            <v>3</v>
          </cell>
          <cell r="AC62">
            <v>2.5</v>
          </cell>
          <cell r="AD62">
            <v>7.5</v>
          </cell>
          <cell r="AE62">
            <v>6.25</v>
          </cell>
          <cell r="AF62">
            <v>0.625</v>
          </cell>
          <cell r="AG62">
            <v>25</v>
          </cell>
          <cell r="AH62">
            <v>625</v>
          </cell>
          <cell r="AI62">
            <v>83.333333333333329</v>
          </cell>
          <cell r="AJ62">
            <v>100</v>
          </cell>
          <cell r="AK62" t="str">
            <v>Anderson Island</v>
          </cell>
          <cell r="AL62" t="str">
            <v>160deg az, mixed fines, soft, no algae</v>
          </cell>
        </row>
        <row r="63">
          <cell r="B63" t="str">
            <v>Elwha Delta - deep west - PNNL - test - 2016</v>
          </cell>
          <cell r="C63" t="str">
            <v>ELW_deep_west</v>
          </cell>
          <cell r="D63" t="str">
            <v>single</v>
          </cell>
          <cell r="E63">
            <v>2016</v>
          </cell>
          <cell r="F63"/>
          <cell r="G63" t="str">
            <v>point</v>
          </cell>
          <cell r="H63" t="str">
            <v>Elwha Delta</v>
          </cell>
          <cell r="I63" t="str">
            <v>SJS</v>
          </cell>
          <cell r="J63" t="str">
            <v>Puget Sound Eelgrass Restoration: 3 deltas</v>
          </cell>
          <cell r="K63" t="str">
            <v>USACE</v>
          </cell>
          <cell r="L63" t="str">
            <v>USACE</v>
          </cell>
          <cell r="M63" t="str">
            <v>W912DW-14-2-0009 (93-099566)</v>
          </cell>
          <cell r="N63" t="str">
            <v>IAA 15-45</v>
          </cell>
          <cell r="O63" t="str">
            <v>PNNL</v>
          </cell>
          <cell r="P63" t="str">
            <v>93-099661</v>
          </cell>
          <cell r="Q63"/>
          <cell r="R63" t="str">
            <v>test</v>
          </cell>
          <cell r="S63" t="str">
            <v>test</v>
          </cell>
          <cell r="T63">
            <v>42593</v>
          </cell>
          <cell r="U63">
            <v>48.137500000000003</v>
          </cell>
          <cell r="V63">
            <v>-123.587</v>
          </cell>
          <cell r="W63" t="str">
            <v>point</v>
          </cell>
          <cell r="X63" t="str">
            <v>retain</v>
          </cell>
          <cell r="Y63" t="str">
            <v>WGS84</v>
          </cell>
          <cell r="Z63">
            <v>-4.7</v>
          </cell>
          <cell r="AA63" t="str">
            <v>rebar</v>
          </cell>
          <cell r="AB63">
            <v>2</v>
          </cell>
          <cell r="AC63">
            <v>2</v>
          </cell>
          <cell r="AD63">
            <v>4</v>
          </cell>
          <cell r="AE63">
            <v>5</v>
          </cell>
          <cell r="AF63">
            <v>0.5</v>
          </cell>
          <cell r="AG63">
            <v>20</v>
          </cell>
          <cell r="AH63">
            <v>500</v>
          </cell>
          <cell r="AI63">
            <v>125</v>
          </cell>
          <cell r="AJ63">
            <v>100</v>
          </cell>
          <cell r="AK63" t="str">
            <v>Freshwater Bay</v>
          </cell>
          <cell r="AL63"/>
        </row>
        <row r="64">
          <cell r="B64" t="str">
            <v>Elwha Delta - shallow west - PNNL - test - 2016</v>
          </cell>
          <cell r="C64" t="str">
            <v>ELW_shallow_west</v>
          </cell>
          <cell r="D64" t="str">
            <v>single</v>
          </cell>
          <cell r="E64">
            <v>2016</v>
          </cell>
          <cell r="F64"/>
          <cell r="G64" t="str">
            <v>point</v>
          </cell>
          <cell r="H64" t="str">
            <v>Elwha Delta</v>
          </cell>
          <cell r="I64" t="str">
            <v>SJS</v>
          </cell>
          <cell r="J64" t="str">
            <v>Puget Sound Eelgrass Restoration: 3 deltas</v>
          </cell>
          <cell r="K64" t="str">
            <v>USACE</v>
          </cell>
          <cell r="L64" t="str">
            <v>USACE</v>
          </cell>
          <cell r="M64" t="str">
            <v>W912DW-14-2-0009 (93-099566)</v>
          </cell>
          <cell r="N64" t="str">
            <v>IAA 15-45</v>
          </cell>
          <cell r="O64" t="str">
            <v>PNNL</v>
          </cell>
          <cell r="P64" t="str">
            <v>93-099661</v>
          </cell>
          <cell r="Q64"/>
          <cell r="R64" t="str">
            <v>test</v>
          </cell>
          <cell r="S64" t="str">
            <v>test</v>
          </cell>
          <cell r="T64">
            <v>42593</v>
          </cell>
          <cell r="U64">
            <v>48.1372</v>
          </cell>
          <cell r="V64">
            <v>-123.5869</v>
          </cell>
          <cell r="W64" t="str">
            <v>point</v>
          </cell>
          <cell r="X64" t="str">
            <v>retain</v>
          </cell>
          <cell r="Y64" t="str">
            <v>WGS84</v>
          </cell>
          <cell r="Z64">
            <v>-3.9</v>
          </cell>
          <cell r="AA64" t="str">
            <v>rebar</v>
          </cell>
          <cell r="AB64">
            <v>2</v>
          </cell>
          <cell r="AC64">
            <v>2</v>
          </cell>
          <cell r="AD64">
            <v>4</v>
          </cell>
          <cell r="AE64">
            <v>5.5</v>
          </cell>
          <cell r="AF64">
            <v>0.55000000000000004</v>
          </cell>
          <cell r="AG64">
            <v>22</v>
          </cell>
          <cell r="AH64">
            <v>550</v>
          </cell>
          <cell r="AI64">
            <v>137.5</v>
          </cell>
          <cell r="AJ64">
            <v>100</v>
          </cell>
          <cell r="AK64" t="str">
            <v>Freshwater Bay</v>
          </cell>
          <cell r="AL64"/>
        </row>
        <row r="65">
          <cell r="B65" t="str">
            <v>Fudge Point South - north - DNR - rebar test - 2017</v>
          </cell>
          <cell r="C65" t="str">
            <v>FDG_1</v>
          </cell>
          <cell r="D65" t="str">
            <v>single</v>
          </cell>
          <cell r="E65">
            <v>2017</v>
          </cell>
          <cell r="F65" t="str">
            <v>Thom, RM, and L Hallum. 1990. Long‐term changes in the areal extent of tidal marshes, eelgrass meadows, and kelp forests of Puget Sound. FRI‐UW‐9008, Fisheries Research Institute, School of Fisheries, University of Washington, Seattle. Pp. 110.</v>
          </cell>
          <cell r="G65" t="str">
            <v>point</v>
          </cell>
          <cell r="H65" t="str">
            <v>Case Inlet</v>
          </cell>
          <cell r="I65" t="str">
            <v>CPS</v>
          </cell>
          <cell r="J65" t="str">
            <v>DNR</v>
          </cell>
          <cell r="K65" t="str">
            <v>DNR</v>
          </cell>
          <cell r="L65" t="str">
            <v>Nearshore Habitat Program</v>
          </cell>
          <cell r="Q65"/>
          <cell r="R65" t="str">
            <v>test</v>
          </cell>
          <cell r="S65" t="str">
            <v>test</v>
          </cell>
          <cell r="T65">
            <v>42935</v>
          </cell>
          <cell r="U65">
            <v>47.237259999999999</v>
          </cell>
          <cell r="V65">
            <v>-122.86145</v>
          </cell>
          <cell r="W65" t="str">
            <v>point</v>
          </cell>
          <cell r="X65" t="str">
            <v>retain</v>
          </cell>
          <cell r="Y65" t="str">
            <v>WGS84</v>
          </cell>
          <cell r="Z65">
            <v>-1.95</v>
          </cell>
          <cell r="AA65" t="str">
            <v>rebar</v>
          </cell>
          <cell r="AB65">
            <v>1</v>
          </cell>
          <cell r="AC65">
            <v>1</v>
          </cell>
          <cell r="AD65">
            <v>1</v>
          </cell>
          <cell r="AE65">
            <v>1.25</v>
          </cell>
          <cell r="AF65">
            <v>0.125</v>
          </cell>
          <cell r="AG65">
            <v>5</v>
          </cell>
          <cell r="AH65">
            <v>250</v>
          </cell>
          <cell r="AI65">
            <v>250</v>
          </cell>
          <cell r="AJ65">
            <v>200</v>
          </cell>
          <cell r="AK65" t="str">
            <v>Rocky Bay</v>
          </cell>
          <cell r="AL65"/>
        </row>
        <row r="66">
          <cell r="B66" t="str">
            <v>Fudge Point South - south - HC - test - 2017</v>
          </cell>
          <cell r="C66" t="str">
            <v>FDG_L1</v>
          </cell>
          <cell r="D66" t="str">
            <v>initial</v>
          </cell>
          <cell r="E66">
            <v>2017</v>
          </cell>
          <cell r="F66" t="str">
            <v>Thom, RM, and L Hallum. 1990. Long‐term changes in the areal extent of tidal marshes, eelgrass meadows, and kelp forests of Puget Sound. FRI‐UW‐9008, Fisheries Research Institute, School of Fisheries, University of Washington, Seattle. Pp. 110.</v>
          </cell>
          <cell r="G66" t="str">
            <v>line</v>
          </cell>
          <cell r="H66" t="str">
            <v>Case Inlet</v>
          </cell>
          <cell r="I66" t="str">
            <v>CPS</v>
          </cell>
          <cell r="J66" t="str">
            <v>Eelgrass Restoration in Puget Sound</v>
          </cell>
          <cell r="K66" t="str">
            <v>WDFW</v>
          </cell>
          <cell r="L66" t="str">
            <v>National Estuary Program</v>
          </cell>
          <cell r="M66" t="str">
            <v>14-02072</v>
          </cell>
          <cell r="N66" t="str">
            <v>IAA 15-110</v>
          </cell>
          <cell r="O66" t="str">
            <v>Hart Crowser</v>
          </cell>
          <cell r="P66" t="str">
            <v>SC 16-17</v>
          </cell>
          <cell r="Q66" t="str">
            <v>Shannon, J., J. Blanchette and J. Gaeckle. 2018. Eelgrass (Zostera marina) Restoration in Puget Sound, WA. Final Restoration and Monitoring Report (12059-05) for US EPA, Hart Crowser, Edmonds, WA. Pp. 131.</v>
          </cell>
          <cell r="R66" t="str">
            <v>test</v>
          </cell>
          <cell r="S66" t="str">
            <v>test</v>
          </cell>
          <cell r="T66">
            <v>42935</v>
          </cell>
          <cell r="U66">
            <v>47.237250000000003</v>
          </cell>
          <cell r="V66">
            <v>-122.86138</v>
          </cell>
          <cell r="W66" t="str">
            <v>line</v>
          </cell>
          <cell r="X66" t="str">
            <v>retain</v>
          </cell>
          <cell r="Y66" t="str">
            <v>WGS84</v>
          </cell>
          <cell r="Z66">
            <v>-1.95</v>
          </cell>
          <cell r="AA66" t="str">
            <v>turf</v>
          </cell>
          <cell r="AB66">
            <v>10</v>
          </cell>
          <cell r="AC66">
            <v>1</v>
          </cell>
          <cell r="AD66">
            <v>10</v>
          </cell>
          <cell r="AE66">
            <v>6</v>
          </cell>
          <cell r="AF66">
            <v>1.06</v>
          </cell>
          <cell r="AG66">
            <v>106</v>
          </cell>
          <cell r="AH66">
            <v>1056</v>
          </cell>
          <cell r="AI66">
            <v>105.6</v>
          </cell>
          <cell r="AJ66">
            <v>176</v>
          </cell>
          <cell r="AK66" t="str">
            <v>Rocky Bay</v>
          </cell>
          <cell r="AL66" t="str">
            <v>Referred to as 'Fudge Point 2' in final report. Turfs plant 5-15 shoots per staple (X= ~10 shoots/staple b/c donor site was Rocky Bay). Estimated number of PUs at test-transplant site as 1056/10 = 105</v>
          </cell>
        </row>
        <row r="67">
          <cell r="B67" t="str">
            <v>Fudge Point South - north - HC test - 2017</v>
          </cell>
          <cell r="C67" t="str">
            <v>FDG_L1</v>
          </cell>
          <cell r="D67" t="str">
            <v>initial</v>
          </cell>
          <cell r="E67">
            <v>2017</v>
          </cell>
          <cell r="F67" t="str">
            <v>Thom, RM, and L Hallum. 1990. Long‐term changes in the areal extent of tidal marshes, eelgrass meadows, and kelp forests of Puget Sound. FRI‐UW‐9008, Fisheries Research Institute, School of Fisheries, University of Washington, Seattle. Pp. 110.</v>
          </cell>
          <cell r="G67" t="str">
            <v>line</v>
          </cell>
          <cell r="H67" t="str">
            <v>Case Inlet</v>
          </cell>
          <cell r="I67" t="str">
            <v>CPS</v>
          </cell>
          <cell r="J67" t="str">
            <v>Eelgrass Restoration in Puget Sound</v>
          </cell>
          <cell r="K67" t="str">
            <v>WDFW</v>
          </cell>
          <cell r="L67" t="str">
            <v>National Estuary Program</v>
          </cell>
          <cell r="M67" t="str">
            <v>14-02072</v>
          </cell>
          <cell r="N67" t="str">
            <v>IAA 15-110</v>
          </cell>
          <cell r="O67" t="str">
            <v>Hart Crowser</v>
          </cell>
          <cell r="P67" t="str">
            <v>SC 16-17</v>
          </cell>
          <cell r="Q67" t="str">
            <v>Shannon, J., J. Blanchette and J. Gaeckle. 2018. Eelgrass (Zostera marina) Restoration in Puget Sound, WA. Final Restoration and Monitoring Report (12059-05) for US EPA, Hart Crowser, Edmonds, WA. Pp. 131.</v>
          </cell>
          <cell r="R67" t="str">
            <v>test</v>
          </cell>
          <cell r="S67" t="str">
            <v>--</v>
          </cell>
          <cell r="T67">
            <v>42935</v>
          </cell>
          <cell r="U67">
            <v>47.237259999999999</v>
          </cell>
          <cell r="V67">
            <v>-122.86145</v>
          </cell>
          <cell r="W67" t="str">
            <v>line</v>
          </cell>
          <cell r="X67" t="str">
            <v>retain</v>
          </cell>
          <cell r="Y67" t="str">
            <v>WGS84</v>
          </cell>
          <cell r="AF67" t="str">
            <v/>
          </cell>
          <cell r="AG67"/>
          <cell r="AH67"/>
          <cell r="AI67" t="str">
            <v/>
          </cell>
          <cell r="AJ67" t="str">
            <v/>
          </cell>
          <cell r="AL67"/>
        </row>
        <row r="68">
          <cell r="B68" t="str">
            <v>Fudge Point North - south - HC - test - 2017</v>
          </cell>
          <cell r="C68" t="str">
            <v>FDG_L2</v>
          </cell>
          <cell r="D68" t="str">
            <v>initial</v>
          </cell>
          <cell r="E68">
            <v>2017</v>
          </cell>
          <cell r="F68" t="str">
            <v>Thom, RM, and L Hallum. 1990. Long‐term changes in the areal extent of tidal marshes, eelgrass meadows, and kelp forests of Puget Sound. FRI‐UW‐9008, Fisheries Research Institute, School of Fisheries, University of Washington, Seattle. Pp. 110.</v>
          </cell>
          <cell r="G68" t="str">
            <v>line</v>
          </cell>
          <cell r="H68" t="str">
            <v>Case Inlet</v>
          </cell>
          <cell r="I68" t="str">
            <v>CPS</v>
          </cell>
          <cell r="J68" t="str">
            <v>Eelgrass Restoration in Puget Sound</v>
          </cell>
          <cell r="K68" t="str">
            <v>WDFW</v>
          </cell>
          <cell r="L68" t="str">
            <v>National Estuary Program</v>
          </cell>
          <cell r="M68" t="str">
            <v>14-02072</v>
          </cell>
          <cell r="N68" t="str">
            <v>IAA 15-110</v>
          </cell>
          <cell r="O68" t="str">
            <v>Hart Crowser</v>
          </cell>
          <cell r="P68" t="str">
            <v>SC 16-17</v>
          </cell>
          <cell r="Q68" t="str">
            <v>Shannon, J., J. Blanchette and J. Gaeckle. 2018. Eelgrass (Zostera marina) Restoration in Puget Sound, WA. Final Restoration and Monitoring Report (12059-05) for US EPA, Hart Crowser, Edmonds, WA. Pp. 131.</v>
          </cell>
          <cell r="R68" t="str">
            <v>test</v>
          </cell>
          <cell r="S68" t="str">
            <v>test</v>
          </cell>
          <cell r="T68">
            <v>42935</v>
          </cell>
          <cell r="U68">
            <v>47.237659999999998</v>
          </cell>
          <cell r="V68">
            <v>-122.86239999999999</v>
          </cell>
          <cell r="W68" t="str">
            <v>line</v>
          </cell>
          <cell r="X68" t="str">
            <v>retain</v>
          </cell>
          <cell r="Y68" t="str">
            <v>WGS84</v>
          </cell>
          <cell r="Z68">
            <v>-1.95</v>
          </cell>
          <cell r="AA68" t="str">
            <v>turf</v>
          </cell>
          <cell r="AB68">
            <v>10</v>
          </cell>
          <cell r="AC68">
            <v>1</v>
          </cell>
          <cell r="AD68">
            <v>10</v>
          </cell>
          <cell r="AE68">
            <v>6</v>
          </cell>
          <cell r="AF68">
            <v>1.1599999999999999</v>
          </cell>
          <cell r="AG68">
            <v>116</v>
          </cell>
          <cell r="AH68">
            <v>1160</v>
          </cell>
          <cell r="AI68">
            <v>116</v>
          </cell>
          <cell r="AJ68">
            <v>193.33333333333334</v>
          </cell>
          <cell r="AK68" t="str">
            <v>Rocky Bay</v>
          </cell>
          <cell r="AL68" t="str">
            <v>Referred to as 'Fudge Point 1' in final report. Turfs plant 5-15 shoots per staple (X= ~10 shoots/staple b/c donor site was Rocky Bay). Estimated number of PUs at test-transplant site as 1160/10 = 116</v>
          </cell>
        </row>
        <row r="69">
          <cell r="B69" t="str">
            <v>Fudge Point North - north - HC - test - 2017</v>
          </cell>
          <cell r="C69" t="str">
            <v>FDG_L2</v>
          </cell>
          <cell r="D69" t="str">
            <v>initial</v>
          </cell>
          <cell r="E69">
            <v>2017</v>
          </cell>
          <cell r="F69" t="str">
            <v>Thom, RM, and L Hallum. 1990. Long‐term changes in the areal extent of tidal marshes, eelgrass meadows, and kelp forests of Puget Sound. FRI‐UW‐9008, Fisheries Research Institute, School of Fisheries, University of Washington, Seattle. Pp. 110.</v>
          </cell>
          <cell r="G69" t="str">
            <v>line</v>
          </cell>
          <cell r="H69" t="str">
            <v>Case Inlet</v>
          </cell>
          <cell r="I69" t="str">
            <v>CPS</v>
          </cell>
          <cell r="J69" t="str">
            <v>Eelgrass Restoration in Puget Sound</v>
          </cell>
          <cell r="K69" t="str">
            <v>WDFW</v>
          </cell>
          <cell r="L69" t="str">
            <v>National Estuary Program</v>
          </cell>
          <cell r="M69" t="str">
            <v>14-02072</v>
          </cell>
          <cell r="N69" t="str">
            <v>IAA 15-110</v>
          </cell>
          <cell r="O69" t="str">
            <v>Hart Crowser</v>
          </cell>
          <cell r="P69" t="str">
            <v>SC 16-17</v>
          </cell>
          <cell r="Q69" t="str">
            <v>Shannon, J., J. Blanchette and J. Gaeckle. 2018. Eelgrass (Zostera marina) Restoration in Puget Sound, WA. Final Restoration and Monitoring Report (12059-05) for US EPA, Hart Crowser, Edmonds, WA. Pp. 131.</v>
          </cell>
          <cell r="R69" t="str">
            <v>test</v>
          </cell>
          <cell r="S69" t="str">
            <v>--</v>
          </cell>
          <cell r="T69">
            <v>42935</v>
          </cell>
          <cell r="U69">
            <v>47.237740000000002</v>
          </cell>
          <cell r="V69">
            <v>-122.86269</v>
          </cell>
          <cell r="W69" t="str">
            <v>line</v>
          </cell>
          <cell r="X69" t="str">
            <v>retain</v>
          </cell>
          <cell r="Y69" t="str">
            <v>WGS84</v>
          </cell>
          <cell r="AF69" t="str">
            <v/>
          </cell>
          <cell r="AG69"/>
          <cell r="AH69"/>
          <cell r="AI69" t="str">
            <v/>
          </cell>
          <cell r="AJ69" t="str">
            <v/>
          </cell>
          <cell r="AL69"/>
        </row>
        <row r="70">
          <cell r="B70" t="str">
            <v>Fudge Point South - south - HC - test - 2018</v>
          </cell>
          <cell r="C70" t="str">
            <v>FDG_L1</v>
          </cell>
          <cell r="D70" t="str">
            <v>repeat</v>
          </cell>
          <cell r="E70">
            <v>2018</v>
          </cell>
          <cell r="F70" t="str">
            <v>Thom, RM, and L Hallum. 1990. Long‐term changes in the areal extent of tidal marshes, eelgrass meadows, and kelp forests of Puget Sound. FRI‐UW‐9008, Fisheries Research Institute, School of Fisheries, University of Washington, Seattle. Pp. 110.</v>
          </cell>
          <cell r="G70" t="str">
            <v>line</v>
          </cell>
          <cell r="H70" t="str">
            <v>Case Inlet</v>
          </cell>
          <cell r="I70" t="str">
            <v>CPS</v>
          </cell>
          <cell r="J70" t="str">
            <v>DNR</v>
          </cell>
          <cell r="K70" t="str">
            <v>DNR</v>
          </cell>
          <cell r="L70" t="str">
            <v>Nearshore Habitat Program</v>
          </cell>
          <cell r="R70" t="str">
            <v>test</v>
          </cell>
          <cell r="S70" t="str">
            <v>test</v>
          </cell>
          <cell r="T70">
            <v>43263</v>
          </cell>
          <cell r="U70">
            <v>47.237250000000003</v>
          </cell>
          <cell r="V70">
            <v>-122.86138</v>
          </cell>
          <cell r="W70" t="str">
            <v>line</v>
          </cell>
          <cell r="X70" t="str">
            <v>retain</v>
          </cell>
          <cell r="Y70" t="str">
            <v>WGS84</v>
          </cell>
          <cell r="Z70">
            <v>-1.95</v>
          </cell>
          <cell r="AA70" t="str">
            <v>rebar</v>
          </cell>
          <cell r="AB70">
            <v>10</v>
          </cell>
          <cell r="AC70">
            <v>0.5</v>
          </cell>
          <cell r="AD70">
            <v>5</v>
          </cell>
          <cell r="AE70">
            <v>2.25</v>
          </cell>
          <cell r="AF70">
            <v>0.22500000000000001</v>
          </cell>
          <cell r="AG70">
            <v>9</v>
          </cell>
          <cell r="AH70">
            <v>225</v>
          </cell>
          <cell r="AI70">
            <v>45</v>
          </cell>
          <cell r="AJ70">
            <v>100</v>
          </cell>
          <cell r="AK70" t="str">
            <v>DuPont Wharf</v>
          </cell>
          <cell r="AL70" t="str">
            <v>Same location as 2017 Fudge Point test transplant sites, just different donor plants. Screw anchor at 0 and 10 m, planted at 1, 5, and 9 meters between screw anchor</v>
          </cell>
        </row>
        <row r="71">
          <cell r="B71" t="str">
            <v>Fudge Point South - north - HC test - 2018</v>
          </cell>
          <cell r="C71" t="str">
            <v>FDG_L1</v>
          </cell>
          <cell r="D71" t="str">
            <v>repeat</v>
          </cell>
          <cell r="E71">
            <v>2018</v>
          </cell>
          <cell r="F71" t="str">
            <v>Thom, RM, and L Hallum. 1990. Long‐term changes in the areal extent of tidal marshes, eelgrass meadows, and kelp forests of Puget Sound. FRI‐UW‐9008, Fisheries Research Institute, School of Fisheries, University of Washington, Seattle. Pp. 110.</v>
          </cell>
          <cell r="G71" t="str">
            <v>line</v>
          </cell>
          <cell r="H71" t="str">
            <v>Case Inlet</v>
          </cell>
          <cell r="I71" t="str">
            <v>CPS</v>
          </cell>
          <cell r="J71" t="str">
            <v>DNR</v>
          </cell>
          <cell r="K71" t="str">
            <v>DNR</v>
          </cell>
          <cell r="L71" t="str">
            <v>Nearshore Habitat Program</v>
          </cell>
          <cell r="R71" t="str">
            <v>test</v>
          </cell>
          <cell r="S71" t="str">
            <v>--</v>
          </cell>
          <cell r="T71">
            <v>43263</v>
          </cell>
          <cell r="U71">
            <v>47.237259999999999</v>
          </cell>
          <cell r="V71">
            <v>-122.86145</v>
          </cell>
          <cell r="W71" t="str">
            <v>line</v>
          </cell>
          <cell r="X71" t="str">
            <v>retain</v>
          </cell>
          <cell r="Y71" t="str">
            <v>WGS84</v>
          </cell>
          <cell r="Z71"/>
          <cell r="AF71" t="str">
            <v/>
          </cell>
          <cell r="AG71"/>
          <cell r="AH71"/>
          <cell r="AI71" t="str">
            <v/>
          </cell>
          <cell r="AJ71" t="str">
            <v/>
          </cell>
        </row>
        <row r="72">
          <cell r="B72" t="str">
            <v>Fudge Point North - south - HC - test - 2018</v>
          </cell>
          <cell r="C72" t="str">
            <v>FDG_L2</v>
          </cell>
          <cell r="D72" t="str">
            <v>repeat</v>
          </cell>
          <cell r="E72">
            <v>2018</v>
          </cell>
          <cell r="F72" t="str">
            <v>Thom, RM, and L Hallum. 1990. Long‐term changes in the areal extent of tidal marshes, eelgrass meadows, and kelp forests of Puget Sound. FRI‐UW‐9008, Fisheries Research Institute, School of Fisheries, University of Washington, Seattle. Pp. 110.</v>
          </cell>
          <cell r="G72" t="str">
            <v>line</v>
          </cell>
          <cell r="H72" t="str">
            <v>Case Inlet</v>
          </cell>
          <cell r="I72" t="str">
            <v>CPS</v>
          </cell>
          <cell r="J72" t="str">
            <v>DNR</v>
          </cell>
          <cell r="K72" t="str">
            <v>DNR</v>
          </cell>
          <cell r="L72" t="str">
            <v>Nearshore Habitat Program</v>
          </cell>
          <cell r="R72" t="str">
            <v>test</v>
          </cell>
          <cell r="S72" t="str">
            <v>test</v>
          </cell>
          <cell r="T72">
            <v>43263</v>
          </cell>
          <cell r="U72">
            <v>47.237659999999998</v>
          </cell>
          <cell r="V72">
            <v>-122.86239999999999</v>
          </cell>
          <cell r="W72" t="str">
            <v>line</v>
          </cell>
          <cell r="X72" t="str">
            <v>retain</v>
          </cell>
          <cell r="Y72" t="str">
            <v>WGS84</v>
          </cell>
          <cell r="Z72">
            <v>-1.95</v>
          </cell>
          <cell r="AA72" t="str">
            <v>rebar</v>
          </cell>
          <cell r="AB72">
            <v>10</v>
          </cell>
          <cell r="AC72">
            <v>0.5</v>
          </cell>
          <cell r="AD72">
            <v>5</v>
          </cell>
          <cell r="AE72">
            <v>2.25</v>
          </cell>
          <cell r="AF72">
            <v>0.22500000000000001</v>
          </cell>
          <cell r="AG72">
            <v>9</v>
          </cell>
          <cell r="AH72">
            <v>225</v>
          </cell>
          <cell r="AI72">
            <v>45</v>
          </cell>
          <cell r="AJ72">
            <v>100</v>
          </cell>
          <cell r="AK72" t="str">
            <v>DuPont Wharf</v>
          </cell>
          <cell r="AL72" t="str">
            <v>Same location as 2017 Fudge Point test transplant sites, just different donor plants. Screw anchor at 0 and 10 m, planted at 1, 5, and 9 meters between screw anchor</v>
          </cell>
        </row>
        <row r="73">
          <cell r="B73" t="str">
            <v>Fudge Point North - north - HC - test - 2018</v>
          </cell>
          <cell r="C73" t="str">
            <v>FDG_L2</v>
          </cell>
          <cell r="D73" t="str">
            <v>repeat</v>
          </cell>
          <cell r="E73">
            <v>2018</v>
          </cell>
          <cell r="F73" t="str">
            <v>Thom, RM, and L Hallum. 1990. Long‐term changes in the areal extent of tidal marshes, eelgrass meadows, and kelp forests of Puget Sound. FRI‐UW‐9008, Fisheries Research Institute, School of Fisheries, University of Washington, Seattle. Pp. 110.</v>
          </cell>
          <cell r="G73" t="str">
            <v>line</v>
          </cell>
          <cell r="H73" t="str">
            <v>Case Inlet</v>
          </cell>
          <cell r="I73" t="str">
            <v>CPS</v>
          </cell>
          <cell r="J73" t="str">
            <v>DNR</v>
          </cell>
          <cell r="K73" t="str">
            <v>DNR</v>
          </cell>
          <cell r="L73" t="str">
            <v>Nearshore Habitat Program</v>
          </cell>
          <cell r="R73" t="str">
            <v>test</v>
          </cell>
          <cell r="S73" t="str">
            <v>--</v>
          </cell>
          <cell r="T73">
            <v>43263</v>
          </cell>
          <cell r="U73">
            <v>47.237740000000002</v>
          </cell>
          <cell r="V73">
            <v>-122.86269</v>
          </cell>
          <cell r="W73" t="str">
            <v>line</v>
          </cell>
          <cell r="X73" t="str">
            <v>retain</v>
          </cell>
          <cell r="Y73" t="str">
            <v>WGS84</v>
          </cell>
          <cell r="AF73" t="str">
            <v/>
          </cell>
          <cell r="AG73"/>
          <cell r="AH73"/>
          <cell r="AI73" t="str">
            <v/>
          </cell>
          <cell r="AJ73" t="str">
            <v/>
          </cell>
        </row>
        <row r="74">
          <cell r="B74" t="str">
            <v>Graham Point - PNNL - test - 2015</v>
          </cell>
          <cell r="C74" t="str">
            <v>GRA_1</v>
          </cell>
          <cell r="D74" t="str">
            <v>single</v>
          </cell>
          <cell r="E74">
            <v>2015</v>
          </cell>
          <cell r="G74" t="str">
            <v>point</v>
          </cell>
          <cell r="H74" t="str">
            <v>Pickering Passage</v>
          </cell>
          <cell r="I74" t="str">
            <v>SPS</v>
          </cell>
          <cell r="J74" t="str">
            <v>Eelgrass Restoration in PS</v>
          </cell>
          <cell r="K74" t="str">
            <v>DNR</v>
          </cell>
          <cell r="L74" t="str">
            <v>Aquatic Restoration Program</v>
          </cell>
          <cell r="O74" t="str">
            <v>PNNL</v>
          </cell>
          <cell r="P74" t="str">
            <v>IAA 12-317.1</v>
          </cell>
          <cell r="Q74" t="str">
            <v>Aston, L.A., A.B. Borde and J. Vavrinec. 2015. Final Summary Report - Eelgrass Restoration in Puget Sound Project Summary. Pacific Northwest National Laboratory, Richland, WA. PNNL-24445.</v>
          </cell>
          <cell r="R74" t="str">
            <v>test</v>
          </cell>
          <cell r="S74" t="str">
            <v>test</v>
          </cell>
          <cell r="T74">
            <v>42075</v>
          </cell>
          <cell r="U74">
            <v>47.251947999999999</v>
          </cell>
          <cell r="V74">
            <v>-122.92783300000001</v>
          </cell>
          <cell r="W74" t="str">
            <v>point</v>
          </cell>
          <cell r="X74" t="str">
            <v>retain</v>
          </cell>
          <cell r="Y74" t="str">
            <v>WGS84</v>
          </cell>
          <cell r="Z74">
            <v>-1.2</v>
          </cell>
          <cell r="AA74" t="str">
            <v>staple</v>
          </cell>
          <cell r="AB74">
            <v>5</v>
          </cell>
          <cell r="AC74">
            <v>5</v>
          </cell>
          <cell r="AD74">
            <v>25</v>
          </cell>
          <cell r="AE74">
            <v>25</v>
          </cell>
          <cell r="AF74">
            <v>0.625</v>
          </cell>
          <cell r="AG74">
            <v>125</v>
          </cell>
          <cell r="AH74">
            <v>500</v>
          </cell>
          <cell r="AI74">
            <v>20</v>
          </cell>
          <cell r="AJ74">
            <v>20</v>
          </cell>
          <cell r="AK74" t="str">
            <v>Windy Bluff</v>
          </cell>
          <cell r="AL74" t="str">
            <v>planting depths on slope depth range of -1.2m, MLLW to -2.1m, MLLW</v>
          </cell>
        </row>
        <row r="75">
          <cell r="B75" t="str">
            <v>Graham Point - DNR - test - chia -2016</v>
          </cell>
          <cell r="C75" t="str">
            <v>GRA_2</v>
          </cell>
          <cell r="D75" t="str">
            <v>single</v>
          </cell>
          <cell r="E75">
            <v>2016</v>
          </cell>
          <cell r="G75" t="str">
            <v>point</v>
          </cell>
          <cell r="H75" t="str">
            <v>Pickering Passage</v>
          </cell>
          <cell r="I75" t="str">
            <v>SPS</v>
          </cell>
          <cell r="K75" t="str">
            <v>DNR</v>
          </cell>
          <cell r="L75" t="str">
            <v>Nearshore Habitat Program</v>
          </cell>
          <cell r="R75" t="str">
            <v>test</v>
          </cell>
          <cell r="S75" t="str">
            <v>test</v>
          </cell>
          <cell r="T75">
            <v>42572</v>
          </cell>
          <cell r="U75">
            <v>47.251947999999999</v>
          </cell>
          <cell r="V75">
            <v>-122.92783300000001</v>
          </cell>
          <cell r="W75" t="str">
            <v>point</v>
          </cell>
          <cell r="X75" t="str">
            <v>drop</v>
          </cell>
          <cell r="Y75" t="str">
            <v>WGS84</v>
          </cell>
          <cell r="Z75">
            <v>-0.2</v>
          </cell>
          <cell r="AA75" t="str">
            <v>rebar</v>
          </cell>
          <cell r="AB75">
            <v>0.25</v>
          </cell>
          <cell r="AC75">
            <v>9</v>
          </cell>
          <cell r="AD75">
            <v>2.25</v>
          </cell>
          <cell r="AE75">
            <v>12.5625</v>
          </cell>
          <cell r="AF75">
            <v>1.2562500000000001</v>
          </cell>
          <cell r="AG75">
            <v>50.25</v>
          </cell>
          <cell r="AH75">
            <v>201</v>
          </cell>
          <cell r="AI75">
            <v>89.333333333333329</v>
          </cell>
          <cell r="AJ75">
            <v>16</v>
          </cell>
          <cell r="AK75" t="str">
            <v>DuPont Wharf</v>
          </cell>
          <cell r="AL75" t="str">
            <v>planted 0.0625 m2 rebar quads at 0 m, -0.2 m, -0.3 m &amp; -0.4 m (4 total 0.0625 m2 quads). Planted slightly shallower than 2015 test plots.</v>
          </cell>
        </row>
        <row r="76">
          <cell r="B76" t="str">
            <v>Harstine Island - PNNL - Test Plot 2 of 4 (north plot) - 2017</v>
          </cell>
          <cell r="C76" t="str">
            <v>HAR_2</v>
          </cell>
          <cell r="D76" t="str">
            <v>single</v>
          </cell>
          <cell r="E76">
            <v>2017</v>
          </cell>
          <cell r="F76"/>
          <cell r="G76" t="str">
            <v>point</v>
          </cell>
          <cell r="H76" t="str">
            <v>Case Inlet</v>
          </cell>
          <cell r="I76" t="str">
            <v>CPS</v>
          </cell>
          <cell r="J76" t="str">
            <v>Eelgrass Recovery in PS</v>
          </cell>
          <cell r="K76" t="str">
            <v>USFWS</v>
          </cell>
          <cell r="L76" t="str">
            <v>USFWS</v>
          </cell>
          <cell r="M76" t="str">
            <v>WA F16AP00163 AL</v>
          </cell>
          <cell r="N76"/>
          <cell r="O76" t="str">
            <v>PNNL</v>
          </cell>
          <cell r="P76" t="str">
            <v>93-094344</v>
          </cell>
          <cell r="Q76"/>
          <cell r="R76" t="str">
            <v>test</v>
          </cell>
          <cell r="S76" t="str">
            <v>test</v>
          </cell>
          <cell r="T76">
            <v>42893</v>
          </cell>
          <cell r="U76">
            <v>47.294034213000003</v>
          </cell>
          <cell r="V76">
            <v>-122.85419904600001</v>
          </cell>
          <cell r="W76" t="str">
            <v>point</v>
          </cell>
          <cell r="X76" t="str">
            <v>retain</v>
          </cell>
          <cell r="Y76" t="str">
            <v>WGS84</v>
          </cell>
          <cell r="Z76">
            <v>-0.9</v>
          </cell>
          <cell r="AA76" t="str">
            <v>rebar</v>
          </cell>
          <cell r="AB76">
            <v>3</v>
          </cell>
          <cell r="AC76">
            <v>2</v>
          </cell>
          <cell r="AD76">
            <v>6</v>
          </cell>
          <cell r="AE76">
            <v>5</v>
          </cell>
          <cell r="AF76">
            <v>0.5</v>
          </cell>
          <cell r="AG76">
            <v>20</v>
          </cell>
          <cell r="AH76">
            <v>1000</v>
          </cell>
          <cell r="AI76">
            <v>166.66666666666666</v>
          </cell>
          <cell r="AJ76">
            <v>200</v>
          </cell>
          <cell r="AK76" t="str">
            <v>Windy Bluff</v>
          </cell>
          <cell r="AL76" t="str">
            <v>S screw anchor for test plot</v>
          </cell>
        </row>
        <row r="77">
          <cell r="B77" t="str">
            <v>Harstine Island - PNNL - Test Plot 3 of 4 (south plot) - 2017</v>
          </cell>
          <cell r="C77" t="str">
            <v>HAR_3</v>
          </cell>
          <cell r="D77" t="str">
            <v>single</v>
          </cell>
          <cell r="E77">
            <v>2017</v>
          </cell>
          <cell r="F77"/>
          <cell r="G77" t="str">
            <v>point</v>
          </cell>
          <cell r="H77" t="str">
            <v>Case Inlet</v>
          </cell>
          <cell r="I77" t="str">
            <v>CPS</v>
          </cell>
          <cell r="J77" t="str">
            <v>Eelgrass Recovery in PS</v>
          </cell>
          <cell r="K77" t="str">
            <v>USFWS</v>
          </cell>
          <cell r="L77" t="str">
            <v>USFWS</v>
          </cell>
          <cell r="M77" t="str">
            <v>WA F16AP00163 AL</v>
          </cell>
          <cell r="N77"/>
          <cell r="O77" t="str">
            <v>PNNL</v>
          </cell>
          <cell r="P77" t="str">
            <v>93-094344</v>
          </cell>
          <cell r="Q77"/>
          <cell r="R77" t="str">
            <v>test</v>
          </cell>
          <cell r="S77" t="str">
            <v>test</v>
          </cell>
          <cell r="T77">
            <v>42893</v>
          </cell>
          <cell r="U77">
            <v>47.293667186999997</v>
          </cell>
          <cell r="V77">
            <v>-122.85460205699999</v>
          </cell>
          <cell r="W77" t="str">
            <v>point</v>
          </cell>
          <cell r="X77" t="str">
            <v>retain</v>
          </cell>
          <cell r="Y77" t="str">
            <v>WGS84</v>
          </cell>
          <cell r="Z77">
            <v>-1</v>
          </cell>
          <cell r="AA77" t="str">
            <v>rebar</v>
          </cell>
          <cell r="AB77">
            <v>3</v>
          </cell>
          <cell r="AC77">
            <v>2</v>
          </cell>
          <cell r="AD77">
            <v>6</v>
          </cell>
          <cell r="AE77">
            <v>5</v>
          </cell>
          <cell r="AF77">
            <v>0.5</v>
          </cell>
          <cell r="AG77">
            <v>20</v>
          </cell>
          <cell r="AH77">
            <v>1000</v>
          </cell>
          <cell r="AI77">
            <v>166.66666666666666</v>
          </cell>
          <cell r="AJ77">
            <v>200</v>
          </cell>
          <cell r="AK77" t="str">
            <v>Windy Bluff</v>
          </cell>
          <cell r="AL77" t="str">
            <v>S screw anchor for test plot</v>
          </cell>
        </row>
        <row r="78">
          <cell r="B78" t="str">
            <v>Harstine Island - PNNL - Test Plot 4 of 4 (south of south plot) staples - 2017</v>
          </cell>
          <cell r="C78" t="str">
            <v>HAR_4</v>
          </cell>
          <cell r="D78" t="str">
            <v>single</v>
          </cell>
          <cell r="E78">
            <v>2017</v>
          </cell>
          <cell r="F78"/>
          <cell r="G78" t="str">
            <v>point</v>
          </cell>
          <cell r="H78" t="str">
            <v>Case Inlet</v>
          </cell>
          <cell r="I78" t="str">
            <v>CPS</v>
          </cell>
          <cell r="J78" t="str">
            <v>Eelgrass Recovery in PS</v>
          </cell>
          <cell r="K78" t="str">
            <v>USFWS</v>
          </cell>
          <cell r="L78" t="str">
            <v>USFWS</v>
          </cell>
          <cell r="M78" t="str">
            <v>WA F16AP00163 AL</v>
          </cell>
          <cell r="N78"/>
          <cell r="O78" t="str">
            <v>PNNL</v>
          </cell>
          <cell r="P78" t="str">
            <v>93-094344</v>
          </cell>
          <cell r="Q78"/>
          <cell r="R78" t="str">
            <v>test</v>
          </cell>
          <cell r="S78" t="str">
            <v>test</v>
          </cell>
          <cell r="T78">
            <v>42893</v>
          </cell>
          <cell r="U78">
            <v>47.291899999999998</v>
          </cell>
          <cell r="V78">
            <v>-122.85523333333333</v>
          </cell>
          <cell r="W78" t="str">
            <v>point</v>
          </cell>
          <cell r="X78" t="str">
            <v>retain</v>
          </cell>
          <cell r="Y78" t="str">
            <v>WGS84</v>
          </cell>
          <cell r="Z78">
            <v>-2.9778959999999999</v>
          </cell>
          <cell r="AA78" t="str">
            <v>staple</v>
          </cell>
          <cell r="AB78">
            <v>2.5</v>
          </cell>
          <cell r="AC78">
            <v>2</v>
          </cell>
          <cell r="AD78">
            <v>5</v>
          </cell>
          <cell r="AE78">
            <v>5</v>
          </cell>
          <cell r="AF78">
            <v>0.5</v>
          </cell>
          <cell r="AG78">
            <v>100</v>
          </cell>
          <cell r="AH78">
            <v>800</v>
          </cell>
          <cell r="AI78">
            <v>160</v>
          </cell>
          <cell r="AJ78">
            <v>160</v>
          </cell>
          <cell r="AK78" t="str">
            <v>Windy Bluff</v>
          </cell>
          <cell r="AL78" t="str">
            <v>side by side plantings using 2 methods</v>
          </cell>
        </row>
        <row r="79">
          <cell r="B79" t="str">
            <v>Harstine Island - PNNL - Test Plot 4 of 4 (south of south plot) rebar - 2017</v>
          </cell>
          <cell r="C79" t="str">
            <v>HAR_4</v>
          </cell>
          <cell r="D79" t="str">
            <v>single</v>
          </cell>
          <cell r="E79">
            <v>2017</v>
          </cell>
          <cell r="F79"/>
          <cell r="G79" t="str">
            <v>point</v>
          </cell>
          <cell r="H79" t="str">
            <v>Case Inlet</v>
          </cell>
          <cell r="I79" t="str">
            <v>CPS</v>
          </cell>
          <cell r="J79" t="str">
            <v>Eelgrass Recovery in PS</v>
          </cell>
          <cell r="K79" t="str">
            <v>USFWS</v>
          </cell>
          <cell r="L79" t="str">
            <v>USFWS</v>
          </cell>
          <cell r="M79" t="str">
            <v>WA F16AP00163 AL</v>
          </cell>
          <cell r="N79"/>
          <cell r="O79" t="str">
            <v>PNNL</v>
          </cell>
          <cell r="P79" t="str">
            <v>93-094344</v>
          </cell>
          <cell r="Q79"/>
          <cell r="R79" t="str">
            <v>test</v>
          </cell>
          <cell r="S79" t="str">
            <v>test</v>
          </cell>
          <cell r="T79">
            <v>42893</v>
          </cell>
          <cell r="U79">
            <v>47.291899999999998</v>
          </cell>
          <cell r="V79">
            <v>-122.85523333333333</v>
          </cell>
          <cell r="W79" t="str">
            <v>point</v>
          </cell>
          <cell r="X79" t="str">
            <v>retain</v>
          </cell>
          <cell r="Y79" t="str">
            <v>WGS84</v>
          </cell>
          <cell r="Z79">
            <v>-2.9778959999999999</v>
          </cell>
          <cell r="AA79" t="str">
            <v>rebar</v>
          </cell>
          <cell r="AB79">
            <v>3</v>
          </cell>
          <cell r="AC79">
            <v>2</v>
          </cell>
          <cell r="AD79">
            <v>6</v>
          </cell>
          <cell r="AE79">
            <v>5</v>
          </cell>
          <cell r="AF79">
            <v>0.5</v>
          </cell>
          <cell r="AG79">
            <v>20</v>
          </cell>
          <cell r="AH79">
            <v>1000</v>
          </cell>
          <cell r="AI79">
            <v>166.66666666666666</v>
          </cell>
          <cell r="AJ79">
            <v>200</v>
          </cell>
          <cell r="AK79" t="str">
            <v>Windy Bluff</v>
          </cell>
          <cell r="AL79" t="str">
            <v>side by side plantings using 2 methods</v>
          </cell>
        </row>
        <row r="80">
          <cell r="B80" t="str">
            <v>Harstine Island - PNNL - Test Plot 1 of 4 (north of north plot) - 2017</v>
          </cell>
          <cell r="C80" t="str">
            <v>HAR_1</v>
          </cell>
          <cell r="D80" t="str">
            <v>single</v>
          </cell>
          <cell r="E80">
            <v>2017</v>
          </cell>
          <cell r="F80"/>
          <cell r="G80" t="str">
            <v>point</v>
          </cell>
          <cell r="H80" t="str">
            <v>Case Inlet</v>
          </cell>
          <cell r="I80" t="str">
            <v>CPS</v>
          </cell>
          <cell r="J80" t="str">
            <v>Eelgrass Recovery in PS</v>
          </cell>
          <cell r="K80" t="str">
            <v>USFWS</v>
          </cell>
          <cell r="L80" t="str">
            <v>USFWS</v>
          </cell>
          <cell r="M80" t="str">
            <v>WA F16AP00163 AL</v>
          </cell>
          <cell r="N80"/>
          <cell r="O80" t="str">
            <v>PNNL</v>
          </cell>
          <cell r="P80" t="str">
            <v>93-094344</v>
          </cell>
          <cell r="Q80"/>
          <cell r="R80" t="str">
            <v>test</v>
          </cell>
          <cell r="S80" t="str">
            <v>test</v>
          </cell>
          <cell r="T80">
            <v>42893</v>
          </cell>
          <cell r="U80">
            <v>47.295516666666664</v>
          </cell>
          <cell r="V80">
            <v>-122.8494</v>
          </cell>
          <cell r="W80" t="str">
            <v>point</v>
          </cell>
          <cell r="X80" t="str">
            <v>retain</v>
          </cell>
          <cell r="Y80" t="str">
            <v>WGS84</v>
          </cell>
          <cell r="Z80">
            <v>-2.8041599999999995</v>
          </cell>
          <cell r="AA80" t="str">
            <v>rebar</v>
          </cell>
          <cell r="AB80">
            <v>3</v>
          </cell>
          <cell r="AC80">
            <v>2</v>
          </cell>
          <cell r="AD80">
            <v>6</v>
          </cell>
          <cell r="AE80">
            <v>5</v>
          </cell>
          <cell r="AF80">
            <v>0.5</v>
          </cell>
          <cell r="AG80">
            <v>20</v>
          </cell>
          <cell r="AH80">
            <v>1000</v>
          </cell>
          <cell r="AI80">
            <v>166.66666666666666</v>
          </cell>
          <cell r="AJ80">
            <v>200</v>
          </cell>
          <cell r="AK80" t="str">
            <v>Windy Bluff</v>
          </cell>
          <cell r="AL80"/>
        </row>
        <row r="81">
          <cell r="B81" t="str">
            <v>Harstine - PNNL - Large Scale 1 - north (deep) - 2018</v>
          </cell>
          <cell r="C81" t="str">
            <v>HAR_deep_L1</v>
          </cell>
          <cell r="D81" t="str">
            <v>single</v>
          </cell>
          <cell r="E81">
            <v>2018</v>
          </cell>
          <cell r="F81"/>
          <cell r="G81" t="str">
            <v>line</v>
          </cell>
          <cell r="H81" t="str">
            <v>Case Inlet</v>
          </cell>
          <cell r="I81" t="str">
            <v>CPS</v>
          </cell>
          <cell r="J81" t="str">
            <v>Eelgrass Recovery in PS</v>
          </cell>
          <cell r="K81" t="str">
            <v>USFWS</v>
          </cell>
          <cell r="L81" t="str">
            <v>USFWS</v>
          </cell>
          <cell r="M81" t="str">
            <v>WA F16AP00163 AL</v>
          </cell>
          <cell r="N81"/>
          <cell r="O81" t="str">
            <v>PNNL</v>
          </cell>
          <cell r="P81" t="str">
            <v>93-094344</v>
          </cell>
          <cell r="Q81"/>
          <cell r="R81" t="str">
            <v>large scale</v>
          </cell>
          <cell r="S81" t="str">
            <v>large scale</v>
          </cell>
          <cell r="T81">
            <v>43235</v>
          </cell>
          <cell r="U81">
            <v>47.293819999999997</v>
          </cell>
          <cell r="V81">
            <v>-122.85419</v>
          </cell>
          <cell r="W81" t="str">
            <v>line</v>
          </cell>
          <cell r="X81" t="str">
            <v>retain</v>
          </cell>
          <cell r="Y81" t="str">
            <v>WGS84</v>
          </cell>
          <cell r="Z81">
            <v>-1.524</v>
          </cell>
          <cell r="AA81" t="str">
            <v>rebar</v>
          </cell>
          <cell r="AB81">
            <v>42</v>
          </cell>
          <cell r="AC81">
            <v>5</v>
          </cell>
          <cell r="AD81">
            <v>210</v>
          </cell>
          <cell r="AE81">
            <v>138</v>
          </cell>
          <cell r="AF81">
            <v>13.8</v>
          </cell>
          <cell r="AG81">
            <v>552</v>
          </cell>
          <cell r="AH81">
            <v>13800</v>
          </cell>
          <cell r="AI81">
            <v>65.714285714285708</v>
          </cell>
          <cell r="AJ81">
            <v>100</v>
          </cell>
          <cell r="AK81" t="str">
            <v>Rocky Point</v>
          </cell>
          <cell r="AL81" t="str">
            <v>base line runs 30°M; 25 shoots/rebar; 552 rebar planted on the offshore side of the base line, see planting diagram, offshore transect</v>
          </cell>
        </row>
        <row r="82">
          <cell r="B82" t="str">
            <v>Harstine - PNNL - Large Scale 1 - north (deep) - 2018</v>
          </cell>
          <cell r="C82" t="str">
            <v>HAR_deep_L1</v>
          </cell>
          <cell r="D82" t="str">
            <v>single</v>
          </cell>
          <cell r="E82">
            <v>2018</v>
          </cell>
          <cell r="F82"/>
          <cell r="G82" t="str">
            <v>line</v>
          </cell>
          <cell r="H82" t="str">
            <v>Case Inlet</v>
          </cell>
          <cell r="I82" t="str">
            <v>CPS</v>
          </cell>
          <cell r="J82" t="str">
            <v>Eelgrass Recovery in PS</v>
          </cell>
          <cell r="K82" t="str">
            <v>USFWS</v>
          </cell>
          <cell r="L82" t="str">
            <v>USFWS</v>
          </cell>
          <cell r="M82" t="str">
            <v>WA F16AP00163 AL</v>
          </cell>
          <cell r="N82"/>
          <cell r="O82" t="str">
            <v>PNNL</v>
          </cell>
          <cell r="P82" t="str">
            <v>93-094344</v>
          </cell>
          <cell r="Q82"/>
          <cell r="R82" t="str">
            <v>large scale</v>
          </cell>
          <cell r="S82" t="str">
            <v>--</v>
          </cell>
          <cell r="T82">
            <v>43235</v>
          </cell>
          <cell r="U82">
            <v>47.294110000000003</v>
          </cell>
          <cell r="V82">
            <v>-122.85389000000001</v>
          </cell>
          <cell r="W82" t="str">
            <v>line</v>
          </cell>
          <cell r="X82" t="str">
            <v>retain</v>
          </cell>
          <cell r="Y82" t="str">
            <v>WGS84</v>
          </cell>
          <cell r="Z82"/>
          <cell r="AA82"/>
          <cell r="AB82"/>
          <cell r="AC82"/>
          <cell r="AE82"/>
          <cell r="AF82" t="str">
            <v/>
          </cell>
          <cell r="AG82"/>
          <cell r="AH82"/>
          <cell r="AI82" t="str">
            <v/>
          </cell>
          <cell r="AJ82" t="str">
            <v/>
          </cell>
        </row>
        <row r="83">
          <cell r="B83" t="str">
            <v>Harstine - PNNL - Large Scale 1 - south (shallow) - 2018</v>
          </cell>
          <cell r="C83" t="str">
            <v>HAR_shallow_L1</v>
          </cell>
          <cell r="D83" t="str">
            <v>single</v>
          </cell>
          <cell r="E83">
            <v>2018</v>
          </cell>
          <cell r="G83" t="str">
            <v>line</v>
          </cell>
          <cell r="H83" t="str">
            <v>Case Inlet</v>
          </cell>
          <cell r="I83" t="str">
            <v>CPS</v>
          </cell>
          <cell r="J83" t="str">
            <v>Puget Sound Eelgrass Restoration: 3 deltas</v>
          </cell>
          <cell r="K83" t="str">
            <v>USACE</v>
          </cell>
          <cell r="L83" t="str">
            <v>USACE</v>
          </cell>
          <cell r="M83" t="str">
            <v>W912DW-14-2-0009 (93-099566)</v>
          </cell>
          <cell r="N83" t="str">
            <v>IAA 15-45</v>
          </cell>
          <cell r="O83" t="str">
            <v>PNNL</v>
          </cell>
          <cell r="P83" t="str">
            <v>93-099661</v>
          </cell>
          <cell r="R83" t="str">
            <v>large scale</v>
          </cell>
          <cell r="S83" t="str">
            <v>large scale</v>
          </cell>
          <cell r="T83">
            <v>43265</v>
          </cell>
          <cell r="U83">
            <v>47.293693353000002</v>
          </cell>
          <cell r="V83">
            <v>-122.854603497</v>
          </cell>
          <cell r="W83" t="str">
            <v>line</v>
          </cell>
          <cell r="X83" t="str">
            <v>retain</v>
          </cell>
          <cell r="Y83" t="str">
            <v>WGS84</v>
          </cell>
          <cell r="Z83">
            <v>-1</v>
          </cell>
          <cell r="AA83" t="str">
            <v>rebar</v>
          </cell>
          <cell r="AB83">
            <v>31</v>
          </cell>
          <cell r="AC83">
            <v>5</v>
          </cell>
          <cell r="AD83">
            <v>155</v>
          </cell>
          <cell r="AE83">
            <v>97</v>
          </cell>
          <cell r="AF83">
            <v>9.7000000000000011</v>
          </cell>
          <cell r="AG83">
            <v>388</v>
          </cell>
          <cell r="AH83">
            <v>9688</v>
          </cell>
          <cell r="AI83">
            <v>62.50322580645161</v>
          </cell>
          <cell r="AJ83">
            <v>99.876288659793815</v>
          </cell>
          <cell r="AK83" t="str">
            <v>Windy Bluff</v>
          </cell>
          <cell r="AL83" t="str">
            <v>0 m screw anchor (also N screw anchor of 2017 test plot 3), baseline runs 15°M, planting started at 3m, second screw anchor placed 40m from the first but planting stopped at 31m. Planted in blocks of 4 rows perpendicular to the baseline; each row seperated by 0.5 m and each block seperated by 1.5 m. Rows extended 5 m perpendicular to baseline.</v>
          </cell>
        </row>
        <row r="84">
          <cell r="B84" t="str">
            <v>Harstine - PNNL - Large Scale 1 - south (shallow) - 2018</v>
          </cell>
          <cell r="C84" t="str">
            <v>HAR_shallow_L1</v>
          </cell>
          <cell r="D84" t="str">
            <v>single</v>
          </cell>
          <cell r="E84">
            <v>2018</v>
          </cell>
          <cell r="G84" t="str">
            <v>line</v>
          </cell>
          <cell r="H84" t="str">
            <v>Case Inlet</v>
          </cell>
          <cell r="I84" t="str">
            <v>CPS</v>
          </cell>
          <cell r="J84" t="str">
            <v>Puget Sound Eelgrass Restoration: 3 deltas</v>
          </cell>
          <cell r="K84" t="str">
            <v>USACE</v>
          </cell>
          <cell r="L84" t="str">
            <v>USACE</v>
          </cell>
          <cell r="M84" t="str">
            <v>W912DW-14-2-0009 (93-099566)</v>
          </cell>
          <cell r="N84" t="str">
            <v>IAA 15-45</v>
          </cell>
          <cell r="O84" t="str">
            <v>PNNL</v>
          </cell>
          <cell r="P84" t="str">
            <v>93-099661</v>
          </cell>
          <cell r="R84" t="str">
            <v>large scale</v>
          </cell>
          <cell r="S84" t="str">
            <v>--</v>
          </cell>
          <cell r="T84">
            <v>43265</v>
          </cell>
          <cell r="U84">
            <v>47.293960576000003</v>
          </cell>
          <cell r="V84">
            <v>-122.854260041</v>
          </cell>
          <cell r="W84" t="str">
            <v>line</v>
          </cell>
          <cell r="X84" t="str">
            <v>retain</v>
          </cell>
          <cell r="Y84" t="str">
            <v>WGS84</v>
          </cell>
          <cell r="Z84">
            <v>-0.9</v>
          </cell>
          <cell r="AF84" t="str">
            <v/>
          </cell>
          <cell r="AG84"/>
          <cell r="AH84"/>
          <cell r="AI84" t="str">
            <v/>
          </cell>
          <cell r="AJ84" t="str">
            <v/>
          </cell>
          <cell r="AL84" t="str">
            <v>40 m screw anchor for baseline, but planting stopped at 31 m</v>
          </cell>
        </row>
        <row r="85">
          <cell r="B85" t="str">
            <v>Harstine Island - PNNL - Large Scale 2 - shallow - 2019</v>
          </cell>
          <cell r="C85" t="str">
            <v>HAR_shallow_L2</v>
          </cell>
          <cell r="D85" t="str">
            <v>single</v>
          </cell>
          <cell r="E85">
            <v>2019</v>
          </cell>
          <cell r="G85" t="str">
            <v>line</v>
          </cell>
          <cell r="H85" t="str">
            <v>Case Inlet</v>
          </cell>
          <cell r="I85" t="str">
            <v>CPS</v>
          </cell>
          <cell r="J85" t="str">
            <v>Eelgrass Recovery in PS</v>
          </cell>
          <cell r="K85" t="str">
            <v>USFWS</v>
          </cell>
          <cell r="L85" t="str">
            <v>USFWS</v>
          </cell>
          <cell r="M85" t="str">
            <v>WA F16AP00163 AL</v>
          </cell>
          <cell r="N85"/>
          <cell r="O85" t="str">
            <v>PNNL</v>
          </cell>
          <cell r="P85" t="str">
            <v>93-094344</v>
          </cell>
          <cell r="R85" t="str">
            <v>large scale</v>
          </cell>
          <cell r="S85" t="str">
            <v>large scale</v>
          </cell>
          <cell r="T85">
            <v>43599</v>
          </cell>
          <cell r="U85">
            <v>47.294047956</v>
          </cell>
          <cell r="V85">
            <v>-122.854168074</v>
          </cell>
          <cell r="W85" t="str">
            <v>line</v>
          </cell>
          <cell r="X85" t="str">
            <v>retain</v>
          </cell>
          <cell r="Y85" t="str">
            <v>WGS84</v>
          </cell>
          <cell r="Z85">
            <v>-0.9</v>
          </cell>
          <cell r="AA85" t="str">
            <v>rebar</v>
          </cell>
          <cell r="AB85">
            <v>39</v>
          </cell>
          <cell r="AC85">
            <v>6</v>
          </cell>
          <cell r="AD85">
            <v>234</v>
          </cell>
          <cell r="AE85">
            <v>136.75</v>
          </cell>
          <cell r="AF85">
            <v>13.675000000000001</v>
          </cell>
          <cell r="AG85">
            <v>547</v>
          </cell>
          <cell r="AH85">
            <v>13320</v>
          </cell>
          <cell r="AI85">
            <v>56.92307692307692</v>
          </cell>
          <cell r="AJ85">
            <v>97.404021937842785</v>
          </cell>
          <cell r="AK85" t="str">
            <v>Anderson Island, Windy Bluff</v>
          </cell>
          <cell r="AL85" t="str">
            <v>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v>
          </cell>
        </row>
        <row r="86">
          <cell r="B86" t="str">
            <v>Harstine Island - PNNL - Large Scale 2 - shallow - 2019</v>
          </cell>
          <cell r="C86" t="str">
            <v>HAR_shallow_L2</v>
          </cell>
          <cell r="D86" t="str">
            <v>single</v>
          </cell>
          <cell r="E86">
            <v>2019</v>
          </cell>
          <cell r="F86"/>
          <cell r="G86" t="str">
            <v>line</v>
          </cell>
          <cell r="H86" t="str">
            <v>Case Inlet</v>
          </cell>
          <cell r="I86" t="str">
            <v>CPS</v>
          </cell>
          <cell r="J86" t="str">
            <v>Eelgrass Recovery in PS</v>
          </cell>
          <cell r="K86" t="str">
            <v>USFWS</v>
          </cell>
          <cell r="L86" t="str">
            <v>USFWS</v>
          </cell>
          <cell r="M86" t="str">
            <v>WA F16AP00163 AL</v>
          </cell>
          <cell r="N86"/>
          <cell r="O86" t="str">
            <v>PNNL</v>
          </cell>
          <cell r="P86" t="str">
            <v>93-094344</v>
          </cell>
          <cell r="Q86"/>
          <cell r="R86" t="str">
            <v>large scale</v>
          </cell>
          <cell r="S86" t="str">
            <v>--</v>
          </cell>
          <cell r="T86">
            <v>43599</v>
          </cell>
          <cell r="U86">
            <v>47.294176696000001</v>
          </cell>
          <cell r="V86">
            <v>-122.85368944299999</v>
          </cell>
          <cell r="W86" t="str">
            <v>line</v>
          </cell>
          <cell r="X86" t="str">
            <v>retain</v>
          </cell>
          <cell r="Y86" t="str">
            <v>WGS84</v>
          </cell>
          <cell r="Z86">
            <v>-1.2</v>
          </cell>
          <cell r="AA86"/>
          <cell r="AF86"/>
          <cell r="AL86" t="str">
            <v>40 m screw anchor, but planting stopped at 31 m.</v>
          </cell>
        </row>
        <row r="87">
          <cell r="B87" t="str">
            <v>Harstine Island - PNNL - Large Scale 3 - shallow - 2020</v>
          </cell>
          <cell r="C87" t="str">
            <v>HAR_shallow_L3</v>
          </cell>
          <cell r="D87" t="str">
            <v>single</v>
          </cell>
          <cell r="E87">
            <v>2020</v>
          </cell>
          <cell r="G87" t="str">
            <v>line</v>
          </cell>
          <cell r="H87" t="str">
            <v>Case Inlet</v>
          </cell>
          <cell r="I87" t="str">
            <v>CPS</v>
          </cell>
          <cell r="J87" t="str">
            <v>Eelgrass Recovery in PS</v>
          </cell>
          <cell r="K87" t="str">
            <v>USFWS</v>
          </cell>
          <cell r="L87" t="str">
            <v>USFWS</v>
          </cell>
          <cell r="M87" t="str">
            <v>WA F16AP00163 AL</v>
          </cell>
          <cell r="N87"/>
          <cell r="O87" t="str">
            <v>PNNL</v>
          </cell>
          <cell r="R87" t="str">
            <v>large scale</v>
          </cell>
          <cell r="S87" t="str">
            <v>large scale</v>
          </cell>
          <cell r="T87">
            <v>43983</v>
          </cell>
          <cell r="U87">
            <v>47.293015107999999</v>
          </cell>
          <cell r="V87">
            <v>-122.855246839</v>
          </cell>
          <cell r="W87" t="str">
            <v>line</v>
          </cell>
          <cell r="X87" t="str">
            <v>retain</v>
          </cell>
          <cell r="Y87" t="str">
            <v>WGS84</v>
          </cell>
          <cell r="Z87">
            <v>-0.9</v>
          </cell>
          <cell r="AA87" t="str">
            <v>rebar</v>
          </cell>
          <cell r="AB87">
            <v>32</v>
          </cell>
          <cell r="AC87">
            <v>6</v>
          </cell>
          <cell r="AD87">
            <v>192</v>
          </cell>
          <cell r="AE87">
            <v>118.5</v>
          </cell>
          <cell r="AF87">
            <v>11.850000000000001</v>
          </cell>
          <cell r="AG87">
            <v>474</v>
          </cell>
          <cell r="AH87">
            <v>11390</v>
          </cell>
          <cell r="AI87">
            <v>59.322916666666664</v>
          </cell>
          <cell r="AJ87">
            <v>96.118143459915615</v>
          </cell>
          <cell r="AK87" t="str">
            <v>Anderson Island, Windy Bluff</v>
          </cell>
          <cell r="AL87" t="str">
            <v>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v>
          </cell>
        </row>
        <row r="88">
          <cell r="B88" t="str">
            <v>Harstine Island - PNNL - Large Scale 3 - shallow - 2020</v>
          </cell>
          <cell r="C88" t="str">
            <v>HAR_shallow_L3</v>
          </cell>
          <cell r="D88" t="str">
            <v>single</v>
          </cell>
          <cell r="E88">
            <v>2020</v>
          </cell>
          <cell r="G88" t="str">
            <v>line</v>
          </cell>
          <cell r="H88" t="str">
            <v>Case Inlet</v>
          </cell>
          <cell r="I88" t="str">
            <v>CPS</v>
          </cell>
          <cell r="J88" t="str">
            <v>Eelgrass Recovery in PS</v>
          </cell>
          <cell r="K88" t="str">
            <v>USFWS</v>
          </cell>
          <cell r="L88" t="str">
            <v>USFWS</v>
          </cell>
          <cell r="M88" t="str">
            <v>WA F16AP00163 AL</v>
          </cell>
          <cell r="N88"/>
          <cell r="O88" t="str">
            <v>PNNL</v>
          </cell>
          <cell r="R88" t="str">
            <v>large scale</v>
          </cell>
          <cell r="S88" t="str">
            <v>--</v>
          </cell>
          <cell r="T88">
            <v>43983</v>
          </cell>
          <cell r="U88">
            <v>47.293316236000003</v>
          </cell>
          <cell r="V88">
            <v>-122.854970201</v>
          </cell>
          <cell r="W88" t="str">
            <v>line</v>
          </cell>
          <cell r="X88" t="str">
            <v>retain</v>
          </cell>
          <cell r="Y88" t="str">
            <v>WGS84</v>
          </cell>
          <cell r="Z88">
            <v>-1</v>
          </cell>
          <cell r="AA88"/>
          <cell r="AF88"/>
          <cell r="AH88"/>
          <cell r="AI88"/>
          <cell r="AJ88"/>
          <cell r="AL88" t="str">
            <v>40 m screw anchor, but planting stopped at 32 m.</v>
          </cell>
        </row>
        <row r="89">
          <cell r="B89" t="str">
            <v>Harstine Island - PNNL - Test Plot 5 (north of north plot) rebar shallow- 2020</v>
          </cell>
          <cell r="C89" t="str">
            <v>HAR_5</v>
          </cell>
          <cell r="D89" t="str">
            <v>single</v>
          </cell>
          <cell r="E89">
            <v>2020</v>
          </cell>
          <cell r="G89" t="str">
            <v>point</v>
          </cell>
          <cell r="H89" t="str">
            <v>Case Inlet</v>
          </cell>
          <cell r="I89" t="str">
            <v>CPS</v>
          </cell>
          <cell r="J89" t="str">
            <v>Eelgrass Recovery in PS</v>
          </cell>
          <cell r="K89" t="str">
            <v>USACE</v>
          </cell>
          <cell r="L89" t="str">
            <v>USACE</v>
          </cell>
          <cell r="M89" t="str">
            <v>W912DW-14-2-0009 (93-099566)</v>
          </cell>
          <cell r="N89" t="str">
            <v>IAA 15-45</v>
          </cell>
          <cell r="O89" t="str">
            <v>PNNL</v>
          </cell>
          <cell r="R89" t="str">
            <v>test</v>
          </cell>
          <cell r="S89" t="str">
            <v>test</v>
          </cell>
          <cell r="T89">
            <v>44011</v>
          </cell>
          <cell r="U89">
            <v>47.295769999999997</v>
          </cell>
          <cell r="V89">
            <v>-122.84945999999999</v>
          </cell>
          <cell r="W89" t="str">
            <v>point</v>
          </cell>
          <cell r="X89" t="str">
            <v>retain</v>
          </cell>
          <cell r="Y89" t="str">
            <v>WGS84</v>
          </cell>
          <cell r="Z89">
            <v>-1.2</v>
          </cell>
          <cell r="AA89" t="str">
            <v>rebar</v>
          </cell>
          <cell r="AB89">
            <v>2.5</v>
          </cell>
          <cell r="AC89">
            <v>2.5</v>
          </cell>
          <cell r="AD89">
            <v>6.25</v>
          </cell>
          <cell r="AE89">
            <v>5</v>
          </cell>
          <cell r="AF89">
            <v>0.5</v>
          </cell>
          <cell r="AG89">
            <v>20</v>
          </cell>
          <cell r="AH89">
            <v>500</v>
          </cell>
          <cell r="AI89">
            <v>80</v>
          </cell>
          <cell r="AJ89">
            <v>100</v>
          </cell>
          <cell r="AK89" t="str">
            <v>Rocky Bay</v>
          </cell>
          <cell r="AL89" t="str">
            <v>330 deg az, substrate is bare sand, little more current at this site on a rising tide, substrate is more course and sand is not sticky</v>
          </cell>
        </row>
        <row r="90">
          <cell r="B90" t="str">
            <v>Harstine Island - PNNL - Test Plot 6 (south of south plot) rebar shallow - 2020</v>
          </cell>
          <cell r="C90" t="str">
            <v>HAR_6</v>
          </cell>
          <cell r="D90" t="str">
            <v>single</v>
          </cell>
          <cell r="E90">
            <v>2020</v>
          </cell>
          <cell r="G90" t="str">
            <v>point</v>
          </cell>
          <cell r="H90" t="str">
            <v>Case Inlet</v>
          </cell>
          <cell r="I90" t="str">
            <v>CPS</v>
          </cell>
          <cell r="J90" t="str">
            <v>Eelgrass Recovery in PS</v>
          </cell>
          <cell r="K90" t="str">
            <v>USACE</v>
          </cell>
          <cell r="L90" t="str">
            <v>USACE</v>
          </cell>
          <cell r="M90" t="str">
            <v>W912DW-14-2-0009 (93-099566)</v>
          </cell>
          <cell r="N90" t="str">
            <v>IAA 15-45</v>
          </cell>
          <cell r="O90" t="str">
            <v>PNNL</v>
          </cell>
          <cell r="R90" t="str">
            <v>test</v>
          </cell>
          <cell r="S90" t="str">
            <v>test</v>
          </cell>
          <cell r="T90">
            <v>44011</v>
          </cell>
          <cell r="U90">
            <v>47.292029999999997</v>
          </cell>
          <cell r="V90">
            <v>-122.8555666</v>
          </cell>
          <cell r="W90" t="str">
            <v>point</v>
          </cell>
          <cell r="X90" t="str">
            <v>retain</v>
          </cell>
          <cell r="Y90" t="str">
            <v>WGS84</v>
          </cell>
          <cell r="Z90">
            <v>-1.1000000000000001</v>
          </cell>
          <cell r="AA90" t="str">
            <v>rebar</v>
          </cell>
          <cell r="AB90">
            <v>2.5</v>
          </cell>
          <cell r="AC90">
            <v>2.5</v>
          </cell>
          <cell r="AD90">
            <v>6.25</v>
          </cell>
          <cell r="AE90">
            <v>5</v>
          </cell>
          <cell r="AF90">
            <v>0.5</v>
          </cell>
          <cell r="AG90">
            <v>20</v>
          </cell>
          <cell r="AH90">
            <v>500</v>
          </cell>
          <cell r="AI90">
            <v>80</v>
          </cell>
          <cell r="AJ90">
            <v>100</v>
          </cell>
          <cell r="AK90" t="str">
            <v>Rocky Bay</v>
          </cell>
          <cell r="AL90" t="str">
            <v>15deg azimuth, offshore depth 11ft dive computer,</v>
          </cell>
        </row>
        <row r="91">
          <cell r="B91" t="str">
            <v>Herron Island - PNNL - test - 2015</v>
          </cell>
          <cell r="C91" t="str">
            <v>HRI</v>
          </cell>
          <cell r="D91" t="str">
            <v>single</v>
          </cell>
          <cell r="E91">
            <v>2015</v>
          </cell>
          <cell r="G91" t="str">
            <v>point</v>
          </cell>
          <cell r="H91" t="str">
            <v>Case Inlet</v>
          </cell>
          <cell r="I91" t="str">
            <v>CPS</v>
          </cell>
          <cell r="J91" t="str">
            <v>Eelgrass Restoration in PS</v>
          </cell>
          <cell r="K91" t="str">
            <v>DNR</v>
          </cell>
          <cell r="L91" t="str">
            <v>Aquatic Restoration Program</v>
          </cell>
          <cell r="O91" t="str">
            <v>PNNL</v>
          </cell>
          <cell r="P91" t="str">
            <v>IAA 12-317.1</v>
          </cell>
          <cell r="Q91" t="str">
            <v>Aston, L.A., A.B. Borde and J. Vavrinec. 2015. Final Summary Report - Eelgrass Restoration in Puget Sound Project Summary. Pacific Northwest National Laboratory, Richland, WA. PNNL-24445.</v>
          </cell>
          <cell r="R91" t="str">
            <v>test</v>
          </cell>
          <cell r="S91" t="str">
            <v>test</v>
          </cell>
          <cell r="T91">
            <v>42075</v>
          </cell>
          <cell r="U91">
            <v>47.279499000000001</v>
          </cell>
          <cell r="V91">
            <v>-122.809296</v>
          </cell>
          <cell r="W91" t="str">
            <v>point</v>
          </cell>
          <cell r="X91" t="str">
            <v>retain</v>
          </cell>
          <cell r="Y91" t="str">
            <v>WGS84</v>
          </cell>
          <cell r="Z91">
            <v>-1.2</v>
          </cell>
          <cell r="AA91" t="str">
            <v>staple</v>
          </cell>
          <cell r="AB91">
            <v>5</v>
          </cell>
          <cell r="AC91">
            <v>5</v>
          </cell>
          <cell r="AD91">
            <v>25</v>
          </cell>
          <cell r="AE91">
            <v>25</v>
          </cell>
          <cell r="AF91">
            <v>0.625</v>
          </cell>
          <cell r="AG91">
            <v>125</v>
          </cell>
          <cell r="AH91">
            <v>500</v>
          </cell>
          <cell r="AI91">
            <v>20</v>
          </cell>
          <cell r="AJ91">
            <v>20</v>
          </cell>
          <cell r="AK91" t="str">
            <v>Windy Bluff</v>
          </cell>
          <cell r="AL91" t="str">
            <v>"mega"-bundles were planted with 260 shoots on 26 staples outside of the plot and south</v>
          </cell>
        </row>
        <row r="92">
          <cell r="B92" t="str">
            <v>Edgewater - south - PNNL - test - 2015</v>
          </cell>
          <cell r="C92" t="str">
            <v>HPT_south_1</v>
          </cell>
          <cell r="D92" t="str">
            <v>single</v>
          </cell>
          <cell r="E92">
            <v>2015</v>
          </cell>
          <cell r="G92" t="str">
            <v>point</v>
          </cell>
          <cell r="H92" t="str">
            <v>Eld Inlet</v>
          </cell>
          <cell r="I92" t="str">
            <v>SPS</v>
          </cell>
          <cell r="J92" t="str">
            <v>Eelgrass Restoration in PS</v>
          </cell>
          <cell r="K92" t="str">
            <v>DNR</v>
          </cell>
          <cell r="L92" t="str">
            <v>Aquatic Restoration Program</v>
          </cell>
          <cell r="O92" t="str">
            <v>PNNL</v>
          </cell>
          <cell r="P92" t="str">
            <v>IAA 12-317.1</v>
          </cell>
          <cell r="Q92" t="str">
            <v>Aston, L.A., A.B. Borde and J. Vavrinec. 2015. Final Summary Report - Eelgrass Restoration in Puget Sound Project Summary. Pacific Northwest National Laboratory, Richland, WA. PNNL-24445.</v>
          </cell>
          <cell r="R92" t="str">
            <v>test</v>
          </cell>
          <cell r="S92" t="str">
            <v>test</v>
          </cell>
          <cell r="T92">
            <v>42142</v>
          </cell>
          <cell r="U92">
            <v>47.151866666666663</v>
          </cell>
          <cell r="V92">
            <v>-122.92978333333333</v>
          </cell>
          <cell r="W92" t="str">
            <v>point</v>
          </cell>
          <cell r="X92" t="str">
            <v>retain</v>
          </cell>
          <cell r="Y92" t="str">
            <v>WGS84</v>
          </cell>
          <cell r="Z92">
            <v>-1.0668</v>
          </cell>
          <cell r="AA92" t="str">
            <v>staple</v>
          </cell>
          <cell r="AB92">
            <v>5</v>
          </cell>
          <cell r="AC92">
            <v>5</v>
          </cell>
          <cell r="AD92">
            <v>25</v>
          </cell>
          <cell r="AE92">
            <v>25</v>
          </cell>
          <cell r="AF92">
            <v>0.625</v>
          </cell>
          <cell r="AG92">
            <v>125</v>
          </cell>
          <cell r="AH92">
            <v>500</v>
          </cell>
          <cell r="AI92">
            <v>20</v>
          </cell>
          <cell r="AJ92">
            <v>20</v>
          </cell>
          <cell r="AK92" t="str">
            <v>Thompson Cove</v>
          </cell>
          <cell r="AL92" t="str">
            <v>SW corner of plot</v>
          </cell>
        </row>
        <row r="93">
          <cell r="B93" t="str">
            <v>Edgewater - north - PNNL - test - 2015</v>
          </cell>
          <cell r="C93" t="str">
            <v>HPT_north_2</v>
          </cell>
          <cell r="D93" t="str">
            <v>single</v>
          </cell>
          <cell r="E93">
            <v>2015</v>
          </cell>
          <cell r="G93" t="str">
            <v>point</v>
          </cell>
          <cell r="H93" t="str">
            <v>Eld Inlet</v>
          </cell>
          <cell r="I93" t="str">
            <v>SPS</v>
          </cell>
          <cell r="J93" t="str">
            <v>Eelgrass Restoration in PS</v>
          </cell>
          <cell r="K93" t="str">
            <v>DNR</v>
          </cell>
          <cell r="L93" t="str">
            <v>Aquatic Restoration Program</v>
          </cell>
          <cell r="O93" t="str">
            <v>PNNL</v>
          </cell>
          <cell r="P93" t="str">
            <v>IAA 12-317.1</v>
          </cell>
          <cell r="Q93" t="str">
            <v>Aston, L.A., A.B. Borde and J. Vavrinec. 2015. Final Summary Report - Eelgrass Restoration in Puget Sound Project Summary. Pacific Northwest National Laboratory, Richland, WA. PNNL-24445.</v>
          </cell>
          <cell r="R93" t="str">
            <v>test</v>
          </cell>
          <cell r="S93" t="str">
            <v>test</v>
          </cell>
          <cell r="T93">
            <v>42142</v>
          </cell>
          <cell r="U93">
            <v>47.155000000000001</v>
          </cell>
          <cell r="V93">
            <v>-122.92618333333333</v>
          </cell>
          <cell r="W93" t="str">
            <v>point</v>
          </cell>
          <cell r="X93" t="str">
            <v>retain</v>
          </cell>
          <cell r="Y93" t="str">
            <v>WGS84</v>
          </cell>
          <cell r="Z93">
            <v>-1.3715999999999999</v>
          </cell>
          <cell r="AA93" t="str">
            <v>staple</v>
          </cell>
          <cell r="AB93">
            <v>5</v>
          </cell>
          <cell r="AC93">
            <v>5</v>
          </cell>
          <cell r="AD93">
            <v>25</v>
          </cell>
          <cell r="AE93">
            <v>25</v>
          </cell>
          <cell r="AF93">
            <v>0.625</v>
          </cell>
          <cell r="AG93">
            <v>125</v>
          </cell>
          <cell r="AH93">
            <v>500</v>
          </cell>
          <cell r="AI93">
            <v>20</v>
          </cell>
          <cell r="AJ93">
            <v>20</v>
          </cell>
          <cell r="AK93" t="str">
            <v>Thompson Cove</v>
          </cell>
          <cell r="AL93" t="str">
            <v>SW corner of plot, depth taken at NE corner of plot</v>
          </cell>
        </row>
        <row r="94">
          <cell r="B94" t="str">
            <v>Edgewater - south - PNNL - test - deep - 2020</v>
          </cell>
          <cell r="C94" t="str">
            <v>HPT_south_2</v>
          </cell>
          <cell r="D94" t="str">
            <v>single</v>
          </cell>
          <cell r="E94">
            <v>2020</v>
          </cell>
          <cell r="G94" t="str">
            <v>point</v>
          </cell>
          <cell r="H94" t="str">
            <v>Eld Inlet</v>
          </cell>
          <cell r="I94" t="str">
            <v>SPS</v>
          </cell>
          <cell r="J94" t="str">
            <v>Eelgrass Recovery in PS</v>
          </cell>
          <cell r="K94" t="str">
            <v>USACE</v>
          </cell>
          <cell r="L94" t="str">
            <v>USACE</v>
          </cell>
          <cell r="M94" t="str">
            <v>W912DW-14-2-0009 (93-099566)</v>
          </cell>
          <cell r="N94" t="str">
            <v>IAA 15-45</v>
          </cell>
          <cell r="O94" t="str">
            <v>PNNL</v>
          </cell>
          <cell r="R94" t="str">
            <v>test</v>
          </cell>
          <cell r="S94" t="str">
            <v>test</v>
          </cell>
          <cell r="T94">
            <v>44011</v>
          </cell>
          <cell r="U94">
            <v>47.151893000000001</v>
          </cell>
          <cell r="V94">
            <v>-122.92966</v>
          </cell>
          <cell r="W94" t="str">
            <v>point</v>
          </cell>
          <cell r="X94" t="str">
            <v>retain</v>
          </cell>
          <cell r="Y94" t="str">
            <v>WGS84</v>
          </cell>
          <cell r="Z94">
            <v>-1.5</v>
          </cell>
          <cell r="AA94" t="str">
            <v>rebar</v>
          </cell>
          <cell r="AB94">
            <v>2.5</v>
          </cell>
          <cell r="AC94">
            <v>2.5</v>
          </cell>
          <cell r="AD94">
            <v>6.25</v>
          </cell>
          <cell r="AE94">
            <v>5</v>
          </cell>
          <cell r="AF94">
            <v>0.5</v>
          </cell>
          <cell r="AG94">
            <v>20</v>
          </cell>
          <cell r="AH94">
            <v>500</v>
          </cell>
          <cell r="AI94">
            <v>80</v>
          </cell>
          <cell r="AJ94">
            <v>100</v>
          </cell>
          <cell r="AK94" t="str">
            <v>Rocky Bay</v>
          </cell>
          <cell r="AL94" t="str">
            <v>10deg az, course and compacted sand with lots of fines, lots of algae but still lots of sand visible</v>
          </cell>
        </row>
        <row r="95">
          <cell r="B95" t="str">
            <v>Edgewater - north - PNNL - test - deep - 2020</v>
          </cell>
          <cell r="C95" t="str">
            <v>HPT_north_2</v>
          </cell>
          <cell r="D95" t="str">
            <v>single</v>
          </cell>
          <cell r="E95">
            <v>2020</v>
          </cell>
          <cell r="G95" t="str">
            <v>point</v>
          </cell>
          <cell r="H95" t="str">
            <v>Eld Inlet</v>
          </cell>
          <cell r="I95" t="str">
            <v>SPS</v>
          </cell>
          <cell r="J95" t="str">
            <v>Eelgrass Recovery in PS</v>
          </cell>
          <cell r="K95" t="str">
            <v>USACE</v>
          </cell>
          <cell r="L95" t="str">
            <v>USACE</v>
          </cell>
          <cell r="M95" t="str">
            <v>W912DW-14-2-0009 (93-099566)</v>
          </cell>
          <cell r="N95" t="str">
            <v>IAA 15-45</v>
          </cell>
          <cell r="O95" t="str">
            <v>PNNL</v>
          </cell>
          <cell r="R95" t="str">
            <v>test</v>
          </cell>
          <cell r="S95" t="str">
            <v>test</v>
          </cell>
          <cell r="T95">
            <v>44011</v>
          </cell>
          <cell r="U95">
            <v>47.154924999999999</v>
          </cell>
          <cell r="V95">
            <v>-122.9261166</v>
          </cell>
          <cell r="W95" t="str">
            <v>point</v>
          </cell>
          <cell r="X95" t="str">
            <v>retain</v>
          </cell>
          <cell r="Y95" t="str">
            <v>WGS84</v>
          </cell>
          <cell r="Z95">
            <v>-1.5</v>
          </cell>
          <cell r="AA95" t="str">
            <v>rebar</v>
          </cell>
          <cell r="AB95">
            <v>3</v>
          </cell>
          <cell r="AC95">
            <v>2.5</v>
          </cell>
          <cell r="AD95">
            <v>7.5</v>
          </cell>
          <cell r="AE95">
            <v>6</v>
          </cell>
          <cell r="AF95">
            <v>0.60000000000000009</v>
          </cell>
          <cell r="AG95">
            <v>24</v>
          </cell>
          <cell r="AH95">
            <v>600</v>
          </cell>
          <cell r="AI95">
            <v>80</v>
          </cell>
          <cell r="AJ95">
            <v>100</v>
          </cell>
          <cell r="AK95" t="str">
            <v>Rocky Bay</v>
          </cell>
          <cell r="AL95" t="str">
            <v>4 extra rebar planted at this site, 60 deg az, mixed fines fairly compact some kelp but can see mostly sand, baseline 14' offshore 15'</v>
          </cell>
        </row>
        <row r="96">
          <cell r="B96" t="str">
            <v>Joemma Beach State Park Mid - PNNL - shallow - test - 2013</v>
          </cell>
          <cell r="C96" t="str">
            <v>JSP_mid_shallow</v>
          </cell>
          <cell r="D96" t="str">
            <v>single</v>
          </cell>
          <cell r="E96">
            <v>2013</v>
          </cell>
          <cell r="G96" t="str">
            <v>point</v>
          </cell>
          <cell r="H96" t="str">
            <v>Case Inlet</v>
          </cell>
          <cell r="I96" t="str">
            <v>CPS</v>
          </cell>
          <cell r="J96" t="str">
            <v>20% more ZM</v>
          </cell>
          <cell r="K96" t="str">
            <v>WDFW</v>
          </cell>
          <cell r="L96" t="str">
            <v>National Estuary Program</v>
          </cell>
          <cell r="M96" t="str">
            <v>12-1117</v>
          </cell>
          <cell r="N96" t="str">
            <v xml:space="preserve"> IAA 12-316</v>
          </cell>
          <cell r="O96" t="str">
            <v>PNNL</v>
          </cell>
          <cell r="P96" t="str">
            <v>IAA 12-317</v>
          </cell>
          <cell r="Q96"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96" t="str">
            <v>test</v>
          </cell>
          <cell r="S96" t="str">
            <v>test</v>
          </cell>
          <cell r="T96">
            <v>41430</v>
          </cell>
          <cell r="U96">
            <v>47.22228333333333</v>
          </cell>
          <cell r="V96">
            <v>-122.80965</v>
          </cell>
          <cell r="W96" t="str">
            <v>point</v>
          </cell>
          <cell r="X96" t="str">
            <v>retain</v>
          </cell>
          <cell r="Y96" t="str">
            <v>WGS84</v>
          </cell>
          <cell r="Z96">
            <v>-0.91439999999999999</v>
          </cell>
          <cell r="AA96" t="str">
            <v>staple</v>
          </cell>
          <cell r="AB96">
            <v>6</v>
          </cell>
          <cell r="AC96">
            <v>6</v>
          </cell>
          <cell r="AD96">
            <v>36</v>
          </cell>
          <cell r="AE96">
            <v>36</v>
          </cell>
          <cell r="AF96">
            <v>0.89</v>
          </cell>
          <cell r="AG96">
            <v>178</v>
          </cell>
          <cell r="AH96">
            <v>712</v>
          </cell>
          <cell r="AI96">
            <v>19.777777777777779</v>
          </cell>
          <cell r="AJ96">
            <v>19.777777777777779</v>
          </cell>
          <cell r="AK96" t="str">
            <v>Windy Bluff/Thompson Cove</v>
          </cell>
          <cell r="AL96" t="str">
            <v>Plants from two donor sites were tested at Joemma Beach State Park. Helical removed from test plot on 7 June 2016.</v>
          </cell>
        </row>
        <row r="97">
          <cell r="B97" t="str">
            <v>Joemma Beach State Park Mid - PNNL - deep - test - 2013</v>
          </cell>
          <cell r="C97" t="str">
            <v>JSP_mid_deep</v>
          </cell>
          <cell r="D97" t="str">
            <v>single</v>
          </cell>
          <cell r="E97">
            <v>2013</v>
          </cell>
          <cell r="G97" t="str">
            <v>point</v>
          </cell>
          <cell r="H97" t="str">
            <v>Case Inlet</v>
          </cell>
          <cell r="I97" t="str">
            <v>CPS</v>
          </cell>
          <cell r="J97" t="str">
            <v>20% more ZM</v>
          </cell>
          <cell r="K97" t="str">
            <v>WDFW</v>
          </cell>
          <cell r="L97" t="str">
            <v>National Estuary Program</v>
          </cell>
          <cell r="M97" t="str">
            <v>12-1117</v>
          </cell>
          <cell r="N97" t="str">
            <v xml:space="preserve"> IAA 12-316</v>
          </cell>
          <cell r="O97" t="str">
            <v>PNNL</v>
          </cell>
          <cell r="P97" t="str">
            <v>IAA 12-317</v>
          </cell>
          <cell r="Q97"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97" t="str">
            <v>test</v>
          </cell>
          <cell r="S97" t="str">
            <v>test</v>
          </cell>
          <cell r="T97">
            <v>41430</v>
          </cell>
          <cell r="U97">
            <v>47.222016666666669</v>
          </cell>
          <cell r="V97">
            <v>-122.81008333333334</v>
          </cell>
          <cell r="W97" t="str">
            <v>point</v>
          </cell>
          <cell r="X97" t="str">
            <v>retain</v>
          </cell>
          <cell r="Y97" t="str">
            <v>WGS84</v>
          </cell>
          <cell r="Z97">
            <v>-1.524</v>
          </cell>
          <cell r="AA97" t="str">
            <v>staple</v>
          </cell>
          <cell r="AB97">
            <v>6</v>
          </cell>
          <cell r="AC97">
            <v>6</v>
          </cell>
          <cell r="AD97">
            <v>36</v>
          </cell>
          <cell r="AE97">
            <v>36</v>
          </cell>
          <cell r="AF97">
            <v>0.89</v>
          </cell>
          <cell r="AG97">
            <v>178</v>
          </cell>
          <cell r="AH97">
            <v>712</v>
          </cell>
          <cell r="AI97">
            <v>19.777777777777779</v>
          </cell>
          <cell r="AJ97">
            <v>19.777777777777779</v>
          </cell>
          <cell r="AK97" t="str">
            <v>Windy Bluff/Thompson Cove</v>
          </cell>
          <cell r="AL97" t="str">
            <v>Plants from two donor sites were tested at Joemma State Park</v>
          </cell>
        </row>
        <row r="98">
          <cell r="B98" t="str">
            <v>Joemma Beach State Park Mid South - W - PNNL - large - 2015</v>
          </cell>
          <cell r="C98" t="str">
            <v>JSP_mid_south_P1</v>
          </cell>
          <cell r="D98" t="str">
            <v>single</v>
          </cell>
          <cell r="E98">
            <v>2015</v>
          </cell>
          <cell r="G98" t="str">
            <v>polygon</v>
          </cell>
          <cell r="H98" t="str">
            <v>Case Inlet</v>
          </cell>
          <cell r="I98" t="str">
            <v>CPS</v>
          </cell>
          <cell r="J98" t="str">
            <v>Eelgrass Restoration in PS</v>
          </cell>
          <cell r="K98" t="str">
            <v>DNR</v>
          </cell>
          <cell r="L98" t="str">
            <v>Aquatic Restoration Program</v>
          </cell>
          <cell r="O98" t="str">
            <v>PNNL</v>
          </cell>
          <cell r="P98" t="str">
            <v>IAA 12-317.1</v>
          </cell>
          <cell r="Q98" t="str">
            <v>Aston, L.A., A.B. Borde and J. Vavrinec. 2015. Final Summary Report - Eelgrass Restoration in Puget Sound Project Summary. Pacific Northwest National Laboratory, Richland, WA. PNNL-24445.</v>
          </cell>
          <cell r="R98" t="str">
            <v>large scale</v>
          </cell>
          <cell r="S98" t="str">
            <v>large scale</v>
          </cell>
          <cell r="T98">
            <v>42141</v>
          </cell>
          <cell r="U98">
            <v>47.222349999999999</v>
          </cell>
          <cell r="V98">
            <v>-122.8105</v>
          </cell>
          <cell r="W98" t="str">
            <v>polygon</v>
          </cell>
          <cell r="X98" t="str">
            <v>retain</v>
          </cell>
          <cell r="Y98" t="str">
            <v>WGS84</v>
          </cell>
          <cell r="Z98"/>
          <cell r="AA98" t="str">
            <v>staple</v>
          </cell>
          <cell r="AB98">
            <v>50</v>
          </cell>
          <cell r="AC98">
            <v>40</v>
          </cell>
          <cell r="AD98">
            <v>2000</v>
          </cell>
          <cell r="AE98">
            <v>126.25</v>
          </cell>
          <cell r="AF98">
            <v>12.75</v>
          </cell>
          <cell r="AG98">
            <v>2550</v>
          </cell>
          <cell r="AH98">
            <v>10200</v>
          </cell>
          <cell r="AI98">
            <v>5.0999999999999996</v>
          </cell>
          <cell r="AJ98">
            <v>80.792079207920793</v>
          </cell>
          <cell r="AK98" t="str">
            <v>Windy Bluff and Thompson Cove</v>
          </cell>
          <cell r="AL98" t="str">
            <v>north corner, south plot. Most offshore transect was all Thompson Cove plants, most onshore line was all Windy Bluff plants, south end of the plot was all Windy Bluff plants, north end of the plot was all Thompson Cove plants. See diagram.</v>
          </cell>
        </row>
        <row r="99">
          <cell r="B99" t="str">
            <v>Joemma Beach State Park Mid South - N - PNNL - large - 2015</v>
          </cell>
          <cell r="C99" t="str">
            <v>JSP_mid_south_P1</v>
          </cell>
          <cell r="D99" t="str">
            <v>single</v>
          </cell>
          <cell r="E99">
            <v>2015</v>
          </cell>
          <cell r="G99" t="str">
            <v>polygon</v>
          </cell>
          <cell r="H99" t="str">
            <v>Case Inlet</v>
          </cell>
          <cell r="I99" t="str">
            <v>CPS</v>
          </cell>
          <cell r="J99" t="str">
            <v>Eelgrass Restoration in PS</v>
          </cell>
          <cell r="K99" t="str">
            <v>DNR</v>
          </cell>
          <cell r="L99" t="str">
            <v>Aquatic Restoration Program</v>
          </cell>
          <cell r="O99" t="str">
            <v>PNNL</v>
          </cell>
          <cell r="P99" t="str">
            <v>IAA 12-317.1</v>
          </cell>
          <cell r="Q99" t="str">
            <v>Aston, L.A., A.B. Borde and J. Vavrinec. 2015. Final Summary Report - Eelgrass Restoration in Puget Sound Project Summary. Pacific Northwest National Laboratory, Richland, WA. PNNL-24445.</v>
          </cell>
          <cell r="R99" t="str">
            <v>large scale</v>
          </cell>
          <cell r="S99" t="str">
            <v>--</v>
          </cell>
          <cell r="T99">
            <v>42141</v>
          </cell>
          <cell r="U99">
            <v>47.222516666666664</v>
          </cell>
          <cell r="V99">
            <v>-122.81003333333334</v>
          </cell>
          <cell r="W99" t="str">
            <v>polygon</v>
          </cell>
          <cell r="X99" t="str">
            <v>retain</v>
          </cell>
          <cell r="Y99" t="str">
            <v>WGS84</v>
          </cell>
          <cell r="Z99"/>
          <cell r="AA99" t="str">
            <v>staple</v>
          </cell>
          <cell r="AE99"/>
          <cell r="AF99"/>
          <cell r="AG99"/>
          <cell r="AH99"/>
          <cell r="AI99" t="str">
            <v/>
          </cell>
          <cell r="AJ99" t="str">
            <v/>
          </cell>
          <cell r="AL99" t="str">
            <v>east corner, south plot</v>
          </cell>
        </row>
        <row r="100">
          <cell r="B100" t="str">
            <v>Joemma Beach State Park Mid South - E - PNNL - large - 2015</v>
          </cell>
          <cell r="C100" t="str">
            <v>JSP_mid_south_P1</v>
          </cell>
          <cell r="D100" t="str">
            <v>single</v>
          </cell>
          <cell r="E100">
            <v>2015</v>
          </cell>
          <cell r="G100" t="str">
            <v>polygon</v>
          </cell>
          <cell r="H100" t="str">
            <v>Case Inlet</v>
          </cell>
          <cell r="I100" t="str">
            <v>CPS</v>
          </cell>
          <cell r="J100" t="str">
            <v>Eelgrass Restoration in PS</v>
          </cell>
          <cell r="K100" t="str">
            <v>DNR</v>
          </cell>
          <cell r="L100" t="str">
            <v>Aquatic Restoration Program</v>
          </cell>
          <cell r="O100" t="str">
            <v>PNNL</v>
          </cell>
          <cell r="P100" t="str">
            <v>IAA 12-317.1</v>
          </cell>
          <cell r="Q100" t="str">
            <v>Aston, L.A., A.B. Borde and J. Vavrinec. 2015. Final Summary Report - Eelgrass Restoration in Puget Sound Project Summary. Pacific Northwest National Laboratory, Richland, WA. PNNL-24445.</v>
          </cell>
          <cell r="R100" t="str">
            <v>large scale</v>
          </cell>
          <cell r="S100" t="str">
            <v>--</v>
          </cell>
          <cell r="T100">
            <v>42141</v>
          </cell>
          <cell r="U100">
            <v>47.222149999999999</v>
          </cell>
          <cell r="V100">
            <v>-122.80966666666667</v>
          </cell>
          <cell r="W100" t="str">
            <v>polygon</v>
          </cell>
          <cell r="X100" t="str">
            <v>retain</v>
          </cell>
          <cell r="Y100" t="str">
            <v>WGS84</v>
          </cell>
          <cell r="Z100">
            <v>-0.91439999999999999</v>
          </cell>
          <cell r="AA100" t="str">
            <v>staple</v>
          </cell>
          <cell r="AE100"/>
          <cell r="AF100"/>
          <cell r="AG100"/>
          <cell r="AH100"/>
          <cell r="AI100" t="str">
            <v/>
          </cell>
          <cell r="AJ100" t="str">
            <v/>
          </cell>
          <cell r="AL100" t="str">
            <v>south corner, south plot</v>
          </cell>
        </row>
        <row r="101">
          <cell r="B101" t="str">
            <v>Joemma Beach State Park Mid South - S - PNNL - large - 2015</v>
          </cell>
          <cell r="C101" t="str">
            <v>JSP_mid_south_P1</v>
          </cell>
          <cell r="D101" t="str">
            <v>single</v>
          </cell>
          <cell r="E101">
            <v>2015</v>
          </cell>
          <cell r="G101" t="str">
            <v>polygon</v>
          </cell>
          <cell r="H101" t="str">
            <v>Case Inlet</v>
          </cell>
          <cell r="I101" t="str">
            <v>CPS</v>
          </cell>
          <cell r="J101" t="str">
            <v>Eelgrass Restoration in PS</v>
          </cell>
          <cell r="K101" t="str">
            <v>DNR</v>
          </cell>
          <cell r="L101" t="str">
            <v>Aquatic Restoration Program</v>
          </cell>
          <cell r="O101" t="str">
            <v>PNNL</v>
          </cell>
          <cell r="P101" t="str">
            <v>IAA 12-317.1</v>
          </cell>
          <cell r="Q101" t="str">
            <v>Aston, L.A., A.B. Borde and J. Vavrinec. 2015. Final Summary Report - Eelgrass Restoration in Puget Sound Project Summary. Pacific Northwest National Laboratory, Richland, WA. PNNL-24445.</v>
          </cell>
          <cell r="R101" t="str">
            <v>large scale</v>
          </cell>
          <cell r="S101" t="str">
            <v>--</v>
          </cell>
          <cell r="T101">
            <v>42141</v>
          </cell>
          <cell r="U101">
            <v>47.222000000000001</v>
          </cell>
          <cell r="V101">
            <v>-122.81008333333334</v>
          </cell>
          <cell r="W101" t="str">
            <v>polygon</v>
          </cell>
          <cell r="X101" t="str">
            <v>retain</v>
          </cell>
          <cell r="Y101" t="str">
            <v>WGS84</v>
          </cell>
          <cell r="Z101">
            <v>-1.524</v>
          </cell>
          <cell r="AA101" t="str">
            <v>staple</v>
          </cell>
          <cell r="AE101"/>
          <cell r="AF101"/>
          <cell r="AG101"/>
          <cell r="AH101"/>
          <cell r="AI101" t="str">
            <v/>
          </cell>
          <cell r="AJ101" t="str">
            <v/>
          </cell>
          <cell r="AL101" t="str">
            <v>west corner, south plot</v>
          </cell>
        </row>
        <row r="102">
          <cell r="B102" t="str">
            <v>Joemma Beach State Park Mid North - NW - PNNL - large - 2015</v>
          </cell>
          <cell r="C102" t="str">
            <v>JSP_mid_north_P1</v>
          </cell>
          <cell r="D102" t="str">
            <v>single</v>
          </cell>
          <cell r="E102">
            <v>2015</v>
          </cell>
          <cell r="G102" t="str">
            <v>polygon</v>
          </cell>
          <cell r="H102" t="str">
            <v>Case Inlet</v>
          </cell>
          <cell r="I102" t="str">
            <v>CPS</v>
          </cell>
          <cell r="J102" t="str">
            <v>Eelgrass Restoration in PS</v>
          </cell>
          <cell r="K102" t="str">
            <v>DNR</v>
          </cell>
          <cell r="L102" t="str">
            <v>Aquatic Restoration Program</v>
          </cell>
          <cell r="O102" t="str">
            <v>PNNL</v>
          </cell>
          <cell r="P102" t="str">
            <v>IAA 12-317.1</v>
          </cell>
          <cell r="Q102" t="str">
            <v>Aston, L.A., A.B. Borde and J. Vavrinec. 2015. Final Summary Report - Eelgrass Restoration in Puget Sound Project Summary. Pacific Northwest National Laboratory, Sequim, WA. PNNL-24445.</v>
          </cell>
          <cell r="R102" t="str">
            <v>large scale</v>
          </cell>
          <cell r="S102" t="str">
            <v>large scale</v>
          </cell>
          <cell r="T102">
            <v>42162</v>
          </cell>
          <cell r="U102">
            <v>47.223383333333331</v>
          </cell>
          <cell r="V102">
            <v>-122.81066666666666</v>
          </cell>
          <cell r="W102" t="str">
            <v>polygon</v>
          </cell>
          <cell r="X102" t="str">
            <v>retain</v>
          </cell>
          <cell r="Y102" t="str">
            <v>WGS84</v>
          </cell>
          <cell r="Z102">
            <v>-1.28016</v>
          </cell>
          <cell r="AA102" t="str">
            <v>staple</v>
          </cell>
          <cell r="AB102">
            <v>60</v>
          </cell>
          <cell r="AC102">
            <v>40</v>
          </cell>
          <cell r="AD102">
            <v>2400</v>
          </cell>
          <cell r="AE102">
            <v>151.25</v>
          </cell>
          <cell r="AF102">
            <v>15</v>
          </cell>
          <cell r="AG102">
            <v>3000</v>
          </cell>
          <cell r="AH102">
            <v>12000</v>
          </cell>
          <cell r="AI102">
            <v>5</v>
          </cell>
          <cell r="AJ102">
            <v>79.338842975206617</v>
          </cell>
          <cell r="AK102" t="str">
            <v>Windy Bluff and Thompson Cove</v>
          </cell>
          <cell r="AL102" t="str">
            <v>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v>
          </cell>
        </row>
        <row r="103">
          <cell r="B103" t="str">
            <v>Joemma Beach State Park Mid North - NE - PNNL - large - 2015</v>
          </cell>
          <cell r="C103" t="str">
            <v>JSP_mid_north_P1</v>
          </cell>
          <cell r="D103" t="str">
            <v>single</v>
          </cell>
          <cell r="E103">
            <v>2015</v>
          </cell>
          <cell r="G103" t="str">
            <v>polygon</v>
          </cell>
          <cell r="H103" t="str">
            <v>Case Inlet</v>
          </cell>
          <cell r="I103" t="str">
            <v>CPS</v>
          </cell>
          <cell r="J103" t="str">
            <v>Eelgrass Restoration in PS</v>
          </cell>
          <cell r="K103" t="str">
            <v>DNR</v>
          </cell>
          <cell r="L103" t="str">
            <v>Aquatic Restoration Program</v>
          </cell>
          <cell r="O103" t="str">
            <v>PNNL</v>
          </cell>
          <cell r="P103" t="str">
            <v>IAA 12-317.1</v>
          </cell>
          <cell r="Q103" t="str">
            <v>Aston, L.A., A.B. Borde and J. Vavrinec. 2015. Final Summary Report - Eelgrass Restoration in Puget Sound Project Summary. Pacific Northwest National Laboratory, Sequim, WA. PNNL-24445.</v>
          </cell>
          <cell r="R103" t="str">
            <v>large scale</v>
          </cell>
          <cell r="S103" t="str">
            <v>--</v>
          </cell>
          <cell r="T103">
            <v>42162</v>
          </cell>
          <cell r="U103">
            <v>47.223383333333331</v>
          </cell>
          <cell r="V103">
            <v>-122.81014999999999</v>
          </cell>
          <cell r="W103" t="str">
            <v>polygon</v>
          </cell>
          <cell r="X103" t="str">
            <v>retain</v>
          </cell>
          <cell r="Y103" t="str">
            <v>WGS84</v>
          </cell>
          <cell r="Z103">
            <v>-0.51815999999999995</v>
          </cell>
          <cell r="AA103" t="str">
            <v>staple</v>
          </cell>
          <cell r="AB103"/>
          <cell r="AC103"/>
          <cell r="AE103"/>
          <cell r="AF103"/>
          <cell r="AG103"/>
          <cell r="AH103"/>
          <cell r="AI103" t="str">
            <v/>
          </cell>
          <cell r="AJ103" t="str">
            <v/>
          </cell>
          <cell r="AL103" t="str">
            <v>NE corner, north plot</v>
          </cell>
        </row>
        <row r="104">
          <cell r="B104" t="str">
            <v>Joemma Beach State Park Mid North - SE - PNNL - large - 2015</v>
          </cell>
          <cell r="C104" t="str">
            <v>JSP_mid_north_P1</v>
          </cell>
          <cell r="D104" t="str">
            <v>single</v>
          </cell>
          <cell r="E104">
            <v>2015</v>
          </cell>
          <cell r="G104" t="str">
            <v>polygon</v>
          </cell>
          <cell r="H104" t="str">
            <v>Case Inlet</v>
          </cell>
          <cell r="I104" t="str">
            <v>CPS</v>
          </cell>
          <cell r="J104" t="str">
            <v>Eelgrass Restoration in PS</v>
          </cell>
          <cell r="K104" t="str">
            <v>DNR</v>
          </cell>
          <cell r="L104" t="str">
            <v>Aquatic Restoration Program</v>
          </cell>
          <cell r="O104" t="str">
            <v>PNNL</v>
          </cell>
          <cell r="P104" t="str">
            <v>IAA 12-317.1</v>
          </cell>
          <cell r="Q104" t="str">
            <v>Aston, L.A., A.B. Borde and J. Vavrinec. 2015. Final Summary Report - Eelgrass Restoration in Puget Sound Project Summary. Pacific Northwest National Laboratory, Sequim, WA. PNNL-24445.</v>
          </cell>
          <cell r="R104" t="str">
            <v>large scale</v>
          </cell>
          <cell r="S104" t="str">
            <v>--</v>
          </cell>
          <cell r="T104">
            <v>42162</v>
          </cell>
          <cell r="U104">
            <v>47.222833333333334</v>
          </cell>
          <cell r="V104">
            <v>-122.81014999999999</v>
          </cell>
          <cell r="W104" t="str">
            <v>polygon</v>
          </cell>
          <cell r="X104" t="str">
            <v>retain</v>
          </cell>
          <cell r="Y104" t="str">
            <v>WGS84</v>
          </cell>
          <cell r="Z104">
            <v>-0.97536</v>
          </cell>
          <cell r="AA104" t="str">
            <v>staple</v>
          </cell>
          <cell r="AB104"/>
          <cell r="AC104"/>
          <cell r="AE104"/>
          <cell r="AF104"/>
          <cell r="AG104"/>
          <cell r="AH104"/>
          <cell r="AI104" t="str">
            <v/>
          </cell>
          <cell r="AJ104" t="str">
            <v/>
          </cell>
          <cell r="AL104" t="str">
            <v>SE corner, north plot</v>
          </cell>
        </row>
        <row r="105">
          <cell r="B105" t="str">
            <v>Joemma Beach State Park Mid North - SW - PNNL - large - 2015</v>
          </cell>
          <cell r="C105" t="str">
            <v>JSP_mid_north_P1</v>
          </cell>
          <cell r="D105" t="str">
            <v>single</v>
          </cell>
          <cell r="E105">
            <v>2015</v>
          </cell>
          <cell r="G105" t="str">
            <v>polygon</v>
          </cell>
          <cell r="H105" t="str">
            <v>Case Inlet</v>
          </cell>
          <cell r="I105" t="str">
            <v>CPS</v>
          </cell>
          <cell r="J105" t="str">
            <v>Eelgrass Restoration in PS</v>
          </cell>
          <cell r="K105" t="str">
            <v>DNR</v>
          </cell>
          <cell r="L105" t="str">
            <v>Aquatic Restoration Program</v>
          </cell>
          <cell r="O105" t="str">
            <v>PNNL</v>
          </cell>
          <cell r="P105" t="str">
            <v>IAA 12-317.1</v>
          </cell>
          <cell r="Q105" t="str">
            <v>Aston, L.A., A.B. Borde and J. Vavrinec. 2015. Final Summary Report - Eelgrass Restoration in Puget Sound Project Summary. Pacific Northwest National Laboratory, Sequim, WA. PNNL-24445.</v>
          </cell>
          <cell r="R105" t="str">
            <v>large scale</v>
          </cell>
          <cell r="S105" t="str">
            <v>--</v>
          </cell>
          <cell r="T105">
            <v>42162</v>
          </cell>
          <cell r="U105">
            <v>47.222833333333334</v>
          </cell>
          <cell r="V105">
            <v>-122.81066666666666</v>
          </cell>
          <cell r="W105" t="str">
            <v>polygon</v>
          </cell>
          <cell r="X105" t="str">
            <v>retain</v>
          </cell>
          <cell r="Y105" t="str">
            <v>WGS84</v>
          </cell>
          <cell r="Z105">
            <v>-1.7678400000000001</v>
          </cell>
          <cell r="AA105" t="str">
            <v>staple</v>
          </cell>
          <cell r="AB105"/>
          <cell r="AC105"/>
          <cell r="AE105"/>
          <cell r="AF105"/>
          <cell r="AG105"/>
          <cell r="AH105"/>
          <cell r="AI105" t="str">
            <v/>
          </cell>
          <cell r="AJ105" t="str">
            <v/>
          </cell>
          <cell r="AL105" t="str">
            <v>SW corner, north plot</v>
          </cell>
        </row>
        <row r="106">
          <cell r="B106" t="str">
            <v>Joemma Beach State Park - southeast - PNNL - test - 2015</v>
          </cell>
          <cell r="C106" t="str">
            <v>JSP_southeast</v>
          </cell>
          <cell r="D106" t="str">
            <v>single</v>
          </cell>
          <cell r="E106">
            <v>2015</v>
          </cell>
          <cell r="G106" t="str">
            <v>point</v>
          </cell>
          <cell r="H106" t="str">
            <v>Case Inlet</v>
          </cell>
          <cell r="I106" t="str">
            <v>CPS</v>
          </cell>
          <cell r="J106" t="str">
            <v>Eelgrass Restoration in PS</v>
          </cell>
          <cell r="K106" t="str">
            <v>DNR</v>
          </cell>
          <cell r="L106" t="str">
            <v>Aquatic Restoration Program</v>
          </cell>
          <cell r="O106" t="str">
            <v>PNNL</v>
          </cell>
          <cell r="P106" t="str">
            <v>IAA 12-317.1</v>
          </cell>
          <cell r="Q106" t="str">
            <v>Aston, L.A., A.B. Borde and J. Vavrinec. 2015. Final Summary Report - Eelgrass Restoration in Puget Sound Project Summary. Pacific Northwest National Laboratory, Richland, WA. PNNL-24445.</v>
          </cell>
          <cell r="R106" t="str">
            <v>test</v>
          </cell>
          <cell r="S106" t="str">
            <v>test</v>
          </cell>
          <cell r="T106">
            <v>42164</v>
          </cell>
          <cell r="U106">
            <v>47.210933333333337</v>
          </cell>
          <cell r="V106">
            <v>-122.80663333333334</v>
          </cell>
          <cell r="W106" t="str">
            <v>point</v>
          </cell>
          <cell r="X106" t="str">
            <v>retain</v>
          </cell>
          <cell r="Y106" t="str">
            <v>WGS84</v>
          </cell>
          <cell r="Z106">
            <v>-1.3715999999999999</v>
          </cell>
          <cell r="AA106" t="str">
            <v>staple</v>
          </cell>
          <cell r="AB106">
            <v>5</v>
          </cell>
          <cell r="AC106">
            <v>5</v>
          </cell>
          <cell r="AD106">
            <v>25</v>
          </cell>
          <cell r="AE106">
            <v>25</v>
          </cell>
          <cell r="AF106">
            <v>0.625</v>
          </cell>
          <cell r="AG106">
            <v>125</v>
          </cell>
          <cell r="AH106">
            <v>500</v>
          </cell>
          <cell r="AI106">
            <v>20</v>
          </cell>
          <cell r="AJ106">
            <v>20</v>
          </cell>
          <cell r="AK106" t="str">
            <v>Windy Bluff and Thompson Cove</v>
          </cell>
          <cell r="AL106" t="str">
            <v>planned, site is between JSP and Taylor Bay</v>
          </cell>
        </row>
        <row r="107">
          <cell r="B107" t="str">
            <v>Joemma Beach State Park North - north - HC - test - 2016</v>
          </cell>
          <cell r="C107" t="str">
            <v>JSP_north</v>
          </cell>
          <cell r="D107" t="str">
            <v>single</v>
          </cell>
          <cell r="E107">
            <v>2016</v>
          </cell>
          <cell r="G107" t="str">
            <v>line</v>
          </cell>
          <cell r="H107" t="str">
            <v>Case Inlet</v>
          </cell>
          <cell r="I107" t="str">
            <v>CPS</v>
          </cell>
          <cell r="J107" t="str">
            <v>Eelgrass Restoration in Puget Sound</v>
          </cell>
          <cell r="K107" t="str">
            <v>WDFW</v>
          </cell>
          <cell r="L107" t="str">
            <v>National Estuary Program</v>
          </cell>
          <cell r="M107" t="str">
            <v>14-02072</v>
          </cell>
          <cell r="N107" t="str">
            <v xml:space="preserve"> IAA 15-110</v>
          </cell>
          <cell r="O107" t="str">
            <v>Hart Crowser</v>
          </cell>
          <cell r="P107" t="str">
            <v>SC 16-17</v>
          </cell>
          <cell r="Q107" t="str">
            <v>Shannon, J., J. Blanchette and J. Gaeckle. 2018. Eelgrass (Zostera marina) Restoration in Puget Sound, WA. Final Restoration and Monitoring Report (12059-05) for US EPA, Hart Crowser, Edmonds, WA. Pp. 131.</v>
          </cell>
          <cell r="R107" t="str">
            <v>test</v>
          </cell>
          <cell r="S107" t="str">
            <v>test</v>
          </cell>
          <cell r="T107">
            <v>42507</v>
          </cell>
          <cell r="U107">
            <v>47.22589385277778</v>
          </cell>
          <cell r="V107">
            <v>-122.81332006111111</v>
          </cell>
          <cell r="W107" t="str">
            <v>line</v>
          </cell>
          <cell r="X107" t="str">
            <v>retain</v>
          </cell>
          <cell r="Y107" t="str">
            <v>WGS84</v>
          </cell>
          <cell r="Z107">
            <v>-2</v>
          </cell>
          <cell r="AA107" t="str">
            <v>burlap</v>
          </cell>
          <cell r="AB107">
            <v>25</v>
          </cell>
          <cell r="AC107">
            <v>5</v>
          </cell>
          <cell r="AD107">
            <v>125</v>
          </cell>
          <cell r="AE107">
            <v>75</v>
          </cell>
          <cell r="AF107">
            <v>9.75</v>
          </cell>
          <cell r="AG107">
            <v>156</v>
          </cell>
          <cell r="AH107">
            <v>780</v>
          </cell>
          <cell r="AI107">
            <v>6.24</v>
          </cell>
          <cell r="AJ107">
            <v>10.4</v>
          </cell>
          <cell r="AK107" t="str">
            <v>Rocky Bay</v>
          </cell>
          <cell r="AL107" t="str">
            <v>transect line that includes 3 test plots</v>
          </cell>
        </row>
        <row r="108">
          <cell r="B108" t="str">
            <v>Joemma Beach State Park North - north - HC - test - 2016</v>
          </cell>
          <cell r="C108" t="str">
            <v>JSP_north</v>
          </cell>
          <cell r="D108" t="str">
            <v>single</v>
          </cell>
          <cell r="E108">
            <v>2016</v>
          </cell>
          <cell r="G108" t="str">
            <v>line</v>
          </cell>
          <cell r="H108" t="str">
            <v>Case Inlet</v>
          </cell>
          <cell r="I108" t="str">
            <v>CPS</v>
          </cell>
          <cell r="J108" t="str">
            <v>Eelgrass Restoration in Puget Sound</v>
          </cell>
          <cell r="K108" t="str">
            <v>WDFW</v>
          </cell>
          <cell r="L108" t="str">
            <v>National Estuary Program</v>
          </cell>
          <cell r="M108" t="str">
            <v>14-02072</v>
          </cell>
          <cell r="N108" t="str">
            <v xml:space="preserve"> IAA 15-110</v>
          </cell>
          <cell r="O108" t="str">
            <v>Hart Crowser</v>
          </cell>
          <cell r="P108" t="str">
            <v>SC 16-17</v>
          </cell>
          <cell r="Q108" t="str">
            <v>Shannon, J., J. Blanchette and J. Gaeckle. 2018. Eelgrass (Zostera marina) Restoration in Puget Sound, WA. Final Restoration and Monitoring Report (12059-05) for US EPA, Hart Crowser, Edmonds, WA. Pp. 131.</v>
          </cell>
          <cell r="R108" t="str">
            <v>test</v>
          </cell>
          <cell r="S108" t="str">
            <v>--</v>
          </cell>
          <cell r="T108">
            <v>42507</v>
          </cell>
          <cell r="U108">
            <v>47.225797075000003</v>
          </cell>
          <cell r="V108">
            <v>-122.81301273611111</v>
          </cell>
          <cell r="W108" t="str">
            <v>line</v>
          </cell>
          <cell r="X108" t="str">
            <v>retain</v>
          </cell>
          <cell r="Y108" t="str">
            <v>WGS84</v>
          </cell>
          <cell r="Z108"/>
          <cell r="AA108"/>
          <cell r="AF108" t="str">
            <v/>
          </cell>
          <cell r="AG108"/>
          <cell r="AH108"/>
          <cell r="AI108" t="str">
            <v/>
          </cell>
          <cell r="AJ108" t="str">
            <v/>
          </cell>
          <cell r="AL108"/>
        </row>
        <row r="109">
          <cell r="B109" t="str">
            <v>Joemma Beach State Park South - SE - HC - large 1 - 2016</v>
          </cell>
          <cell r="C109" t="str">
            <v>JSP_south_P1</v>
          </cell>
          <cell r="D109" t="str">
            <v>single</v>
          </cell>
          <cell r="E109">
            <v>2016</v>
          </cell>
          <cell r="G109" t="str">
            <v>polygon</v>
          </cell>
          <cell r="H109" t="str">
            <v>Case Inlet</v>
          </cell>
          <cell r="I109" t="str">
            <v>CPS</v>
          </cell>
          <cell r="J109" t="str">
            <v>Eelgrass Restoration in Puget Sound</v>
          </cell>
          <cell r="K109" t="str">
            <v>WDFW</v>
          </cell>
          <cell r="L109" t="str">
            <v>National Estuary Program</v>
          </cell>
          <cell r="M109" t="str">
            <v>14-02072</v>
          </cell>
          <cell r="N109" t="str">
            <v xml:space="preserve"> IAA 15-110</v>
          </cell>
          <cell r="O109" t="str">
            <v>Hart Crowser</v>
          </cell>
          <cell r="P109" t="str">
            <v>SC 16-17</v>
          </cell>
          <cell r="Q109" t="str">
            <v>Shannon, J., J. Blanchette and J. Gaeckle. 2018. Eelgrass (Zostera marina) Restoration in Puget Sound, WA. Final Restoration and Monitoring Report (12059-05) for US EPA, Hart Crowser, Edmonds, WA. Pp. 131.</v>
          </cell>
          <cell r="R109" t="str">
            <v>large scale</v>
          </cell>
          <cell r="S109" t="str">
            <v>large scale</v>
          </cell>
          <cell r="T109">
            <v>42576</v>
          </cell>
          <cell r="U109">
            <v>47.221797497222219</v>
          </cell>
          <cell r="V109">
            <v>-122.80987687222222</v>
          </cell>
          <cell r="W109" t="str">
            <v>polygon</v>
          </cell>
          <cell r="X109" t="str">
            <v>retain</v>
          </cell>
          <cell r="Y109" t="str">
            <v>WGS84</v>
          </cell>
          <cell r="Z109">
            <v>-1.5</v>
          </cell>
          <cell r="AA109" t="str">
            <v>burlap</v>
          </cell>
          <cell r="AB109">
            <v>20</v>
          </cell>
          <cell r="AC109">
            <v>8</v>
          </cell>
          <cell r="AD109">
            <v>160</v>
          </cell>
          <cell r="AE109">
            <v>60</v>
          </cell>
          <cell r="AF109">
            <v>60</v>
          </cell>
          <cell r="AG109">
            <v>960</v>
          </cell>
          <cell r="AH109">
            <v>20260</v>
          </cell>
          <cell r="AI109">
            <v>126.625</v>
          </cell>
          <cell r="AJ109">
            <v>337.66666666666669</v>
          </cell>
          <cell r="AK109" t="str">
            <v>Rocky Bay</v>
          </cell>
          <cell r="AL109"/>
        </row>
        <row r="110">
          <cell r="B110" t="str">
            <v>Joemma Beach State Park South - SW - HC - large 1 - 2016</v>
          </cell>
          <cell r="C110" t="str">
            <v>JSP_south_P1</v>
          </cell>
          <cell r="D110" t="str">
            <v>single</v>
          </cell>
          <cell r="E110">
            <v>2016</v>
          </cell>
          <cell r="G110" t="str">
            <v>polygon</v>
          </cell>
          <cell r="H110" t="str">
            <v>Case Inlet</v>
          </cell>
          <cell r="I110" t="str">
            <v>CPS</v>
          </cell>
          <cell r="J110" t="str">
            <v>Eelgrass Restoration in Puget Sound</v>
          </cell>
          <cell r="K110" t="str">
            <v>WDFW</v>
          </cell>
          <cell r="L110" t="str">
            <v>National Estuary Program</v>
          </cell>
          <cell r="M110" t="str">
            <v>14-02072</v>
          </cell>
          <cell r="N110" t="str">
            <v xml:space="preserve"> IAA 15-110</v>
          </cell>
          <cell r="O110" t="str">
            <v>Hart Crowser</v>
          </cell>
          <cell r="P110" t="str">
            <v>SC 16-17</v>
          </cell>
          <cell r="Q110" t="str">
            <v>Shannon, J., J. Blanchette and J. Gaeckle. 2018. Eelgrass (Zostera marina) Restoration in Puget Sound, WA. Final Restoration and Monitoring Report (12059-05) for US EPA, Hart Crowser, Edmonds, WA. Pp. 131.</v>
          </cell>
          <cell r="R110" t="str">
            <v>large scale</v>
          </cell>
          <cell r="S110" t="str">
            <v>--</v>
          </cell>
          <cell r="T110">
            <v>42576</v>
          </cell>
          <cell r="U110">
            <v>47.221742027777779</v>
          </cell>
          <cell r="V110">
            <v>-122.80997454166666</v>
          </cell>
          <cell r="W110" t="str">
            <v>polygon</v>
          </cell>
          <cell r="X110" t="str">
            <v>retain</v>
          </cell>
          <cell r="Y110" t="str">
            <v>WGS84</v>
          </cell>
          <cell r="Z110"/>
          <cell r="AA110"/>
          <cell r="AF110" t="str">
            <v/>
          </cell>
          <cell r="AG110"/>
          <cell r="AH110"/>
          <cell r="AI110" t="str">
            <v/>
          </cell>
          <cell r="AJ110" t="str">
            <v/>
          </cell>
          <cell r="AL110"/>
        </row>
        <row r="111">
          <cell r="B111" t="str">
            <v>Joemma Beach State Park South - NE - HC - large 1 - 2016</v>
          </cell>
          <cell r="C111" t="str">
            <v>JSP_south_P1</v>
          </cell>
          <cell r="D111" t="str">
            <v>single</v>
          </cell>
          <cell r="E111">
            <v>2016</v>
          </cell>
          <cell r="G111" t="str">
            <v>polygon</v>
          </cell>
          <cell r="H111" t="str">
            <v>Case Inlet</v>
          </cell>
          <cell r="I111" t="str">
            <v>CPS</v>
          </cell>
          <cell r="J111" t="str">
            <v>Eelgrass Restoration in Puget Sound</v>
          </cell>
          <cell r="K111" t="str">
            <v>WDFW</v>
          </cell>
          <cell r="L111" t="str">
            <v>National Estuary Program</v>
          </cell>
          <cell r="M111" t="str">
            <v>14-02072</v>
          </cell>
          <cell r="N111" t="str">
            <v xml:space="preserve"> IAA 15-110</v>
          </cell>
          <cell r="O111" t="str">
            <v>Hart Crowser</v>
          </cell>
          <cell r="P111" t="str">
            <v>SC 16-17</v>
          </cell>
          <cell r="Q111" t="str">
            <v>Shannon, J., J. Blanchette and J. Gaeckle. 2018. Eelgrass (Zostera marina) Restoration in Puget Sound, WA. Final Restoration and Monitoring Report (12059-05) for US EPA, Hart Crowser, Edmonds, WA. Pp. 131.</v>
          </cell>
          <cell r="R111" t="str">
            <v>large scale</v>
          </cell>
          <cell r="S111" t="str">
            <v>--</v>
          </cell>
          <cell r="T111">
            <v>42576</v>
          </cell>
          <cell r="U111">
            <v>47.221992</v>
          </cell>
          <cell r="V111">
            <v>-122.809929</v>
          </cell>
          <cell r="W111" t="str">
            <v>polygon</v>
          </cell>
          <cell r="X111" t="str">
            <v>retain</v>
          </cell>
          <cell r="Y111" t="str">
            <v>WGS84</v>
          </cell>
          <cell r="Z111"/>
          <cell r="AA111"/>
          <cell r="AF111" t="str">
            <v/>
          </cell>
          <cell r="AG111"/>
          <cell r="AH111"/>
          <cell r="AI111" t="str">
            <v/>
          </cell>
          <cell r="AJ111" t="str">
            <v/>
          </cell>
          <cell r="AL111"/>
        </row>
        <row r="112">
          <cell r="B112" t="str">
            <v>Joemma Beach State Park South - NW - HC - large 1 - 2016</v>
          </cell>
          <cell r="C112" t="str">
            <v>JSP_south_P1</v>
          </cell>
          <cell r="D112" t="str">
            <v>single</v>
          </cell>
          <cell r="E112">
            <v>2016</v>
          </cell>
          <cell r="G112" t="str">
            <v>polygon</v>
          </cell>
          <cell r="H112" t="str">
            <v>Case Inlet</v>
          </cell>
          <cell r="I112" t="str">
            <v>CPS</v>
          </cell>
          <cell r="J112" t="str">
            <v>Eelgrass Restoration in Puget Sound</v>
          </cell>
          <cell r="K112" t="str">
            <v>WDFW</v>
          </cell>
          <cell r="L112" t="str">
            <v>National Estuary Program</v>
          </cell>
          <cell r="M112" t="str">
            <v>14-02072</v>
          </cell>
          <cell r="N112" t="str">
            <v xml:space="preserve"> IAA 15-110</v>
          </cell>
          <cell r="O112" t="str">
            <v>Hart Crowser</v>
          </cell>
          <cell r="P112" t="str">
            <v>SC 16-17</v>
          </cell>
          <cell r="Q112" t="str">
            <v>Shannon, J., J. Blanchette and J. Gaeckle. 2018. Eelgrass (Zostera marina) Restoration in Puget Sound, WA. Final Restoration and Monitoring Report (12059-05) for US EPA, Hart Crowser, Edmonds, WA. Pp. 131.</v>
          </cell>
          <cell r="R112" t="str">
            <v>large scale</v>
          </cell>
          <cell r="S112" t="str">
            <v>--</v>
          </cell>
          <cell r="T112">
            <v>42576</v>
          </cell>
          <cell r="U112">
            <v>47.221965447222225</v>
          </cell>
          <cell r="V112">
            <v>-122.81001890833333</v>
          </cell>
          <cell r="W112" t="str">
            <v>polygon</v>
          </cell>
          <cell r="X112" t="str">
            <v>retain</v>
          </cell>
          <cell r="Y112" t="str">
            <v>WGS84</v>
          </cell>
          <cell r="Z112"/>
          <cell r="AA112"/>
          <cell r="AF112" t="str">
            <v/>
          </cell>
          <cell r="AG112"/>
          <cell r="AH112"/>
          <cell r="AI112" t="str">
            <v/>
          </cell>
          <cell r="AJ112" t="str">
            <v/>
          </cell>
          <cell r="AL112"/>
        </row>
        <row r="113">
          <cell r="B113" t="str">
            <v>Joemma Beach State Park - Mid - chia - 2016</v>
          </cell>
          <cell r="C113" t="str">
            <v>JSP_chia_1</v>
          </cell>
          <cell r="D113" t="str">
            <v>single</v>
          </cell>
          <cell r="E113">
            <v>2016</v>
          </cell>
          <cell r="F113"/>
          <cell r="G113" t="str">
            <v>point</v>
          </cell>
          <cell r="H113" t="str">
            <v>Case Inlet</v>
          </cell>
          <cell r="I113" t="str">
            <v>CPS</v>
          </cell>
          <cell r="J113" t="str">
            <v>DNR</v>
          </cell>
          <cell r="K113" t="str">
            <v>DNR</v>
          </cell>
          <cell r="L113" t="str">
            <v>Nearshore Habitat Program</v>
          </cell>
          <cell r="M113"/>
          <cell r="N113"/>
          <cell r="O113"/>
          <cell r="P113"/>
          <cell r="Q113"/>
          <cell r="R113" t="str">
            <v>test</v>
          </cell>
          <cell r="S113" t="str">
            <v>test</v>
          </cell>
          <cell r="T113">
            <v>42514</v>
          </cell>
          <cell r="U113"/>
          <cell r="V113"/>
          <cell r="W113" t="str">
            <v>point</v>
          </cell>
          <cell r="X113" t="str">
            <v>retain</v>
          </cell>
          <cell r="Y113" t="str">
            <v>WGS84</v>
          </cell>
          <cell r="AA113" t="str">
            <v>rebar</v>
          </cell>
          <cell r="AB113">
            <v>9</v>
          </cell>
          <cell r="AC113">
            <v>0.25</v>
          </cell>
          <cell r="AD113">
            <v>2.25</v>
          </cell>
          <cell r="AE113">
            <v>0.56000000000000005</v>
          </cell>
          <cell r="AF113">
            <v>0.22500000000000001</v>
          </cell>
          <cell r="AG113">
            <v>9</v>
          </cell>
          <cell r="AH113">
            <v>360</v>
          </cell>
          <cell r="AI113">
            <v>160</v>
          </cell>
          <cell r="AJ113">
            <v>642.85714285714278</v>
          </cell>
          <cell r="AK113" t="str">
            <v>DuPont Wharf</v>
          </cell>
          <cell r="AL113" t="str">
            <v>Planted 9, rebar quads (0.0625 m2) at the south end of Transect 3 at Joemma Beach State Park Mid South - PNNL - large - 2015.</v>
          </cell>
        </row>
        <row r="114">
          <cell r="B114" t="str">
            <v>Joemma Beach State Park North - south - HC - test 1 - 2017</v>
          </cell>
          <cell r="C114" t="str">
            <v>JSP_north_L1</v>
          </cell>
          <cell r="D114" t="str">
            <v>single</v>
          </cell>
          <cell r="E114">
            <v>2017</v>
          </cell>
          <cell r="G114" t="str">
            <v>line</v>
          </cell>
          <cell r="H114" t="str">
            <v>Case Inlet</v>
          </cell>
          <cell r="I114" t="str">
            <v>CPS</v>
          </cell>
          <cell r="J114" t="str">
            <v>Eelgrass Restoration in Puget Sound</v>
          </cell>
          <cell r="K114" t="str">
            <v>WDFW</v>
          </cell>
          <cell r="L114" t="str">
            <v>National Estuary Program</v>
          </cell>
          <cell r="M114" t="str">
            <v>14-02072</v>
          </cell>
          <cell r="N114" t="str">
            <v>IAA 15-110</v>
          </cell>
          <cell r="O114" t="str">
            <v>Hart Crowser</v>
          </cell>
          <cell r="P114" t="str">
            <v>SC 16-17</v>
          </cell>
          <cell r="Q114" t="str">
            <v>Shannon, J., J. Blanchette and J. Gaeckle. 2018. Eelgrass (Zostera marina) Restoration in Puget Sound, WA. Final Restoration and Monitoring Report (12059-05) for US EPA, Hart Crowser, Edmonds, WA. Pp. 131.</v>
          </cell>
          <cell r="R114" t="str">
            <v>test</v>
          </cell>
          <cell r="S114" t="str">
            <v>test</v>
          </cell>
          <cell r="T114">
            <v>42859</v>
          </cell>
          <cell r="U114">
            <v>47.226233333333333</v>
          </cell>
          <cell r="V114">
            <v>-122.8146</v>
          </cell>
          <cell r="W114" t="str">
            <v>line</v>
          </cell>
          <cell r="X114" t="str">
            <v>retain</v>
          </cell>
          <cell r="Y114" t="str">
            <v>WGS84</v>
          </cell>
          <cell r="Z114">
            <v>-1.6</v>
          </cell>
          <cell r="AA114" t="str">
            <v>turf</v>
          </cell>
          <cell r="AB114">
            <v>5</v>
          </cell>
          <cell r="AC114">
            <v>5</v>
          </cell>
          <cell r="AD114">
            <v>25</v>
          </cell>
          <cell r="AE114">
            <v>39</v>
          </cell>
          <cell r="AF114">
            <v>1.04</v>
          </cell>
          <cell r="AG114">
            <v>104</v>
          </cell>
          <cell r="AH114">
            <v>1042</v>
          </cell>
          <cell r="AI114">
            <v>41.68</v>
          </cell>
          <cell r="AJ114">
            <v>26.717948717948719</v>
          </cell>
          <cell r="AK114" t="str">
            <v>Rocky Bay</v>
          </cell>
          <cell r="AL114" t="str">
            <v>Referred to as 'Joemma Beach State Park 1' in final report. Turfs plant 5-15 shoots per staple (X= ~10 shoots/staple b/c donor site was Rocky Bay). Estimated number of PUs at test-transplant site as 1042/10 = 104</v>
          </cell>
        </row>
        <row r="115">
          <cell r="B115" t="str">
            <v>Joemma Beach State Park North - north - HC - test 1 - 2017</v>
          </cell>
          <cell r="C115" t="str">
            <v>JSP_north_L1</v>
          </cell>
          <cell r="D115" t="str">
            <v>single</v>
          </cell>
          <cell r="E115">
            <v>2017</v>
          </cell>
          <cell r="G115" t="str">
            <v>line</v>
          </cell>
          <cell r="H115" t="str">
            <v>Case Inlet</v>
          </cell>
          <cell r="I115" t="str">
            <v>CPS</v>
          </cell>
          <cell r="J115" t="str">
            <v>Eelgrass Restoration in Puget Sound</v>
          </cell>
          <cell r="K115" t="str">
            <v>WDFW</v>
          </cell>
          <cell r="L115" t="str">
            <v>National Estuary Program</v>
          </cell>
          <cell r="M115" t="str">
            <v>14-02072</v>
          </cell>
          <cell r="N115" t="str">
            <v>IAA 15-110</v>
          </cell>
          <cell r="O115" t="str">
            <v>Hart Crowser</v>
          </cell>
          <cell r="P115" t="str">
            <v>SC 16-17</v>
          </cell>
          <cell r="Q115" t="str">
            <v>Shannon, J., J. Blanchette and J. Gaeckle. 2018. Eelgrass (Zostera marina) Restoration in Puget Sound, WA. Final Restoration and Monitoring Report (12059-05) for US EPA, Hart Crowser, Edmonds, WA. Pp. 131.</v>
          </cell>
          <cell r="R115" t="str">
            <v>test</v>
          </cell>
          <cell r="S115" t="str">
            <v>--</v>
          </cell>
          <cell r="T115">
            <v>42859</v>
          </cell>
          <cell r="U115">
            <v>47.226266666666668</v>
          </cell>
          <cell r="V115">
            <v>-122.81466666666699</v>
          </cell>
          <cell r="W115" t="str">
            <v>line</v>
          </cell>
          <cell r="X115" t="str">
            <v>retain</v>
          </cell>
          <cell r="Y115" t="str">
            <v>WGS84</v>
          </cell>
          <cell r="AF115" t="str">
            <v/>
          </cell>
          <cell r="AH115"/>
          <cell r="AI115" t="str">
            <v/>
          </cell>
          <cell r="AJ115" t="str">
            <v/>
          </cell>
          <cell r="AL115"/>
        </row>
        <row r="116">
          <cell r="B116" t="str">
            <v>Joemma Beach State Park North - south - HC - test 2 - 2017</v>
          </cell>
          <cell r="C116" t="str">
            <v>JSP_north_L2</v>
          </cell>
          <cell r="D116" t="str">
            <v>single</v>
          </cell>
          <cell r="E116">
            <v>2017</v>
          </cell>
          <cell r="G116" t="str">
            <v>line</v>
          </cell>
          <cell r="H116" t="str">
            <v>Case Inlet</v>
          </cell>
          <cell r="I116" t="str">
            <v>CPS</v>
          </cell>
          <cell r="J116" t="str">
            <v>Eelgrass Restoration in Puget Sound</v>
          </cell>
          <cell r="K116" t="str">
            <v>WDFW</v>
          </cell>
          <cell r="L116" t="str">
            <v>National Estuary Program</v>
          </cell>
          <cell r="M116" t="str">
            <v>14-02072</v>
          </cell>
          <cell r="N116" t="str">
            <v>IAA 15-110</v>
          </cell>
          <cell r="O116" t="str">
            <v>Hart Crowser</v>
          </cell>
          <cell r="P116" t="str">
            <v>SC 16-17</v>
          </cell>
          <cell r="Q116" t="str">
            <v>Shannon, J., J. Blanchette and J. Gaeckle. 2018. Eelgrass (Zostera marina) Restoration in Puget Sound, WA. Final Restoration and Monitoring Report (12059-05) for US EPA, Hart Crowser, Edmonds, WA. Pp. 131.</v>
          </cell>
          <cell r="R116" t="str">
            <v>test</v>
          </cell>
          <cell r="S116" t="str">
            <v>test</v>
          </cell>
          <cell r="T116">
            <v>42859</v>
          </cell>
          <cell r="U116">
            <v>47.226266666666668</v>
          </cell>
          <cell r="V116">
            <v>-122.814833333333</v>
          </cell>
          <cell r="W116" t="str">
            <v>line</v>
          </cell>
          <cell r="X116" t="str">
            <v>retain</v>
          </cell>
          <cell r="Y116" t="str">
            <v>WGS84</v>
          </cell>
          <cell r="Z116">
            <v>-1.6</v>
          </cell>
          <cell r="AA116" t="str">
            <v>turf</v>
          </cell>
          <cell r="AB116">
            <v>5</v>
          </cell>
          <cell r="AC116">
            <v>5</v>
          </cell>
          <cell r="AD116">
            <v>25</v>
          </cell>
          <cell r="AE116">
            <v>39</v>
          </cell>
          <cell r="AF116">
            <v>1.05</v>
          </cell>
          <cell r="AG116">
            <v>105</v>
          </cell>
          <cell r="AH116">
            <v>1052</v>
          </cell>
          <cell r="AI116">
            <v>42.08</v>
          </cell>
          <cell r="AJ116">
            <v>26.974358974358974</v>
          </cell>
          <cell r="AK116" t="str">
            <v>Rocky Bay</v>
          </cell>
          <cell r="AL116" t="str">
            <v>Referred to as 'Joemma Beach State Park 2' in final report. Turfs plant 5-15 shoots per staple (X= ~10 shoots/staple b/c donor site was Rocky Bay). Estimated number of PUs at test-transplant site as 1052/10 = 105</v>
          </cell>
        </row>
        <row r="117">
          <cell r="B117" t="str">
            <v>Joemma Beach State Park North - north - HC - test 2 - 2017</v>
          </cell>
          <cell r="C117" t="str">
            <v>JSP_north_L2</v>
          </cell>
          <cell r="D117" t="str">
            <v>single</v>
          </cell>
          <cell r="E117">
            <v>2017</v>
          </cell>
          <cell r="G117" t="str">
            <v>line</v>
          </cell>
          <cell r="H117" t="str">
            <v>Case Inlet</v>
          </cell>
          <cell r="I117" t="str">
            <v>CPS</v>
          </cell>
          <cell r="J117" t="str">
            <v>Eelgrass Restoration in Puget Sound</v>
          </cell>
          <cell r="K117" t="str">
            <v>WDFW</v>
          </cell>
          <cell r="L117" t="str">
            <v>National Estuary Program</v>
          </cell>
          <cell r="M117" t="str">
            <v>14-02072</v>
          </cell>
          <cell r="N117" t="str">
            <v>IAA 15-110</v>
          </cell>
          <cell r="O117" t="str">
            <v>Hart Crowser</v>
          </cell>
          <cell r="P117" t="str">
            <v>SC 16-17</v>
          </cell>
          <cell r="Q117" t="str">
            <v>Shannon, J., J. Blanchette and J. Gaeckle. 2018. Eelgrass (Zostera marina) Restoration in Puget Sound, WA. Final Restoration and Monitoring Report (12059-05) for US EPA, Hart Crowser, Edmonds, WA. Pp. 131.</v>
          </cell>
          <cell r="R117" t="str">
            <v>test</v>
          </cell>
          <cell r="S117" t="str">
            <v>--</v>
          </cell>
          <cell r="T117">
            <v>42859</v>
          </cell>
          <cell r="U117">
            <v>47.226316666666669</v>
          </cell>
          <cell r="V117">
            <v>-122.814966666667</v>
          </cell>
          <cell r="W117" t="str">
            <v>line</v>
          </cell>
          <cell r="X117" t="str">
            <v>retain</v>
          </cell>
          <cell r="Y117" t="str">
            <v>WGS84</v>
          </cell>
          <cell r="AF117" t="str">
            <v/>
          </cell>
          <cell r="AG117"/>
          <cell r="AH117"/>
          <cell r="AI117" t="str">
            <v/>
          </cell>
          <cell r="AJ117" t="str">
            <v/>
          </cell>
          <cell r="AL117"/>
        </row>
        <row r="118">
          <cell r="B118" t="str">
            <v>Joemma Beach State Park South - SE - HC - large 2 - 2017</v>
          </cell>
          <cell r="C118" t="str">
            <v>JSP_south_P2</v>
          </cell>
          <cell r="D118" t="str">
            <v>single</v>
          </cell>
          <cell r="E118">
            <v>2017</v>
          </cell>
          <cell r="G118" t="str">
            <v>polygon</v>
          </cell>
          <cell r="H118" t="str">
            <v>Case Inlet</v>
          </cell>
          <cell r="I118" t="str">
            <v>CPS</v>
          </cell>
          <cell r="J118" t="str">
            <v>Eelgrass Restoration in Puget Sound</v>
          </cell>
          <cell r="K118" t="str">
            <v>WDFW</v>
          </cell>
          <cell r="L118" t="str">
            <v>National Estuary Program</v>
          </cell>
          <cell r="M118" t="str">
            <v>14-02072</v>
          </cell>
          <cell r="N118" t="str">
            <v>IAA 15-110</v>
          </cell>
          <cell r="O118" t="str">
            <v>Hart Crowser</v>
          </cell>
          <cell r="P118" t="str">
            <v>SC 16-17</v>
          </cell>
          <cell r="Q118" t="str">
            <v>Shannon, J., J. Blanchette and J. Gaeckle. 2018. Eelgrass (Zostera marina) Restoration in Puget Sound, WA. Final Restoration and Monitoring Report (12059-05) for US EPA, Hart Crowser, Edmonds, WA. Pp. 131.</v>
          </cell>
          <cell r="R118" t="str">
            <v>large scale</v>
          </cell>
          <cell r="S118" t="str">
            <v>large scale</v>
          </cell>
          <cell r="T118">
            <v>42862</v>
          </cell>
          <cell r="U118">
            <v>47.221533333333333</v>
          </cell>
          <cell r="V118">
            <v>-122.80978333333333</v>
          </cell>
          <cell r="W118" t="str">
            <v>polygon</v>
          </cell>
          <cell r="X118" t="str">
            <v>drop</v>
          </cell>
          <cell r="Y118" t="str">
            <v>WGS84</v>
          </cell>
          <cell r="Z118">
            <v>-1.6</v>
          </cell>
          <cell r="AA118" t="str">
            <v>turf</v>
          </cell>
          <cell r="AB118">
            <v>20</v>
          </cell>
          <cell r="AC118">
            <v>8</v>
          </cell>
          <cell r="AD118">
            <v>160</v>
          </cell>
          <cell r="AE118">
            <v>80</v>
          </cell>
          <cell r="AF118">
            <v>23.67</v>
          </cell>
          <cell r="AG118">
            <v>2367</v>
          </cell>
          <cell r="AH118">
            <v>16570</v>
          </cell>
          <cell r="AI118">
            <v>103.5625</v>
          </cell>
          <cell r="AJ118">
            <v>207.125</v>
          </cell>
          <cell r="AK118" t="str">
            <v>Cutts Island</v>
          </cell>
          <cell r="AL118" t="str">
            <v>Referred to as 'Joemma Beach State Park 2' (large-scale site) in final report. Turfs plant 5-15 shoots per staple (X= ~7 shoots/staple b/c donor site was Cutts Island). Estimated number of PUs at test-transplant site as 16570/7 = 2367</v>
          </cell>
        </row>
        <row r="119">
          <cell r="B119" t="str">
            <v>Joemma Beach State Park South - SW - HC - large 2 - 2017</v>
          </cell>
          <cell r="C119" t="str">
            <v>JSP_south_P2</v>
          </cell>
          <cell r="D119" t="str">
            <v>single</v>
          </cell>
          <cell r="E119">
            <v>2017</v>
          </cell>
          <cell r="G119" t="str">
            <v>polygon</v>
          </cell>
          <cell r="H119" t="str">
            <v>Case Inlet</v>
          </cell>
          <cell r="I119" t="str">
            <v>CPS</v>
          </cell>
          <cell r="J119" t="str">
            <v>Eelgrass Restoration in Puget Sound</v>
          </cell>
          <cell r="K119" t="str">
            <v>WDFW</v>
          </cell>
          <cell r="L119" t="str">
            <v>National Estuary Program</v>
          </cell>
          <cell r="M119" t="str">
            <v>14-02072</v>
          </cell>
          <cell r="N119" t="str">
            <v>IAA 15-110</v>
          </cell>
          <cell r="O119" t="str">
            <v>Hart Crowser</v>
          </cell>
          <cell r="P119" t="str">
            <v>SC 16-17</v>
          </cell>
          <cell r="Q119" t="str">
            <v>Shannon, J., J. Blanchette and J. Gaeckle. 2018. Eelgrass (Zostera marina) Restoration in Puget Sound, WA. Final Restoration and Monitoring Report (12059-05) for US EPA, Hart Crowser, Edmonds, WA. Pp. 131.</v>
          </cell>
          <cell r="R119" t="str">
            <v>large scale</v>
          </cell>
          <cell r="S119" t="str">
            <v>--</v>
          </cell>
          <cell r="T119">
            <v>42862</v>
          </cell>
          <cell r="U119"/>
          <cell r="V119"/>
          <cell r="W119" t="str">
            <v>polygon</v>
          </cell>
          <cell r="X119" t="str">
            <v>drop</v>
          </cell>
          <cell r="Y119" t="str">
            <v>WGS84</v>
          </cell>
          <cell r="AA119"/>
          <cell r="AF119" t="str">
            <v/>
          </cell>
          <cell r="AG119"/>
          <cell r="AH119"/>
          <cell r="AI119" t="str">
            <v/>
          </cell>
          <cell r="AJ119" t="str">
            <v/>
          </cell>
          <cell r="AL119" t="str">
            <v>don't have gps coordinates</v>
          </cell>
        </row>
        <row r="120">
          <cell r="B120" t="str">
            <v>Joemma Beach State Park South - NE - HC - large 2 - 2017</v>
          </cell>
          <cell r="C120" t="str">
            <v>JSP_south_P2</v>
          </cell>
          <cell r="D120" t="str">
            <v>single</v>
          </cell>
          <cell r="E120">
            <v>2017</v>
          </cell>
          <cell r="G120" t="str">
            <v>polygon</v>
          </cell>
          <cell r="H120" t="str">
            <v>Case Inlet</v>
          </cell>
          <cell r="I120" t="str">
            <v>CPS</v>
          </cell>
          <cell r="J120" t="str">
            <v>Eelgrass Restoration in Puget Sound</v>
          </cell>
          <cell r="K120" t="str">
            <v>WDFW</v>
          </cell>
          <cell r="L120" t="str">
            <v>National Estuary Program</v>
          </cell>
          <cell r="M120" t="str">
            <v>14-02072</v>
          </cell>
          <cell r="N120" t="str">
            <v>IAA 15-110</v>
          </cell>
          <cell r="O120" t="str">
            <v>Hart Crowser</v>
          </cell>
          <cell r="P120" t="str">
            <v>SC 16-17</v>
          </cell>
          <cell r="Q120" t="str">
            <v>Shannon, J., J. Blanchette and J. Gaeckle. 2018. Eelgrass (Zostera marina) Restoration in Puget Sound, WA. Final Restoration and Monitoring Report (12059-05) for US EPA, Hart Crowser, Edmonds, WA. Pp. 131.</v>
          </cell>
          <cell r="R120" t="str">
            <v>large scale</v>
          </cell>
          <cell r="S120" t="str">
            <v>--</v>
          </cell>
          <cell r="T120">
            <v>42862</v>
          </cell>
          <cell r="U120">
            <v>47.221733333333333</v>
          </cell>
          <cell r="V120">
            <v>-122.80993333333333</v>
          </cell>
          <cell r="W120" t="str">
            <v>polygon</v>
          </cell>
          <cell r="X120" t="str">
            <v>drop</v>
          </cell>
          <cell r="Y120" t="str">
            <v>WGS84</v>
          </cell>
          <cell r="AF120" t="str">
            <v/>
          </cell>
          <cell r="AG120"/>
          <cell r="AH120"/>
          <cell r="AI120" t="str">
            <v/>
          </cell>
          <cell r="AJ120" t="str">
            <v/>
          </cell>
          <cell r="AL120" t="str">
            <v>don't have gps coordinates</v>
          </cell>
        </row>
        <row r="121">
          <cell r="B121" t="str">
            <v>Joemma Beach State Park South - NW - HC - large 2 - 2017</v>
          </cell>
          <cell r="C121" t="str">
            <v>JSP_south_P2</v>
          </cell>
          <cell r="D121" t="str">
            <v>single</v>
          </cell>
          <cell r="E121">
            <v>2017</v>
          </cell>
          <cell r="G121" t="str">
            <v>polygon</v>
          </cell>
          <cell r="H121" t="str">
            <v>Case Inlet</v>
          </cell>
          <cell r="I121" t="str">
            <v>CPS</v>
          </cell>
          <cell r="J121" t="str">
            <v>Eelgrass Restoration in Puget Sound</v>
          </cell>
          <cell r="K121" t="str">
            <v>WDFW</v>
          </cell>
          <cell r="L121" t="str">
            <v>National Estuary Program</v>
          </cell>
          <cell r="M121" t="str">
            <v>14-02072</v>
          </cell>
          <cell r="N121" t="str">
            <v>IAA 15-110</v>
          </cell>
          <cell r="O121" t="str">
            <v>Hart Crowser</v>
          </cell>
          <cell r="P121" t="str">
            <v>SC 16-17</v>
          </cell>
          <cell r="Q121" t="str">
            <v>Shannon, J., J. Blanchette and J. Gaeckle. 2018. Eelgrass (Zostera marina) Restoration in Puget Sound, WA. Final Restoration and Monitoring Report (12059-05) for US EPA, Hart Crowser, Edmonds, WA. Pp. 131.</v>
          </cell>
          <cell r="R121" t="str">
            <v>large scale</v>
          </cell>
          <cell r="S121" t="str">
            <v>--</v>
          </cell>
          <cell r="T121">
            <v>42862</v>
          </cell>
          <cell r="U121"/>
          <cell r="V121"/>
          <cell r="W121" t="str">
            <v>polygon</v>
          </cell>
          <cell r="X121" t="str">
            <v>drop</v>
          </cell>
          <cell r="Y121" t="str">
            <v>WGS84</v>
          </cell>
          <cell r="AF121" t="str">
            <v/>
          </cell>
          <cell r="AG121"/>
          <cell r="AH121"/>
          <cell r="AI121" t="str">
            <v/>
          </cell>
          <cell r="AJ121" t="str">
            <v/>
          </cell>
          <cell r="AL121" t="str">
            <v>don't have gps coordinates</v>
          </cell>
        </row>
        <row r="122">
          <cell r="B122" t="str">
            <v>Joemma Beach State Park South - SE - HC - large 3 - 2017</v>
          </cell>
          <cell r="C122" t="str">
            <v>JSP_south_P3</v>
          </cell>
          <cell r="D122" t="str">
            <v>single</v>
          </cell>
          <cell r="E122">
            <v>2017</v>
          </cell>
          <cell r="G122" t="str">
            <v>polygon</v>
          </cell>
          <cell r="H122" t="str">
            <v>Case Inlet</v>
          </cell>
          <cell r="I122" t="str">
            <v>CPS</v>
          </cell>
          <cell r="J122" t="str">
            <v>Eelgrass Restoration in Puget Sound</v>
          </cell>
          <cell r="K122" t="str">
            <v>WDFW</v>
          </cell>
          <cell r="L122" t="str">
            <v>National Estuary Program</v>
          </cell>
          <cell r="M122" t="str">
            <v>14-02072</v>
          </cell>
          <cell r="N122" t="str">
            <v>IAA 15-110</v>
          </cell>
          <cell r="O122" t="str">
            <v>Hart Crowser</v>
          </cell>
          <cell r="P122" t="str">
            <v>SC 16-17</v>
          </cell>
          <cell r="Q122" t="str">
            <v>Shannon, J., J. Blanchette and J. Gaeckle. 2018. Eelgrass (Zostera marina) Restoration in Puget Sound, WA. Final Restoration and Monitoring Report (12059-05) for US EPA, Hart Crowser, Edmonds, WA. Pp. 131.</v>
          </cell>
          <cell r="R122" t="str">
            <v>large scale</v>
          </cell>
          <cell r="S122" t="str">
            <v>large scale</v>
          </cell>
          <cell r="T122">
            <v>42874</v>
          </cell>
          <cell r="U122">
            <v>47.221559999999997</v>
          </cell>
          <cell r="V122">
            <v>-122.80979000000001</v>
          </cell>
          <cell r="W122" t="str">
            <v>polygon</v>
          </cell>
          <cell r="X122" t="str">
            <v>retain</v>
          </cell>
          <cell r="Y122" t="str">
            <v>WGS84</v>
          </cell>
          <cell r="Z122">
            <v>-1.6</v>
          </cell>
          <cell r="AA122" t="str">
            <v>turf</v>
          </cell>
          <cell r="AB122">
            <v>20</v>
          </cell>
          <cell r="AC122">
            <v>8</v>
          </cell>
          <cell r="AD122">
            <v>160</v>
          </cell>
          <cell r="AE122">
            <v>77.5</v>
          </cell>
          <cell r="AF122">
            <v>29.560000000000002</v>
          </cell>
          <cell r="AG122">
            <v>2956</v>
          </cell>
          <cell r="AH122">
            <v>24734</v>
          </cell>
          <cell r="AI122">
            <v>154.58750000000001</v>
          </cell>
          <cell r="AJ122">
            <v>319.14838709677417</v>
          </cell>
          <cell r="AK122" t="str">
            <v>DuPont Wharf</v>
          </cell>
          <cell r="AL122" t="str">
            <v>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v>
          </cell>
        </row>
        <row r="123">
          <cell r="B123" t="str">
            <v>Joemma Beach State Park South - SW - HC - large 3 - 2017</v>
          </cell>
          <cell r="C123" t="str">
            <v>JSP_south_P3</v>
          </cell>
          <cell r="D123" t="str">
            <v>single</v>
          </cell>
          <cell r="E123">
            <v>2017</v>
          </cell>
          <cell r="G123" t="str">
            <v>polygon</v>
          </cell>
          <cell r="H123" t="str">
            <v>Case Inlet</v>
          </cell>
          <cell r="I123" t="str">
            <v>CPS</v>
          </cell>
          <cell r="J123" t="str">
            <v>Eelgrass Restoration in Puget Sound</v>
          </cell>
          <cell r="K123" t="str">
            <v>WDFW</v>
          </cell>
          <cell r="L123" t="str">
            <v>National Estuary Program</v>
          </cell>
          <cell r="M123" t="str">
            <v>14-02072</v>
          </cell>
          <cell r="N123" t="str">
            <v>IAA 15-110</v>
          </cell>
          <cell r="O123" t="str">
            <v>Hart Crowser</v>
          </cell>
          <cell r="P123" t="str">
            <v>SC 16-17</v>
          </cell>
          <cell r="Q123" t="str">
            <v>Shannon, J., J. Blanchette and J. Gaeckle. 2018. Eelgrass (Zostera marina) Restoration in Puget Sound, WA. Final Restoration and Monitoring Report (12059-05) for US EPA, Hart Crowser, Edmonds, WA. Pp. 131.</v>
          </cell>
          <cell r="R123" t="str">
            <v>large scale</v>
          </cell>
          <cell r="S123" t="str">
            <v>--</v>
          </cell>
          <cell r="T123">
            <v>42874</v>
          </cell>
          <cell r="U123"/>
          <cell r="V123"/>
          <cell r="W123" t="str">
            <v>polygon</v>
          </cell>
          <cell r="X123" t="str">
            <v>drop</v>
          </cell>
          <cell r="Y123" t="str">
            <v>WGS84</v>
          </cell>
          <cell r="AF123" t="str">
            <v/>
          </cell>
          <cell r="AG123"/>
          <cell r="AH123"/>
          <cell r="AI123" t="str">
            <v/>
          </cell>
          <cell r="AJ123" t="str">
            <v/>
          </cell>
          <cell r="AL123"/>
        </row>
        <row r="124">
          <cell r="B124" t="str">
            <v>Joemma Beach State Park South - NE - HC - large 3 - 2017</v>
          </cell>
          <cell r="C124" t="str">
            <v>JSP_south_P3</v>
          </cell>
          <cell r="D124" t="str">
            <v>single</v>
          </cell>
          <cell r="E124">
            <v>2017</v>
          </cell>
          <cell r="G124" t="str">
            <v>polygon</v>
          </cell>
          <cell r="H124" t="str">
            <v>Case Inlet</v>
          </cell>
          <cell r="I124" t="str">
            <v>CPS</v>
          </cell>
          <cell r="J124" t="str">
            <v>Eelgrass Restoration in Puget Sound</v>
          </cell>
          <cell r="K124" t="str">
            <v>WDFW</v>
          </cell>
          <cell r="L124" t="str">
            <v>National Estuary Program</v>
          </cell>
          <cell r="M124" t="str">
            <v>14-02072</v>
          </cell>
          <cell r="N124" t="str">
            <v>IAA 15-110</v>
          </cell>
          <cell r="O124" t="str">
            <v>Hart Crowser</v>
          </cell>
          <cell r="P124" t="str">
            <v>SC 16-17</v>
          </cell>
          <cell r="Q124" t="str">
            <v>Shannon, J., J. Blanchette and J. Gaeckle. 2018. Eelgrass (Zostera marina) Restoration in Puget Sound, WA. Final Restoration and Monitoring Report (12059-05) for US EPA, Hart Crowser, Edmonds, WA. Pp. 131.</v>
          </cell>
          <cell r="R124" t="str">
            <v>large scale</v>
          </cell>
          <cell r="S124" t="str">
            <v>--</v>
          </cell>
          <cell r="T124">
            <v>42874</v>
          </cell>
          <cell r="U124">
            <v>47.221760000000003</v>
          </cell>
          <cell r="V124">
            <v>-122.80991</v>
          </cell>
          <cell r="W124" t="str">
            <v>polygon</v>
          </cell>
          <cell r="X124" t="str">
            <v>drop</v>
          </cell>
          <cell r="Y124" t="str">
            <v>WGS84</v>
          </cell>
          <cell r="AF124" t="str">
            <v/>
          </cell>
          <cell r="AG124"/>
          <cell r="AH124"/>
          <cell r="AI124" t="str">
            <v/>
          </cell>
          <cell r="AJ124" t="str">
            <v/>
          </cell>
          <cell r="AL124"/>
        </row>
        <row r="125">
          <cell r="B125" t="str">
            <v>Joemma Beach State Park South - NW - HC - large 3 - 2017</v>
          </cell>
          <cell r="C125" t="str">
            <v>JSP_south_P3</v>
          </cell>
          <cell r="D125" t="str">
            <v>single</v>
          </cell>
          <cell r="E125">
            <v>2017</v>
          </cell>
          <cell r="G125" t="str">
            <v>polygon</v>
          </cell>
          <cell r="H125" t="str">
            <v>Case Inlet</v>
          </cell>
          <cell r="I125" t="str">
            <v>CPS</v>
          </cell>
          <cell r="J125" t="str">
            <v>Eelgrass Restoration in Puget Sound</v>
          </cell>
          <cell r="K125" t="str">
            <v>WDFW</v>
          </cell>
          <cell r="L125" t="str">
            <v>National Estuary Program</v>
          </cell>
          <cell r="M125" t="str">
            <v>14-02072</v>
          </cell>
          <cell r="N125" t="str">
            <v>IAA 15-110</v>
          </cell>
          <cell r="O125" t="str">
            <v>Hart Crowser</v>
          </cell>
          <cell r="P125" t="str">
            <v>SC 16-17</v>
          </cell>
          <cell r="Q125" t="str">
            <v>Shannon, J., J. Blanchette and J. Gaeckle. 2018. Eelgrass (Zostera marina) Restoration in Puget Sound, WA. Final Restoration and Monitoring Report (12059-05) for US EPA, Hart Crowser, Edmonds, WA. Pp. 131.</v>
          </cell>
          <cell r="R125" t="str">
            <v>large scale</v>
          </cell>
          <cell r="S125" t="str">
            <v>--</v>
          </cell>
          <cell r="T125">
            <v>42874</v>
          </cell>
          <cell r="U125"/>
          <cell r="V125"/>
          <cell r="W125" t="str">
            <v>polygon</v>
          </cell>
          <cell r="X125" t="str">
            <v>drop</v>
          </cell>
          <cell r="Y125" t="str">
            <v>WGS84</v>
          </cell>
          <cell r="AF125" t="str">
            <v/>
          </cell>
          <cell r="AG125"/>
          <cell r="AH125"/>
          <cell r="AI125" t="str">
            <v/>
          </cell>
          <cell r="AJ125" t="str">
            <v/>
          </cell>
          <cell r="AL125"/>
        </row>
        <row r="126">
          <cell r="B126" t="str">
            <v>Joemma Beach State Park South - SE - HC - large 4 - 2017</v>
          </cell>
          <cell r="C126" t="str">
            <v>JSP_south_P4</v>
          </cell>
          <cell r="D126" t="str">
            <v>single</v>
          </cell>
          <cell r="E126">
            <v>2017</v>
          </cell>
          <cell r="G126" t="str">
            <v>polygon</v>
          </cell>
          <cell r="H126" t="str">
            <v>Case Inlet</v>
          </cell>
          <cell r="I126" t="str">
            <v>CPS</v>
          </cell>
          <cell r="J126" t="str">
            <v>Eelgrass Restoration in Puget Sound</v>
          </cell>
          <cell r="K126" t="str">
            <v>WDFW</v>
          </cell>
          <cell r="L126" t="str">
            <v>National Estuary Program</v>
          </cell>
          <cell r="M126" t="str">
            <v>14-02072</v>
          </cell>
          <cell r="N126" t="str">
            <v>IAA 15-110</v>
          </cell>
          <cell r="O126" t="str">
            <v>Hart Crowser</v>
          </cell>
          <cell r="P126" t="str">
            <v>SC 16-17</v>
          </cell>
          <cell r="Q126" t="str">
            <v>Shannon, J., J. Blanchette and J. Gaeckle. 2018. Eelgrass (Zostera marina) Restoration in Puget Sound, WA. Final Restoration and Monitoring Report (12059-05) for US EPA, Hart Crowser, Edmonds, WA. Pp. 131.</v>
          </cell>
          <cell r="R126" t="str">
            <v>large scale</v>
          </cell>
          <cell r="S126" t="str">
            <v>large scale</v>
          </cell>
          <cell r="T126">
            <v>42877</v>
          </cell>
          <cell r="U126">
            <v>47.221207525600001</v>
          </cell>
          <cell r="V126">
            <v>-122.80959413390001</v>
          </cell>
          <cell r="W126" t="str">
            <v>polygon</v>
          </cell>
          <cell r="X126" t="str">
            <v>retain</v>
          </cell>
          <cell r="Y126" t="str">
            <v>WGS84</v>
          </cell>
          <cell r="Z126">
            <v>-1.6</v>
          </cell>
          <cell r="AA126" t="str">
            <v>turf</v>
          </cell>
          <cell r="AB126">
            <v>20</v>
          </cell>
          <cell r="AC126">
            <v>8</v>
          </cell>
          <cell r="AD126">
            <v>160</v>
          </cell>
          <cell r="AE126">
            <v>80</v>
          </cell>
          <cell r="AF126">
            <v>26.150000000000002</v>
          </cell>
          <cell r="AG126">
            <v>2615</v>
          </cell>
          <cell r="AH126">
            <v>26149</v>
          </cell>
          <cell r="AI126">
            <v>163.43125000000001</v>
          </cell>
          <cell r="AJ126">
            <v>326.86250000000001</v>
          </cell>
          <cell r="AK126" t="str">
            <v>Rocky Bay</v>
          </cell>
          <cell r="AL126" t="str">
            <v>Referred to as 'Joemma Beach State Park 3' (large-scale site) in final report. Turfs plant 5-15 shoots per staple (X= ~7 shoots/staple b/c donor site was DuPont Wharf). Estimated number of PUs at test-transplant site as 26149/10 = 2615</v>
          </cell>
        </row>
        <row r="127">
          <cell r="B127" t="str">
            <v>Joemma Beach State Park South - SW - HC - large 4 - 2017</v>
          </cell>
          <cell r="C127" t="str">
            <v>JSP_south_P4</v>
          </cell>
          <cell r="D127" t="str">
            <v>single</v>
          </cell>
          <cell r="E127">
            <v>2017</v>
          </cell>
          <cell r="G127" t="str">
            <v>polygon</v>
          </cell>
          <cell r="H127" t="str">
            <v>Case Inlet</v>
          </cell>
          <cell r="I127" t="str">
            <v>CPS</v>
          </cell>
          <cell r="J127" t="str">
            <v>Eelgrass Restoration in Puget Sound</v>
          </cell>
          <cell r="K127" t="str">
            <v>WDFW</v>
          </cell>
          <cell r="L127" t="str">
            <v>National Estuary Program</v>
          </cell>
          <cell r="M127" t="str">
            <v>14-02072</v>
          </cell>
          <cell r="N127" t="str">
            <v>IAA 15-110</v>
          </cell>
          <cell r="O127" t="str">
            <v>Hart Crowser</v>
          </cell>
          <cell r="P127" t="str">
            <v>SC 16-17</v>
          </cell>
          <cell r="Q127" t="str">
            <v>Shannon, J., J. Blanchette and J. Gaeckle. 2018. Eelgrass (Zostera marina) Restoration in Puget Sound, WA. Final Restoration and Monitoring Report (12059-05) for US EPA, Hart Crowser, Edmonds, WA. Pp. 131.</v>
          </cell>
          <cell r="R127" t="str">
            <v>large scale</v>
          </cell>
          <cell r="S127" t="str">
            <v>--</v>
          </cell>
          <cell r="T127">
            <v>42877</v>
          </cell>
          <cell r="U127">
            <v>47.221167879200003</v>
          </cell>
          <cell r="V127">
            <v>-122.8096705768</v>
          </cell>
          <cell r="W127" t="str">
            <v>polygon</v>
          </cell>
          <cell r="X127" t="str">
            <v>drop</v>
          </cell>
          <cell r="Y127" t="str">
            <v>WGS84</v>
          </cell>
          <cell r="AF127" t="str">
            <v/>
          </cell>
          <cell r="AG127"/>
          <cell r="AH127"/>
          <cell r="AI127" t="str">
            <v/>
          </cell>
          <cell r="AJ127" t="str">
            <v/>
          </cell>
        </row>
        <row r="128">
          <cell r="B128" t="str">
            <v>Joemma Beach State Park South - NE - HC - large 4 - 2017</v>
          </cell>
          <cell r="C128" t="str">
            <v>JSP_south_P4</v>
          </cell>
          <cell r="D128" t="str">
            <v>single</v>
          </cell>
          <cell r="E128">
            <v>2017</v>
          </cell>
          <cell r="G128" t="str">
            <v>polygon</v>
          </cell>
          <cell r="H128" t="str">
            <v>Case Inlet</v>
          </cell>
          <cell r="I128" t="str">
            <v>CPS</v>
          </cell>
          <cell r="J128" t="str">
            <v>Eelgrass Restoration in Puget Sound</v>
          </cell>
          <cell r="K128" t="str">
            <v>WDFW</v>
          </cell>
          <cell r="L128" t="str">
            <v>National Estuary Program</v>
          </cell>
          <cell r="M128" t="str">
            <v>14-02072</v>
          </cell>
          <cell r="N128" t="str">
            <v>IAA 15-110</v>
          </cell>
          <cell r="O128" t="str">
            <v>Hart Crowser</v>
          </cell>
          <cell r="P128" t="str">
            <v>SC 16-17</v>
          </cell>
          <cell r="Q128" t="str">
            <v>Shannon, J., J. Blanchette and J. Gaeckle. 2018. Eelgrass (Zostera marina) Restoration in Puget Sound, WA. Final Restoration and Monitoring Report (12059-05) for US EPA, Hart Crowser, Edmonds, WA. Pp. 131.</v>
          </cell>
          <cell r="R128" t="str">
            <v>large scale</v>
          </cell>
          <cell r="S128" t="str">
            <v>--</v>
          </cell>
          <cell r="T128">
            <v>42877</v>
          </cell>
          <cell r="U128">
            <v>47.221339999999998</v>
          </cell>
          <cell r="V128">
            <v>-122.8096</v>
          </cell>
          <cell r="W128" t="str">
            <v>polygon</v>
          </cell>
          <cell r="X128" t="str">
            <v>drop</v>
          </cell>
          <cell r="Y128" t="str">
            <v>WGS84</v>
          </cell>
          <cell r="AF128" t="str">
            <v/>
          </cell>
          <cell r="AG128"/>
          <cell r="AH128"/>
          <cell r="AI128" t="str">
            <v/>
          </cell>
          <cell r="AJ128" t="str">
            <v/>
          </cell>
          <cell r="AL128"/>
        </row>
        <row r="129">
          <cell r="B129" t="str">
            <v>Joemma Beach State Park South - NW - HC - large 4 - 2017</v>
          </cell>
          <cell r="C129" t="str">
            <v>JSP_south_P4</v>
          </cell>
          <cell r="D129" t="str">
            <v>single</v>
          </cell>
          <cell r="E129">
            <v>2017</v>
          </cell>
          <cell r="G129" t="str">
            <v>polygon</v>
          </cell>
          <cell r="H129" t="str">
            <v>Case Inlet</v>
          </cell>
          <cell r="I129" t="str">
            <v>CPS</v>
          </cell>
          <cell r="J129" t="str">
            <v>Eelgrass Restoration in Puget Sound</v>
          </cell>
          <cell r="K129" t="str">
            <v>WDFW</v>
          </cell>
          <cell r="L129" t="str">
            <v>National Estuary Program</v>
          </cell>
          <cell r="M129" t="str">
            <v>14-02072</v>
          </cell>
          <cell r="N129" t="str">
            <v>IAA 15-110</v>
          </cell>
          <cell r="O129" t="str">
            <v>Hart Crowser</v>
          </cell>
          <cell r="P129" t="str">
            <v>SC 16-17</v>
          </cell>
          <cell r="Q129" t="str">
            <v>Shannon, J., J. Blanchette and J. Gaeckle. 2018. Eelgrass (Zostera marina) Restoration in Puget Sound, WA. Final Restoration and Monitoring Report (12059-05) for US EPA, Hart Crowser, Edmonds, WA. Pp. 131.</v>
          </cell>
          <cell r="R129" t="str">
            <v>large scale</v>
          </cell>
          <cell r="S129" t="str">
            <v>--</v>
          </cell>
          <cell r="T129">
            <v>42877</v>
          </cell>
          <cell r="U129"/>
          <cell r="V129"/>
          <cell r="W129" t="str">
            <v>polygon</v>
          </cell>
          <cell r="X129" t="str">
            <v>drop</v>
          </cell>
          <cell r="Y129" t="str">
            <v>WGS84</v>
          </cell>
          <cell r="AF129" t="str">
            <v/>
          </cell>
          <cell r="AG129"/>
          <cell r="AH129"/>
          <cell r="AI129" t="str">
            <v/>
          </cell>
          <cell r="AJ129" t="str">
            <v/>
          </cell>
          <cell r="AL129"/>
        </row>
        <row r="130">
          <cell r="B130" t="str">
            <v>Joemma Beach State Park Mid - DNR - BESE - AG - 1 - 2017</v>
          </cell>
          <cell r="C130" t="str">
            <v>JSP_mid_AG1</v>
          </cell>
          <cell r="D130" t="str">
            <v>single</v>
          </cell>
          <cell r="E130">
            <v>2017</v>
          </cell>
          <cell r="F130"/>
          <cell r="G130" t="str">
            <v>point</v>
          </cell>
          <cell r="H130" t="str">
            <v>Case Inlet</v>
          </cell>
          <cell r="I130" t="str">
            <v>CPS</v>
          </cell>
          <cell r="J130" t="str">
            <v>BESE: Biodegradable ecosystem engineering elements</v>
          </cell>
          <cell r="K130" t="str">
            <v>DNR</v>
          </cell>
          <cell r="L130" t="str">
            <v>Nearshore Habitat Program</v>
          </cell>
          <cell r="M130"/>
          <cell r="N130"/>
          <cell r="O130"/>
          <cell r="P130"/>
          <cell r="Q130"/>
          <cell r="R130" t="str">
            <v>test</v>
          </cell>
          <cell r="S130" t="str">
            <v>test</v>
          </cell>
          <cell r="T130">
            <v>42880</v>
          </cell>
          <cell r="U130">
            <v>47.222461000000003</v>
          </cell>
          <cell r="V130">
            <v>-122.810239</v>
          </cell>
          <cell r="W130" t="str">
            <v>point</v>
          </cell>
          <cell r="X130" t="str">
            <v>retain</v>
          </cell>
          <cell r="Y130" t="str">
            <v>WGS84</v>
          </cell>
          <cell r="Z130">
            <v>-1.1499999999999999</v>
          </cell>
          <cell r="AA130" t="str">
            <v>staple</v>
          </cell>
          <cell r="AB130">
            <v>1</v>
          </cell>
          <cell r="AC130">
            <v>1</v>
          </cell>
          <cell r="AD130">
            <v>1</v>
          </cell>
          <cell r="AE130">
            <v>8.0000000000000002E-3</v>
          </cell>
          <cell r="AF130">
            <v>1.4999999999999999E-2</v>
          </cell>
          <cell r="AG130">
            <v>3</v>
          </cell>
          <cell r="AH130">
            <v>12</v>
          </cell>
          <cell r="AI130">
            <v>12</v>
          </cell>
          <cell r="AJ130">
            <v>1500</v>
          </cell>
          <cell r="AK130" t="str">
            <v>DuPont Wharf</v>
          </cell>
          <cell r="AL130" t="str">
            <v>Biodegradable ecosystem engineering elements (BESE) for Marjolijn Christianen, Wageningen University &amp; Research, Netherlands. Overall area was 1 m2. Actual was 0.1 m2 (10 x 10 cm area in center of BESE. 3 planting units with 4 shoots each. DuPont Wharf shoots.</v>
          </cell>
        </row>
        <row r="131">
          <cell r="B131" t="str">
            <v>Joemma Beach State Park Mid - DNR - BESE - BG - 1 - 2017</v>
          </cell>
          <cell r="C131" t="str">
            <v>JSP_mid_BG1</v>
          </cell>
          <cell r="D131" t="str">
            <v>single</v>
          </cell>
          <cell r="E131">
            <v>2017</v>
          </cell>
          <cell r="F131"/>
          <cell r="G131" t="str">
            <v>point</v>
          </cell>
          <cell r="H131" t="str">
            <v>Case Inlet</v>
          </cell>
          <cell r="I131" t="str">
            <v>CPS</v>
          </cell>
          <cell r="J131" t="str">
            <v>BESE: Biodegradable ecosystem engineering elements</v>
          </cell>
          <cell r="K131" t="str">
            <v>DNR</v>
          </cell>
          <cell r="L131" t="str">
            <v>Nearshore Habitat Program</v>
          </cell>
          <cell r="M131"/>
          <cell r="N131"/>
          <cell r="O131"/>
          <cell r="P131"/>
          <cell r="Q131"/>
          <cell r="R131" t="str">
            <v>test</v>
          </cell>
          <cell r="S131" t="str">
            <v>--</v>
          </cell>
          <cell r="T131">
            <v>42880</v>
          </cell>
          <cell r="U131">
            <v>47.222489000000003</v>
          </cell>
          <cell r="V131">
            <v>-122.81026199999999</v>
          </cell>
          <cell r="W131" t="str">
            <v>point</v>
          </cell>
          <cell r="X131" t="str">
            <v>retain</v>
          </cell>
          <cell r="Y131" t="str">
            <v>WGS84</v>
          </cell>
          <cell r="AA131" t="str">
            <v>staple</v>
          </cell>
          <cell r="AB131">
            <v>1</v>
          </cell>
          <cell r="AC131">
            <v>1</v>
          </cell>
          <cell r="AD131">
            <v>1</v>
          </cell>
          <cell r="AE131">
            <v>8.0000000000000002E-3</v>
          </cell>
          <cell r="AF131">
            <v>1.4999999999999999E-2</v>
          </cell>
          <cell r="AG131">
            <v>3</v>
          </cell>
          <cell r="AH131">
            <v>12</v>
          </cell>
          <cell r="AI131">
            <v>12</v>
          </cell>
          <cell r="AJ131">
            <v>1500</v>
          </cell>
          <cell r="AK131" t="str">
            <v>DuPont Wharf</v>
          </cell>
          <cell r="AL131" t="str">
            <v>Biodegradable ecosystem engineering elements (BESE) for Marjolijn Christianen, Wageningen University &amp; Research, Netherlands. Overall area was 1 m2. Actual was 0.1 m2 (10 x 10 cm area in center of BESE. 3 planting units with 4 shoots each. DuPont Wharf shoots.</v>
          </cell>
        </row>
        <row r="132">
          <cell r="B132" t="str">
            <v>Joemma Beach State Park Mid - DNR - BESE - C - 1 - 2017</v>
          </cell>
          <cell r="C132" t="str">
            <v>JSP_mid_C1</v>
          </cell>
          <cell r="D132" t="str">
            <v>single</v>
          </cell>
          <cell r="E132">
            <v>2017</v>
          </cell>
          <cell r="F132"/>
          <cell r="G132" t="str">
            <v>point</v>
          </cell>
          <cell r="H132" t="str">
            <v>Case Inlet</v>
          </cell>
          <cell r="I132" t="str">
            <v>CPS</v>
          </cell>
          <cell r="J132" t="str">
            <v>BESE: Biodegradable ecosystem engineering elements</v>
          </cell>
          <cell r="K132" t="str">
            <v>DNR</v>
          </cell>
          <cell r="L132" t="str">
            <v>Nearshore Habitat Program</v>
          </cell>
          <cell r="M132"/>
          <cell r="N132"/>
          <cell r="O132"/>
          <cell r="P132"/>
          <cell r="Q132"/>
          <cell r="R132" t="str">
            <v>test</v>
          </cell>
          <cell r="S132" t="str">
            <v>--</v>
          </cell>
          <cell r="T132">
            <v>42880</v>
          </cell>
          <cell r="U132">
            <v>47.222512000000002</v>
          </cell>
          <cell r="V132">
            <v>-122.810267</v>
          </cell>
          <cell r="W132" t="str">
            <v>point</v>
          </cell>
          <cell r="X132" t="str">
            <v>retain</v>
          </cell>
          <cell r="Y132" t="str">
            <v>WGS84</v>
          </cell>
          <cell r="AA132" t="str">
            <v>staple</v>
          </cell>
          <cell r="AB132">
            <v>1</v>
          </cell>
          <cell r="AC132">
            <v>1</v>
          </cell>
          <cell r="AD132">
            <v>1</v>
          </cell>
          <cell r="AE132">
            <v>8.0000000000000002E-3</v>
          </cell>
          <cell r="AF132">
            <v>1.4999999999999999E-2</v>
          </cell>
          <cell r="AG132">
            <v>3</v>
          </cell>
          <cell r="AH132">
            <v>12</v>
          </cell>
          <cell r="AI132">
            <v>12</v>
          </cell>
          <cell r="AJ132">
            <v>1500</v>
          </cell>
          <cell r="AK132" t="str">
            <v>DuPont Wharf</v>
          </cell>
          <cell r="AL132" t="str">
            <v>Biodegradable ecosystem engineering elements (BESE) for Marjolijn Christianen, Wageningen University &amp; Research, Netherlands. Overall area was 1 m2. Actual was 0.1 m2 (10 x 10 cm area in center of BESE. 3 planting units with 4 shoots each. DuPont Wharf shoots.</v>
          </cell>
        </row>
        <row r="133">
          <cell r="B133" t="str">
            <v>Joemma Beach State Park Mid - DNR - BESE - AG - 2 - 2017</v>
          </cell>
          <cell r="C133" t="str">
            <v>JSP_mid_AG2</v>
          </cell>
          <cell r="D133" t="str">
            <v>single</v>
          </cell>
          <cell r="E133">
            <v>2017</v>
          </cell>
          <cell r="F133"/>
          <cell r="G133" t="str">
            <v>point</v>
          </cell>
          <cell r="H133" t="str">
            <v>Case Inlet</v>
          </cell>
          <cell r="I133" t="str">
            <v>CPS</v>
          </cell>
          <cell r="J133" t="str">
            <v>BESE: Biodegradable ecosystem engineering elements</v>
          </cell>
          <cell r="K133" t="str">
            <v>DNR</v>
          </cell>
          <cell r="L133" t="str">
            <v>Nearshore Habitat Program</v>
          </cell>
          <cell r="M133"/>
          <cell r="N133"/>
          <cell r="O133"/>
          <cell r="P133"/>
          <cell r="Q133"/>
          <cell r="R133" t="str">
            <v>test</v>
          </cell>
          <cell r="S133" t="str">
            <v>--</v>
          </cell>
          <cell r="T133">
            <v>42880</v>
          </cell>
          <cell r="U133">
            <v>47.222541999999997</v>
          </cell>
          <cell r="V133">
            <v>-122.81027899999999</v>
          </cell>
          <cell r="W133" t="str">
            <v>point</v>
          </cell>
          <cell r="X133" t="str">
            <v>retain</v>
          </cell>
          <cell r="Y133" t="str">
            <v>WGS84</v>
          </cell>
          <cell r="AA133" t="str">
            <v>staple</v>
          </cell>
          <cell r="AB133">
            <v>1</v>
          </cell>
          <cell r="AC133">
            <v>1</v>
          </cell>
          <cell r="AD133">
            <v>1</v>
          </cell>
          <cell r="AE133">
            <v>8.0000000000000002E-3</v>
          </cell>
          <cell r="AF133">
            <v>1.4999999999999999E-2</v>
          </cell>
          <cell r="AG133">
            <v>3</v>
          </cell>
          <cell r="AH133">
            <v>12</v>
          </cell>
          <cell r="AI133">
            <v>12</v>
          </cell>
          <cell r="AJ133">
            <v>1500</v>
          </cell>
          <cell r="AK133" t="str">
            <v>DuPont Wharf</v>
          </cell>
          <cell r="AL133" t="str">
            <v>Biodegradable ecosystem engineering elements (BESE) for Marjolijn Christianen, Wageningen University &amp; Research, Netherlands. Overall area was 1 m2. Actual was 0.1 m2 (10 x 10 cm area in center of BESE. 3 planting units with 4 shoots each. DuPont Wharf shoots.</v>
          </cell>
        </row>
        <row r="134">
          <cell r="B134" t="str">
            <v>Joemma Beach State Park Mid - DNR - BESE - C - 2 - 2017</v>
          </cell>
          <cell r="C134" t="str">
            <v>JSP_mid_C2</v>
          </cell>
          <cell r="D134" t="str">
            <v>single</v>
          </cell>
          <cell r="E134">
            <v>2017</v>
          </cell>
          <cell r="F134"/>
          <cell r="G134" t="str">
            <v>point</v>
          </cell>
          <cell r="H134" t="str">
            <v>Case Inlet</v>
          </cell>
          <cell r="I134" t="str">
            <v>CPS</v>
          </cell>
          <cell r="J134" t="str">
            <v>BESE: Biodegradable ecosystem engineering elements</v>
          </cell>
          <cell r="K134" t="str">
            <v>DNR</v>
          </cell>
          <cell r="L134" t="str">
            <v>Nearshore Habitat Program</v>
          </cell>
          <cell r="M134"/>
          <cell r="N134"/>
          <cell r="O134"/>
          <cell r="P134"/>
          <cell r="Q134"/>
          <cell r="R134" t="str">
            <v>test</v>
          </cell>
          <cell r="S134" t="str">
            <v>--</v>
          </cell>
          <cell r="T134">
            <v>42880</v>
          </cell>
          <cell r="U134">
            <v>47.222552</v>
          </cell>
          <cell r="V134">
            <v>-122.810293</v>
          </cell>
          <cell r="W134" t="str">
            <v>point</v>
          </cell>
          <cell r="X134" t="str">
            <v>retain</v>
          </cell>
          <cell r="Y134" t="str">
            <v>WGS84</v>
          </cell>
          <cell r="AA134" t="str">
            <v>staple</v>
          </cell>
          <cell r="AB134">
            <v>1</v>
          </cell>
          <cell r="AC134">
            <v>1</v>
          </cell>
          <cell r="AD134">
            <v>1</v>
          </cell>
          <cell r="AE134">
            <v>8.0000000000000002E-3</v>
          </cell>
          <cell r="AF134">
            <v>1.4999999999999999E-2</v>
          </cell>
          <cell r="AG134">
            <v>3</v>
          </cell>
          <cell r="AH134">
            <v>12</v>
          </cell>
          <cell r="AI134">
            <v>12</v>
          </cell>
          <cell r="AJ134">
            <v>1500</v>
          </cell>
          <cell r="AK134" t="str">
            <v>DuPont Wharf</v>
          </cell>
          <cell r="AL134" t="str">
            <v>Biodegradable ecosystem engineering elements (BESE) for Marjolijn Christianen, Wageningen University &amp; Research, Netherlands. Overall area was 1 m2. Actual was 0.1 m2 (10 x 10 cm area in center of BESE. 3 planting units with 4 shoots each. DuPont Wharf shoots.</v>
          </cell>
        </row>
        <row r="135">
          <cell r="B135" t="str">
            <v>Joemma Beach State Park Mid - DNR - BESE - BG - 2 - 2017</v>
          </cell>
          <cell r="C135" t="str">
            <v>JSP_mid_BG2</v>
          </cell>
          <cell r="D135" t="str">
            <v>single</v>
          </cell>
          <cell r="E135">
            <v>2017</v>
          </cell>
          <cell r="F135"/>
          <cell r="G135" t="str">
            <v>point</v>
          </cell>
          <cell r="H135" t="str">
            <v>Case Inlet</v>
          </cell>
          <cell r="I135" t="str">
            <v>CPS</v>
          </cell>
          <cell r="J135" t="str">
            <v>BESE: Biodegradable ecosystem engineering elements</v>
          </cell>
          <cell r="K135" t="str">
            <v>DNR</v>
          </cell>
          <cell r="L135" t="str">
            <v>Nearshore Habitat Program</v>
          </cell>
          <cell r="M135"/>
          <cell r="N135"/>
          <cell r="O135"/>
          <cell r="P135"/>
          <cell r="Q135"/>
          <cell r="R135" t="str">
            <v>test</v>
          </cell>
          <cell r="S135" t="str">
            <v>--</v>
          </cell>
          <cell r="T135">
            <v>42880</v>
          </cell>
          <cell r="U135">
            <v>47.222596000000003</v>
          </cell>
          <cell r="V135">
            <v>-122.810309</v>
          </cell>
          <cell r="W135" t="str">
            <v>point</v>
          </cell>
          <cell r="X135" t="str">
            <v>retain</v>
          </cell>
          <cell r="Y135" t="str">
            <v>WGS84</v>
          </cell>
          <cell r="AA135" t="str">
            <v>staple</v>
          </cell>
          <cell r="AB135">
            <v>1</v>
          </cell>
          <cell r="AC135">
            <v>1</v>
          </cell>
          <cell r="AD135">
            <v>1</v>
          </cell>
          <cell r="AE135">
            <v>8.0000000000000002E-3</v>
          </cell>
          <cell r="AF135">
            <v>1.4999999999999999E-2</v>
          </cell>
          <cell r="AG135">
            <v>3</v>
          </cell>
          <cell r="AH135">
            <v>12</v>
          </cell>
          <cell r="AI135">
            <v>12</v>
          </cell>
          <cell r="AJ135">
            <v>1500</v>
          </cell>
          <cell r="AK135" t="str">
            <v>DuPont Wharf</v>
          </cell>
          <cell r="AL135" t="str">
            <v>Biodegradable ecosystem engineering elements (BESE) for Marjolijn Christianen, Wageningen University &amp; Research, Netherlands. Overall area was 1 m2. Actual was 0.1 m2 (10 x 10 cm area in center of BESE. 3 planting units with 4 shoots each. DuPont Wharf shoots.</v>
          </cell>
        </row>
        <row r="136">
          <cell r="B136" t="str">
            <v>Joemma Beach State Park Mid - DNR - BESE - C - 3 - 2017</v>
          </cell>
          <cell r="C136" t="str">
            <v>JSP_mid_C3</v>
          </cell>
          <cell r="D136" t="str">
            <v>single</v>
          </cell>
          <cell r="E136">
            <v>2017</v>
          </cell>
          <cell r="F136"/>
          <cell r="G136" t="str">
            <v>point</v>
          </cell>
          <cell r="H136" t="str">
            <v>Case Inlet</v>
          </cell>
          <cell r="I136" t="str">
            <v>CPS</v>
          </cell>
          <cell r="J136" t="str">
            <v>BESE: Biodegradable ecosystem engineering elements</v>
          </cell>
          <cell r="K136" t="str">
            <v>DNR</v>
          </cell>
          <cell r="L136" t="str">
            <v>Nearshore Habitat Program</v>
          </cell>
          <cell r="M136"/>
          <cell r="N136"/>
          <cell r="O136"/>
          <cell r="P136"/>
          <cell r="Q136"/>
          <cell r="R136" t="str">
            <v>test</v>
          </cell>
          <cell r="S136" t="str">
            <v>--</v>
          </cell>
          <cell r="T136">
            <v>42880</v>
          </cell>
          <cell r="U136">
            <v>47.222611999999998</v>
          </cell>
          <cell r="V136">
            <v>-122.810312</v>
          </cell>
          <cell r="W136" t="str">
            <v>point</v>
          </cell>
          <cell r="X136" t="str">
            <v>retain</v>
          </cell>
          <cell r="Y136" t="str">
            <v>WGS84</v>
          </cell>
          <cell r="AA136" t="str">
            <v>staple</v>
          </cell>
          <cell r="AB136">
            <v>1</v>
          </cell>
          <cell r="AC136">
            <v>1</v>
          </cell>
          <cell r="AD136">
            <v>1</v>
          </cell>
          <cell r="AE136">
            <v>8.0000000000000002E-3</v>
          </cell>
          <cell r="AF136">
            <v>1.4999999999999999E-2</v>
          </cell>
          <cell r="AG136">
            <v>3</v>
          </cell>
          <cell r="AH136">
            <v>12</v>
          </cell>
          <cell r="AI136">
            <v>12</v>
          </cell>
          <cell r="AJ136">
            <v>1500</v>
          </cell>
          <cell r="AK136" t="str">
            <v>DuPont Wharf</v>
          </cell>
          <cell r="AL136" t="str">
            <v>Biodegradable ecosystem engineering elements (BESE) for Marjolijn Christianen, Wageningen University &amp; Research, Netherlands. Overall area was 1 m2. Actual was 0.1 m2 (10 x 10 cm area in center of BESE. 3 planting units with 4 shoots each. DuPont Wharf shoots.</v>
          </cell>
        </row>
        <row r="137">
          <cell r="B137" t="str">
            <v>Joemma Beach State Park Mid - DNR - BESE - BG - 3 - 2017</v>
          </cell>
          <cell r="C137" t="str">
            <v>JSP_mid_BG3</v>
          </cell>
          <cell r="D137" t="str">
            <v>single</v>
          </cell>
          <cell r="E137">
            <v>2017</v>
          </cell>
          <cell r="F137"/>
          <cell r="G137" t="str">
            <v>point</v>
          </cell>
          <cell r="H137" t="str">
            <v>Case Inlet</v>
          </cell>
          <cell r="I137" t="str">
            <v>CPS</v>
          </cell>
          <cell r="J137" t="str">
            <v>BESE: Biodegradable ecosystem engineering elements</v>
          </cell>
          <cell r="K137" t="str">
            <v>DNR</v>
          </cell>
          <cell r="L137" t="str">
            <v>Nearshore Habitat Program</v>
          </cell>
          <cell r="M137"/>
          <cell r="N137"/>
          <cell r="O137"/>
          <cell r="P137"/>
          <cell r="Q137"/>
          <cell r="R137" t="str">
            <v>test</v>
          </cell>
          <cell r="S137" t="str">
            <v>--</v>
          </cell>
          <cell r="T137">
            <v>42880</v>
          </cell>
          <cell r="U137">
            <v>47.222638000000003</v>
          </cell>
          <cell r="V137">
            <v>-122.810339</v>
          </cell>
          <cell r="W137" t="str">
            <v>point</v>
          </cell>
          <cell r="X137" t="str">
            <v>retain</v>
          </cell>
          <cell r="Y137" t="str">
            <v>WGS84</v>
          </cell>
          <cell r="AA137" t="str">
            <v>staple</v>
          </cell>
          <cell r="AB137">
            <v>1</v>
          </cell>
          <cell r="AC137">
            <v>1</v>
          </cell>
          <cell r="AD137">
            <v>1</v>
          </cell>
          <cell r="AE137">
            <v>8.0000000000000002E-3</v>
          </cell>
          <cell r="AF137">
            <v>1.4999999999999999E-2</v>
          </cell>
          <cell r="AG137">
            <v>3</v>
          </cell>
          <cell r="AH137">
            <v>12</v>
          </cell>
          <cell r="AI137">
            <v>12</v>
          </cell>
          <cell r="AJ137">
            <v>1500</v>
          </cell>
          <cell r="AK137" t="str">
            <v>DuPont Wharf</v>
          </cell>
          <cell r="AL137" t="str">
            <v>Biodegradable ecosystem engineering elements (BESE) for Marjolijn Christianen, Wageningen University &amp; Research, Netherlands. Overall area was 1 m2. Actual was 0.1 m2 (10 x 10 cm area in center of BESE. 3 planting units with 4 shoots each. DuPont Wharf shoots.</v>
          </cell>
        </row>
        <row r="138">
          <cell r="B138" t="str">
            <v>Joemma Beach State Park Mid - DNR - BESE - C - 4 - 2017</v>
          </cell>
          <cell r="C138" t="str">
            <v>JSP_mid_C4</v>
          </cell>
          <cell r="D138" t="str">
            <v>single</v>
          </cell>
          <cell r="E138">
            <v>2017</v>
          </cell>
          <cell r="F138"/>
          <cell r="G138" t="str">
            <v>point</v>
          </cell>
          <cell r="H138" t="str">
            <v>Case Inlet</v>
          </cell>
          <cell r="I138" t="str">
            <v>CPS</v>
          </cell>
          <cell r="J138" t="str">
            <v>BESE: Biodegradable ecosystem engineering elements</v>
          </cell>
          <cell r="K138" t="str">
            <v>DNR</v>
          </cell>
          <cell r="L138" t="str">
            <v>Nearshore Habitat Program</v>
          </cell>
          <cell r="M138"/>
          <cell r="N138"/>
          <cell r="O138"/>
          <cell r="P138"/>
          <cell r="Q138"/>
          <cell r="R138" t="str">
            <v>test</v>
          </cell>
          <cell r="S138" t="str">
            <v>--</v>
          </cell>
          <cell r="T138">
            <v>42880</v>
          </cell>
          <cell r="U138">
            <v>47.222720000000002</v>
          </cell>
          <cell r="V138">
            <v>-122.81038599999999</v>
          </cell>
          <cell r="W138" t="str">
            <v>point</v>
          </cell>
          <cell r="X138" t="str">
            <v>retain</v>
          </cell>
          <cell r="Y138" t="str">
            <v>WGS84</v>
          </cell>
          <cell r="AA138" t="str">
            <v>staple</v>
          </cell>
          <cell r="AB138">
            <v>1</v>
          </cell>
          <cell r="AC138">
            <v>1</v>
          </cell>
          <cell r="AD138">
            <v>1</v>
          </cell>
          <cell r="AE138">
            <v>8.0000000000000002E-3</v>
          </cell>
          <cell r="AF138">
            <v>1.4999999999999999E-2</v>
          </cell>
          <cell r="AG138">
            <v>3</v>
          </cell>
          <cell r="AH138">
            <v>12</v>
          </cell>
          <cell r="AI138">
            <v>12</v>
          </cell>
          <cell r="AJ138">
            <v>1500</v>
          </cell>
          <cell r="AK138" t="str">
            <v>DuPont Wharf</v>
          </cell>
          <cell r="AL138" t="str">
            <v>Biodegradable ecosystem engineering elements (BESE) for Marjolijn Christianen, Wageningen University &amp; Research, Netherlands. Overall area was 1 m2. Actual was 0.1 m2 (10 x 10 cm area in center of BESE. 3 planting units with 4 shoots each. DuPont Wharf shoots.</v>
          </cell>
        </row>
        <row r="139">
          <cell r="B139" t="str">
            <v>Joemma Beach State Park Mid - DNR - BESE - BG - 4 - 2017</v>
          </cell>
          <cell r="C139" t="str">
            <v>JSP_mid_BG4</v>
          </cell>
          <cell r="D139" t="str">
            <v>single</v>
          </cell>
          <cell r="E139">
            <v>2017</v>
          </cell>
          <cell r="F139"/>
          <cell r="G139" t="str">
            <v>point</v>
          </cell>
          <cell r="H139" t="str">
            <v>Case Inlet</v>
          </cell>
          <cell r="I139" t="str">
            <v>CPS</v>
          </cell>
          <cell r="J139" t="str">
            <v>BESE: Biodegradable ecosystem engineering elements</v>
          </cell>
          <cell r="K139" t="str">
            <v>DNR</v>
          </cell>
          <cell r="L139" t="str">
            <v>Nearshore Habitat Program</v>
          </cell>
          <cell r="M139"/>
          <cell r="N139"/>
          <cell r="O139"/>
          <cell r="P139"/>
          <cell r="Q139"/>
          <cell r="R139" t="str">
            <v>test</v>
          </cell>
          <cell r="S139" t="str">
            <v>--</v>
          </cell>
          <cell r="T139">
            <v>42880</v>
          </cell>
          <cell r="U139">
            <v>47.222659</v>
          </cell>
          <cell r="V139">
            <v>-122.810361</v>
          </cell>
          <cell r="W139" t="str">
            <v>point</v>
          </cell>
          <cell r="X139" t="str">
            <v>retain</v>
          </cell>
          <cell r="Y139" t="str">
            <v>WGS84</v>
          </cell>
          <cell r="AA139" t="str">
            <v>staple</v>
          </cell>
          <cell r="AB139">
            <v>1</v>
          </cell>
          <cell r="AC139">
            <v>1</v>
          </cell>
          <cell r="AD139">
            <v>1</v>
          </cell>
          <cell r="AE139">
            <v>8.0000000000000002E-3</v>
          </cell>
          <cell r="AF139">
            <v>1.4999999999999999E-2</v>
          </cell>
          <cell r="AG139">
            <v>3</v>
          </cell>
          <cell r="AH139">
            <v>12</v>
          </cell>
          <cell r="AI139">
            <v>12</v>
          </cell>
          <cell r="AJ139">
            <v>1500</v>
          </cell>
          <cell r="AK139" t="str">
            <v>DuPont Wharf</v>
          </cell>
          <cell r="AL139" t="str">
            <v>Biodegradable ecosystem engineering elements (BESE) for Marjolijn Christianen, Wageningen University &amp; Research, Netherlands. Overall area was 1 m2. Actual was 0.1 m2 (10 x 10 cm area in center of BESE. 3 planting units with 4 shoots each. DuPont Wharf shoots.</v>
          </cell>
        </row>
        <row r="140">
          <cell r="B140" t="str">
            <v>Joemma Beach State Park Mid - DNR - BESE - AG - 3 - 2017</v>
          </cell>
          <cell r="C140" t="str">
            <v>JSP_mid_AG3</v>
          </cell>
          <cell r="D140" t="str">
            <v>single</v>
          </cell>
          <cell r="E140">
            <v>2017</v>
          </cell>
          <cell r="F140"/>
          <cell r="G140" t="str">
            <v>point</v>
          </cell>
          <cell r="H140" t="str">
            <v>Case Inlet</v>
          </cell>
          <cell r="I140" t="str">
            <v>CPS</v>
          </cell>
          <cell r="J140" t="str">
            <v>BESE: Biodegradable ecosystem engineering elements</v>
          </cell>
          <cell r="K140" t="str">
            <v>DNR</v>
          </cell>
          <cell r="L140" t="str">
            <v>Nearshore Habitat Program</v>
          </cell>
          <cell r="M140"/>
          <cell r="N140"/>
          <cell r="O140"/>
          <cell r="P140"/>
          <cell r="Q140"/>
          <cell r="R140" t="str">
            <v>test</v>
          </cell>
          <cell r="S140" t="str">
            <v>--</v>
          </cell>
          <cell r="T140">
            <v>42880</v>
          </cell>
          <cell r="U140">
            <v>47.222687999999998</v>
          </cell>
          <cell r="V140">
            <v>-122.810372</v>
          </cell>
          <cell r="W140" t="str">
            <v>point</v>
          </cell>
          <cell r="X140" t="str">
            <v>retain</v>
          </cell>
          <cell r="Y140" t="str">
            <v>WGS84</v>
          </cell>
          <cell r="AA140" t="str">
            <v>staple</v>
          </cell>
          <cell r="AB140">
            <v>1</v>
          </cell>
          <cell r="AC140">
            <v>1</v>
          </cell>
          <cell r="AD140">
            <v>1</v>
          </cell>
          <cell r="AE140">
            <v>8.0000000000000002E-3</v>
          </cell>
          <cell r="AF140">
            <v>1.4999999999999999E-2</v>
          </cell>
          <cell r="AG140">
            <v>3</v>
          </cell>
          <cell r="AH140">
            <v>12</v>
          </cell>
          <cell r="AI140">
            <v>12</v>
          </cell>
          <cell r="AJ140">
            <v>1500</v>
          </cell>
          <cell r="AK140" t="str">
            <v>DuPont Wharf</v>
          </cell>
          <cell r="AL140" t="str">
            <v>Biodegradable ecosystem engineering elements (BESE) for Marjolijn Christianen, Wageningen University &amp; Research, Netherlands. Overall area was 1 m2. Actual was 0.1 m2 (10 x 10 cm area in center of BESE. 3 planting units with 4 shoots each. DuPont Wharf shoots.</v>
          </cell>
        </row>
        <row r="141">
          <cell r="B141" t="str">
            <v>Joemma Beach State Park Mid - DNR - BESE - AG - 4 - 2017</v>
          </cell>
          <cell r="C141" t="str">
            <v>JSP_mid_AG4</v>
          </cell>
          <cell r="D141" t="str">
            <v>single</v>
          </cell>
          <cell r="E141">
            <v>2017</v>
          </cell>
          <cell r="F141"/>
          <cell r="G141" t="str">
            <v>point</v>
          </cell>
          <cell r="H141" t="str">
            <v>Case Inlet</v>
          </cell>
          <cell r="I141" t="str">
            <v>CPS</v>
          </cell>
          <cell r="J141" t="str">
            <v>BESE: Biodegradable ecosystem engineering elements</v>
          </cell>
          <cell r="K141" t="str">
            <v>DNR</v>
          </cell>
          <cell r="L141" t="str">
            <v>Nearshore Habitat Program</v>
          </cell>
          <cell r="M141"/>
          <cell r="N141"/>
          <cell r="O141"/>
          <cell r="P141"/>
          <cell r="Q141"/>
          <cell r="R141" t="str">
            <v>test</v>
          </cell>
          <cell r="S141" t="str">
            <v>--</v>
          </cell>
          <cell r="T141">
            <v>42880</v>
          </cell>
          <cell r="U141">
            <v>47.222732999999998</v>
          </cell>
          <cell r="V141">
            <v>-122.8104</v>
          </cell>
          <cell r="W141" t="str">
            <v>point</v>
          </cell>
          <cell r="X141" t="str">
            <v>retain</v>
          </cell>
          <cell r="Y141" t="str">
            <v>WGS84</v>
          </cell>
          <cell r="AA141" t="str">
            <v>staple</v>
          </cell>
          <cell r="AB141">
            <v>1</v>
          </cell>
          <cell r="AC141">
            <v>1</v>
          </cell>
          <cell r="AD141">
            <v>1</v>
          </cell>
          <cell r="AE141">
            <v>8.0000000000000002E-3</v>
          </cell>
          <cell r="AF141">
            <v>1.4999999999999999E-2</v>
          </cell>
          <cell r="AG141">
            <v>3</v>
          </cell>
          <cell r="AH141">
            <v>12</v>
          </cell>
          <cell r="AI141">
            <v>12</v>
          </cell>
          <cell r="AJ141">
            <v>1500</v>
          </cell>
          <cell r="AK141" t="str">
            <v>DuPont Wharf</v>
          </cell>
          <cell r="AL141" t="str">
            <v>Biodegradable ecosystem engineering elements (BESE) for Marjolijn Christianen, Wageningen University &amp; Research, Netherlands. Overall area was 1 m2. Actual was 0.1 m2 (10 x 10 cm area in center of BESE. 3 planting units with 4 shoots each. DuPont Wharf shoots.</v>
          </cell>
        </row>
        <row r="142">
          <cell r="B142" t="str">
            <v>Joemma Beach State Park North - SE - DNR - methods - 2017</v>
          </cell>
          <cell r="C142" t="str">
            <v>JSP_north_P1</v>
          </cell>
          <cell r="D142" t="str">
            <v>single</v>
          </cell>
          <cell r="E142">
            <v>2017</v>
          </cell>
          <cell r="F142"/>
          <cell r="G142" t="str">
            <v>polygon</v>
          </cell>
          <cell r="H142" t="str">
            <v>Case Inlet</v>
          </cell>
          <cell r="I142" t="str">
            <v>CPS</v>
          </cell>
          <cell r="J142" t="str">
            <v>Zm Restoration Methods Assessment</v>
          </cell>
          <cell r="K142" t="str">
            <v>DNR</v>
          </cell>
          <cell r="L142" t="str">
            <v>Nearshore Habitat Program</v>
          </cell>
          <cell r="M142"/>
          <cell r="N142"/>
          <cell r="O142"/>
          <cell r="P142"/>
          <cell r="Q142"/>
          <cell r="R142" t="str">
            <v>test</v>
          </cell>
          <cell r="S142" t="str">
            <v>test</v>
          </cell>
          <cell r="T142">
            <v>42881</v>
          </cell>
          <cell r="U142">
            <v>47.226010000000002</v>
          </cell>
          <cell r="V142">
            <v>-122.81377000000001</v>
          </cell>
          <cell r="W142" t="str">
            <v>polygon</v>
          </cell>
          <cell r="X142" t="str">
            <v>drop</v>
          </cell>
          <cell r="Y142" t="str">
            <v>WGS84</v>
          </cell>
          <cell r="AA142" t="str">
            <v>burlap</v>
          </cell>
          <cell r="AB142">
            <v>10</v>
          </cell>
          <cell r="AC142">
            <v>4</v>
          </cell>
          <cell r="AD142">
            <v>40</v>
          </cell>
          <cell r="AE142">
            <v>1.25</v>
          </cell>
          <cell r="AF142">
            <v>0.1875</v>
          </cell>
          <cell r="AG142">
            <v>3</v>
          </cell>
          <cell r="AH142">
            <v>90</v>
          </cell>
          <cell r="AI142">
            <v>2.25</v>
          </cell>
          <cell r="AJ142">
            <v>72</v>
          </cell>
          <cell r="AK142" t="str">
            <v>DuPont Wharf</v>
          </cell>
          <cell r="AL142" t="str">
            <v>overall area was 10 m x 4 m (40 m2), Actual area was 5 m2 (20, 0.25 m2 plots)</v>
          </cell>
        </row>
        <row r="143">
          <cell r="B143" t="str">
            <v>Joemma Beach State Park North - SW - DNR - methods - 2017</v>
          </cell>
          <cell r="C143" t="str">
            <v>JSP_north_P1</v>
          </cell>
          <cell r="D143" t="str">
            <v>single</v>
          </cell>
          <cell r="E143">
            <v>2017</v>
          </cell>
          <cell r="F143"/>
          <cell r="G143" t="str">
            <v>polygon</v>
          </cell>
          <cell r="H143" t="str">
            <v>Case Inlet</v>
          </cell>
          <cell r="I143" t="str">
            <v>CPS</v>
          </cell>
          <cell r="J143" t="str">
            <v>Zm Restoration Methods Assessment</v>
          </cell>
          <cell r="K143" t="str">
            <v>DNR</v>
          </cell>
          <cell r="L143" t="str">
            <v>Nearshore Habitat Program</v>
          </cell>
          <cell r="M143"/>
          <cell r="N143"/>
          <cell r="O143"/>
          <cell r="P143"/>
          <cell r="Q143"/>
          <cell r="R143" t="str">
            <v>test</v>
          </cell>
          <cell r="S143" t="str">
            <v>--</v>
          </cell>
          <cell r="T143">
            <v>42881</v>
          </cell>
          <cell r="U143"/>
          <cell r="V143"/>
          <cell r="W143" t="str">
            <v>polygon</v>
          </cell>
          <cell r="X143" t="str">
            <v>drop</v>
          </cell>
          <cell r="Y143" t="str">
            <v>WGS84</v>
          </cell>
          <cell r="AA143" t="str">
            <v>washer</v>
          </cell>
          <cell r="AB143">
            <v>10</v>
          </cell>
          <cell r="AC143">
            <v>4</v>
          </cell>
          <cell r="AD143">
            <v>40</v>
          </cell>
          <cell r="AE143">
            <v>1.25</v>
          </cell>
          <cell r="AF143">
            <v>2.2499999999999999E-2</v>
          </cell>
          <cell r="AG143">
            <v>9</v>
          </cell>
          <cell r="AH143">
            <v>90</v>
          </cell>
          <cell r="AI143">
            <v>2.25</v>
          </cell>
          <cell r="AJ143">
            <v>72</v>
          </cell>
          <cell r="AK143" t="str">
            <v>DuPont Wharf</v>
          </cell>
          <cell r="AL143"/>
        </row>
        <row r="144">
          <cell r="B144" t="str">
            <v>Joemma Beach State Park North - NE - DNR - methods - 2017</v>
          </cell>
          <cell r="C144" t="str">
            <v>JSP_north_P1</v>
          </cell>
          <cell r="D144" t="str">
            <v>single</v>
          </cell>
          <cell r="E144">
            <v>2017</v>
          </cell>
          <cell r="F144"/>
          <cell r="G144" t="str">
            <v>polygon</v>
          </cell>
          <cell r="H144" t="str">
            <v>Case Inlet</v>
          </cell>
          <cell r="I144" t="str">
            <v>CPS</v>
          </cell>
          <cell r="J144" t="str">
            <v>Zm Restoration Methods Assessment</v>
          </cell>
          <cell r="K144" t="str">
            <v>DNR</v>
          </cell>
          <cell r="L144" t="str">
            <v>Nearshore Habitat Program</v>
          </cell>
          <cell r="M144"/>
          <cell r="N144"/>
          <cell r="O144"/>
          <cell r="P144"/>
          <cell r="Q144"/>
          <cell r="R144" t="str">
            <v>test</v>
          </cell>
          <cell r="S144" t="str">
            <v>--</v>
          </cell>
          <cell r="T144">
            <v>42881</v>
          </cell>
          <cell r="U144">
            <v>47.225969999999997</v>
          </cell>
          <cell r="V144">
            <v>-122.81366</v>
          </cell>
          <cell r="W144" t="str">
            <v>polygon</v>
          </cell>
          <cell r="X144" t="str">
            <v>drop</v>
          </cell>
          <cell r="Y144" t="str">
            <v>WGS84</v>
          </cell>
          <cell r="AA144" t="str">
            <v>staple</v>
          </cell>
          <cell r="AB144">
            <v>10</v>
          </cell>
          <cell r="AC144">
            <v>4</v>
          </cell>
          <cell r="AD144">
            <v>40</v>
          </cell>
          <cell r="AE144">
            <v>1.25</v>
          </cell>
          <cell r="AF144">
            <v>4.4999999999999998E-2</v>
          </cell>
          <cell r="AG144">
            <v>9</v>
          </cell>
          <cell r="AH144">
            <v>90</v>
          </cell>
          <cell r="AI144">
            <v>2.25</v>
          </cell>
          <cell r="AJ144">
            <v>72</v>
          </cell>
          <cell r="AK144" t="str">
            <v>DuPont Wharf</v>
          </cell>
          <cell r="AL144"/>
        </row>
        <row r="145">
          <cell r="B145" t="str">
            <v>Joemma Beach State Park North - NW - DNR - methods - 2017</v>
          </cell>
          <cell r="C145" t="str">
            <v>JSP_north_P1</v>
          </cell>
          <cell r="D145" t="str">
            <v>single</v>
          </cell>
          <cell r="E145">
            <v>2017</v>
          </cell>
          <cell r="F145"/>
          <cell r="G145" t="str">
            <v>polygon</v>
          </cell>
          <cell r="H145" t="str">
            <v>Case Inlet</v>
          </cell>
          <cell r="I145" t="str">
            <v>CPS</v>
          </cell>
          <cell r="J145" t="str">
            <v>Zm Restoration Methods Assessment</v>
          </cell>
          <cell r="K145" t="str">
            <v>DNR</v>
          </cell>
          <cell r="L145" t="str">
            <v>Nearshore Habitat Program</v>
          </cell>
          <cell r="M145"/>
          <cell r="N145"/>
          <cell r="O145"/>
          <cell r="P145"/>
          <cell r="Q145"/>
          <cell r="R145" t="str">
            <v>test</v>
          </cell>
          <cell r="S145" t="str">
            <v>--</v>
          </cell>
          <cell r="T145">
            <v>42881</v>
          </cell>
          <cell r="U145"/>
          <cell r="V145"/>
          <cell r="W145" t="str">
            <v>polygon</v>
          </cell>
          <cell r="X145" t="str">
            <v>drop</v>
          </cell>
          <cell r="Y145" t="str">
            <v>WGS84</v>
          </cell>
          <cell r="AA145" t="str">
            <v>rebar</v>
          </cell>
          <cell r="AB145">
            <v>10</v>
          </cell>
          <cell r="AC145">
            <v>4</v>
          </cell>
          <cell r="AD145">
            <v>40</v>
          </cell>
          <cell r="AE145">
            <v>1.25</v>
          </cell>
          <cell r="AF145">
            <v>7.5000000000000011E-2</v>
          </cell>
          <cell r="AG145">
            <v>3</v>
          </cell>
          <cell r="AH145">
            <v>90</v>
          </cell>
          <cell r="AI145">
            <v>2.25</v>
          </cell>
          <cell r="AJ145">
            <v>72</v>
          </cell>
          <cell r="AK145" t="str">
            <v>DuPont Wharf</v>
          </cell>
          <cell r="AL145"/>
        </row>
        <row r="146">
          <cell r="B146" t="str">
            <v>Joemma Beach State Park Mid - SE - DNR - methods - 2017</v>
          </cell>
          <cell r="C146" t="str">
            <v>JSP_mid_P1</v>
          </cell>
          <cell r="D146" t="str">
            <v>single</v>
          </cell>
          <cell r="E146">
            <v>2017</v>
          </cell>
          <cell r="F146"/>
          <cell r="G146" t="str">
            <v>polygon</v>
          </cell>
          <cell r="H146" t="str">
            <v>Case Inlet</v>
          </cell>
          <cell r="I146" t="str">
            <v>CPS</v>
          </cell>
          <cell r="J146" t="str">
            <v>Zm Restoration Methods Assessment</v>
          </cell>
          <cell r="K146" t="str">
            <v>DNR</v>
          </cell>
          <cell r="L146" t="str">
            <v>Nearshore Habitat Program</v>
          </cell>
          <cell r="M146"/>
          <cell r="N146"/>
          <cell r="O146"/>
          <cell r="P146"/>
          <cell r="Q146"/>
          <cell r="R146" t="str">
            <v>test</v>
          </cell>
          <cell r="S146" t="str">
            <v>test</v>
          </cell>
          <cell r="T146">
            <v>42881</v>
          </cell>
          <cell r="U146">
            <v>47.222769999999997</v>
          </cell>
          <cell r="V146">
            <v>-122.81052</v>
          </cell>
          <cell r="W146" t="str">
            <v>polygon</v>
          </cell>
          <cell r="X146" t="str">
            <v>drop</v>
          </cell>
          <cell r="Y146" t="str">
            <v>WGS84</v>
          </cell>
          <cell r="AA146" t="str">
            <v>burlap</v>
          </cell>
          <cell r="AB146">
            <v>10</v>
          </cell>
          <cell r="AC146">
            <v>4</v>
          </cell>
          <cell r="AD146">
            <v>40</v>
          </cell>
          <cell r="AE146">
            <v>1.25</v>
          </cell>
          <cell r="AF146">
            <v>0.1875</v>
          </cell>
          <cell r="AG146">
            <v>3</v>
          </cell>
          <cell r="AH146">
            <v>90</v>
          </cell>
          <cell r="AI146">
            <v>2.25</v>
          </cell>
          <cell r="AJ146">
            <v>72</v>
          </cell>
          <cell r="AK146" t="str">
            <v>DuPont Wharf</v>
          </cell>
          <cell r="AL146" t="str">
            <v>overall area was 10 m x 4 m (40 m2), Actual area was 5 m2 (20, 0.25 m2 plots)</v>
          </cell>
        </row>
        <row r="147">
          <cell r="B147" t="str">
            <v>Joemma Beach State Park Mid - SW - DNR - methods - 2017</v>
          </cell>
          <cell r="C147" t="str">
            <v>JSP_mid_P1</v>
          </cell>
          <cell r="D147" t="str">
            <v>single</v>
          </cell>
          <cell r="E147">
            <v>2017</v>
          </cell>
          <cell r="F147"/>
          <cell r="G147" t="str">
            <v>polygon</v>
          </cell>
          <cell r="H147" t="str">
            <v>Case Inlet</v>
          </cell>
          <cell r="I147" t="str">
            <v>CPS</v>
          </cell>
          <cell r="J147" t="str">
            <v>Zm Restoration Methods Assessment</v>
          </cell>
          <cell r="K147" t="str">
            <v>DNR</v>
          </cell>
          <cell r="L147" t="str">
            <v>Nearshore Habitat Program</v>
          </cell>
          <cell r="M147"/>
          <cell r="N147"/>
          <cell r="O147"/>
          <cell r="P147"/>
          <cell r="Q147"/>
          <cell r="R147" t="str">
            <v>test</v>
          </cell>
          <cell r="S147" t="str">
            <v>--</v>
          </cell>
          <cell r="T147">
            <v>42881</v>
          </cell>
          <cell r="U147"/>
          <cell r="V147"/>
          <cell r="W147" t="str">
            <v>polygon</v>
          </cell>
          <cell r="X147" t="str">
            <v>drop</v>
          </cell>
          <cell r="Y147" t="str">
            <v>WGS84</v>
          </cell>
          <cell r="AA147" t="str">
            <v>washer</v>
          </cell>
          <cell r="AB147">
            <v>10</v>
          </cell>
          <cell r="AC147">
            <v>4</v>
          </cell>
          <cell r="AD147">
            <v>40</v>
          </cell>
          <cell r="AE147">
            <v>1.25</v>
          </cell>
          <cell r="AF147">
            <v>2.2499999999999999E-2</v>
          </cell>
          <cell r="AG147">
            <v>9</v>
          </cell>
          <cell r="AH147">
            <v>90</v>
          </cell>
          <cell r="AI147">
            <v>2.25</v>
          </cell>
          <cell r="AJ147">
            <v>72</v>
          </cell>
          <cell r="AK147" t="str">
            <v>DuPont Wharf</v>
          </cell>
          <cell r="AL147"/>
        </row>
        <row r="148">
          <cell r="B148" t="str">
            <v>Joemma Beach State Park Mid - NE - DNR - methods - 2017</v>
          </cell>
          <cell r="C148" t="str">
            <v>JSP_mid_P1</v>
          </cell>
          <cell r="D148" t="str">
            <v>single</v>
          </cell>
          <cell r="E148">
            <v>2017</v>
          </cell>
          <cell r="F148"/>
          <cell r="G148" t="str">
            <v>polygon</v>
          </cell>
          <cell r="H148" t="str">
            <v>Case Inlet</v>
          </cell>
          <cell r="I148" t="str">
            <v>CPS</v>
          </cell>
          <cell r="J148" t="str">
            <v>Zm Restoration Methods Assessment</v>
          </cell>
          <cell r="K148" t="str">
            <v>DNR</v>
          </cell>
          <cell r="L148" t="str">
            <v>Nearshore Habitat Program</v>
          </cell>
          <cell r="M148"/>
          <cell r="N148"/>
          <cell r="O148"/>
          <cell r="P148"/>
          <cell r="Q148"/>
          <cell r="R148" t="str">
            <v>test</v>
          </cell>
          <cell r="S148" t="str">
            <v>--</v>
          </cell>
          <cell r="T148">
            <v>42881</v>
          </cell>
          <cell r="U148">
            <v>47.222839999999998</v>
          </cell>
          <cell r="V148">
            <v>-122.81056</v>
          </cell>
          <cell r="W148" t="str">
            <v>polygon</v>
          </cell>
          <cell r="X148" t="str">
            <v>drop</v>
          </cell>
          <cell r="Y148" t="str">
            <v>WGS84</v>
          </cell>
          <cell r="AA148" t="str">
            <v>staple</v>
          </cell>
          <cell r="AB148">
            <v>10</v>
          </cell>
          <cell r="AC148">
            <v>4</v>
          </cell>
          <cell r="AD148">
            <v>40</v>
          </cell>
          <cell r="AE148">
            <v>1.25</v>
          </cell>
          <cell r="AF148">
            <v>4.4999999999999998E-2</v>
          </cell>
          <cell r="AG148">
            <v>9</v>
          </cell>
          <cell r="AH148">
            <v>90</v>
          </cell>
          <cell r="AI148">
            <v>2.25</v>
          </cell>
          <cell r="AJ148">
            <v>72</v>
          </cell>
          <cell r="AK148" t="str">
            <v>DuPont Wharf</v>
          </cell>
          <cell r="AL148"/>
        </row>
        <row r="149">
          <cell r="B149" t="str">
            <v>Joemma Beach State Park Mid - NW - DNR - methods - 2017</v>
          </cell>
          <cell r="C149" t="str">
            <v>JSP_mid_P1</v>
          </cell>
          <cell r="D149" t="str">
            <v>single</v>
          </cell>
          <cell r="E149">
            <v>2017</v>
          </cell>
          <cell r="F149"/>
          <cell r="G149" t="str">
            <v>polygon</v>
          </cell>
          <cell r="H149" t="str">
            <v>Case Inlet</v>
          </cell>
          <cell r="I149" t="str">
            <v>CPS</v>
          </cell>
          <cell r="J149" t="str">
            <v>Zm Restoration Methods Assessment</v>
          </cell>
          <cell r="K149" t="str">
            <v>DNR</v>
          </cell>
          <cell r="L149" t="str">
            <v>Nearshore Habitat Program</v>
          </cell>
          <cell r="M149"/>
          <cell r="N149"/>
          <cell r="O149"/>
          <cell r="P149"/>
          <cell r="Q149"/>
          <cell r="R149" t="str">
            <v>test</v>
          </cell>
          <cell r="S149" t="str">
            <v>--</v>
          </cell>
          <cell r="T149">
            <v>42881</v>
          </cell>
          <cell r="U149"/>
          <cell r="V149"/>
          <cell r="W149" t="str">
            <v>polygon</v>
          </cell>
          <cell r="X149" t="str">
            <v>drop</v>
          </cell>
          <cell r="Y149" t="str">
            <v>WGS84</v>
          </cell>
          <cell r="AA149" t="str">
            <v>rebar</v>
          </cell>
          <cell r="AB149">
            <v>10</v>
          </cell>
          <cell r="AC149">
            <v>4</v>
          </cell>
          <cell r="AD149">
            <v>40</v>
          </cell>
          <cell r="AE149">
            <v>1.25</v>
          </cell>
          <cell r="AF149">
            <v>7.5000000000000011E-2</v>
          </cell>
          <cell r="AG149">
            <v>3</v>
          </cell>
          <cell r="AH149">
            <v>90</v>
          </cell>
          <cell r="AI149">
            <v>2.25</v>
          </cell>
          <cell r="AJ149">
            <v>72</v>
          </cell>
          <cell r="AK149" t="str">
            <v>DuPont Wharf</v>
          </cell>
          <cell r="AL149"/>
        </row>
        <row r="150">
          <cell r="B150" t="str">
            <v>Joemma Beach State Park South - SE - DNR - methods - 2017</v>
          </cell>
          <cell r="C150" t="str">
            <v>JSP_south_P5</v>
          </cell>
          <cell r="D150" t="str">
            <v>single</v>
          </cell>
          <cell r="E150">
            <v>2017</v>
          </cell>
          <cell r="F150"/>
          <cell r="G150" t="str">
            <v>polygon</v>
          </cell>
          <cell r="H150" t="str">
            <v>Case Inlet</v>
          </cell>
          <cell r="I150" t="str">
            <v>CPS</v>
          </cell>
          <cell r="J150" t="str">
            <v>Zm Restoration Methods Assessment</v>
          </cell>
          <cell r="K150" t="str">
            <v>DNR</v>
          </cell>
          <cell r="L150" t="str">
            <v>Nearshore Habitat Program</v>
          </cell>
          <cell r="M150"/>
          <cell r="N150"/>
          <cell r="O150"/>
          <cell r="P150"/>
          <cell r="Q150"/>
          <cell r="R150" t="str">
            <v>test</v>
          </cell>
          <cell r="S150" t="str">
            <v>test</v>
          </cell>
          <cell r="T150">
            <v>42881</v>
          </cell>
          <cell r="U150">
            <v>47.221080000000001</v>
          </cell>
          <cell r="V150">
            <v>-122.80929</v>
          </cell>
          <cell r="W150" t="str">
            <v>point</v>
          </cell>
          <cell r="X150" t="str">
            <v>retain</v>
          </cell>
          <cell r="Y150" t="str">
            <v>WGS84</v>
          </cell>
          <cell r="AA150" t="str">
            <v>burlap</v>
          </cell>
          <cell r="AB150">
            <v>10</v>
          </cell>
          <cell r="AC150">
            <v>4</v>
          </cell>
          <cell r="AD150">
            <v>40</v>
          </cell>
          <cell r="AE150">
            <v>1.25</v>
          </cell>
          <cell r="AF150">
            <v>0.1875</v>
          </cell>
          <cell r="AG150">
            <v>3</v>
          </cell>
          <cell r="AH150">
            <v>90</v>
          </cell>
          <cell r="AI150">
            <v>2.25</v>
          </cell>
          <cell r="AJ150">
            <v>72</v>
          </cell>
          <cell r="AK150" t="str">
            <v>DuPont Wharf</v>
          </cell>
          <cell r="AL150" t="str">
            <v>overall area was 10 m x 4 m (40 m2), Actual area was 5 m2 (20, 0.25 m2 plots)</v>
          </cell>
        </row>
        <row r="151">
          <cell r="B151" t="str">
            <v>Joemma Beach State Park South - SW - DNR - methods - 2017</v>
          </cell>
          <cell r="C151" t="str">
            <v>JSP_south_P5</v>
          </cell>
          <cell r="D151" t="str">
            <v>single</v>
          </cell>
          <cell r="E151">
            <v>2017</v>
          </cell>
          <cell r="F151"/>
          <cell r="G151" t="str">
            <v>polygon</v>
          </cell>
          <cell r="H151" t="str">
            <v>Case Inlet</v>
          </cell>
          <cell r="I151" t="str">
            <v>CPS</v>
          </cell>
          <cell r="J151" t="str">
            <v>Zm Restoration Methods Assessment</v>
          </cell>
          <cell r="K151" t="str">
            <v>DNR</v>
          </cell>
          <cell r="L151" t="str">
            <v>Nearshore Habitat Program</v>
          </cell>
          <cell r="M151"/>
          <cell r="N151"/>
          <cell r="O151"/>
          <cell r="P151"/>
          <cell r="Q151"/>
          <cell r="R151" t="str">
            <v>test</v>
          </cell>
          <cell r="S151" t="str">
            <v>--</v>
          </cell>
          <cell r="T151">
            <v>42881</v>
          </cell>
          <cell r="U151">
            <v>47.221069999999997</v>
          </cell>
          <cell r="V151">
            <v>-122.80933</v>
          </cell>
          <cell r="W151" t="str">
            <v>point</v>
          </cell>
          <cell r="X151" t="str">
            <v>retain</v>
          </cell>
          <cell r="Y151" t="str">
            <v>WGS84</v>
          </cell>
          <cell r="AA151" t="str">
            <v>washer</v>
          </cell>
          <cell r="AB151">
            <v>10</v>
          </cell>
          <cell r="AC151">
            <v>4</v>
          </cell>
          <cell r="AD151">
            <v>40</v>
          </cell>
          <cell r="AE151">
            <v>1.25</v>
          </cell>
          <cell r="AF151">
            <v>2.2499999999999999E-2</v>
          </cell>
          <cell r="AG151">
            <v>9</v>
          </cell>
          <cell r="AH151">
            <v>90</v>
          </cell>
          <cell r="AI151">
            <v>2.25</v>
          </cell>
          <cell r="AJ151">
            <v>72</v>
          </cell>
          <cell r="AK151" t="str">
            <v>DuPont Wharf</v>
          </cell>
          <cell r="AL151"/>
        </row>
        <row r="152">
          <cell r="B152" t="str">
            <v>Joemma Beach State Park South - NE - DNR - methods - 2017</v>
          </cell>
          <cell r="C152" t="str">
            <v>JSP_south_P5</v>
          </cell>
          <cell r="D152" t="str">
            <v>single</v>
          </cell>
          <cell r="E152">
            <v>2017</v>
          </cell>
          <cell r="F152"/>
          <cell r="G152" t="str">
            <v>polygon</v>
          </cell>
          <cell r="H152" t="str">
            <v>Case Inlet</v>
          </cell>
          <cell r="I152" t="str">
            <v>CPS</v>
          </cell>
          <cell r="J152" t="str">
            <v>Zm Restoration Methods Assessment</v>
          </cell>
          <cell r="K152" t="str">
            <v>DNR</v>
          </cell>
          <cell r="L152" t="str">
            <v>Nearshore Habitat Program</v>
          </cell>
          <cell r="M152"/>
          <cell r="N152"/>
          <cell r="O152"/>
          <cell r="P152"/>
          <cell r="Q152"/>
          <cell r="R152" t="str">
            <v>test</v>
          </cell>
          <cell r="S152" t="str">
            <v>--</v>
          </cell>
          <cell r="T152">
            <v>42881</v>
          </cell>
          <cell r="U152">
            <v>47.221179999999997</v>
          </cell>
          <cell r="V152">
            <v>-122.80933</v>
          </cell>
          <cell r="W152" t="str">
            <v>point</v>
          </cell>
          <cell r="X152" t="str">
            <v>retain</v>
          </cell>
          <cell r="Y152" t="str">
            <v>WGS84</v>
          </cell>
          <cell r="AA152" t="str">
            <v>staple</v>
          </cell>
          <cell r="AB152">
            <v>10</v>
          </cell>
          <cell r="AC152">
            <v>4</v>
          </cell>
          <cell r="AD152">
            <v>40</v>
          </cell>
          <cell r="AE152">
            <v>1.25</v>
          </cell>
          <cell r="AF152">
            <v>4.4999999999999998E-2</v>
          </cell>
          <cell r="AG152">
            <v>9</v>
          </cell>
          <cell r="AH152">
            <v>90</v>
          </cell>
          <cell r="AI152">
            <v>2.25</v>
          </cell>
          <cell r="AJ152">
            <v>72</v>
          </cell>
          <cell r="AK152" t="str">
            <v>DuPont Wharf</v>
          </cell>
          <cell r="AL152"/>
        </row>
        <row r="153">
          <cell r="B153" t="str">
            <v>Joemma Beach State Park South - NW - DNR - methods - 2017</v>
          </cell>
          <cell r="C153" t="str">
            <v>JSP_south_P5</v>
          </cell>
          <cell r="D153" t="str">
            <v>single</v>
          </cell>
          <cell r="E153">
            <v>2017</v>
          </cell>
          <cell r="F153"/>
          <cell r="G153" t="str">
            <v>polygon</v>
          </cell>
          <cell r="H153" t="str">
            <v>Case Inlet</v>
          </cell>
          <cell r="I153" t="str">
            <v>CPS</v>
          </cell>
          <cell r="J153" t="str">
            <v>Zm Restoration Methods Assessment</v>
          </cell>
          <cell r="K153" t="str">
            <v>DNR</v>
          </cell>
          <cell r="L153" t="str">
            <v>Nearshore Habitat Program</v>
          </cell>
          <cell r="M153"/>
          <cell r="N153"/>
          <cell r="O153"/>
          <cell r="P153"/>
          <cell r="Q153"/>
          <cell r="R153" t="str">
            <v>test</v>
          </cell>
          <cell r="S153" t="str">
            <v>--</v>
          </cell>
          <cell r="T153">
            <v>42881</v>
          </cell>
          <cell r="U153">
            <v>47.221110000000003</v>
          </cell>
          <cell r="V153">
            <v>-122.80936</v>
          </cell>
          <cell r="W153" t="str">
            <v>point</v>
          </cell>
          <cell r="X153" t="str">
            <v>retain</v>
          </cell>
          <cell r="Y153" t="str">
            <v>WGS84</v>
          </cell>
          <cell r="AA153" t="str">
            <v>rebar</v>
          </cell>
          <cell r="AB153">
            <v>10</v>
          </cell>
          <cell r="AC153">
            <v>4</v>
          </cell>
          <cell r="AD153">
            <v>40</v>
          </cell>
          <cell r="AE153">
            <v>1.25</v>
          </cell>
          <cell r="AF153">
            <v>7.5000000000000011E-2</v>
          </cell>
          <cell r="AG153">
            <v>3</v>
          </cell>
          <cell r="AH153">
            <v>90</v>
          </cell>
          <cell r="AI153">
            <v>2.25</v>
          </cell>
          <cell r="AJ153">
            <v>72</v>
          </cell>
          <cell r="AK153" t="str">
            <v>DuPont Wharf</v>
          </cell>
          <cell r="AL153"/>
        </row>
        <row r="154">
          <cell r="B154" t="str">
            <v>Joemma Beach State Park Mid South - PNNL - large - T4-5 - 2015</v>
          </cell>
          <cell r="C154" t="str">
            <v>JSP_mid_south_2</v>
          </cell>
          <cell r="D154" t="str">
            <v>single</v>
          </cell>
          <cell r="E154">
            <v>2017</v>
          </cell>
          <cell r="F154"/>
          <cell r="G154" t="str">
            <v>point</v>
          </cell>
          <cell r="H154" t="str">
            <v>Case Inlet</v>
          </cell>
          <cell r="I154" t="str">
            <v>CPS</v>
          </cell>
          <cell r="J154" t="str">
            <v>DNR</v>
          </cell>
          <cell r="K154" t="str">
            <v>DNR</v>
          </cell>
          <cell r="L154" t="str">
            <v>Nearshore Habitat Program</v>
          </cell>
          <cell r="M154"/>
          <cell r="N154"/>
          <cell r="O154"/>
          <cell r="P154"/>
          <cell r="Q154"/>
          <cell r="R154" t="str">
            <v>test</v>
          </cell>
          <cell r="S154" t="str">
            <v>test</v>
          </cell>
          <cell r="T154">
            <v>42883</v>
          </cell>
          <cell r="U154"/>
          <cell r="V154"/>
          <cell r="W154" t="str">
            <v>point</v>
          </cell>
          <cell r="X154" t="str">
            <v>drop</v>
          </cell>
          <cell r="Y154" t="str">
            <v>WGS84</v>
          </cell>
          <cell r="AA154" t="str">
            <v>rebar</v>
          </cell>
          <cell r="AB154">
            <v>4</v>
          </cell>
          <cell r="AC154">
            <v>0.25</v>
          </cell>
          <cell r="AD154">
            <v>1</v>
          </cell>
          <cell r="AE154">
            <v>1</v>
          </cell>
          <cell r="AF154">
            <v>0.1</v>
          </cell>
          <cell r="AG154">
            <v>4</v>
          </cell>
          <cell r="AH154">
            <v>80</v>
          </cell>
          <cell r="AI154">
            <v>80</v>
          </cell>
          <cell r="AJ154">
            <v>80</v>
          </cell>
          <cell r="AK154" t="str">
            <v>DuPont Wharf</v>
          </cell>
          <cell r="AL154" t="str">
            <v xml:space="preserve">4, 50 cm long rebar with 20 shoots attached to each placed between Transects 4 &amp; 5 of JBSP Mid South - PNNL - large - 2015, approximately 10 m from southern end of transects. </v>
          </cell>
        </row>
        <row r="155">
          <cell r="B155" t="str">
            <v>Joemma Beach State Park Mid South - PNNL - large - T4-5 - 2015</v>
          </cell>
          <cell r="C155" t="str">
            <v>JSP_mid_south_2</v>
          </cell>
          <cell r="D155" t="str">
            <v>single</v>
          </cell>
          <cell r="E155">
            <v>2017</v>
          </cell>
          <cell r="G155" t="str">
            <v>point</v>
          </cell>
          <cell r="H155" t="str">
            <v>Case Inlet</v>
          </cell>
          <cell r="I155" t="str">
            <v>CPS</v>
          </cell>
          <cell r="J155" t="str">
            <v>DNR</v>
          </cell>
          <cell r="K155" t="str">
            <v>DNR</v>
          </cell>
          <cell r="L155" t="str">
            <v>Nearshore Habitat Program</v>
          </cell>
          <cell r="R155" t="str">
            <v>test</v>
          </cell>
          <cell r="S155" t="str">
            <v>test</v>
          </cell>
          <cell r="T155">
            <v>42883</v>
          </cell>
          <cell r="U155"/>
          <cell r="V155"/>
          <cell r="W155" t="str">
            <v>point</v>
          </cell>
          <cell r="X155" t="str">
            <v>drop</v>
          </cell>
          <cell r="Y155" t="str">
            <v>WGS84</v>
          </cell>
          <cell r="AA155" t="str">
            <v>rebar</v>
          </cell>
          <cell r="AB155">
            <v>4</v>
          </cell>
          <cell r="AC155">
            <v>0.25</v>
          </cell>
          <cell r="AD155">
            <v>1</v>
          </cell>
          <cell r="AE155">
            <v>1</v>
          </cell>
          <cell r="AF155">
            <v>0.1</v>
          </cell>
          <cell r="AG155">
            <v>4</v>
          </cell>
          <cell r="AH155">
            <v>100</v>
          </cell>
          <cell r="AI155">
            <v>100</v>
          </cell>
          <cell r="AJ155">
            <v>100</v>
          </cell>
          <cell r="AK155" t="str">
            <v>DuPont Wharf</v>
          </cell>
          <cell r="AL155" t="str">
            <v>4, 50 cm long rebar with 20 shoots attached to each placed between Transects 4 &amp; 5 of JBSP Mid South - PNNL - large - 2015. About 5 meters north of southern extent of Transects 4 &amp; 5.</v>
          </cell>
        </row>
        <row r="156">
          <cell r="B156" t="str">
            <v>Joemma Beach State Park Mid South - PNNL - large - T4-5 - 2015</v>
          </cell>
          <cell r="C156" t="str">
            <v>JSP_mid_south_2</v>
          </cell>
          <cell r="D156" t="str">
            <v>single</v>
          </cell>
          <cell r="E156">
            <v>2017</v>
          </cell>
          <cell r="G156" t="str">
            <v>point</v>
          </cell>
          <cell r="H156" t="str">
            <v>Case Inlet</v>
          </cell>
          <cell r="I156" t="str">
            <v>CPS</v>
          </cell>
          <cell r="J156" t="str">
            <v>DNR</v>
          </cell>
          <cell r="K156" t="str">
            <v>DNR</v>
          </cell>
          <cell r="L156" t="str">
            <v>Nearshore Habitat Program</v>
          </cell>
          <cell r="R156" t="str">
            <v>test</v>
          </cell>
          <cell r="S156" t="str">
            <v>test</v>
          </cell>
          <cell r="T156">
            <v>42883</v>
          </cell>
          <cell r="U156"/>
          <cell r="V156"/>
          <cell r="W156" t="str">
            <v>point</v>
          </cell>
          <cell r="X156" t="str">
            <v>drop</v>
          </cell>
          <cell r="Y156" t="str">
            <v>WGS84</v>
          </cell>
          <cell r="AA156" t="str">
            <v>rebar</v>
          </cell>
          <cell r="AB156">
            <v>2</v>
          </cell>
          <cell r="AC156">
            <v>0.25</v>
          </cell>
          <cell r="AD156">
            <v>0.5</v>
          </cell>
          <cell r="AE156">
            <v>0.5</v>
          </cell>
          <cell r="AF156">
            <v>0.05</v>
          </cell>
          <cell r="AG156">
            <v>2</v>
          </cell>
          <cell r="AH156">
            <v>50</v>
          </cell>
          <cell r="AI156">
            <v>100</v>
          </cell>
          <cell r="AJ156">
            <v>100</v>
          </cell>
          <cell r="AK156" t="str">
            <v>DuPont Wharf</v>
          </cell>
          <cell r="AL156" t="str">
            <v>2, 50 cm long rebar with 20 shoots attached to each placed between Transects 4 &amp; 5 of JBSP Mid South - PNNL - large - 2015. Most southern extent of Transects 4 &amp; 5.</v>
          </cell>
        </row>
        <row r="157">
          <cell r="B157" t="str">
            <v>Joemma Beach State Park Mid South - PNNL - large - T4-5 - 2015</v>
          </cell>
          <cell r="C157" t="str">
            <v>JSP_mid_south_2</v>
          </cell>
          <cell r="D157" t="str">
            <v>single</v>
          </cell>
          <cell r="E157">
            <v>2017</v>
          </cell>
          <cell r="G157" t="str">
            <v>point</v>
          </cell>
          <cell r="H157" t="str">
            <v>Case Inlet</v>
          </cell>
          <cell r="I157" t="str">
            <v>CPS</v>
          </cell>
          <cell r="J157" t="str">
            <v>DNR</v>
          </cell>
          <cell r="K157" t="str">
            <v>DNR</v>
          </cell>
          <cell r="L157" t="str">
            <v>Nearshore Habitat Program</v>
          </cell>
          <cell r="R157" t="str">
            <v>test</v>
          </cell>
          <cell r="S157" t="str">
            <v>test</v>
          </cell>
          <cell r="T157">
            <v>42883</v>
          </cell>
          <cell r="U157"/>
          <cell r="V157"/>
          <cell r="W157" t="str">
            <v>point</v>
          </cell>
          <cell r="X157" t="str">
            <v>drop</v>
          </cell>
          <cell r="Y157" t="str">
            <v>WGS84</v>
          </cell>
          <cell r="AA157" t="str">
            <v>burlap</v>
          </cell>
          <cell r="AB157">
            <v>2</v>
          </cell>
          <cell r="AC157">
            <v>0.25</v>
          </cell>
          <cell r="AD157">
            <v>0.5</v>
          </cell>
          <cell r="AE157">
            <v>0.5</v>
          </cell>
          <cell r="AF157">
            <v>0.125</v>
          </cell>
          <cell r="AG157">
            <v>2</v>
          </cell>
          <cell r="AH157">
            <v>50</v>
          </cell>
          <cell r="AI157">
            <v>100</v>
          </cell>
          <cell r="AJ157">
            <v>100</v>
          </cell>
          <cell r="AK157" t="str">
            <v>DuPont Wharf</v>
          </cell>
          <cell r="AL157" t="str">
            <v>2, 40 cm long burlap strips with 20 shoots attached to each placed between Transects 4 &amp; 5 of JBSP Mid South - PNNL - large - 2015. Most southern extent of Transects 4 &amp; 5.</v>
          </cell>
        </row>
        <row r="158">
          <cell r="B158" t="str">
            <v>Joemma Beach State Park Mid - DNR - BESE v1 - 1 - Aboveground (AG)</v>
          </cell>
          <cell r="C158" t="e">
            <v>#N/A</v>
          </cell>
          <cell r="D158" t="e">
            <v>#N/A</v>
          </cell>
          <cell r="E158">
            <v>2017</v>
          </cell>
          <cell r="G158" t="str">
            <v>point</v>
          </cell>
          <cell r="H158" t="str">
            <v>Case Inlet</v>
          </cell>
          <cell r="I158" t="str">
            <v>CPS</v>
          </cell>
          <cell r="J158" t="str">
            <v>DNR</v>
          </cell>
          <cell r="K158" t="str">
            <v>DNR</v>
          </cell>
          <cell r="L158" t="str">
            <v>Nearshore Habitat Program</v>
          </cell>
          <cell r="R158" t="str">
            <v>test</v>
          </cell>
          <cell r="S158" t="str">
            <v>test</v>
          </cell>
          <cell r="T158">
            <v>42854</v>
          </cell>
          <cell r="U158">
            <v>47.222461000000003</v>
          </cell>
          <cell r="V158">
            <v>-122.810239</v>
          </cell>
          <cell r="W158" t="e">
            <v>#N/A</v>
          </cell>
          <cell r="X158" t="e">
            <v>#N/A</v>
          </cell>
          <cell r="Y158" t="str">
            <v>WGS84</v>
          </cell>
          <cell r="Z158">
            <v>-1.1000000000000001</v>
          </cell>
          <cell r="AA158" t="str">
            <v>staple</v>
          </cell>
          <cell r="AB158">
            <v>1</v>
          </cell>
          <cell r="AC158">
            <v>1</v>
          </cell>
          <cell r="AD158">
            <v>1</v>
          </cell>
          <cell r="AE158">
            <v>8.0000000000000002E-3</v>
          </cell>
          <cell r="AF158">
            <v>1.4999999999999999E-2</v>
          </cell>
          <cell r="AG158">
            <v>3</v>
          </cell>
          <cell r="AH158">
            <v>12</v>
          </cell>
          <cell r="AI158">
            <v>12</v>
          </cell>
          <cell r="AJ158">
            <v>1500</v>
          </cell>
          <cell r="AK158" t="str">
            <v>Dumas Bay</v>
          </cell>
          <cell r="AL158" t="str">
            <v>BESE setup version 1 - setup was incorrect. Rather than removing all the eelgrass, it was left in place and new BESEs set just westward. 3 planting units with 4 shoots each. Dumas Bay shoots.</v>
          </cell>
        </row>
        <row r="159">
          <cell r="B159" t="str">
            <v>Joemma Beach State Park Mid - DNR - BESE v1 - 1 - Belowground (BG)</v>
          </cell>
          <cell r="C159" t="e">
            <v>#N/A</v>
          </cell>
          <cell r="D159" t="e">
            <v>#N/A</v>
          </cell>
          <cell r="E159">
            <v>2017</v>
          </cell>
          <cell r="G159" t="str">
            <v>point</v>
          </cell>
          <cell r="H159" t="str">
            <v>Case Inlet</v>
          </cell>
          <cell r="I159" t="str">
            <v>CPS</v>
          </cell>
          <cell r="J159" t="str">
            <v>DNR</v>
          </cell>
          <cell r="K159" t="str">
            <v>DNR</v>
          </cell>
          <cell r="L159" t="str">
            <v>Nearshore Habitat Program</v>
          </cell>
          <cell r="R159" t="str">
            <v>test</v>
          </cell>
          <cell r="S159" t="str">
            <v>--</v>
          </cell>
          <cell r="T159">
            <v>42854</v>
          </cell>
          <cell r="U159">
            <v>47.222489000000003</v>
          </cell>
          <cell r="V159">
            <v>-122.81026199999999</v>
          </cell>
          <cell r="W159" t="e">
            <v>#N/A</v>
          </cell>
          <cell r="X159" t="e">
            <v>#N/A</v>
          </cell>
          <cell r="Y159" t="str">
            <v>WGS84</v>
          </cell>
          <cell r="AA159" t="str">
            <v>staple</v>
          </cell>
          <cell r="AB159">
            <v>1</v>
          </cell>
          <cell r="AC159">
            <v>1</v>
          </cell>
          <cell r="AD159">
            <v>1</v>
          </cell>
          <cell r="AE159">
            <v>8.0000000000000002E-3</v>
          </cell>
          <cell r="AF159">
            <v>1.4999999999999999E-2</v>
          </cell>
          <cell r="AG159">
            <v>3</v>
          </cell>
          <cell r="AH159">
            <v>12</v>
          </cell>
          <cell r="AI159">
            <v>12</v>
          </cell>
          <cell r="AJ159">
            <v>1500</v>
          </cell>
          <cell r="AK159" t="str">
            <v>Dumas Bay</v>
          </cell>
          <cell r="AL159" t="str">
            <v>BESE setup version 1 - setup was incorrect. Rather than removing all the eelgrass, it was left in place and new BESEs set just westward. 3 planting units with 4 shoots each. Dumas Bay shoots.</v>
          </cell>
        </row>
        <row r="160">
          <cell r="B160" t="str">
            <v>Joemma Beach State Park Mid - DNR - BESE v1 - 1 - Control ( C)</v>
          </cell>
          <cell r="C160" t="e">
            <v>#N/A</v>
          </cell>
          <cell r="D160" t="e">
            <v>#N/A</v>
          </cell>
          <cell r="E160">
            <v>2017</v>
          </cell>
          <cell r="G160" t="str">
            <v>point</v>
          </cell>
          <cell r="H160" t="str">
            <v>Case Inlet</v>
          </cell>
          <cell r="I160" t="str">
            <v>CPS</v>
          </cell>
          <cell r="J160" t="str">
            <v>DNR</v>
          </cell>
          <cell r="K160" t="str">
            <v>DNR</v>
          </cell>
          <cell r="L160" t="str">
            <v>Nearshore Habitat Program</v>
          </cell>
          <cell r="R160" t="str">
            <v>test</v>
          </cell>
          <cell r="S160" t="str">
            <v>--</v>
          </cell>
          <cell r="T160">
            <v>42854</v>
          </cell>
          <cell r="U160">
            <v>47.222512000000002</v>
          </cell>
          <cell r="V160">
            <v>-122.810267</v>
          </cell>
          <cell r="W160" t="e">
            <v>#N/A</v>
          </cell>
          <cell r="X160" t="e">
            <v>#N/A</v>
          </cell>
          <cell r="Y160" t="str">
            <v>WGS84</v>
          </cell>
          <cell r="AA160" t="str">
            <v>staple</v>
          </cell>
          <cell r="AB160">
            <v>1</v>
          </cell>
          <cell r="AC160">
            <v>1</v>
          </cell>
          <cell r="AD160">
            <v>1</v>
          </cell>
          <cell r="AE160">
            <v>8.0000000000000002E-3</v>
          </cell>
          <cell r="AF160">
            <v>1.4999999999999999E-2</v>
          </cell>
          <cell r="AG160">
            <v>3</v>
          </cell>
          <cell r="AH160">
            <v>12</v>
          </cell>
          <cell r="AI160">
            <v>12</v>
          </cell>
          <cell r="AJ160">
            <v>1500</v>
          </cell>
          <cell r="AK160" t="str">
            <v>Dumas Bay</v>
          </cell>
          <cell r="AL160" t="str">
            <v>BESE setup version 1 - setup was incorrect. Rather than removing all the eelgrass, it was left in place and new BESEs set just westward. 3 planting units with 4 shoots each. Dumas Bay shoots.</v>
          </cell>
        </row>
        <row r="161">
          <cell r="B161" t="str">
            <v>Joemma Beach State Park Mid - DNR - BESE v1 - 2 - AG</v>
          </cell>
          <cell r="C161" t="e">
            <v>#N/A</v>
          </cell>
          <cell r="D161" t="e">
            <v>#N/A</v>
          </cell>
          <cell r="E161">
            <v>2017</v>
          </cell>
          <cell r="G161" t="str">
            <v>point</v>
          </cell>
          <cell r="H161" t="str">
            <v>Case Inlet</v>
          </cell>
          <cell r="I161" t="str">
            <v>CPS</v>
          </cell>
          <cell r="J161" t="str">
            <v>DNR</v>
          </cell>
          <cell r="K161" t="str">
            <v>DNR</v>
          </cell>
          <cell r="L161" t="str">
            <v>Nearshore Habitat Program</v>
          </cell>
          <cell r="R161" t="str">
            <v>test</v>
          </cell>
          <cell r="S161" t="str">
            <v>--</v>
          </cell>
          <cell r="T161">
            <v>42854</v>
          </cell>
          <cell r="U161">
            <v>47.222541999999997</v>
          </cell>
          <cell r="V161">
            <v>-122.81027899999999</v>
          </cell>
          <cell r="W161" t="e">
            <v>#N/A</v>
          </cell>
          <cell r="X161" t="e">
            <v>#N/A</v>
          </cell>
          <cell r="Y161" t="str">
            <v>WGS84</v>
          </cell>
          <cell r="AA161" t="str">
            <v>staple</v>
          </cell>
          <cell r="AB161">
            <v>1</v>
          </cell>
          <cell r="AC161">
            <v>1</v>
          </cell>
          <cell r="AD161">
            <v>1</v>
          </cell>
          <cell r="AE161">
            <v>8.0000000000000002E-3</v>
          </cell>
          <cell r="AF161">
            <v>1.4999999999999999E-2</v>
          </cell>
          <cell r="AG161">
            <v>3</v>
          </cell>
          <cell r="AH161">
            <v>12</v>
          </cell>
          <cell r="AI161">
            <v>12</v>
          </cell>
          <cell r="AJ161">
            <v>1500</v>
          </cell>
          <cell r="AK161" t="str">
            <v>Dumas Bay</v>
          </cell>
          <cell r="AL161" t="str">
            <v>BESE setup version 1 - setup was incorrect. Rather than removing all the eelgrass, it was left in place and new BESEs set just westward. 3 planting units with 4 shoots each. Dumas Bay shoots.</v>
          </cell>
        </row>
        <row r="162">
          <cell r="B162" t="str">
            <v>Joemma Beach State Park Mid - DNR - BESE v1 - 2 - C</v>
          </cell>
          <cell r="C162" t="e">
            <v>#N/A</v>
          </cell>
          <cell r="D162" t="e">
            <v>#N/A</v>
          </cell>
          <cell r="E162">
            <v>2017</v>
          </cell>
          <cell r="G162" t="str">
            <v>point</v>
          </cell>
          <cell r="H162" t="str">
            <v>Case Inlet</v>
          </cell>
          <cell r="I162" t="str">
            <v>CPS</v>
          </cell>
          <cell r="J162" t="str">
            <v>DNR</v>
          </cell>
          <cell r="K162" t="str">
            <v>DNR</v>
          </cell>
          <cell r="L162" t="str">
            <v>Nearshore Habitat Program</v>
          </cell>
          <cell r="R162" t="str">
            <v>test</v>
          </cell>
          <cell r="S162" t="str">
            <v>--</v>
          </cell>
          <cell r="T162">
            <v>42854</v>
          </cell>
          <cell r="U162">
            <v>47.222552</v>
          </cell>
          <cell r="V162">
            <v>-122.810293</v>
          </cell>
          <cell r="W162" t="e">
            <v>#N/A</v>
          </cell>
          <cell r="X162" t="e">
            <v>#N/A</v>
          </cell>
          <cell r="Y162" t="str">
            <v>WGS84</v>
          </cell>
          <cell r="AA162" t="str">
            <v>staple</v>
          </cell>
          <cell r="AB162">
            <v>1</v>
          </cell>
          <cell r="AC162">
            <v>1</v>
          </cell>
          <cell r="AD162">
            <v>1</v>
          </cell>
          <cell r="AE162">
            <v>8.0000000000000002E-3</v>
          </cell>
          <cell r="AF162">
            <v>1.4999999999999999E-2</v>
          </cell>
          <cell r="AG162">
            <v>3</v>
          </cell>
          <cell r="AH162">
            <v>12</v>
          </cell>
          <cell r="AI162">
            <v>12</v>
          </cell>
          <cell r="AJ162">
            <v>1500</v>
          </cell>
          <cell r="AK162" t="str">
            <v>Dumas Bay</v>
          </cell>
          <cell r="AL162" t="str">
            <v>BESE setup version 1 - setup was incorrect. Rather than removing all the eelgrass, it was left in place and new BESEs set just westward. 3 planting units with 4 shoots each. Dumas Bay shoots.</v>
          </cell>
        </row>
        <row r="163">
          <cell r="B163" t="str">
            <v>Joemma Beach State Park Mid - DNR - BESE v1 - 2 - BG</v>
          </cell>
          <cell r="C163" t="e">
            <v>#N/A</v>
          </cell>
          <cell r="D163" t="e">
            <v>#N/A</v>
          </cell>
          <cell r="E163">
            <v>2017</v>
          </cell>
          <cell r="G163" t="str">
            <v>point</v>
          </cell>
          <cell r="H163" t="str">
            <v>Case Inlet</v>
          </cell>
          <cell r="I163" t="str">
            <v>CPS</v>
          </cell>
          <cell r="J163" t="str">
            <v>DNR</v>
          </cell>
          <cell r="K163" t="str">
            <v>DNR</v>
          </cell>
          <cell r="L163" t="str">
            <v>Nearshore Habitat Program</v>
          </cell>
          <cell r="R163" t="str">
            <v>test</v>
          </cell>
          <cell r="S163" t="str">
            <v>--</v>
          </cell>
          <cell r="T163">
            <v>42854</v>
          </cell>
          <cell r="U163">
            <v>47.222596000000003</v>
          </cell>
          <cell r="V163">
            <v>-122.810309</v>
          </cell>
          <cell r="W163" t="e">
            <v>#N/A</v>
          </cell>
          <cell r="X163" t="e">
            <v>#N/A</v>
          </cell>
          <cell r="Y163" t="str">
            <v>WGS84</v>
          </cell>
          <cell r="AA163" t="str">
            <v>staple</v>
          </cell>
          <cell r="AB163">
            <v>1</v>
          </cell>
          <cell r="AC163">
            <v>1</v>
          </cell>
          <cell r="AD163">
            <v>1</v>
          </cell>
          <cell r="AE163">
            <v>8.0000000000000002E-3</v>
          </cell>
          <cell r="AF163">
            <v>1.4999999999999999E-2</v>
          </cell>
          <cell r="AG163">
            <v>3</v>
          </cell>
          <cell r="AH163">
            <v>12</v>
          </cell>
          <cell r="AI163">
            <v>12</v>
          </cell>
          <cell r="AJ163">
            <v>1500</v>
          </cell>
          <cell r="AK163" t="str">
            <v>Dumas Bay</v>
          </cell>
          <cell r="AL163" t="str">
            <v>BESE setup version 1 - setup was incorrect. Rather than removing all the eelgrass, it was left in place and new BESEs set just westward. 3 planting units with 4 shoots each. Dumas Bay shoots.</v>
          </cell>
        </row>
        <row r="164">
          <cell r="B164" t="str">
            <v>Joemma Beach State Park Mid - DNR - BESE v1 - 3 - C</v>
          </cell>
          <cell r="C164" t="e">
            <v>#N/A</v>
          </cell>
          <cell r="D164" t="e">
            <v>#N/A</v>
          </cell>
          <cell r="E164">
            <v>2017</v>
          </cell>
          <cell r="G164" t="str">
            <v>point</v>
          </cell>
          <cell r="H164" t="str">
            <v>Case Inlet</v>
          </cell>
          <cell r="I164" t="str">
            <v>CPS</v>
          </cell>
          <cell r="J164" t="str">
            <v>DNR</v>
          </cell>
          <cell r="K164" t="str">
            <v>DNR</v>
          </cell>
          <cell r="L164" t="str">
            <v>Nearshore Habitat Program</v>
          </cell>
          <cell r="R164" t="str">
            <v>test</v>
          </cell>
          <cell r="S164" t="str">
            <v>--</v>
          </cell>
          <cell r="T164">
            <v>42854</v>
          </cell>
          <cell r="U164">
            <v>47.222611999999998</v>
          </cell>
          <cell r="V164">
            <v>-122.810312</v>
          </cell>
          <cell r="W164" t="e">
            <v>#N/A</v>
          </cell>
          <cell r="X164" t="e">
            <v>#N/A</v>
          </cell>
          <cell r="Y164" t="str">
            <v>WGS84</v>
          </cell>
          <cell r="AA164" t="str">
            <v>staple</v>
          </cell>
          <cell r="AB164">
            <v>1</v>
          </cell>
          <cell r="AC164">
            <v>1</v>
          </cell>
          <cell r="AD164">
            <v>1</v>
          </cell>
          <cell r="AE164">
            <v>8.0000000000000002E-3</v>
          </cell>
          <cell r="AF164">
            <v>1.4999999999999999E-2</v>
          </cell>
          <cell r="AG164">
            <v>3</v>
          </cell>
          <cell r="AH164">
            <v>12</v>
          </cell>
          <cell r="AI164">
            <v>12</v>
          </cell>
          <cell r="AJ164">
            <v>1500</v>
          </cell>
          <cell r="AK164" t="str">
            <v>Dumas Bay</v>
          </cell>
          <cell r="AL164" t="str">
            <v>BESE setup version 1 - setup was incorrect. Rather than removing all the eelgrass, it was left in place and new BESEs set just westward. 3 planting units with 4 shoots each. Dumas Bay shoots.</v>
          </cell>
        </row>
        <row r="165">
          <cell r="B165" t="str">
            <v>Joemma Beach State Park Mid - DNR - BESE v1 - 3 - BG</v>
          </cell>
          <cell r="C165" t="e">
            <v>#N/A</v>
          </cell>
          <cell r="D165" t="e">
            <v>#N/A</v>
          </cell>
          <cell r="E165">
            <v>2017</v>
          </cell>
          <cell r="G165" t="str">
            <v>point</v>
          </cell>
          <cell r="H165" t="str">
            <v>Case Inlet</v>
          </cell>
          <cell r="I165" t="str">
            <v>CPS</v>
          </cell>
          <cell r="J165" t="str">
            <v>DNR</v>
          </cell>
          <cell r="K165" t="str">
            <v>DNR</v>
          </cell>
          <cell r="L165" t="str">
            <v>Nearshore Habitat Program</v>
          </cell>
          <cell r="R165" t="str">
            <v>test</v>
          </cell>
          <cell r="S165" t="str">
            <v>--</v>
          </cell>
          <cell r="T165">
            <v>42854</v>
          </cell>
          <cell r="U165">
            <v>47.222638000000003</v>
          </cell>
          <cell r="V165">
            <v>-122.810339</v>
          </cell>
          <cell r="W165" t="e">
            <v>#N/A</v>
          </cell>
          <cell r="X165" t="e">
            <v>#N/A</v>
          </cell>
          <cell r="Y165" t="str">
            <v>WGS84</v>
          </cell>
          <cell r="AA165" t="str">
            <v>staple</v>
          </cell>
          <cell r="AB165">
            <v>1</v>
          </cell>
          <cell r="AC165">
            <v>1</v>
          </cell>
          <cell r="AD165">
            <v>1</v>
          </cell>
          <cell r="AE165">
            <v>8.0000000000000002E-3</v>
          </cell>
          <cell r="AF165">
            <v>1.4999999999999999E-2</v>
          </cell>
          <cell r="AG165">
            <v>3</v>
          </cell>
          <cell r="AH165">
            <v>12</v>
          </cell>
          <cell r="AI165">
            <v>12</v>
          </cell>
          <cell r="AJ165">
            <v>1500</v>
          </cell>
          <cell r="AK165" t="str">
            <v>Dumas Bay</v>
          </cell>
          <cell r="AL165" t="str">
            <v>BESE setup version 1 - setup was incorrect. Rather than removing all the eelgrass, it was left in place and new BESEs set just westward. 3 planting units with 4 shoots each. Dumas Bay shoots.</v>
          </cell>
        </row>
        <row r="166">
          <cell r="B166" t="str">
            <v>Joemma Beach State Park Mid - DNR - BESE v1 - 4 - C</v>
          </cell>
          <cell r="C166" t="e">
            <v>#N/A</v>
          </cell>
          <cell r="D166" t="e">
            <v>#N/A</v>
          </cell>
          <cell r="E166">
            <v>2017</v>
          </cell>
          <cell r="G166" t="str">
            <v>point</v>
          </cell>
          <cell r="H166" t="str">
            <v>Case Inlet</v>
          </cell>
          <cell r="I166" t="str">
            <v>CPS</v>
          </cell>
          <cell r="J166" t="str">
            <v>DNR</v>
          </cell>
          <cell r="K166" t="str">
            <v>DNR</v>
          </cell>
          <cell r="L166" t="str">
            <v>Nearshore Habitat Program</v>
          </cell>
          <cell r="R166" t="str">
            <v>test</v>
          </cell>
          <cell r="S166" t="str">
            <v>--</v>
          </cell>
          <cell r="T166">
            <v>42854</v>
          </cell>
          <cell r="U166">
            <v>47.222659</v>
          </cell>
          <cell r="V166">
            <v>-122.810361</v>
          </cell>
          <cell r="W166" t="e">
            <v>#N/A</v>
          </cell>
          <cell r="X166" t="e">
            <v>#N/A</v>
          </cell>
          <cell r="Y166" t="str">
            <v>WGS84</v>
          </cell>
          <cell r="AA166" t="str">
            <v>staple</v>
          </cell>
          <cell r="AB166">
            <v>1</v>
          </cell>
          <cell r="AC166">
            <v>1</v>
          </cell>
          <cell r="AD166">
            <v>1</v>
          </cell>
          <cell r="AE166">
            <v>8.0000000000000002E-3</v>
          </cell>
          <cell r="AF166">
            <v>1.4999999999999999E-2</v>
          </cell>
          <cell r="AG166">
            <v>3</v>
          </cell>
          <cell r="AH166">
            <v>12</v>
          </cell>
          <cell r="AI166">
            <v>12</v>
          </cell>
          <cell r="AJ166">
            <v>1500</v>
          </cell>
          <cell r="AK166" t="str">
            <v>Dumas Bay</v>
          </cell>
          <cell r="AL166" t="str">
            <v>BESE setup version 1 - setup was incorrect. Rather than removing all the eelgrass, it was left in place and new BESEs set just westward. 3 planting units with 4 shoots each. Dumas Bay shoots.</v>
          </cell>
        </row>
        <row r="167">
          <cell r="B167" t="str">
            <v>Joemma Beach State Park Mid - DNR - BESE v1 - 4 - BG</v>
          </cell>
          <cell r="C167" t="e">
            <v>#N/A</v>
          </cell>
          <cell r="D167" t="e">
            <v>#N/A</v>
          </cell>
          <cell r="E167">
            <v>2017</v>
          </cell>
          <cell r="G167" t="str">
            <v>point</v>
          </cell>
          <cell r="H167" t="str">
            <v>Case Inlet</v>
          </cell>
          <cell r="I167" t="str">
            <v>CPS</v>
          </cell>
          <cell r="J167" t="str">
            <v>DNR</v>
          </cell>
          <cell r="K167" t="str">
            <v>DNR</v>
          </cell>
          <cell r="L167" t="str">
            <v>Nearshore Habitat Program</v>
          </cell>
          <cell r="R167" t="str">
            <v>test</v>
          </cell>
          <cell r="S167" t="str">
            <v>--</v>
          </cell>
          <cell r="T167">
            <v>42854</v>
          </cell>
          <cell r="U167">
            <v>47.222687999999998</v>
          </cell>
          <cell r="V167">
            <v>-122.810372</v>
          </cell>
          <cell r="W167" t="e">
            <v>#N/A</v>
          </cell>
          <cell r="X167" t="e">
            <v>#N/A</v>
          </cell>
          <cell r="Y167" t="str">
            <v>WGS84</v>
          </cell>
          <cell r="AA167" t="str">
            <v>staple</v>
          </cell>
          <cell r="AB167">
            <v>1</v>
          </cell>
          <cell r="AC167">
            <v>1</v>
          </cell>
          <cell r="AD167">
            <v>1</v>
          </cell>
          <cell r="AE167">
            <v>8.0000000000000002E-3</v>
          </cell>
          <cell r="AF167">
            <v>1.4999999999999999E-2</v>
          </cell>
          <cell r="AG167">
            <v>3</v>
          </cell>
          <cell r="AH167">
            <v>12</v>
          </cell>
          <cell r="AI167">
            <v>12</v>
          </cell>
          <cell r="AJ167">
            <v>1500</v>
          </cell>
          <cell r="AK167" t="str">
            <v>Dumas Bay</v>
          </cell>
          <cell r="AL167" t="str">
            <v>BESE setup version 1 - setup was incorrect. Rather than removing all the eelgrass, it was left in place and new BESEs set just westward. 3 planting units with 4 shoots each. Dumas Bay shoots.</v>
          </cell>
        </row>
        <row r="168">
          <cell r="B168" t="str">
            <v>Joemma Beach State Park Mid - DNR - BESE v1 - 3 - AG</v>
          </cell>
          <cell r="C168" t="e">
            <v>#N/A</v>
          </cell>
          <cell r="D168" t="e">
            <v>#N/A</v>
          </cell>
          <cell r="E168">
            <v>2017</v>
          </cell>
          <cell r="G168" t="str">
            <v>point</v>
          </cell>
          <cell r="H168" t="str">
            <v>Case Inlet</v>
          </cell>
          <cell r="I168" t="str">
            <v>CPS</v>
          </cell>
          <cell r="J168" t="str">
            <v>DNR</v>
          </cell>
          <cell r="K168" t="str">
            <v>DNR</v>
          </cell>
          <cell r="L168" t="str">
            <v>Nearshore Habitat Program</v>
          </cell>
          <cell r="R168" t="str">
            <v>test</v>
          </cell>
          <cell r="S168" t="str">
            <v>--</v>
          </cell>
          <cell r="T168">
            <v>42854</v>
          </cell>
          <cell r="U168">
            <v>47.222720000000002</v>
          </cell>
          <cell r="V168">
            <v>-122.81038599999999</v>
          </cell>
          <cell r="W168" t="e">
            <v>#N/A</v>
          </cell>
          <cell r="X168" t="e">
            <v>#N/A</v>
          </cell>
          <cell r="Y168" t="str">
            <v>WGS84</v>
          </cell>
          <cell r="AA168" t="str">
            <v>staple</v>
          </cell>
          <cell r="AB168">
            <v>1</v>
          </cell>
          <cell r="AC168">
            <v>1</v>
          </cell>
          <cell r="AD168">
            <v>1</v>
          </cell>
          <cell r="AE168">
            <v>8.0000000000000002E-3</v>
          </cell>
          <cell r="AF168">
            <v>1.4999999999999999E-2</v>
          </cell>
          <cell r="AG168">
            <v>3</v>
          </cell>
          <cell r="AH168">
            <v>12</v>
          </cell>
          <cell r="AI168">
            <v>12</v>
          </cell>
          <cell r="AJ168">
            <v>1500</v>
          </cell>
          <cell r="AK168" t="str">
            <v>Dumas Bay</v>
          </cell>
          <cell r="AL168" t="str">
            <v>BESE setup version 1 - setup was incorrect. Rather than removing all the eelgrass, it was left in place and new BESEs set just westward. 3 planting units with 4 shoots each. Dumas Bay shoots.</v>
          </cell>
        </row>
        <row r="169">
          <cell r="B169" t="str">
            <v>Joemma Beach State Park Mid - DNR - BESE v1 - 4 - AG</v>
          </cell>
          <cell r="C169" t="e">
            <v>#N/A</v>
          </cell>
          <cell r="D169" t="e">
            <v>#N/A</v>
          </cell>
          <cell r="E169">
            <v>2017</v>
          </cell>
          <cell r="G169" t="str">
            <v>point</v>
          </cell>
          <cell r="H169" t="str">
            <v>Case Inlet</v>
          </cell>
          <cell r="I169" t="str">
            <v>CPS</v>
          </cell>
          <cell r="J169" t="str">
            <v>DNR</v>
          </cell>
          <cell r="K169" t="str">
            <v>DNR</v>
          </cell>
          <cell r="L169" t="str">
            <v>Nearshore Habitat Program</v>
          </cell>
          <cell r="R169" t="str">
            <v>test</v>
          </cell>
          <cell r="S169" t="str">
            <v>--</v>
          </cell>
          <cell r="T169">
            <v>42854</v>
          </cell>
          <cell r="U169">
            <v>47.222732999999998</v>
          </cell>
          <cell r="V169">
            <v>-122.8104</v>
          </cell>
          <cell r="W169" t="e">
            <v>#N/A</v>
          </cell>
          <cell r="X169" t="e">
            <v>#N/A</v>
          </cell>
          <cell r="Y169" t="str">
            <v>WGS84</v>
          </cell>
          <cell r="AA169" t="str">
            <v>staple</v>
          </cell>
          <cell r="AB169">
            <v>1</v>
          </cell>
          <cell r="AC169">
            <v>1</v>
          </cell>
          <cell r="AD169">
            <v>1</v>
          </cell>
          <cell r="AE169">
            <v>8.0000000000000002E-3</v>
          </cell>
          <cell r="AF169">
            <v>1.4999999999999999E-2</v>
          </cell>
          <cell r="AG169">
            <v>3</v>
          </cell>
          <cell r="AH169">
            <v>12</v>
          </cell>
          <cell r="AI169">
            <v>12</v>
          </cell>
          <cell r="AJ169">
            <v>1500</v>
          </cell>
          <cell r="AK169" t="str">
            <v>Dumas Bay</v>
          </cell>
          <cell r="AL169" t="str">
            <v>BESE setup version 1 - setup was incorrect. Rather than removing all the eelgrass, it was left in place and new BESEs set just westward. 3 planting units with 4 shoots each. Dumas Bay shoots.</v>
          </cell>
        </row>
        <row r="170">
          <cell r="B170" t="str">
            <v>Joemma Beach State Park Mid South - PNNL - large - T4-5 - 2015</v>
          </cell>
          <cell r="C170" t="str">
            <v>JSP_mid_south_2</v>
          </cell>
          <cell r="D170" t="str">
            <v>single</v>
          </cell>
          <cell r="E170">
            <v>2018</v>
          </cell>
          <cell r="G170" t="str">
            <v>point</v>
          </cell>
          <cell r="H170" t="str">
            <v>Case Inlet</v>
          </cell>
          <cell r="I170" t="str">
            <v>CPS</v>
          </cell>
          <cell r="J170" t="str">
            <v>DNR</v>
          </cell>
          <cell r="K170" t="str">
            <v>DNR</v>
          </cell>
          <cell r="L170" t="str">
            <v>Nearshore Habitat Program</v>
          </cell>
          <cell r="R170" t="str">
            <v>test</v>
          </cell>
          <cell r="S170" t="str">
            <v>test</v>
          </cell>
          <cell r="T170">
            <v>43264</v>
          </cell>
          <cell r="U170"/>
          <cell r="V170"/>
          <cell r="W170" t="str">
            <v>point</v>
          </cell>
          <cell r="X170" t="str">
            <v>drop</v>
          </cell>
          <cell r="Y170" t="str">
            <v>WGS84</v>
          </cell>
          <cell r="AA170" t="str">
            <v>rebar</v>
          </cell>
          <cell r="AB170">
            <v>4</v>
          </cell>
          <cell r="AC170">
            <v>0.25</v>
          </cell>
          <cell r="AD170">
            <v>1</v>
          </cell>
          <cell r="AE170">
            <v>0.25</v>
          </cell>
          <cell r="AF170">
            <v>0.1</v>
          </cell>
          <cell r="AG170">
            <v>4</v>
          </cell>
          <cell r="AH170">
            <v>100</v>
          </cell>
          <cell r="AI170">
            <v>100</v>
          </cell>
          <cell r="AJ170">
            <v>400</v>
          </cell>
          <cell r="AK170" t="str">
            <v>DuPont Wharf</v>
          </cell>
          <cell r="AL170" t="str">
            <v>4, 50 cm long rebar with 20 shoots attached to each placed between Transects 4 &amp; 5 of JBSP Mid South - PNNL - large - 2015, approximately 15 m from southern end of transects. These planting are in addition to 2017 plantings between Transects 4 &amp; 5.</v>
          </cell>
        </row>
        <row r="171">
          <cell r="B171" t="str">
            <v>Joemma Beach State Park Mid South - PNNL - large - T3-4 - 2015</v>
          </cell>
          <cell r="C171" t="str">
            <v>JSP_mid_south_1</v>
          </cell>
          <cell r="D171" t="str">
            <v>single</v>
          </cell>
          <cell r="E171">
            <v>2018</v>
          </cell>
          <cell r="G171" t="str">
            <v>point</v>
          </cell>
          <cell r="H171" t="str">
            <v>Case Inlet</v>
          </cell>
          <cell r="I171" t="str">
            <v>CPS</v>
          </cell>
          <cell r="J171" t="str">
            <v>DNR</v>
          </cell>
          <cell r="K171" t="str">
            <v>DNR</v>
          </cell>
          <cell r="L171" t="str">
            <v>Nearshore Habitat Program</v>
          </cell>
          <cell r="R171" t="str">
            <v>test</v>
          </cell>
          <cell r="S171" t="str">
            <v>test</v>
          </cell>
          <cell r="T171">
            <v>43264</v>
          </cell>
          <cell r="U171"/>
          <cell r="V171"/>
          <cell r="W171" t="str">
            <v>point</v>
          </cell>
          <cell r="X171" t="str">
            <v>drop</v>
          </cell>
          <cell r="Y171" t="str">
            <v>WGS84</v>
          </cell>
          <cell r="AA171" t="str">
            <v>rebar</v>
          </cell>
          <cell r="AB171">
            <v>3</v>
          </cell>
          <cell r="AC171">
            <v>0.25</v>
          </cell>
          <cell r="AD171">
            <v>0.75</v>
          </cell>
          <cell r="AE171">
            <v>0.25</v>
          </cell>
          <cell r="AF171">
            <v>7.5000000000000011E-2</v>
          </cell>
          <cell r="AG171">
            <v>3</v>
          </cell>
          <cell r="AH171">
            <v>75</v>
          </cell>
          <cell r="AI171">
            <v>100</v>
          </cell>
          <cell r="AJ171">
            <v>300</v>
          </cell>
          <cell r="AK171" t="str">
            <v>DuPont Wharf</v>
          </cell>
          <cell r="AL171" t="str">
            <v>3, 50 cm long rebar with 20 shoots attached to each placed between Transects 3 &amp; 4 of JBSP Mid South - PNNL - large - 2015. These plantings are new and between transects 3 &amp; 4.</v>
          </cell>
        </row>
        <row r="172">
          <cell r="B172" t="str">
            <v>Joemma Beach State Park - Mid - Rebar 1 - 2018</v>
          </cell>
          <cell r="C172" t="str">
            <v>JSP_mid_1</v>
          </cell>
          <cell r="D172" t="str">
            <v>colocated</v>
          </cell>
          <cell r="E172">
            <v>2018</v>
          </cell>
          <cell r="G172" t="str">
            <v>point</v>
          </cell>
          <cell r="H172" t="str">
            <v>Case Inlet</v>
          </cell>
          <cell r="I172" t="str">
            <v>CPS</v>
          </cell>
          <cell r="J172" t="str">
            <v>DNR</v>
          </cell>
          <cell r="K172" t="str">
            <v>DNR</v>
          </cell>
          <cell r="L172" t="str">
            <v>Nearshore Habitat Program</v>
          </cell>
          <cell r="R172" t="str">
            <v>test</v>
          </cell>
          <cell r="S172" t="str">
            <v>test</v>
          </cell>
          <cell r="T172">
            <v>43295</v>
          </cell>
          <cell r="U172">
            <v>47.222470000000001</v>
          </cell>
          <cell r="V172">
            <v>-122.81049</v>
          </cell>
          <cell r="W172" t="str">
            <v>point</v>
          </cell>
          <cell r="X172" t="str">
            <v>retain</v>
          </cell>
          <cell r="Y172" t="str">
            <v>WGS84</v>
          </cell>
          <cell r="AA172" t="str">
            <v>rebar</v>
          </cell>
          <cell r="AB172">
            <v>0.5</v>
          </cell>
          <cell r="AC172">
            <v>0.5</v>
          </cell>
          <cell r="AD172">
            <v>0.25</v>
          </cell>
          <cell r="AE172">
            <v>0.25</v>
          </cell>
          <cell r="AF172">
            <v>7.5000000000000011E-2</v>
          </cell>
          <cell r="AG172">
            <v>3</v>
          </cell>
          <cell r="AH172">
            <v>63</v>
          </cell>
          <cell r="AI172">
            <v>252</v>
          </cell>
          <cell r="AJ172">
            <v>252</v>
          </cell>
          <cell r="AK172" t="str">
            <v>DuPont Wharf</v>
          </cell>
          <cell r="AL172" t="str">
            <v>Southern most replicate. Transplanted 3, 50 cm long lengths of rebar with 21 shoots each in a 0.25 m2 area.  3 replicates total along a 16 m transect between the north and south points.</v>
          </cell>
        </row>
        <row r="173">
          <cell r="B173" t="str">
            <v>Joemma Beach State Park - Mid - Puck 1 - 2018</v>
          </cell>
          <cell r="C173" t="str">
            <v>JSP_mid_1</v>
          </cell>
          <cell r="D173" t="str">
            <v>colocated</v>
          </cell>
          <cell r="E173">
            <v>2018</v>
          </cell>
          <cell r="G173" t="str">
            <v>point</v>
          </cell>
          <cell r="H173" t="str">
            <v>Case Inlet</v>
          </cell>
          <cell r="I173" t="str">
            <v>CPS</v>
          </cell>
          <cell r="J173" t="str">
            <v>DNR</v>
          </cell>
          <cell r="K173" t="str">
            <v>DNR</v>
          </cell>
          <cell r="L173" t="str">
            <v>Nearshore Habitat Program</v>
          </cell>
          <cell r="R173" t="str">
            <v>test</v>
          </cell>
          <cell r="S173" t="str">
            <v>test</v>
          </cell>
          <cell r="T173">
            <v>43295</v>
          </cell>
          <cell r="U173">
            <v>47.222470000000001</v>
          </cell>
          <cell r="V173">
            <v>-122.81049</v>
          </cell>
          <cell r="W173" t="str">
            <v>point</v>
          </cell>
          <cell r="X173" t="str">
            <v>retain</v>
          </cell>
          <cell r="Y173" t="str">
            <v>WGS84</v>
          </cell>
          <cell r="AA173" t="str">
            <v>pucks</v>
          </cell>
          <cell r="AB173">
            <v>0.5</v>
          </cell>
          <cell r="AC173">
            <v>0.5</v>
          </cell>
          <cell r="AD173">
            <v>0.25</v>
          </cell>
          <cell r="AE173">
            <v>0.25</v>
          </cell>
          <cell r="AF173">
            <v>7.0649999999999991E-2</v>
          </cell>
          <cell r="AG173">
            <v>9</v>
          </cell>
          <cell r="AH173">
            <v>63</v>
          </cell>
          <cell r="AI173">
            <v>252</v>
          </cell>
          <cell r="AJ173">
            <v>252</v>
          </cell>
          <cell r="AK173" t="str">
            <v>DuPont Wharf</v>
          </cell>
          <cell r="AL173" t="str">
            <v>Transplanted 9 ceramic pucks with 7 shoots per puck in a 0.25 m2 area. 3 replicates total along a 16 m transect between the north and south points.</v>
          </cell>
        </row>
        <row r="174">
          <cell r="B174" t="str">
            <v>Joemma Beach State Park - Mid - Puck 2 - 2018</v>
          </cell>
          <cell r="C174" t="str">
            <v>JSP_mid_2</v>
          </cell>
          <cell r="D174" t="str">
            <v>single</v>
          </cell>
          <cell r="E174">
            <v>2018</v>
          </cell>
          <cell r="G174" t="str">
            <v>point</v>
          </cell>
          <cell r="H174" t="str">
            <v>Case Inlet</v>
          </cell>
          <cell r="I174" t="str">
            <v>CPS</v>
          </cell>
          <cell r="J174" t="str">
            <v>DNR</v>
          </cell>
          <cell r="K174" t="str">
            <v>DNR</v>
          </cell>
          <cell r="L174" t="str">
            <v>Nearshore Habitat Program</v>
          </cell>
          <cell r="R174" t="str">
            <v>test</v>
          </cell>
          <cell r="S174" t="str">
            <v>test</v>
          </cell>
          <cell r="T174">
            <v>43295</v>
          </cell>
          <cell r="U174"/>
          <cell r="V174"/>
          <cell r="W174" t="str">
            <v>point</v>
          </cell>
          <cell r="X174" t="str">
            <v>drop</v>
          </cell>
          <cell r="Y174" t="str">
            <v>WGS84</v>
          </cell>
          <cell r="AA174" t="str">
            <v>pucks</v>
          </cell>
          <cell r="AB174">
            <v>0.5</v>
          </cell>
          <cell r="AC174">
            <v>0.5</v>
          </cell>
          <cell r="AD174">
            <v>0.25</v>
          </cell>
          <cell r="AE174">
            <v>0.25</v>
          </cell>
          <cell r="AF174">
            <v>7.0649999999999991E-2</v>
          </cell>
          <cell r="AG174">
            <v>9</v>
          </cell>
          <cell r="AH174">
            <v>63</v>
          </cell>
          <cell r="AI174">
            <v>252</v>
          </cell>
          <cell r="AJ174">
            <v>252</v>
          </cell>
          <cell r="AK174" t="str">
            <v>DuPont Wharf</v>
          </cell>
          <cell r="AL174" t="str">
            <v>Transplanted 9 ceramic pucks with 7 shoots per puck in a 0.25 m2 area. 3 replicates total along a 16 m transect between the north and south points.</v>
          </cell>
        </row>
        <row r="175">
          <cell r="B175" t="str">
            <v>Joemma Beach State Park - Mid - Rebar 2 - 2018</v>
          </cell>
          <cell r="C175" t="str">
            <v>JSP_mid_2</v>
          </cell>
          <cell r="D175" t="str">
            <v>single</v>
          </cell>
          <cell r="E175">
            <v>2018</v>
          </cell>
          <cell r="G175" t="str">
            <v>point</v>
          </cell>
          <cell r="H175" t="str">
            <v>Case Inlet</v>
          </cell>
          <cell r="I175" t="str">
            <v>CPS</v>
          </cell>
          <cell r="J175" t="str">
            <v>DNR</v>
          </cell>
          <cell r="K175" t="str">
            <v>DNR</v>
          </cell>
          <cell r="L175" t="str">
            <v>Nearshore Habitat Program</v>
          </cell>
          <cell r="R175" t="str">
            <v>test</v>
          </cell>
          <cell r="S175" t="str">
            <v>test</v>
          </cell>
          <cell r="T175">
            <v>43295</v>
          </cell>
          <cell r="U175"/>
          <cell r="V175"/>
          <cell r="W175" t="str">
            <v>point</v>
          </cell>
          <cell r="X175" t="str">
            <v>drop</v>
          </cell>
          <cell r="Y175" t="str">
            <v>WGS84</v>
          </cell>
          <cell r="AA175" t="str">
            <v>rebar</v>
          </cell>
          <cell r="AB175">
            <v>0.5</v>
          </cell>
          <cell r="AC175">
            <v>0.5</v>
          </cell>
          <cell r="AD175">
            <v>0.25</v>
          </cell>
          <cell r="AE175">
            <v>0.25</v>
          </cell>
          <cell r="AF175">
            <v>7.5000000000000011E-2</v>
          </cell>
          <cell r="AG175">
            <v>3</v>
          </cell>
          <cell r="AH175">
            <v>63</v>
          </cell>
          <cell r="AI175">
            <v>252</v>
          </cell>
          <cell r="AJ175">
            <v>252</v>
          </cell>
          <cell r="AK175" t="str">
            <v>DuPont Wharf</v>
          </cell>
          <cell r="AL175" t="str">
            <v>Transplanted 3, 50 cm long lengths of rebar with 21 shoots each in a 0.25 m2 area.  3 replicates total along a 16 m transect between the north and south points.</v>
          </cell>
        </row>
        <row r="176">
          <cell r="B176" t="str">
            <v>Joemma Beach State Park - Mid - Rebar 3 - 2018</v>
          </cell>
          <cell r="C176" t="str">
            <v>JSP_mid_3</v>
          </cell>
          <cell r="D176" t="str">
            <v>colocated</v>
          </cell>
          <cell r="E176">
            <v>2018</v>
          </cell>
          <cell r="G176" t="str">
            <v>point</v>
          </cell>
          <cell r="H176" t="str">
            <v>Case Inlet</v>
          </cell>
          <cell r="I176" t="str">
            <v>CPS</v>
          </cell>
          <cell r="J176" t="str">
            <v>DNR</v>
          </cell>
          <cell r="K176" t="str">
            <v>DNR</v>
          </cell>
          <cell r="L176" t="str">
            <v>Nearshore Habitat Program</v>
          </cell>
          <cell r="R176" t="str">
            <v>test</v>
          </cell>
          <cell r="S176" t="str">
            <v>test</v>
          </cell>
          <cell r="T176">
            <v>43295</v>
          </cell>
          <cell r="U176">
            <v>47.222619999999999</v>
          </cell>
          <cell r="V176">
            <v>-122.81053</v>
          </cell>
          <cell r="W176" t="str">
            <v>point</v>
          </cell>
          <cell r="X176" t="str">
            <v>retain</v>
          </cell>
          <cell r="Y176" t="str">
            <v>WGS84</v>
          </cell>
          <cell r="AA176" t="str">
            <v>rebar</v>
          </cell>
          <cell r="AB176">
            <v>0.5</v>
          </cell>
          <cell r="AC176">
            <v>0.5</v>
          </cell>
          <cell r="AD176">
            <v>0.25</v>
          </cell>
          <cell r="AE176">
            <v>0.25</v>
          </cell>
          <cell r="AF176">
            <v>7.5000000000000011E-2</v>
          </cell>
          <cell r="AG176">
            <v>3</v>
          </cell>
          <cell r="AH176">
            <v>63</v>
          </cell>
          <cell r="AI176">
            <v>252</v>
          </cell>
          <cell r="AJ176">
            <v>252</v>
          </cell>
          <cell r="AK176" t="str">
            <v>DuPont Wharf</v>
          </cell>
          <cell r="AL176" t="str">
            <v>Transplanted 3, 50 cm long lengths of rebar with 21 shoots each in a 0.25 m2 area.  3 replicates total along a 16 m transect between the north and south points..</v>
          </cell>
        </row>
        <row r="177">
          <cell r="B177" t="str">
            <v>Joemma Beach State Park - Mid - Puck 3 - 2018</v>
          </cell>
          <cell r="C177" t="str">
            <v>JSP_mid_3</v>
          </cell>
          <cell r="D177" t="str">
            <v>single</v>
          </cell>
          <cell r="E177">
            <v>2018</v>
          </cell>
          <cell r="G177" t="str">
            <v>point</v>
          </cell>
          <cell r="H177" t="str">
            <v>Case Inlet</v>
          </cell>
          <cell r="I177" t="str">
            <v>CPS</v>
          </cell>
          <cell r="J177" t="str">
            <v>DNR</v>
          </cell>
          <cell r="K177" t="str">
            <v>DNR</v>
          </cell>
          <cell r="L177" t="str">
            <v>Nearshore Habitat Program</v>
          </cell>
          <cell r="R177" t="str">
            <v>test</v>
          </cell>
          <cell r="S177" t="str">
            <v>test</v>
          </cell>
          <cell r="T177">
            <v>43295</v>
          </cell>
          <cell r="U177">
            <v>47.222619999999999</v>
          </cell>
          <cell r="V177">
            <v>-122.81053</v>
          </cell>
          <cell r="W177" t="str">
            <v>point</v>
          </cell>
          <cell r="X177" t="str">
            <v>retain</v>
          </cell>
          <cell r="Y177" t="str">
            <v>WGS84</v>
          </cell>
          <cell r="AA177" t="str">
            <v>pucks</v>
          </cell>
          <cell r="AB177">
            <v>0.5</v>
          </cell>
          <cell r="AC177">
            <v>0.5</v>
          </cell>
          <cell r="AD177">
            <v>0.25</v>
          </cell>
          <cell r="AE177">
            <v>0.25</v>
          </cell>
          <cell r="AF177">
            <v>7.0649999999999991E-2</v>
          </cell>
          <cell r="AG177">
            <v>9</v>
          </cell>
          <cell r="AH177">
            <v>63</v>
          </cell>
          <cell r="AI177">
            <v>252</v>
          </cell>
          <cell r="AJ177">
            <v>252</v>
          </cell>
          <cell r="AK177" t="str">
            <v>DuPont Wharf</v>
          </cell>
          <cell r="AL177" t="str">
            <v>Northern most replicate. Transplanted 9 ceramic pucks with 7 shoots per puck in a 0.25 m2 area. 3 replicates total along a 16 m transect between the north and south points.</v>
          </cell>
        </row>
        <row r="178">
          <cell r="B178" t="str">
            <v>Joemma Beach State Park - Mid - test - 2020</v>
          </cell>
          <cell r="C178" t="str">
            <v>JSP_mid_4</v>
          </cell>
          <cell r="D178" t="str">
            <v>single</v>
          </cell>
          <cell r="E178">
            <v>2020</v>
          </cell>
          <cell r="G178" t="str">
            <v>point</v>
          </cell>
          <cell r="H178" t="str">
            <v>Case Inlet</v>
          </cell>
          <cell r="I178" t="str">
            <v>CPS</v>
          </cell>
          <cell r="J178" t="str">
            <v>DNR</v>
          </cell>
          <cell r="K178" t="str">
            <v>DNR</v>
          </cell>
          <cell r="L178" t="str">
            <v>Nearshore Habitat Program</v>
          </cell>
          <cell r="R178" t="str">
            <v>test</v>
          </cell>
          <cell r="S178" t="str">
            <v>test</v>
          </cell>
          <cell r="T178">
            <v>44018</v>
          </cell>
          <cell r="U178">
            <v>47.222589999999997</v>
          </cell>
          <cell r="V178">
            <v>-122.81049</v>
          </cell>
          <cell r="W178" t="str">
            <v>point</v>
          </cell>
          <cell r="X178" t="str">
            <v>retain</v>
          </cell>
          <cell r="Y178" t="str">
            <v>WGS84</v>
          </cell>
          <cell r="Z178">
            <v>-1.3</v>
          </cell>
          <cell r="AA178" t="str">
            <v>rebar</v>
          </cell>
          <cell r="AB178">
            <v>8</v>
          </cell>
          <cell r="AC178">
            <v>0.5</v>
          </cell>
          <cell r="AD178">
            <v>4</v>
          </cell>
          <cell r="AE178">
            <v>1</v>
          </cell>
          <cell r="AF178">
            <v>0.30000000000000004</v>
          </cell>
          <cell r="AG178">
            <v>12</v>
          </cell>
          <cell r="AH178">
            <v>240</v>
          </cell>
          <cell r="AI178">
            <v>60</v>
          </cell>
          <cell r="AJ178">
            <v>240</v>
          </cell>
          <cell r="AK178" t="str">
            <v>Dumas Bay</v>
          </cell>
          <cell r="AL178" t="str">
            <v>Planted 4, 0.25 m2 plots of 3 rebar each with Dumas Bay Zm just shoreward of the 2018 Rebar-Puck transplants.</v>
          </cell>
        </row>
        <row r="179">
          <cell r="B179" t="str">
            <v>Joemma Beach State Park South of South- PNNL - test - 2020</v>
          </cell>
          <cell r="C179" t="str">
            <v>WHB_test_1</v>
          </cell>
          <cell r="D179" t="str">
            <v>single</v>
          </cell>
          <cell r="E179">
            <v>2020</v>
          </cell>
          <cell r="G179" t="str">
            <v>point</v>
          </cell>
          <cell r="H179" t="str">
            <v>Case Inlet</v>
          </cell>
          <cell r="I179" t="str">
            <v>CPS</v>
          </cell>
          <cell r="J179" t="str">
            <v>Eelgrass Recovery in PS</v>
          </cell>
          <cell r="K179" t="str">
            <v>USACE</v>
          </cell>
          <cell r="L179" t="str">
            <v>USACE</v>
          </cell>
          <cell r="M179" t="str">
            <v>W912DW-14-2-0009 (93-099566)</v>
          </cell>
          <cell r="N179" t="str">
            <v>IAA 15-45</v>
          </cell>
          <cell r="O179" t="str">
            <v>PNNL</v>
          </cell>
          <cell r="R179" t="str">
            <v>test</v>
          </cell>
          <cell r="S179" t="str">
            <v>test</v>
          </cell>
          <cell r="T179">
            <v>44011</v>
          </cell>
          <cell r="U179">
            <v>47.207729999999998</v>
          </cell>
          <cell r="V179">
            <v>-122.80525</v>
          </cell>
          <cell r="W179" t="str">
            <v>point</v>
          </cell>
          <cell r="X179" t="str">
            <v>retain</v>
          </cell>
          <cell r="Y179" t="str">
            <v>WGS84</v>
          </cell>
          <cell r="Z179">
            <v>-1.9</v>
          </cell>
          <cell r="AA179" t="str">
            <v>rebar</v>
          </cell>
          <cell r="AB179">
            <v>2.5</v>
          </cell>
          <cell r="AC179">
            <v>2.5</v>
          </cell>
          <cell r="AD179">
            <v>6.25</v>
          </cell>
          <cell r="AE179">
            <v>5</v>
          </cell>
          <cell r="AF179">
            <v>0.5</v>
          </cell>
          <cell r="AG179">
            <v>20</v>
          </cell>
          <cell r="AH179">
            <v>500</v>
          </cell>
          <cell r="AI179">
            <v>80</v>
          </cell>
          <cell r="AJ179">
            <v>100</v>
          </cell>
          <cell r="AK179" t="str">
            <v>Rocky Bay</v>
          </cell>
          <cell r="AL179" t="str">
            <v>130deg az, sed sandy, wispy ulva, 15' depth baseline and 17' depth offshore at 1235, Whiskey Beach Ct SW is the nearest road so planting location is WHB_test_1</v>
          </cell>
        </row>
        <row r="180">
          <cell r="B180" t="str">
            <v>Joemma Beach State Park - Mid - Rebar - 2021</v>
          </cell>
          <cell r="C180" t="str">
            <v>JSP_south_test</v>
          </cell>
          <cell r="D180" t="str">
            <v>single</v>
          </cell>
          <cell r="E180">
            <v>2021</v>
          </cell>
          <cell r="G180" t="str">
            <v>point</v>
          </cell>
          <cell r="H180" t="str">
            <v>Case Inlet</v>
          </cell>
          <cell r="I180" t="str">
            <v>CPS</v>
          </cell>
          <cell r="J180" t="str">
            <v>DNR</v>
          </cell>
          <cell r="K180" t="str">
            <v>DNR</v>
          </cell>
          <cell r="L180"/>
          <cell r="M180"/>
          <cell r="N180"/>
          <cell r="O180"/>
          <cell r="R180" t="str">
            <v>test</v>
          </cell>
          <cell r="S180" t="str">
            <v>test</v>
          </cell>
          <cell r="T180">
            <v>44372</v>
          </cell>
          <cell r="U180"/>
          <cell r="V180"/>
          <cell r="W180" t="str">
            <v>point</v>
          </cell>
          <cell r="X180" t="str">
            <v>retain</v>
          </cell>
          <cell r="Y180" t="str">
            <v>WGS84</v>
          </cell>
          <cell r="Z180">
            <v>-1.5</v>
          </cell>
          <cell r="AA180" t="str">
            <v>rebar</v>
          </cell>
          <cell r="AB180">
            <v>3.5</v>
          </cell>
          <cell r="AC180">
            <v>0.5</v>
          </cell>
          <cell r="AD180">
            <v>1.75</v>
          </cell>
          <cell r="AE180">
            <v>2.25</v>
          </cell>
          <cell r="AF180">
            <v>0.22500000000000001</v>
          </cell>
          <cell r="AG180">
            <v>9</v>
          </cell>
          <cell r="AH180">
            <v>135</v>
          </cell>
          <cell r="AI180">
            <v>77.142857142857139</v>
          </cell>
          <cell r="AJ180">
            <v>60</v>
          </cell>
          <cell r="AK180" t="str">
            <v>DuPont Wharf</v>
          </cell>
          <cell r="AL180" t="str">
            <v xml:space="preserve">Planted just south of Joemma Beach State Park South - SE - HC - large 1 - 2016. </v>
          </cell>
        </row>
        <row r="181">
          <cell r="B181" t="str">
            <v>Joemma Beach State Park - Mid - Rebar - 2022</v>
          </cell>
          <cell r="C181" t="str">
            <v>JSP_mid_connect</v>
          </cell>
          <cell r="D181" t="str">
            <v>single</v>
          </cell>
          <cell r="E181">
            <v>2022</v>
          </cell>
          <cell r="G181" t="str">
            <v>point</v>
          </cell>
          <cell r="H181" t="str">
            <v>Case Inlet</v>
          </cell>
          <cell r="I181" t="str">
            <v>CPS</v>
          </cell>
          <cell r="J181" t="str">
            <v>DNR</v>
          </cell>
          <cell r="K181" t="str">
            <v>DNR</v>
          </cell>
          <cell r="L181"/>
          <cell r="M181"/>
          <cell r="N181"/>
          <cell r="O181"/>
          <cell r="R181" t="str">
            <v>test</v>
          </cell>
          <cell r="S181" t="str">
            <v>test</v>
          </cell>
          <cell r="T181">
            <v>44729</v>
          </cell>
          <cell r="U181"/>
          <cell r="V181"/>
          <cell r="W181" t="str">
            <v>point</v>
          </cell>
          <cell r="X181" t="str">
            <v>retain</v>
          </cell>
          <cell r="Y181" t="str">
            <v>WGS84</v>
          </cell>
          <cell r="Z181">
            <v>-1.5</v>
          </cell>
          <cell r="AA181" t="str">
            <v>rebar</v>
          </cell>
          <cell r="AB181">
            <v>2.5</v>
          </cell>
          <cell r="AC181">
            <v>0.5</v>
          </cell>
          <cell r="AD181">
            <v>1.25</v>
          </cell>
          <cell r="AE181">
            <v>1.75</v>
          </cell>
          <cell r="AF181">
            <v>0.375</v>
          </cell>
          <cell r="AG181">
            <v>15</v>
          </cell>
          <cell r="AH181">
            <v>180</v>
          </cell>
          <cell r="AI181">
            <v>144</v>
          </cell>
          <cell r="AJ181">
            <v>102.85714285714286</v>
          </cell>
          <cell r="AK181" t="str">
            <v>DuPont Wharf</v>
          </cell>
          <cell r="AL181" t="str">
            <v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v>
          </cell>
        </row>
        <row r="182">
          <cell r="B182" t="str">
            <v>Joemma Beach State Park - Mid - offshore HC 2016 - Rebar - 2022</v>
          </cell>
          <cell r="C182" t="str">
            <v>HC_off_1</v>
          </cell>
          <cell r="D182" t="str">
            <v>single</v>
          </cell>
          <cell r="E182">
            <v>2022</v>
          </cell>
          <cell r="G182" t="str">
            <v>point</v>
          </cell>
          <cell r="H182" t="str">
            <v>Case Inlet</v>
          </cell>
          <cell r="I182" t="str">
            <v>CPS</v>
          </cell>
          <cell r="J182" t="str">
            <v>DNR</v>
          </cell>
          <cell r="K182" t="str">
            <v>DNR</v>
          </cell>
          <cell r="L182"/>
          <cell r="M182"/>
          <cell r="N182"/>
          <cell r="O182"/>
          <cell r="R182" t="str">
            <v>test</v>
          </cell>
          <cell r="S182" t="str">
            <v>test</v>
          </cell>
          <cell r="T182">
            <v>44729</v>
          </cell>
          <cell r="U182"/>
          <cell r="V182"/>
          <cell r="W182" t="str">
            <v>point</v>
          </cell>
          <cell r="X182" t="str">
            <v>retain</v>
          </cell>
          <cell r="Y182" t="str">
            <v>WGS84</v>
          </cell>
          <cell r="Z182">
            <v>-1.5</v>
          </cell>
          <cell r="AA182" t="str">
            <v>rebar</v>
          </cell>
          <cell r="AB182">
            <v>1</v>
          </cell>
          <cell r="AC182">
            <v>0.5</v>
          </cell>
          <cell r="AD182">
            <v>0.5</v>
          </cell>
          <cell r="AE182">
            <v>0.25</v>
          </cell>
          <cell r="AF182">
            <v>0.15000000000000002</v>
          </cell>
          <cell r="AG182">
            <v>6</v>
          </cell>
          <cell r="AH182">
            <v>48</v>
          </cell>
          <cell r="AI182">
            <v>96</v>
          </cell>
          <cell r="AJ182">
            <v>192</v>
          </cell>
          <cell r="AK182" t="str">
            <v>DuPont Wharf</v>
          </cell>
          <cell r="AL182" t="str">
            <v xml:space="preserve">Planted 6,  50 cm long rebar with 12 shoots from DuPont Wharf attached to each to form a 0.25 m2 patch just offshore of the HC 2016 large scale plot that planted Rocky Point eelgrass. </v>
          </cell>
        </row>
        <row r="183">
          <cell r="B183" t="str">
            <v>Joemma Beach State Park - Mid - offshore HC 2016 - Rebar - 2025</v>
          </cell>
          <cell r="C183" t="str">
            <v>HC_off_2</v>
          </cell>
          <cell r="D183" t="str">
            <v>single</v>
          </cell>
          <cell r="E183">
            <v>2025</v>
          </cell>
          <cell r="G183" t="str">
            <v>point</v>
          </cell>
          <cell r="H183" t="str">
            <v>Case Inlet</v>
          </cell>
          <cell r="I183" t="str">
            <v>CPS</v>
          </cell>
          <cell r="J183" t="str">
            <v>DNR</v>
          </cell>
          <cell r="K183" t="str">
            <v>DNR</v>
          </cell>
          <cell r="L183"/>
          <cell r="M183"/>
          <cell r="N183"/>
          <cell r="O183"/>
          <cell r="R183" t="str">
            <v>test</v>
          </cell>
          <cell r="S183" t="str">
            <v>test</v>
          </cell>
          <cell r="T183">
            <v>45848</v>
          </cell>
          <cell r="U183"/>
          <cell r="V183"/>
          <cell r="W183" t="str">
            <v>point</v>
          </cell>
          <cell r="X183" t="str">
            <v>retain</v>
          </cell>
          <cell r="Y183" t="str">
            <v>WGS84</v>
          </cell>
          <cell r="Z183">
            <v>-1.5</v>
          </cell>
          <cell r="AA183" t="str">
            <v>rebar</v>
          </cell>
          <cell r="AB183">
            <v>32</v>
          </cell>
          <cell r="AC183">
            <v>0.5</v>
          </cell>
          <cell r="AD183">
            <v>16</v>
          </cell>
          <cell r="AE183">
            <v>16</v>
          </cell>
          <cell r="AF183">
            <v>0.8</v>
          </cell>
          <cell r="AG183">
            <v>32</v>
          </cell>
          <cell r="AH183">
            <v>700</v>
          </cell>
          <cell r="AI183">
            <v>43.75</v>
          </cell>
          <cell r="AJ183">
            <v>43.75</v>
          </cell>
          <cell r="AK183" t="str">
            <v>DuPont Wharf</v>
          </cell>
          <cell r="AL183" t="str">
            <v>planted 32, 50 cm long rebar with ~20 shoots from DuPont Wharf attached to each length. 1 rebar was planted at 0.5 m and then every 0.5 m thereafter to reach 16.5 m along a tape between a helical to the south with a donut toggle and another helical at PNNL 2015 deep.</v>
          </cell>
        </row>
        <row r="184">
          <cell r="B184" t="str">
            <v>Dog Camp - PNNL - test - 2020</v>
          </cell>
          <cell r="C184" t="str">
            <v>KYP_dog1</v>
          </cell>
          <cell r="D184" t="str">
            <v>single</v>
          </cell>
          <cell r="E184">
            <v>2020</v>
          </cell>
          <cell r="G184" t="str">
            <v>point</v>
          </cell>
          <cell r="H184" t="str">
            <v>Drayton Passage</v>
          </cell>
          <cell r="I184" t="str">
            <v>CPS</v>
          </cell>
          <cell r="J184" t="str">
            <v>Eelgrass Recovery in PS</v>
          </cell>
          <cell r="K184" t="str">
            <v>USACE</v>
          </cell>
          <cell r="L184" t="str">
            <v>USACE</v>
          </cell>
          <cell r="M184" t="str">
            <v>W912DW-14-2-0009 (93-099566)</v>
          </cell>
          <cell r="N184" t="str">
            <v>IAA 15-45</v>
          </cell>
          <cell r="O184" t="str">
            <v>PNNL</v>
          </cell>
          <cell r="R184" t="str">
            <v>test</v>
          </cell>
          <cell r="S184" t="str">
            <v>test</v>
          </cell>
          <cell r="T184">
            <v>44012</v>
          </cell>
          <cell r="U184">
            <v>47.177030000000002</v>
          </cell>
          <cell r="V184">
            <v>-122.7462833</v>
          </cell>
          <cell r="W184" t="str">
            <v>point</v>
          </cell>
          <cell r="X184" t="str">
            <v>retain</v>
          </cell>
          <cell r="Y184" t="str">
            <v>WGS84</v>
          </cell>
          <cell r="Z184">
            <v>-1.7</v>
          </cell>
          <cell r="AA184" t="str">
            <v>rebar</v>
          </cell>
          <cell r="AB184">
            <v>2.5</v>
          </cell>
          <cell r="AC184">
            <v>2.5</v>
          </cell>
          <cell r="AD184">
            <v>6.25</v>
          </cell>
          <cell r="AE184">
            <v>4.75</v>
          </cell>
          <cell r="AF184">
            <v>0.15</v>
          </cell>
          <cell r="AG184">
            <v>19</v>
          </cell>
          <cell r="AH184">
            <v>475</v>
          </cell>
          <cell r="AI184">
            <v>76</v>
          </cell>
          <cell r="AJ184">
            <v>100</v>
          </cell>
          <cell r="AK184" t="str">
            <v>Anderson Island</v>
          </cell>
          <cell r="AL184" t="str">
            <v>300 deg az, deep sand good current to keep algae away* this was at the slack tide</v>
          </cell>
        </row>
        <row r="185">
          <cell r="B185" t="str">
            <v>Liberty Bay East - PNNL - test - 2013</v>
          </cell>
          <cell r="C185" t="str">
            <v>LBT_east</v>
          </cell>
          <cell r="D185" t="str">
            <v>single</v>
          </cell>
          <cell r="E185">
            <v>2013</v>
          </cell>
          <cell r="F185" t="str">
            <v>Thom, RM, and L Hallum. 1990. Long‐term changes in the areal extent of tidal marshes, eelgrass meadows, and kelp forests of Puget Sound. FRI‐UW‐9008, Fisheries Research Institute, School of Fisheries, University of Washington, Seattle. Pp. 110.</v>
          </cell>
          <cell r="G185" t="str">
            <v>point</v>
          </cell>
          <cell r="H185" t="str">
            <v>Liberty Bay</v>
          </cell>
          <cell r="I185" t="str">
            <v>CPS</v>
          </cell>
          <cell r="J185" t="str">
            <v>20% more ZM</v>
          </cell>
          <cell r="K185" t="str">
            <v>WDFW</v>
          </cell>
          <cell r="L185" t="str">
            <v>National Estuary Program</v>
          </cell>
          <cell r="M185" t="str">
            <v>12-1117</v>
          </cell>
          <cell r="N185" t="str">
            <v xml:space="preserve"> IAA 12-316</v>
          </cell>
          <cell r="O185" t="str">
            <v>PNNL</v>
          </cell>
          <cell r="P185" t="str">
            <v>IAA 12-317</v>
          </cell>
          <cell r="Q185"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185" t="str">
            <v>test</v>
          </cell>
          <cell r="S185" t="str">
            <v>test</v>
          </cell>
          <cell r="T185">
            <v>41432</v>
          </cell>
          <cell r="U185">
            <v>47.703783333333334</v>
          </cell>
          <cell r="V185">
            <v>-122.60514999999999</v>
          </cell>
          <cell r="W185" t="str">
            <v>point</v>
          </cell>
          <cell r="X185" t="str">
            <v>retain</v>
          </cell>
          <cell r="Y185" t="str">
            <v>WGS84</v>
          </cell>
          <cell r="Z185">
            <v>-1.524</v>
          </cell>
          <cell r="AA185" t="str">
            <v>staple</v>
          </cell>
          <cell r="AB185">
            <v>6</v>
          </cell>
          <cell r="AC185">
            <v>6</v>
          </cell>
          <cell r="AD185">
            <v>36</v>
          </cell>
          <cell r="AE185">
            <v>36</v>
          </cell>
          <cell r="AF185">
            <v>0.9</v>
          </cell>
          <cell r="AG185">
            <v>180</v>
          </cell>
          <cell r="AH185">
            <v>720</v>
          </cell>
          <cell r="AI185">
            <v>20</v>
          </cell>
          <cell r="AJ185">
            <v>20</v>
          </cell>
          <cell r="AK185" t="str">
            <v>Sandy Hook</v>
          </cell>
        </row>
        <row r="186">
          <cell r="B186" t="str">
            <v>Liberty Bay West - PNNL - test - 2013</v>
          </cell>
          <cell r="C186" t="str">
            <v>LBT_west</v>
          </cell>
          <cell r="D186" t="str">
            <v>single</v>
          </cell>
          <cell r="E186">
            <v>2013</v>
          </cell>
          <cell r="F186" t="str">
            <v>Thom, RM, and L Hallum. 1990. Long‐term changes in the areal extent of tidal marshes, eelgrass meadows, and kelp forests of Puget Sound. FRI‐UW‐9008, Fisheries Research Institute, School of Fisheries, University of Washington, Seattle. Pp. 110.</v>
          </cell>
          <cell r="G186" t="str">
            <v>point</v>
          </cell>
          <cell r="H186" t="str">
            <v>Liberty Bay</v>
          </cell>
          <cell r="I186" t="str">
            <v>CPS</v>
          </cell>
          <cell r="J186" t="str">
            <v>20% more ZM</v>
          </cell>
          <cell r="K186" t="str">
            <v>WDFW</v>
          </cell>
          <cell r="L186" t="str">
            <v>National Estuary Program</v>
          </cell>
          <cell r="M186" t="str">
            <v>12-1117</v>
          </cell>
          <cell r="N186" t="str">
            <v xml:space="preserve"> IAA 12-316</v>
          </cell>
          <cell r="O186" t="str">
            <v>PNNL</v>
          </cell>
          <cell r="P186" t="str">
            <v>IAA 12-317</v>
          </cell>
          <cell r="Q186"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186" t="str">
            <v>test</v>
          </cell>
          <cell r="S186" t="str">
            <v>test</v>
          </cell>
          <cell r="T186">
            <v>41432</v>
          </cell>
          <cell r="U186">
            <v>47.71</v>
          </cell>
          <cell r="V186">
            <v>-122.61401666666667</v>
          </cell>
          <cell r="W186" t="str">
            <v>point</v>
          </cell>
          <cell r="X186" t="str">
            <v>retain</v>
          </cell>
          <cell r="Y186" t="str">
            <v>WGS84</v>
          </cell>
          <cell r="Z186">
            <v>-1.6763999999999999</v>
          </cell>
          <cell r="AA186" t="str">
            <v>staple</v>
          </cell>
          <cell r="AB186">
            <v>5</v>
          </cell>
          <cell r="AC186">
            <v>6</v>
          </cell>
          <cell r="AD186">
            <v>30</v>
          </cell>
          <cell r="AE186">
            <v>30</v>
          </cell>
          <cell r="AF186">
            <v>0.75</v>
          </cell>
          <cell r="AG186">
            <v>150</v>
          </cell>
          <cell r="AH186">
            <v>600</v>
          </cell>
          <cell r="AI186">
            <v>20</v>
          </cell>
          <cell r="AJ186">
            <v>20</v>
          </cell>
          <cell r="AK186" t="str">
            <v>Sandy Hook</v>
          </cell>
        </row>
        <row r="187">
          <cell r="B187" t="str">
            <v>McDermott Point South - south - HC - test - 2017</v>
          </cell>
          <cell r="C187" t="str">
            <v>MCD_south_L1</v>
          </cell>
          <cell r="D187" t="str">
            <v>single</v>
          </cell>
          <cell r="E187">
            <v>2017</v>
          </cell>
          <cell r="F187" t="str">
            <v>Thom, RM, and L Hallum. 1990. Long‐term changes in the areal extent of tidal marshes, eelgrass meadows, and kelp forests of Puget Sound. FRI‐UW‐9008, Fisheries Research Institute, School of Fisheries, University of Washington, Seattle. Pp. 110.</v>
          </cell>
          <cell r="G187" t="str">
            <v>line</v>
          </cell>
          <cell r="H187" t="str">
            <v>Drayton Passage</v>
          </cell>
          <cell r="I187" t="str">
            <v>CPS</v>
          </cell>
          <cell r="J187" t="str">
            <v>Eelgrass Restoration in Puget Sound</v>
          </cell>
          <cell r="K187" t="str">
            <v>WDFW</v>
          </cell>
          <cell r="L187" t="str">
            <v>National Estuary Program</v>
          </cell>
          <cell r="M187" t="str">
            <v>14-02072</v>
          </cell>
          <cell r="N187" t="str">
            <v>IAA 15-110</v>
          </cell>
          <cell r="O187" t="str">
            <v>Hart Crowser</v>
          </cell>
          <cell r="P187" t="str">
            <v>SC 16-17</v>
          </cell>
          <cell r="Q187" t="str">
            <v>Shannon, J., J. Blanchette and J. Gaeckle. 2018. Eelgrass (Zostera marina) Restoration in Puget Sound, WA. Final Restoration and Monitoring Report (12059-05) for US EPA, Hart Crowser, Edmonds, WA. Pp. 131.</v>
          </cell>
          <cell r="R187" t="str">
            <v>test</v>
          </cell>
          <cell r="S187" t="str">
            <v>test</v>
          </cell>
          <cell r="T187">
            <v>42859</v>
          </cell>
          <cell r="U187">
            <v>47.198616700000002</v>
          </cell>
          <cell r="V187">
            <v>-122.7392667</v>
          </cell>
          <cell r="W187" t="str">
            <v>line</v>
          </cell>
          <cell r="X187" t="str">
            <v>retain</v>
          </cell>
          <cell r="Y187" t="str">
            <v>WGS84</v>
          </cell>
          <cell r="Z187">
            <v>-1.6</v>
          </cell>
          <cell r="AA187" t="str">
            <v>turf</v>
          </cell>
          <cell r="AB187">
            <v>5</v>
          </cell>
          <cell r="AC187">
            <v>5</v>
          </cell>
          <cell r="AD187">
            <v>25</v>
          </cell>
          <cell r="AE187">
            <v>39</v>
          </cell>
          <cell r="AF187">
            <v>0.99</v>
          </cell>
          <cell r="AG187">
            <v>99</v>
          </cell>
          <cell r="AH187">
            <v>998</v>
          </cell>
          <cell r="AI187">
            <v>39.92</v>
          </cell>
          <cell r="AJ187">
            <v>25.589743589743591</v>
          </cell>
          <cell r="AK187" t="str">
            <v>Rocky Bay</v>
          </cell>
          <cell r="AL187" t="str">
            <v>Turfs plant 5-15 shoots per staple (X= ~10 shoots/staple b/c donor site was Rocky Bay). Estimated number of PUs at test-transplant site as 998/10 = 99. Referred to in report as McDermott Point 1.</v>
          </cell>
        </row>
        <row r="188">
          <cell r="B188" t="str">
            <v>McDermott Point South - north - HC - test - 2017</v>
          </cell>
          <cell r="C188" t="str">
            <v>MCD_south_L1</v>
          </cell>
          <cell r="D188" t="str">
            <v>single</v>
          </cell>
          <cell r="E188">
            <v>2017</v>
          </cell>
          <cell r="F188" t="str">
            <v>Thom, RM, and L Hallum. 1990. Long‐term changes in the areal extent of tidal marshes, eelgrass meadows, and kelp forests of Puget Sound. FRI‐UW‐9008, Fisheries Research Institute, School of Fisheries, University of Washington, Seattle. Pp. 110.</v>
          </cell>
          <cell r="G188" t="str">
            <v>line</v>
          </cell>
          <cell r="H188" t="str">
            <v>Drayton Passage</v>
          </cell>
          <cell r="I188" t="str">
            <v>CPS</v>
          </cell>
          <cell r="J188" t="str">
            <v>Eelgrass Restoration in Puget Sound</v>
          </cell>
          <cell r="K188" t="str">
            <v>WDFW</v>
          </cell>
          <cell r="L188" t="str">
            <v>National Estuary Program</v>
          </cell>
          <cell r="M188" t="str">
            <v>14-02072</v>
          </cell>
          <cell r="N188" t="str">
            <v>IAA 15-110</v>
          </cell>
          <cell r="O188" t="str">
            <v>Hart Crowser</v>
          </cell>
          <cell r="P188" t="str">
            <v>SC 16-17</v>
          </cell>
          <cell r="Q188" t="str">
            <v>Shannon, J., J. Blanchette and J. Gaeckle. 2018. Eelgrass (Zostera marina) Restoration in Puget Sound, WA. Final Restoration and Monitoring Report (12059-05) for US EPA, Hart Crowser, Edmonds, WA. Pp. 131.</v>
          </cell>
          <cell r="R188" t="str">
            <v>test</v>
          </cell>
          <cell r="S188" t="str">
            <v>--</v>
          </cell>
          <cell r="T188">
            <v>42859</v>
          </cell>
          <cell r="U188">
            <v>47.198683299999999</v>
          </cell>
          <cell r="V188">
            <v>-122.7392333</v>
          </cell>
          <cell r="W188" t="str">
            <v>line</v>
          </cell>
          <cell r="X188" t="str">
            <v>retain</v>
          </cell>
          <cell r="Y188" t="str">
            <v>WGS84</v>
          </cell>
          <cell r="AF188" t="str">
            <v/>
          </cell>
          <cell r="AG188"/>
          <cell r="AH188"/>
          <cell r="AI188" t="str">
            <v/>
          </cell>
          <cell r="AJ188" t="str">
            <v/>
          </cell>
          <cell r="AL188"/>
        </row>
        <row r="189">
          <cell r="B189" t="str">
            <v>McDermott Point North - south - HC - test - 2017</v>
          </cell>
          <cell r="C189" t="str">
            <v>MCD_north_L1</v>
          </cell>
          <cell r="D189" t="str">
            <v>single</v>
          </cell>
          <cell r="E189">
            <v>2017</v>
          </cell>
          <cell r="F189" t="str">
            <v>Thom, RM, and L Hallum. 1990. Long‐term changes in the areal extent of tidal marshes, eelgrass meadows, and kelp forests of Puget Sound. FRI‐UW‐9008, Fisheries Research Institute, School of Fisheries, University of Washington, Seattle. Pp. 110.</v>
          </cell>
          <cell r="G189" t="str">
            <v>line</v>
          </cell>
          <cell r="H189" t="str">
            <v>Drayton Passage</v>
          </cell>
          <cell r="I189" t="str">
            <v>CPS</v>
          </cell>
          <cell r="J189" t="str">
            <v>Eelgrass Restoration in Puget Sound</v>
          </cell>
          <cell r="K189" t="str">
            <v>WDFW</v>
          </cell>
          <cell r="L189" t="str">
            <v>National Estuary Program</v>
          </cell>
          <cell r="M189" t="str">
            <v>14-02072</v>
          </cell>
          <cell r="N189" t="str">
            <v>IAA 15-110</v>
          </cell>
          <cell r="O189" t="str">
            <v>Hart Crowser</v>
          </cell>
          <cell r="P189" t="str">
            <v>SC 16-17</v>
          </cell>
          <cell r="Q189" t="str">
            <v>Shannon, J., J. Blanchette and J. Gaeckle. 2018. Eelgrass (Zostera marina) Restoration in Puget Sound, WA. Final Restoration and Monitoring Report (12059-05) for US EPA, Hart Crowser, Edmonds, WA. Pp. 131.</v>
          </cell>
          <cell r="R189" t="str">
            <v>test</v>
          </cell>
          <cell r="S189" t="str">
            <v>test</v>
          </cell>
          <cell r="T189">
            <v>42859</v>
          </cell>
          <cell r="U189">
            <v>47.198983300000002</v>
          </cell>
          <cell r="V189">
            <v>-122.7391667</v>
          </cell>
          <cell r="W189" t="str">
            <v>line</v>
          </cell>
          <cell r="X189" t="str">
            <v>retain</v>
          </cell>
          <cell r="Y189" t="str">
            <v>WGS84</v>
          </cell>
          <cell r="Z189">
            <v>-1.6</v>
          </cell>
          <cell r="AA189" t="str">
            <v>turf</v>
          </cell>
          <cell r="AB189">
            <v>5</v>
          </cell>
          <cell r="AC189">
            <v>5</v>
          </cell>
          <cell r="AD189">
            <v>25</v>
          </cell>
          <cell r="AE189">
            <v>39</v>
          </cell>
          <cell r="AF189">
            <v>0.99</v>
          </cell>
          <cell r="AG189">
            <v>99</v>
          </cell>
          <cell r="AH189">
            <v>994</v>
          </cell>
          <cell r="AI189">
            <v>39.76</v>
          </cell>
          <cell r="AJ189">
            <v>25.487179487179485</v>
          </cell>
          <cell r="AK189" t="str">
            <v>Rocky Bay</v>
          </cell>
          <cell r="AL189" t="str">
            <v>Turfs plant 5-15 shoots per staple (X= ~10 shoots/staple b/c donor site was Rocky Bay). Estimated number of PUs at test-transplant site as 994/10 = 99. Referred to in report as McDermott Point 1.</v>
          </cell>
        </row>
        <row r="190">
          <cell r="B190" t="str">
            <v>McDermott Point North - north - HC - test - 2017</v>
          </cell>
          <cell r="C190" t="str">
            <v>MCD_north_L1</v>
          </cell>
          <cell r="D190" t="str">
            <v>single</v>
          </cell>
          <cell r="E190">
            <v>2017</v>
          </cell>
          <cell r="F190" t="str">
            <v>Thom, RM, and L Hallum. 1990. Long‐term changes in the areal extent of tidal marshes, eelgrass meadows, and kelp forests of Puget Sound. FRI‐UW‐9008, Fisheries Research Institute, School of Fisheries, University of Washington, Seattle. Pp. 110.</v>
          </cell>
          <cell r="G190" t="str">
            <v>line</v>
          </cell>
          <cell r="H190" t="str">
            <v>Drayton Passage</v>
          </cell>
          <cell r="I190" t="str">
            <v>CPS</v>
          </cell>
          <cell r="J190" t="str">
            <v>Eelgrass Restoration in Puget Sound</v>
          </cell>
          <cell r="K190" t="str">
            <v>WDFW</v>
          </cell>
          <cell r="L190" t="str">
            <v>National Estuary Program</v>
          </cell>
          <cell r="M190" t="str">
            <v>14-02072</v>
          </cell>
          <cell r="N190" t="str">
            <v>IAA 15-110</v>
          </cell>
          <cell r="O190" t="str">
            <v>Hart Crowser</v>
          </cell>
          <cell r="P190" t="str">
            <v>SC 16-17</v>
          </cell>
          <cell r="Q190" t="str">
            <v>Shannon, J., J. Blanchette and J. Gaeckle. 2018. Eelgrass (Zostera marina) Restoration in Puget Sound, WA. Final Restoration and Monitoring Report (12059-05) for US EPA, Hart Crowser, Edmonds, WA. Pp. 131.</v>
          </cell>
          <cell r="R190" t="str">
            <v>test</v>
          </cell>
          <cell r="S190" t="str">
            <v>--</v>
          </cell>
          <cell r="T190">
            <v>42859</v>
          </cell>
          <cell r="U190">
            <v>47.199033300000004</v>
          </cell>
          <cell r="V190">
            <v>-122.73913330000001</v>
          </cell>
          <cell r="W190" t="str">
            <v>line</v>
          </cell>
          <cell r="X190" t="str">
            <v>retain</v>
          </cell>
          <cell r="Y190" t="str">
            <v>WGS84</v>
          </cell>
          <cell r="AF190" t="str">
            <v/>
          </cell>
          <cell r="AG190"/>
          <cell r="AH190"/>
          <cell r="AI190" t="str">
            <v/>
          </cell>
          <cell r="AJ190" t="str">
            <v/>
          </cell>
          <cell r="AL190"/>
        </row>
        <row r="191">
          <cell r="B191" t="str">
            <v>McDermott Point - PNNL - test - 2020</v>
          </cell>
          <cell r="C191" t="str">
            <v>MCD_1</v>
          </cell>
          <cell r="D191" t="str">
            <v>single</v>
          </cell>
          <cell r="E191">
            <v>2020</v>
          </cell>
          <cell r="F191" t="str">
            <v>Thom, RM, and L Hallum. 1990. Long‐term changes in the areal extent of tidal marshes, eelgrass meadows, and kelp forests of Puget Sound. FRI‐UW‐9008, Fisheries Research Institute, School of Fisheries, University of Washington, Seattle. Pp. 110.</v>
          </cell>
          <cell r="G191" t="str">
            <v>point</v>
          </cell>
          <cell r="H191" t="str">
            <v>Drayton Passage</v>
          </cell>
          <cell r="I191" t="str">
            <v>CPS</v>
          </cell>
          <cell r="J191" t="str">
            <v>Eelgrass Recovery in PS</v>
          </cell>
          <cell r="K191" t="str">
            <v>USACE</v>
          </cell>
          <cell r="L191" t="str">
            <v>USACE</v>
          </cell>
          <cell r="M191" t="str">
            <v>W912DW-14-2-0009 (93-099566)</v>
          </cell>
          <cell r="N191" t="str">
            <v>IAA 15-45</v>
          </cell>
          <cell r="O191" t="str">
            <v>PNNL</v>
          </cell>
          <cell r="R191" t="str">
            <v>test</v>
          </cell>
          <cell r="S191" t="str">
            <v>test</v>
          </cell>
          <cell r="T191">
            <v>44012</v>
          </cell>
          <cell r="U191">
            <v>47.198129999999999</v>
          </cell>
          <cell r="V191">
            <v>-122.7396</v>
          </cell>
          <cell r="W191" t="str">
            <v>point</v>
          </cell>
          <cell r="X191" t="str">
            <v>retain</v>
          </cell>
          <cell r="Y191" t="str">
            <v>WGS84</v>
          </cell>
          <cell r="Z191">
            <v>-1.7</v>
          </cell>
          <cell r="AA191" t="str">
            <v>rebar</v>
          </cell>
          <cell r="AB191">
            <v>2.5</v>
          </cell>
          <cell r="AC191">
            <v>2.5</v>
          </cell>
          <cell r="AD191">
            <v>6.25</v>
          </cell>
          <cell r="AE191">
            <v>5</v>
          </cell>
          <cell r="AF191">
            <v>0.15</v>
          </cell>
          <cell r="AG191">
            <v>20</v>
          </cell>
          <cell r="AH191">
            <v>500</v>
          </cell>
          <cell r="AI191">
            <v>80</v>
          </cell>
          <cell r="AJ191">
            <v>100</v>
          </cell>
          <cell r="AK191" t="str">
            <v>Anderson Island</v>
          </cell>
          <cell r="AL191" t="str">
            <v>200deg az , sandy with patchy ulva but not much, fist-sized pockmarks possibly bivalves</v>
          </cell>
        </row>
        <row r="192">
          <cell r="B192" t="str">
            <v>McNeil Island - north - PNNL - test - 2015</v>
          </cell>
          <cell r="C192" t="str">
            <v>MCN_north</v>
          </cell>
          <cell r="D192" t="str">
            <v>single</v>
          </cell>
          <cell r="E192">
            <v>2015</v>
          </cell>
          <cell r="G192" t="str">
            <v>point</v>
          </cell>
          <cell r="H192" t="str">
            <v>Carr Inlet</v>
          </cell>
          <cell r="I192" t="str">
            <v>CPS</v>
          </cell>
          <cell r="J192" t="str">
            <v>Eelgrass Restoration in PS</v>
          </cell>
          <cell r="K192" t="str">
            <v>DNR</v>
          </cell>
          <cell r="L192" t="str">
            <v>Aquatic Restoration Program</v>
          </cell>
          <cell r="O192" t="str">
            <v>PNNL</v>
          </cell>
          <cell r="P192" t="str">
            <v>IAA 12-317.1</v>
          </cell>
          <cell r="Q192" t="str">
            <v>Aston, L.A., A.B. Borde and J. Vavrinec. 2015. Final Summary Report - Eelgrass Restoration in Puget Sound Project Summary. Pacific Northwest National Laboratory, Richland, WA. PNNL-24445.</v>
          </cell>
          <cell r="R192" t="str">
            <v>test</v>
          </cell>
          <cell r="S192" t="str">
            <v>test</v>
          </cell>
          <cell r="T192">
            <v>42061</v>
          </cell>
          <cell r="U192">
            <v>47.224733333333333</v>
          </cell>
          <cell r="V192">
            <v>-122.67310000000001</v>
          </cell>
          <cell r="W192" t="str">
            <v>point</v>
          </cell>
          <cell r="X192" t="str">
            <v>retain</v>
          </cell>
          <cell r="Y192" t="str">
            <v>WGS84</v>
          </cell>
          <cell r="Z192">
            <v>-0.76200000000000001</v>
          </cell>
          <cell r="AA192" t="str">
            <v>staple</v>
          </cell>
          <cell r="AB192">
            <v>5</v>
          </cell>
          <cell r="AC192">
            <v>5</v>
          </cell>
          <cell r="AD192">
            <v>25</v>
          </cell>
          <cell r="AE192">
            <v>25</v>
          </cell>
          <cell r="AF192">
            <v>0.625</v>
          </cell>
          <cell r="AG192">
            <v>125</v>
          </cell>
          <cell r="AH192">
            <v>500</v>
          </cell>
          <cell r="AI192">
            <v>20</v>
          </cell>
          <cell r="AJ192">
            <v>20</v>
          </cell>
          <cell r="AK192" t="str">
            <v>Ketron Island</v>
          </cell>
        </row>
        <row r="193">
          <cell r="B193" t="str">
            <v>South Shore -PNNL - test - 1 - (eastern most) - 2016</v>
          </cell>
          <cell r="C193" t="str">
            <v>MCN_south_1</v>
          </cell>
          <cell r="D193" t="str">
            <v>single</v>
          </cell>
          <cell r="E193">
            <v>2016</v>
          </cell>
          <cell r="G193" t="str">
            <v>point</v>
          </cell>
          <cell r="H193" t="str">
            <v>Carr Inlet</v>
          </cell>
          <cell r="I193" t="str">
            <v>CPS</v>
          </cell>
          <cell r="J193" t="str">
            <v>Eelgrass Recovery in PS</v>
          </cell>
          <cell r="K193" t="str">
            <v>USFWS</v>
          </cell>
          <cell r="L193" t="str">
            <v>USFWS</v>
          </cell>
          <cell r="M193" t="str">
            <v>WA F16AP00163 AL</v>
          </cell>
          <cell r="N193"/>
          <cell r="O193" t="str">
            <v>PNNL</v>
          </cell>
          <cell r="P193" t="str">
            <v>93-094344</v>
          </cell>
          <cell r="R193" t="str">
            <v>test</v>
          </cell>
          <cell r="S193" t="str">
            <v>test</v>
          </cell>
          <cell r="T193">
            <v>42634</v>
          </cell>
          <cell r="U193">
            <v>47.191533333333332</v>
          </cell>
          <cell r="V193">
            <v>-122.67189999999999</v>
          </cell>
          <cell r="W193" t="str">
            <v>point</v>
          </cell>
          <cell r="X193" t="str">
            <v>retain</v>
          </cell>
          <cell r="Y193" t="str">
            <v>WGS84</v>
          </cell>
          <cell r="Z193">
            <v>-1.5849599999999999</v>
          </cell>
          <cell r="AA193" t="str">
            <v>rebar</v>
          </cell>
          <cell r="AB193">
            <v>2.5</v>
          </cell>
          <cell r="AC193">
            <v>2.5</v>
          </cell>
          <cell r="AD193">
            <v>6.25</v>
          </cell>
          <cell r="AE193">
            <v>5</v>
          </cell>
          <cell r="AF193">
            <v>0.15</v>
          </cell>
          <cell r="AG193">
            <v>20</v>
          </cell>
          <cell r="AH193">
            <v>500</v>
          </cell>
          <cell r="AI193">
            <v>80</v>
          </cell>
          <cell r="AJ193">
            <v>100</v>
          </cell>
          <cell r="AK193" t="str">
            <v>Sandy Point</v>
          </cell>
        </row>
        <row r="194">
          <cell r="B194" t="str">
            <v>South Shore - PNNL - test - 2  - (middle) - 2016</v>
          </cell>
          <cell r="C194" t="str">
            <v>MCN_south_2</v>
          </cell>
          <cell r="D194" t="str">
            <v>single</v>
          </cell>
          <cell r="E194">
            <v>2016</v>
          </cell>
          <cell r="G194" t="str">
            <v>point</v>
          </cell>
          <cell r="H194" t="str">
            <v>Carr Inlet</v>
          </cell>
          <cell r="I194" t="str">
            <v>CPS</v>
          </cell>
          <cell r="J194" t="str">
            <v>Eelgrass Recovery in PS</v>
          </cell>
          <cell r="K194" t="str">
            <v>USFWS</v>
          </cell>
          <cell r="L194" t="str">
            <v>USFWS</v>
          </cell>
          <cell r="M194" t="str">
            <v>WA F16AP00163 AL</v>
          </cell>
          <cell r="N194"/>
          <cell r="O194" t="str">
            <v>PNNL</v>
          </cell>
          <cell r="P194" t="str">
            <v>93-094344</v>
          </cell>
          <cell r="R194" t="str">
            <v>test</v>
          </cell>
          <cell r="S194" t="str">
            <v>test</v>
          </cell>
          <cell r="T194">
            <v>42634</v>
          </cell>
          <cell r="U194">
            <v>47.191600000000001</v>
          </cell>
          <cell r="V194">
            <v>-122.67108333333333</v>
          </cell>
          <cell r="W194" t="str">
            <v>point</v>
          </cell>
          <cell r="X194" t="str">
            <v>retain</v>
          </cell>
          <cell r="Y194" t="str">
            <v>WGS84</v>
          </cell>
          <cell r="Z194">
            <v>-1.7678400000000001</v>
          </cell>
          <cell r="AA194" t="str">
            <v>rebar</v>
          </cell>
          <cell r="AB194">
            <v>2.5</v>
          </cell>
          <cell r="AC194">
            <v>2.5</v>
          </cell>
          <cell r="AD194">
            <v>6.25</v>
          </cell>
          <cell r="AE194">
            <v>5</v>
          </cell>
          <cell r="AF194">
            <v>0.5</v>
          </cell>
          <cell r="AG194">
            <v>20</v>
          </cell>
          <cell r="AH194">
            <v>500</v>
          </cell>
          <cell r="AI194">
            <v>80</v>
          </cell>
          <cell r="AJ194">
            <v>100</v>
          </cell>
          <cell r="AK194" t="str">
            <v>Sandy Point</v>
          </cell>
        </row>
        <row r="195">
          <cell r="B195" t="str">
            <v>South Shore - PNNL - test - 3  - (western most) - 2016</v>
          </cell>
          <cell r="C195" t="str">
            <v>MCN_south_3</v>
          </cell>
          <cell r="D195" t="str">
            <v>single</v>
          </cell>
          <cell r="E195">
            <v>2016</v>
          </cell>
          <cell r="G195" t="str">
            <v>point</v>
          </cell>
          <cell r="H195" t="str">
            <v>Carr Inlet</v>
          </cell>
          <cell r="I195" t="str">
            <v>CPS</v>
          </cell>
          <cell r="J195" t="str">
            <v>Eelgrass Recovery in PS</v>
          </cell>
          <cell r="K195" t="str">
            <v>USFWS</v>
          </cell>
          <cell r="L195" t="str">
            <v>USFWS</v>
          </cell>
          <cell r="M195" t="str">
            <v>WA F16AP00163 AL</v>
          </cell>
          <cell r="N195"/>
          <cell r="O195" t="str">
            <v>PNNL</v>
          </cell>
          <cell r="P195" t="str">
            <v>93-094344</v>
          </cell>
          <cell r="R195" t="str">
            <v>test</v>
          </cell>
          <cell r="S195" t="str">
            <v>test</v>
          </cell>
          <cell r="T195">
            <v>42634</v>
          </cell>
          <cell r="U195">
            <v>47.192450000000001</v>
          </cell>
          <cell r="V195">
            <v>-122.66495</v>
          </cell>
          <cell r="W195" t="str">
            <v>point</v>
          </cell>
          <cell r="X195" t="str">
            <v>retain</v>
          </cell>
          <cell r="Y195" t="str">
            <v>WGS84</v>
          </cell>
          <cell r="Z195">
            <v>-1.7068799999999997</v>
          </cell>
          <cell r="AA195" t="str">
            <v>rebar</v>
          </cell>
          <cell r="AB195">
            <v>2.5</v>
          </cell>
          <cell r="AC195">
            <v>2.5</v>
          </cell>
          <cell r="AD195">
            <v>6.25</v>
          </cell>
          <cell r="AE195">
            <v>5</v>
          </cell>
          <cell r="AF195">
            <v>0.5</v>
          </cell>
          <cell r="AG195">
            <v>20</v>
          </cell>
          <cell r="AH195">
            <v>500</v>
          </cell>
          <cell r="AI195">
            <v>80</v>
          </cell>
          <cell r="AJ195">
            <v>100</v>
          </cell>
          <cell r="AK195" t="str">
            <v>Sandy Point</v>
          </cell>
        </row>
        <row r="196">
          <cell r="B196" t="str">
            <v>Still Harbor - PNNL - test - 1  - (southern most) - 2016</v>
          </cell>
          <cell r="C196" t="str">
            <v>MCN_still_1</v>
          </cell>
          <cell r="D196" t="str">
            <v>single</v>
          </cell>
          <cell r="E196">
            <v>2016</v>
          </cell>
          <cell r="F196"/>
          <cell r="G196" t="str">
            <v>point</v>
          </cell>
          <cell r="H196" t="str">
            <v>Carr Inlet</v>
          </cell>
          <cell r="I196" t="str">
            <v>CPS</v>
          </cell>
          <cell r="J196" t="str">
            <v>Eelgrass Recovery in PS</v>
          </cell>
          <cell r="K196" t="str">
            <v>USFWS</v>
          </cell>
          <cell r="L196" t="str">
            <v>USFWS</v>
          </cell>
          <cell r="M196" t="str">
            <v>WA F16AP00163 AL</v>
          </cell>
          <cell r="N196"/>
          <cell r="O196" t="str">
            <v>PNNL</v>
          </cell>
          <cell r="P196" t="str">
            <v>93-094344</v>
          </cell>
          <cell r="R196" t="str">
            <v>test</v>
          </cell>
          <cell r="S196" t="str">
            <v>test</v>
          </cell>
          <cell r="T196">
            <v>42634</v>
          </cell>
          <cell r="U196">
            <v>47.218483333333332</v>
          </cell>
          <cell r="V196">
            <v>-122.66786666666667</v>
          </cell>
          <cell r="W196" t="str">
            <v>point</v>
          </cell>
          <cell r="X196" t="str">
            <v>retain</v>
          </cell>
          <cell r="Y196" t="str">
            <v>WGS84</v>
          </cell>
          <cell r="Z196">
            <v>-1.8288</v>
          </cell>
          <cell r="AA196" t="str">
            <v>rebar</v>
          </cell>
          <cell r="AB196">
            <v>2.5</v>
          </cell>
          <cell r="AC196">
            <v>2.5</v>
          </cell>
          <cell r="AD196">
            <v>6.25</v>
          </cell>
          <cell r="AE196">
            <v>5</v>
          </cell>
          <cell r="AF196">
            <v>0.5</v>
          </cell>
          <cell r="AG196">
            <v>20</v>
          </cell>
          <cell r="AH196">
            <v>500</v>
          </cell>
          <cell r="AI196">
            <v>80</v>
          </cell>
          <cell r="AJ196">
            <v>100</v>
          </cell>
          <cell r="AK196" t="str">
            <v>Sandy Point</v>
          </cell>
        </row>
        <row r="197">
          <cell r="B197" t="str">
            <v>Still Harbor - PNNL - test - 2  - rebar (northern most) - 2016</v>
          </cell>
          <cell r="C197" t="str">
            <v>MCN_still_2</v>
          </cell>
          <cell r="D197" t="str">
            <v>colocated</v>
          </cell>
          <cell r="E197">
            <v>2016</v>
          </cell>
          <cell r="F197"/>
          <cell r="G197" t="str">
            <v>point</v>
          </cell>
          <cell r="H197" t="str">
            <v>Carr Inlet</v>
          </cell>
          <cell r="I197" t="str">
            <v>CPS</v>
          </cell>
          <cell r="J197" t="str">
            <v>Eelgrass Recovery in PS</v>
          </cell>
          <cell r="K197" t="str">
            <v>USFWS</v>
          </cell>
          <cell r="L197" t="str">
            <v>USFWS</v>
          </cell>
          <cell r="M197" t="str">
            <v>WA F16AP00163 AL</v>
          </cell>
          <cell r="N197"/>
          <cell r="O197" t="str">
            <v>PNNL</v>
          </cell>
          <cell r="P197" t="str">
            <v>93-094344</v>
          </cell>
          <cell r="Q197"/>
          <cell r="R197" t="str">
            <v>test</v>
          </cell>
          <cell r="S197" t="str">
            <v>test</v>
          </cell>
          <cell r="T197">
            <v>42634</v>
          </cell>
          <cell r="U197">
            <v>47.220333333333336</v>
          </cell>
          <cell r="V197">
            <v>-122.66726666666666</v>
          </cell>
          <cell r="W197" t="str">
            <v>point</v>
          </cell>
          <cell r="X197" t="str">
            <v>retain</v>
          </cell>
          <cell r="Y197" t="str">
            <v>WGS84</v>
          </cell>
          <cell r="Z197">
            <v>-1.7678400000000001</v>
          </cell>
          <cell r="AA197" t="str">
            <v>rebar</v>
          </cell>
          <cell r="AB197">
            <v>2.5</v>
          </cell>
          <cell r="AC197">
            <v>2</v>
          </cell>
          <cell r="AD197">
            <v>5</v>
          </cell>
          <cell r="AE197">
            <v>5</v>
          </cell>
          <cell r="AF197">
            <v>0.5</v>
          </cell>
          <cell r="AG197">
            <v>20</v>
          </cell>
          <cell r="AH197">
            <v>500</v>
          </cell>
          <cell r="AI197">
            <v>100</v>
          </cell>
          <cell r="AJ197">
            <v>100</v>
          </cell>
          <cell r="AK197" t="str">
            <v>Sandy Point</v>
          </cell>
          <cell r="AL197" t="str">
            <v xml:space="preserve">side by side plantings using 2 methods. </v>
          </cell>
        </row>
        <row r="198">
          <cell r="B198" t="str">
            <v>Still Harbor - PNNL - test - 2  - staple (northern most) - 2016</v>
          </cell>
          <cell r="C198" t="str">
            <v>MCN_still_2</v>
          </cell>
          <cell r="D198" t="str">
            <v>colocated</v>
          </cell>
          <cell r="E198">
            <v>2016</v>
          </cell>
          <cell r="F198"/>
          <cell r="G198" t="str">
            <v>point</v>
          </cell>
          <cell r="H198" t="str">
            <v>Carr Inlet</v>
          </cell>
          <cell r="I198" t="str">
            <v>CPS</v>
          </cell>
          <cell r="J198" t="str">
            <v>Eelgrass Recovery in PS</v>
          </cell>
          <cell r="K198" t="str">
            <v>USFWS</v>
          </cell>
          <cell r="L198" t="str">
            <v>USFWS</v>
          </cell>
          <cell r="M198" t="str">
            <v>WA F16AP00163 AL</v>
          </cell>
          <cell r="N198"/>
          <cell r="O198" t="str">
            <v>PNNL</v>
          </cell>
          <cell r="P198" t="str">
            <v>93-094344</v>
          </cell>
          <cell r="Q198"/>
          <cell r="R198" t="str">
            <v>test</v>
          </cell>
          <cell r="S198" t="str">
            <v>test</v>
          </cell>
          <cell r="T198">
            <v>42634</v>
          </cell>
          <cell r="U198">
            <v>47.220333333333336</v>
          </cell>
          <cell r="V198">
            <v>-122.66726666666666</v>
          </cell>
          <cell r="W198" t="str">
            <v>point</v>
          </cell>
          <cell r="X198" t="str">
            <v>retain</v>
          </cell>
          <cell r="Y198" t="str">
            <v>WGS84</v>
          </cell>
          <cell r="Z198">
            <v>-1.7678400000000001</v>
          </cell>
          <cell r="AA198" t="str">
            <v>staple</v>
          </cell>
          <cell r="AB198">
            <v>2.5</v>
          </cell>
          <cell r="AC198">
            <v>2</v>
          </cell>
          <cell r="AD198">
            <v>5</v>
          </cell>
          <cell r="AE198">
            <v>5</v>
          </cell>
          <cell r="AF198">
            <v>0.625</v>
          </cell>
          <cell r="AG198">
            <v>125</v>
          </cell>
          <cell r="AH198">
            <v>500</v>
          </cell>
          <cell r="AI198">
            <v>100</v>
          </cell>
          <cell r="AJ198">
            <v>100</v>
          </cell>
          <cell r="AK198" t="str">
            <v>Sandy Point</v>
          </cell>
          <cell r="AL198" t="str">
            <v xml:space="preserve">side by side plantings using 2 methods. </v>
          </cell>
        </row>
        <row r="199">
          <cell r="B199" t="str">
            <v>McNeil Island North - PNNL - test - 1 - 2017</v>
          </cell>
          <cell r="C199" t="str">
            <v>MCN_north_2</v>
          </cell>
          <cell r="D199" t="str">
            <v>single</v>
          </cell>
          <cell r="E199">
            <v>2017</v>
          </cell>
          <cell r="F199"/>
          <cell r="G199" t="str">
            <v>point</v>
          </cell>
          <cell r="H199" t="str">
            <v>Carr Inlet</v>
          </cell>
          <cell r="I199" t="str">
            <v>CPS</v>
          </cell>
          <cell r="J199" t="str">
            <v>Eelgrass Recovery in PS</v>
          </cell>
          <cell r="K199" t="str">
            <v>USFWS</v>
          </cell>
          <cell r="L199" t="str">
            <v>USFWS</v>
          </cell>
          <cell r="M199" t="str">
            <v>WA F16AP00163 AL</v>
          </cell>
          <cell r="N199"/>
          <cell r="O199" t="str">
            <v>PNNL</v>
          </cell>
          <cell r="P199" t="str">
            <v>93-094344</v>
          </cell>
          <cell r="Q199"/>
          <cell r="R199" t="str">
            <v>test</v>
          </cell>
          <cell r="S199" t="str">
            <v>test</v>
          </cell>
          <cell r="T199">
            <v>42893</v>
          </cell>
          <cell r="U199">
            <v>47.232016666666667</v>
          </cell>
          <cell r="V199">
            <v>-122.69750000000001</v>
          </cell>
          <cell r="W199" t="str">
            <v>point</v>
          </cell>
          <cell r="X199" t="str">
            <v>retain</v>
          </cell>
          <cell r="Y199" t="str">
            <v>WGS84</v>
          </cell>
          <cell r="Z199">
            <v>-1.2</v>
          </cell>
          <cell r="AA199" t="str">
            <v>rebar</v>
          </cell>
          <cell r="AB199">
            <v>2.5</v>
          </cell>
          <cell r="AC199">
            <v>2</v>
          </cell>
          <cell r="AD199">
            <v>5</v>
          </cell>
          <cell r="AE199">
            <v>5</v>
          </cell>
          <cell r="AF199">
            <v>0.5</v>
          </cell>
          <cell r="AG199">
            <v>20</v>
          </cell>
          <cell r="AH199">
            <v>500</v>
          </cell>
          <cell r="AI199">
            <v>100</v>
          </cell>
          <cell r="AJ199">
            <v>100</v>
          </cell>
          <cell r="AK199" t="str">
            <v>Thompson Cove</v>
          </cell>
          <cell r="AL199"/>
        </row>
        <row r="200">
          <cell r="B200" t="str">
            <v>McNeil Island North - PNNL - test - 2 - 2017</v>
          </cell>
          <cell r="C200" t="str">
            <v>MCN_North_3</v>
          </cell>
          <cell r="D200" t="str">
            <v>single</v>
          </cell>
          <cell r="E200">
            <v>2017</v>
          </cell>
          <cell r="F200"/>
          <cell r="G200" t="str">
            <v>point</v>
          </cell>
          <cell r="H200" t="str">
            <v>Carr Inlet</v>
          </cell>
          <cell r="I200" t="str">
            <v>CPS</v>
          </cell>
          <cell r="J200" t="str">
            <v>Eelgrass Recovery in PS</v>
          </cell>
          <cell r="K200" t="str">
            <v>USFWS</v>
          </cell>
          <cell r="L200" t="str">
            <v>USFWS</v>
          </cell>
          <cell r="M200" t="str">
            <v>WA F16AP00163 AL</v>
          </cell>
          <cell r="N200"/>
          <cell r="O200" t="str">
            <v>PNNL</v>
          </cell>
          <cell r="P200" t="str">
            <v>93-094344</v>
          </cell>
          <cell r="Q200"/>
          <cell r="R200" t="str">
            <v>test</v>
          </cell>
          <cell r="S200" t="str">
            <v>test</v>
          </cell>
          <cell r="T200">
            <v>42893</v>
          </cell>
          <cell r="U200">
            <v>47.232149999999997</v>
          </cell>
          <cell r="V200">
            <v>-122.69753333333334</v>
          </cell>
          <cell r="W200" t="str">
            <v>point</v>
          </cell>
          <cell r="X200" t="str">
            <v>retain</v>
          </cell>
          <cell r="Y200" t="str">
            <v>WGS84</v>
          </cell>
          <cell r="Z200">
            <v>-1.7</v>
          </cell>
          <cell r="AA200" t="str">
            <v>rebar</v>
          </cell>
          <cell r="AB200">
            <v>2.5</v>
          </cell>
          <cell r="AC200">
            <v>2</v>
          </cell>
          <cell r="AD200">
            <v>5</v>
          </cell>
          <cell r="AE200">
            <v>5</v>
          </cell>
          <cell r="AF200">
            <v>0.5</v>
          </cell>
          <cell r="AG200">
            <v>20</v>
          </cell>
          <cell r="AH200">
            <v>500</v>
          </cell>
          <cell r="AI200">
            <v>100</v>
          </cell>
          <cell r="AJ200">
            <v>100</v>
          </cell>
          <cell r="AK200" t="str">
            <v>Thompson Cove</v>
          </cell>
          <cell r="AL200"/>
        </row>
        <row r="201">
          <cell r="B201" t="str">
            <v>McNeil Island South - mid plot - PNNL - large - 2017</v>
          </cell>
          <cell r="C201" t="str">
            <v>MCN_south_L2</v>
          </cell>
          <cell r="D201" t="str">
            <v>single</v>
          </cell>
          <cell r="E201">
            <v>2017</v>
          </cell>
          <cell r="F201"/>
          <cell r="G201" t="str">
            <v>line</v>
          </cell>
          <cell r="H201" t="str">
            <v>Carr Inlet</v>
          </cell>
          <cell r="I201" t="str">
            <v>CPS</v>
          </cell>
          <cell r="J201" t="str">
            <v>Eelgrass Recovery in PS</v>
          </cell>
          <cell r="K201" t="str">
            <v>USFWS</v>
          </cell>
          <cell r="L201" t="str">
            <v>USFWS</v>
          </cell>
          <cell r="M201" t="str">
            <v>WA F16AP00163 AL</v>
          </cell>
          <cell r="N201"/>
          <cell r="O201" t="str">
            <v>PNNL</v>
          </cell>
          <cell r="P201" t="str">
            <v>93-094344</v>
          </cell>
          <cell r="Q201"/>
          <cell r="R201" t="str">
            <v>large scale</v>
          </cell>
          <cell r="S201" t="str">
            <v>large scale</v>
          </cell>
          <cell r="T201">
            <v>42922</v>
          </cell>
          <cell r="U201">
            <v>47.191600000000001</v>
          </cell>
          <cell r="V201">
            <v>-122.6711</v>
          </cell>
          <cell r="W201" t="str">
            <v>line</v>
          </cell>
          <cell r="X201" t="str">
            <v>retain</v>
          </cell>
          <cell r="Y201" t="str">
            <v>WGS84</v>
          </cell>
          <cell r="Z201">
            <v>-2.4</v>
          </cell>
          <cell r="AA201" t="str">
            <v>rebar</v>
          </cell>
          <cell r="AB201">
            <v>24</v>
          </cell>
          <cell r="AC201">
            <v>5</v>
          </cell>
          <cell r="AD201">
            <v>120</v>
          </cell>
          <cell r="AE201">
            <v>58.25</v>
          </cell>
          <cell r="AF201">
            <v>5.8250000000000002</v>
          </cell>
          <cell r="AG201">
            <v>233</v>
          </cell>
          <cell r="AH201">
            <v>5825</v>
          </cell>
          <cell r="AI201">
            <v>48.541666666666664</v>
          </cell>
          <cell r="AJ201">
            <v>100</v>
          </cell>
          <cell r="AK201" t="str">
            <v>Thompson Cove</v>
          </cell>
          <cell r="AL201"/>
        </row>
        <row r="202">
          <cell r="B202" t="str">
            <v>McNeil Island South - mid plot - PNNL - large - 2017</v>
          </cell>
          <cell r="C202" t="str">
            <v>MCN_south_L2</v>
          </cell>
          <cell r="D202" t="str">
            <v>single</v>
          </cell>
          <cell r="E202">
            <v>2017</v>
          </cell>
          <cell r="F202"/>
          <cell r="G202" t="str">
            <v>line</v>
          </cell>
          <cell r="H202" t="str">
            <v>Carr Inlet</v>
          </cell>
          <cell r="I202" t="str">
            <v>CPS</v>
          </cell>
          <cell r="J202" t="str">
            <v>Eelgrass Recovery in PS</v>
          </cell>
          <cell r="K202" t="str">
            <v>USFWS</v>
          </cell>
          <cell r="L202" t="str">
            <v>USFWS</v>
          </cell>
          <cell r="M202" t="str">
            <v>WA F16AP00163 AL</v>
          </cell>
          <cell r="N202"/>
          <cell r="O202" t="str">
            <v>PNNL</v>
          </cell>
          <cell r="P202" t="str">
            <v>93-094344</v>
          </cell>
          <cell r="Q202"/>
          <cell r="R202" t="str">
            <v>large scale</v>
          </cell>
          <cell r="S202" t="str">
            <v>--</v>
          </cell>
          <cell r="T202">
            <v>42922</v>
          </cell>
          <cell r="U202">
            <v>47.191659999999999</v>
          </cell>
          <cell r="V202">
            <v>-122.67077999999999</v>
          </cell>
          <cell r="W202" t="str">
            <v>line</v>
          </cell>
          <cell r="X202" t="str">
            <v>retain</v>
          </cell>
          <cell r="Y202" t="str">
            <v>WGS84</v>
          </cell>
          <cell r="Z202"/>
          <cell r="AA202"/>
          <cell r="AB202"/>
          <cell r="AC202"/>
          <cell r="AE202"/>
          <cell r="AF202" t="str">
            <v/>
          </cell>
          <cell r="AG202"/>
          <cell r="AH202"/>
          <cell r="AI202" t="str">
            <v/>
          </cell>
          <cell r="AJ202" t="str">
            <v/>
          </cell>
          <cell r="AK202"/>
          <cell r="AL202"/>
        </row>
        <row r="203">
          <cell r="B203" t="str">
            <v>McNeil Island South - east plot - PNNL - large - 2017</v>
          </cell>
          <cell r="C203" t="str">
            <v>MCN_south_L1</v>
          </cell>
          <cell r="D203" t="str">
            <v>single</v>
          </cell>
          <cell r="E203">
            <v>2017</v>
          </cell>
          <cell r="F203"/>
          <cell r="G203" t="str">
            <v>line</v>
          </cell>
          <cell r="H203" t="str">
            <v>Carr Inlet</v>
          </cell>
          <cell r="I203" t="str">
            <v>CPS</v>
          </cell>
          <cell r="J203" t="str">
            <v>Eelgrass Recovery in PS</v>
          </cell>
          <cell r="K203" t="str">
            <v>USFWS</v>
          </cell>
          <cell r="L203" t="str">
            <v>USFWS</v>
          </cell>
          <cell r="M203" t="str">
            <v>WA F16AP00163 AL</v>
          </cell>
          <cell r="N203"/>
          <cell r="O203" t="str">
            <v>PNNL</v>
          </cell>
          <cell r="P203" t="str">
            <v>93-094344</v>
          </cell>
          <cell r="Q203"/>
          <cell r="R203" t="str">
            <v>large scale</v>
          </cell>
          <cell r="S203" t="str">
            <v>large scale</v>
          </cell>
          <cell r="T203">
            <v>42923</v>
          </cell>
          <cell r="U203">
            <v>47.192450000000001</v>
          </cell>
          <cell r="V203">
            <v>-122.66495</v>
          </cell>
          <cell r="W203" t="str">
            <v>line</v>
          </cell>
          <cell r="X203" t="str">
            <v>retain</v>
          </cell>
          <cell r="Y203" t="str">
            <v>WGS84</v>
          </cell>
          <cell r="Z203">
            <v>-0.6</v>
          </cell>
          <cell r="AA203" t="str">
            <v>rebar</v>
          </cell>
          <cell r="AB203">
            <v>8</v>
          </cell>
          <cell r="AC203">
            <v>5</v>
          </cell>
          <cell r="AD203">
            <v>40</v>
          </cell>
          <cell r="AE203">
            <v>20</v>
          </cell>
          <cell r="AF203">
            <v>2</v>
          </cell>
          <cell r="AG203">
            <v>80</v>
          </cell>
          <cell r="AH203">
            <v>2000</v>
          </cell>
          <cell r="AI203">
            <v>50</v>
          </cell>
          <cell r="AJ203">
            <v>100</v>
          </cell>
          <cell r="AK203" t="str">
            <v>Thompson Cove</v>
          </cell>
          <cell r="AL203" t="str">
            <v>screw anchor at 0m and 16.5 m but only planted through 7.5m  because test plot not as successful as other test plots</v>
          </cell>
        </row>
        <row r="204">
          <cell r="B204" t="str">
            <v>McNeil Island South - east plot - PNNL - large - 2017</v>
          </cell>
          <cell r="C204" t="str">
            <v>MCN_south_L1</v>
          </cell>
          <cell r="D204" t="str">
            <v>single</v>
          </cell>
          <cell r="E204">
            <v>2017</v>
          </cell>
          <cell r="F204"/>
          <cell r="G204" t="str">
            <v>line</v>
          </cell>
          <cell r="H204" t="str">
            <v>Carr Inlet</v>
          </cell>
          <cell r="I204" t="str">
            <v>CPS</v>
          </cell>
          <cell r="J204" t="str">
            <v>Eelgrass Recovery in PS</v>
          </cell>
          <cell r="K204" t="str">
            <v>USFWS</v>
          </cell>
          <cell r="L204" t="str">
            <v>USFWS</v>
          </cell>
          <cell r="M204" t="str">
            <v>WA F16AP00163 AL</v>
          </cell>
          <cell r="N204"/>
          <cell r="O204" t="str">
            <v>PNNL</v>
          </cell>
          <cell r="P204" t="str">
            <v>93-094344</v>
          </cell>
          <cell r="Q204"/>
          <cell r="R204" t="str">
            <v>large scale</v>
          </cell>
          <cell r="S204" t="str">
            <v>--</v>
          </cell>
          <cell r="T204">
            <v>42923</v>
          </cell>
          <cell r="U204">
            <v>47.192480000000003</v>
          </cell>
          <cell r="V204">
            <v>-122.66473999999999</v>
          </cell>
          <cell r="W204" t="str">
            <v>line</v>
          </cell>
          <cell r="X204" t="str">
            <v>retain</v>
          </cell>
          <cell r="Y204" t="str">
            <v>WGS84</v>
          </cell>
          <cell r="Z204"/>
          <cell r="AA204"/>
          <cell r="AB204"/>
          <cell r="AC204"/>
          <cell r="AE204"/>
          <cell r="AF204" t="str">
            <v/>
          </cell>
          <cell r="AG204"/>
          <cell r="AH204"/>
          <cell r="AI204" t="str">
            <v/>
          </cell>
          <cell r="AJ204" t="str">
            <v/>
          </cell>
          <cell r="AK204"/>
          <cell r="AL204"/>
        </row>
        <row r="205">
          <cell r="B205" t="str">
            <v>McNeil Island South - west plot - PNNL - large - 2017</v>
          </cell>
          <cell r="C205" t="str">
            <v>MCN_south_L3</v>
          </cell>
          <cell r="D205" t="str">
            <v>single</v>
          </cell>
          <cell r="E205">
            <v>2017</v>
          </cell>
          <cell r="F205"/>
          <cell r="G205" t="str">
            <v>line</v>
          </cell>
          <cell r="H205" t="str">
            <v>Carr Inlet</v>
          </cell>
          <cell r="I205" t="str">
            <v>CPS</v>
          </cell>
          <cell r="J205" t="str">
            <v>Eelgrass Recovery in PS</v>
          </cell>
          <cell r="K205" t="str">
            <v>USFWS</v>
          </cell>
          <cell r="L205" t="str">
            <v>USFWS</v>
          </cell>
          <cell r="M205" t="str">
            <v>WA F16AP00163 AL</v>
          </cell>
          <cell r="N205"/>
          <cell r="O205" t="str">
            <v>PNNL</v>
          </cell>
          <cell r="P205" t="str">
            <v>93-094344</v>
          </cell>
          <cell r="Q205"/>
          <cell r="R205" t="str">
            <v>large scale</v>
          </cell>
          <cell r="S205" t="str">
            <v>large scale</v>
          </cell>
          <cell r="T205">
            <v>42924</v>
          </cell>
          <cell r="U205">
            <v>47.19153</v>
          </cell>
          <cell r="V205">
            <v>-122.67189999999999</v>
          </cell>
          <cell r="W205" t="str">
            <v>line</v>
          </cell>
          <cell r="X205" t="str">
            <v>retain</v>
          </cell>
          <cell r="Y205" t="str">
            <v>WGS84</v>
          </cell>
          <cell r="Z205">
            <v>-1.6</v>
          </cell>
          <cell r="AA205" t="str">
            <v>rebar</v>
          </cell>
          <cell r="AB205">
            <v>16</v>
          </cell>
          <cell r="AC205">
            <v>5</v>
          </cell>
          <cell r="AD205">
            <v>80</v>
          </cell>
          <cell r="AE205">
            <v>40</v>
          </cell>
          <cell r="AF205">
            <v>4</v>
          </cell>
          <cell r="AG205">
            <v>160</v>
          </cell>
          <cell r="AH205">
            <v>4000</v>
          </cell>
          <cell r="AI205">
            <v>50</v>
          </cell>
          <cell r="AJ205">
            <v>100</v>
          </cell>
          <cell r="AK205" t="str">
            <v>Thompson Cove</v>
          </cell>
          <cell r="AL205" t="str">
            <v>screw anchors at 0m and 25m</v>
          </cell>
        </row>
        <row r="206">
          <cell r="B206" t="str">
            <v>McNeil Island South - west plot - PNNL - large - 2017</v>
          </cell>
          <cell r="C206" t="str">
            <v>MCN_south_L3</v>
          </cell>
          <cell r="D206" t="str">
            <v>single</v>
          </cell>
          <cell r="E206">
            <v>2017</v>
          </cell>
          <cell r="F206"/>
          <cell r="G206" t="str">
            <v>line</v>
          </cell>
          <cell r="H206" t="str">
            <v>Carr Inlet</v>
          </cell>
          <cell r="I206" t="str">
            <v>CPS</v>
          </cell>
          <cell r="J206" t="str">
            <v>Eelgrass Recovery in PS</v>
          </cell>
          <cell r="K206" t="str">
            <v>USFWS</v>
          </cell>
          <cell r="L206" t="str">
            <v>USFWS</v>
          </cell>
          <cell r="M206" t="str">
            <v>WA F16AP00163 AL</v>
          </cell>
          <cell r="N206"/>
          <cell r="O206" t="str">
            <v>PNNL</v>
          </cell>
          <cell r="P206" t="str">
            <v>93-094344</v>
          </cell>
          <cell r="Q206"/>
          <cell r="R206" t="str">
            <v>large scale</v>
          </cell>
          <cell r="S206" t="str">
            <v>--</v>
          </cell>
          <cell r="T206">
            <v>42924</v>
          </cell>
          <cell r="U206">
            <v>47.191470000000002</v>
          </cell>
          <cell r="V206">
            <v>-122.67221000000001</v>
          </cell>
          <cell r="W206" t="str">
            <v>line</v>
          </cell>
          <cell r="X206" t="str">
            <v>retain</v>
          </cell>
          <cell r="Y206" t="str">
            <v>WGS84</v>
          </cell>
          <cell r="Z206"/>
          <cell r="AA206"/>
          <cell r="AB206"/>
          <cell r="AC206"/>
          <cell r="AE206"/>
          <cell r="AF206"/>
          <cell r="AG206"/>
          <cell r="AH206"/>
          <cell r="AI206" t="str">
            <v/>
          </cell>
          <cell r="AJ206" t="str">
            <v/>
          </cell>
          <cell r="AK206"/>
          <cell r="AL206"/>
        </row>
        <row r="207">
          <cell r="B207" t="str">
            <v>Milwaukee Dock southern depression - PNNL - test - anchor1 - 2017</v>
          </cell>
          <cell r="C207" t="str">
            <v>MIL_1</v>
          </cell>
          <cell r="D207" t="str">
            <v>single</v>
          </cell>
          <cell r="E207">
            <v>2017</v>
          </cell>
          <cell r="F207"/>
          <cell r="G207" t="str">
            <v>point</v>
          </cell>
          <cell r="H207" t="str">
            <v>Eagle Harbor</v>
          </cell>
          <cell r="I207" t="str">
            <v>CPS</v>
          </cell>
          <cell r="J207" t="str">
            <v>Eelgrass Recovery in PS</v>
          </cell>
          <cell r="K207" t="str">
            <v>USFWS</v>
          </cell>
          <cell r="L207" t="str">
            <v>USFWS</v>
          </cell>
          <cell r="M207" t="str">
            <v>WA F16AP00163 AL</v>
          </cell>
          <cell r="N207"/>
          <cell r="O207" t="str">
            <v>PNNL</v>
          </cell>
          <cell r="P207" t="str">
            <v>93-094344</v>
          </cell>
          <cell r="Q207"/>
          <cell r="R207" t="str">
            <v>test</v>
          </cell>
          <cell r="S207" t="str">
            <v>test</v>
          </cell>
          <cell r="T207">
            <v>42978</v>
          </cell>
          <cell r="U207">
            <v>47.616869999999999</v>
          </cell>
          <cell r="V207">
            <v>-122.49728</v>
          </cell>
          <cell r="W207" t="str">
            <v>point</v>
          </cell>
          <cell r="X207" t="str">
            <v>retain</v>
          </cell>
          <cell r="Y207" t="str">
            <v>WGS84</v>
          </cell>
          <cell r="Z207">
            <v>-2.4</v>
          </cell>
          <cell r="AA207" t="str">
            <v>rebar</v>
          </cell>
          <cell r="AB207">
            <v>2.5</v>
          </cell>
          <cell r="AC207">
            <v>2.5</v>
          </cell>
          <cell r="AD207">
            <v>6.25</v>
          </cell>
          <cell r="AE207">
            <v>4.5</v>
          </cell>
          <cell r="AF207">
            <v>0.45</v>
          </cell>
          <cell r="AG207">
            <v>18</v>
          </cell>
          <cell r="AH207">
            <v>450</v>
          </cell>
          <cell r="AI207">
            <v>72</v>
          </cell>
          <cell r="AJ207">
            <v>100</v>
          </cell>
          <cell r="AK207" t="str">
            <v>Creosote Point</v>
          </cell>
          <cell r="AL207" t="str">
            <v>Testing to see if rebar will hold better than failed staples at this site. See planting diagram</v>
          </cell>
        </row>
        <row r="208">
          <cell r="B208" t="str">
            <v>Milwaukee Dock southern depression - PNNL - test - anchor3 - 2017</v>
          </cell>
          <cell r="C208" t="str">
            <v>MIL_3</v>
          </cell>
          <cell r="D208" t="str">
            <v>single</v>
          </cell>
          <cell r="E208">
            <v>2017</v>
          </cell>
          <cell r="F208"/>
          <cell r="G208" t="str">
            <v>point</v>
          </cell>
          <cell r="H208" t="str">
            <v>Eagle Harbor</v>
          </cell>
          <cell r="I208" t="str">
            <v>CPS</v>
          </cell>
          <cell r="J208" t="str">
            <v>Eelgrass Recovery in PS</v>
          </cell>
          <cell r="K208" t="str">
            <v>USFWS</v>
          </cell>
          <cell r="L208" t="str">
            <v>USFWS</v>
          </cell>
          <cell r="M208" t="str">
            <v>WA F16AP00163 AL</v>
          </cell>
          <cell r="N208"/>
          <cell r="O208" t="str">
            <v>PNNL</v>
          </cell>
          <cell r="P208" t="str">
            <v>93-094344</v>
          </cell>
          <cell r="Q208"/>
          <cell r="R208" t="str">
            <v>test</v>
          </cell>
          <cell r="S208" t="str">
            <v>test</v>
          </cell>
          <cell r="T208">
            <v>42978</v>
          </cell>
          <cell r="U208">
            <v>47.61683</v>
          </cell>
          <cell r="V208">
            <v>-122.49723</v>
          </cell>
          <cell r="W208" t="str">
            <v>point</v>
          </cell>
          <cell r="X208" t="str">
            <v>retain</v>
          </cell>
          <cell r="Y208" t="str">
            <v>WGS84</v>
          </cell>
          <cell r="Z208">
            <v>-2.4</v>
          </cell>
          <cell r="AA208" t="str">
            <v>rebar</v>
          </cell>
          <cell r="AB208">
            <v>2.5</v>
          </cell>
          <cell r="AC208">
            <v>2.5</v>
          </cell>
          <cell r="AD208">
            <v>6.25</v>
          </cell>
          <cell r="AE208">
            <v>5</v>
          </cell>
          <cell r="AF208">
            <v>0.5</v>
          </cell>
          <cell r="AG208">
            <v>20</v>
          </cell>
          <cell r="AH208">
            <v>500</v>
          </cell>
          <cell r="AI208">
            <v>80</v>
          </cell>
          <cell r="AJ208">
            <v>100</v>
          </cell>
          <cell r="AK208" t="str">
            <v>Creosote Point</v>
          </cell>
          <cell r="AL208" t="str">
            <v>Testing to see if rebar will hold better than failed staples at this site. See planting diagram</v>
          </cell>
        </row>
        <row r="209">
          <cell r="B209" t="str">
            <v>Myrtle Edwards - DNR - test - DW - 2021</v>
          </cell>
          <cell r="C209" t="str">
            <v>MRE_1</v>
          </cell>
          <cell r="D209" t="str">
            <v>single</v>
          </cell>
          <cell r="E209">
            <v>2021</v>
          </cell>
          <cell r="G209" t="str">
            <v>point</v>
          </cell>
          <cell r="H209" t="str">
            <v>Elliott Bay</v>
          </cell>
          <cell r="I209" t="str">
            <v>CPS</v>
          </cell>
          <cell r="J209" t="str">
            <v>King County</v>
          </cell>
          <cell r="K209" t="str">
            <v>King County</v>
          </cell>
          <cell r="L209" t="str">
            <v>King County Department of Natural Resources and Parks Wastewater Treatment Division</v>
          </cell>
          <cell r="N209" t="str">
            <v>93-097520</v>
          </cell>
          <cell r="R209" t="str">
            <v>test</v>
          </cell>
          <cell r="S209" t="str">
            <v>test</v>
          </cell>
          <cell r="T209">
            <v>44344</v>
          </cell>
          <cell r="U209">
            <v>47.620460000000001</v>
          </cell>
          <cell r="V209">
            <v>-122.36398</v>
          </cell>
          <cell r="W209" t="str">
            <v>point</v>
          </cell>
          <cell r="X209" t="str">
            <v>retain</v>
          </cell>
          <cell r="Y209" t="str">
            <v>WGS84</v>
          </cell>
          <cell r="Z209">
            <v>-1.5</v>
          </cell>
          <cell r="AA209" t="str">
            <v>rebar</v>
          </cell>
          <cell r="AB209">
            <v>1.5</v>
          </cell>
          <cell r="AC209">
            <v>1</v>
          </cell>
          <cell r="AD209">
            <v>1.5</v>
          </cell>
          <cell r="AE209">
            <v>3.75</v>
          </cell>
          <cell r="AF209">
            <v>0.375</v>
          </cell>
          <cell r="AG209">
            <v>15</v>
          </cell>
          <cell r="AH209">
            <v>300</v>
          </cell>
          <cell r="AI209">
            <v>200</v>
          </cell>
          <cell r="AJ209">
            <v>80</v>
          </cell>
          <cell r="AK209" t="str">
            <v>DuPont Wharf</v>
          </cell>
          <cell r="AL209" t="str">
            <v>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v>
          </cell>
        </row>
        <row r="210">
          <cell r="B210" t="str">
            <v>Myrtle Edwards - DNR - test - DB - 2021</v>
          </cell>
          <cell r="C210" t="str">
            <v>MRE_1</v>
          </cell>
          <cell r="D210" t="str">
            <v>single</v>
          </cell>
          <cell r="E210">
            <v>2021</v>
          </cell>
          <cell r="G210" t="str">
            <v>point</v>
          </cell>
          <cell r="H210" t="str">
            <v>Elliott Bay</v>
          </cell>
          <cell r="I210" t="str">
            <v>CPS</v>
          </cell>
          <cell r="J210" t="str">
            <v>King County</v>
          </cell>
          <cell r="K210" t="str">
            <v>King County</v>
          </cell>
          <cell r="L210" t="str">
            <v>King County Department of Natural Resources and Parks Wastewater Treatment Division</v>
          </cell>
          <cell r="N210" t="str">
            <v>93-097520</v>
          </cell>
          <cell r="R210" t="str">
            <v>test</v>
          </cell>
          <cell r="S210" t="str">
            <v>test</v>
          </cell>
          <cell r="T210">
            <v>44344</v>
          </cell>
          <cell r="U210">
            <v>47.620460000000001</v>
          </cell>
          <cell r="V210">
            <v>-122.36398</v>
          </cell>
          <cell r="W210" t="str">
            <v>point</v>
          </cell>
          <cell r="X210" t="str">
            <v>retain</v>
          </cell>
          <cell r="Y210" t="str">
            <v>WGS84</v>
          </cell>
          <cell r="Z210">
            <v>-1.5</v>
          </cell>
          <cell r="AA210" t="str">
            <v>rebar</v>
          </cell>
          <cell r="AB210">
            <v>1</v>
          </cell>
          <cell r="AC210">
            <v>1</v>
          </cell>
          <cell r="AD210">
            <v>1</v>
          </cell>
          <cell r="AE210">
            <v>3</v>
          </cell>
          <cell r="AF210">
            <v>0.30000000000000004</v>
          </cell>
          <cell r="AG210">
            <v>12</v>
          </cell>
          <cell r="AH210">
            <v>240</v>
          </cell>
          <cell r="AI210">
            <v>240</v>
          </cell>
          <cell r="AJ210">
            <v>80</v>
          </cell>
          <cell r="AK210" t="str">
            <v>Dumas Bay</v>
          </cell>
          <cell r="AL210" t="str">
            <v>planted 4, 0.25 m2 plots of 3 rebar each with Dumas Bay Zm. 2 plots 1.4 m south of light sensor adjacent to 2 plots of DuPont Wharf Zm. One plot shallow with the other plot deep. The other 2 plots were 1.4 m north of light sensor, 1 plot shallow, 1 plot deep.</v>
          </cell>
        </row>
        <row r="211">
          <cell r="B211" t="str">
            <v>Myrtle Edwards - DNR - test 1 - DW - 2022</v>
          </cell>
          <cell r="C211" t="str">
            <v>MRE_2</v>
          </cell>
          <cell r="D211" t="str">
            <v>single</v>
          </cell>
          <cell r="E211">
            <v>2022</v>
          </cell>
          <cell r="G211" t="str">
            <v>point</v>
          </cell>
          <cell r="H211" t="str">
            <v>Elliott Bay</v>
          </cell>
          <cell r="I211" t="str">
            <v>CPS</v>
          </cell>
          <cell r="J211" t="str">
            <v>King County</v>
          </cell>
          <cell r="K211" t="str">
            <v>King County</v>
          </cell>
          <cell r="L211" t="str">
            <v>King County Department of Natural Resources and Parks Wastewater Treatment Division</v>
          </cell>
          <cell r="N211" t="str">
            <v>93-097520</v>
          </cell>
          <cell r="R211" t="str">
            <v>test</v>
          </cell>
          <cell r="S211" t="str">
            <v>test</v>
          </cell>
          <cell r="T211">
            <v>44698</v>
          </cell>
          <cell r="U211">
            <v>47.620460000000001</v>
          </cell>
          <cell r="V211">
            <v>-122.36398</v>
          </cell>
          <cell r="W211" t="str">
            <v>point</v>
          </cell>
          <cell r="X211" t="str">
            <v>retain</v>
          </cell>
          <cell r="Y211" t="str">
            <v>WGS84</v>
          </cell>
          <cell r="Z211">
            <v>-1.5</v>
          </cell>
          <cell r="AA211" t="str">
            <v>rebar</v>
          </cell>
          <cell r="AB211">
            <v>1</v>
          </cell>
          <cell r="AC211">
            <v>0.5</v>
          </cell>
          <cell r="AD211">
            <v>0.5</v>
          </cell>
          <cell r="AE211">
            <v>1.5</v>
          </cell>
          <cell r="AF211">
            <v>0.15000000000000002</v>
          </cell>
          <cell r="AG211">
            <v>6</v>
          </cell>
          <cell r="AH211">
            <v>120</v>
          </cell>
          <cell r="AI211">
            <v>240</v>
          </cell>
          <cell r="AJ211">
            <v>80</v>
          </cell>
          <cell r="AK211" t="str">
            <v>DuPont Wharf</v>
          </cell>
          <cell r="AL211" t="str">
            <v xml:space="preserve">planted 2, 0.25 m2 plots of 3 rebar each with DuPont Wharf Zm near remaining 3 shoots from 2021 test transplant. Transplants were adjacent to rip rap. </v>
          </cell>
        </row>
        <row r="212">
          <cell r="B212" t="str">
            <v>Myrtle Edwards - DNR - test 2 - DW - 2022</v>
          </cell>
          <cell r="C212" t="str">
            <v>MRE_2</v>
          </cell>
          <cell r="D212" t="str">
            <v>single</v>
          </cell>
          <cell r="E212">
            <v>2022</v>
          </cell>
          <cell r="G212" t="str">
            <v>point</v>
          </cell>
          <cell r="H212" t="str">
            <v>Elliott Bay</v>
          </cell>
          <cell r="I212" t="str">
            <v>CPS</v>
          </cell>
          <cell r="J212" t="str">
            <v>King County</v>
          </cell>
          <cell r="K212" t="str">
            <v>King County</v>
          </cell>
          <cell r="L212" t="str">
            <v>King County Department of Natural Resources and Parks Wastewater Treatment Division</v>
          </cell>
          <cell r="N212" t="str">
            <v>93-097520</v>
          </cell>
          <cell r="R212" t="str">
            <v>test</v>
          </cell>
          <cell r="S212" t="str">
            <v>test</v>
          </cell>
          <cell r="T212">
            <v>44698</v>
          </cell>
          <cell r="W212" t="str">
            <v>point</v>
          </cell>
          <cell r="X212" t="str">
            <v>retain</v>
          </cell>
          <cell r="Y212" t="str">
            <v>WGS84</v>
          </cell>
          <cell r="Z212">
            <v>-1.6</v>
          </cell>
          <cell r="AA212" t="str">
            <v>rebar</v>
          </cell>
          <cell r="AB212">
            <v>2.5</v>
          </cell>
          <cell r="AC212">
            <v>1</v>
          </cell>
          <cell r="AD212">
            <v>2.5</v>
          </cell>
          <cell r="AE212">
            <v>7.75</v>
          </cell>
          <cell r="AF212">
            <v>0.77500000000000002</v>
          </cell>
          <cell r="AG212">
            <v>31</v>
          </cell>
          <cell r="AH212">
            <v>620</v>
          </cell>
          <cell r="AI212">
            <v>248</v>
          </cell>
          <cell r="AJ212">
            <v>80</v>
          </cell>
          <cell r="AK212" t="str">
            <v>DuPont Wharf</v>
          </cell>
          <cell r="AL212" t="str">
            <v>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v>
          </cell>
        </row>
        <row r="213">
          <cell r="B213" t="str">
            <v>Ostrich Bay - PNNL - test - 2015</v>
          </cell>
          <cell r="C213" t="str">
            <v>OST</v>
          </cell>
          <cell r="D213" t="str">
            <v>single</v>
          </cell>
          <cell r="E213">
            <v>2015</v>
          </cell>
          <cell r="G213" t="str">
            <v>point</v>
          </cell>
          <cell r="H213" t="str">
            <v>Dyes Inlet</v>
          </cell>
          <cell r="I213" t="str">
            <v>CPS</v>
          </cell>
          <cell r="J213" t="str">
            <v>Eelgrass Restoration in PS</v>
          </cell>
          <cell r="K213" t="str">
            <v>DNR</v>
          </cell>
          <cell r="L213" t="str">
            <v>Aquatic Restoration Program</v>
          </cell>
          <cell r="O213" t="str">
            <v>PNNL</v>
          </cell>
          <cell r="P213" t="str">
            <v>IAA 12-317.1</v>
          </cell>
          <cell r="Q213" t="str">
            <v>Aston, L.A., A.B. Borde and J. Vavrinec. 2015. Final Summary Report - Eelgrass Restoration in Puget Sound Project Summary. Pacific Northwest National Laboratory, Richland, WA. PNNL-24445.</v>
          </cell>
          <cell r="R213" t="str">
            <v>test</v>
          </cell>
          <cell r="S213" t="str">
            <v>test</v>
          </cell>
          <cell r="T213">
            <v>42053</v>
          </cell>
          <cell r="U213">
            <v>47.592083333333335</v>
          </cell>
          <cell r="V213">
            <v>-122.67906666666667</v>
          </cell>
          <cell r="W213" t="str">
            <v>point</v>
          </cell>
          <cell r="X213" t="str">
            <v>retain</v>
          </cell>
          <cell r="Y213" t="str">
            <v>WGS84</v>
          </cell>
          <cell r="Z213">
            <v>-1.4325600000000001</v>
          </cell>
          <cell r="AA213" t="str">
            <v>staple</v>
          </cell>
          <cell r="AB213">
            <v>5</v>
          </cell>
          <cell r="AC213">
            <v>5</v>
          </cell>
          <cell r="AD213">
            <v>25</v>
          </cell>
          <cell r="AE213">
            <v>25</v>
          </cell>
          <cell r="AF213">
            <v>0.625</v>
          </cell>
          <cell r="AG213">
            <v>125</v>
          </cell>
          <cell r="AH213">
            <v>500</v>
          </cell>
          <cell r="AI213">
            <v>20</v>
          </cell>
          <cell r="AJ213">
            <v>20</v>
          </cell>
          <cell r="AK213" t="str">
            <v>Creosote Point</v>
          </cell>
        </row>
        <row r="214">
          <cell r="B214" t="str">
            <v>Otis Beach - Henderson Inlet - DNR - test 1 - 2023</v>
          </cell>
          <cell r="C214" t="str">
            <v>OTB_1</v>
          </cell>
          <cell r="D214" t="str">
            <v>single</v>
          </cell>
          <cell r="E214">
            <v>2023</v>
          </cell>
          <cell r="G214" t="str">
            <v>point</v>
          </cell>
          <cell r="H214" t="str">
            <v>Henderson Inlet</v>
          </cell>
          <cell r="I214" t="str">
            <v>SPS</v>
          </cell>
          <cell r="R214" t="str">
            <v>test</v>
          </cell>
          <cell r="S214" t="str">
            <v>test</v>
          </cell>
          <cell r="T214">
            <v>45053</v>
          </cell>
          <cell r="U214">
            <v>47.163100800000002</v>
          </cell>
          <cell r="V214">
            <v>-122.828051</v>
          </cell>
          <cell r="W214" t="str">
            <v>point</v>
          </cell>
          <cell r="X214" t="str">
            <v>retain</v>
          </cell>
          <cell r="Y214" t="str">
            <v>WGS84</v>
          </cell>
          <cell r="Z214">
            <v>-1</v>
          </cell>
          <cell r="AA214" t="str">
            <v>rebar</v>
          </cell>
          <cell r="AB214">
            <v>1.5</v>
          </cell>
          <cell r="AC214">
            <v>0.5</v>
          </cell>
          <cell r="AD214">
            <v>0.75</v>
          </cell>
          <cell r="AE214">
            <v>2.75</v>
          </cell>
          <cell r="AF214">
            <v>0.27500000000000002</v>
          </cell>
          <cell r="AG214">
            <v>11</v>
          </cell>
          <cell r="AH214">
            <v>150</v>
          </cell>
          <cell r="AI214">
            <v>200</v>
          </cell>
          <cell r="AJ214">
            <v>54.545454545454547</v>
          </cell>
          <cell r="AK214" t="str">
            <v>DuPont Wharf</v>
          </cell>
          <cell r="AL214" t="str">
            <v>planted 11 rebar. First 2 rebar were perpendicular to shore, then 3 rebar parallel to shore, then 3 rebar perpendicular to shore, then 3 rebar parallel to shore (=, 3 parallel, |||, 3 parallel).</v>
          </cell>
        </row>
        <row r="215">
          <cell r="B215" t="str">
            <v>Penrose North - HC - test - 2016</v>
          </cell>
          <cell r="C215" t="str">
            <v>PEN_L1</v>
          </cell>
          <cell r="D215" t="str">
            <v>single</v>
          </cell>
          <cell r="E215">
            <v>2016</v>
          </cell>
          <cell r="F215" t="str">
            <v>Thom, RM, and L Hallum. 1990. Long‐term changes in the areal extent of tidal marshes, eelgrass meadows, and kelp forests of Puget Sound. FRI‐UW‐9008, Fisheries Research Institute, School of Fisheries, University of Washington, Seattle. Pp. 110.</v>
          </cell>
          <cell r="G215" t="str">
            <v>point</v>
          </cell>
          <cell r="H215" t="str">
            <v>Carr Inlet</v>
          </cell>
          <cell r="I215" t="str">
            <v>CPS</v>
          </cell>
          <cell r="J215" t="str">
            <v>Eelgrass Restoration in Puget Sound</v>
          </cell>
          <cell r="K215" t="str">
            <v>WDFW</v>
          </cell>
          <cell r="L215" t="str">
            <v>National Estuary Program</v>
          </cell>
          <cell r="M215" t="str">
            <v>14-02072</v>
          </cell>
          <cell r="N215" t="str">
            <v xml:space="preserve"> IAA 15-110</v>
          </cell>
          <cell r="O215" t="str">
            <v>Hart Crowser</v>
          </cell>
          <cell r="P215" t="str">
            <v>SC 16-17</v>
          </cell>
          <cell r="Q215" t="str">
            <v>Shannon, J., J. Blanchette and J. Gaeckle. 2018. Eelgrass (Zostera marina) Restoration in Puget Sound, WA. Final Restoration and Monitoring Report (12059-05) for US EPA, Hart Crowser, Edmonds, WA. Pp. 131.</v>
          </cell>
          <cell r="R215" t="str">
            <v>test</v>
          </cell>
          <cell r="S215" t="str">
            <v>test</v>
          </cell>
          <cell r="T215">
            <v>42510</v>
          </cell>
          <cell r="U215">
            <v>47.264066961111112</v>
          </cell>
          <cell r="V215">
            <v>-122.73925913055555</v>
          </cell>
          <cell r="W215" t="str">
            <v>point</v>
          </cell>
          <cell r="X215" t="str">
            <v>retain</v>
          </cell>
          <cell r="Y215" t="str">
            <v>WGS84</v>
          </cell>
          <cell r="Z215">
            <v>-2</v>
          </cell>
          <cell r="AA215" t="str">
            <v>burlap</v>
          </cell>
          <cell r="AB215">
            <v>5</v>
          </cell>
          <cell r="AC215">
            <v>5</v>
          </cell>
          <cell r="AD215">
            <v>25</v>
          </cell>
          <cell r="AE215">
            <v>39</v>
          </cell>
          <cell r="AF215">
            <v>9.75</v>
          </cell>
          <cell r="AG215">
            <v>156</v>
          </cell>
          <cell r="AH215">
            <v>780</v>
          </cell>
          <cell r="AI215">
            <v>31.2</v>
          </cell>
          <cell r="AJ215">
            <v>20</v>
          </cell>
          <cell r="AK215" t="str">
            <v>Rocky Bay</v>
          </cell>
          <cell r="AL215" t="str">
            <v>transect line that includes 3 test plots</v>
          </cell>
        </row>
        <row r="216">
          <cell r="B216" t="str">
            <v>Port Gamble Bay - PNNL - test 5 - 2014</v>
          </cell>
          <cell r="C216" t="str">
            <v>PTG_5</v>
          </cell>
          <cell r="D216" t="str">
            <v>single</v>
          </cell>
          <cell r="E216">
            <v>2014</v>
          </cell>
          <cell r="F216"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16" t="str">
            <v>point</v>
          </cell>
          <cell r="H216" t="str">
            <v>Port Gamble Bay</v>
          </cell>
          <cell r="I216" t="str">
            <v>HDC</v>
          </cell>
          <cell r="J216" t="str">
            <v>Port Gamble Bay Eelgrass Restoration Project</v>
          </cell>
          <cell r="K216" t="str">
            <v>Ecology</v>
          </cell>
          <cell r="L216" t="str">
            <v>Toxics Cleanup Program</v>
          </cell>
          <cell r="M216" t="str">
            <v>C1400158</v>
          </cell>
          <cell r="N216" t="str">
            <v xml:space="preserve"> 14-147</v>
          </cell>
          <cell r="O216" t="str">
            <v>PNNL</v>
          </cell>
          <cell r="P216" t="str">
            <v>IAA 14-293</v>
          </cell>
          <cell r="Q216" t="str">
            <v>Vavrinec, J. and A.B. Borde. 2015. Port Gamble eelgrass restoration project summary. Prepared for the Washington State Department of Ecology contracts IAA C1400158 and IAA 14-147. Pacific Northwest National Laboratory, Richland, WA. PNNL-24432.</v>
          </cell>
          <cell r="R216" t="str">
            <v>test</v>
          </cell>
          <cell r="S216" t="str">
            <v>test</v>
          </cell>
          <cell r="T216">
            <v>41961</v>
          </cell>
          <cell r="U216">
            <v>47.820416666666667</v>
          </cell>
          <cell r="V216">
            <v>-122.57201666666667</v>
          </cell>
          <cell r="W216" t="str">
            <v>point</v>
          </cell>
          <cell r="X216" t="str">
            <v>retain</v>
          </cell>
          <cell r="Y216" t="str">
            <v>WGS84</v>
          </cell>
          <cell r="Z216">
            <v>-1.8288</v>
          </cell>
          <cell r="AA216" t="str">
            <v>staple</v>
          </cell>
          <cell r="AB216">
            <v>5</v>
          </cell>
          <cell r="AC216">
            <v>5</v>
          </cell>
          <cell r="AD216">
            <v>25</v>
          </cell>
          <cell r="AE216">
            <v>25</v>
          </cell>
          <cell r="AF216">
            <v>0.625</v>
          </cell>
          <cell r="AG216">
            <v>125</v>
          </cell>
          <cell r="AH216">
            <v>500</v>
          </cell>
          <cell r="AI216">
            <v>20</v>
          </cell>
          <cell r="AJ216">
            <v>20</v>
          </cell>
          <cell r="AK216" t="str">
            <v>Point Julia</v>
          </cell>
        </row>
        <row r="217">
          <cell r="B217" t="str">
            <v>Port Gamble Bay - PNNL - test 2 - 2014</v>
          </cell>
          <cell r="C217" t="str">
            <v>PTG_2</v>
          </cell>
          <cell r="D217" t="str">
            <v>single</v>
          </cell>
          <cell r="E217">
            <v>2014</v>
          </cell>
          <cell r="F217"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17" t="str">
            <v>point</v>
          </cell>
          <cell r="H217" t="str">
            <v>Port Gamble Bay</v>
          </cell>
          <cell r="I217" t="str">
            <v>HDC</v>
          </cell>
          <cell r="J217" t="str">
            <v>Port Gamble Bay Eelgrass Restoration Project</v>
          </cell>
          <cell r="K217" t="str">
            <v>Ecology</v>
          </cell>
          <cell r="L217" t="str">
            <v>Toxics Cleanup Program</v>
          </cell>
          <cell r="M217" t="str">
            <v>C1400158</v>
          </cell>
          <cell r="N217" t="str">
            <v xml:space="preserve"> 14-147</v>
          </cell>
          <cell r="O217" t="str">
            <v>PNNL</v>
          </cell>
          <cell r="P217" t="str">
            <v>IAA 14-293</v>
          </cell>
          <cell r="Q217" t="str">
            <v>Vavrinec, J. and A.B. Borde. 2015. Port Gamble eelgrass restoration project summary. Prepared for the Washington State Department of Ecology contracts IAA C1400158 and IAA 14-147. Pacific Northwest National Laboratory, Richland, WA. PNNL-24432.</v>
          </cell>
          <cell r="R217" t="str">
            <v>test</v>
          </cell>
          <cell r="S217" t="str">
            <v>test</v>
          </cell>
          <cell r="T217">
            <v>41962</v>
          </cell>
          <cell r="U217">
            <v>47.821100000000001</v>
          </cell>
          <cell r="V217">
            <v>-122.57796666666667</v>
          </cell>
          <cell r="W217" t="str">
            <v>point</v>
          </cell>
          <cell r="X217" t="str">
            <v>retain</v>
          </cell>
          <cell r="Y217" t="str">
            <v>WGS84</v>
          </cell>
          <cell r="Z217">
            <v>-1.8288</v>
          </cell>
          <cell r="AA217" t="str">
            <v>staple</v>
          </cell>
          <cell r="AB217">
            <v>5</v>
          </cell>
          <cell r="AC217">
            <v>5</v>
          </cell>
          <cell r="AD217">
            <v>25</v>
          </cell>
          <cell r="AE217">
            <v>25</v>
          </cell>
          <cell r="AF217">
            <v>0.625</v>
          </cell>
          <cell r="AG217">
            <v>125</v>
          </cell>
          <cell r="AH217">
            <v>500</v>
          </cell>
          <cell r="AI217">
            <v>20</v>
          </cell>
          <cell r="AJ217">
            <v>20</v>
          </cell>
          <cell r="AK217" t="str">
            <v>Point Julia</v>
          </cell>
        </row>
        <row r="218">
          <cell r="B218" t="str">
            <v>Port Gamble Bay - PNNL - test 3 - 2014</v>
          </cell>
          <cell r="C218" t="str">
            <v>PTG_3</v>
          </cell>
          <cell r="D218" t="str">
            <v>single</v>
          </cell>
          <cell r="E218">
            <v>2014</v>
          </cell>
          <cell r="F218"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18" t="str">
            <v>point</v>
          </cell>
          <cell r="H218" t="str">
            <v>Port Gamble Bay</v>
          </cell>
          <cell r="I218" t="str">
            <v>HDC</v>
          </cell>
          <cell r="J218" t="str">
            <v>Port Gamble Bay Eelgrass Restoration Project</v>
          </cell>
          <cell r="K218" t="str">
            <v>Ecology</v>
          </cell>
          <cell r="L218" t="str">
            <v>Toxics Cleanup Program</v>
          </cell>
          <cell r="M218" t="str">
            <v>C1400158</v>
          </cell>
          <cell r="N218" t="str">
            <v xml:space="preserve"> 14-147</v>
          </cell>
          <cell r="O218" t="str">
            <v>PNNL</v>
          </cell>
          <cell r="P218" t="str">
            <v>IAA 14-293</v>
          </cell>
          <cell r="Q218" t="str">
            <v>Vavrinec, J. and A.B. Borde. 2015. Port Gamble eelgrass restoration project summary. Prepared for the Washington State Department of Ecology contracts IAA C1400158 and IAA 14-147. Pacific Northwest National Laboratory, Richland, WA. PNNL-24432.</v>
          </cell>
          <cell r="R218" t="str">
            <v>test</v>
          </cell>
          <cell r="S218" t="str">
            <v>test</v>
          </cell>
          <cell r="T218">
            <v>41962</v>
          </cell>
          <cell r="U218">
            <v>47.821566666666669</v>
          </cell>
          <cell r="V218">
            <v>-122.57531666666667</v>
          </cell>
          <cell r="W218" t="str">
            <v>point</v>
          </cell>
          <cell r="X218" t="str">
            <v>retain</v>
          </cell>
          <cell r="Y218" t="str">
            <v>WGS84</v>
          </cell>
          <cell r="Z218">
            <v>-2.7431999999999999</v>
          </cell>
          <cell r="AA218" t="str">
            <v>staple</v>
          </cell>
          <cell r="AB218">
            <v>5</v>
          </cell>
          <cell r="AC218">
            <v>5</v>
          </cell>
          <cell r="AD218">
            <v>25</v>
          </cell>
          <cell r="AE218">
            <v>25</v>
          </cell>
          <cell r="AF218">
            <v>0.625</v>
          </cell>
          <cell r="AG218">
            <v>125</v>
          </cell>
          <cell r="AH218">
            <v>500</v>
          </cell>
          <cell r="AI218">
            <v>20</v>
          </cell>
          <cell r="AJ218">
            <v>20</v>
          </cell>
          <cell r="AK218" t="str">
            <v>Point Julia</v>
          </cell>
        </row>
        <row r="219">
          <cell r="B219" t="str">
            <v>Port Gamble Bay - PNNL - test 4 - 2014</v>
          </cell>
          <cell r="C219" t="str">
            <v>PTG_4</v>
          </cell>
          <cell r="D219" t="str">
            <v>single</v>
          </cell>
          <cell r="E219">
            <v>2014</v>
          </cell>
          <cell r="F219"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19" t="str">
            <v>point</v>
          </cell>
          <cell r="H219" t="str">
            <v>Port Gamble Bay</v>
          </cell>
          <cell r="I219" t="str">
            <v>HDC</v>
          </cell>
          <cell r="J219" t="str">
            <v>Port Gamble Bay Eelgrass Restoration Project</v>
          </cell>
          <cell r="K219" t="str">
            <v>Ecology</v>
          </cell>
          <cell r="L219" t="str">
            <v>Toxics Cleanup Program</v>
          </cell>
          <cell r="M219" t="str">
            <v>C1400158</v>
          </cell>
          <cell r="N219" t="str">
            <v xml:space="preserve"> 14-147</v>
          </cell>
          <cell r="O219" t="str">
            <v>PNNL</v>
          </cell>
          <cell r="P219" t="str">
            <v>IAA 14-293</v>
          </cell>
          <cell r="Q219" t="str">
            <v>Vavrinec, J. and A.B. Borde. 2015. Port Gamble eelgrass restoration project summary. Prepared for the Washington State Department of Ecology contracts IAA C1400158 and IAA 14-147. Pacific Northwest National Laboratory, Richland, WA. PNNL-24432.</v>
          </cell>
          <cell r="R219" t="str">
            <v>test</v>
          </cell>
          <cell r="S219" t="str">
            <v>test</v>
          </cell>
          <cell r="T219">
            <v>41962</v>
          </cell>
          <cell r="U219">
            <v>47.820300000000003</v>
          </cell>
          <cell r="V219">
            <v>-122.5757</v>
          </cell>
          <cell r="W219" t="str">
            <v>point</v>
          </cell>
          <cell r="X219" t="str">
            <v>retain</v>
          </cell>
          <cell r="Y219" t="str">
            <v>WGS84</v>
          </cell>
          <cell r="Z219">
            <v>-1.2192000000000001</v>
          </cell>
          <cell r="AA219" t="str">
            <v>staple</v>
          </cell>
          <cell r="AB219">
            <v>5</v>
          </cell>
          <cell r="AC219">
            <v>5</v>
          </cell>
          <cell r="AD219">
            <v>25</v>
          </cell>
          <cell r="AE219">
            <v>25</v>
          </cell>
          <cell r="AF219">
            <v>0.625</v>
          </cell>
          <cell r="AG219">
            <v>125</v>
          </cell>
          <cell r="AH219">
            <v>500</v>
          </cell>
          <cell r="AI219">
            <v>20</v>
          </cell>
          <cell r="AJ219">
            <v>20</v>
          </cell>
          <cell r="AK219" t="str">
            <v>Point Julia</v>
          </cell>
        </row>
        <row r="220">
          <cell r="B220" t="str">
            <v>Port Gamble Bay - PNNL - test 1 - 2014</v>
          </cell>
          <cell r="C220" t="str">
            <v>PTG_1</v>
          </cell>
          <cell r="D220" t="str">
            <v>single</v>
          </cell>
          <cell r="E220">
            <v>2014</v>
          </cell>
          <cell r="F220"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0" t="str">
            <v>point</v>
          </cell>
          <cell r="H220" t="str">
            <v>Port Gamble Bay</v>
          </cell>
          <cell r="I220" t="str">
            <v>HDC</v>
          </cell>
          <cell r="J220" t="str">
            <v>Port Gamble Bay Eelgrass Restoration Project</v>
          </cell>
          <cell r="K220" t="str">
            <v>Ecology</v>
          </cell>
          <cell r="L220" t="str">
            <v>Toxics Cleanup Program</v>
          </cell>
          <cell r="M220" t="str">
            <v>C1400158</v>
          </cell>
          <cell r="N220" t="str">
            <v xml:space="preserve"> 14-147</v>
          </cell>
          <cell r="O220" t="str">
            <v>PNNL</v>
          </cell>
          <cell r="P220" t="str">
            <v>IAA 14-293</v>
          </cell>
          <cell r="Q220" t="str">
            <v>Vavrinec, J. and A.B. Borde. 2015. Port Gamble eelgrass restoration project summary. Prepared for the Washington State Department of Ecology contracts IAA C1400158 and IAA 14-147. Pacific Northwest National Laboratory, Richland, WA. PNNL-24432.</v>
          </cell>
          <cell r="R220" t="str">
            <v>test</v>
          </cell>
          <cell r="S220" t="str">
            <v>test</v>
          </cell>
          <cell r="T220">
            <v>41963</v>
          </cell>
          <cell r="U220">
            <v>47.823266666666669</v>
          </cell>
          <cell r="V220">
            <v>-122.5821</v>
          </cell>
          <cell r="W220" t="str">
            <v>point</v>
          </cell>
          <cell r="X220" t="str">
            <v>retain</v>
          </cell>
          <cell r="Y220" t="str">
            <v>WGS84</v>
          </cell>
          <cell r="Z220">
            <v>-1.8288</v>
          </cell>
          <cell r="AA220" t="str">
            <v>staple</v>
          </cell>
          <cell r="AB220">
            <v>5</v>
          </cell>
          <cell r="AC220">
            <v>5</v>
          </cell>
          <cell r="AD220">
            <v>25</v>
          </cell>
          <cell r="AE220">
            <v>25</v>
          </cell>
          <cell r="AF220">
            <v>0.625</v>
          </cell>
          <cell r="AG220">
            <v>125</v>
          </cell>
          <cell r="AH220">
            <v>500</v>
          </cell>
          <cell r="AI220">
            <v>20</v>
          </cell>
          <cell r="AJ220">
            <v>20</v>
          </cell>
          <cell r="AK220" t="str">
            <v>Point Julia</v>
          </cell>
        </row>
        <row r="221">
          <cell r="B221" t="str">
            <v>Port Gamble Bay - PNNL - test 6 - 2014</v>
          </cell>
          <cell r="C221" t="str">
            <v>PTG_6</v>
          </cell>
          <cell r="D221" t="str">
            <v>single</v>
          </cell>
          <cell r="E221">
            <v>2014</v>
          </cell>
          <cell r="F221"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1" t="str">
            <v>point</v>
          </cell>
          <cell r="H221" t="str">
            <v>Port Gamble Bay</v>
          </cell>
          <cell r="I221" t="str">
            <v>HDC</v>
          </cell>
          <cell r="J221" t="str">
            <v>Port Gamble Bay Eelgrass Restoration Project</v>
          </cell>
          <cell r="K221" t="str">
            <v>Ecology</v>
          </cell>
          <cell r="L221" t="str">
            <v>Toxics Cleanup Program</v>
          </cell>
          <cell r="M221" t="str">
            <v>C1400158</v>
          </cell>
          <cell r="N221" t="str">
            <v xml:space="preserve"> 14-147</v>
          </cell>
          <cell r="O221" t="str">
            <v>PNNL</v>
          </cell>
          <cell r="P221" t="str">
            <v>IAA 14-293</v>
          </cell>
          <cell r="Q221" t="str">
            <v>Vavrinec, J. and A.B. Borde. 2015. Port Gamble eelgrass restoration project summary. Prepared for the Washington State Department of Ecology contracts IAA C1400158 and IAA 14-147. Pacific Northwest National Laboratory, Richland, WA. PNNL-24432.</v>
          </cell>
          <cell r="R221" t="str">
            <v>test</v>
          </cell>
          <cell r="S221" t="str">
            <v>test</v>
          </cell>
          <cell r="T221">
            <v>41963</v>
          </cell>
          <cell r="U221">
            <v>47.821066666666667</v>
          </cell>
          <cell r="V221">
            <v>-122.56726666666667</v>
          </cell>
          <cell r="W221" t="str">
            <v>point</v>
          </cell>
          <cell r="X221" t="str">
            <v>retain</v>
          </cell>
          <cell r="Y221" t="str">
            <v>WGS84</v>
          </cell>
          <cell r="Z221">
            <v>-1.8288</v>
          </cell>
          <cell r="AA221" t="str">
            <v>staple</v>
          </cell>
          <cell r="AB221">
            <v>5</v>
          </cell>
          <cell r="AC221">
            <v>5</v>
          </cell>
          <cell r="AD221">
            <v>25</v>
          </cell>
          <cell r="AE221">
            <v>25</v>
          </cell>
          <cell r="AF221">
            <v>0.625</v>
          </cell>
          <cell r="AG221">
            <v>125</v>
          </cell>
          <cell r="AH221">
            <v>500</v>
          </cell>
          <cell r="AI221">
            <v>20</v>
          </cell>
          <cell r="AJ221">
            <v>20</v>
          </cell>
          <cell r="AK221" t="str">
            <v>Point Julia</v>
          </cell>
        </row>
        <row r="222">
          <cell r="B222" t="str">
            <v>Port Gamble Bay - 1 - PNNL - large scale - N corner</v>
          </cell>
          <cell r="C222" t="str">
            <v>PTG_P1</v>
          </cell>
          <cell r="D222" t="str">
            <v>single</v>
          </cell>
          <cell r="E222">
            <v>2015</v>
          </cell>
          <cell r="F222"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2" t="str">
            <v>polygon</v>
          </cell>
          <cell r="H222" t="str">
            <v>Port Gamble Bay</v>
          </cell>
          <cell r="I222" t="str">
            <v>HDC</v>
          </cell>
          <cell r="J222" t="str">
            <v>Port Gamble Bay Eelgrass Restoration Project</v>
          </cell>
          <cell r="K222" t="str">
            <v>Ecology</v>
          </cell>
          <cell r="L222" t="str">
            <v>Toxics Cleanup Program</v>
          </cell>
          <cell r="M222" t="str">
            <v>C1400158</v>
          </cell>
          <cell r="N222" t="str">
            <v xml:space="preserve"> 14-147</v>
          </cell>
          <cell r="O222" t="str">
            <v>PNNL</v>
          </cell>
          <cell r="P222" t="str">
            <v>IAA 14-293</v>
          </cell>
          <cell r="Q222" t="str">
            <v>Vavrinec, J. and A.B. Borde. 2015. Port Gamble eelgrass restoration project summary. Prepared for the Washington State Department of Ecology contracts IAA C1400158 and IAA 14-147. Pacific Northwest National Laboratory, Richland, WA. PNNL-24432.</v>
          </cell>
          <cell r="R222" t="str">
            <v>large scale</v>
          </cell>
          <cell r="S222" t="str">
            <v>large scale</v>
          </cell>
          <cell r="T222">
            <v>42095</v>
          </cell>
          <cell r="U222">
            <v>47.823466666666668</v>
          </cell>
          <cell r="V222">
            <v>-122.58203333333333</v>
          </cell>
          <cell r="W222" t="str">
            <v>polygon</v>
          </cell>
          <cell r="X222" t="str">
            <v>retain</v>
          </cell>
          <cell r="Y222" t="str">
            <v>WGS84</v>
          </cell>
          <cell r="Z222"/>
          <cell r="AA222" t="str">
            <v>staple</v>
          </cell>
          <cell r="AB222">
            <v>48</v>
          </cell>
          <cell r="AC222">
            <v>36</v>
          </cell>
          <cell r="AD222">
            <v>1728</v>
          </cell>
          <cell r="AE222">
            <v>240</v>
          </cell>
          <cell r="AF222">
            <v>6</v>
          </cell>
          <cell r="AG222">
            <v>1200</v>
          </cell>
          <cell r="AH222">
            <v>4800</v>
          </cell>
          <cell r="AI222">
            <v>2.7777777777777777</v>
          </cell>
          <cell r="AJ222">
            <v>20</v>
          </cell>
          <cell r="AK222" t="str">
            <v>Point Julia</v>
          </cell>
          <cell r="AL222"/>
        </row>
        <row r="223">
          <cell r="B223" t="str">
            <v>Port Gamble Bay - 1 - PNNL - large scale - E corner</v>
          </cell>
          <cell r="C223" t="str">
            <v>PTG_P1</v>
          </cell>
          <cell r="D223" t="str">
            <v>single</v>
          </cell>
          <cell r="E223">
            <v>2015</v>
          </cell>
          <cell r="F223"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3" t="str">
            <v>polygon</v>
          </cell>
          <cell r="H223" t="str">
            <v>Port Gamble Bay</v>
          </cell>
          <cell r="I223" t="str">
            <v>HDC</v>
          </cell>
          <cell r="J223" t="str">
            <v>Port Gamble Bay Eelgrass Restoration Project</v>
          </cell>
          <cell r="K223" t="str">
            <v>Ecology</v>
          </cell>
          <cell r="L223" t="str">
            <v>Toxics Cleanup Program</v>
          </cell>
          <cell r="M223" t="str">
            <v>C1400158</v>
          </cell>
          <cell r="N223" t="str">
            <v xml:space="preserve"> 14-147</v>
          </cell>
          <cell r="O223" t="str">
            <v>PNNL</v>
          </cell>
          <cell r="P223" t="str">
            <v>IAA 14-293</v>
          </cell>
          <cell r="Q223" t="str">
            <v>Vavrinec, J. and A.B. Borde. 2015. Port Gamble eelgrass restoration project summary. Prepared for the Washington State Department of Ecology contracts IAA C1400158 and IAA 14-147. Pacific Northwest National Laboratory, Richland, WA. PNNL-24432.</v>
          </cell>
          <cell r="R223" t="str">
            <v>large scale</v>
          </cell>
          <cell r="S223" t="str">
            <v>--</v>
          </cell>
          <cell r="T223">
            <v>42095</v>
          </cell>
          <cell r="U223">
            <v>47.8232</v>
          </cell>
          <cell r="V223">
            <v>-122.58154999999999</v>
          </cell>
          <cell r="W223" t="str">
            <v>polygon</v>
          </cell>
          <cell r="X223" t="str">
            <v>retain</v>
          </cell>
          <cell r="Y223" t="str">
            <v>WGS84</v>
          </cell>
          <cell r="Z223"/>
          <cell r="AA223" t="str">
            <v>staple</v>
          </cell>
          <cell r="AB223"/>
          <cell r="AC223"/>
          <cell r="AE223"/>
          <cell r="AF223"/>
          <cell r="AG223"/>
          <cell r="AH223"/>
          <cell r="AI223" t="str">
            <v/>
          </cell>
          <cell r="AJ223" t="str">
            <v/>
          </cell>
          <cell r="AL223"/>
        </row>
        <row r="224">
          <cell r="B224" t="str">
            <v>Port Gamble Bay - 1 - PNNL - large scale - S corner</v>
          </cell>
          <cell r="C224" t="str">
            <v>PTG_P1</v>
          </cell>
          <cell r="D224" t="str">
            <v>single</v>
          </cell>
          <cell r="E224">
            <v>2015</v>
          </cell>
          <cell r="F224"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4" t="str">
            <v>polygon</v>
          </cell>
          <cell r="H224" t="str">
            <v>Port Gamble Bay</v>
          </cell>
          <cell r="I224" t="str">
            <v>HDC</v>
          </cell>
          <cell r="J224" t="str">
            <v>Port Gamble Bay Eelgrass Restoration Project</v>
          </cell>
          <cell r="K224" t="str">
            <v>Ecology</v>
          </cell>
          <cell r="L224" t="str">
            <v>Toxics Cleanup Program</v>
          </cell>
          <cell r="M224" t="str">
            <v>C1400158</v>
          </cell>
          <cell r="N224" t="str">
            <v xml:space="preserve"> 14-147</v>
          </cell>
          <cell r="O224" t="str">
            <v>PNNL</v>
          </cell>
          <cell r="P224" t="str">
            <v>IAA 14-293</v>
          </cell>
          <cell r="Q224" t="str">
            <v>Vavrinec, J. and A.B. Borde. 2015. Port Gamble eelgrass restoration project summary. Prepared for the Washington State Department of Ecology contracts IAA C1400158 and IAA 14-147. Pacific Northwest National Laboratory, Richland, WA. PNNL-24432.</v>
          </cell>
          <cell r="R224" t="str">
            <v>large scale</v>
          </cell>
          <cell r="S224" t="str">
            <v>--</v>
          </cell>
          <cell r="T224">
            <v>42095</v>
          </cell>
          <cell r="U224">
            <v>47.823050000000002</v>
          </cell>
          <cell r="V224">
            <v>-122.58188333333334</v>
          </cell>
          <cell r="W224" t="str">
            <v>polygon</v>
          </cell>
          <cell r="X224" t="str">
            <v>retain</v>
          </cell>
          <cell r="Y224" t="str">
            <v>WGS84</v>
          </cell>
          <cell r="Z224"/>
          <cell r="AA224" t="str">
            <v>staple</v>
          </cell>
          <cell r="AB224"/>
          <cell r="AC224"/>
          <cell r="AE224"/>
          <cell r="AF224"/>
          <cell r="AG224"/>
          <cell r="AH224"/>
          <cell r="AI224" t="str">
            <v/>
          </cell>
          <cell r="AJ224" t="str">
            <v/>
          </cell>
          <cell r="AL224"/>
        </row>
        <row r="225">
          <cell r="B225" t="str">
            <v>Port Gamble Bay - 1 - PNNL - large scale - W corner</v>
          </cell>
          <cell r="C225" t="str">
            <v>PTG_P1</v>
          </cell>
          <cell r="D225" t="str">
            <v>single</v>
          </cell>
          <cell r="E225">
            <v>2015</v>
          </cell>
          <cell r="F225"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5" t="str">
            <v>polygon</v>
          </cell>
          <cell r="H225" t="str">
            <v>Port Gamble Bay</v>
          </cell>
          <cell r="I225" t="str">
            <v>HDC</v>
          </cell>
          <cell r="J225" t="str">
            <v>Port Gamble Bay Eelgrass Restoration Project</v>
          </cell>
          <cell r="K225" t="str">
            <v>Ecology</v>
          </cell>
          <cell r="L225" t="str">
            <v>Toxics Cleanup Program</v>
          </cell>
          <cell r="M225" t="str">
            <v>C1400158</v>
          </cell>
          <cell r="N225" t="str">
            <v xml:space="preserve"> 14-147</v>
          </cell>
          <cell r="O225" t="str">
            <v>PNNL</v>
          </cell>
          <cell r="P225" t="str">
            <v>IAA 14-293</v>
          </cell>
          <cell r="Q225" t="str">
            <v>Vavrinec, J. and A.B. Borde. 2015. Port Gamble eelgrass restoration project summary. Prepared for the Washington State Department of Ecology contracts IAA C1400158 and IAA 14-147. Pacific Northwest National Laboratory, Richland, WA. PNNL-24432.</v>
          </cell>
          <cell r="R225" t="str">
            <v>large scale</v>
          </cell>
          <cell r="S225" t="str">
            <v>--</v>
          </cell>
          <cell r="T225">
            <v>42095</v>
          </cell>
          <cell r="U225">
            <v>47.823283333333336</v>
          </cell>
          <cell r="V225">
            <v>-122.58235000000001</v>
          </cell>
          <cell r="W225" t="str">
            <v>polygon</v>
          </cell>
          <cell r="X225" t="str">
            <v>retain</v>
          </cell>
          <cell r="Y225" t="str">
            <v>WGS84</v>
          </cell>
          <cell r="Z225">
            <v>-1.8288</v>
          </cell>
          <cell r="AA225" t="str">
            <v>staple</v>
          </cell>
          <cell r="AB225"/>
          <cell r="AC225"/>
          <cell r="AE225"/>
          <cell r="AF225"/>
          <cell r="AG225"/>
          <cell r="AH225"/>
          <cell r="AI225" t="str">
            <v/>
          </cell>
          <cell r="AJ225" t="str">
            <v/>
          </cell>
          <cell r="AL225"/>
        </row>
        <row r="226">
          <cell r="B226" t="str">
            <v>Port Gamble Bay - 2 - PNNL - large scale - N corner</v>
          </cell>
          <cell r="C226" t="str">
            <v>PTG_P2</v>
          </cell>
          <cell r="D226" t="str">
            <v>single</v>
          </cell>
          <cell r="E226">
            <v>2015</v>
          </cell>
          <cell r="F226"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6" t="str">
            <v>polygon</v>
          </cell>
          <cell r="H226" t="str">
            <v>Port Gamble Bay</v>
          </cell>
          <cell r="I226" t="str">
            <v>HDC</v>
          </cell>
          <cell r="J226" t="str">
            <v>Port Gamble Bay Eelgrass Restoration Project</v>
          </cell>
          <cell r="K226" t="str">
            <v>Ecology</v>
          </cell>
          <cell r="L226" t="str">
            <v>Toxics Cleanup Program</v>
          </cell>
          <cell r="M226" t="str">
            <v>C1400158</v>
          </cell>
          <cell r="N226" t="str">
            <v xml:space="preserve"> 14-147</v>
          </cell>
          <cell r="O226" t="str">
            <v>PNNL</v>
          </cell>
          <cell r="P226" t="str">
            <v>IAA 14-293</v>
          </cell>
          <cell r="Q226" t="str">
            <v>Vavrinec, J. and A.B. Borde. 2015. Port Gamble eelgrass restoration project summary. Prepared for the Washington State Department of Ecology contracts IAA C1400158 and IAA 14-147. Pacific Northwest National Laboratory, Richland, WA. PNNL-24432.</v>
          </cell>
          <cell r="R226" t="str">
            <v>large scale</v>
          </cell>
          <cell r="S226" t="str">
            <v>large scale</v>
          </cell>
          <cell r="T226">
            <v>42095</v>
          </cell>
          <cell r="U226">
            <v>47.822049999999997</v>
          </cell>
          <cell r="V226">
            <v>-122.5805</v>
          </cell>
          <cell r="W226" t="str">
            <v>polygon</v>
          </cell>
          <cell r="X226" t="str">
            <v>retain</v>
          </cell>
          <cell r="Y226" t="str">
            <v>WGS84</v>
          </cell>
          <cell r="Z226"/>
          <cell r="AA226" t="str">
            <v>staple</v>
          </cell>
          <cell r="AB226">
            <v>60</v>
          </cell>
          <cell r="AC226">
            <v>36</v>
          </cell>
          <cell r="AD226">
            <v>2160</v>
          </cell>
          <cell r="AE226">
            <v>320</v>
          </cell>
          <cell r="AF226">
            <v>7.9125000000000005</v>
          </cell>
          <cell r="AG226">
            <v>1582.5</v>
          </cell>
          <cell r="AH226">
            <v>6330</v>
          </cell>
          <cell r="AI226">
            <v>2.9305555555555554</v>
          </cell>
          <cell r="AJ226">
            <v>19.78125</v>
          </cell>
          <cell r="AK226" t="str">
            <v>Point Julia</v>
          </cell>
          <cell r="AL226"/>
        </row>
        <row r="227">
          <cell r="B227" t="str">
            <v>Port Gamble Bay - 2 - PNNL - large scale - E corner</v>
          </cell>
          <cell r="C227" t="str">
            <v>PTG_P2</v>
          </cell>
          <cell r="D227" t="str">
            <v>single</v>
          </cell>
          <cell r="E227">
            <v>2015</v>
          </cell>
          <cell r="F227"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7" t="str">
            <v>polygon</v>
          </cell>
          <cell r="H227" t="str">
            <v>Port Gamble Bay</v>
          </cell>
          <cell r="I227" t="str">
            <v>HDC</v>
          </cell>
          <cell r="J227" t="str">
            <v>Port Gamble Bay Eelgrass Restoration Project</v>
          </cell>
          <cell r="K227" t="str">
            <v>Ecology</v>
          </cell>
          <cell r="L227" t="str">
            <v>Toxics Cleanup Program</v>
          </cell>
          <cell r="M227" t="str">
            <v>C1400158</v>
          </cell>
          <cell r="N227" t="str">
            <v xml:space="preserve"> 14-147</v>
          </cell>
          <cell r="O227" t="str">
            <v>PNNL</v>
          </cell>
          <cell r="P227" t="str">
            <v>IAA 14-293</v>
          </cell>
          <cell r="Q227" t="str">
            <v>Vavrinec, J. and A.B. Borde. 2015. Port Gamble eelgrass restoration project summary. Prepared for the Washington State Department of Ecology contracts IAA C1400158 and IAA 14-147. Pacific Northwest National Laboratory, Richland, WA. PNNL-24432.</v>
          </cell>
          <cell r="R227" t="str">
            <v>large scale</v>
          </cell>
          <cell r="S227" t="str">
            <v>--</v>
          </cell>
          <cell r="T227">
            <v>42095</v>
          </cell>
          <cell r="U227">
            <v>47.821750000000002</v>
          </cell>
          <cell r="V227">
            <v>-122.57996666666666</v>
          </cell>
          <cell r="W227" t="str">
            <v>polygon</v>
          </cell>
          <cell r="X227" t="str">
            <v>retain</v>
          </cell>
          <cell r="Y227" t="str">
            <v>WGS84</v>
          </cell>
          <cell r="Z227"/>
          <cell r="AA227" t="str">
            <v>staple</v>
          </cell>
          <cell r="AB227"/>
          <cell r="AC227"/>
          <cell r="AE227"/>
          <cell r="AF227"/>
          <cell r="AG227"/>
          <cell r="AH227"/>
          <cell r="AI227" t="str">
            <v/>
          </cell>
          <cell r="AJ227" t="str">
            <v/>
          </cell>
          <cell r="AL227"/>
        </row>
        <row r="228">
          <cell r="B228" t="str">
            <v>Port Gamble Bay - 2 - PNNL - large scale - S corner</v>
          </cell>
          <cell r="C228" t="str">
            <v>PTG_P2</v>
          </cell>
          <cell r="D228" t="str">
            <v>single</v>
          </cell>
          <cell r="E228">
            <v>2015</v>
          </cell>
          <cell r="F228"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8" t="str">
            <v>polygon</v>
          </cell>
          <cell r="H228" t="str">
            <v>Port Gamble Bay</v>
          </cell>
          <cell r="I228" t="str">
            <v>HDC</v>
          </cell>
          <cell r="J228" t="str">
            <v>Port Gamble Bay Eelgrass Restoration Project</v>
          </cell>
          <cell r="K228" t="str">
            <v>Ecology</v>
          </cell>
          <cell r="L228" t="str">
            <v>Toxics Cleanup Program</v>
          </cell>
          <cell r="M228" t="str">
            <v>C1400158</v>
          </cell>
          <cell r="N228" t="str">
            <v xml:space="preserve"> 14-147</v>
          </cell>
          <cell r="O228" t="str">
            <v>PNNL</v>
          </cell>
          <cell r="P228" t="str">
            <v>IAA 14-293</v>
          </cell>
          <cell r="Q228" t="str">
            <v>Vavrinec, J. and A.B. Borde. 2015. Port Gamble eelgrass restoration project summary. Prepared for the Washington State Department of Ecology contracts IAA C1400158 and IAA 14-147. Pacific Northwest National Laboratory, Richland, WA. PNNL-24432.</v>
          </cell>
          <cell r="R228" t="str">
            <v>large scale</v>
          </cell>
          <cell r="S228" t="str">
            <v>--</v>
          </cell>
          <cell r="T228">
            <v>42095</v>
          </cell>
          <cell r="U228">
            <v>47.821516666666668</v>
          </cell>
          <cell r="V228">
            <v>-122.58021666666667</v>
          </cell>
          <cell r="W228" t="str">
            <v>polygon</v>
          </cell>
          <cell r="X228" t="str">
            <v>retain</v>
          </cell>
          <cell r="Y228" t="str">
            <v>WGS84</v>
          </cell>
          <cell r="Z228"/>
          <cell r="AA228" t="str">
            <v>staple</v>
          </cell>
          <cell r="AB228"/>
          <cell r="AC228"/>
          <cell r="AE228"/>
          <cell r="AF228"/>
          <cell r="AG228"/>
          <cell r="AH228"/>
          <cell r="AI228" t="str">
            <v/>
          </cell>
          <cell r="AJ228" t="str">
            <v/>
          </cell>
          <cell r="AL228"/>
        </row>
        <row r="229">
          <cell r="B229" t="str">
            <v>Port Gamble Bay - 2 - PNNL - large scale - W corner</v>
          </cell>
          <cell r="C229" t="str">
            <v>PTG_P2</v>
          </cell>
          <cell r="D229" t="str">
            <v>single</v>
          </cell>
          <cell r="E229">
            <v>2015</v>
          </cell>
          <cell r="F229"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9" t="str">
            <v>polygon</v>
          </cell>
          <cell r="H229" t="str">
            <v>Port Gamble Bay</v>
          </cell>
          <cell r="I229" t="str">
            <v>HDC</v>
          </cell>
          <cell r="J229" t="str">
            <v>Port Gamble Bay Eelgrass Restoration Project</v>
          </cell>
          <cell r="K229" t="str">
            <v>Ecology</v>
          </cell>
          <cell r="L229" t="str">
            <v>Toxics Cleanup Program</v>
          </cell>
          <cell r="M229" t="str">
            <v>C1400158</v>
          </cell>
          <cell r="N229" t="str">
            <v xml:space="preserve"> 14-147</v>
          </cell>
          <cell r="O229" t="str">
            <v>PNNL</v>
          </cell>
          <cell r="P229" t="str">
            <v>IAA 14-293</v>
          </cell>
          <cell r="Q229" t="str">
            <v>Vavrinec, J. and A.B. Borde. 2015. Port Gamble eelgrass restoration project summary. Prepared for the Washington State Department of Ecology contracts IAA C1400158 and IAA 14-147. Pacific Northwest National Laboratory, Richland, WA. PNNL-24432.</v>
          </cell>
          <cell r="R229" t="str">
            <v>large scale</v>
          </cell>
          <cell r="S229" t="str">
            <v>--</v>
          </cell>
          <cell r="T229">
            <v>42095</v>
          </cell>
          <cell r="U229">
            <v>47.821783333333336</v>
          </cell>
          <cell r="V229">
            <v>-122.58091666666667</v>
          </cell>
          <cell r="W229" t="str">
            <v>polygon</v>
          </cell>
          <cell r="X229" t="str">
            <v>retain</v>
          </cell>
          <cell r="Y229" t="str">
            <v>WGS84</v>
          </cell>
          <cell r="Z229"/>
          <cell r="AA229" t="str">
            <v>staple</v>
          </cell>
          <cell r="AB229"/>
          <cell r="AC229"/>
          <cell r="AE229"/>
          <cell r="AF229"/>
          <cell r="AG229"/>
          <cell r="AH229"/>
          <cell r="AI229" t="str">
            <v/>
          </cell>
          <cell r="AJ229" t="str">
            <v/>
          </cell>
          <cell r="AL229"/>
        </row>
        <row r="230">
          <cell r="B230" t="str">
            <v>Port Gamble Bay - 3 - PNNL -  large scale - NW corner</v>
          </cell>
          <cell r="C230" t="str">
            <v>PTG_P3</v>
          </cell>
          <cell r="D230" t="str">
            <v>single</v>
          </cell>
          <cell r="E230">
            <v>2015</v>
          </cell>
          <cell r="F230"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0" t="str">
            <v>polygon</v>
          </cell>
          <cell r="H230" t="str">
            <v>Port Gamble Bay</v>
          </cell>
          <cell r="I230" t="str">
            <v>HDC</v>
          </cell>
          <cell r="J230" t="str">
            <v>Port Gamble Bay Eelgrass Restoration Project</v>
          </cell>
          <cell r="K230" t="str">
            <v>Ecology</v>
          </cell>
          <cell r="L230" t="str">
            <v>Toxics Cleanup Program</v>
          </cell>
          <cell r="M230" t="str">
            <v>C1400158</v>
          </cell>
          <cell r="N230" t="str">
            <v xml:space="preserve"> 14-147</v>
          </cell>
          <cell r="O230" t="str">
            <v>PNNL</v>
          </cell>
          <cell r="P230" t="str">
            <v>IAA 14-293</v>
          </cell>
          <cell r="Q230" t="str">
            <v>Vavrinec, J. and A.B. Borde. 2015. Port Gamble eelgrass restoration project summary. Prepared for the Washington State Department of Ecology contracts IAA C1400158 and IAA 14-147. Pacific Northwest National Laboratory, Richland, WA. PNNL-24432.</v>
          </cell>
          <cell r="R230" t="str">
            <v>large scale</v>
          </cell>
          <cell r="S230" t="str">
            <v>large scale</v>
          </cell>
          <cell r="T230">
            <v>42095</v>
          </cell>
          <cell r="U230">
            <v>47.821566666666669</v>
          </cell>
          <cell r="V230">
            <v>-122.57801666666667</v>
          </cell>
          <cell r="W230" t="str">
            <v>polygon</v>
          </cell>
          <cell r="X230" t="str">
            <v>retain</v>
          </cell>
          <cell r="Y230" t="str">
            <v>WGS84</v>
          </cell>
          <cell r="Z230"/>
          <cell r="AA230" t="str">
            <v>staple</v>
          </cell>
          <cell r="AB230">
            <v>60</v>
          </cell>
          <cell r="AC230">
            <v>36</v>
          </cell>
          <cell r="AD230">
            <v>2160</v>
          </cell>
          <cell r="AE230">
            <v>320</v>
          </cell>
          <cell r="AF230">
            <v>8</v>
          </cell>
          <cell r="AG230">
            <v>1600</v>
          </cell>
          <cell r="AH230">
            <v>6400</v>
          </cell>
          <cell r="AI230">
            <v>2.9629629629629628</v>
          </cell>
          <cell r="AJ230">
            <v>20</v>
          </cell>
          <cell r="AK230" t="str">
            <v>Point Julia</v>
          </cell>
          <cell r="AL230"/>
        </row>
        <row r="231">
          <cell r="B231" t="str">
            <v>Port Gamble Bay - 3 - PNNL - large scale - NE corner</v>
          </cell>
          <cell r="C231" t="str">
            <v>PTG_P3</v>
          </cell>
          <cell r="D231" t="str">
            <v>single</v>
          </cell>
          <cell r="E231">
            <v>2015</v>
          </cell>
          <cell r="F231"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1" t="str">
            <v>polygon</v>
          </cell>
          <cell r="H231" t="str">
            <v>Port Gamble Bay</v>
          </cell>
          <cell r="I231" t="str">
            <v>HDC</v>
          </cell>
          <cell r="J231" t="str">
            <v>Port Gamble Bay Eelgrass Restoration Project</v>
          </cell>
          <cell r="K231" t="str">
            <v>Ecology</v>
          </cell>
          <cell r="L231" t="str">
            <v>Toxics Cleanup Program</v>
          </cell>
          <cell r="M231" t="str">
            <v>C1400158</v>
          </cell>
          <cell r="N231" t="str">
            <v xml:space="preserve"> 14-147</v>
          </cell>
          <cell r="O231" t="str">
            <v>PNNL</v>
          </cell>
          <cell r="P231" t="str">
            <v>IAA 14-293</v>
          </cell>
          <cell r="Q231" t="str">
            <v>Vavrinec, J. and A.B. Borde. 2015. Port Gamble eelgrass restoration project summary. Prepared for the Washington State Department of Ecology contracts IAA C1400158 and IAA 14-147. Pacific Northwest National Laboratory, Richland, WA. PNNL-24432.</v>
          </cell>
          <cell r="R231" t="str">
            <v>large scale</v>
          </cell>
          <cell r="S231" t="str">
            <v>--</v>
          </cell>
          <cell r="T231">
            <v>42095</v>
          </cell>
          <cell r="U231">
            <v>47.821516666666668</v>
          </cell>
          <cell r="V231">
            <v>-122.57721666666667</v>
          </cell>
          <cell r="W231" t="str">
            <v>polygon</v>
          </cell>
          <cell r="X231" t="str">
            <v>retain</v>
          </cell>
          <cell r="Y231" t="str">
            <v>WGS84</v>
          </cell>
          <cell r="Z231"/>
          <cell r="AA231" t="str">
            <v>staple</v>
          </cell>
          <cell r="AB231"/>
          <cell r="AC231"/>
          <cell r="AE231"/>
          <cell r="AF231"/>
          <cell r="AG231"/>
          <cell r="AH231"/>
          <cell r="AI231" t="str">
            <v/>
          </cell>
          <cell r="AJ231" t="str">
            <v/>
          </cell>
          <cell r="AL231"/>
        </row>
        <row r="232">
          <cell r="B232" t="str">
            <v>Port Gamble Bay - 3 - PNNL - large scale - SE corner</v>
          </cell>
          <cell r="C232" t="str">
            <v>PTG_P3</v>
          </cell>
          <cell r="D232" t="str">
            <v>single</v>
          </cell>
          <cell r="E232">
            <v>2015</v>
          </cell>
          <cell r="F232"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2" t="str">
            <v>polygon</v>
          </cell>
          <cell r="H232" t="str">
            <v>Port Gamble Bay</v>
          </cell>
          <cell r="I232" t="str">
            <v>HDC</v>
          </cell>
          <cell r="J232" t="str">
            <v>Port Gamble Bay Eelgrass Restoration Project</v>
          </cell>
          <cell r="K232" t="str">
            <v>Ecology</v>
          </cell>
          <cell r="L232" t="str">
            <v>Toxics Cleanup Program</v>
          </cell>
          <cell r="M232" t="str">
            <v>C1400158</v>
          </cell>
          <cell r="N232" t="str">
            <v xml:space="preserve"> 14-147</v>
          </cell>
          <cell r="O232" t="str">
            <v>PNNL</v>
          </cell>
          <cell r="P232" t="str">
            <v>IAA 14-293</v>
          </cell>
          <cell r="Q232" t="str">
            <v>Vavrinec, J. and A.B. Borde. 2015. Port Gamble eelgrass restoration project summary. Prepared for the Washington State Department of Ecology contracts IAA C1400158 and IAA 14-147. Pacific Northwest National Laboratory, Richland, WA. PNNL-24432.</v>
          </cell>
          <cell r="R232" t="str">
            <v>large scale</v>
          </cell>
          <cell r="S232" t="str">
            <v>--</v>
          </cell>
          <cell r="T232">
            <v>42095</v>
          </cell>
          <cell r="U232">
            <v>47.82118333333333</v>
          </cell>
          <cell r="V232">
            <v>-122.57711666666667</v>
          </cell>
          <cell r="W232" t="str">
            <v>polygon</v>
          </cell>
          <cell r="X232" t="str">
            <v>retain</v>
          </cell>
          <cell r="Y232" t="str">
            <v>WGS84</v>
          </cell>
          <cell r="Z232"/>
          <cell r="AA232" t="str">
            <v>staple</v>
          </cell>
          <cell r="AB232"/>
          <cell r="AC232"/>
          <cell r="AE232"/>
          <cell r="AF232"/>
          <cell r="AG232"/>
          <cell r="AH232"/>
          <cell r="AI232" t="str">
            <v/>
          </cell>
          <cell r="AJ232" t="str">
            <v/>
          </cell>
          <cell r="AL232"/>
        </row>
        <row r="233">
          <cell r="B233" t="str">
            <v>Port Gamble Bay - 3 - PNNL - large scale - SW corner</v>
          </cell>
          <cell r="C233" t="str">
            <v>PTG_P3</v>
          </cell>
          <cell r="D233" t="str">
            <v>single</v>
          </cell>
          <cell r="E233">
            <v>2015</v>
          </cell>
          <cell r="F233"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3" t="str">
            <v>polygon</v>
          </cell>
          <cell r="H233" t="str">
            <v>Port Gamble Bay</v>
          </cell>
          <cell r="I233" t="str">
            <v>HDC</v>
          </cell>
          <cell r="J233" t="str">
            <v>Port Gamble Bay Eelgrass Restoration Project</v>
          </cell>
          <cell r="K233" t="str">
            <v>Ecology</v>
          </cell>
          <cell r="L233" t="str">
            <v>Toxics Cleanup Program</v>
          </cell>
          <cell r="M233" t="str">
            <v>C1400158</v>
          </cell>
          <cell r="N233" t="str">
            <v xml:space="preserve"> 14-147</v>
          </cell>
          <cell r="O233" t="str">
            <v>PNNL</v>
          </cell>
          <cell r="P233" t="str">
            <v>IAA 14-293</v>
          </cell>
          <cell r="Q233" t="str">
            <v>Vavrinec, J. and A.B. Borde. 2015. Port Gamble eelgrass restoration project summary. Prepared for the Washington State Department of Ecology contracts IAA C1400158 and IAA 14-147. Pacific Northwest National Laboratory, Richland, WA. PNNL-24432.</v>
          </cell>
          <cell r="R233" t="str">
            <v>large scale</v>
          </cell>
          <cell r="S233" t="str">
            <v>--</v>
          </cell>
          <cell r="T233">
            <v>42095</v>
          </cell>
          <cell r="U233">
            <v>47.821216666666665</v>
          </cell>
          <cell r="V233">
            <v>-122.57791666666667</v>
          </cell>
          <cell r="W233" t="str">
            <v>polygon</v>
          </cell>
          <cell r="X233" t="str">
            <v>retain</v>
          </cell>
          <cell r="Y233" t="str">
            <v>WGS84</v>
          </cell>
          <cell r="Z233">
            <v>-1.8288</v>
          </cell>
          <cell r="AA233" t="str">
            <v>staple</v>
          </cell>
          <cell r="AB233"/>
          <cell r="AC233"/>
          <cell r="AE233"/>
          <cell r="AF233"/>
          <cell r="AG233"/>
          <cell r="AH233"/>
          <cell r="AI233" t="str">
            <v/>
          </cell>
          <cell r="AJ233" t="str">
            <v/>
          </cell>
          <cell r="AL233"/>
        </row>
        <row r="234">
          <cell r="B234" t="str">
            <v>Port Gamble Bay - 4 - PNNL - large scale - NW corner</v>
          </cell>
          <cell r="C234" t="str">
            <v>PTG_P4</v>
          </cell>
          <cell r="D234" t="str">
            <v>single</v>
          </cell>
          <cell r="E234">
            <v>2015</v>
          </cell>
          <cell r="F234"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4" t="str">
            <v>polygon</v>
          </cell>
          <cell r="H234" t="str">
            <v>Port Gamble Bay</v>
          </cell>
          <cell r="I234" t="str">
            <v>HDC</v>
          </cell>
          <cell r="J234" t="str">
            <v>Port Gamble Bay Eelgrass Restoration Project</v>
          </cell>
          <cell r="K234" t="str">
            <v>Ecology</v>
          </cell>
          <cell r="L234" t="str">
            <v>Toxics Cleanup Program</v>
          </cell>
          <cell r="M234" t="str">
            <v>C1400158</v>
          </cell>
          <cell r="N234" t="str">
            <v xml:space="preserve"> 14-147</v>
          </cell>
          <cell r="O234" t="str">
            <v>PNNL</v>
          </cell>
          <cell r="P234" t="str">
            <v>IAA 14-293</v>
          </cell>
          <cell r="Q234" t="str">
            <v>Vavrinec, J. and A.B. Borde. 2015. Port Gamble eelgrass restoration project summary. Prepared for the Washington State Department of Ecology contracts IAA C1400158 and IAA 14-147. Pacific Northwest National Laboratory, Richland, WA. PNNL-24432.</v>
          </cell>
          <cell r="R234" t="str">
            <v>large scale</v>
          </cell>
          <cell r="S234" t="str">
            <v>large scale</v>
          </cell>
          <cell r="T234">
            <v>42095</v>
          </cell>
          <cell r="U234">
            <v>47.821666666666665</v>
          </cell>
          <cell r="V234">
            <v>-122.57623333333333</v>
          </cell>
          <cell r="W234" t="str">
            <v>polygon</v>
          </cell>
          <cell r="X234" t="str">
            <v>retain</v>
          </cell>
          <cell r="Y234" t="str">
            <v>WGS84</v>
          </cell>
          <cell r="Z234"/>
          <cell r="AA234" t="str">
            <v>staple</v>
          </cell>
          <cell r="AB234">
            <v>60</v>
          </cell>
          <cell r="AC234">
            <v>36</v>
          </cell>
          <cell r="AD234">
            <v>2160</v>
          </cell>
          <cell r="AE234">
            <v>320</v>
          </cell>
          <cell r="AF234">
            <v>7.9649999999999999</v>
          </cell>
          <cell r="AG234">
            <v>1593</v>
          </cell>
          <cell r="AH234">
            <v>6372</v>
          </cell>
          <cell r="AI234">
            <v>2.95</v>
          </cell>
          <cell r="AJ234">
            <v>19.912500000000001</v>
          </cell>
          <cell r="AK234" t="str">
            <v>Point Julia</v>
          </cell>
          <cell r="AL234"/>
        </row>
        <row r="235">
          <cell r="B235" t="str">
            <v>Port Gamble Bay - 4 - PNNL - large scale - NE corner</v>
          </cell>
          <cell r="C235" t="str">
            <v>PTG_P4</v>
          </cell>
          <cell r="D235" t="str">
            <v>single</v>
          </cell>
          <cell r="E235">
            <v>2015</v>
          </cell>
          <cell r="F235"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5" t="str">
            <v>polygon</v>
          </cell>
          <cell r="H235" t="str">
            <v>Port Gamble Bay</v>
          </cell>
          <cell r="I235" t="str">
            <v>HDC</v>
          </cell>
          <cell r="J235" t="str">
            <v>Port Gamble Bay Eelgrass Restoration Project</v>
          </cell>
          <cell r="K235" t="str">
            <v>Ecology</v>
          </cell>
          <cell r="L235" t="str">
            <v>Toxics Cleanup Program</v>
          </cell>
          <cell r="M235" t="str">
            <v>C1400158</v>
          </cell>
          <cell r="N235" t="str">
            <v xml:space="preserve"> 14-147</v>
          </cell>
          <cell r="O235" t="str">
            <v>PNNL</v>
          </cell>
          <cell r="P235" t="str">
            <v>IAA 14-293</v>
          </cell>
          <cell r="Q235" t="str">
            <v>Vavrinec, J. and A.B. Borde. 2015. Port Gamble eelgrass restoration project summary. Prepared for the Washington State Department of Ecology contracts IAA C1400158 and IAA 14-147. Pacific Northwest National Laboratory, Richland, WA. PNNL-24432.</v>
          </cell>
          <cell r="R235" t="str">
            <v>large scale</v>
          </cell>
          <cell r="S235" t="str">
            <v>--</v>
          </cell>
          <cell r="T235">
            <v>42095</v>
          </cell>
          <cell r="U235">
            <v>47.821533333333335</v>
          </cell>
          <cell r="V235">
            <v>-122.57538333333333</v>
          </cell>
          <cell r="W235" t="str">
            <v>polygon</v>
          </cell>
          <cell r="X235" t="str">
            <v>retain</v>
          </cell>
          <cell r="Y235" t="str">
            <v>WGS84</v>
          </cell>
          <cell r="Z235">
            <v>-2.7431999999999999</v>
          </cell>
          <cell r="AA235" t="str">
            <v>staple</v>
          </cell>
          <cell r="AF235"/>
          <cell r="AG235"/>
          <cell r="AH235"/>
          <cell r="AI235" t="str">
            <v/>
          </cell>
          <cell r="AJ235" t="str">
            <v/>
          </cell>
          <cell r="AL235"/>
        </row>
        <row r="236">
          <cell r="B236" t="str">
            <v>Port Gamble Bay - 4 - PNNL - large scale - SE corner</v>
          </cell>
          <cell r="C236" t="str">
            <v>PTG_P4</v>
          </cell>
          <cell r="D236" t="str">
            <v>single</v>
          </cell>
          <cell r="E236">
            <v>2015</v>
          </cell>
          <cell r="F236"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6" t="str">
            <v>polygon</v>
          </cell>
          <cell r="H236" t="str">
            <v>Port Gamble Bay</v>
          </cell>
          <cell r="I236" t="str">
            <v>HDC</v>
          </cell>
          <cell r="J236" t="str">
            <v>Port Gamble Bay Eelgrass Restoration Project</v>
          </cell>
          <cell r="K236" t="str">
            <v>Ecology</v>
          </cell>
          <cell r="L236" t="str">
            <v>Toxics Cleanup Program</v>
          </cell>
          <cell r="M236" t="str">
            <v>C1400158</v>
          </cell>
          <cell r="N236" t="str">
            <v xml:space="preserve"> 14-147</v>
          </cell>
          <cell r="O236" t="str">
            <v>PNNL</v>
          </cell>
          <cell r="P236" t="str">
            <v>IAA 14-293</v>
          </cell>
          <cell r="Q236" t="str">
            <v>Vavrinec, J. and A.B. Borde. 2015. Port Gamble eelgrass restoration project summary. Prepared for the Washington State Department of Ecology contracts IAA C1400158 and IAA 14-147. Pacific Northwest National Laboratory, Richland, WA. PNNL-24432.</v>
          </cell>
          <cell r="R236" t="str">
            <v>large scale</v>
          </cell>
          <cell r="S236" t="str">
            <v>--</v>
          </cell>
          <cell r="T236">
            <v>42095</v>
          </cell>
          <cell r="U236">
            <v>47.821216666666665</v>
          </cell>
          <cell r="V236">
            <v>-122.57528333333333</v>
          </cell>
          <cell r="W236" t="str">
            <v>polygon</v>
          </cell>
          <cell r="X236" t="str">
            <v>retain</v>
          </cell>
          <cell r="Y236" t="str">
            <v>WGS84</v>
          </cell>
          <cell r="Z236"/>
          <cell r="AA236" t="str">
            <v>staple</v>
          </cell>
          <cell r="AF236"/>
          <cell r="AG236"/>
          <cell r="AH236"/>
          <cell r="AI236" t="str">
            <v/>
          </cell>
          <cell r="AJ236" t="str">
            <v/>
          </cell>
          <cell r="AL236"/>
        </row>
        <row r="237">
          <cell r="B237" t="str">
            <v>Port Gamble Bay - 4 - PNNL - large scale - SW corner</v>
          </cell>
          <cell r="C237" t="str">
            <v>PTG_P4</v>
          </cell>
          <cell r="D237" t="str">
            <v>single</v>
          </cell>
          <cell r="E237">
            <v>2015</v>
          </cell>
          <cell r="F237"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7" t="str">
            <v>polygon</v>
          </cell>
          <cell r="H237" t="str">
            <v>Port Gamble Bay</v>
          </cell>
          <cell r="I237" t="str">
            <v>HDC</v>
          </cell>
          <cell r="J237" t="str">
            <v>Port Gamble Bay Eelgrass Restoration Project</v>
          </cell>
          <cell r="K237" t="str">
            <v>Ecology</v>
          </cell>
          <cell r="L237" t="str">
            <v>Toxics Cleanup Program</v>
          </cell>
          <cell r="M237" t="str">
            <v>C1400158</v>
          </cell>
          <cell r="N237" t="str">
            <v xml:space="preserve"> 14-147</v>
          </cell>
          <cell r="O237" t="str">
            <v>PNNL</v>
          </cell>
          <cell r="P237" t="str">
            <v>IAA 14-293</v>
          </cell>
          <cell r="Q237" t="str">
            <v>Vavrinec, J. and A.B. Borde. 2015. Port Gamble eelgrass restoration project summary. Prepared for the Washington State Department of Ecology contracts IAA C1400158 and IAA 14-147. Pacific Northwest National Laboratory, Richland, WA. PNNL-24432.</v>
          </cell>
          <cell r="R237" t="str">
            <v>large scale</v>
          </cell>
          <cell r="S237" t="str">
            <v>--</v>
          </cell>
          <cell r="T237">
            <v>42095</v>
          </cell>
          <cell r="U237">
            <v>47.821283333333334</v>
          </cell>
          <cell r="V237">
            <v>-122.57618333333333</v>
          </cell>
          <cell r="W237" t="str">
            <v>polygon</v>
          </cell>
          <cell r="X237" t="str">
            <v>retain</v>
          </cell>
          <cell r="Y237" t="str">
            <v>WGS84</v>
          </cell>
          <cell r="Z237"/>
          <cell r="AA237" t="str">
            <v>staple</v>
          </cell>
          <cell r="AF237"/>
          <cell r="AG237"/>
          <cell r="AH237"/>
          <cell r="AI237" t="str">
            <v/>
          </cell>
          <cell r="AJ237" t="str">
            <v/>
          </cell>
          <cell r="AL237"/>
        </row>
        <row r="238">
          <cell r="B238" t="str">
            <v>Quartermaster Harbor - PNNL - Test Plot 1S - 2018</v>
          </cell>
          <cell r="C238" t="str">
            <v>QMH_1S</v>
          </cell>
          <cell r="D238" t="str">
            <v>single</v>
          </cell>
          <cell r="E238">
            <v>2018</v>
          </cell>
          <cell r="G238" t="str">
            <v>point</v>
          </cell>
          <cell r="H238" t="str">
            <v>Quartermaster Harbor</v>
          </cell>
          <cell r="I238" t="str">
            <v>CPS</v>
          </cell>
          <cell r="J238" t="str">
            <v>Eelgrass Recovery in PS</v>
          </cell>
          <cell r="K238" t="str">
            <v>USFWS</v>
          </cell>
          <cell r="L238" t="str">
            <v>USFWS</v>
          </cell>
          <cell r="M238" t="str">
            <v>WA F16AP00163 AL</v>
          </cell>
          <cell r="O238" t="str">
            <v>PNNL</v>
          </cell>
          <cell r="P238" t="str">
            <v>93-094344</v>
          </cell>
          <cell r="R238" t="str">
            <v>test</v>
          </cell>
          <cell r="S238" t="str">
            <v>test</v>
          </cell>
          <cell r="T238">
            <v>43250</v>
          </cell>
          <cell r="U238">
            <v>47.383499999999998</v>
          </cell>
          <cell r="V238">
            <v>-122.45133</v>
          </cell>
          <cell r="W238" t="str">
            <v>point</v>
          </cell>
          <cell r="X238" t="str">
            <v>retain</v>
          </cell>
          <cell r="Y238" t="str">
            <v>WGS84</v>
          </cell>
          <cell r="Z238">
            <v>-1.0363199999999999</v>
          </cell>
          <cell r="AA238" t="str">
            <v>rebar</v>
          </cell>
          <cell r="AB238">
            <v>12</v>
          </cell>
          <cell r="AC238">
            <v>1</v>
          </cell>
          <cell r="AD238">
            <v>12</v>
          </cell>
          <cell r="AE238">
            <v>7.5</v>
          </cell>
          <cell r="AF238">
            <v>0.75</v>
          </cell>
          <cell r="AG238">
            <v>30</v>
          </cell>
          <cell r="AH238">
            <v>600</v>
          </cell>
          <cell r="AI238">
            <v>50</v>
          </cell>
          <cell r="AJ238">
            <v>80</v>
          </cell>
          <cell r="AK238" t="str">
            <v>Dumas Bay</v>
          </cell>
          <cell r="AL238" t="str">
            <v>base line runs 230°M; 20 shoots/rebar; 30 rebar planted on the offshore side of baseline</v>
          </cell>
        </row>
        <row r="239">
          <cell r="B239" t="str">
            <v>Quartermaster Harbor - PNNL - Test Plot 1D - 2018</v>
          </cell>
          <cell r="C239" t="str">
            <v>QMH_1D</v>
          </cell>
          <cell r="D239" t="str">
            <v>single</v>
          </cell>
          <cell r="E239">
            <v>2018</v>
          </cell>
          <cell r="G239" t="str">
            <v>point</v>
          </cell>
          <cell r="H239" t="str">
            <v>Quartermaster Harbor</v>
          </cell>
          <cell r="I239" t="str">
            <v>CPS</v>
          </cell>
          <cell r="J239" t="str">
            <v>Eelgrass Recovery in PS</v>
          </cell>
          <cell r="K239" t="str">
            <v>USFWS</v>
          </cell>
          <cell r="L239" t="str">
            <v>USFWS</v>
          </cell>
          <cell r="M239" t="str">
            <v>WA F16AP00163 AL</v>
          </cell>
          <cell r="O239" t="str">
            <v>PNNL</v>
          </cell>
          <cell r="P239" t="str">
            <v>93-094344</v>
          </cell>
          <cell r="R239" t="str">
            <v>test</v>
          </cell>
          <cell r="S239" t="str">
            <v>test</v>
          </cell>
          <cell r="T239">
            <v>43250</v>
          </cell>
          <cell r="U239">
            <v>47.383339999999997</v>
          </cell>
          <cell r="V239">
            <v>-122.4513</v>
          </cell>
          <cell r="W239" t="str">
            <v>point</v>
          </cell>
          <cell r="X239" t="str">
            <v>retain</v>
          </cell>
          <cell r="Y239" t="str">
            <v>WGS84</v>
          </cell>
          <cell r="Z239">
            <v>-1.8897600000000001</v>
          </cell>
          <cell r="AA239" t="str">
            <v>rebar</v>
          </cell>
          <cell r="AB239">
            <v>12</v>
          </cell>
          <cell r="AC239">
            <v>1</v>
          </cell>
          <cell r="AD239">
            <v>12</v>
          </cell>
          <cell r="AE239">
            <v>7.5</v>
          </cell>
          <cell r="AF239">
            <v>0.75</v>
          </cell>
          <cell r="AG239">
            <v>30</v>
          </cell>
          <cell r="AH239">
            <v>600</v>
          </cell>
          <cell r="AI239">
            <v>50</v>
          </cell>
          <cell r="AJ239">
            <v>80</v>
          </cell>
          <cell r="AK239" t="str">
            <v>Dumas Bay</v>
          </cell>
          <cell r="AL239" t="str">
            <v>base line runs 240°M; 20 shoots/rebar; 30 rebar planted on the offshore side of baseline</v>
          </cell>
        </row>
        <row r="240">
          <cell r="B240" t="str">
            <v>Quartermaster Harbor - PNNL - Test Plot 4S - 2018</v>
          </cell>
          <cell r="C240" t="str">
            <v>QMH_4S</v>
          </cell>
          <cell r="D240" t="str">
            <v>single</v>
          </cell>
          <cell r="E240">
            <v>2018</v>
          </cell>
          <cell r="G240" t="str">
            <v>point</v>
          </cell>
          <cell r="H240" t="str">
            <v>Quartermaster Harbor</v>
          </cell>
          <cell r="I240" t="str">
            <v>CPS</v>
          </cell>
          <cell r="J240" t="str">
            <v>Eelgrass Recovery in PS</v>
          </cell>
          <cell r="K240" t="str">
            <v>USFWS</v>
          </cell>
          <cell r="L240" t="str">
            <v>USFWS</v>
          </cell>
          <cell r="M240" t="str">
            <v>WA F16AP00163 AL</v>
          </cell>
          <cell r="O240" t="str">
            <v>PNNL</v>
          </cell>
          <cell r="P240" t="str">
            <v>93-094344</v>
          </cell>
          <cell r="R240" t="str">
            <v>test</v>
          </cell>
          <cell r="S240" t="str">
            <v>test</v>
          </cell>
          <cell r="T240">
            <v>43250</v>
          </cell>
          <cell r="U240">
            <v>47.390659999999997</v>
          </cell>
          <cell r="V240">
            <v>-122.43606</v>
          </cell>
          <cell r="W240" t="str">
            <v>point</v>
          </cell>
          <cell r="X240" t="str">
            <v>retain</v>
          </cell>
          <cell r="Y240" t="str">
            <v>WGS84</v>
          </cell>
          <cell r="Z240">
            <v>-1.2192000000000001</v>
          </cell>
          <cell r="AA240" t="str">
            <v>rebar</v>
          </cell>
          <cell r="AB240">
            <v>12</v>
          </cell>
          <cell r="AC240">
            <v>1</v>
          </cell>
          <cell r="AD240">
            <v>12</v>
          </cell>
          <cell r="AE240">
            <v>7.5</v>
          </cell>
          <cell r="AF240">
            <v>0.75</v>
          </cell>
          <cell r="AG240">
            <v>30</v>
          </cell>
          <cell r="AH240">
            <v>600</v>
          </cell>
          <cell r="AI240">
            <v>50</v>
          </cell>
          <cell r="AJ240">
            <v>80</v>
          </cell>
          <cell r="AK240" t="str">
            <v>Dumas Bay</v>
          </cell>
          <cell r="AL240" t="str">
            <v>base line runs 90°M; 20 shoots/rebar; 30 rebar planted on the offshore side of baseline</v>
          </cell>
        </row>
        <row r="241">
          <cell r="B241" t="str">
            <v>Quartermaster Harbor - PNNL - Test Plot 4D - 2018</v>
          </cell>
          <cell r="C241" t="str">
            <v>QMH_4D</v>
          </cell>
          <cell r="D241" t="str">
            <v>single</v>
          </cell>
          <cell r="E241">
            <v>2018</v>
          </cell>
          <cell r="G241" t="str">
            <v>point</v>
          </cell>
          <cell r="H241" t="str">
            <v>Quartermaster Harbor</v>
          </cell>
          <cell r="I241" t="str">
            <v>CPS</v>
          </cell>
          <cell r="J241" t="str">
            <v>Eelgrass Recovery in PS</v>
          </cell>
          <cell r="K241" t="str">
            <v>USFWS</v>
          </cell>
          <cell r="L241" t="str">
            <v>USFWS</v>
          </cell>
          <cell r="M241" t="str">
            <v>WA F16AP00163 AL</v>
          </cell>
          <cell r="O241" t="str">
            <v>PNNL</v>
          </cell>
          <cell r="P241" t="str">
            <v>93-094344</v>
          </cell>
          <cell r="R241" t="str">
            <v>test</v>
          </cell>
          <cell r="S241" t="str">
            <v>test</v>
          </cell>
          <cell r="T241">
            <v>43250</v>
          </cell>
          <cell r="U241">
            <v>47.390219999999999</v>
          </cell>
          <cell r="V241">
            <v>-122.43597</v>
          </cell>
          <cell r="W241" t="str">
            <v>point</v>
          </cell>
          <cell r="X241" t="str">
            <v>retain</v>
          </cell>
          <cell r="Y241" t="str">
            <v>WGS84</v>
          </cell>
          <cell r="Z241">
            <v>-1.61544</v>
          </cell>
          <cell r="AA241" t="str">
            <v>rebar</v>
          </cell>
          <cell r="AB241">
            <v>12</v>
          </cell>
          <cell r="AC241">
            <v>1</v>
          </cell>
          <cell r="AD241">
            <v>12</v>
          </cell>
          <cell r="AE241">
            <v>7.5</v>
          </cell>
          <cell r="AF241">
            <v>0.75</v>
          </cell>
          <cell r="AG241">
            <v>30</v>
          </cell>
          <cell r="AH241">
            <v>600</v>
          </cell>
          <cell r="AI241">
            <v>50</v>
          </cell>
          <cell r="AJ241">
            <v>80</v>
          </cell>
          <cell r="AK241" t="str">
            <v>Dumas Bay</v>
          </cell>
          <cell r="AL241" t="str">
            <v>base line runs 90°M; 20 shoots/rebar; 30 rebar planted on the offshore side of baseline</v>
          </cell>
        </row>
        <row r="242">
          <cell r="B242" t="str">
            <v>Quartermaster Harbor - PNNL - Test Plot 5S - 2018</v>
          </cell>
          <cell r="C242" t="str">
            <v>QMH_5S</v>
          </cell>
          <cell r="D242" t="str">
            <v>single</v>
          </cell>
          <cell r="E242">
            <v>2018</v>
          </cell>
          <cell r="G242" t="str">
            <v>point</v>
          </cell>
          <cell r="H242" t="str">
            <v>Quartermaster Harbor</v>
          </cell>
          <cell r="I242" t="str">
            <v>CPS</v>
          </cell>
          <cell r="J242" t="str">
            <v>Eelgrass Recovery in PS</v>
          </cell>
          <cell r="K242" t="str">
            <v>USFWS</v>
          </cell>
          <cell r="L242" t="str">
            <v>USFWS</v>
          </cell>
          <cell r="M242" t="str">
            <v>WA F16AP00163 AL</v>
          </cell>
          <cell r="O242" t="str">
            <v>PNNL</v>
          </cell>
          <cell r="P242" t="str">
            <v>93-094344</v>
          </cell>
          <cell r="R242" t="str">
            <v>test</v>
          </cell>
          <cell r="S242" t="str">
            <v>test</v>
          </cell>
          <cell r="T242">
            <v>43251</v>
          </cell>
          <cell r="U242">
            <v>47.385919999999999</v>
          </cell>
          <cell r="V242">
            <v>-122.43792999999999</v>
          </cell>
          <cell r="W242" t="str">
            <v>point</v>
          </cell>
          <cell r="X242" t="str">
            <v>retain</v>
          </cell>
          <cell r="Y242" t="str">
            <v>WGS84</v>
          </cell>
          <cell r="Z242">
            <v>-1.18872</v>
          </cell>
          <cell r="AA242" t="str">
            <v>rebar</v>
          </cell>
          <cell r="AB242">
            <v>12</v>
          </cell>
          <cell r="AC242">
            <v>1</v>
          </cell>
          <cell r="AD242">
            <v>12</v>
          </cell>
          <cell r="AE242">
            <v>7.5</v>
          </cell>
          <cell r="AF242">
            <v>0.75</v>
          </cell>
          <cell r="AG242">
            <v>30</v>
          </cell>
          <cell r="AH242">
            <v>600</v>
          </cell>
          <cell r="AI242">
            <v>50</v>
          </cell>
          <cell r="AJ242">
            <v>80</v>
          </cell>
          <cell r="AK242" t="str">
            <v>Dumas Bay</v>
          </cell>
          <cell r="AL242" t="str">
            <v>base line runs 240°M; 20 shoots/rebar; 30 rebar planted on the offshore side of baseline</v>
          </cell>
        </row>
        <row r="243">
          <cell r="B243" t="str">
            <v>Quartermaster Harbor - PNNL - Test Plot 5D - 2018</v>
          </cell>
          <cell r="C243" t="str">
            <v>QMH_5D</v>
          </cell>
          <cell r="D243" t="str">
            <v>single</v>
          </cell>
          <cell r="E243">
            <v>2018</v>
          </cell>
          <cell r="G243" t="str">
            <v>point</v>
          </cell>
          <cell r="H243" t="str">
            <v>Quartermaster Harbor</v>
          </cell>
          <cell r="I243" t="str">
            <v>CPS</v>
          </cell>
          <cell r="J243" t="str">
            <v>Eelgrass Recovery in PS</v>
          </cell>
          <cell r="K243" t="str">
            <v>USFWS</v>
          </cell>
          <cell r="L243" t="str">
            <v>USFWS</v>
          </cell>
          <cell r="M243" t="str">
            <v>WA F16AP00163 AL</v>
          </cell>
          <cell r="O243" t="str">
            <v>PNNL</v>
          </cell>
          <cell r="P243" t="str">
            <v>93-094344</v>
          </cell>
          <cell r="R243" t="str">
            <v>test</v>
          </cell>
          <cell r="S243" t="str">
            <v>test</v>
          </cell>
          <cell r="T243">
            <v>43251</v>
          </cell>
          <cell r="U243">
            <v>47.38597</v>
          </cell>
          <cell r="V243">
            <v>-122.43799</v>
          </cell>
          <cell r="W243" t="str">
            <v>point</v>
          </cell>
          <cell r="X243" t="str">
            <v>retain</v>
          </cell>
          <cell r="Y243" t="str">
            <v>WGS84</v>
          </cell>
          <cell r="Z243">
            <v>-1.73736</v>
          </cell>
          <cell r="AA243" t="str">
            <v>rebar</v>
          </cell>
          <cell r="AB243">
            <v>12</v>
          </cell>
          <cell r="AC243">
            <v>1</v>
          </cell>
          <cell r="AD243">
            <v>12</v>
          </cell>
          <cell r="AE243">
            <v>7.5</v>
          </cell>
          <cell r="AF243">
            <v>0.75</v>
          </cell>
          <cell r="AG243">
            <v>30</v>
          </cell>
          <cell r="AH243">
            <v>600</v>
          </cell>
          <cell r="AI243">
            <v>50</v>
          </cell>
          <cell r="AJ243">
            <v>80</v>
          </cell>
          <cell r="AK243" t="str">
            <v>Dumas Bay</v>
          </cell>
          <cell r="AL243" t="str">
            <v>base line runs 230°M; 20 shoots/rebar; 30 rebar planted on the offshore side of baseline</v>
          </cell>
        </row>
        <row r="244">
          <cell r="B244" t="str">
            <v>Quartermaster Harbor - PNNL - Test Plot 2D - 2018</v>
          </cell>
          <cell r="C244" t="str">
            <v>QMH_2D</v>
          </cell>
          <cell r="D244" t="str">
            <v>single</v>
          </cell>
          <cell r="E244">
            <v>2018</v>
          </cell>
          <cell r="G244" t="str">
            <v>point</v>
          </cell>
          <cell r="H244" t="str">
            <v>Quartermaster Harbor</v>
          </cell>
          <cell r="I244" t="str">
            <v>CPS</v>
          </cell>
          <cell r="J244" t="str">
            <v>Eelgrass Recovery in PS</v>
          </cell>
          <cell r="K244" t="str">
            <v>USFWS</v>
          </cell>
          <cell r="L244" t="str">
            <v>USFWS</v>
          </cell>
          <cell r="M244" t="str">
            <v>WA F16AP00163 AL</v>
          </cell>
          <cell r="O244" t="str">
            <v>PNNL</v>
          </cell>
          <cell r="P244" t="str">
            <v>93-094344</v>
          </cell>
          <cell r="R244" t="str">
            <v>test</v>
          </cell>
          <cell r="S244" t="str">
            <v>test</v>
          </cell>
          <cell r="T244">
            <v>43252</v>
          </cell>
          <cell r="U244">
            <v>47.394410000000001</v>
          </cell>
          <cell r="V244">
            <v>-122.44898000000001</v>
          </cell>
          <cell r="W244" t="str">
            <v>point</v>
          </cell>
          <cell r="X244" t="str">
            <v>retain</v>
          </cell>
          <cell r="Y244" t="str">
            <v>WGS84</v>
          </cell>
          <cell r="Z244">
            <v>-1.7983199999999999</v>
          </cell>
          <cell r="AA244" t="str">
            <v>rebar</v>
          </cell>
          <cell r="AB244">
            <v>12</v>
          </cell>
          <cell r="AC244">
            <v>1</v>
          </cell>
          <cell r="AD244">
            <v>12</v>
          </cell>
          <cell r="AE244">
            <v>7.5</v>
          </cell>
          <cell r="AF244">
            <v>0.75</v>
          </cell>
          <cell r="AG244">
            <v>30</v>
          </cell>
          <cell r="AH244">
            <v>600</v>
          </cell>
          <cell r="AI244">
            <v>50</v>
          </cell>
          <cell r="AJ244">
            <v>80</v>
          </cell>
          <cell r="AK244" t="str">
            <v>Dumas Bay</v>
          </cell>
          <cell r="AL244" t="str">
            <v>base line runs 305°M; 20 shoots/rebar; 30 rebar planted on the offshore side of baseline</v>
          </cell>
        </row>
        <row r="245">
          <cell r="B245" t="str">
            <v>Quartermaster Harbor - PNNL - Test Plot 3S - 2018</v>
          </cell>
          <cell r="C245" t="str">
            <v>QMH_3S</v>
          </cell>
          <cell r="D245" t="str">
            <v>single</v>
          </cell>
          <cell r="E245">
            <v>2018</v>
          </cell>
          <cell r="G245" t="str">
            <v>point</v>
          </cell>
          <cell r="H245" t="str">
            <v>Quartermaster Harbor</v>
          </cell>
          <cell r="I245" t="str">
            <v>CPS</v>
          </cell>
          <cell r="J245" t="str">
            <v>Eelgrass Recovery in PS</v>
          </cell>
          <cell r="K245" t="str">
            <v>USFWS</v>
          </cell>
          <cell r="L245" t="str">
            <v>USFWS</v>
          </cell>
          <cell r="M245" t="str">
            <v>WA F16AP00163 AL</v>
          </cell>
          <cell r="O245" t="str">
            <v>PNNL</v>
          </cell>
          <cell r="P245" t="str">
            <v>93-094344</v>
          </cell>
          <cell r="R245" t="str">
            <v>test</v>
          </cell>
          <cell r="S245" t="str">
            <v>test</v>
          </cell>
          <cell r="T245">
            <v>43252</v>
          </cell>
          <cell r="U245">
            <v>47.403919999999999</v>
          </cell>
          <cell r="V245">
            <v>-122.44499</v>
          </cell>
          <cell r="W245" t="str">
            <v>point</v>
          </cell>
          <cell r="X245" t="str">
            <v>retain</v>
          </cell>
          <cell r="Y245" t="str">
            <v>WGS84</v>
          </cell>
          <cell r="Z245">
            <v>-1.2192000000000001</v>
          </cell>
          <cell r="AA245" t="str">
            <v>rebar</v>
          </cell>
          <cell r="AB245">
            <v>12</v>
          </cell>
          <cell r="AC245">
            <v>1</v>
          </cell>
          <cell r="AD245">
            <v>12</v>
          </cell>
          <cell r="AE245">
            <v>7.5</v>
          </cell>
          <cell r="AF245">
            <v>0.75</v>
          </cell>
          <cell r="AG245">
            <v>30</v>
          </cell>
          <cell r="AH245">
            <v>600</v>
          </cell>
          <cell r="AI245">
            <v>50</v>
          </cell>
          <cell r="AJ245">
            <v>80</v>
          </cell>
          <cell r="AK245" t="str">
            <v>Dumas Bay</v>
          </cell>
          <cell r="AL245" t="str">
            <v>base line runs 40°M; 20 shoots/rebar; 30 rebar planted on the offshore side of baseline</v>
          </cell>
        </row>
        <row r="246">
          <cell r="B246" t="str">
            <v>Quartermaster Harbor - PNNL - Test Plot 3D - 2018</v>
          </cell>
          <cell r="C246" t="str">
            <v>QMH_3D</v>
          </cell>
          <cell r="D246" t="str">
            <v>single</v>
          </cell>
          <cell r="E246">
            <v>2018</v>
          </cell>
          <cell r="G246" t="str">
            <v>point</v>
          </cell>
          <cell r="H246" t="str">
            <v>Quartermaster Harbor</v>
          </cell>
          <cell r="I246" t="str">
            <v>CPS</v>
          </cell>
          <cell r="J246" t="str">
            <v>Eelgrass Recovery in PS</v>
          </cell>
          <cell r="K246" t="str">
            <v>USFWS</v>
          </cell>
          <cell r="L246" t="str">
            <v>USFWS</v>
          </cell>
          <cell r="M246" t="str">
            <v>WA F16AP00163 AL</v>
          </cell>
          <cell r="O246" t="str">
            <v>PNNL</v>
          </cell>
          <cell r="P246" t="str">
            <v>93-094344</v>
          </cell>
          <cell r="R246" t="str">
            <v>test</v>
          </cell>
          <cell r="S246" t="str">
            <v>test</v>
          </cell>
          <cell r="T246">
            <v>43252</v>
          </cell>
          <cell r="U246">
            <v>47.403860000000002</v>
          </cell>
          <cell r="V246">
            <v>-122.44484</v>
          </cell>
          <cell r="W246" t="str">
            <v>point</v>
          </cell>
          <cell r="X246" t="str">
            <v>retain</v>
          </cell>
          <cell r="Y246" t="str">
            <v>WGS84</v>
          </cell>
          <cell r="Z246">
            <v>-1.85928</v>
          </cell>
          <cell r="AA246" t="str">
            <v>rebar</v>
          </cell>
          <cell r="AB246">
            <v>12</v>
          </cell>
          <cell r="AC246">
            <v>1</v>
          </cell>
          <cell r="AD246">
            <v>12</v>
          </cell>
          <cell r="AE246">
            <v>7.5</v>
          </cell>
          <cell r="AF246">
            <v>0.75</v>
          </cell>
          <cell r="AG246">
            <v>30</v>
          </cell>
          <cell r="AH246">
            <v>600</v>
          </cell>
          <cell r="AI246">
            <v>50</v>
          </cell>
          <cell r="AJ246">
            <v>80</v>
          </cell>
          <cell r="AK246" t="str">
            <v>Dumas Bay</v>
          </cell>
          <cell r="AL246" t="str">
            <v>base line runs 25°M; 20 shoots/rebar; 30 rebar planted on the inshore side of baseline</v>
          </cell>
        </row>
        <row r="247">
          <cell r="B247" t="str">
            <v>Quartermaster Harbor - PNNL - Test Plot 4S - 2021</v>
          </cell>
          <cell r="C247" t="e">
            <v>#N/A</v>
          </cell>
          <cell r="D247" t="e">
            <v>#N/A</v>
          </cell>
          <cell r="E247">
            <v>2021</v>
          </cell>
          <cell r="G247" t="str">
            <v>point</v>
          </cell>
          <cell r="H247" t="str">
            <v>Quartermaster Harbor</v>
          </cell>
          <cell r="I247" t="str">
            <v>CPS</v>
          </cell>
          <cell r="J247" t="str">
            <v>King County</v>
          </cell>
          <cell r="K247" t="str">
            <v>King County</v>
          </cell>
          <cell r="L247" t="str">
            <v>King County Department of Natural Resources and Parks Wastewater Treatment Division</v>
          </cell>
          <cell r="N247" t="str">
            <v>93-097520</v>
          </cell>
          <cell r="O247"/>
          <cell r="P247"/>
          <cell r="R247" t="str">
            <v>test</v>
          </cell>
          <cell r="S247" t="str">
            <v>test</v>
          </cell>
          <cell r="T247">
            <v>44329</v>
          </cell>
          <cell r="U247">
            <v>47.390659999999997</v>
          </cell>
          <cell r="V247">
            <v>-122.43606</v>
          </cell>
          <cell r="W247" t="e">
            <v>#N/A</v>
          </cell>
          <cell r="X247" t="e">
            <v>#N/A</v>
          </cell>
          <cell r="Y247" t="str">
            <v>WGS84</v>
          </cell>
          <cell r="Z247">
            <v>-1.5</v>
          </cell>
          <cell r="AA247" t="str">
            <v>rebar</v>
          </cell>
          <cell r="AB247">
            <v>3.5</v>
          </cell>
          <cell r="AC247">
            <v>0.5</v>
          </cell>
          <cell r="AD247">
            <v>1.75</v>
          </cell>
          <cell r="AE247">
            <v>1</v>
          </cell>
          <cell r="AF247">
            <v>0.30000000000000004</v>
          </cell>
          <cell r="AG247">
            <v>12</v>
          </cell>
          <cell r="AH247">
            <v>240</v>
          </cell>
          <cell r="AI247">
            <v>137.14285714285714</v>
          </cell>
          <cell r="AJ247">
            <v>240</v>
          </cell>
          <cell r="AK247" t="str">
            <v>DuPont Wharf</v>
          </cell>
          <cell r="AL247" t="str">
            <v>20 shoots per rebar as DuPont Wharf shoots were large (~50 cm canopy height). Plots start approximatey 5 m east of light sensor. 3rd plot east of light sensor included a base of sand (50# bag of play sand)</v>
          </cell>
        </row>
        <row r="248">
          <cell r="B248" t="str">
            <v>Quartermaster Harbor - PNNL - Test Plot 4S - 2021</v>
          </cell>
          <cell r="C248" t="e">
            <v>#N/A</v>
          </cell>
          <cell r="D248" t="e">
            <v>#N/A</v>
          </cell>
          <cell r="E248">
            <v>2021</v>
          </cell>
          <cell r="G248" t="str">
            <v>point</v>
          </cell>
          <cell r="H248" t="str">
            <v>Quartermaster Harbor</v>
          </cell>
          <cell r="I248" t="str">
            <v>CPS</v>
          </cell>
          <cell r="J248" t="str">
            <v>King County</v>
          </cell>
          <cell r="K248" t="str">
            <v>King County</v>
          </cell>
          <cell r="L248" t="str">
            <v>King County Department of Natural Resources and Parks Wastewater Treatment Division</v>
          </cell>
          <cell r="N248" t="str">
            <v>93-097520</v>
          </cell>
          <cell r="O248"/>
          <cell r="P248"/>
          <cell r="R248" t="str">
            <v>test</v>
          </cell>
          <cell r="S248" t="str">
            <v>test</v>
          </cell>
          <cell r="T248">
            <v>44330</v>
          </cell>
          <cell r="U248">
            <v>47.390659999999997</v>
          </cell>
          <cell r="V248">
            <v>-122.43606</v>
          </cell>
          <cell r="W248" t="e">
            <v>#N/A</v>
          </cell>
          <cell r="X248" t="e">
            <v>#N/A</v>
          </cell>
          <cell r="Y248" t="str">
            <v>WGS84</v>
          </cell>
          <cell r="Z248">
            <v>-1.5</v>
          </cell>
          <cell r="AA248" t="str">
            <v>rebar</v>
          </cell>
          <cell r="AB248">
            <v>4.5</v>
          </cell>
          <cell r="AC248">
            <v>0.5</v>
          </cell>
          <cell r="AD248">
            <v>2.25</v>
          </cell>
          <cell r="AE248">
            <v>1.25</v>
          </cell>
          <cell r="AF248">
            <v>0.375</v>
          </cell>
          <cell r="AG248">
            <v>15</v>
          </cell>
          <cell r="AH248">
            <v>375</v>
          </cell>
          <cell r="AI248">
            <v>166.66666666666666</v>
          </cell>
          <cell r="AJ248">
            <v>300</v>
          </cell>
          <cell r="AK248" t="str">
            <v>Dumas Bay</v>
          </cell>
          <cell r="AL248" t="str">
            <v>25 shoots per rebar because Dumas Bay shoots were small (~30 cm canopy height). Plots were placed shallower and a 0.5 m offset from DuPont Wharf shoots. 3rd plot east of light sensor included a base of sand (50# bag of play sand)</v>
          </cell>
        </row>
        <row r="249">
          <cell r="B249" t="str">
            <v>Quartermaster Harbor - PNNL - Test Plot 4S - 2021</v>
          </cell>
          <cell r="C249" t="e">
            <v>#N/A</v>
          </cell>
          <cell r="D249" t="e">
            <v>#N/A</v>
          </cell>
          <cell r="E249">
            <v>2021</v>
          </cell>
          <cell r="G249" t="str">
            <v>point</v>
          </cell>
          <cell r="H249" t="str">
            <v>Quartermaster Harbor</v>
          </cell>
          <cell r="I249" t="str">
            <v>CPS</v>
          </cell>
          <cell r="J249" t="str">
            <v>King County</v>
          </cell>
          <cell r="K249" t="str">
            <v>King County</v>
          </cell>
          <cell r="L249" t="str">
            <v>King County Department of Natural Resources and Parks Wastewater Treatment Division</v>
          </cell>
          <cell r="N249" t="str">
            <v>93-097520</v>
          </cell>
          <cell r="O249"/>
          <cell r="P249"/>
          <cell r="R249" t="str">
            <v>test</v>
          </cell>
          <cell r="S249" t="str">
            <v>test</v>
          </cell>
          <cell r="T249">
            <v>44342</v>
          </cell>
          <cell r="U249">
            <v>47.390659999999997</v>
          </cell>
          <cell r="V249">
            <v>-122.43606</v>
          </cell>
          <cell r="W249" t="e">
            <v>#N/A</v>
          </cell>
          <cell r="X249" t="e">
            <v>#N/A</v>
          </cell>
          <cell r="Y249" t="str">
            <v>WGS84</v>
          </cell>
          <cell r="Z249">
            <v>-1.5</v>
          </cell>
          <cell r="AA249" t="str">
            <v>rebar</v>
          </cell>
          <cell r="AB249">
            <v>2.5</v>
          </cell>
          <cell r="AC249">
            <v>1</v>
          </cell>
          <cell r="AD249">
            <v>2.5</v>
          </cell>
          <cell r="AE249">
            <v>1.5</v>
          </cell>
          <cell r="AF249">
            <v>0.45</v>
          </cell>
          <cell r="AG249">
            <v>18</v>
          </cell>
          <cell r="AH249">
            <v>270</v>
          </cell>
          <cell r="AI249">
            <v>108</v>
          </cell>
          <cell r="AJ249">
            <v>180</v>
          </cell>
          <cell r="AK249" t="str">
            <v>DuPont Wharf</v>
          </cell>
          <cell r="AL249" t="str">
            <v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v>
          </cell>
        </row>
        <row r="250">
          <cell r="B250" t="str">
            <v>Quartermaster Harbor - PNNL - Test Plot 5a - 2021</v>
          </cell>
          <cell r="C250" t="e">
            <v>#N/A</v>
          </cell>
          <cell r="D250" t="e">
            <v>#N/A</v>
          </cell>
          <cell r="E250">
            <v>2021</v>
          </cell>
          <cell r="G250" t="str">
            <v>point</v>
          </cell>
          <cell r="H250" t="str">
            <v>Quartermaster Harbor</v>
          </cell>
          <cell r="I250" t="str">
            <v>CPS</v>
          </cell>
          <cell r="J250" t="str">
            <v>King County</v>
          </cell>
          <cell r="K250" t="str">
            <v>King County</v>
          </cell>
          <cell r="L250" t="str">
            <v>King County Department of Natural Resources and Parks Wastewater Treatment Division</v>
          </cell>
          <cell r="N250" t="str">
            <v>93-097520</v>
          </cell>
          <cell r="O250"/>
          <cell r="P250"/>
          <cell r="R250" t="str">
            <v>test</v>
          </cell>
          <cell r="S250" t="str">
            <v>test</v>
          </cell>
          <cell r="T250">
            <v>44329</v>
          </cell>
          <cell r="U250">
            <v>47.385899999999999</v>
          </cell>
          <cell r="V250">
            <v>-122.4379</v>
          </cell>
          <cell r="W250" t="e">
            <v>#N/A</v>
          </cell>
          <cell r="X250" t="e">
            <v>#N/A</v>
          </cell>
          <cell r="Y250" t="str">
            <v>WGS84</v>
          </cell>
          <cell r="Z250">
            <v>-1.5</v>
          </cell>
          <cell r="AA250" t="str">
            <v>rebar</v>
          </cell>
          <cell r="AB250">
            <v>2.5</v>
          </cell>
          <cell r="AC250">
            <v>0.5</v>
          </cell>
          <cell r="AD250">
            <v>1.25</v>
          </cell>
          <cell r="AE250">
            <v>0.75</v>
          </cell>
          <cell r="AF250">
            <v>0.22500000000000001</v>
          </cell>
          <cell r="AG250">
            <v>9</v>
          </cell>
          <cell r="AH250">
            <v>180</v>
          </cell>
          <cell r="AI250">
            <v>144</v>
          </cell>
          <cell r="AJ250">
            <v>240</v>
          </cell>
          <cell r="AK250" t="str">
            <v>DuPont Wharf</v>
          </cell>
          <cell r="AL250" t="str">
            <v>20 shoots per rebar as DuPont Wharf shoots were large (~50 cm canopy height). KC Project (IAA 93-097520) Dockton test transplant site.</v>
          </cell>
        </row>
        <row r="251">
          <cell r="B251" t="str">
            <v>Quartermaster Harbor - PNNL - Test Plot 5a - 2021</v>
          </cell>
          <cell r="C251" t="e">
            <v>#N/A</v>
          </cell>
          <cell r="D251" t="e">
            <v>#N/A</v>
          </cell>
          <cell r="E251">
            <v>2021</v>
          </cell>
          <cell r="G251" t="str">
            <v>point</v>
          </cell>
          <cell r="H251" t="str">
            <v>Quartermaster Harbor</v>
          </cell>
          <cell r="I251" t="str">
            <v>CPS</v>
          </cell>
          <cell r="J251" t="str">
            <v>King County</v>
          </cell>
          <cell r="K251" t="str">
            <v>King County</v>
          </cell>
          <cell r="L251" t="str">
            <v>King County Department of Natural Resources and Parks Wastewater Treatment Division</v>
          </cell>
          <cell r="N251" t="str">
            <v>93-097520</v>
          </cell>
          <cell r="O251"/>
          <cell r="P251"/>
          <cell r="R251" t="str">
            <v>test</v>
          </cell>
          <cell r="S251" t="str">
            <v>test</v>
          </cell>
          <cell r="T251">
            <v>44330</v>
          </cell>
          <cell r="U251">
            <v>47.385899999999999</v>
          </cell>
          <cell r="V251">
            <v>-122.4379</v>
          </cell>
          <cell r="W251" t="e">
            <v>#N/A</v>
          </cell>
          <cell r="X251" t="e">
            <v>#N/A</v>
          </cell>
          <cell r="Y251" t="str">
            <v>WGS84</v>
          </cell>
          <cell r="Z251">
            <v>-1.5</v>
          </cell>
          <cell r="AA251" t="str">
            <v>rebar</v>
          </cell>
          <cell r="AB251">
            <v>2.5</v>
          </cell>
          <cell r="AC251">
            <v>0.5</v>
          </cell>
          <cell r="AD251">
            <v>1.25</v>
          </cell>
          <cell r="AE251">
            <v>0.75</v>
          </cell>
          <cell r="AF251">
            <v>0.22500000000000001</v>
          </cell>
          <cell r="AG251">
            <v>9</v>
          </cell>
          <cell r="AH251">
            <v>180</v>
          </cell>
          <cell r="AI251">
            <v>144</v>
          </cell>
          <cell r="AJ251">
            <v>240</v>
          </cell>
          <cell r="AK251" t="str">
            <v>Dumas Bay</v>
          </cell>
          <cell r="AL251" t="str">
            <v>25 shoots per rebar because Dumas Bay shoots were small (~30 cm canopy height). 3 plots were planted alternate to the DuPont Wharf plots and shallower. KC Project (IAA 93-097520) Dockton test transplant site.</v>
          </cell>
        </row>
        <row r="252">
          <cell r="B252" t="str">
            <v>Quartermaster Harbor - PNNL - Test Plot 4S - 2021</v>
          </cell>
          <cell r="C252" t="e">
            <v>#N/A</v>
          </cell>
          <cell r="D252" t="e">
            <v>#N/A</v>
          </cell>
          <cell r="E252">
            <v>2021</v>
          </cell>
          <cell r="G252" t="str">
            <v>point</v>
          </cell>
          <cell r="H252" t="str">
            <v>Quartermaster Harbor</v>
          </cell>
          <cell r="I252" t="str">
            <v>CPS</v>
          </cell>
          <cell r="J252" t="str">
            <v>King County</v>
          </cell>
          <cell r="K252" t="str">
            <v>King County</v>
          </cell>
          <cell r="L252" t="str">
            <v>King County Department of Natural Resources and Parks Wastewater Treatment Division</v>
          </cell>
          <cell r="N252" t="str">
            <v>93-097520</v>
          </cell>
          <cell r="O252"/>
          <cell r="P252"/>
          <cell r="R252" t="str">
            <v>test</v>
          </cell>
          <cell r="S252" t="str">
            <v>test</v>
          </cell>
          <cell r="T252">
            <v>44342</v>
          </cell>
          <cell r="U252">
            <v>47.390659999999997</v>
          </cell>
          <cell r="V252">
            <v>-122.43606</v>
          </cell>
          <cell r="W252" t="e">
            <v>#N/A</v>
          </cell>
          <cell r="X252" t="e">
            <v>#N/A</v>
          </cell>
          <cell r="Y252" t="str">
            <v>WGS84</v>
          </cell>
          <cell r="Z252">
            <v>-1.5</v>
          </cell>
          <cell r="AA252" t="str">
            <v>rebar</v>
          </cell>
          <cell r="AB252">
            <v>2.5</v>
          </cell>
          <cell r="AC252">
            <v>1</v>
          </cell>
          <cell r="AD252">
            <v>2.5</v>
          </cell>
          <cell r="AE252">
            <v>4.5</v>
          </cell>
          <cell r="AF252">
            <v>0.45</v>
          </cell>
          <cell r="AG252">
            <v>18</v>
          </cell>
          <cell r="AH252">
            <v>360</v>
          </cell>
          <cell r="AI252">
            <v>144</v>
          </cell>
          <cell r="AJ252">
            <v>80</v>
          </cell>
          <cell r="AK252" t="str">
            <v>DuPont Wharf</v>
          </cell>
          <cell r="AL252" t="str">
            <v>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v>
          </cell>
        </row>
        <row r="253">
          <cell r="B253" t="str">
            <v>Quartermaster Harbor - PNNL - Test Plot 4S - 2022</v>
          </cell>
          <cell r="C253" t="e">
            <v>#N/A</v>
          </cell>
          <cell r="D253" t="e">
            <v>#N/A</v>
          </cell>
          <cell r="E253">
            <v>2022</v>
          </cell>
          <cell r="G253" t="str">
            <v>point</v>
          </cell>
          <cell r="H253" t="str">
            <v>Quartermaster Harbor</v>
          </cell>
          <cell r="I253" t="str">
            <v>CPS</v>
          </cell>
          <cell r="J253" t="str">
            <v>King County</v>
          </cell>
          <cell r="K253" t="str">
            <v>King County</v>
          </cell>
          <cell r="L253" t="str">
            <v>King County Department of Natural Resources and Parks Wastewater Treatment Division</v>
          </cell>
          <cell r="N253" t="str">
            <v>93-097520</v>
          </cell>
          <cell r="R253" t="str">
            <v>test</v>
          </cell>
          <cell r="S253" t="str">
            <v>test</v>
          </cell>
          <cell r="T253">
            <v>44700</v>
          </cell>
          <cell r="U253">
            <v>47.390659999999997</v>
          </cell>
          <cell r="V253">
            <v>-122.43606</v>
          </cell>
          <cell r="W253" t="e">
            <v>#N/A</v>
          </cell>
          <cell r="X253" t="e">
            <v>#N/A</v>
          </cell>
          <cell r="Y253" t="str">
            <v>WGS84</v>
          </cell>
          <cell r="Z253">
            <v>-1.5</v>
          </cell>
          <cell r="AA253" t="str">
            <v>TERFS</v>
          </cell>
          <cell r="AB253">
            <v>1.5</v>
          </cell>
          <cell r="AC253">
            <v>0.5</v>
          </cell>
          <cell r="AD253">
            <v>0.75</v>
          </cell>
          <cell r="AE253">
            <v>0.75</v>
          </cell>
          <cell r="AF253">
            <v>0.75</v>
          </cell>
          <cell r="AG253">
            <v>3</v>
          </cell>
          <cell r="AH253">
            <v>75</v>
          </cell>
          <cell r="AI253">
            <v>100</v>
          </cell>
          <cell r="AJ253">
            <v>100</v>
          </cell>
          <cell r="AK253" t="str">
            <v>DuPont Wharf</v>
          </cell>
          <cell r="AL253" t="str">
            <v>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v>
          </cell>
        </row>
        <row r="254">
          <cell r="B254" t="str">
            <v>Quilcene Bay - PNNL - test - 2014</v>
          </cell>
          <cell r="C254" t="str">
            <v>QLC01</v>
          </cell>
          <cell r="D254" t="str">
            <v>single</v>
          </cell>
          <cell r="E254">
            <v>2014</v>
          </cell>
          <cell r="F254" t="str">
            <v>Thom, RM, and L Hallum. 1990. Long‐term changes in the areal extent of tidal marshes, eelgrass meadows, and kelp forests of Puget Sound. FRI‐UW‐9008, Fisheries Research Institute, School of Fisheries, University of Washington, Seattle. Pp. 110.</v>
          </cell>
          <cell r="G254" t="str">
            <v>point</v>
          </cell>
          <cell r="H254" t="str">
            <v>Quilcene Bay</v>
          </cell>
          <cell r="I254" t="str">
            <v>HDC</v>
          </cell>
          <cell r="J254" t="str">
            <v>Eelgrass Restoration in PS</v>
          </cell>
          <cell r="K254" t="str">
            <v>DNR</v>
          </cell>
          <cell r="L254" t="str">
            <v>Aquatic Restoration Program</v>
          </cell>
          <cell r="O254" t="str">
            <v>PNNL</v>
          </cell>
          <cell r="P254" t="str">
            <v>IAA 12-317.1</v>
          </cell>
          <cell r="Q254" t="str">
            <v>Aston, L.A., A.B. Borde and J. Vavrinec. 2015. Final Summary Report - Eelgrass Restoration in Puget Sound Project Summary. Pacific Northwest National Laboratory, Richland, WA. PNNL-24445.</v>
          </cell>
          <cell r="R254" t="str">
            <v>test</v>
          </cell>
          <cell r="S254" t="str">
            <v>test</v>
          </cell>
          <cell r="T254">
            <v>41967</v>
          </cell>
          <cell r="U254">
            <v>47.797766666666668</v>
          </cell>
          <cell r="V254">
            <v>-122.84966666666666</v>
          </cell>
          <cell r="W254" t="str">
            <v>point</v>
          </cell>
          <cell r="X254" t="str">
            <v>retain</v>
          </cell>
          <cell r="Y254" t="str">
            <v>WGS84</v>
          </cell>
          <cell r="Z254">
            <v>-0.4</v>
          </cell>
          <cell r="AA254" t="str">
            <v>staple</v>
          </cell>
          <cell r="AB254">
            <v>5</v>
          </cell>
          <cell r="AC254">
            <v>5</v>
          </cell>
          <cell r="AD254">
            <v>25</v>
          </cell>
          <cell r="AE254">
            <v>25</v>
          </cell>
          <cell r="AF254">
            <v>0.625</v>
          </cell>
          <cell r="AG254">
            <v>125</v>
          </cell>
          <cell r="AH254">
            <v>500</v>
          </cell>
          <cell r="AI254">
            <v>20</v>
          </cell>
          <cell r="AJ254">
            <v>20</v>
          </cell>
          <cell r="AK254" t="str">
            <v>Quilcene Bay</v>
          </cell>
        </row>
        <row r="255">
          <cell r="B255" t="str">
            <v>Quilcene Delta - PNNL - Northern line test plot 1 (inshore) - 2016</v>
          </cell>
          <cell r="C255" t="str">
            <v>QLC_north1</v>
          </cell>
          <cell r="D255" t="str">
            <v>single</v>
          </cell>
          <cell r="E255">
            <v>2016</v>
          </cell>
          <cell r="F255" t="str">
            <v>Thom, RM, and L Hallum. 1990. Long‐term changes in the areal extent of tidal marshes, eelgrass meadows, and kelp forests of Puget Sound. FRI‐UW‐9008, Fisheries Research Institute, School of Fisheries, University of Washington, Seattle. Pp. 110.</v>
          </cell>
          <cell r="G255" t="str">
            <v>point</v>
          </cell>
          <cell r="H255" t="str">
            <v>Quilcene Bay</v>
          </cell>
          <cell r="I255" t="str">
            <v>HDC</v>
          </cell>
          <cell r="J255" t="str">
            <v>Puget Sound Eelgrass Restoration: 3 deltas</v>
          </cell>
          <cell r="K255" t="str">
            <v>USACE</v>
          </cell>
          <cell r="L255" t="str">
            <v>USACE</v>
          </cell>
          <cell r="M255" t="str">
            <v>W912DW-14-2-0009 (93-099566)</v>
          </cell>
          <cell r="N255" t="str">
            <v>IAA 15-45</v>
          </cell>
          <cell r="O255" t="str">
            <v>PNNL</v>
          </cell>
          <cell r="P255" t="str">
            <v>93-099661</v>
          </cell>
          <cell r="Q255"/>
          <cell r="R255" t="str">
            <v>test</v>
          </cell>
          <cell r="S255" t="str">
            <v>test</v>
          </cell>
          <cell r="T255">
            <v>42551</v>
          </cell>
          <cell r="U255">
            <v>47.799083333333336</v>
          </cell>
          <cell r="V255">
            <v>-122.84871666666666</v>
          </cell>
          <cell r="W255" t="str">
            <v>point?</v>
          </cell>
          <cell r="X255" t="str">
            <v>retain</v>
          </cell>
          <cell r="Y255" t="str">
            <v>WGS84</v>
          </cell>
          <cell r="Z255">
            <v>-1.6459200000000003</v>
          </cell>
          <cell r="AA255" t="str">
            <v>staple</v>
          </cell>
          <cell r="AB255">
            <v>2</v>
          </cell>
          <cell r="AC255">
            <v>2</v>
          </cell>
          <cell r="AD255">
            <v>4</v>
          </cell>
          <cell r="AE255">
            <v>4</v>
          </cell>
          <cell r="AF255">
            <v>0.3</v>
          </cell>
          <cell r="AG255">
            <v>60</v>
          </cell>
          <cell r="AH255">
            <v>240</v>
          </cell>
          <cell r="AI255">
            <v>60</v>
          </cell>
          <cell r="AJ255">
            <v>60</v>
          </cell>
          <cell r="AK255" t="str">
            <v>Quilcene Bay</v>
          </cell>
        </row>
        <row r="256">
          <cell r="B256" t="str">
            <v>Quilcene Delta - PNNL - Northern line test plot 2 - 2016</v>
          </cell>
          <cell r="C256" t="str">
            <v>QLC_north2</v>
          </cell>
          <cell r="D256" t="str">
            <v>single</v>
          </cell>
          <cell r="E256">
            <v>2016</v>
          </cell>
          <cell r="F256" t="str">
            <v>Thom, RM, and L Hallum. 1990. Long‐term changes in the areal extent of tidal marshes, eelgrass meadows, and kelp forests of Puget Sound. FRI‐UW‐9008, Fisheries Research Institute, School of Fisheries, University of Washington, Seattle. Pp. 110.</v>
          </cell>
          <cell r="G256" t="str">
            <v>point</v>
          </cell>
          <cell r="H256" t="str">
            <v>Quilcene Bay</v>
          </cell>
          <cell r="I256" t="str">
            <v>HDC</v>
          </cell>
          <cell r="J256" t="str">
            <v>Puget Sound Eelgrass Restoration: 3 deltas</v>
          </cell>
          <cell r="K256" t="str">
            <v>USACE</v>
          </cell>
          <cell r="L256" t="str">
            <v>USACE</v>
          </cell>
          <cell r="M256" t="str">
            <v>W912DW-14-2-0009 (93-099566)</v>
          </cell>
          <cell r="N256" t="str">
            <v>IAA 15-45</v>
          </cell>
          <cell r="O256" t="str">
            <v>PNNL</v>
          </cell>
          <cell r="P256" t="str">
            <v>93-099661</v>
          </cell>
          <cell r="Q256"/>
          <cell r="R256" t="str">
            <v>test</v>
          </cell>
          <cell r="S256" t="str">
            <v>test</v>
          </cell>
          <cell r="T256">
            <v>42551</v>
          </cell>
          <cell r="U256">
            <v>47.799149999999997</v>
          </cell>
          <cell r="V256">
            <v>-122.84875</v>
          </cell>
          <cell r="W256" t="str">
            <v>point?</v>
          </cell>
          <cell r="X256" t="str">
            <v>retain</v>
          </cell>
          <cell r="Y256" t="str">
            <v>WGS84</v>
          </cell>
          <cell r="Z256">
            <v>-1.7068799999999997</v>
          </cell>
          <cell r="AA256" t="str">
            <v>staple</v>
          </cell>
          <cell r="AB256">
            <v>2</v>
          </cell>
          <cell r="AC256">
            <v>2</v>
          </cell>
          <cell r="AD256">
            <v>4</v>
          </cell>
          <cell r="AE256">
            <v>4</v>
          </cell>
          <cell r="AF256">
            <v>0.3</v>
          </cell>
          <cell r="AG256">
            <v>60</v>
          </cell>
          <cell r="AH256">
            <v>240</v>
          </cell>
          <cell r="AI256">
            <v>60</v>
          </cell>
          <cell r="AJ256">
            <v>60</v>
          </cell>
          <cell r="AK256" t="str">
            <v>Quilcene Bay</v>
          </cell>
        </row>
        <row r="257">
          <cell r="B257" t="str">
            <v>Quilcene Delta - PNNL - Northern line test plot 3 (offshore) - 2016</v>
          </cell>
          <cell r="C257" t="str">
            <v>QLC_north3</v>
          </cell>
          <cell r="D257" t="str">
            <v>single</v>
          </cell>
          <cell r="E257">
            <v>2016</v>
          </cell>
          <cell r="F257" t="str">
            <v>Thom, RM, and L Hallum. 1990. Long‐term changes in the areal extent of tidal marshes, eelgrass meadows, and kelp forests of Puget Sound. FRI‐UW‐9008, Fisheries Research Institute, School of Fisheries, University of Washington, Seattle. Pp. 110.</v>
          </cell>
          <cell r="G257" t="str">
            <v>point</v>
          </cell>
          <cell r="H257" t="str">
            <v>Quilcene Bay</v>
          </cell>
          <cell r="I257" t="str">
            <v>HDC</v>
          </cell>
          <cell r="J257" t="str">
            <v>Puget Sound Eelgrass Restoration: 3 deltas</v>
          </cell>
          <cell r="K257" t="str">
            <v>USACE</v>
          </cell>
          <cell r="L257" t="str">
            <v>USACE</v>
          </cell>
          <cell r="M257" t="str">
            <v>W912DW-14-2-0009 (93-099566)</v>
          </cell>
          <cell r="N257" t="str">
            <v>IAA 15-45</v>
          </cell>
          <cell r="O257" t="str">
            <v>PNNL</v>
          </cell>
          <cell r="P257" t="str">
            <v>93-099661</v>
          </cell>
          <cell r="Q257"/>
          <cell r="R257" t="str">
            <v>test</v>
          </cell>
          <cell r="S257" t="str">
            <v>test</v>
          </cell>
          <cell r="T257">
            <v>42551</v>
          </cell>
          <cell r="U257">
            <v>47.799166666666665</v>
          </cell>
          <cell r="V257">
            <v>-122.8488</v>
          </cell>
          <cell r="W257" t="str">
            <v>point?</v>
          </cell>
          <cell r="X257" t="str">
            <v>retain</v>
          </cell>
          <cell r="Y257" t="str">
            <v>WGS84</v>
          </cell>
          <cell r="Z257"/>
          <cell r="AA257" t="str">
            <v>staple</v>
          </cell>
          <cell r="AB257">
            <v>2</v>
          </cell>
          <cell r="AC257">
            <v>2</v>
          </cell>
          <cell r="AD257">
            <v>4</v>
          </cell>
          <cell r="AE257">
            <v>4</v>
          </cell>
          <cell r="AF257">
            <v>0.3</v>
          </cell>
          <cell r="AG257">
            <v>60</v>
          </cell>
          <cell r="AH257">
            <v>240</v>
          </cell>
          <cell r="AI257">
            <v>60</v>
          </cell>
          <cell r="AJ257">
            <v>60</v>
          </cell>
          <cell r="AK257" t="str">
            <v>Quilcene Bay</v>
          </cell>
        </row>
        <row r="258">
          <cell r="B258" t="str">
            <v>Quilcene Delta - PNNL - Middle line test plot 1 (inshore) - 2016</v>
          </cell>
          <cell r="C258" t="str">
            <v>QLC_mid1</v>
          </cell>
          <cell r="D258" t="str">
            <v>single</v>
          </cell>
          <cell r="E258">
            <v>2016</v>
          </cell>
          <cell r="F258" t="str">
            <v>Thom, RM, and L Hallum. 1990. Long‐term changes in the areal extent of tidal marshes, eelgrass meadows, and kelp forests of Puget Sound. FRI‐UW‐9008, Fisheries Research Institute, School of Fisheries, University of Washington, Seattle. Pp. 110.</v>
          </cell>
          <cell r="G258" t="str">
            <v>point</v>
          </cell>
          <cell r="H258" t="str">
            <v>Quilcene Bay</v>
          </cell>
          <cell r="I258" t="str">
            <v>HDC</v>
          </cell>
          <cell r="J258" t="str">
            <v>Puget Sound Eelgrass Restoration: 3 deltas</v>
          </cell>
          <cell r="K258" t="str">
            <v>USACE</v>
          </cell>
          <cell r="L258" t="str">
            <v>USACE</v>
          </cell>
          <cell r="M258" t="str">
            <v>W912DW-14-2-0009 (93-099566)</v>
          </cell>
          <cell r="N258" t="str">
            <v>IAA 15-45</v>
          </cell>
          <cell r="O258" t="str">
            <v>PNNL</v>
          </cell>
          <cell r="P258" t="str">
            <v>93-099661</v>
          </cell>
          <cell r="Q258"/>
          <cell r="R258" t="str">
            <v>test</v>
          </cell>
          <cell r="S258" t="str">
            <v>test</v>
          </cell>
          <cell r="T258">
            <v>42551</v>
          </cell>
          <cell r="U258">
            <v>47.798033333333336</v>
          </cell>
          <cell r="V258">
            <v>-122.84951666666667</v>
          </cell>
          <cell r="W258" t="str">
            <v>point?</v>
          </cell>
          <cell r="X258" t="str">
            <v>retain</v>
          </cell>
          <cell r="Y258" t="str">
            <v>WGS84</v>
          </cell>
          <cell r="Z258">
            <v>-1.4325600000000001</v>
          </cell>
          <cell r="AA258" t="str">
            <v>staple</v>
          </cell>
          <cell r="AB258">
            <v>2</v>
          </cell>
          <cell r="AC258">
            <v>2</v>
          </cell>
          <cell r="AD258">
            <v>4</v>
          </cell>
          <cell r="AE258">
            <v>4</v>
          </cell>
          <cell r="AF258">
            <v>0.3</v>
          </cell>
          <cell r="AG258">
            <v>60</v>
          </cell>
          <cell r="AH258">
            <v>240</v>
          </cell>
          <cell r="AI258">
            <v>60</v>
          </cell>
          <cell r="AJ258">
            <v>60</v>
          </cell>
          <cell r="AK258" t="str">
            <v>Quilcene Bay</v>
          </cell>
        </row>
        <row r="259">
          <cell r="B259" t="str">
            <v>Quilcene Delta - PNNL - Middle line test plot 2 - 2016</v>
          </cell>
          <cell r="C259" t="str">
            <v>QLC_mid2</v>
          </cell>
          <cell r="D259" t="str">
            <v>single</v>
          </cell>
          <cell r="E259">
            <v>2016</v>
          </cell>
          <cell r="F259" t="str">
            <v>Thom, RM, and L Hallum. 1990. Long‐term changes in the areal extent of tidal marshes, eelgrass meadows, and kelp forests of Puget Sound. FRI‐UW‐9008, Fisheries Research Institute, School of Fisheries, University of Washington, Seattle. Pp. 110.</v>
          </cell>
          <cell r="G259" t="str">
            <v>point</v>
          </cell>
          <cell r="H259" t="str">
            <v>Quilcene Bay</v>
          </cell>
          <cell r="I259" t="str">
            <v>HDC</v>
          </cell>
          <cell r="J259" t="str">
            <v>Puget Sound Eelgrass Restoration: 3 deltas</v>
          </cell>
          <cell r="K259" t="str">
            <v>USACE</v>
          </cell>
          <cell r="L259" t="str">
            <v>USACE</v>
          </cell>
          <cell r="M259" t="str">
            <v>W912DW-14-2-0009 (93-099566)</v>
          </cell>
          <cell r="N259" t="str">
            <v>IAA 15-45</v>
          </cell>
          <cell r="O259" t="str">
            <v>PNNL</v>
          </cell>
          <cell r="P259" t="str">
            <v>93-099661</v>
          </cell>
          <cell r="Q259"/>
          <cell r="R259" t="str">
            <v>test</v>
          </cell>
          <cell r="S259" t="str">
            <v>test</v>
          </cell>
          <cell r="T259">
            <v>42551</v>
          </cell>
          <cell r="U259">
            <v>47.798083333333331</v>
          </cell>
          <cell r="V259">
            <v>-122.84958333333333</v>
          </cell>
          <cell r="W259" t="str">
            <v>point?</v>
          </cell>
          <cell r="X259" t="str">
            <v>retain</v>
          </cell>
          <cell r="Y259" t="str">
            <v>WGS84</v>
          </cell>
          <cell r="Z259">
            <v>-1.7983199999999999</v>
          </cell>
          <cell r="AA259" t="str">
            <v>staple</v>
          </cell>
          <cell r="AB259">
            <v>2</v>
          </cell>
          <cell r="AC259">
            <v>2</v>
          </cell>
          <cell r="AD259">
            <v>4</v>
          </cell>
          <cell r="AE259">
            <v>4</v>
          </cell>
          <cell r="AF259">
            <v>0.3</v>
          </cell>
          <cell r="AG259">
            <v>60</v>
          </cell>
          <cell r="AH259">
            <v>240</v>
          </cell>
          <cell r="AI259">
            <v>60</v>
          </cell>
          <cell r="AJ259">
            <v>60</v>
          </cell>
          <cell r="AK259" t="str">
            <v>Quilcene Bay</v>
          </cell>
        </row>
        <row r="260">
          <cell r="B260" t="str">
            <v>Quilcene Delta - PNNL - Middle line test plot 3 (offshore) - 2016</v>
          </cell>
          <cell r="C260" t="str">
            <v>QLC_mid3</v>
          </cell>
          <cell r="D260" t="str">
            <v>single</v>
          </cell>
          <cell r="E260">
            <v>2016</v>
          </cell>
          <cell r="F260" t="str">
            <v>Thom, RM, and L Hallum. 1990. Long‐term changes in the areal extent of tidal marshes, eelgrass meadows, and kelp forests of Puget Sound. FRI‐UW‐9008, Fisheries Research Institute, School of Fisheries, University of Washington, Seattle. Pp. 110.</v>
          </cell>
          <cell r="G260" t="str">
            <v>point</v>
          </cell>
          <cell r="H260" t="str">
            <v>Quilcene Bay</v>
          </cell>
          <cell r="I260" t="str">
            <v>HDC</v>
          </cell>
          <cell r="J260" t="str">
            <v>Puget Sound Eelgrass Restoration: 3 deltas</v>
          </cell>
          <cell r="K260" t="str">
            <v>USACE</v>
          </cell>
          <cell r="L260" t="str">
            <v>USACE</v>
          </cell>
          <cell r="M260" t="str">
            <v>W912DW-14-2-0009 (93-099566)</v>
          </cell>
          <cell r="N260" t="str">
            <v>IAA 15-45</v>
          </cell>
          <cell r="O260" t="str">
            <v>PNNL</v>
          </cell>
          <cell r="P260" t="str">
            <v>93-099661</v>
          </cell>
          <cell r="Q260"/>
          <cell r="R260" t="str">
            <v>test</v>
          </cell>
          <cell r="S260" t="str">
            <v>test</v>
          </cell>
          <cell r="T260">
            <v>42551</v>
          </cell>
          <cell r="U260">
            <v>47.798116666666665</v>
          </cell>
          <cell r="V260">
            <v>-122.8496</v>
          </cell>
          <cell r="W260" t="str">
            <v>point?</v>
          </cell>
          <cell r="X260" t="str">
            <v>retain</v>
          </cell>
          <cell r="Y260" t="str">
            <v>WGS84</v>
          </cell>
          <cell r="Z260">
            <v>-2.1335999999999999</v>
          </cell>
          <cell r="AA260" t="str">
            <v>staple</v>
          </cell>
          <cell r="AB260">
            <v>2</v>
          </cell>
          <cell r="AC260">
            <v>2</v>
          </cell>
          <cell r="AD260">
            <v>4</v>
          </cell>
          <cell r="AE260">
            <v>4</v>
          </cell>
          <cell r="AF260">
            <v>0.3</v>
          </cell>
          <cell r="AG260">
            <v>60</v>
          </cell>
          <cell r="AH260">
            <v>240</v>
          </cell>
          <cell r="AI260">
            <v>60</v>
          </cell>
          <cell r="AJ260">
            <v>60</v>
          </cell>
          <cell r="AK260" t="str">
            <v>Quilcene Bay</v>
          </cell>
        </row>
        <row r="261">
          <cell r="B261" t="str">
            <v>Quilcene Delta - PNNL - Southern line test plot 1 (inshore) - 2016</v>
          </cell>
          <cell r="C261" t="str">
            <v>QLC_south1</v>
          </cell>
          <cell r="D261" t="str">
            <v>single</v>
          </cell>
          <cell r="E261">
            <v>2016</v>
          </cell>
          <cell r="F261" t="str">
            <v>Thom, RM, and L Hallum. 1990. Long‐term changes in the areal extent of tidal marshes, eelgrass meadows, and kelp forests of Puget Sound. FRI‐UW‐9008, Fisheries Research Institute, School of Fisheries, University of Washington, Seattle. Pp. 110.</v>
          </cell>
          <cell r="G261" t="str">
            <v>point</v>
          </cell>
          <cell r="H261" t="str">
            <v>Quilcene Bay</v>
          </cell>
          <cell r="I261" t="str">
            <v>HDC</v>
          </cell>
          <cell r="J261" t="str">
            <v>Puget Sound Eelgrass Restoration: 3 deltas</v>
          </cell>
          <cell r="K261" t="str">
            <v>USACE</v>
          </cell>
          <cell r="L261" t="str">
            <v>USACE</v>
          </cell>
          <cell r="M261" t="str">
            <v>W912DW-14-2-0009 (93-099566)</v>
          </cell>
          <cell r="N261" t="str">
            <v>IAA 15-45</v>
          </cell>
          <cell r="O261" t="str">
            <v>PNNL</v>
          </cell>
          <cell r="P261" t="str">
            <v>93-099661</v>
          </cell>
          <cell r="Q261"/>
          <cell r="R261" t="str">
            <v>test</v>
          </cell>
          <cell r="S261" t="str">
            <v>test</v>
          </cell>
          <cell r="T261">
            <v>42551</v>
          </cell>
          <cell r="U261">
            <v>47.79665</v>
          </cell>
          <cell r="V261">
            <v>-122.8501333</v>
          </cell>
          <cell r="W261" t="str">
            <v>point?</v>
          </cell>
          <cell r="X261" t="str">
            <v>retain</v>
          </cell>
          <cell r="Y261" t="str">
            <v>WGS84</v>
          </cell>
          <cell r="Z261">
            <v>-1.1582399999999999</v>
          </cell>
          <cell r="AA261" t="str">
            <v>staple</v>
          </cell>
          <cell r="AB261">
            <v>2</v>
          </cell>
          <cell r="AC261">
            <v>2</v>
          </cell>
          <cell r="AD261">
            <v>4</v>
          </cell>
          <cell r="AE261">
            <v>4</v>
          </cell>
          <cell r="AF261">
            <v>0.3</v>
          </cell>
          <cell r="AG261">
            <v>60</v>
          </cell>
          <cell r="AH261">
            <v>240</v>
          </cell>
          <cell r="AI261">
            <v>60</v>
          </cell>
          <cell r="AJ261">
            <v>60</v>
          </cell>
          <cell r="AK261" t="str">
            <v>Quilcene Bay</v>
          </cell>
        </row>
        <row r="262">
          <cell r="B262" t="str">
            <v>Quilcene Delta - PNNL - Southern line test plot 2 - 2016</v>
          </cell>
          <cell r="C262" t="str">
            <v>QLC_south2</v>
          </cell>
          <cell r="D262" t="str">
            <v>single</v>
          </cell>
          <cell r="E262">
            <v>2016</v>
          </cell>
          <cell r="F262" t="str">
            <v>Thom, RM, and L Hallum. 1990. Long‐term changes in the areal extent of tidal marshes, eelgrass meadows, and kelp forests of Puget Sound. FRI‐UW‐9008, Fisheries Research Institute, School of Fisheries, University of Washington, Seattle. Pp. 110.</v>
          </cell>
          <cell r="G262" t="str">
            <v>point</v>
          </cell>
          <cell r="H262" t="str">
            <v>Quilcene Bay</v>
          </cell>
          <cell r="I262" t="str">
            <v>HDC</v>
          </cell>
          <cell r="J262" t="str">
            <v>Puget Sound Eelgrass Restoration: 3 deltas</v>
          </cell>
          <cell r="K262" t="str">
            <v>USACE</v>
          </cell>
          <cell r="L262" t="str">
            <v>USACE</v>
          </cell>
          <cell r="M262" t="str">
            <v>W912DW-14-2-0009 (93-099566)</v>
          </cell>
          <cell r="N262" t="str">
            <v>IAA 15-45</v>
          </cell>
          <cell r="O262" t="str">
            <v>PNNL</v>
          </cell>
          <cell r="P262" t="str">
            <v>93-099661</v>
          </cell>
          <cell r="Q262"/>
          <cell r="R262" t="str">
            <v>test</v>
          </cell>
          <cell r="S262" t="str">
            <v>test</v>
          </cell>
          <cell r="T262">
            <v>42551</v>
          </cell>
          <cell r="U262">
            <v>47.79668333</v>
          </cell>
          <cell r="V262">
            <v>-122.8502</v>
          </cell>
          <cell r="W262" t="str">
            <v>point?</v>
          </cell>
          <cell r="X262" t="str">
            <v>retain</v>
          </cell>
          <cell r="Y262" t="str">
            <v>WGS84</v>
          </cell>
          <cell r="Z262">
            <v>-1.4630399999999999</v>
          </cell>
          <cell r="AA262" t="str">
            <v>staple</v>
          </cell>
          <cell r="AB262">
            <v>2</v>
          </cell>
          <cell r="AC262">
            <v>2</v>
          </cell>
          <cell r="AD262">
            <v>4</v>
          </cell>
          <cell r="AE262">
            <v>4</v>
          </cell>
          <cell r="AF262">
            <v>0.3</v>
          </cell>
          <cell r="AG262">
            <v>60</v>
          </cell>
          <cell r="AH262">
            <v>240</v>
          </cell>
          <cell r="AI262">
            <v>60</v>
          </cell>
          <cell r="AJ262">
            <v>60</v>
          </cell>
          <cell r="AK262" t="str">
            <v>Quilcene Bay</v>
          </cell>
        </row>
        <row r="263">
          <cell r="B263" t="str">
            <v>Quilcene Delta - PNNL - Southern line test plot 3 (offshore) - 2016</v>
          </cell>
          <cell r="C263" t="str">
            <v>QLC_south3</v>
          </cell>
          <cell r="D263" t="str">
            <v>single</v>
          </cell>
          <cell r="E263">
            <v>2016</v>
          </cell>
          <cell r="F263" t="str">
            <v>Thom, RM, and L Hallum. 1990. Long‐term changes in the areal extent of tidal marshes, eelgrass meadows, and kelp forests of Puget Sound. FRI‐UW‐9008, Fisheries Research Institute, School of Fisheries, University of Washington, Seattle. Pp. 110.</v>
          </cell>
          <cell r="G263" t="str">
            <v>point</v>
          </cell>
          <cell r="H263" t="str">
            <v>Quilcene Bay</v>
          </cell>
          <cell r="I263" t="str">
            <v>HDC</v>
          </cell>
          <cell r="J263" t="str">
            <v>Puget Sound Eelgrass Restoration: 3 deltas</v>
          </cell>
          <cell r="K263" t="str">
            <v>USACE</v>
          </cell>
          <cell r="L263" t="str">
            <v>USACE</v>
          </cell>
          <cell r="M263" t="str">
            <v>W912DW-14-2-0009 (93-099566)</v>
          </cell>
          <cell r="N263" t="str">
            <v>IAA 15-45</v>
          </cell>
          <cell r="O263" t="str">
            <v>PNNL</v>
          </cell>
          <cell r="P263" t="str">
            <v>93-099661</v>
          </cell>
          <cell r="Q263"/>
          <cell r="R263" t="str">
            <v>test</v>
          </cell>
          <cell r="S263" t="str">
            <v>test</v>
          </cell>
          <cell r="T263">
            <v>42551</v>
          </cell>
          <cell r="U263">
            <v>47.79668333</v>
          </cell>
          <cell r="V263">
            <v>-122.8502333</v>
          </cell>
          <cell r="W263" t="str">
            <v>point?</v>
          </cell>
          <cell r="X263" t="str">
            <v>retain</v>
          </cell>
          <cell r="Y263" t="str">
            <v>WGS84</v>
          </cell>
          <cell r="Z263">
            <v>-2.0726399999999998</v>
          </cell>
          <cell r="AA263" t="str">
            <v>staple</v>
          </cell>
          <cell r="AB263">
            <v>2</v>
          </cell>
          <cell r="AC263">
            <v>2</v>
          </cell>
          <cell r="AD263">
            <v>4</v>
          </cell>
          <cell r="AE263">
            <v>4</v>
          </cell>
          <cell r="AF263">
            <v>0.3</v>
          </cell>
          <cell r="AG263">
            <v>60</v>
          </cell>
          <cell r="AH263">
            <v>240</v>
          </cell>
          <cell r="AI263">
            <v>60</v>
          </cell>
          <cell r="AJ263">
            <v>60</v>
          </cell>
          <cell r="AK263" t="str">
            <v>Quilcene Bay</v>
          </cell>
        </row>
        <row r="264">
          <cell r="B264" t="str">
            <v>Shine Beach - Squamish Harbor - DNR - test 1 - 2023</v>
          </cell>
          <cell r="C264" t="str">
            <v>SHB_1</v>
          </cell>
          <cell r="D264" t="str">
            <v>single</v>
          </cell>
          <cell r="E264">
            <v>2023</v>
          </cell>
          <cell r="G264" t="str">
            <v>point</v>
          </cell>
          <cell r="H264" t="str">
            <v>Squamish Harbor</v>
          </cell>
          <cell r="I264" t="str">
            <v>HDC</v>
          </cell>
          <cell r="R264" t="str">
            <v>test</v>
          </cell>
          <cell r="S264" t="str">
            <v>test</v>
          </cell>
          <cell r="T264">
            <v>45081</v>
          </cell>
          <cell r="U264">
            <v>47.866653999999997</v>
          </cell>
          <cell r="V264">
            <v>-122.67272</v>
          </cell>
          <cell r="W264" t="str">
            <v>point</v>
          </cell>
          <cell r="X264" t="str">
            <v>retain</v>
          </cell>
          <cell r="Y264" t="str">
            <v>WGS84</v>
          </cell>
          <cell r="Z264">
            <v>-0.5</v>
          </cell>
          <cell r="AA264" t="str">
            <v>rebar</v>
          </cell>
          <cell r="AD264">
            <v>0</v>
          </cell>
          <cell r="AE264">
            <v>2.25</v>
          </cell>
          <cell r="AF264">
            <v>0.22500000000000001</v>
          </cell>
          <cell r="AG264">
            <v>9</v>
          </cell>
          <cell r="AI264" t="str">
            <v/>
          </cell>
          <cell r="AJ264">
            <v>0</v>
          </cell>
          <cell r="AK264" t="str">
            <v>Shine Beach</v>
          </cell>
        </row>
        <row r="265">
          <cell r="B265" t="str">
            <v>Skagit Delta - PNNL - test - 1 - 2016</v>
          </cell>
          <cell r="C265" t="str">
            <v>SKG_1</v>
          </cell>
          <cell r="D265" t="str">
            <v>single</v>
          </cell>
          <cell r="E265">
            <v>2016</v>
          </cell>
          <cell r="F265" t="str">
            <v>Thom, RM, and L Hallum. 1990. Long‐term changes in the areal extent of tidal marshes, eelgrass meadows, and kelp forests of Puget Sound. FRI‐UW‐9008, Fisheries Research Institute, School of Fisheries, University of Washington, Seattle. Pp. 110.
SVMP Program</v>
          </cell>
          <cell r="G265" t="str">
            <v>point</v>
          </cell>
          <cell r="H265" t="str">
            <v xml:space="preserve">Skagit Bay </v>
          </cell>
          <cell r="I265" t="str">
            <v>SWH</v>
          </cell>
          <cell r="J265" t="str">
            <v>Puget Sound Eelgrass Restoration: 3 deltas</v>
          </cell>
          <cell r="K265" t="str">
            <v>USACE</v>
          </cell>
          <cell r="L265" t="str">
            <v>USACE</v>
          </cell>
          <cell r="M265" t="str">
            <v>W912DW-14-2-0009 (93-099566)</v>
          </cell>
          <cell r="N265" t="str">
            <v>IAA 15-45</v>
          </cell>
          <cell r="O265" t="str">
            <v>PNNL</v>
          </cell>
          <cell r="P265" t="str">
            <v>93-099661</v>
          </cell>
          <cell r="Q265"/>
          <cell r="R265" t="str">
            <v>test</v>
          </cell>
          <cell r="S265" t="str">
            <v>test</v>
          </cell>
          <cell r="T265">
            <v>42621</v>
          </cell>
          <cell r="U265">
            <v>48.347106666666669</v>
          </cell>
          <cell r="V265">
            <v>-122.54136666666666</v>
          </cell>
          <cell r="W265" t="str">
            <v>point</v>
          </cell>
          <cell r="X265" t="str">
            <v>retain</v>
          </cell>
          <cell r="Y265" t="str">
            <v>WGS84</v>
          </cell>
          <cell r="Z265">
            <v>-0.70104000000000022</v>
          </cell>
          <cell r="AA265" t="str">
            <v>rebar</v>
          </cell>
          <cell r="AB265">
            <v>2</v>
          </cell>
          <cell r="AC265">
            <v>2</v>
          </cell>
          <cell r="AD265">
            <v>4</v>
          </cell>
          <cell r="AE265">
            <v>5</v>
          </cell>
          <cell r="AF265">
            <v>0.5</v>
          </cell>
          <cell r="AG265">
            <v>20</v>
          </cell>
          <cell r="AH265">
            <v>500</v>
          </cell>
          <cell r="AI265">
            <v>125</v>
          </cell>
          <cell r="AJ265">
            <v>100</v>
          </cell>
          <cell r="AK265" t="str">
            <v>Skagit Bay</v>
          </cell>
          <cell r="AL265" t="str">
            <v>screw anchors 3 meters apart</v>
          </cell>
        </row>
        <row r="266">
          <cell r="B266" t="str">
            <v>Skagit Delta - PNNL - test - 2 - 2016</v>
          </cell>
          <cell r="C266" t="str">
            <v>SKG_2</v>
          </cell>
          <cell r="D266" t="str">
            <v>single</v>
          </cell>
          <cell r="E266">
            <v>2016</v>
          </cell>
          <cell r="F266" t="str">
            <v>Thom, RM, and L Hallum. 1990. Long‐term changes in the areal extent of tidal marshes, eelgrass meadows, and kelp forests of Puget Sound. FRI‐UW‐9008, Fisheries Research Institute, School of Fisheries, University of Washington, Seattle. Pp. 110.
SVMP Program</v>
          </cell>
          <cell r="G266" t="str">
            <v>point</v>
          </cell>
          <cell r="H266" t="str">
            <v xml:space="preserve">Skagit Bay </v>
          </cell>
          <cell r="I266" t="str">
            <v>SWH</v>
          </cell>
          <cell r="J266" t="str">
            <v>Puget Sound Eelgrass Restoration: 3 deltas</v>
          </cell>
          <cell r="K266" t="str">
            <v>USACE</v>
          </cell>
          <cell r="L266" t="str">
            <v>USACE</v>
          </cell>
          <cell r="M266" t="str">
            <v>W912DW-14-2-0009 (93-099566)</v>
          </cell>
          <cell r="N266" t="str">
            <v>IAA 15-45</v>
          </cell>
          <cell r="O266" t="str">
            <v>PNNL</v>
          </cell>
          <cell r="P266" t="str">
            <v>93-099661</v>
          </cell>
          <cell r="Q266"/>
          <cell r="R266" t="str">
            <v>test</v>
          </cell>
          <cell r="S266" t="str">
            <v>test</v>
          </cell>
          <cell r="T266">
            <v>42621</v>
          </cell>
          <cell r="U266">
            <v>48.347566666666665</v>
          </cell>
          <cell r="V266">
            <v>-122.54205</v>
          </cell>
          <cell r="W266" t="str">
            <v>point</v>
          </cell>
          <cell r="X266" t="str">
            <v>retain</v>
          </cell>
          <cell r="Y266" t="str">
            <v>WGS84</v>
          </cell>
          <cell r="Z266">
            <v>-0.70104000000000022</v>
          </cell>
          <cell r="AA266" t="str">
            <v>rebar</v>
          </cell>
          <cell r="AB266">
            <v>2</v>
          </cell>
          <cell r="AC266">
            <v>2</v>
          </cell>
          <cell r="AD266">
            <v>4</v>
          </cell>
          <cell r="AE266">
            <v>5</v>
          </cell>
          <cell r="AF266">
            <v>0.5</v>
          </cell>
          <cell r="AG266">
            <v>20</v>
          </cell>
          <cell r="AH266">
            <v>500</v>
          </cell>
          <cell r="AI266">
            <v>125</v>
          </cell>
          <cell r="AJ266">
            <v>100</v>
          </cell>
          <cell r="AK266" t="str">
            <v>Skagit Bay</v>
          </cell>
          <cell r="AL266" t="str">
            <v>screw anchors 2 meters apart</v>
          </cell>
        </row>
        <row r="267">
          <cell r="B267" t="str">
            <v>Skagit Delta - PNNL - test - 5 - 2016</v>
          </cell>
          <cell r="C267" t="str">
            <v>SKG_5</v>
          </cell>
          <cell r="D267" t="str">
            <v>single</v>
          </cell>
          <cell r="E267">
            <v>2016</v>
          </cell>
          <cell r="F267" t="str">
            <v>Thom, RM, and L Hallum. 1990. Long‐term changes in the areal extent of tidal marshes, eelgrass meadows, and kelp forests of Puget Sound. FRI‐UW‐9008, Fisheries Research Institute, School of Fisheries, University of Washington, Seattle. Pp. 110.
SVMP Program</v>
          </cell>
          <cell r="G267" t="str">
            <v>point</v>
          </cell>
          <cell r="H267" t="str">
            <v xml:space="preserve">Skagit Bay </v>
          </cell>
          <cell r="I267" t="str">
            <v>SWH</v>
          </cell>
          <cell r="J267" t="str">
            <v>Puget Sound Eelgrass Restoration: 3 deltas</v>
          </cell>
          <cell r="K267" t="str">
            <v>USACE</v>
          </cell>
          <cell r="L267" t="str">
            <v>USACE</v>
          </cell>
          <cell r="M267" t="str">
            <v>W912DW-14-2-0009 (93-099566)</v>
          </cell>
          <cell r="N267" t="str">
            <v>IAA 15-45</v>
          </cell>
          <cell r="O267" t="str">
            <v>PNNL</v>
          </cell>
          <cell r="P267" t="str">
            <v>93-099661</v>
          </cell>
          <cell r="Q267"/>
          <cell r="R267" t="str">
            <v>test</v>
          </cell>
          <cell r="S267" t="str">
            <v>test</v>
          </cell>
          <cell r="T267">
            <v>42622</v>
          </cell>
          <cell r="U267">
            <v>48.348199999999999</v>
          </cell>
          <cell r="V267">
            <v>-122.54325</v>
          </cell>
          <cell r="W267" t="str">
            <v>point</v>
          </cell>
          <cell r="X267" t="str">
            <v>retain</v>
          </cell>
          <cell r="Y267" t="str">
            <v>WGS84</v>
          </cell>
          <cell r="Z267">
            <v>-0.4267200000000001</v>
          </cell>
          <cell r="AA267" t="str">
            <v>rebar</v>
          </cell>
          <cell r="AB267">
            <v>1.5</v>
          </cell>
          <cell r="AC267">
            <v>2</v>
          </cell>
          <cell r="AD267">
            <v>3</v>
          </cell>
          <cell r="AE267">
            <v>4</v>
          </cell>
          <cell r="AF267">
            <v>0.4</v>
          </cell>
          <cell r="AG267">
            <v>16</v>
          </cell>
          <cell r="AH267">
            <v>400</v>
          </cell>
          <cell r="AI267">
            <v>133.33333333333334</v>
          </cell>
          <cell r="AJ267">
            <v>100</v>
          </cell>
          <cell r="AK267" t="str">
            <v>Skagit Bay</v>
          </cell>
          <cell r="AL267" t="str">
            <v>screw anchors 1.5 meters apart</v>
          </cell>
        </row>
        <row r="268">
          <cell r="B268" t="str">
            <v>Skagit Delta - PNNL - test - 6 - 2016</v>
          </cell>
          <cell r="C268" t="str">
            <v>SKG_6</v>
          </cell>
          <cell r="D268" t="str">
            <v>single</v>
          </cell>
          <cell r="E268">
            <v>2016</v>
          </cell>
          <cell r="F268" t="str">
            <v>Thom, RM, and L Hallum. 1990. Long‐term changes in the areal extent of tidal marshes, eelgrass meadows, and kelp forests of Puget Sound. FRI‐UW‐9008, Fisheries Research Institute, School of Fisheries, University of Washington, Seattle. Pp. 110.
SVMP Program</v>
          </cell>
          <cell r="G268" t="str">
            <v>point</v>
          </cell>
          <cell r="H268" t="str">
            <v xml:space="preserve">Skagit Bay </v>
          </cell>
          <cell r="I268" t="str">
            <v>SWH</v>
          </cell>
          <cell r="J268" t="str">
            <v>Puget Sound Eelgrass Restoration: 3 deltas</v>
          </cell>
          <cell r="K268" t="str">
            <v>USACE</v>
          </cell>
          <cell r="L268" t="str">
            <v>USACE</v>
          </cell>
          <cell r="M268" t="str">
            <v>W912DW-14-2-0009 (93-099566)</v>
          </cell>
          <cell r="N268" t="str">
            <v>IAA 15-45</v>
          </cell>
          <cell r="O268" t="str">
            <v>PNNL</v>
          </cell>
          <cell r="P268" t="str">
            <v>93-099661</v>
          </cell>
          <cell r="Q268"/>
          <cell r="R268" t="str">
            <v>test</v>
          </cell>
          <cell r="S268" t="str">
            <v>test</v>
          </cell>
          <cell r="T268">
            <v>42622</v>
          </cell>
          <cell r="U268">
            <v>48.348199999999999</v>
          </cell>
          <cell r="V268">
            <v>-122.54381666666667</v>
          </cell>
          <cell r="W268" t="str">
            <v>point</v>
          </cell>
          <cell r="X268" t="str">
            <v>retain</v>
          </cell>
          <cell r="Y268" t="str">
            <v>WGS84</v>
          </cell>
          <cell r="Z268">
            <v>-0.51816000000000006</v>
          </cell>
          <cell r="AA268" t="str">
            <v>rebar</v>
          </cell>
          <cell r="AB268">
            <v>1.5</v>
          </cell>
          <cell r="AC268">
            <v>2</v>
          </cell>
          <cell r="AD268">
            <v>3</v>
          </cell>
          <cell r="AE268">
            <v>4</v>
          </cell>
          <cell r="AF268">
            <v>0.4</v>
          </cell>
          <cell r="AG268">
            <v>16</v>
          </cell>
          <cell r="AH268">
            <v>400</v>
          </cell>
          <cell r="AI268">
            <v>133.33333333333334</v>
          </cell>
          <cell r="AJ268">
            <v>100</v>
          </cell>
          <cell r="AK268" t="str">
            <v>Skagit Bay</v>
          </cell>
          <cell r="AL268" t="str">
            <v>screw anchors 1.5 meters apart</v>
          </cell>
        </row>
        <row r="269">
          <cell r="B269" t="str">
            <v>Stretch Island - PNNL - test - 2015</v>
          </cell>
          <cell r="C269" t="str">
            <v>STI</v>
          </cell>
          <cell r="D269" t="str">
            <v>single</v>
          </cell>
          <cell r="E269">
            <v>2015</v>
          </cell>
          <cell r="G269" t="str">
            <v>point</v>
          </cell>
          <cell r="H269" t="str">
            <v>Case Inlet</v>
          </cell>
          <cell r="I269" t="str">
            <v>CPS</v>
          </cell>
          <cell r="J269" t="str">
            <v>Eelgrass Restoration in PS</v>
          </cell>
          <cell r="K269" t="str">
            <v>DNR</v>
          </cell>
          <cell r="L269" t="str">
            <v>Aquatic Restoration Program</v>
          </cell>
          <cell r="O269" t="str">
            <v>PNNL</v>
          </cell>
          <cell r="P269" t="str">
            <v>IAA 12-317.1</v>
          </cell>
          <cell r="Q269" t="str">
            <v>Aston, L.A., A.B. Borde and J. Vavrinec. 2015. Final Summary Report - Eelgrass Restoration in Puget Sound Project Summary. Pacific Northwest National Laboratory, Richland, WA. PNNL-24445.</v>
          </cell>
          <cell r="R269" t="str">
            <v>test</v>
          </cell>
          <cell r="S269" t="str">
            <v>test</v>
          </cell>
          <cell r="T269">
            <v>42075</v>
          </cell>
          <cell r="U269">
            <v>47.320098000000002</v>
          </cell>
          <cell r="V269">
            <v>-122.831565</v>
          </cell>
          <cell r="W269" t="str">
            <v>point</v>
          </cell>
          <cell r="X269" t="str">
            <v>retain</v>
          </cell>
          <cell r="Y269" t="str">
            <v>WGS84</v>
          </cell>
          <cell r="Z269">
            <v>-1.0668</v>
          </cell>
          <cell r="AA269" t="str">
            <v>staple</v>
          </cell>
          <cell r="AB269">
            <v>5</v>
          </cell>
          <cell r="AC269">
            <v>5</v>
          </cell>
          <cell r="AD269">
            <v>25</v>
          </cell>
          <cell r="AE269">
            <v>25</v>
          </cell>
          <cell r="AF269">
            <v>0.625</v>
          </cell>
          <cell r="AG269">
            <v>125</v>
          </cell>
          <cell r="AH269">
            <v>500</v>
          </cell>
          <cell r="AI269">
            <v>20</v>
          </cell>
          <cell r="AJ269">
            <v>20</v>
          </cell>
          <cell r="AK269" t="str">
            <v>Windy Bluff</v>
          </cell>
          <cell r="AL269" t="str">
            <v>"mega"-bundles were planted with 260 shoots on 26 staples outside of the plot 4 m west of the SW corner, at -1.5m, MLLW</v>
          </cell>
        </row>
        <row r="270">
          <cell r="B270" t="str">
            <v>Taylor Bay North - HC - test - 2016</v>
          </cell>
          <cell r="C270" t="str">
            <v>TAY_L1</v>
          </cell>
          <cell r="D270" t="str">
            <v>single</v>
          </cell>
          <cell r="E270">
            <v>2016</v>
          </cell>
          <cell r="G270" t="str">
            <v>line</v>
          </cell>
          <cell r="H270" t="str">
            <v>Case Inlet</v>
          </cell>
          <cell r="I270" t="str">
            <v>CPS</v>
          </cell>
          <cell r="J270" t="str">
            <v>Eelgrass Restoration in Puget Sound</v>
          </cell>
          <cell r="K270" t="str">
            <v>WDFW</v>
          </cell>
          <cell r="L270" t="str">
            <v>National Estuary Program</v>
          </cell>
          <cell r="M270" t="str">
            <v>14-02072</v>
          </cell>
          <cell r="N270" t="str">
            <v xml:space="preserve"> IAA 15-110</v>
          </cell>
          <cell r="O270" t="str">
            <v>Hart Crowser</v>
          </cell>
          <cell r="P270" t="str">
            <v>SC 16-17</v>
          </cell>
          <cell r="Q270" t="str">
            <v>Shannon, J., J. Blanchette and J. Gaeckle. 2018. Eelgrass (Zostera marina) Restoration in Puget Sound, WA. Final Restoration and Monitoring Report (12059-05) for US EPA, Hart Crowser, Edmonds, WA. Pp. 131.</v>
          </cell>
          <cell r="R270" t="str">
            <v>test</v>
          </cell>
          <cell r="S270" t="str">
            <v>test</v>
          </cell>
          <cell r="T270">
            <v>42509</v>
          </cell>
          <cell r="U270">
            <v>47.183090558333333</v>
          </cell>
          <cell r="V270">
            <v>-122.77779399444445</v>
          </cell>
          <cell r="W270" t="str">
            <v>line?</v>
          </cell>
          <cell r="X270" t="str">
            <v>retain</v>
          </cell>
          <cell r="Y270" t="str">
            <v>WGS84</v>
          </cell>
          <cell r="Z270">
            <v>-2</v>
          </cell>
          <cell r="AA270" t="str">
            <v>burlap</v>
          </cell>
          <cell r="AB270">
            <v>25</v>
          </cell>
          <cell r="AC270">
            <v>5</v>
          </cell>
          <cell r="AD270">
            <v>125</v>
          </cell>
          <cell r="AE270">
            <v>75</v>
          </cell>
          <cell r="AF270">
            <v>9.75</v>
          </cell>
          <cell r="AG270">
            <v>156</v>
          </cell>
          <cell r="AH270">
            <v>780</v>
          </cell>
          <cell r="AI270">
            <v>6.24</v>
          </cell>
          <cell r="AJ270">
            <v>10.4</v>
          </cell>
          <cell r="AK270" t="str">
            <v>Rocky Bay</v>
          </cell>
          <cell r="AL270" t="str">
            <v>transect line that includes 3 test plots</v>
          </cell>
        </row>
        <row r="271">
          <cell r="B271" t="str">
            <v>Taylor Bay South - HC - test - 2016</v>
          </cell>
          <cell r="C271" t="str">
            <v>TAY_L1</v>
          </cell>
          <cell r="D271" t="str">
            <v>single</v>
          </cell>
          <cell r="E271">
            <v>2016</v>
          </cell>
          <cell r="G271" t="str">
            <v>line</v>
          </cell>
          <cell r="H271" t="str">
            <v>Case Inlet</v>
          </cell>
          <cell r="I271" t="str">
            <v>CPS</v>
          </cell>
          <cell r="J271" t="str">
            <v>Eelgrass Restoration in Puget Sound</v>
          </cell>
          <cell r="K271" t="str">
            <v>WDFW</v>
          </cell>
          <cell r="L271" t="str">
            <v>National Estuary Program</v>
          </cell>
          <cell r="M271" t="str">
            <v>14-02072</v>
          </cell>
          <cell r="N271" t="str">
            <v xml:space="preserve"> IAA 15-110</v>
          </cell>
          <cell r="O271" t="str">
            <v>Hart Crowser</v>
          </cell>
          <cell r="P271" t="str">
            <v>SC 16-17</v>
          </cell>
          <cell r="Q271" t="str">
            <v>Shannon, J., J. Blanchette and J. Gaeckle. 2018. Eelgrass (Zostera marina) Restoration in Puget Sound, WA. Final Restoration and Monitoring Report (12059-05) for US EPA, Hart Crowser, Edmonds, WA. Pp. 131.</v>
          </cell>
          <cell r="R271" t="str">
            <v>test</v>
          </cell>
          <cell r="S271" t="str">
            <v>--</v>
          </cell>
          <cell r="T271">
            <v>42509</v>
          </cell>
          <cell r="U271">
            <v>47.182860077777775</v>
          </cell>
          <cell r="V271">
            <v>-122.77778232222222</v>
          </cell>
          <cell r="W271" t="str">
            <v>line?</v>
          </cell>
          <cell r="X271" t="str">
            <v>retain</v>
          </cell>
          <cell r="Y271" t="str">
            <v>WGS84</v>
          </cell>
          <cell r="Z271"/>
          <cell r="AA271"/>
          <cell r="AF271" t="str">
            <v/>
          </cell>
          <cell r="AG271"/>
          <cell r="AH271"/>
          <cell r="AI271" t="str">
            <v/>
          </cell>
          <cell r="AJ271" t="str">
            <v/>
          </cell>
          <cell r="AL271"/>
        </row>
        <row r="272">
          <cell r="B272" t="str">
            <v>Westcott Bay East - PNNL - test - 2013</v>
          </cell>
          <cell r="C272" t="str">
            <v>WES_east</v>
          </cell>
          <cell r="D272" t="str">
            <v>single</v>
          </cell>
          <cell r="E272">
            <v>2013</v>
          </cell>
          <cell r="F272" t="str">
            <v>Thom, RM, and L Hallum. 1990. Long‐term changes in the areal extent of tidal marshes, eelgrass meadows, and kelp forests of Puget Sound. FRI‐UW‐9008, Fisheries Research Institute, School of Fisheries, University of Washington, Seattle. Pp. 110.</v>
          </cell>
          <cell r="G272" t="str">
            <v>point</v>
          </cell>
          <cell r="H272" t="str">
            <v>Westcott Bay</v>
          </cell>
          <cell r="I272" t="str">
            <v>SJS</v>
          </cell>
          <cell r="J272" t="str">
            <v>20% more ZM</v>
          </cell>
          <cell r="K272" t="str">
            <v>WDFW</v>
          </cell>
          <cell r="L272" t="str">
            <v>National Estuary Program</v>
          </cell>
          <cell r="M272" t="str">
            <v>12-1117</v>
          </cell>
          <cell r="N272" t="str">
            <v xml:space="preserve"> IAA 12-316</v>
          </cell>
          <cell r="O272" t="str">
            <v>PNNL</v>
          </cell>
          <cell r="P272" t="str">
            <v>IAA 12-317</v>
          </cell>
          <cell r="Q272"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272" t="str">
            <v>test</v>
          </cell>
          <cell r="S272" t="str">
            <v>test</v>
          </cell>
          <cell r="T272">
            <v>41439</v>
          </cell>
          <cell r="U272">
            <v>48.60178333333333</v>
          </cell>
          <cell r="V272">
            <v>-123.13939999999999</v>
          </cell>
          <cell r="W272" t="str">
            <v>point</v>
          </cell>
          <cell r="X272" t="str">
            <v>retain</v>
          </cell>
          <cell r="Y272" t="str">
            <v>WGS84</v>
          </cell>
          <cell r="Z272">
            <v>-1.2192000000000001</v>
          </cell>
          <cell r="AA272" t="str">
            <v>staple</v>
          </cell>
          <cell r="AB272">
            <v>5</v>
          </cell>
          <cell r="AC272">
            <v>95</v>
          </cell>
          <cell r="AD272">
            <v>475</v>
          </cell>
          <cell r="AE272">
            <v>25</v>
          </cell>
          <cell r="AF272">
            <v>0.56000000000000005</v>
          </cell>
          <cell r="AG272">
            <v>112</v>
          </cell>
          <cell r="AH272">
            <v>448</v>
          </cell>
          <cell r="AI272">
            <v>0.94315789473684208</v>
          </cell>
          <cell r="AJ272">
            <v>17.920000000000002</v>
          </cell>
          <cell r="AK272" t="str">
            <v>PNNL - MSL Tanks</v>
          </cell>
          <cell r="AL272" t="str">
            <v>head of bay, planted along a depth gradient from -4.0' to -6.0'</v>
          </cell>
        </row>
        <row r="273">
          <cell r="B273" t="str">
            <v>Westcott Bay West - PNNL - test - 2013</v>
          </cell>
          <cell r="C273" t="str">
            <v>WES_west</v>
          </cell>
          <cell r="D273" t="str">
            <v>single</v>
          </cell>
          <cell r="E273">
            <v>2013</v>
          </cell>
          <cell r="F273" t="str">
            <v>Thom, RM, and L Hallum. 1990. Long‐term changes in the areal extent of tidal marshes, eelgrass meadows, and kelp forests of Puget Sound. FRI‐UW‐9008, Fisheries Research Institute, School of Fisheries, University of Washington, Seattle. Pp. 110.</v>
          </cell>
          <cell r="G273" t="str">
            <v>point</v>
          </cell>
          <cell r="H273" t="str">
            <v>Westcott Bay</v>
          </cell>
          <cell r="I273" t="str">
            <v>SJS</v>
          </cell>
          <cell r="J273" t="str">
            <v>20% more ZM</v>
          </cell>
          <cell r="K273" t="str">
            <v>WDFW</v>
          </cell>
          <cell r="L273" t="str">
            <v>National Estuary Program</v>
          </cell>
          <cell r="M273" t="str">
            <v>12-1117</v>
          </cell>
          <cell r="N273" t="str">
            <v xml:space="preserve"> IAA 12-316</v>
          </cell>
          <cell r="O273" t="str">
            <v>PNNL</v>
          </cell>
          <cell r="P273" t="str">
            <v>IAA 12-317</v>
          </cell>
          <cell r="Q273"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273" t="str">
            <v>test</v>
          </cell>
          <cell r="S273" t="str">
            <v>test</v>
          </cell>
          <cell r="T273">
            <v>41439</v>
          </cell>
          <cell r="U273">
            <v>48.596449999999997</v>
          </cell>
          <cell r="V273">
            <v>-123.16086666666666</v>
          </cell>
          <cell r="W273" t="str">
            <v>point</v>
          </cell>
          <cell r="X273" t="str">
            <v>retain</v>
          </cell>
          <cell r="Y273" t="str">
            <v>WGS84</v>
          </cell>
          <cell r="Z273">
            <v>-1.524</v>
          </cell>
          <cell r="AA273" t="str">
            <v>staple</v>
          </cell>
          <cell r="AB273">
            <v>5</v>
          </cell>
          <cell r="AC273">
            <v>57</v>
          </cell>
          <cell r="AD273">
            <v>285</v>
          </cell>
          <cell r="AE273">
            <v>25</v>
          </cell>
          <cell r="AF273">
            <v>0.59</v>
          </cell>
          <cell r="AG273">
            <v>118</v>
          </cell>
          <cell r="AH273">
            <v>472</v>
          </cell>
          <cell r="AI273">
            <v>1.656140350877193</v>
          </cell>
          <cell r="AJ273">
            <v>18.88</v>
          </cell>
          <cell r="AK273" t="str">
            <v>PNNL - MSL Tanks</v>
          </cell>
          <cell r="AL273" t="str">
            <v>middle of bay, planted along a depth gradient from -5.0' to -9.0'</v>
          </cell>
        </row>
        <row r="274">
          <cell r="B274" t="str">
            <v>Westcott Bay - PNNL - Test Plot A - 2017</v>
          </cell>
          <cell r="C274" t="str">
            <v>WES_A</v>
          </cell>
          <cell r="D274" t="str">
            <v>single</v>
          </cell>
          <cell r="E274">
            <v>2017</v>
          </cell>
          <cell r="F274" t="str">
            <v>Thom, RM, and L Hallum. 1990. Long‐term changes in the areal extent of tidal marshes, eelgrass meadows, and kelp forests of Puget Sound. FRI‐UW‐9008, Fisheries Research Institute, School of Fisheries, University of Washington, Seattle. Pp. 110.</v>
          </cell>
          <cell r="G274" t="str">
            <v>point</v>
          </cell>
          <cell r="H274" t="str">
            <v>Westcott Bay</v>
          </cell>
          <cell r="I274" t="str">
            <v>SJS</v>
          </cell>
          <cell r="J274" t="str">
            <v>Eelgrass Recovery in PS</v>
          </cell>
          <cell r="K274" t="str">
            <v>USFWS</v>
          </cell>
          <cell r="L274" t="str">
            <v>USFWS</v>
          </cell>
          <cell r="M274" t="str">
            <v>WA F16AP00163 AL</v>
          </cell>
          <cell r="N274"/>
          <cell r="O274" t="str">
            <v>PNNL</v>
          </cell>
          <cell r="P274" t="str">
            <v>93-094344</v>
          </cell>
          <cell r="Q274"/>
          <cell r="R274" t="str">
            <v>test</v>
          </cell>
          <cell r="S274" t="str">
            <v>test</v>
          </cell>
          <cell r="T274">
            <v>42887</v>
          </cell>
          <cell r="U274">
            <v>48.595866666666666</v>
          </cell>
          <cell r="V274">
            <v>-123.16155000000001</v>
          </cell>
          <cell r="W274" t="str">
            <v>point</v>
          </cell>
          <cell r="X274" t="str">
            <v>retain</v>
          </cell>
          <cell r="Y274" t="str">
            <v>WGS84</v>
          </cell>
          <cell r="Z274">
            <v>-1.4020799999999998</v>
          </cell>
          <cell r="AA274" t="str">
            <v>rebar</v>
          </cell>
          <cell r="AB274">
            <v>2.5</v>
          </cell>
          <cell r="AC274">
            <v>2.5</v>
          </cell>
          <cell r="AD274">
            <v>6.25</v>
          </cell>
          <cell r="AE274">
            <v>5</v>
          </cell>
          <cell r="AF274">
            <v>0.5</v>
          </cell>
          <cell r="AG274">
            <v>20</v>
          </cell>
          <cell r="AH274">
            <v>500</v>
          </cell>
          <cell r="AI274">
            <v>80</v>
          </cell>
          <cell r="AJ274">
            <v>100</v>
          </cell>
          <cell r="AK274" t="str">
            <v>Bell Point, Stuart Island</v>
          </cell>
          <cell r="AL274"/>
        </row>
        <row r="275">
          <cell r="B275" t="str">
            <v>Westcott Bay - PNNL - Test Plot B - 2017</v>
          </cell>
          <cell r="C275" t="str">
            <v>WES_B</v>
          </cell>
          <cell r="D275" t="str">
            <v>single</v>
          </cell>
          <cell r="E275">
            <v>2017</v>
          </cell>
          <cell r="F275" t="str">
            <v>Thom, RM, and L Hallum. 1990. Long‐term changes in the areal extent of tidal marshes, eelgrass meadows, and kelp forests of Puget Sound. FRI‐UW‐9008, Fisheries Research Institute, School of Fisheries, University of Washington, Seattle. Pp. 110.</v>
          </cell>
          <cell r="G275" t="str">
            <v>point</v>
          </cell>
          <cell r="H275" t="str">
            <v>Westcott Bay</v>
          </cell>
          <cell r="I275" t="str">
            <v>SJS</v>
          </cell>
          <cell r="J275" t="str">
            <v>Eelgrass Recovery in PS</v>
          </cell>
          <cell r="K275" t="str">
            <v>USFWS</v>
          </cell>
          <cell r="L275" t="str">
            <v>USFWS</v>
          </cell>
          <cell r="M275" t="str">
            <v>WA F16AP00163 AL</v>
          </cell>
          <cell r="N275"/>
          <cell r="O275" t="str">
            <v>PNNL</v>
          </cell>
          <cell r="P275" t="str">
            <v>93-094344</v>
          </cell>
          <cell r="Q275"/>
          <cell r="R275" t="str">
            <v>test</v>
          </cell>
          <cell r="S275" t="str">
            <v>test</v>
          </cell>
          <cell r="T275">
            <v>42887</v>
          </cell>
          <cell r="U275">
            <v>48.596449999999997</v>
          </cell>
          <cell r="V275">
            <v>-123.16128333333333</v>
          </cell>
          <cell r="W275" t="str">
            <v>point</v>
          </cell>
          <cell r="X275" t="str">
            <v>retain</v>
          </cell>
          <cell r="Y275" t="str">
            <v>WGS84</v>
          </cell>
          <cell r="Z275">
            <v>-1.4630399999999999</v>
          </cell>
          <cell r="AA275" t="str">
            <v>rebar</v>
          </cell>
          <cell r="AB275">
            <v>2.5</v>
          </cell>
          <cell r="AC275">
            <v>2.5</v>
          </cell>
          <cell r="AD275">
            <v>6.25</v>
          </cell>
          <cell r="AE275">
            <v>5</v>
          </cell>
          <cell r="AF275">
            <v>0.5</v>
          </cell>
          <cell r="AG275">
            <v>20</v>
          </cell>
          <cell r="AH275">
            <v>500</v>
          </cell>
          <cell r="AI275">
            <v>80</v>
          </cell>
          <cell r="AJ275">
            <v>100</v>
          </cell>
          <cell r="AK275" t="str">
            <v>Bell Point</v>
          </cell>
          <cell r="AL275"/>
        </row>
        <row r="276">
          <cell r="B276" t="str">
            <v>Westcott Bay - PNNL - Test Plot C - 2017</v>
          </cell>
          <cell r="C276" t="str">
            <v>WES_C</v>
          </cell>
          <cell r="D276" t="str">
            <v>single</v>
          </cell>
          <cell r="E276">
            <v>2017</v>
          </cell>
          <cell r="F276" t="str">
            <v>Thom, RM, and L Hallum. 1990. Long‐term changes in the areal extent of tidal marshes, eelgrass meadows, and kelp forests of Puget Sound. FRI‐UW‐9008, Fisheries Research Institute, School of Fisheries, University of Washington, Seattle. Pp. 110.</v>
          </cell>
          <cell r="G276" t="str">
            <v>point</v>
          </cell>
          <cell r="H276" t="str">
            <v>Westcott Bay</v>
          </cell>
          <cell r="I276" t="str">
            <v>SJS</v>
          </cell>
          <cell r="J276" t="str">
            <v>Eelgrass Recovery in PS</v>
          </cell>
          <cell r="K276" t="str">
            <v>USFWS</v>
          </cell>
          <cell r="L276" t="str">
            <v>USFWS</v>
          </cell>
          <cell r="M276" t="str">
            <v>WA F16AP00163 AL</v>
          </cell>
          <cell r="N276"/>
          <cell r="O276" t="str">
            <v>PNNL</v>
          </cell>
          <cell r="P276" t="str">
            <v>93-094344</v>
          </cell>
          <cell r="Q276"/>
          <cell r="R276" t="str">
            <v>test</v>
          </cell>
          <cell r="S276" t="str">
            <v>test</v>
          </cell>
          <cell r="T276">
            <v>42888</v>
          </cell>
          <cell r="U276">
            <v>48.597716666666663</v>
          </cell>
          <cell r="V276">
            <v>-123.15998333333333</v>
          </cell>
          <cell r="W276" t="str">
            <v>point</v>
          </cell>
          <cell r="X276" t="str">
            <v>retain</v>
          </cell>
          <cell r="Y276" t="str">
            <v>WGS84</v>
          </cell>
          <cell r="Z276">
            <v>-1.4935200000000002</v>
          </cell>
          <cell r="AA276" t="str">
            <v>rebar</v>
          </cell>
          <cell r="AB276">
            <v>2.5</v>
          </cell>
          <cell r="AC276">
            <v>2.5</v>
          </cell>
          <cell r="AD276">
            <v>6.25</v>
          </cell>
          <cell r="AE276">
            <v>4.75</v>
          </cell>
          <cell r="AF276">
            <v>0.47500000000000003</v>
          </cell>
          <cell r="AG276">
            <v>19</v>
          </cell>
          <cell r="AH276">
            <v>475</v>
          </cell>
          <cell r="AI276">
            <v>76</v>
          </cell>
          <cell r="AJ276">
            <v>100</v>
          </cell>
          <cell r="AK276" t="str">
            <v>Mitchell Bay</v>
          </cell>
          <cell r="AL276"/>
        </row>
        <row r="277">
          <cell r="B277" t="str">
            <v>Westcott Bay - PNNL - Test Plot D - 2017</v>
          </cell>
          <cell r="C277" t="str">
            <v>WES_D</v>
          </cell>
          <cell r="D277" t="str">
            <v>single</v>
          </cell>
          <cell r="E277">
            <v>2017</v>
          </cell>
          <cell r="F277" t="str">
            <v>Thom, RM, and L Hallum. 1990. Long‐term changes in the areal extent of tidal marshes, eelgrass meadows, and kelp forests of Puget Sound. FRI‐UW‐9008, Fisheries Research Institute, School of Fisheries, University of Washington, Seattle. Pp. 110.</v>
          </cell>
          <cell r="G277" t="str">
            <v>point</v>
          </cell>
          <cell r="H277" t="str">
            <v>Westcott Bay</v>
          </cell>
          <cell r="I277" t="str">
            <v>SJS</v>
          </cell>
          <cell r="J277" t="str">
            <v>Eelgrass Recovery in PS</v>
          </cell>
          <cell r="K277" t="str">
            <v>USFWS</v>
          </cell>
          <cell r="L277" t="str">
            <v>USFWS</v>
          </cell>
          <cell r="M277" t="str">
            <v>WA F16AP00163 AL</v>
          </cell>
          <cell r="N277"/>
          <cell r="O277" t="str">
            <v>PNNL</v>
          </cell>
          <cell r="P277" t="str">
            <v>93-094344</v>
          </cell>
          <cell r="R277" t="str">
            <v>test</v>
          </cell>
          <cell r="S277" t="str">
            <v>test</v>
          </cell>
          <cell r="T277">
            <v>42888</v>
          </cell>
          <cell r="U277">
            <v>48.598483333333334</v>
          </cell>
          <cell r="V277">
            <v>-123.15683333333334</v>
          </cell>
          <cell r="W277" t="str">
            <v>point</v>
          </cell>
          <cell r="X277" t="str">
            <v>retain</v>
          </cell>
          <cell r="Y277" t="str">
            <v>WGS84</v>
          </cell>
          <cell r="Z277">
            <v>-1.524</v>
          </cell>
          <cell r="AA277" t="str">
            <v>rebar</v>
          </cell>
          <cell r="AB277">
            <v>3</v>
          </cell>
          <cell r="AC277">
            <v>2.5</v>
          </cell>
          <cell r="AD277">
            <v>7.5</v>
          </cell>
          <cell r="AE277">
            <v>6.18</v>
          </cell>
          <cell r="AF277">
            <v>0.61799999999999999</v>
          </cell>
          <cell r="AG277">
            <v>24.72</v>
          </cell>
          <cell r="AH277">
            <v>618</v>
          </cell>
          <cell r="AI277">
            <v>82.4</v>
          </cell>
          <cell r="AJ277">
            <v>100</v>
          </cell>
          <cell r="AK277" t="str">
            <v>Henry Island</v>
          </cell>
        </row>
        <row r="278">
          <cell r="B278" t="str">
            <v>Westcott Bay - Bell Point North - DNR - test - 2020-Dumas</v>
          </cell>
          <cell r="C278" t="str">
            <v>WES_test_1</v>
          </cell>
          <cell r="D278" t="str">
            <v>single</v>
          </cell>
          <cell r="E278">
            <v>2020</v>
          </cell>
          <cell r="F278" t="str">
            <v>SVMP</v>
          </cell>
          <cell r="G278" t="str">
            <v>line</v>
          </cell>
          <cell r="H278" t="str">
            <v>Westcott Bay</v>
          </cell>
          <cell r="I278" t="str">
            <v>SJS</v>
          </cell>
          <cell r="J278" t="str">
            <v>Eelgrass Recovery in the San Juan Islands</v>
          </cell>
          <cell r="K278" t="str">
            <v>DNR</v>
          </cell>
          <cell r="L278" t="str">
            <v>SRFB - 19-1402</v>
          </cell>
          <cell r="R278" t="str">
            <v>test</v>
          </cell>
          <cell r="S278" t="str">
            <v>test</v>
          </cell>
          <cell r="T278">
            <v>44044</v>
          </cell>
          <cell r="U278">
            <v>48.593940000000003</v>
          </cell>
          <cell r="V278">
            <v>-123.15505</v>
          </cell>
          <cell r="W278" t="str">
            <v>line</v>
          </cell>
          <cell r="X278" t="str">
            <v>retain</v>
          </cell>
          <cell r="Y278" t="str">
            <v>WGS84</v>
          </cell>
          <cell r="Z278">
            <v>-1.7</v>
          </cell>
          <cell r="AA278" t="str">
            <v>rebar</v>
          </cell>
          <cell r="AB278">
            <v>14</v>
          </cell>
          <cell r="AC278">
            <v>1</v>
          </cell>
          <cell r="AD278">
            <v>14</v>
          </cell>
          <cell r="AE278">
            <v>6</v>
          </cell>
          <cell r="AF278">
            <v>0.6</v>
          </cell>
          <cell r="AG278">
            <v>24</v>
          </cell>
          <cell r="AH278">
            <v>640</v>
          </cell>
          <cell r="AI278">
            <v>45.714285714285715</v>
          </cell>
          <cell r="AJ278">
            <v>106.66666666666667</v>
          </cell>
          <cell r="AK278" t="str">
            <v>Dumas Bay</v>
          </cell>
          <cell r="AL278" t="str">
            <v>GPS marks the 0 m helical anchor. Another helical is set at 14 m (48.59399, -123.15520). Planting started at 2 m and ended at 10 m to keep transplants 2 m away from helicals at the end of the 14 m transect. Eelgrass harvested from the Shannon Point Marine Center mesocosms on 31 Jul 2020.</v>
          </cell>
        </row>
        <row r="279">
          <cell r="B279" t="str">
            <v>Westcott Bay - Bell Point North - DNR - test - 2020-Fay</v>
          </cell>
          <cell r="C279" t="str">
            <v>WES_test_1</v>
          </cell>
          <cell r="D279" t="str">
            <v>single</v>
          </cell>
          <cell r="E279">
            <v>2020</v>
          </cell>
          <cell r="F279" t="str">
            <v>SVMP</v>
          </cell>
          <cell r="G279" t="str">
            <v>line</v>
          </cell>
          <cell r="H279" t="str">
            <v>Westcott Bay</v>
          </cell>
          <cell r="I279" t="str">
            <v>SJS</v>
          </cell>
          <cell r="J279" t="str">
            <v>Eelgrass Recovery in the San Juan Islands</v>
          </cell>
          <cell r="K279" t="str">
            <v>DNR</v>
          </cell>
          <cell r="L279" t="str">
            <v>SRFB - 19-1402</v>
          </cell>
          <cell r="R279" t="str">
            <v>test</v>
          </cell>
          <cell r="S279" t="str">
            <v>test</v>
          </cell>
          <cell r="T279">
            <v>44044</v>
          </cell>
          <cell r="U279">
            <v>48.593940000000003</v>
          </cell>
          <cell r="V279">
            <v>-123.15505</v>
          </cell>
          <cell r="W279" t="str">
            <v>line</v>
          </cell>
          <cell r="X279" t="str">
            <v>retain</v>
          </cell>
          <cell r="Y279" t="str">
            <v>WGS84</v>
          </cell>
          <cell r="Z279">
            <v>-1.7</v>
          </cell>
          <cell r="AA279" t="str">
            <v>rebar</v>
          </cell>
          <cell r="AB279">
            <v>14</v>
          </cell>
          <cell r="AC279">
            <v>1</v>
          </cell>
          <cell r="AD279">
            <v>14</v>
          </cell>
          <cell r="AE279">
            <v>0.75</v>
          </cell>
          <cell r="AF279">
            <v>7.4999999999999997E-2</v>
          </cell>
          <cell r="AG279">
            <v>3</v>
          </cell>
          <cell r="AH279">
            <v>60</v>
          </cell>
          <cell r="AI279">
            <v>4.2857142857142856</v>
          </cell>
          <cell r="AJ279">
            <v>80</v>
          </cell>
          <cell r="AK279" t="str">
            <v>Fay Bainbridge</v>
          </cell>
          <cell r="AL279" t="str">
            <v>GPS marks the 0 m helical anchor. Another helical is set at 14 m (48.59399, -123.15520). Planting started at 2 m and ended at 10 m to keep transplants 2 m away from helicals at the end of the 14 m transect. Eelgrass harvested from the Shannon Point Marine Center mesocosms on 31 Jul 2020.</v>
          </cell>
        </row>
        <row r="280">
          <cell r="B280" t="str">
            <v>Westcott Bay - Bell Point North - DNR - test - 2020-Henry</v>
          </cell>
          <cell r="C280" t="str">
            <v>WES_test_1</v>
          </cell>
          <cell r="D280" t="str">
            <v>single</v>
          </cell>
          <cell r="E280">
            <v>2020</v>
          </cell>
          <cell r="F280" t="str">
            <v>SVMP</v>
          </cell>
          <cell r="G280" t="str">
            <v>line</v>
          </cell>
          <cell r="H280" t="str">
            <v>Westcott Bay</v>
          </cell>
          <cell r="I280" t="str">
            <v>SJS</v>
          </cell>
          <cell r="J280" t="str">
            <v>Eelgrass Recovery in the San Juan Islands</v>
          </cell>
          <cell r="K280" t="str">
            <v>DNR</v>
          </cell>
          <cell r="L280" t="str">
            <v>SRFB - 19-1402</v>
          </cell>
          <cell r="R280" t="str">
            <v>test</v>
          </cell>
          <cell r="S280" t="str">
            <v>test</v>
          </cell>
          <cell r="T280">
            <v>44044</v>
          </cell>
          <cell r="U280">
            <v>48.593940000000003</v>
          </cell>
          <cell r="V280">
            <v>-123.15505</v>
          </cell>
          <cell r="W280" t="str">
            <v>line</v>
          </cell>
          <cell r="X280" t="str">
            <v>retain</v>
          </cell>
          <cell r="Y280" t="str">
            <v>WGS84</v>
          </cell>
          <cell r="Z280">
            <v>-1.7</v>
          </cell>
          <cell r="AA280" t="str">
            <v>rebar</v>
          </cell>
          <cell r="AB280">
            <v>14</v>
          </cell>
          <cell r="AC280">
            <v>1</v>
          </cell>
          <cell r="AD280">
            <v>14</v>
          </cell>
          <cell r="AE280">
            <v>2.25</v>
          </cell>
          <cell r="AF280">
            <v>0.22500000000000001</v>
          </cell>
          <cell r="AG280">
            <v>9</v>
          </cell>
          <cell r="AH280">
            <v>135</v>
          </cell>
          <cell r="AI280">
            <v>9.6428571428571423</v>
          </cell>
          <cell r="AJ280">
            <v>60</v>
          </cell>
          <cell r="AK280" t="str">
            <v>Henry Island</v>
          </cell>
          <cell r="AL280" t="str">
            <v>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v>
          </cell>
        </row>
        <row r="281">
          <cell r="B281" t="str">
            <v>Westcott Bay - Bell Point North - DNR - test - 2020-Ship</v>
          </cell>
          <cell r="C281" t="str">
            <v>WES_test_1</v>
          </cell>
          <cell r="D281" t="str">
            <v>single</v>
          </cell>
          <cell r="E281">
            <v>2020</v>
          </cell>
          <cell r="F281" t="str">
            <v>SVMP</v>
          </cell>
          <cell r="G281" t="str">
            <v>line</v>
          </cell>
          <cell r="H281" t="str">
            <v>Westcott Bay</v>
          </cell>
          <cell r="I281" t="str">
            <v>SJS</v>
          </cell>
          <cell r="J281" t="str">
            <v>Eelgrass Recovery in the San Juan Islands</v>
          </cell>
          <cell r="K281" t="str">
            <v>DNR</v>
          </cell>
          <cell r="L281" t="str">
            <v>SRFB - 19-1402</v>
          </cell>
          <cell r="R281" t="str">
            <v>test</v>
          </cell>
          <cell r="S281" t="str">
            <v>test</v>
          </cell>
          <cell r="T281">
            <v>44044</v>
          </cell>
          <cell r="U281">
            <v>48.593940000000003</v>
          </cell>
          <cell r="V281">
            <v>-123.15505</v>
          </cell>
          <cell r="W281" t="str">
            <v>line</v>
          </cell>
          <cell r="X281" t="str">
            <v>retain</v>
          </cell>
          <cell r="Y281" t="str">
            <v>WGS84</v>
          </cell>
          <cell r="Z281">
            <v>-1.7</v>
          </cell>
          <cell r="AA281" t="str">
            <v>rebar</v>
          </cell>
          <cell r="AB281">
            <v>14</v>
          </cell>
          <cell r="AC281">
            <v>1</v>
          </cell>
          <cell r="AD281">
            <v>14</v>
          </cell>
          <cell r="AE281">
            <v>3.75</v>
          </cell>
          <cell r="AF281">
            <v>0.375</v>
          </cell>
          <cell r="AG281">
            <v>15</v>
          </cell>
          <cell r="AH281">
            <v>210</v>
          </cell>
          <cell r="AI281">
            <v>15</v>
          </cell>
          <cell r="AJ281">
            <v>56</v>
          </cell>
          <cell r="AK281" t="str">
            <v>Ship Harbor</v>
          </cell>
          <cell r="AL281" t="str">
            <v>GPS marks the 0 m helical anchor. Another helical is set at 14 m (48.59399, -123.15520). Planting started at 2 m and ended at 10 m to keep transplants 2 m away from helicals at the end of the 14 m transect. Eelgrass harvested from the Shannon Point Marine Center mesocosms on 31 Jul 2020.</v>
          </cell>
        </row>
        <row r="282">
          <cell r="B282" t="str">
            <v>Westcott Bay - Bell Point North - DNR - test - 2020-Mixed</v>
          </cell>
          <cell r="C282" t="str">
            <v>WES_test_1</v>
          </cell>
          <cell r="D282" t="str">
            <v>single</v>
          </cell>
          <cell r="E282">
            <v>2020</v>
          </cell>
          <cell r="F282" t="str">
            <v>SVMP</v>
          </cell>
          <cell r="G282" t="str">
            <v>line</v>
          </cell>
          <cell r="H282" t="str">
            <v>Westcott Bay</v>
          </cell>
          <cell r="I282" t="str">
            <v>SJS</v>
          </cell>
          <cell r="J282" t="str">
            <v>Eelgrass Recovery in the San Juan Islands</v>
          </cell>
          <cell r="K282" t="str">
            <v>DNR</v>
          </cell>
          <cell r="L282" t="str">
            <v>SRFB - 19-1402</v>
          </cell>
          <cell r="R282" t="str">
            <v>test</v>
          </cell>
          <cell r="S282" t="str">
            <v>test</v>
          </cell>
          <cell r="T282">
            <v>44044</v>
          </cell>
          <cell r="U282">
            <v>48.593940000000003</v>
          </cell>
          <cell r="V282">
            <v>-123.15505</v>
          </cell>
          <cell r="W282" t="str">
            <v>line</v>
          </cell>
          <cell r="X282" t="str">
            <v>retain</v>
          </cell>
          <cell r="Y282" t="str">
            <v>WGS84</v>
          </cell>
          <cell r="Z282">
            <v>-1.7</v>
          </cell>
          <cell r="AA282" t="str">
            <v>rebar</v>
          </cell>
          <cell r="AB282">
            <v>14</v>
          </cell>
          <cell r="AC282">
            <v>1</v>
          </cell>
          <cell r="AD282">
            <v>14</v>
          </cell>
          <cell r="AE282">
            <v>2.25</v>
          </cell>
          <cell r="AF282">
            <v>0.22500000000000001</v>
          </cell>
          <cell r="AG282">
            <v>9</v>
          </cell>
          <cell r="AH282">
            <v>275</v>
          </cell>
          <cell r="AI282">
            <v>19.642857142857142</v>
          </cell>
          <cell r="AJ282">
            <v>122.22222222222223</v>
          </cell>
          <cell r="AK282" t="str">
            <v>Mixed</v>
          </cell>
          <cell r="AL282" t="str">
            <v>GPS marks the 0 m helical anchor. Another helical is set at 14 m (48.59399, -123.15520). Planting started at 2 m and ended at 10 m to keep transplants 2 m away from helicals at the end of the 14 m transect. Eelgrass harvested from the Shannon Point Marine Center mesocosms on 31 Jul 2020.</v>
          </cell>
        </row>
        <row r="283">
          <cell r="B283" t="str">
            <v>Zangle Cove - PNNL - test - 2013</v>
          </cell>
          <cell r="C283" t="str">
            <v>ZAN_1</v>
          </cell>
          <cell r="D283" t="str">
            <v>single</v>
          </cell>
          <cell r="E283">
            <v>2013</v>
          </cell>
          <cell r="F283" t="str">
            <v>personal observation</v>
          </cell>
          <cell r="G283" t="str">
            <v>point</v>
          </cell>
          <cell r="H283" t="str">
            <v>Dana Passage</v>
          </cell>
          <cell r="I283" t="str">
            <v>SPS</v>
          </cell>
          <cell r="J283" t="str">
            <v>20% more ZM</v>
          </cell>
          <cell r="K283" t="str">
            <v>WDFW</v>
          </cell>
          <cell r="L283" t="str">
            <v>National Estuary Program</v>
          </cell>
          <cell r="M283" t="str">
            <v>12-1117</v>
          </cell>
          <cell r="N283" t="str">
            <v xml:space="preserve"> IAA 12-316</v>
          </cell>
          <cell r="O283" t="str">
            <v>PNNL</v>
          </cell>
          <cell r="P283" t="str">
            <v>IAA 12-317</v>
          </cell>
          <cell r="Q283"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283" t="str">
            <v>test</v>
          </cell>
          <cell r="S283" t="str">
            <v>test</v>
          </cell>
          <cell r="T283">
            <v>41431</v>
          </cell>
          <cell r="U283">
            <v>47.14555</v>
          </cell>
          <cell r="V283">
            <v>-122.89323333333333</v>
          </cell>
          <cell r="W283" t="str">
            <v>point</v>
          </cell>
          <cell r="X283" t="str">
            <v>retain</v>
          </cell>
          <cell r="Y283" t="str">
            <v>WGS84</v>
          </cell>
          <cell r="Z283">
            <v>-1.2192000000000001</v>
          </cell>
          <cell r="AA283" t="str">
            <v>staple</v>
          </cell>
          <cell r="AB283">
            <v>5</v>
          </cell>
          <cell r="AC283">
            <v>9</v>
          </cell>
          <cell r="AD283">
            <v>45</v>
          </cell>
          <cell r="AE283">
            <v>45</v>
          </cell>
          <cell r="AF283">
            <v>1.0900000000000001</v>
          </cell>
          <cell r="AG283">
            <v>218</v>
          </cell>
          <cell r="AH283">
            <v>872</v>
          </cell>
          <cell r="AI283">
            <v>19.377777777777776</v>
          </cell>
          <cell r="AJ283">
            <v>19.377777777777776</v>
          </cell>
          <cell r="AK283" t="str">
            <v>Thompson Cove</v>
          </cell>
        </row>
        <row r="284">
          <cell r="B284" t="str">
            <v>Zangle Cove - NW - PNNL - large - 2015</v>
          </cell>
          <cell r="C284" t="str">
            <v>ZAN_P1</v>
          </cell>
          <cell r="D284" t="str">
            <v>single</v>
          </cell>
          <cell r="E284">
            <v>2015</v>
          </cell>
          <cell r="F284" t="str">
            <v>personal observation</v>
          </cell>
          <cell r="G284" t="str">
            <v>polygon</v>
          </cell>
          <cell r="H284" t="str">
            <v>Dana Passage</v>
          </cell>
          <cell r="I284" t="str">
            <v>SPS</v>
          </cell>
          <cell r="J284" t="str">
            <v>Eelgrass Restoration in PS</v>
          </cell>
          <cell r="K284" t="str">
            <v>DNR</v>
          </cell>
          <cell r="L284" t="str">
            <v>Aquatic Restoration Program</v>
          </cell>
          <cell r="O284" t="str">
            <v>PNNL</v>
          </cell>
          <cell r="P284" t="str">
            <v>IAA 12-317.1</v>
          </cell>
          <cell r="Q284" t="str">
            <v>Aston, L.A., A.B. Borde and J. Vavrinec. 2015. Final Summary Report - Eelgrass Restoration in Puget Sound Project Summary. Pacific Northwest National Laboratory, Richland, WA. PNNL-24445.</v>
          </cell>
          <cell r="R284" t="str">
            <v>large scale</v>
          </cell>
          <cell r="S284" t="str">
            <v>large scale</v>
          </cell>
          <cell r="T284">
            <v>42128</v>
          </cell>
          <cell r="U284">
            <v>47.145733333333332</v>
          </cell>
          <cell r="V284">
            <v>-122.89318333333334</v>
          </cell>
          <cell r="W284" t="str">
            <v>polygon</v>
          </cell>
          <cell r="X284" t="str">
            <v>retain</v>
          </cell>
          <cell r="Y284" t="str">
            <v>WGS84</v>
          </cell>
          <cell r="Z284">
            <v>-2.286</v>
          </cell>
          <cell r="AA284" t="str">
            <v>staple</v>
          </cell>
          <cell r="AB284">
            <v>55</v>
          </cell>
          <cell r="AC284">
            <v>30</v>
          </cell>
          <cell r="AD284">
            <v>1650</v>
          </cell>
          <cell r="AE284">
            <v>220</v>
          </cell>
          <cell r="AF284">
            <v>11.225</v>
          </cell>
          <cell r="AG284">
            <v>2245</v>
          </cell>
          <cell r="AH284">
            <v>8980</v>
          </cell>
          <cell r="AI284">
            <v>5.4424242424242424</v>
          </cell>
          <cell r="AJ284">
            <v>40.81818181818182</v>
          </cell>
          <cell r="AK284" t="str">
            <v>Thompson Cove</v>
          </cell>
          <cell r="AL284" t="str">
            <v>See planting diagram</v>
          </cell>
        </row>
        <row r="285">
          <cell r="B285" t="str">
            <v>Zangle Cove - NE - PNNL - large - 2015</v>
          </cell>
          <cell r="C285" t="str">
            <v>ZAN_P1</v>
          </cell>
          <cell r="D285" t="str">
            <v>single</v>
          </cell>
          <cell r="E285">
            <v>2015</v>
          </cell>
          <cell r="F285" t="str">
            <v>personal observation</v>
          </cell>
          <cell r="G285" t="str">
            <v>polygon</v>
          </cell>
          <cell r="H285" t="str">
            <v>Dana Passage</v>
          </cell>
          <cell r="I285" t="str">
            <v>SPS</v>
          </cell>
          <cell r="J285" t="str">
            <v>Eelgrass Restoration in PS</v>
          </cell>
          <cell r="K285" t="str">
            <v>DNR</v>
          </cell>
          <cell r="L285" t="str">
            <v>Aquatic Restoration Program</v>
          </cell>
          <cell r="O285" t="str">
            <v>PNNL</v>
          </cell>
          <cell r="P285" t="str">
            <v>IAA 12-317.1</v>
          </cell>
          <cell r="Q285" t="str">
            <v>Aston, L.A., A.B. Borde and J. Vavrinec. 2015. Final Summary Report - Eelgrass Restoration in Puget Sound Project Summary. Pacific Northwest National Laboratory, Richland, WA. PNNL-24445.</v>
          </cell>
          <cell r="R285" t="str">
            <v>large scale</v>
          </cell>
          <cell r="S285" t="str">
            <v>--</v>
          </cell>
          <cell r="T285">
            <v>42128</v>
          </cell>
          <cell r="U285">
            <v>47.145633333333336</v>
          </cell>
          <cell r="V285">
            <v>-122.89246666666666</v>
          </cell>
          <cell r="W285" t="str">
            <v>polygon</v>
          </cell>
          <cell r="X285" t="str">
            <v>retain</v>
          </cell>
          <cell r="Y285" t="str">
            <v>WGS84</v>
          </cell>
          <cell r="Z285"/>
          <cell r="AA285" t="str">
            <v>staple</v>
          </cell>
          <cell r="AE285"/>
          <cell r="AF285"/>
          <cell r="AG285"/>
          <cell r="AH285"/>
          <cell r="AI285" t="str">
            <v/>
          </cell>
          <cell r="AJ285" t="str">
            <v/>
          </cell>
        </row>
        <row r="286">
          <cell r="B286" t="str">
            <v>Zangle Cove - SE - PNNL - large - 2015</v>
          </cell>
          <cell r="C286" t="str">
            <v>ZAN_P1</v>
          </cell>
          <cell r="D286" t="str">
            <v>single</v>
          </cell>
          <cell r="E286">
            <v>2015</v>
          </cell>
          <cell r="F286" t="str">
            <v>personal observation</v>
          </cell>
          <cell r="G286" t="str">
            <v>polygon</v>
          </cell>
          <cell r="H286" t="str">
            <v>Dana Passage</v>
          </cell>
          <cell r="I286" t="str">
            <v>SPS</v>
          </cell>
          <cell r="J286" t="str">
            <v>Eelgrass Restoration in PS</v>
          </cell>
          <cell r="K286" t="str">
            <v>DNR</v>
          </cell>
          <cell r="L286" t="str">
            <v>Aquatic Restoration Program</v>
          </cell>
          <cell r="O286" t="str">
            <v>PNNL</v>
          </cell>
          <cell r="P286" t="str">
            <v>IAA 12-317.1</v>
          </cell>
          <cell r="Q286" t="str">
            <v>Aston, L.A., A.B. Borde and J. Vavrinec. 2015. Final Summary Report - Eelgrass Restoration in Puget Sound Project Summary. Pacific Northwest National Laboratory, Richland, WA. PNNL-24445.</v>
          </cell>
          <cell r="R286" t="str">
            <v>large scale</v>
          </cell>
          <cell r="S286" t="str">
            <v>--</v>
          </cell>
          <cell r="T286">
            <v>42128</v>
          </cell>
          <cell r="U286">
            <v>47.145400000000002</v>
          </cell>
          <cell r="V286">
            <v>-122.89255</v>
          </cell>
          <cell r="W286" t="str">
            <v>polygon</v>
          </cell>
          <cell r="X286" t="str">
            <v>retain</v>
          </cell>
          <cell r="Y286" t="str">
            <v>WGS84</v>
          </cell>
          <cell r="Z286"/>
          <cell r="AA286" t="str">
            <v>staple</v>
          </cell>
          <cell r="AE286"/>
          <cell r="AF286"/>
          <cell r="AG286"/>
          <cell r="AH286"/>
          <cell r="AI286" t="str">
            <v/>
          </cell>
          <cell r="AJ286" t="str">
            <v/>
          </cell>
        </row>
        <row r="287">
          <cell r="B287" t="str">
            <v>Zangle Cove - SW - PNNL - large - 2015</v>
          </cell>
          <cell r="C287" t="str">
            <v>ZAN_P1</v>
          </cell>
          <cell r="D287" t="str">
            <v>single</v>
          </cell>
          <cell r="E287">
            <v>2015</v>
          </cell>
          <cell r="F287" t="str">
            <v>personal observation</v>
          </cell>
          <cell r="G287" t="str">
            <v>polygon</v>
          </cell>
          <cell r="H287" t="str">
            <v>Dana Passage</v>
          </cell>
          <cell r="I287" t="str">
            <v>SPS</v>
          </cell>
          <cell r="J287" t="str">
            <v>Eelgrass Restoration in PS</v>
          </cell>
          <cell r="K287" t="str">
            <v>DNR</v>
          </cell>
          <cell r="L287" t="str">
            <v>Aquatic Restoration Program</v>
          </cell>
          <cell r="O287" t="str">
            <v>PNNL</v>
          </cell>
          <cell r="P287" t="str">
            <v>IAA 12-317.1</v>
          </cell>
          <cell r="Q287" t="str">
            <v>Aston, L.A., A.B. Borde and J. Vavrinec. 2015. Final Summary Report - Eelgrass Restoration in Puget Sound Project Summary. Pacific Northwest National Laboratory, Richland, WA. PNNL-24445.</v>
          </cell>
          <cell r="R287" t="str">
            <v>large scale</v>
          </cell>
          <cell r="S287" t="str">
            <v>--</v>
          </cell>
          <cell r="T287">
            <v>42128</v>
          </cell>
          <cell r="U287">
            <v>47.14555</v>
          </cell>
          <cell r="V287">
            <v>-122.89323333333333</v>
          </cell>
          <cell r="W287" t="str">
            <v>polygon</v>
          </cell>
          <cell r="X287" t="str">
            <v>retain</v>
          </cell>
          <cell r="Y287" t="str">
            <v>WGS84</v>
          </cell>
          <cell r="Z287">
            <v>-1.1277600000000001</v>
          </cell>
          <cell r="AA287" t="str">
            <v>staple</v>
          </cell>
          <cell r="AE287"/>
          <cell r="AF287"/>
          <cell r="AG287"/>
          <cell r="AH287"/>
          <cell r="AI287" t="str">
            <v/>
          </cell>
          <cell r="AJ287" t="str">
            <v/>
          </cell>
        </row>
        <row r="288">
          <cell r="B288" t="str">
            <v>Zangle Cove - SW - PNNL - test - 2015</v>
          </cell>
          <cell r="C288" t="str">
            <v>ZAN_2</v>
          </cell>
          <cell r="D288" t="str">
            <v>single</v>
          </cell>
          <cell r="E288">
            <v>2015</v>
          </cell>
          <cell r="F288" t="str">
            <v>personal observation</v>
          </cell>
          <cell r="G288" t="str">
            <v>point</v>
          </cell>
          <cell r="H288" t="str">
            <v>Dana Passage</v>
          </cell>
          <cell r="I288" t="str">
            <v>SPS</v>
          </cell>
          <cell r="J288" t="str">
            <v>Eelgrass Restoration in PS</v>
          </cell>
          <cell r="K288" t="str">
            <v>DNR</v>
          </cell>
          <cell r="L288" t="str">
            <v>Aquatic Restoration Program</v>
          </cell>
          <cell r="O288" t="str">
            <v>PNNL</v>
          </cell>
          <cell r="P288" t="str">
            <v>IAA 12-317.1</v>
          </cell>
          <cell r="Q288" t="str">
            <v>Aston, L.A., A.B. Borde and J. Vavrinec. 2015. Final Summary Report - Eelgrass Restoration in Puget Sound Project Summary. Pacific Northwest National Laboratory, Richland, WA. PNNL-24445.</v>
          </cell>
          <cell r="R288" t="str">
            <v>test</v>
          </cell>
          <cell r="S288" t="str">
            <v>test</v>
          </cell>
          <cell r="T288">
            <v>42130</v>
          </cell>
          <cell r="U288">
            <v>47.145699999999998</v>
          </cell>
          <cell r="V288">
            <v>-122.89225</v>
          </cell>
          <cell r="W288" t="str">
            <v>point</v>
          </cell>
          <cell r="X288" t="str">
            <v>retain</v>
          </cell>
          <cell r="Y288" t="str">
            <v>WGS84</v>
          </cell>
          <cell r="Z288">
            <v>-2.3469600000000002</v>
          </cell>
          <cell r="AA288" t="str">
            <v>staple</v>
          </cell>
          <cell r="AB288">
            <v>5</v>
          </cell>
          <cell r="AC288">
            <v>5</v>
          </cell>
          <cell r="AD288">
            <v>25</v>
          </cell>
          <cell r="AE288">
            <v>25</v>
          </cell>
          <cell r="AF288">
            <v>0.625</v>
          </cell>
          <cell r="AG288">
            <v>125</v>
          </cell>
          <cell r="AH288">
            <v>500</v>
          </cell>
          <cell r="AI288">
            <v>20</v>
          </cell>
          <cell r="AJ288">
            <v>20</v>
          </cell>
          <cell r="AK288" t="str">
            <v>Thompson Cove</v>
          </cell>
        </row>
        <row r="289">
          <cell r="B289" t="str">
            <v>Zangle Cove - DNR - test - 1 Chia - 2016</v>
          </cell>
          <cell r="C289" t="str">
            <v>ZAN_3</v>
          </cell>
          <cell r="D289" t="str">
            <v>single</v>
          </cell>
          <cell r="E289">
            <v>2016</v>
          </cell>
          <cell r="F289" t="str">
            <v>personal observation</v>
          </cell>
          <cell r="G289" t="str">
            <v>point</v>
          </cell>
          <cell r="H289" t="str">
            <v>Dana Passage</v>
          </cell>
          <cell r="I289" t="str">
            <v>SPS</v>
          </cell>
          <cell r="J289" t="str">
            <v>DNR</v>
          </cell>
          <cell r="K289" t="str">
            <v>DNR</v>
          </cell>
          <cell r="L289" t="str">
            <v>Aquatic Restoration Program</v>
          </cell>
          <cell r="R289" t="str">
            <v>test</v>
          </cell>
          <cell r="S289" t="str">
            <v>test</v>
          </cell>
          <cell r="T289">
            <v>42527</v>
          </cell>
          <cell r="U289">
            <v>47.145636789500003</v>
          </cell>
          <cell r="V289">
            <v>-122.8932577651</v>
          </cell>
          <cell r="W289" t="str">
            <v>point</v>
          </cell>
          <cell r="X289" t="str">
            <v>retain</v>
          </cell>
          <cell r="Y289" t="str">
            <v>WGS84</v>
          </cell>
          <cell r="Z289"/>
          <cell r="AA289" t="str">
            <v>rebar</v>
          </cell>
          <cell r="AB289">
            <v>0.25</v>
          </cell>
          <cell r="AC289">
            <v>0.25</v>
          </cell>
          <cell r="AD289">
            <v>6.25E-2</v>
          </cell>
          <cell r="AE289">
            <v>0.25</v>
          </cell>
          <cell r="AF289">
            <v>2.5000000000000001E-2</v>
          </cell>
          <cell r="AG289">
            <v>1</v>
          </cell>
          <cell r="AH289">
            <v>40</v>
          </cell>
          <cell r="AI289">
            <v>640</v>
          </cell>
          <cell r="AJ289">
            <v>160</v>
          </cell>
          <cell r="AK289" t="str">
            <v>DuPont Wharf</v>
          </cell>
          <cell r="AL289" t="str">
            <v>1, 0.0625 m2 rebar quads planted and PAR sensor installed ~ 2 m away</v>
          </cell>
        </row>
        <row r="290">
          <cell r="B290" t="str">
            <v>Zangle Cove - DNR - test - 4 Chia - 2016</v>
          </cell>
          <cell r="C290" t="str">
            <v>ZAN_4</v>
          </cell>
          <cell r="D290" t="str">
            <v>single</v>
          </cell>
          <cell r="E290">
            <v>2016</v>
          </cell>
          <cell r="F290" t="str">
            <v>personal observation</v>
          </cell>
          <cell r="G290" t="str">
            <v>point</v>
          </cell>
          <cell r="H290" t="str">
            <v>Dana Passage</v>
          </cell>
          <cell r="I290" t="str">
            <v>SPS</v>
          </cell>
          <cell r="J290" t="str">
            <v>DNR</v>
          </cell>
          <cell r="K290" t="str">
            <v>DNR</v>
          </cell>
          <cell r="L290" t="str">
            <v>Aquatic Restoration Program</v>
          </cell>
          <cell r="R290" t="str">
            <v>test</v>
          </cell>
          <cell r="S290" t="str">
            <v>test</v>
          </cell>
          <cell r="T290">
            <v>42572</v>
          </cell>
          <cell r="U290">
            <v>47.145493289999997</v>
          </cell>
          <cell r="V290">
            <v>-122.8937296</v>
          </cell>
          <cell r="W290" t="str">
            <v>point</v>
          </cell>
          <cell r="X290" t="str">
            <v>retain</v>
          </cell>
          <cell r="Y290" t="str">
            <v>WGS84</v>
          </cell>
          <cell r="Z290">
            <v>-0.5</v>
          </cell>
          <cell r="AA290" t="str">
            <v>rebar</v>
          </cell>
          <cell r="AB290">
            <v>4</v>
          </cell>
          <cell r="AC290">
            <v>0.25</v>
          </cell>
          <cell r="AD290">
            <v>1</v>
          </cell>
          <cell r="AE290">
            <v>1</v>
          </cell>
          <cell r="AF290">
            <v>0.1</v>
          </cell>
          <cell r="AG290">
            <v>4</v>
          </cell>
          <cell r="AH290">
            <v>200</v>
          </cell>
          <cell r="AI290">
            <v>200</v>
          </cell>
          <cell r="AJ290">
            <v>200</v>
          </cell>
          <cell r="AK290" t="str">
            <v>DuPont Wharf</v>
          </cell>
          <cell r="AL290" t="str">
            <v>4, 0.0625 m2 rebar quads planted (chia pets)</v>
          </cell>
        </row>
      </sheetData>
      <sheetData sheetId="4">
        <row r="2">
          <cell r="A2" t="str">
            <v>Amsterdam Bay - PNNL - shallow - test - 2013</v>
          </cell>
          <cell r="B2" t="str">
            <v>AMS_shallow</v>
          </cell>
          <cell r="C2" t="str">
            <v>single</v>
          </cell>
          <cell r="D2" t="str">
            <v>point</v>
          </cell>
          <cell r="E2" t="str">
            <v>retain</v>
          </cell>
        </row>
        <row r="3">
          <cell r="A3" t="str">
            <v>Amsterdam Bay - PNNL - deep - test - 2013</v>
          </cell>
          <cell r="B3" t="str">
            <v>AMS_deep</v>
          </cell>
          <cell r="C3" t="str">
            <v>single</v>
          </cell>
          <cell r="D3" t="str">
            <v>point</v>
          </cell>
          <cell r="E3" t="str">
            <v>retain</v>
          </cell>
        </row>
        <row r="4">
          <cell r="A4" t="str">
            <v>Joemma Beach State Park Mid - PNNL - shallow - test - 2013</v>
          </cell>
          <cell r="B4" t="str">
            <v>JSP_mid_shallow</v>
          </cell>
          <cell r="C4" t="str">
            <v>single</v>
          </cell>
          <cell r="D4" t="str">
            <v>point</v>
          </cell>
          <cell r="E4" t="str">
            <v>retain</v>
          </cell>
        </row>
        <row r="5">
          <cell r="A5" t="str">
            <v>Joemma Beach State Park Mid - PNNL - deep - test - 2013</v>
          </cell>
          <cell r="B5" t="str">
            <v>JSP_mid_deep</v>
          </cell>
          <cell r="C5" t="str">
            <v>single</v>
          </cell>
          <cell r="D5" t="str">
            <v>point</v>
          </cell>
          <cell r="E5" t="str">
            <v>retain</v>
          </cell>
        </row>
        <row r="6">
          <cell r="A6" t="str">
            <v>Liberty Bay East - PNNL - test - 2013</v>
          </cell>
          <cell r="B6" t="str">
            <v>LBT_east</v>
          </cell>
          <cell r="C6" t="str">
            <v>single</v>
          </cell>
          <cell r="D6" t="str">
            <v>point</v>
          </cell>
          <cell r="E6" t="str">
            <v>retain</v>
          </cell>
        </row>
        <row r="7">
          <cell r="A7" t="str">
            <v>Liberty Bay West - PNNL - test - 2013</v>
          </cell>
          <cell r="B7" t="str">
            <v>LBT_west</v>
          </cell>
          <cell r="C7" t="str">
            <v>single</v>
          </cell>
          <cell r="D7" t="str">
            <v>point</v>
          </cell>
          <cell r="E7" t="str">
            <v>retain</v>
          </cell>
        </row>
        <row r="8">
          <cell r="A8" t="str">
            <v>Westcott Bay East - PNNL - test - 2013</v>
          </cell>
          <cell r="B8" t="str">
            <v>WES_east</v>
          </cell>
          <cell r="C8" t="str">
            <v>single</v>
          </cell>
          <cell r="D8" t="str">
            <v>point</v>
          </cell>
          <cell r="E8" t="str">
            <v>retain</v>
          </cell>
        </row>
        <row r="9">
          <cell r="A9" t="str">
            <v>Westcott Bay West - PNNL - test - 2013</v>
          </cell>
          <cell r="B9" t="str">
            <v>WES_west</v>
          </cell>
          <cell r="C9" t="str">
            <v>single</v>
          </cell>
          <cell r="D9" t="str">
            <v>point</v>
          </cell>
          <cell r="E9" t="str">
            <v>retain</v>
          </cell>
        </row>
        <row r="10">
          <cell r="A10" t="str">
            <v>Zangle Cove - PNNL - test - 2013</v>
          </cell>
          <cell r="B10" t="str">
            <v>ZAN_1</v>
          </cell>
          <cell r="C10" t="str">
            <v>single</v>
          </cell>
          <cell r="D10" t="str">
            <v>point</v>
          </cell>
          <cell r="E10" t="str">
            <v>retain</v>
          </cell>
        </row>
        <row r="11">
          <cell r="A11" t="str">
            <v>Port Gamble Bay - PNNL - test 5 - 2014</v>
          </cell>
          <cell r="B11" t="str">
            <v>PTG_5</v>
          </cell>
          <cell r="C11" t="str">
            <v>single</v>
          </cell>
          <cell r="D11" t="str">
            <v>point</v>
          </cell>
          <cell r="E11" t="str">
            <v>retain</v>
          </cell>
        </row>
        <row r="12">
          <cell r="A12" t="str">
            <v>Port Gamble Bay - PNNL - test 2 - 2014</v>
          </cell>
          <cell r="B12" t="str">
            <v>PTG_2</v>
          </cell>
          <cell r="C12" t="str">
            <v>single</v>
          </cell>
          <cell r="D12" t="str">
            <v>point</v>
          </cell>
          <cell r="E12" t="str">
            <v>retain</v>
          </cell>
        </row>
        <row r="13">
          <cell r="A13" t="str">
            <v>Port Gamble Bay - PNNL - test 3 - 2014</v>
          </cell>
          <cell r="B13" t="str">
            <v>PTG_3</v>
          </cell>
          <cell r="C13" t="str">
            <v>single</v>
          </cell>
          <cell r="D13" t="str">
            <v>point</v>
          </cell>
          <cell r="E13" t="str">
            <v>retain</v>
          </cell>
        </row>
        <row r="14">
          <cell r="A14" t="str">
            <v>Port Gamble Bay - PNNL - test 4 - 2014</v>
          </cell>
          <cell r="B14" t="str">
            <v>PTG_4</v>
          </cell>
          <cell r="C14" t="str">
            <v>single</v>
          </cell>
          <cell r="D14" t="str">
            <v>point</v>
          </cell>
          <cell r="E14" t="str">
            <v>retain</v>
          </cell>
        </row>
        <row r="15">
          <cell r="A15" t="str">
            <v>Port Gamble Bay - PNNL - test 1 - 2014</v>
          </cell>
          <cell r="B15" t="str">
            <v>PTG_1</v>
          </cell>
          <cell r="C15" t="str">
            <v>single</v>
          </cell>
          <cell r="D15" t="str">
            <v>point</v>
          </cell>
          <cell r="E15" t="str">
            <v>retain</v>
          </cell>
        </row>
        <row r="16">
          <cell r="A16" t="str">
            <v>Port Gamble Bay - PNNL - test 6 - 2014</v>
          </cell>
          <cell r="B16" t="str">
            <v>PTG_6</v>
          </cell>
          <cell r="C16" t="str">
            <v>single</v>
          </cell>
          <cell r="D16" t="str">
            <v>point</v>
          </cell>
          <cell r="E16" t="str">
            <v>retain</v>
          </cell>
        </row>
        <row r="17">
          <cell r="A17" t="str">
            <v>Quilcene Bay - PNNL - test - 2014</v>
          </cell>
          <cell r="B17" t="str">
            <v>QLC01</v>
          </cell>
          <cell r="C17" t="str">
            <v>single</v>
          </cell>
          <cell r="D17" t="str">
            <v>point</v>
          </cell>
          <cell r="E17" t="str">
            <v>retain</v>
          </cell>
        </row>
        <row r="18">
          <cell r="A18" t="str">
            <v>Anderson Island West - PNNL - test - 2015</v>
          </cell>
          <cell r="B18" t="str">
            <v>AND_west1</v>
          </cell>
          <cell r="C18" t="str">
            <v>single</v>
          </cell>
          <cell r="D18" t="str">
            <v>point</v>
          </cell>
          <cell r="E18" t="str">
            <v>retain</v>
          </cell>
        </row>
        <row r="19">
          <cell r="A19" t="str">
            <v>Chico Bay - PNNL - test - 2015</v>
          </cell>
          <cell r="B19" t="str">
            <v>CHC</v>
          </cell>
          <cell r="C19" t="str">
            <v>single</v>
          </cell>
          <cell r="D19" t="str">
            <v>point</v>
          </cell>
          <cell r="E19" t="str">
            <v>retain</v>
          </cell>
        </row>
        <row r="20">
          <cell r="A20" t="str">
            <v>Delano Beach - PNNL - test - 2015</v>
          </cell>
          <cell r="B20" t="str">
            <v>DEL_1</v>
          </cell>
          <cell r="C20" t="str">
            <v>initial</v>
          </cell>
          <cell r="D20" t="str">
            <v>point</v>
          </cell>
          <cell r="E20" t="str">
            <v>retain</v>
          </cell>
        </row>
        <row r="21">
          <cell r="A21" t="str">
            <v>Eld Inlet - shallow - PNNL - test - 2015</v>
          </cell>
          <cell r="B21" t="str">
            <v>ELD_shallow</v>
          </cell>
          <cell r="C21" t="str">
            <v>single</v>
          </cell>
          <cell r="D21" t="str">
            <v>point</v>
          </cell>
          <cell r="E21" t="str">
            <v>retain</v>
          </cell>
        </row>
        <row r="22">
          <cell r="A22" t="str">
            <v>Eld Inlet - deep - PNNL - test - 2015</v>
          </cell>
          <cell r="B22" t="str">
            <v>ELD_deep</v>
          </cell>
          <cell r="C22" t="str">
            <v>single</v>
          </cell>
          <cell r="D22" t="str">
            <v>point</v>
          </cell>
          <cell r="E22" t="str">
            <v>retain</v>
          </cell>
        </row>
        <row r="23">
          <cell r="A23" t="str">
            <v>Graham Point - PNNL - test - 2015</v>
          </cell>
          <cell r="B23" t="str">
            <v>GRA_1</v>
          </cell>
          <cell r="C23" t="str">
            <v>single</v>
          </cell>
          <cell r="D23" t="str">
            <v>point</v>
          </cell>
          <cell r="E23" t="str">
            <v>retain</v>
          </cell>
        </row>
        <row r="24">
          <cell r="A24" t="str">
            <v>Herron Island - PNNL - test - 2015</v>
          </cell>
          <cell r="B24" t="str">
            <v>HRI</v>
          </cell>
          <cell r="C24" t="str">
            <v>single</v>
          </cell>
          <cell r="D24" t="str">
            <v>point</v>
          </cell>
          <cell r="E24" t="str">
            <v>retain</v>
          </cell>
        </row>
        <row r="25">
          <cell r="A25" t="str">
            <v>Edgewater - south - PNNL - test - 2015</v>
          </cell>
          <cell r="B25" t="str">
            <v>HPT_south_1</v>
          </cell>
          <cell r="C25" t="str">
            <v>single</v>
          </cell>
          <cell r="D25" t="str">
            <v>point</v>
          </cell>
          <cell r="E25" t="str">
            <v>retain</v>
          </cell>
        </row>
        <row r="26">
          <cell r="A26" t="str">
            <v>Edgewater - north - PNNL - test - 2015</v>
          </cell>
          <cell r="B26" t="str">
            <v>HPT_north_2</v>
          </cell>
          <cell r="C26" t="str">
            <v>single</v>
          </cell>
          <cell r="D26" t="str">
            <v>point</v>
          </cell>
          <cell r="E26" t="str">
            <v>retain</v>
          </cell>
        </row>
        <row r="27">
          <cell r="A27" t="str">
            <v>Joemma Beach State Park Mid South - W - PNNL - large - 2015</v>
          </cell>
          <cell r="B27" t="str">
            <v>JSP_mid_south_P1</v>
          </cell>
          <cell r="C27" t="str">
            <v>single</v>
          </cell>
          <cell r="D27" t="str">
            <v>polygon</v>
          </cell>
          <cell r="E27" t="str">
            <v>retain</v>
          </cell>
        </row>
        <row r="28">
          <cell r="A28" t="str">
            <v>Joemma Beach State Park Mid South - N - PNNL - large - 2015</v>
          </cell>
          <cell r="B28" t="str">
            <v>JSP_mid_south_P1</v>
          </cell>
          <cell r="C28" t="str">
            <v>single</v>
          </cell>
          <cell r="D28" t="str">
            <v>polygon</v>
          </cell>
          <cell r="E28" t="str">
            <v>retain</v>
          </cell>
        </row>
        <row r="29">
          <cell r="A29" t="str">
            <v>Joemma Beach State Park Mid South - E - PNNL - large - 2015</v>
          </cell>
          <cell r="B29" t="str">
            <v>JSP_mid_south_P1</v>
          </cell>
          <cell r="C29" t="str">
            <v>single</v>
          </cell>
          <cell r="D29" t="str">
            <v>polygon</v>
          </cell>
          <cell r="E29" t="str">
            <v>retain</v>
          </cell>
        </row>
        <row r="30">
          <cell r="A30" t="str">
            <v>Joemma Beach State Park Mid South - S - PNNL - large - 2015</v>
          </cell>
          <cell r="B30" t="str">
            <v>JSP_mid_south_P1</v>
          </cell>
          <cell r="C30" t="str">
            <v>single</v>
          </cell>
          <cell r="D30" t="str">
            <v>polygon</v>
          </cell>
          <cell r="E30" t="str">
            <v>retain</v>
          </cell>
        </row>
        <row r="31">
          <cell r="A31" t="str">
            <v>Joemma Beach State Park Mid North - NW - PNNL - large - 2015</v>
          </cell>
          <cell r="B31" t="str">
            <v>JSP_mid_north_P1</v>
          </cell>
          <cell r="C31" t="str">
            <v>single</v>
          </cell>
          <cell r="D31" t="str">
            <v>polygon</v>
          </cell>
          <cell r="E31" t="str">
            <v>retain</v>
          </cell>
        </row>
        <row r="32">
          <cell r="A32" t="str">
            <v>Joemma Beach State Park Mid North - NE - PNNL - large - 2015</v>
          </cell>
          <cell r="B32" t="str">
            <v>JSP_mid_north_P1</v>
          </cell>
          <cell r="C32" t="str">
            <v>single</v>
          </cell>
          <cell r="D32" t="str">
            <v>polygon</v>
          </cell>
          <cell r="E32" t="str">
            <v>retain</v>
          </cell>
        </row>
        <row r="33">
          <cell r="A33" t="str">
            <v>Joemma Beach State Park Mid North - SE - PNNL - large - 2015</v>
          </cell>
          <cell r="B33" t="str">
            <v>JSP_mid_north_P1</v>
          </cell>
          <cell r="C33" t="str">
            <v>single</v>
          </cell>
          <cell r="D33" t="str">
            <v>polygon</v>
          </cell>
          <cell r="E33" t="str">
            <v>retain</v>
          </cell>
        </row>
        <row r="34">
          <cell r="A34" t="str">
            <v>Joemma Beach State Park Mid North - SW - PNNL - large - 2015</v>
          </cell>
          <cell r="B34" t="str">
            <v>JSP_mid_north_P1</v>
          </cell>
          <cell r="C34" t="str">
            <v>single</v>
          </cell>
          <cell r="D34" t="str">
            <v>polygon</v>
          </cell>
          <cell r="E34" t="str">
            <v>retain</v>
          </cell>
        </row>
        <row r="35">
          <cell r="A35" t="str">
            <v>Joemma Beach State Park - southeast - PNNL - test - 2015</v>
          </cell>
          <cell r="B35" t="str">
            <v>JSP_southeast</v>
          </cell>
          <cell r="C35" t="str">
            <v>single</v>
          </cell>
          <cell r="D35" t="str">
            <v>point</v>
          </cell>
          <cell r="E35" t="str">
            <v>retain</v>
          </cell>
        </row>
        <row r="36">
          <cell r="A36" t="str">
            <v>McNeil Island - north - PNNL - test - 2015</v>
          </cell>
          <cell r="B36" t="str">
            <v>MCN_north</v>
          </cell>
          <cell r="C36" t="str">
            <v>single</v>
          </cell>
          <cell r="D36" t="str">
            <v>point</v>
          </cell>
          <cell r="E36" t="str">
            <v>retain</v>
          </cell>
        </row>
        <row r="37">
          <cell r="A37" t="str">
            <v>Ostrich Bay - PNNL - test - 2015</v>
          </cell>
          <cell r="B37" t="str">
            <v>OST</v>
          </cell>
          <cell r="C37" t="str">
            <v>single</v>
          </cell>
          <cell r="D37" t="str">
            <v>point</v>
          </cell>
          <cell r="E37" t="str">
            <v>retain</v>
          </cell>
        </row>
        <row r="38">
          <cell r="A38" t="str">
            <v>Port Gamble Bay - 1 - PNNL - large scale - N corner</v>
          </cell>
          <cell r="B38" t="str">
            <v>PTG_P1</v>
          </cell>
          <cell r="C38" t="str">
            <v>single</v>
          </cell>
          <cell r="D38" t="str">
            <v>polygon</v>
          </cell>
          <cell r="E38" t="str">
            <v>retain</v>
          </cell>
        </row>
        <row r="39">
          <cell r="A39" t="str">
            <v>Port Gamble Bay - 1 - PNNL - large scale - E corner</v>
          </cell>
          <cell r="B39" t="str">
            <v>PTG_P1</v>
          </cell>
          <cell r="C39" t="str">
            <v>single</v>
          </cell>
          <cell r="D39" t="str">
            <v>polygon</v>
          </cell>
          <cell r="E39" t="str">
            <v>retain</v>
          </cell>
        </row>
        <row r="40">
          <cell r="A40" t="str">
            <v>Port Gamble Bay - 1 - PNNL - large scale - S corner</v>
          </cell>
          <cell r="B40" t="str">
            <v>PTG_P1</v>
          </cell>
          <cell r="C40" t="str">
            <v>single</v>
          </cell>
          <cell r="D40" t="str">
            <v>polygon</v>
          </cell>
          <cell r="E40" t="str">
            <v>retain</v>
          </cell>
        </row>
        <row r="41">
          <cell r="A41" t="str">
            <v>Port Gamble Bay - 1 - PNNL - large scale - W corner</v>
          </cell>
          <cell r="B41" t="str">
            <v>PTG_P1</v>
          </cell>
          <cell r="C41" t="str">
            <v>single</v>
          </cell>
          <cell r="D41" t="str">
            <v>polygon</v>
          </cell>
          <cell r="E41" t="str">
            <v>retain</v>
          </cell>
        </row>
        <row r="42">
          <cell r="A42" t="str">
            <v>Port Gamble Bay - 2 - PNNL - large scale - N corner</v>
          </cell>
          <cell r="B42" t="str">
            <v>PTG_P2</v>
          </cell>
          <cell r="C42" t="str">
            <v>single</v>
          </cell>
          <cell r="D42" t="str">
            <v>polygon</v>
          </cell>
          <cell r="E42" t="str">
            <v>retain</v>
          </cell>
        </row>
        <row r="43">
          <cell r="A43" t="str">
            <v>Port Gamble Bay - 2 - PNNL - large scale - E corner</v>
          </cell>
          <cell r="B43" t="str">
            <v>PTG_P2</v>
          </cell>
          <cell r="C43" t="str">
            <v>single</v>
          </cell>
          <cell r="D43" t="str">
            <v>polygon</v>
          </cell>
          <cell r="E43" t="str">
            <v>retain</v>
          </cell>
        </row>
        <row r="44">
          <cell r="A44" t="str">
            <v>Port Gamble Bay - 2 - PNNL - large scale - S corner</v>
          </cell>
          <cell r="B44" t="str">
            <v>PTG_P2</v>
          </cell>
          <cell r="C44" t="str">
            <v>single</v>
          </cell>
          <cell r="D44" t="str">
            <v>polygon</v>
          </cell>
          <cell r="E44" t="str">
            <v>retain</v>
          </cell>
        </row>
        <row r="45">
          <cell r="A45" t="str">
            <v>Port Gamble Bay - 2 - PNNL - large scale - W corner</v>
          </cell>
          <cell r="B45" t="str">
            <v>PTG_P2</v>
          </cell>
          <cell r="C45" t="str">
            <v>single</v>
          </cell>
          <cell r="D45" t="str">
            <v>polygon</v>
          </cell>
          <cell r="E45" t="str">
            <v>retain</v>
          </cell>
        </row>
        <row r="46">
          <cell r="A46" t="str">
            <v>Port Gamble Bay - 3 - PNNL -  large scale - NW corner</v>
          </cell>
          <cell r="B46" t="str">
            <v>PTG_P3</v>
          </cell>
          <cell r="C46" t="str">
            <v>single</v>
          </cell>
          <cell r="D46" t="str">
            <v>polygon</v>
          </cell>
          <cell r="E46" t="str">
            <v>retain</v>
          </cell>
        </row>
        <row r="47">
          <cell r="A47" t="str">
            <v>Port Gamble Bay - 3 - PNNL - large scale - NE corner</v>
          </cell>
          <cell r="B47" t="str">
            <v>PTG_P3</v>
          </cell>
          <cell r="C47" t="str">
            <v>single</v>
          </cell>
          <cell r="D47" t="str">
            <v>polygon</v>
          </cell>
          <cell r="E47" t="str">
            <v>retain</v>
          </cell>
        </row>
        <row r="48">
          <cell r="A48" t="str">
            <v>Port Gamble Bay - 3 - PNNL - large scale - SE corner</v>
          </cell>
          <cell r="B48" t="str">
            <v>PTG_P3</v>
          </cell>
          <cell r="C48" t="str">
            <v>single</v>
          </cell>
          <cell r="D48" t="str">
            <v>polygon</v>
          </cell>
          <cell r="E48" t="str">
            <v>retain</v>
          </cell>
        </row>
        <row r="49">
          <cell r="A49" t="str">
            <v>Port Gamble Bay - 3 - PNNL - large scale - SW corner</v>
          </cell>
          <cell r="B49" t="str">
            <v>PTG_P3</v>
          </cell>
          <cell r="C49" t="str">
            <v>single</v>
          </cell>
          <cell r="D49" t="str">
            <v>polygon</v>
          </cell>
          <cell r="E49" t="str">
            <v>retain</v>
          </cell>
        </row>
        <row r="50">
          <cell r="A50" t="str">
            <v>Port Gamble Bay - 4 - PNNL - large scale - NW corner</v>
          </cell>
          <cell r="B50" t="str">
            <v>PTG_P4</v>
          </cell>
          <cell r="C50" t="str">
            <v>single</v>
          </cell>
          <cell r="D50" t="str">
            <v>polygon</v>
          </cell>
          <cell r="E50" t="str">
            <v>retain</v>
          </cell>
        </row>
        <row r="51">
          <cell r="A51" t="str">
            <v>Port Gamble Bay - 4 - PNNL - large scale - NE corner</v>
          </cell>
          <cell r="B51" t="str">
            <v>PTG_P4</v>
          </cell>
          <cell r="C51" t="str">
            <v>single</v>
          </cell>
          <cell r="D51" t="str">
            <v>polygon</v>
          </cell>
          <cell r="E51" t="str">
            <v>retain</v>
          </cell>
        </row>
        <row r="52">
          <cell r="A52" t="str">
            <v>Port Gamble Bay - 4 - PNNL - large scale - SE corner</v>
          </cell>
          <cell r="B52" t="str">
            <v>PTG_P4</v>
          </cell>
          <cell r="C52" t="str">
            <v>single</v>
          </cell>
          <cell r="D52" t="str">
            <v>polygon</v>
          </cell>
          <cell r="E52" t="str">
            <v>retain</v>
          </cell>
        </row>
        <row r="53">
          <cell r="A53" t="str">
            <v>Port Gamble Bay - 4 - PNNL - large scale - SW corner</v>
          </cell>
          <cell r="B53" t="str">
            <v>PTG_P4</v>
          </cell>
          <cell r="C53" t="str">
            <v>single</v>
          </cell>
          <cell r="D53" t="str">
            <v>polygon</v>
          </cell>
          <cell r="E53" t="str">
            <v>retain</v>
          </cell>
        </row>
        <row r="54">
          <cell r="A54" t="str">
            <v>Stretch Island - PNNL - test - 2015</v>
          </cell>
          <cell r="B54" t="str">
            <v>STI</v>
          </cell>
          <cell r="C54" t="str">
            <v>single</v>
          </cell>
          <cell r="D54" t="str">
            <v>point</v>
          </cell>
          <cell r="E54" t="str">
            <v>retain</v>
          </cell>
        </row>
        <row r="55">
          <cell r="A55" t="str">
            <v>Zangle Cove - NW - PNNL - large - 2015</v>
          </cell>
          <cell r="B55" t="str">
            <v>ZAN_P1</v>
          </cell>
          <cell r="C55" t="str">
            <v>single</v>
          </cell>
          <cell r="D55" t="str">
            <v>polygon</v>
          </cell>
          <cell r="E55" t="str">
            <v>retain</v>
          </cell>
        </row>
        <row r="56">
          <cell r="A56" t="str">
            <v>Zangle Cove - NE - PNNL - large - 2015</v>
          </cell>
          <cell r="B56" t="str">
            <v>ZAN_P1</v>
          </cell>
          <cell r="C56" t="str">
            <v>single</v>
          </cell>
          <cell r="D56" t="str">
            <v>polygon</v>
          </cell>
          <cell r="E56" t="str">
            <v>retain</v>
          </cell>
        </row>
        <row r="57">
          <cell r="A57" t="str">
            <v>Zangle Cove - SE - PNNL - large - 2015</v>
          </cell>
          <cell r="B57" t="str">
            <v>ZAN_P1</v>
          </cell>
          <cell r="C57" t="str">
            <v>single</v>
          </cell>
          <cell r="D57" t="str">
            <v>polygon</v>
          </cell>
          <cell r="E57" t="str">
            <v>retain</v>
          </cell>
        </row>
        <row r="58">
          <cell r="A58" t="str">
            <v>Zangle Cove - SW - PNNL - large - 2015</v>
          </cell>
          <cell r="B58" t="str">
            <v>ZAN_P1</v>
          </cell>
          <cell r="C58" t="str">
            <v>single</v>
          </cell>
          <cell r="D58" t="str">
            <v>polygon</v>
          </cell>
          <cell r="E58" t="str">
            <v>retain</v>
          </cell>
        </row>
        <row r="59">
          <cell r="A59" t="str">
            <v>Zangle Cove - SW - PNNL - test - 2015</v>
          </cell>
          <cell r="B59" t="str">
            <v>ZAN_2</v>
          </cell>
          <cell r="C59" t="str">
            <v>single</v>
          </cell>
          <cell r="D59" t="str">
            <v>point</v>
          </cell>
          <cell r="E59" t="str">
            <v>retain</v>
          </cell>
        </row>
        <row r="60">
          <cell r="A60" t="str">
            <v>Anderson Island West - PNNL - test - 2016</v>
          </cell>
          <cell r="B60" t="str">
            <v>AND_west2</v>
          </cell>
          <cell r="C60" t="str">
            <v>single</v>
          </cell>
          <cell r="D60" t="str">
            <v>point</v>
          </cell>
          <cell r="E60" t="str">
            <v>retain</v>
          </cell>
        </row>
        <row r="61">
          <cell r="A61" t="str">
            <v>Anderson Island South - PNNL - test - 2016</v>
          </cell>
          <cell r="B61" t="str">
            <v>AND_south1</v>
          </cell>
          <cell r="C61" t="str">
            <v>single</v>
          </cell>
          <cell r="D61" t="str">
            <v>point</v>
          </cell>
          <cell r="E61" t="str">
            <v>retain</v>
          </cell>
        </row>
        <row r="62">
          <cell r="A62" t="str">
            <v>Delano W T1 - HC - test - 2016</v>
          </cell>
          <cell r="B62" t="str">
            <v>DEL_L1</v>
          </cell>
          <cell r="C62" t="str">
            <v>single</v>
          </cell>
          <cell r="D62" t="str">
            <v>line</v>
          </cell>
          <cell r="E62" t="str">
            <v>retain</v>
          </cell>
        </row>
        <row r="63">
          <cell r="A63" t="str">
            <v>Delano W T2 - HC - test - 2016</v>
          </cell>
          <cell r="B63" t="str">
            <v>DEL_L1</v>
          </cell>
          <cell r="C63" t="str">
            <v>single</v>
          </cell>
          <cell r="D63" t="str">
            <v>line</v>
          </cell>
          <cell r="E63" t="str">
            <v>retain</v>
          </cell>
        </row>
        <row r="64">
          <cell r="A64" t="str">
            <v>Delano Beach - SE - HC - large - 2016</v>
          </cell>
          <cell r="B64" t="str">
            <v>DEL_P1</v>
          </cell>
          <cell r="C64" t="str">
            <v>single</v>
          </cell>
          <cell r="D64" t="str">
            <v>polygon</v>
          </cell>
          <cell r="E64" t="str">
            <v>retain</v>
          </cell>
        </row>
        <row r="65">
          <cell r="A65" t="str">
            <v>Delano Beach - SW - HC - large - 2016</v>
          </cell>
          <cell r="B65" t="str">
            <v>DEL_P1</v>
          </cell>
          <cell r="C65" t="str">
            <v>single</v>
          </cell>
          <cell r="D65" t="str">
            <v>polygon</v>
          </cell>
          <cell r="E65" t="str">
            <v>retain</v>
          </cell>
        </row>
        <row r="66">
          <cell r="A66" t="str">
            <v>Delano Beach - NE - HC - large - 2016</v>
          </cell>
          <cell r="B66" t="str">
            <v>DEL_P1</v>
          </cell>
          <cell r="C66" t="str">
            <v>single</v>
          </cell>
          <cell r="D66" t="str">
            <v>polygon</v>
          </cell>
          <cell r="E66" t="str">
            <v>retain</v>
          </cell>
        </row>
        <row r="67">
          <cell r="A67" t="str">
            <v>Delano Beach - NW - HC - large - 2016</v>
          </cell>
          <cell r="B67" t="str">
            <v>DEL_P1</v>
          </cell>
          <cell r="C67" t="str">
            <v>single</v>
          </cell>
          <cell r="D67" t="str">
            <v>polygon</v>
          </cell>
          <cell r="E67" t="str">
            <v>retain</v>
          </cell>
        </row>
        <row r="68">
          <cell r="A68" t="str">
            <v>Elwha Delta - north - PNNL - test - 2016</v>
          </cell>
          <cell r="B68" t="str">
            <v>ELW_north</v>
          </cell>
          <cell r="C68" t="str">
            <v>single</v>
          </cell>
          <cell r="D68" t="str">
            <v>point</v>
          </cell>
          <cell r="E68" t="str">
            <v>retain</v>
          </cell>
        </row>
        <row r="69">
          <cell r="A69" t="str">
            <v>Elwha Delta - deep west - PNNL - test - 2016</v>
          </cell>
          <cell r="B69" t="str">
            <v>ELW_deep_west</v>
          </cell>
          <cell r="C69" t="str">
            <v>single</v>
          </cell>
          <cell r="D69" t="str">
            <v>point</v>
          </cell>
          <cell r="E69" t="str">
            <v>retain</v>
          </cell>
        </row>
        <row r="70">
          <cell r="A70" t="str">
            <v>Elwha Delta - shallow - PNNL - test - 2016</v>
          </cell>
          <cell r="B70" t="str">
            <v>ELW_shallow</v>
          </cell>
          <cell r="C70" t="str">
            <v>single</v>
          </cell>
          <cell r="D70" t="str">
            <v>point</v>
          </cell>
          <cell r="E70" t="str">
            <v>retain</v>
          </cell>
        </row>
        <row r="71">
          <cell r="A71" t="str">
            <v>Graham Point - DNR - test - chia -2016</v>
          </cell>
          <cell r="B71" t="str">
            <v>GRA_2</v>
          </cell>
          <cell r="C71" t="str">
            <v>single</v>
          </cell>
          <cell r="D71" t="str">
            <v>point</v>
          </cell>
          <cell r="E71" t="str">
            <v>drop</v>
          </cell>
        </row>
        <row r="72">
          <cell r="A72" t="str">
            <v>Joemma Beach State Park North - north - HC - test - 2016</v>
          </cell>
          <cell r="B72" t="str">
            <v>JSP_north</v>
          </cell>
          <cell r="C72" t="str">
            <v>single</v>
          </cell>
          <cell r="D72" t="str">
            <v>line</v>
          </cell>
          <cell r="E72" t="str">
            <v>retain</v>
          </cell>
        </row>
        <row r="73">
          <cell r="A73" t="str">
            <v>Joemma Beach State Park North - north - HC - test - 2016</v>
          </cell>
          <cell r="B73" t="str">
            <v>JSP_north</v>
          </cell>
          <cell r="C73" t="str">
            <v>single</v>
          </cell>
          <cell r="D73" t="str">
            <v>line</v>
          </cell>
          <cell r="E73" t="str">
            <v>retain</v>
          </cell>
        </row>
        <row r="74">
          <cell r="A74" t="str">
            <v>Joemma Beach State Park South - SE - HC - large 1 - 2016</v>
          </cell>
          <cell r="B74" t="str">
            <v>JSP_south_P1</v>
          </cell>
          <cell r="C74" t="str">
            <v>single</v>
          </cell>
          <cell r="D74" t="str">
            <v>polygon</v>
          </cell>
          <cell r="E74" t="str">
            <v>retain</v>
          </cell>
        </row>
        <row r="75">
          <cell r="A75" t="str">
            <v>Joemma Beach State Park South - SW - HC - large 1 - 2016</v>
          </cell>
          <cell r="B75" t="str">
            <v>JSP_south_P1</v>
          </cell>
          <cell r="C75" t="str">
            <v>single</v>
          </cell>
          <cell r="D75" t="str">
            <v>polygon</v>
          </cell>
          <cell r="E75" t="str">
            <v>retain</v>
          </cell>
        </row>
        <row r="76">
          <cell r="A76" t="str">
            <v>Joemma Beach State Park South - NE - HC - large 1 - 2016</v>
          </cell>
          <cell r="B76" t="str">
            <v>JSP_south_P1</v>
          </cell>
          <cell r="C76" t="str">
            <v>single</v>
          </cell>
          <cell r="D76" t="str">
            <v>polygon</v>
          </cell>
          <cell r="E76" t="str">
            <v>retain</v>
          </cell>
        </row>
        <row r="77">
          <cell r="A77" t="str">
            <v>Joemma Beach State Park South - NW - HC - large 1 - 2016</v>
          </cell>
          <cell r="B77" t="str">
            <v>JSP_south_P1</v>
          </cell>
          <cell r="C77" t="str">
            <v>single</v>
          </cell>
          <cell r="D77" t="str">
            <v>polygon</v>
          </cell>
          <cell r="E77" t="str">
            <v>retain</v>
          </cell>
        </row>
        <row r="78">
          <cell r="A78" t="str">
            <v>South Shore -PNNL - test - 1 - (eastern most) - 2016</v>
          </cell>
          <cell r="B78" t="str">
            <v>MCN_south_1</v>
          </cell>
          <cell r="C78" t="str">
            <v>single</v>
          </cell>
          <cell r="D78" t="str">
            <v>point</v>
          </cell>
          <cell r="E78" t="str">
            <v>retain</v>
          </cell>
        </row>
        <row r="79">
          <cell r="A79" t="str">
            <v>South Shore - PNNL - test - 2  - (middle) - 2016</v>
          </cell>
          <cell r="B79" t="str">
            <v>MCN_south_2</v>
          </cell>
          <cell r="C79" t="str">
            <v>single</v>
          </cell>
          <cell r="D79" t="str">
            <v>point</v>
          </cell>
          <cell r="E79" t="str">
            <v>retain</v>
          </cell>
        </row>
        <row r="80">
          <cell r="A80" t="str">
            <v>South Shore - PNNL - test - 3  - (western most) - 2016</v>
          </cell>
          <cell r="B80" t="str">
            <v>MCN_south_3</v>
          </cell>
          <cell r="C80" t="str">
            <v>single</v>
          </cell>
          <cell r="D80" t="str">
            <v>point</v>
          </cell>
          <cell r="E80" t="str">
            <v>retain</v>
          </cell>
        </row>
        <row r="81">
          <cell r="A81" t="str">
            <v>Still Harbor - PNNL - test - 1  - (southern most) - 2016</v>
          </cell>
          <cell r="B81" t="str">
            <v>MCN_still_1</v>
          </cell>
          <cell r="C81" t="str">
            <v>single</v>
          </cell>
          <cell r="D81" t="str">
            <v>point</v>
          </cell>
          <cell r="E81" t="str">
            <v>retain</v>
          </cell>
        </row>
        <row r="82">
          <cell r="A82" t="str">
            <v>Still Harbor - PNNL - test - 2  - rebar (northern most) - 2016</v>
          </cell>
          <cell r="B82" t="str">
            <v>MCN_still_2</v>
          </cell>
          <cell r="C82" t="str">
            <v>colocated</v>
          </cell>
          <cell r="D82" t="str">
            <v>point</v>
          </cell>
          <cell r="E82" t="str">
            <v>retain</v>
          </cell>
        </row>
        <row r="83">
          <cell r="A83" t="str">
            <v>Still Harbor - PNNL - test - 2  - staple (northern most) - 2016</v>
          </cell>
          <cell r="B83" t="str">
            <v>MCN_still_2</v>
          </cell>
          <cell r="C83" t="str">
            <v>colocated</v>
          </cell>
          <cell r="D83" t="str">
            <v>point</v>
          </cell>
          <cell r="E83" t="str">
            <v>retain</v>
          </cell>
        </row>
        <row r="84">
          <cell r="A84" t="str">
            <v>Penrose North - HC - test - 2016</v>
          </cell>
          <cell r="B84" t="str">
            <v>PEN_L1</v>
          </cell>
          <cell r="C84" t="str">
            <v>single</v>
          </cell>
          <cell r="D84" t="str">
            <v>point</v>
          </cell>
          <cell r="E84" t="str">
            <v>retain</v>
          </cell>
        </row>
        <row r="85">
          <cell r="A85" t="str">
            <v>Quilcene Delta - PNNL - Northern line test plot 1 (inshore) - 2016</v>
          </cell>
          <cell r="B85" t="str">
            <v>QLC_north1</v>
          </cell>
          <cell r="C85" t="str">
            <v>single</v>
          </cell>
          <cell r="D85" t="str">
            <v>point?</v>
          </cell>
          <cell r="E85" t="str">
            <v>retain</v>
          </cell>
        </row>
        <row r="86">
          <cell r="A86" t="str">
            <v>Quilcene Delta - PNNL - Northern line test plot 2 - 2016</v>
          </cell>
          <cell r="B86" t="str">
            <v>QLC_north2</v>
          </cell>
          <cell r="C86" t="str">
            <v>single</v>
          </cell>
          <cell r="D86" t="str">
            <v>point?</v>
          </cell>
          <cell r="E86" t="str">
            <v>retain</v>
          </cell>
        </row>
        <row r="87">
          <cell r="A87" t="str">
            <v>Quilcene Delta - PNNL - Northern line test plot 3 (offshore) - 2016</v>
          </cell>
          <cell r="B87" t="str">
            <v>QLC_north3</v>
          </cell>
          <cell r="C87" t="str">
            <v>single</v>
          </cell>
          <cell r="D87" t="str">
            <v>point?</v>
          </cell>
          <cell r="E87" t="str">
            <v>retain</v>
          </cell>
        </row>
        <row r="88">
          <cell r="A88" t="str">
            <v>Quilcene Delta - PNNL - Middle line test plot 1 (inshore) - 2016</v>
          </cell>
          <cell r="B88" t="str">
            <v>QLC_mid1</v>
          </cell>
          <cell r="C88" t="str">
            <v>single</v>
          </cell>
          <cell r="D88" t="str">
            <v>point?</v>
          </cell>
          <cell r="E88" t="str">
            <v>retain</v>
          </cell>
        </row>
        <row r="89">
          <cell r="A89" t="str">
            <v>Quilcene Delta - PNNL - Middle line test plot 2 - 2016</v>
          </cell>
          <cell r="B89" t="str">
            <v>QLC_mid2</v>
          </cell>
          <cell r="C89" t="str">
            <v>single</v>
          </cell>
          <cell r="D89" t="str">
            <v>point?</v>
          </cell>
          <cell r="E89" t="str">
            <v>retain</v>
          </cell>
        </row>
        <row r="90">
          <cell r="A90" t="str">
            <v>Quilcene Delta - PNNL - Middle line test plot 3 (offshore) - 2016</v>
          </cell>
          <cell r="B90" t="str">
            <v>QLC_mid3</v>
          </cell>
          <cell r="C90" t="str">
            <v>single</v>
          </cell>
          <cell r="D90" t="str">
            <v>point?</v>
          </cell>
          <cell r="E90" t="str">
            <v>retain</v>
          </cell>
        </row>
        <row r="91">
          <cell r="A91" t="str">
            <v>Quilcene Delta - PNNL - Southern line test plot 1 (inshore) - 2016</v>
          </cell>
          <cell r="B91" t="str">
            <v>QLC_south1</v>
          </cell>
          <cell r="C91" t="str">
            <v>single</v>
          </cell>
          <cell r="D91" t="str">
            <v>point?</v>
          </cell>
          <cell r="E91" t="str">
            <v>retain</v>
          </cell>
        </row>
        <row r="92">
          <cell r="A92" t="str">
            <v>Quilcene Delta - PNNL - Southern line test plot 2 - 2016</v>
          </cell>
          <cell r="B92" t="str">
            <v>QLC_south2</v>
          </cell>
          <cell r="C92" t="str">
            <v>single</v>
          </cell>
          <cell r="D92" t="str">
            <v>point?</v>
          </cell>
          <cell r="E92" t="str">
            <v>retain</v>
          </cell>
        </row>
        <row r="93">
          <cell r="A93" t="str">
            <v>Quilcene Delta - PNNL - Southern line test plot 3 (offshore) - 2016</v>
          </cell>
          <cell r="B93" t="str">
            <v>QLC_south3</v>
          </cell>
          <cell r="C93" t="str">
            <v>single</v>
          </cell>
          <cell r="D93" t="str">
            <v>point?</v>
          </cell>
          <cell r="E93" t="str">
            <v>retain</v>
          </cell>
        </row>
        <row r="94">
          <cell r="A94" t="str">
            <v>Skagit Delta - PNNL - test - 1 - 2016</v>
          </cell>
          <cell r="B94" t="str">
            <v>SKG_1</v>
          </cell>
          <cell r="C94" t="str">
            <v>single</v>
          </cell>
          <cell r="D94" t="str">
            <v>point</v>
          </cell>
          <cell r="E94" t="str">
            <v>retain</v>
          </cell>
        </row>
        <row r="95">
          <cell r="A95" t="str">
            <v>Skagit Delta - PNNL - test - 2 - 2016</v>
          </cell>
          <cell r="B95" t="str">
            <v>SKG_2</v>
          </cell>
          <cell r="C95" t="str">
            <v>single</v>
          </cell>
          <cell r="D95" t="str">
            <v>point</v>
          </cell>
          <cell r="E95" t="str">
            <v>retain</v>
          </cell>
        </row>
        <row r="96">
          <cell r="A96" t="str">
            <v>Skagit Delta - PNNL - test - 5 - 2016</v>
          </cell>
          <cell r="B96" t="str">
            <v>SKG_5</v>
          </cell>
          <cell r="C96" t="str">
            <v>single</v>
          </cell>
          <cell r="D96" t="str">
            <v>point</v>
          </cell>
          <cell r="E96" t="str">
            <v>retain</v>
          </cell>
        </row>
        <row r="97">
          <cell r="A97" t="str">
            <v>Skagit Delta - PNNL - test - 6 - 2016</v>
          </cell>
          <cell r="B97" t="str">
            <v>SKG_6</v>
          </cell>
          <cell r="C97" t="str">
            <v>single</v>
          </cell>
          <cell r="D97" t="str">
            <v>point</v>
          </cell>
          <cell r="E97" t="str">
            <v>retain</v>
          </cell>
        </row>
        <row r="98">
          <cell r="A98" t="str">
            <v>Taylor Bay North - HC - test - 2016</v>
          </cell>
          <cell r="B98" t="str">
            <v>TAY_L1</v>
          </cell>
          <cell r="C98" t="str">
            <v>single</v>
          </cell>
          <cell r="D98" t="str">
            <v>line?</v>
          </cell>
          <cell r="E98" t="str">
            <v>retain</v>
          </cell>
        </row>
        <row r="99">
          <cell r="A99" t="str">
            <v>Taylor Bay South - HC - test - 2016</v>
          </cell>
          <cell r="B99" t="str">
            <v>TAY_L1</v>
          </cell>
          <cell r="C99" t="str">
            <v>single</v>
          </cell>
          <cell r="D99" t="str">
            <v>line?</v>
          </cell>
          <cell r="E99" t="str">
            <v>retain</v>
          </cell>
        </row>
        <row r="100">
          <cell r="A100" t="str">
            <v>Zangle Cove - DNR - test - 1 Chia - 2016</v>
          </cell>
          <cell r="B100" t="str">
            <v>ZAN_3</v>
          </cell>
          <cell r="C100" t="str">
            <v>single</v>
          </cell>
          <cell r="D100" t="str">
            <v>point</v>
          </cell>
          <cell r="E100" t="str">
            <v>retain</v>
          </cell>
        </row>
        <row r="101">
          <cell r="A101" t="str">
            <v>Zangle Cove - DNR - test - 4 Chia - 2016</v>
          </cell>
          <cell r="B101" t="str">
            <v>ZAN_4</v>
          </cell>
          <cell r="C101" t="str">
            <v>single</v>
          </cell>
          <cell r="D101" t="str">
            <v>point</v>
          </cell>
          <cell r="E101" t="str">
            <v>retain</v>
          </cell>
        </row>
        <row r="102">
          <cell r="A102" t="str">
            <v>Anderson Island West - North - south - HC - test - 2017</v>
          </cell>
          <cell r="B102" t="str">
            <v>AND_west_L1</v>
          </cell>
          <cell r="C102" t="str">
            <v>single</v>
          </cell>
          <cell r="D102" t="str">
            <v>line</v>
          </cell>
          <cell r="E102" t="str">
            <v>retain</v>
          </cell>
        </row>
        <row r="103">
          <cell r="A103" t="str">
            <v>Anderson Island West - North - north - HC - test - 2017</v>
          </cell>
          <cell r="B103" t="str">
            <v>AND_west_L1</v>
          </cell>
          <cell r="C103" t="str">
            <v>single</v>
          </cell>
          <cell r="D103" t="str">
            <v>line</v>
          </cell>
          <cell r="E103" t="str">
            <v>retain</v>
          </cell>
        </row>
        <row r="104">
          <cell r="A104" t="str">
            <v>Anderson Island West - South - south - HC - test - 2017</v>
          </cell>
          <cell r="B104" t="str">
            <v>AND_south_L1</v>
          </cell>
          <cell r="C104" t="str">
            <v>single</v>
          </cell>
          <cell r="D104" t="str">
            <v>line</v>
          </cell>
          <cell r="E104" t="str">
            <v>retain</v>
          </cell>
        </row>
        <row r="105">
          <cell r="A105" t="str">
            <v>Anderson Island West - South - north - HC - test - 2017</v>
          </cell>
          <cell r="B105" t="str">
            <v>AND_south_L1</v>
          </cell>
          <cell r="C105" t="str">
            <v>single</v>
          </cell>
          <cell r="D105" t="str">
            <v>line</v>
          </cell>
          <cell r="E105" t="str">
            <v>retain</v>
          </cell>
        </row>
        <row r="106">
          <cell r="A106" t="str">
            <v>Anderson Island South 1 - west - HC - large - 2017</v>
          </cell>
          <cell r="B106" t="str">
            <v>AND_south_L2</v>
          </cell>
          <cell r="C106" t="str">
            <v>single</v>
          </cell>
          <cell r="D106" t="str">
            <v>line</v>
          </cell>
          <cell r="E106" t="str">
            <v>retain</v>
          </cell>
        </row>
        <row r="107">
          <cell r="A107" t="str">
            <v>Anderson Island South 1 - east - HC - large - 2017</v>
          </cell>
          <cell r="B107" t="str">
            <v>AND_south_L2</v>
          </cell>
          <cell r="C107" t="str">
            <v>single</v>
          </cell>
          <cell r="D107" t="str">
            <v>line</v>
          </cell>
          <cell r="E107" t="str">
            <v>retain</v>
          </cell>
        </row>
        <row r="108">
          <cell r="A108" t="str">
            <v>Anderson Island South 2 - west - HC - large - 2017</v>
          </cell>
          <cell r="B108" t="str">
            <v>AND_south_L3</v>
          </cell>
          <cell r="C108" t="str">
            <v>single</v>
          </cell>
          <cell r="D108" t="str">
            <v>line</v>
          </cell>
          <cell r="E108" t="str">
            <v>retain</v>
          </cell>
        </row>
        <row r="109">
          <cell r="A109" t="str">
            <v>Anderson Island South 2 - east - HC - large - 2017</v>
          </cell>
          <cell r="B109" t="str">
            <v>AND_south_L3</v>
          </cell>
          <cell r="C109" t="str">
            <v>single</v>
          </cell>
          <cell r="D109" t="str">
            <v>line</v>
          </cell>
          <cell r="E109" t="str">
            <v>retain</v>
          </cell>
        </row>
        <row r="110">
          <cell r="A110" t="str">
            <v>Anderson Island South 3 - east - PNNL - large - 2017</v>
          </cell>
          <cell r="B110" t="str">
            <v>AND_south_L4</v>
          </cell>
          <cell r="C110" t="str">
            <v>single</v>
          </cell>
          <cell r="D110" t="str">
            <v>line</v>
          </cell>
          <cell r="E110" t="str">
            <v>retain</v>
          </cell>
        </row>
        <row r="111">
          <cell r="A111" t="str">
            <v>Anderson Island South 3 - east - PNNL - large - 2017</v>
          </cell>
          <cell r="B111" t="str">
            <v>AND_south_L4</v>
          </cell>
          <cell r="C111" t="str">
            <v>single</v>
          </cell>
          <cell r="D111" t="str">
            <v>line</v>
          </cell>
          <cell r="E111" t="str">
            <v>retain</v>
          </cell>
        </row>
        <row r="112">
          <cell r="A112" t="str">
            <v>Commencement Bay - PNNL - Test Plot shallow - 2017</v>
          </cell>
          <cell r="B112" t="str">
            <v>COM_shallow</v>
          </cell>
          <cell r="C112" t="str">
            <v>single</v>
          </cell>
          <cell r="D112" t="str">
            <v>point</v>
          </cell>
          <cell r="E112" t="str">
            <v>retain</v>
          </cell>
        </row>
        <row r="113">
          <cell r="A113" t="str">
            <v>Commencement Bay - PNNL - Test Plot deep - 2017</v>
          </cell>
          <cell r="B113" t="str">
            <v>COM_deep</v>
          </cell>
          <cell r="C113" t="str">
            <v>single</v>
          </cell>
          <cell r="D113" t="str">
            <v>point</v>
          </cell>
          <cell r="E113" t="str">
            <v>retain</v>
          </cell>
        </row>
        <row r="114">
          <cell r="A114" t="str">
            <v>Delano Beach East - north - HC - test - 2017</v>
          </cell>
          <cell r="B114" t="str">
            <v>DEL_3</v>
          </cell>
          <cell r="C114" t="str">
            <v>initial</v>
          </cell>
          <cell r="D114" t="str">
            <v>point</v>
          </cell>
          <cell r="E114" t="str">
            <v>retain</v>
          </cell>
        </row>
        <row r="115">
          <cell r="A115" t="str">
            <v>Delano Beach East - south - HC - test - 2017</v>
          </cell>
          <cell r="B115" t="str">
            <v>DEL_2</v>
          </cell>
          <cell r="C115" t="str">
            <v>single</v>
          </cell>
          <cell r="D115" t="str">
            <v>point</v>
          </cell>
          <cell r="E115" t="str">
            <v>retain</v>
          </cell>
        </row>
        <row r="116">
          <cell r="A116" t="str">
            <v>Fudge Point South - north - DNR - rebar test - 2017</v>
          </cell>
          <cell r="B116" t="str">
            <v>FDG_1</v>
          </cell>
          <cell r="C116" t="str">
            <v>single</v>
          </cell>
          <cell r="D116" t="str">
            <v>point</v>
          </cell>
          <cell r="E116" t="str">
            <v>retain</v>
          </cell>
        </row>
        <row r="117">
          <cell r="A117" t="str">
            <v>Fudge Point South - south - HC - test - 2017</v>
          </cell>
          <cell r="B117" t="str">
            <v>FDG_L1</v>
          </cell>
          <cell r="C117" t="str">
            <v>initial</v>
          </cell>
          <cell r="D117" t="str">
            <v>line</v>
          </cell>
          <cell r="E117" t="str">
            <v>retain</v>
          </cell>
        </row>
        <row r="118">
          <cell r="A118" t="str">
            <v>Fudge Point South - north - HC test - 2017</v>
          </cell>
          <cell r="B118" t="str">
            <v>FDG_L1</v>
          </cell>
          <cell r="C118" t="str">
            <v>initial</v>
          </cell>
          <cell r="D118" t="str">
            <v>line</v>
          </cell>
          <cell r="E118" t="str">
            <v>retain</v>
          </cell>
        </row>
        <row r="119">
          <cell r="A119" t="str">
            <v>Fudge Point North - south - HC - test - 2017</v>
          </cell>
          <cell r="B119" t="str">
            <v>FDG_L2</v>
          </cell>
          <cell r="C119" t="str">
            <v>initial</v>
          </cell>
          <cell r="D119" t="str">
            <v>line</v>
          </cell>
          <cell r="E119" t="str">
            <v>retain</v>
          </cell>
        </row>
        <row r="120">
          <cell r="A120" t="str">
            <v>Fudge Point North - north - HC - test - 2017</v>
          </cell>
          <cell r="B120" t="str">
            <v>FDG_L2</v>
          </cell>
          <cell r="C120" t="str">
            <v>initial</v>
          </cell>
          <cell r="D120" t="str">
            <v>line</v>
          </cell>
          <cell r="E120" t="str">
            <v>retain</v>
          </cell>
        </row>
        <row r="121">
          <cell r="A121" t="str">
            <v>Harstine Island - PNNL - Test Plot 2 of 4 (north plot) - 2017</v>
          </cell>
          <cell r="B121" t="str">
            <v>HAR_2</v>
          </cell>
          <cell r="C121" t="str">
            <v>single</v>
          </cell>
          <cell r="D121" t="str">
            <v>point</v>
          </cell>
          <cell r="E121" t="str">
            <v>retain</v>
          </cell>
        </row>
        <row r="122">
          <cell r="A122" t="str">
            <v>Harstine Island - PNNL - Test Plot 3 of 4 (south plot) - 2017</v>
          </cell>
          <cell r="B122" t="str">
            <v>HAR_3</v>
          </cell>
          <cell r="C122" t="str">
            <v>single</v>
          </cell>
          <cell r="D122" t="str">
            <v>point</v>
          </cell>
          <cell r="E122" t="str">
            <v>retain</v>
          </cell>
        </row>
        <row r="123">
          <cell r="A123" t="str">
            <v>Harstine Island - PNNL - Test Plot 4 or 4 (south of south plot) staples - 2017</v>
          </cell>
          <cell r="B123" t="str">
            <v>HAR_4</v>
          </cell>
          <cell r="C123" t="str">
            <v>colocated</v>
          </cell>
          <cell r="D123" t="str">
            <v>point</v>
          </cell>
          <cell r="E123" t="str">
            <v>retain</v>
          </cell>
        </row>
        <row r="124">
          <cell r="A124" t="str">
            <v>Harstine Island - PNNL - Test Plot 4 or 4 (south of south plot) rebar - 2017</v>
          </cell>
          <cell r="B124" t="str">
            <v>HAR_4</v>
          </cell>
          <cell r="C124" t="str">
            <v>colocated</v>
          </cell>
          <cell r="D124" t="str">
            <v>point</v>
          </cell>
          <cell r="E124" t="str">
            <v>retain</v>
          </cell>
        </row>
        <row r="125">
          <cell r="A125" t="str">
            <v>Harstine Island - PNNL - Test Plot 1 of 4 (north of north plot) - 2017</v>
          </cell>
          <cell r="B125" t="str">
            <v>HAR_1</v>
          </cell>
          <cell r="C125" t="str">
            <v>single</v>
          </cell>
          <cell r="D125" t="str">
            <v>point</v>
          </cell>
          <cell r="E125" t="str">
            <v>retain</v>
          </cell>
        </row>
        <row r="126">
          <cell r="A126" t="str">
            <v>Joemma Beach State Park North - south - HC - test 1 - 2017</v>
          </cell>
          <cell r="B126" t="str">
            <v>JSP_north_L1</v>
          </cell>
          <cell r="C126" t="str">
            <v>single</v>
          </cell>
          <cell r="D126" t="str">
            <v>line</v>
          </cell>
          <cell r="E126" t="str">
            <v>retain</v>
          </cell>
        </row>
        <row r="127">
          <cell r="A127" t="str">
            <v>Joemma Beach State Park North - north - HC - test 1 - 2017</v>
          </cell>
          <cell r="B127" t="str">
            <v>JSP_north_L1</v>
          </cell>
          <cell r="C127" t="str">
            <v>single</v>
          </cell>
          <cell r="D127" t="str">
            <v>line</v>
          </cell>
          <cell r="E127" t="str">
            <v>retain</v>
          </cell>
        </row>
        <row r="128">
          <cell r="A128" t="str">
            <v>Joemma Beach State Park North - south - HC - test 2 - 2017</v>
          </cell>
          <cell r="B128" t="str">
            <v>JSP_north_L2</v>
          </cell>
          <cell r="C128" t="str">
            <v>single</v>
          </cell>
          <cell r="D128" t="str">
            <v>line</v>
          </cell>
          <cell r="E128" t="str">
            <v>retain</v>
          </cell>
        </row>
        <row r="129">
          <cell r="A129" t="str">
            <v>Joemma Beach State Park North - north - HC - test 2 - 2017</v>
          </cell>
          <cell r="B129" t="str">
            <v>JSP_north_L2</v>
          </cell>
          <cell r="C129" t="str">
            <v>single</v>
          </cell>
          <cell r="D129" t="str">
            <v>line</v>
          </cell>
          <cell r="E129" t="str">
            <v>retain</v>
          </cell>
        </row>
        <row r="130">
          <cell r="A130" t="str">
            <v>Joemma Beach State Park South - SE - HC - large 2 - 2017</v>
          </cell>
          <cell r="B130" t="str">
            <v>JSP_south_P2</v>
          </cell>
          <cell r="C130" t="str">
            <v>single</v>
          </cell>
          <cell r="D130" t="str">
            <v>polygon</v>
          </cell>
          <cell r="E130" t="str">
            <v>drop</v>
          </cell>
        </row>
        <row r="131">
          <cell r="A131" t="str">
            <v>Joemma Beach State Park South - SW - HC - large 2 - 2017</v>
          </cell>
          <cell r="B131" t="str">
            <v>JSP_south_P2</v>
          </cell>
          <cell r="C131" t="str">
            <v>single</v>
          </cell>
          <cell r="D131" t="str">
            <v>polygon</v>
          </cell>
          <cell r="E131" t="str">
            <v>drop</v>
          </cell>
        </row>
        <row r="132">
          <cell r="A132" t="str">
            <v>Joemma Beach State Park South - NE - HC - large 2 - 2017</v>
          </cell>
          <cell r="B132" t="str">
            <v>JSP_south_P2</v>
          </cell>
          <cell r="C132" t="str">
            <v>single</v>
          </cell>
          <cell r="D132" t="str">
            <v>polygon</v>
          </cell>
          <cell r="E132" t="str">
            <v>drop</v>
          </cell>
        </row>
        <row r="133">
          <cell r="A133" t="str">
            <v>Joemma Beach State Park South - NW - HC - large 2 - 2017</v>
          </cell>
          <cell r="B133" t="str">
            <v>JSP_south_P2</v>
          </cell>
          <cell r="C133" t="str">
            <v>single</v>
          </cell>
          <cell r="D133" t="str">
            <v>polygon</v>
          </cell>
          <cell r="E133" t="str">
            <v>drop</v>
          </cell>
        </row>
        <row r="134">
          <cell r="A134" t="str">
            <v>Joemma Beach State Park South - SE - HC - large 3- 2017</v>
          </cell>
          <cell r="B134" t="str">
            <v>JSP_south_P3</v>
          </cell>
          <cell r="C134" t="str">
            <v>single</v>
          </cell>
          <cell r="D134" t="str">
            <v>polygon</v>
          </cell>
          <cell r="E134" t="str">
            <v>drop</v>
          </cell>
        </row>
        <row r="135">
          <cell r="A135" t="str">
            <v>Joemma Beach State Park South - SW - HC - large 3 - 2017</v>
          </cell>
          <cell r="B135" t="str">
            <v>JSP_south_P3</v>
          </cell>
          <cell r="C135" t="str">
            <v>single</v>
          </cell>
          <cell r="D135" t="str">
            <v>polygon</v>
          </cell>
          <cell r="E135" t="str">
            <v>drop</v>
          </cell>
        </row>
        <row r="136">
          <cell r="A136" t="str">
            <v>Joemma Beach State Park South - NE - HC - large 3 - 2017</v>
          </cell>
          <cell r="B136" t="str">
            <v>JSP_south_P3</v>
          </cell>
          <cell r="C136" t="str">
            <v>single</v>
          </cell>
          <cell r="D136" t="str">
            <v>polygon</v>
          </cell>
          <cell r="E136" t="str">
            <v>drop</v>
          </cell>
        </row>
        <row r="137">
          <cell r="A137" t="str">
            <v>Joemma Beach State Park South - NW - HC - large 3 - 2017</v>
          </cell>
          <cell r="B137" t="str">
            <v>JSP_south_P3</v>
          </cell>
          <cell r="C137" t="str">
            <v>single</v>
          </cell>
          <cell r="D137" t="str">
            <v>polygon</v>
          </cell>
          <cell r="E137" t="str">
            <v>drop</v>
          </cell>
        </row>
        <row r="138">
          <cell r="A138" t="str">
            <v>Joemma Beach State Park South - SE - HC - large 4- 2017</v>
          </cell>
          <cell r="B138" t="str">
            <v>JSP_south_P4</v>
          </cell>
          <cell r="C138" t="str">
            <v>single</v>
          </cell>
          <cell r="D138" t="str">
            <v>polygon</v>
          </cell>
          <cell r="E138" t="str">
            <v>drop</v>
          </cell>
        </row>
        <row r="139">
          <cell r="A139" t="str">
            <v>Joemma Beach State Park South - SW - HC - large 4 - 2017</v>
          </cell>
          <cell r="B139" t="str">
            <v>JSP_south_P4</v>
          </cell>
          <cell r="C139" t="str">
            <v>single</v>
          </cell>
          <cell r="D139" t="str">
            <v>polygon</v>
          </cell>
          <cell r="E139" t="str">
            <v>drop</v>
          </cell>
        </row>
        <row r="140">
          <cell r="A140" t="str">
            <v>Joemma Beach State Park South - NE - HC - large 4 - 2017</v>
          </cell>
          <cell r="B140" t="str">
            <v>JSP_south_P4</v>
          </cell>
          <cell r="C140" t="str">
            <v>single</v>
          </cell>
          <cell r="D140" t="str">
            <v>polygon</v>
          </cell>
          <cell r="E140" t="str">
            <v>drop</v>
          </cell>
        </row>
        <row r="141">
          <cell r="A141" t="str">
            <v>Joemma Beach State Park South - NW - HC - large 4 - 2017</v>
          </cell>
          <cell r="B141" t="str">
            <v>JSP_south_P4</v>
          </cell>
          <cell r="C141" t="str">
            <v>single</v>
          </cell>
          <cell r="D141" t="str">
            <v>polygon</v>
          </cell>
          <cell r="E141" t="str">
            <v>drop</v>
          </cell>
        </row>
        <row r="142">
          <cell r="A142" t="str">
            <v>Joemma Beach State Park Mid - DNR - BESE - AG - 1 - 2017</v>
          </cell>
          <cell r="B142" t="str">
            <v>JSP_mid_AG1</v>
          </cell>
          <cell r="C142" t="str">
            <v>single</v>
          </cell>
          <cell r="D142" t="str">
            <v>point</v>
          </cell>
          <cell r="E142" t="str">
            <v>retain</v>
          </cell>
        </row>
        <row r="143">
          <cell r="A143" t="str">
            <v>Joemma Beach State Park Mid - DNR - BESE - BG - 1 - 2017</v>
          </cell>
          <cell r="B143" t="str">
            <v>JSP_mid_BG1</v>
          </cell>
          <cell r="C143" t="str">
            <v>single</v>
          </cell>
          <cell r="D143" t="str">
            <v>point</v>
          </cell>
          <cell r="E143" t="str">
            <v>retain</v>
          </cell>
        </row>
        <row r="144">
          <cell r="A144" t="str">
            <v>Joemma Beach State Park Mid - DNR - BESE - C - 1 - 2017</v>
          </cell>
          <cell r="B144" t="str">
            <v>JSP_mid_C1</v>
          </cell>
          <cell r="C144" t="str">
            <v>single</v>
          </cell>
          <cell r="D144" t="str">
            <v>point</v>
          </cell>
          <cell r="E144" t="str">
            <v>retain</v>
          </cell>
        </row>
        <row r="145">
          <cell r="A145" t="str">
            <v>Joemma Beach State Park Mid - DNR - BESE - AG - 2 - 2017</v>
          </cell>
          <cell r="B145" t="str">
            <v>JSP_mid_AG2</v>
          </cell>
          <cell r="C145" t="str">
            <v>single</v>
          </cell>
          <cell r="D145" t="str">
            <v>point</v>
          </cell>
          <cell r="E145" t="str">
            <v>retain</v>
          </cell>
        </row>
        <row r="146">
          <cell r="A146" t="str">
            <v>Joemma Beach State Park Mid - DNR - BESE - C - 2 - 2017</v>
          </cell>
          <cell r="B146" t="str">
            <v>JSP_mid_C2</v>
          </cell>
          <cell r="C146" t="str">
            <v>single</v>
          </cell>
          <cell r="D146" t="str">
            <v>point</v>
          </cell>
          <cell r="E146" t="str">
            <v>retain</v>
          </cell>
        </row>
        <row r="147">
          <cell r="A147" t="str">
            <v>Joemma Beach State Park Mid - DNR - BESE - BG - 2 - 2017</v>
          </cell>
          <cell r="B147" t="str">
            <v>JSP_mid_BG2</v>
          </cell>
          <cell r="C147" t="str">
            <v>single</v>
          </cell>
          <cell r="D147" t="str">
            <v>point</v>
          </cell>
          <cell r="E147" t="str">
            <v>retain</v>
          </cell>
        </row>
        <row r="148">
          <cell r="A148" t="str">
            <v>Joemma Beach State Park Mid - DNR - BESE - C - 3 - 2017</v>
          </cell>
          <cell r="B148" t="str">
            <v>JSP_mid_C3</v>
          </cell>
          <cell r="C148" t="str">
            <v>single</v>
          </cell>
          <cell r="D148" t="str">
            <v>point</v>
          </cell>
          <cell r="E148" t="str">
            <v>retain</v>
          </cell>
        </row>
        <row r="149">
          <cell r="A149" t="str">
            <v>Joemma Beach State Park Mid - DNR - BESE - BG - 3 - 2017</v>
          </cell>
          <cell r="B149" t="str">
            <v>JSP_mid_BG3</v>
          </cell>
          <cell r="C149" t="str">
            <v>single</v>
          </cell>
          <cell r="D149" t="str">
            <v>point</v>
          </cell>
          <cell r="E149" t="str">
            <v>retain</v>
          </cell>
        </row>
        <row r="150">
          <cell r="A150" t="str">
            <v>Joemma Beach State Park Mid - DNR - BESE - C - 4 - 2017</v>
          </cell>
          <cell r="B150" t="str">
            <v>JSP_mid_C4</v>
          </cell>
          <cell r="C150" t="str">
            <v>single</v>
          </cell>
          <cell r="D150" t="str">
            <v>point</v>
          </cell>
          <cell r="E150" t="str">
            <v>retain</v>
          </cell>
        </row>
        <row r="151">
          <cell r="A151" t="str">
            <v>Joemma Beach State Park Mid - DNR - BESE - BG - 4 - 2017</v>
          </cell>
          <cell r="B151" t="str">
            <v>JSP_mid_BG4</v>
          </cell>
          <cell r="C151" t="str">
            <v>single</v>
          </cell>
          <cell r="D151" t="str">
            <v>point</v>
          </cell>
          <cell r="E151" t="str">
            <v>retain</v>
          </cell>
        </row>
        <row r="152">
          <cell r="A152" t="str">
            <v>Joemma Beach State Park Mid - DNR - BESE - AG - 3 - 2017</v>
          </cell>
          <cell r="B152" t="str">
            <v>JSP_mid_AG3</v>
          </cell>
          <cell r="C152" t="str">
            <v>single</v>
          </cell>
          <cell r="D152" t="str">
            <v>point</v>
          </cell>
          <cell r="E152" t="str">
            <v>retain</v>
          </cell>
        </row>
        <row r="153">
          <cell r="A153" t="str">
            <v>Joemma Beach State Park Mid - DNR - BESE - AG - 4 - 2017</v>
          </cell>
          <cell r="B153" t="str">
            <v>JSP_mid_AG4</v>
          </cell>
          <cell r="C153" t="str">
            <v>single</v>
          </cell>
          <cell r="D153" t="str">
            <v>point</v>
          </cell>
          <cell r="E153" t="str">
            <v>retain</v>
          </cell>
        </row>
        <row r="154">
          <cell r="A154" t="str">
            <v>Joemma Beach State Park North - SE - DNR - methods - 2017</v>
          </cell>
          <cell r="B154" t="str">
            <v>JSP_north_P1</v>
          </cell>
          <cell r="C154" t="str">
            <v>single</v>
          </cell>
          <cell r="D154" t="str">
            <v>polygon</v>
          </cell>
          <cell r="E154" t="str">
            <v>drop</v>
          </cell>
        </row>
        <row r="155">
          <cell r="A155" t="str">
            <v>Joemma Beach State Park North - SW - DNR - methods - 2017</v>
          </cell>
          <cell r="B155" t="str">
            <v>JSP_north_P1</v>
          </cell>
          <cell r="C155" t="str">
            <v>single</v>
          </cell>
          <cell r="D155" t="str">
            <v>polygon</v>
          </cell>
          <cell r="E155" t="str">
            <v>drop</v>
          </cell>
        </row>
        <row r="156">
          <cell r="A156" t="str">
            <v>Joemma Beach State Park North - NE - DNR - methods - 2017</v>
          </cell>
          <cell r="B156" t="str">
            <v>JSP_north_P1</v>
          </cell>
          <cell r="C156" t="str">
            <v>single</v>
          </cell>
          <cell r="D156" t="str">
            <v>polygon</v>
          </cell>
          <cell r="E156" t="str">
            <v>drop</v>
          </cell>
        </row>
        <row r="157">
          <cell r="A157" t="str">
            <v>Joemma Beach State Park North - NW - DNR - methods - 2017</v>
          </cell>
          <cell r="B157" t="str">
            <v>JSP_north_P1</v>
          </cell>
          <cell r="C157" t="str">
            <v>single</v>
          </cell>
          <cell r="D157" t="str">
            <v>polygon</v>
          </cell>
          <cell r="E157" t="str">
            <v>drop</v>
          </cell>
        </row>
        <row r="158">
          <cell r="A158" t="str">
            <v>Joemma Beach State Park Mid - SE - DNR - methods - 2017</v>
          </cell>
          <cell r="B158" t="str">
            <v>JSP_mid_P1</v>
          </cell>
          <cell r="C158" t="str">
            <v>single</v>
          </cell>
          <cell r="D158" t="str">
            <v>polygon</v>
          </cell>
          <cell r="E158" t="str">
            <v>drop</v>
          </cell>
        </row>
        <row r="159">
          <cell r="A159" t="str">
            <v>Joemma Beach State Park Mid - SW - DNR - methods - 2017</v>
          </cell>
          <cell r="B159" t="str">
            <v>JSP_mid_P1</v>
          </cell>
          <cell r="C159" t="str">
            <v>single</v>
          </cell>
          <cell r="D159" t="str">
            <v>polygon</v>
          </cell>
          <cell r="E159" t="str">
            <v>drop</v>
          </cell>
        </row>
        <row r="160">
          <cell r="A160" t="str">
            <v>Joemma Beach State Park Mid - NE - DNR - methods - 2017</v>
          </cell>
          <cell r="B160" t="str">
            <v>JSP_mid_P1</v>
          </cell>
          <cell r="C160" t="str">
            <v>single</v>
          </cell>
          <cell r="D160" t="str">
            <v>polygon</v>
          </cell>
          <cell r="E160" t="str">
            <v>drop</v>
          </cell>
        </row>
        <row r="161">
          <cell r="A161" t="str">
            <v>Joemma Beach State Park Mid - NW - DNR - methods - 2017</v>
          </cell>
          <cell r="B161" t="str">
            <v>JSP_mid_P1</v>
          </cell>
          <cell r="C161" t="str">
            <v>single</v>
          </cell>
          <cell r="D161" t="str">
            <v>polygon</v>
          </cell>
          <cell r="E161" t="str">
            <v>drop</v>
          </cell>
        </row>
        <row r="162">
          <cell r="A162" t="str">
            <v>Joemma Beach State Park South - SE - DNR - methods - 2017</v>
          </cell>
          <cell r="B162" t="str">
            <v>JSP_south_P5</v>
          </cell>
          <cell r="C162" t="str">
            <v>single</v>
          </cell>
          <cell r="D162" t="str">
            <v>point</v>
          </cell>
          <cell r="E162" t="str">
            <v>retain</v>
          </cell>
        </row>
        <row r="163">
          <cell r="A163" t="str">
            <v>Joemma Beach State Park South - SW - DNR - methods - 2017</v>
          </cell>
          <cell r="B163" t="str">
            <v>JSP_south_P5</v>
          </cell>
          <cell r="C163" t="str">
            <v>single</v>
          </cell>
          <cell r="D163" t="str">
            <v>point</v>
          </cell>
          <cell r="E163" t="str">
            <v>retain</v>
          </cell>
        </row>
        <row r="164">
          <cell r="A164" t="str">
            <v>Joemma Beach State Park South - NE - DNR - methods - 2017</v>
          </cell>
          <cell r="B164" t="str">
            <v>JSP_south_P5</v>
          </cell>
          <cell r="C164" t="str">
            <v>single</v>
          </cell>
          <cell r="D164" t="str">
            <v>point</v>
          </cell>
          <cell r="E164" t="str">
            <v>retain</v>
          </cell>
        </row>
        <row r="165">
          <cell r="A165" t="str">
            <v>Joemma Beach State Park South - NW - DNR - methods - 2017</v>
          </cell>
          <cell r="B165" t="str">
            <v>JSP_south_P5</v>
          </cell>
          <cell r="C165" t="str">
            <v>single</v>
          </cell>
          <cell r="D165" t="str">
            <v>point</v>
          </cell>
          <cell r="E165" t="str">
            <v>retain</v>
          </cell>
        </row>
        <row r="166">
          <cell r="A166" t="str">
            <v>Joemma Beach State Park Mid South - PNNL - large - T4-5 - 2015</v>
          </cell>
          <cell r="B166" t="str">
            <v>JSP_mid_south_2</v>
          </cell>
          <cell r="C166" t="str">
            <v>single</v>
          </cell>
          <cell r="D166" t="str">
            <v>point</v>
          </cell>
          <cell r="E166" t="str">
            <v>drop</v>
          </cell>
        </row>
        <row r="167">
          <cell r="A167" t="str">
            <v>Joemma Beach State Park Mid South - PNNL - large - T4-5 - 2015</v>
          </cell>
          <cell r="B167" t="str">
            <v>JSP_mid_south_3</v>
          </cell>
          <cell r="C167" t="str">
            <v>single</v>
          </cell>
          <cell r="D167" t="str">
            <v>point</v>
          </cell>
          <cell r="E167" t="str">
            <v>drop</v>
          </cell>
        </row>
        <row r="168">
          <cell r="A168" t="str">
            <v>Joemma Beach State Park Mid South - PNNL - large - T4-5 - 2015</v>
          </cell>
          <cell r="B168" t="str">
            <v>JSP_mid_south_4</v>
          </cell>
          <cell r="C168" t="str">
            <v>single</v>
          </cell>
          <cell r="D168" t="str">
            <v>point</v>
          </cell>
          <cell r="E168" t="str">
            <v>drop</v>
          </cell>
        </row>
        <row r="169">
          <cell r="A169" t="str">
            <v>Joemma Beach State Park Mid South - PNNL - large - T4-5 - 2015</v>
          </cell>
          <cell r="B169" t="str">
            <v>JSP_mid_south_5</v>
          </cell>
          <cell r="C169" t="str">
            <v>single</v>
          </cell>
          <cell r="D169" t="str">
            <v>point</v>
          </cell>
          <cell r="E169" t="str">
            <v>drop</v>
          </cell>
        </row>
        <row r="170">
          <cell r="A170" t="str">
            <v>BESE - 1 - Aboveground (AG)</v>
          </cell>
          <cell r="B170" t="str">
            <v>JSP_AG1</v>
          </cell>
          <cell r="C170" t="str">
            <v>single</v>
          </cell>
          <cell r="D170" t="str">
            <v>point</v>
          </cell>
          <cell r="E170" t="str">
            <v>retain</v>
          </cell>
        </row>
        <row r="171">
          <cell r="A171" t="str">
            <v>BESE - 1 - Belowground (BG)</v>
          </cell>
          <cell r="B171" t="str">
            <v>JSP_BG1</v>
          </cell>
          <cell r="C171" t="str">
            <v>single</v>
          </cell>
          <cell r="D171" t="str">
            <v>point</v>
          </cell>
          <cell r="E171" t="str">
            <v>retain</v>
          </cell>
        </row>
        <row r="172">
          <cell r="A172" t="str">
            <v>BESE - 1 - Control ( C)</v>
          </cell>
          <cell r="B172" t="str">
            <v>JSP_C1</v>
          </cell>
          <cell r="C172" t="str">
            <v>single</v>
          </cell>
          <cell r="D172" t="str">
            <v>point</v>
          </cell>
          <cell r="E172" t="str">
            <v>retain</v>
          </cell>
        </row>
        <row r="173">
          <cell r="A173" t="str">
            <v>BESE - 2 - AG</v>
          </cell>
          <cell r="B173" t="str">
            <v>JSP_AG2</v>
          </cell>
          <cell r="C173" t="str">
            <v>single</v>
          </cell>
          <cell r="D173" t="str">
            <v>point</v>
          </cell>
          <cell r="E173" t="str">
            <v>retain</v>
          </cell>
        </row>
        <row r="174">
          <cell r="A174" t="str">
            <v>BESE - 2 - C</v>
          </cell>
          <cell r="B174" t="str">
            <v>JSP_C2</v>
          </cell>
          <cell r="C174" t="str">
            <v>single</v>
          </cell>
          <cell r="D174" t="str">
            <v>point</v>
          </cell>
          <cell r="E174" t="str">
            <v>retain</v>
          </cell>
        </row>
        <row r="175">
          <cell r="A175" t="str">
            <v>BESE - 2 - BG</v>
          </cell>
          <cell r="B175" t="str">
            <v>JSP_BG2</v>
          </cell>
          <cell r="C175" t="str">
            <v>single</v>
          </cell>
          <cell r="D175" t="str">
            <v>point</v>
          </cell>
          <cell r="E175" t="str">
            <v>retain</v>
          </cell>
        </row>
        <row r="176">
          <cell r="A176" t="str">
            <v>BESE - 3 - C</v>
          </cell>
          <cell r="B176" t="str">
            <v>JSP_C3</v>
          </cell>
          <cell r="C176" t="str">
            <v>single</v>
          </cell>
          <cell r="D176" t="str">
            <v>point</v>
          </cell>
          <cell r="E176" t="str">
            <v>retain</v>
          </cell>
        </row>
        <row r="177">
          <cell r="A177" t="str">
            <v>BESE - 3 - BG</v>
          </cell>
          <cell r="B177" t="str">
            <v>JSP_BG3</v>
          </cell>
          <cell r="C177" t="str">
            <v>single</v>
          </cell>
          <cell r="D177" t="str">
            <v>point</v>
          </cell>
          <cell r="E177" t="str">
            <v>retain</v>
          </cell>
        </row>
        <row r="178">
          <cell r="A178" t="str">
            <v>BESE - 4 - C</v>
          </cell>
          <cell r="B178" t="str">
            <v>JSP_C4</v>
          </cell>
          <cell r="C178" t="str">
            <v>single</v>
          </cell>
          <cell r="D178" t="str">
            <v>point</v>
          </cell>
          <cell r="E178" t="str">
            <v>retain</v>
          </cell>
        </row>
        <row r="179">
          <cell r="A179" t="str">
            <v>BESE - 4 - BG</v>
          </cell>
          <cell r="B179" t="str">
            <v>JSP_BG4</v>
          </cell>
          <cell r="C179" t="str">
            <v>single</v>
          </cell>
          <cell r="D179" t="str">
            <v>point</v>
          </cell>
          <cell r="E179" t="str">
            <v>retain</v>
          </cell>
        </row>
        <row r="180">
          <cell r="A180" t="str">
            <v>BESE - 3 - AG</v>
          </cell>
          <cell r="B180" t="str">
            <v>JSP_AG3</v>
          </cell>
          <cell r="C180" t="str">
            <v>single</v>
          </cell>
          <cell r="D180" t="str">
            <v>point</v>
          </cell>
          <cell r="E180" t="str">
            <v>retain</v>
          </cell>
        </row>
        <row r="181">
          <cell r="A181" t="str">
            <v>BESE - 4 - AG</v>
          </cell>
          <cell r="B181" t="str">
            <v>JSP_AG4</v>
          </cell>
          <cell r="C181" t="str">
            <v>single</v>
          </cell>
          <cell r="D181" t="str">
            <v>point</v>
          </cell>
          <cell r="E181" t="str">
            <v>retain</v>
          </cell>
        </row>
        <row r="182">
          <cell r="A182" t="str">
            <v>McDermott Point South - south - HC - test - 2017</v>
          </cell>
          <cell r="B182" t="str">
            <v>MCD_south_L1</v>
          </cell>
          <cell r="C182" t="str">
            <v>single</v>
          </cell>
          <cell r="D182" t="str">
            <v>line</v>
          </cell>
          <cell r="E182" t="str">
            <v>retain</v>
          </cell>
        </row>
        <row r="183">
          <cell r="A183" t="str">
            <v>McDermott Point South - north - HC - test - 2017</v>
          </cell>
          <cell r="B183" t="str">
            <v>MCD_south_L1</v>
          </cell>
          <cell r="C183" t="str">
            <v>single</v>
          </cell>
          <cell r="D183" t="str">
            <v>line</v>
          </cell>
          <cell r="E183" t="str">
            <v>retain</v>
          </cell>
        </row>
        <row r="184">
          <cell r="A184" t="str">
            <v>McDermott Point North - south - HC - test - 2017</v>
          </cell>
          <cell r="B184" t="str">
            <v>MCD_north_L1</v>
          </cell>
          <cell r="C184" t="str">
            <v>single</v>
          </cell>
          <cell r="D184" t="str">
            <v>line</v>
          </cell>
          <cell r="E184" t="str">
            <v>retain</v>
          </cell>
        </row>
        <row r="185">
          <cell r="A185" t="str">
            <v>McDermott Point North - north - HC - test - 2017</v>
          </cell>
          <cell r="B185" t="str">
            <v>MCD_north_L1</v>
          </cell>
          <cell r="C185" t="str">
            <v>single</v>
          </cell>
          <cell r="D185" t="str">
            <v>line</v>
          </cell>
          <cell r="E185" t="str">
            <v>retain</v>
          </cell>
        </row>
        <row r="186">
          <cell r="A186" t="str">
            <v>McNeil Island North - PNNL - test - 1 - 2017</v>
          </cell>
          <cell r="B186" t="str">
            <v>MCN_north_2</v>
          </cell>
          <cell r="C186" t="str">
            <v>single</v>
          </cell>
          <cell r="D186" t="str">
            <v>point</v>
          </cell>
          <cell r="E186" t="str">
            <v>retain</v>
          </cell>
        </row>
        <row r="187">
          <cell r="A187" t="str">
            <v>McNeil Island North - PNNL - test - 2 - 2017</v>
          </cell>
          <cell r="B187" t="str">
            <v>MCN_North_3</v>
          </cell>
          <cell r="C187" t="str">
            <v>single</v>
          </cell>
          <cell r="D187" t="str">
            <v>point</v>
          </cell>
          <cell r="E187" t="str">
            <v>retain</v>
          </cell>
        </row>
        <row r="188">
          <cell r="A188" t="str">
            <v>McNeil Island South - mid plot - PNNL - large - 2017</v>
          </cell>
          <cell r="B188" t="str">
            <v>MCN_south_L2</v>
          </cell>
          <cell r="C188" t="str">
            <v>single</v>
          </cell>
          <cell r="D188" t="str">
            <v>line</v>
          </cell>
          <cell r="E188" t="str">
            <v>retain</v>
          </cell>
        </row>
        <row r="189">
          <cell r="A189" t="str">
            <v>McNeil Island South - mid plot - PNNL - large - 2017</v>
          </cell>
          <cell r="B189" t="str">
            <v>MCN_south_L2</v>
          </cell>
          <cell r="C189" t="str">
            <v>single</v>
          </cell>
          <cell r="D189" t="str">
            <v>line</v>
          </cell>
          <cell r="E189" t="str">
            <v>retain</v>
          </cell>
        </row>
        <row r="190">
          <cell r="A190" t="str">
            <v>McNeil Island South - east plot - PNNL - large - 2017</v>
          </cell>
          <cell r="B190" t="str">
            <v>MCN_south_L1</v>
          </cell>
          <cell r="C190" t="str">
            <v>single</v>
          </cell>
          <cell r="D190" t="str">
            <v>line</v>
          </cell>
          <cell r="E190" t="str">
            <v>retain</v>
          </cell>
        </row>
        <row r="191">
          <cell r="A191" t="str">
            <v>McNeil Island South - east plot - PNNL - large - 2017</v>
          </cell>
          <cell r="B191" t="str">
            <v>MCN_south_L1</v>
          </cell>
          <cell r="C191" t="str">
            <v>single</v>
          </cell>
          <cell r="D191" t="str">
            <v>line</v>
          </cell>
          <cell r="E191" t="str">
            <v>retain</v>
          </cell>
        </row>
        <row r="192">
          <cell r="A192" t="str">
            <v>McNeil Island South - west plot - PNNL - large - 2017</v>
          </cell>
          <cell r="B192" t="str">
            <v>MCN_south_L3</v>
          </cell>
          <cell r="C192" t="str">
            <v>single</v>
          </cell>
          <cell r="D192" t="str">
            <v>line</v>
          </cell>
          <cell r="E192" t="str">
            <v>retain</v>
          </cell>
        </row>
        <row r="193">
          <cell r="A193" t="str">
            <v>McNeil Island South - west plot - PNNL - large - 2017</v>
          </cell>
          <cell r="B193" t="str">
            <v>MCN_south_L3</v>
          </cell>
          <cell r="C193" t="str">
            <v>single</v>
          </cell>
          <cell r="D193" t="str">
            <v>line</v>
          </cell>
          <cell r="E193" t="str">
            <v>retain</v>
          </cell>
        </row>
        <row r="194">
          <cell r="A194" t="str">
            <v>Milwaukee Dock southern depression - PNNL - test - anchor1 - 2017</v>
          </cell>
          <cell r="B194" t="str">
            <v>MIL_1</v>
          </cell>
          <cell r="C194" t="str">
            <v>single</v>
          </cell>
          <cell r="D194" t="str">
            <v>point</v>
          </cell>
          <cell r="E194" t="str">
            <v>retain</v>
          </cell>
        </row>
        <row r="195">
          <cell r="A195" t="str">
            <v>Milwaukee Dock southern depression - PNNL - test - anchor3 - 2017</v>
          </cell>
          <cell r="B195" t="str">
            <v>MIL_3</v>
          </cell>
          <cell r="C195" t="str">
            <v>single</v>
          </cell>
          <cell r="D195" t="str">
            <v>point</v>
          </cell>
          <cell r="E195" t="str">
            <v>retain</v>
          </cell>
        </row>
        <row r="196">
          <cell r="A196" t="str">
            <v>Westcott Bay - PNNL - Test Plot A - 2017</v>
          </cell>
          <cell r="B196" t="str">
            <v>WES_A</v>
          </cell>
          <cell r="C196" t="str">
            <v>single</v>
          </cell>
          <cell r="D196" t="str">
            <v>point</v>
          </cell>
          <cell r="E196" t="str">
            <v>retain</v>
          </cell>
        </row>
        <row r="197">
          <cell r="A197" t="str">
            <v>Westcott Bay - PNNL - Test Plot B - 2017</v>
          </cell>
          <cell r="B197" t="str">
            <v>WES_B</v>
          </cell>
          <cell r="C197" t="str">
            <v>single</v>
          </cell>
          <cell r="D197" t="str">
            <v>point</v>
          </cell>
          <cell r="E197" t="str">
            <v>retain</v>
          </cell>
        </row>
        <row r="198">
          <cell r="A198" t="str">
            <v>Westcott Bay - PNNL - Test Plot C - 2017</v>
          </cell>
          <cell r="B198" t="str">
            <v>WES_C</v>
          </cell>
          <cell r="C198" t="str">
            <v>single</v>
          </cell>
          <cell r="D198" t="str">
            <v>point</v>
          </cell>
          <cell r="E198" t="str">
            <v>retain</v>
          </cell>
        </row>
        <row r="199">
          <cell r="A199" t="str">
            <v>Westcott Bay - PNNL - Test Plot D - 2017</v>
          </cell>
          <cell r="B199" t="str">
            <v>WES_D</v>
          </cell>
          <cell r="C199" t="str">
            <v>single</v>
          </cell>
          <cell r="D199" t="str">
            <v>point</v>
          </cell>
          <cell r="E199" t="str">
            <v>retain</v>
          </cell>
        </row>
        <row r="200">
          <cell r="A200" t="str">
            <v>Commencement Bay - PNNL - large - 2018</v>
          </cell>
          <cell r="B200" t="str">
            <v>COM_L1</v>
          </cell>
          <cell r="C200" t="str">
            <v>single</v>
          </cell>
          <cell r="D200" t="str">
            <v>line</v>
          </cell>
          <cell r="E200" t="str">
            <v>retain</v>
          </cell>
        </row>
        <row r="201">
          <cell r="A201" t="str">
            <v>Commencement Bay - PNNL - large - 2018</v>
          </cell>
          <cell r="B201" t="str">
            <v>COM_L1</v>
          </cell>
          <cell r="C201" t="str">
            <v>single</v>
          </cell>
          <cell r="D201" t="str">
            <v>line</v>
          </cell>
          <cell r="E201" t="str">
            <v>retain</v>
          </cell>
        </row>
        <row r="202">
          <cell r="A202" t="str">
            <v>Delano Beach - PNNL - test - enhancement</v>
          </cell>
          <cell r="B202" t="str">
            <v>DEL_1</v>
          </cell>
          <cell r="C202" t="str">
            <v>repeat</v>
          </cell>
          <cell r="D202" t="str">
            <v>point</v>
          </cell>
          <cell r="E202" t="str">
            <v>retain</v>
          </cell>
        </row>
        <row r="203">
          <cell r="A203" t="str">
            <v xml:space="preserve">Delano Beach East - north - HC - test - enhancement </v>
          </cell>
          <cell r="B203" t="str">
            <v>DEL_3</v>
          </cell>
          <cell r="C203" t="str">
            <v>repeat</v>
          </cell>
          <cell r="D203" t="str">
            <v>point</v>
          </cell>
          <cell r="E203" t="str">
            <v>retain</v>
          </cell>
        </row>
        <row r="204">
          <cell r="A204" t="str">
            <v>Fudge Point South - south - HC - test - 2018</v>
          </cell>
          <cell r="B204" t="str">
            <v>FDG_L1</v>
          </cell>
          <cell r="C204" t="str">
            <v>repeat</v>
          </cell>
          <cell r="D204" t="str">
            <v>line</v>
          </cell>
          <cell r="E204" t="str">
            <v>retain</v>
          </cell>
        </row>
        <row r="205">
          <cell r="A205" t="str">
            <v>Fudge Point South - north - HC test - 2018</v>
          </cell>
          <cell r="B205" t="str">
            <v>FDG_L1</v>
          </cell>
          <cell r="C205" t="str">
            <v>repeat</v>
          </cell>
          <cell r="D205" t="str">
            <v>line</v>
          </cell>
          <cell r="E205" t="str">
            <v>retain</v>
          </cell>
        </row>
        <row r="206">
          <cell r="A206" t="str">
            <v>Fudge Point North - south - HC - test - 2018</v>
          </cell>
          <cell r="B206" t="str">
            <v>FDG_L2</v>
          </cell>
          <cell r="C206" t="str">
            <v>repeat</v>
          </cell>
          <cell r="D206" t="str">
            <v>line</v>
          </cell>
          <cell r="E206" t="str">
            <v>retain</v>
          </cell>
        </row>
        <row r="207">
          <cell r="A207" t="str">
            <v>Fudge Point North - north - HC - test - 2018</v>
          </cell>
          <cell r="B207" t="str">
            <v>FDG_L2</v>
          </cell>
          <cell r="C207" t="str">
            <v>repeat</v>
          </cell>
          <cell r="D207" t="str">
            <v>line</v>
          </cell>
          <cell r="E207" t="str">
            <v>retain</v>
          </cell>
        </row>
        <row r="208">
          <cell r="A208" t="str">
            <v>Harstine - PNNL - Large Scale 1 - north - 2018</v>
          </cell>
          <cell r="B208" t="str">
            <v>HAR_L1</v>
          </cell>
          <cell r="C208" t="str">
            <v>single</v>
          </cell>
          <cell r="D208" t="str">
            <v>line</v>
          </cell>
          <cell r="E208" t="str">
            <v>retain</v>
          </cell>
        </row>
        <row r="209">
          <cell r="A209" t="str">
            <v>Harstine - PNNL - Large Scale 1 - north - 2018</v>
          </cell>
          <cell r="B209" t="str">
            <v>HAR_L1</v>
          </cell>
          <cell r="C209" t="str">
            <v>single</v>
          </cell>
          <cell r="D209" t="str">
            <v>line</v>
          </cell>
          <cell r="E209" t="str">
            <v>retain</v>
          </cell>
        </row>
        <row r="210">
          <cell r="A210" t="str">
            <v>Harstine - PNNL - Large Scale 1 - south - 2018</v>
          </cell>
          <cell r="B210" t="str">
            <v>HAR_L2</v>
          </cell>
          <cell r="C210" t="str">
            <v>single</v>
          </cell>
          <cell r="D210" t="str">
            <v>line</v>
          </cell>
          <cell r="E210" t="str">
            <v>retain</v>
          </cell>
        </row>
        <row r="211">
          <cell r="A211" t="str">
            <v>Harstine - PNNL - Large Scale 1 - south - 2018</v>
          </cell>
          <cell r="B211" t="str">
            <v>HAR_L2</v>
          </cell>
          <cell r="C211" t="str">
            <v>single</v>
          </cell>
          <cell r="D211" t="str">
            <v>line</v>
          </cell>
          <cell r="E211" t="str">
            <v>retain</v>
          </cell>
        </row>
        <row r="212">
          <cell r="A212" t="str">
            <v>Joemma Beach State Park Mid South - PNNL - large - T4-5 - 2015</v>
          </cell>
          <cell r="B212" t="str">
            <v>JSP_mid_south_7</v>
          </cell>
          <cell r="C212" t="str">
            <v>single</v>
          </cell>
          <cell r="D212" t="str">
            <v>point</v>
          </cell>
          <cell r="E212" t="str">
            <v>drop</v>
          </cell>
        </row>
        <row r="213">
          <cell r="A213" t="str">
            <v>Joemma Beach State Park Mid South - PNNL - large - T3-4 - 2015</v>
          </cell>
          <cell r="B213" t="str">
            <v>JSP_mid_south_1</v>
          </cell>
          <cell r="C213" t="str">
            <v>single</v>
          </cell>
          <cell r="D213" t="str">
            <v>point</v>
          </cell>
          <cell r="E213" t="str">
            <v>drop</v>
          </cell>
        </row>
        <row r="214">
          <cell r="A214" t="str">
            <v>Quartermaster Harbor - PNNL - Test Plot 1S - 2018</v>
          </cell>
          <cell r="B214" t="str">
            <v>QMH_1S</v>
          </cell>
          <cell r="C214" t="str">
            <v>single</v>
          </cell>
          <cell r="D214" t="str">
            <v>point</v>
          </cell>
          <cell r="E214" t="str">
            <v>retain</v>
          </cell>
        </row>
        <row r="215">
          <cell r="A215" t="str">
            <v>Quartermaster Harbor - PNNL - Test Plot 1D - 2018</v>
          </cell>
          <cell r="B215" t="str">
            <v>QMH_1D</v>
          </cell>
          <cell r="C215" t="str">
            <v>single</v>
          </cell>
          <cell r="D215" t="str">
            <v>point</v>
          </cell>
          <cell r="E215" t="str">
            <v>retain</v>
          </cell>
        </row>
        <row r="216">
          <cell r="A216" t="str">
            <v>Quartermaster Harbor - PNNL - Test Plot 4S - 2018</v>
          </cell>
          <cell r="B216" t="str">
            <v>QMH_4S</v>
          </cell>
          <cell r="C216" t="str">
            <v>single</v>
          </cell>
          <cell r="D216" t="str">
            <v>point</v>
          </cell>
          <cell r="E216" t="str">
            <v>retain</v>
          </cell>
        </row>
        <row r="217">
          <cell r="A217" t="str">
            <v>Quartermaster Harbor - PNNL - Test Plot 4D - 2018</v>
          </cell>
          <cell r="B217" t="str">
            <v>QMH_4D</v>
          </cell>
          <cell r="C217" t="str">
            <v>single</v>
          </cell>
          <cell r="D217" t="str">
            <v>point</v>
          </cell>
          <cell r="E217" t="str">
            <v>retain</v>
          </cell>
        </row>
        <row r="218">
          <cell r="A218" t="str">
            <v>Quartermaster Harbor - PNNL - Test Plot 5S - 2018</v>
          </cell>
          <cell r="B218" t="str">
            <v>QMH_5S</v>
          </cell>
          <cell r="C218" t="str">
            <v>single</v>
          </cell>
          <cell r="D218" t="str">
            <v>point</v>
          </cell>
          <cell r="E218" t="str">
            <v>retain</v>
          </cell>
        </row>
        <row r="219">
          <cell r="A219" t="str">
            <v>Quartermaster Harbor - PNNL - Test Plot 5D - 2018</v>
          </cell>
          <cell r="B219" t="str">
            <v>QMH_5D</v>
          </cell>
          <cell r="C219" t="str">
            <v>single</v>
          </cell>
          <cell r="D219" t="str">
            <v>point</v>
          </cell>
          <cell r="E219" t="str">
            <v>retain</v>
          </cell>
        </row>
        <row r="220">
          <cell r="A220" t="str">
            <v>Quartermaster Harbor - PNNL - Test Plot 2D - 2018</v>
          </cell>
          <cell r="B220" t="str">
            <v>QMH_2D</v>
          </cell>
          <cell r="C220" t="str">
            <v>single</v>
          </cell>
          <cell r="D220" t="str">
            <v>point</v>
          </cell>
          <cell r="E220" t="str">
            <v>retain</v>
          </cell>
        </row>
        <row r="221">
          <cell r="A221" t="str">
            <v>Quartermaster Harbor - PNNL - Test Plot 3S - 2018</v>
          </cell>
          <cell r="B221" t="str">
            <v>QMH_3S</v>
          </cell>
          <cell r="C221" t="str">
            <v>single</v>
          </cell>
          <cell r="D221" t="str">
            <v>point</v>
          </cell>
          <cell r="E221" t="str">
            <v>retain</v>
          </cell>
        </row>
        <row r="222">
          <cell r="A222" t="str">
            <v>Quartermaster Harbor - PNNL - Test Plot 3D - 2018</v>
          </cell>
          <cell r="B222" t="str">
            <v>QMH_3D</v>
          </cell>
          <cell r="C222" t="str">
            <v>single</v>
          </cell>
          <cell r="D222" t="str">
            <v>point</v>
          </cell>
          <cell r="E222" t="str">
            <v>retain</v>
          </cell>
        </row>
        <row r="223">
          <cell r="A223" t="str">
            <v>Joemma Beach State Park - Mid - Rebar 1 - 2018</v>
          </cell>
          <cell r="B223" t="str">
            <v>JSP_mid_1</v>
          </cell>
          <cell r="C223" t="str">
            <v>colocated</v>
          </cell>
          <cell r="D223" t="str">
            <v>point</v>
          </cell>
          <cell r="E223" t="str">
            <v>retain</v>
          </cell>
        </row>
        <row r="224">
          <cell r="A224" t="str">
            <v>Joemma Beach State Park - Mid - Puck 1 - 2018</v>
          </cell>
          <cell r="B224" t="str">
            <v>JSP_mid_1</v>
          </cell>
          <cell r="C224" t="str">
            <v>colocated</v>
          </cell>
          <cell r="D224" t="str">
            <v>point</v>
          </cell>
          <cell r="E224" t="str">
            <v>retain</v>
          </cell>
        </row>
        <row r="225">
          <cell r="A225" t="str">
            <v>Joemma Beach State Park - Mid - Puck 2 - 2018</v>
          </cell>
          <cell r="B225" t="str">
            <v>JSP_mid_2</v>
          </cell>
          <cell r="C225" t="str">
            <v>single</v>
          </cell>
          <cell r="D225" t="str">
            <v>point</v>
          </cell>
          <cell r="E225" t="str">
            <v>drop</v>
          </cell>
        </row>
        <row r="226">
          <cell r="A226" t="str">
            <v>Joemma Beach State Park - Mid - Rebar 2 - 2018</v>
          </cell>
          <cell r="B226" t="str">
            <v>JSP_mid_2</v>
          </cell>
          <cell r="C226" t="str">
            <v>single</v>
          </cell>
          <cell r="D226" t="str">
            <v>point</v>
          </cell>
          <cell r="E226" t="str">
            <v>drop</v>
          </cell>
        </row>
        <row r="227">
          <cell r="A227" t="str">
            <v>Joemma Beach State Park - Mid - Rebar 3 - 2018</v>
          </cell>
          <cell r="B227" t="str">
            <v>JSP_mid_3</v>
          </cell>
          <cell r="C227" t="str">
            <v>colocated</v>
          </cell>
          <cell r="D227" t="str">
            <v>point</v>
          </cell>
          <cell r="E227" t="str">
            <v>retain</v>
          </cell>
        </row>
        <row r="228">
          <cell r="A228" t="str">
            <v>Joemma Beach State Park - Mid - Puck 3 - 2018</v>
          </cell>
          <cell r="B228" t="str">
            <v>JSP_mid_3</v>
          </cell>
          <cell r="C228" t="str">
            <v>single</v>
          </cell>
          <cell r="D228" t="str">
            <v>point</v>
          </cell>
          <cell r="E228" t="str">
            <v>retain</v>
          </cell>
        </row>
        <row r="229">
          <cell r="A229" t="str">
            <v>UPDATED EVERYTHING DOWN FROM HERE</v>
          </cell>
        </row>
        <row r="230">
          <cell r="A230" t="str">
            <v>Blind Bay - DNR - test - 2020</v>
          </cell>
          <cell r="B230" t="str">
            <v>BB_test_1</v>
          </cell>
          <cell r="C230" t="str">
            <v>single</v>
          </cell>
          <cell r="D230" t="str">
            <v>line</v>
          </cell>
          <cell r="E230" t="str">
            <v>retain</v>
          </cell>
        </row>
        <row r="231">
          <cell r="A231" t="str">
            <v>Commencement Bay - PNNL - large - 2019</v>
          </cell>
          <cell r="B231" t="str">
            <v>COM_L2</v>
          </cell>
          <cell r="C231" t="str">
            <v>single</v>
          </cell>
          <cell r="D231" t="str">
            <v>line</v>
          </cell>
          <cell r="E231" t="str">
            <v>retain</v>
          </cell>
        </row>
        <row r="232">
          <cell r="A232" t="str">
            <v>Delano Beach East - PNNL - test - 2020</v>
          </cell>
          <cell r="B232" t="str">
            <v>DEL_east_1</v>
          </cell>
          <cell r="C232" t="str">
            <v>single</v>
          </cell>
          <cell r="D232" t="str">
            <v>point</v>
          </cell>
          <cell r="E232" t="str">
            <v>retain</v>
          </cell>
        </row>
        <row r="233">
          <cell r="A233" t="str">
            <v>Delano Beach West - PNNL - test - 2020</v>
          </cell>
          <cell r="B233" t="str">
            <v>DEL_west_1</v>
          </cell>
          <cell r="C233" t="str">
            <v>single</v>
          </cell>
          <cell r="D233" t="str">
            <v>point</v>
          </cell>
          <cell r="E233" t="str">
            <v>retain</v>
          </cell>
        </row>
        <row r="234">
          <cell r="A234" t="str">
            <v>Delano Beach West - PNNL - large - 2021</v>
          </cell>
          <cell r="B234" t="str">
            <v>DEL_L</v>
          </cell>
          <cell r="C234" t="str">
            <v>single</v>
          </cell>
          <cell r="D234" t="str">
            <v>point</v>
          </cell>
          <cell r="E234" t="str">
            <v>retain</v>
          </cell>
        </row>
        <row r="235">
          <cell r="A235" t="str">
            <v>Delano Beach West - DNR - shallow - test - 2021</v>
          </cell>
          <cell r="B235" t="str">
            <v>DEL_west_shallow_1</v>
          </cell>
          <cell r="C235" t="str">
            <v>single</v>
          </cell>
          <cell r="D235" t="str">
            <v>point</v>
          </cell>
          <cell r="E235" t="str">
            <v>retain</v>
          </cell>
        </row>
        <row r="236">
          <cell r="A236" t="str">
            <v>Delano Beach West - DNR - deep - test - 2021</v>
          </cell>
          <cell r="B236" t="str">
            <v>DEL_west_deep_1</v>
          </cell>
          <cell r="C236" t="str">
            <v>single</v>
          </cell>
          <cell r="D236" t="str">
            <v>point</v>
          </cell>
          <cell r="E236" t="str">
            <v>retain</v>
          </cell>
        </row>
        <row r="237">
          <cell r="A237" t="str">
            <v>Dumas Bay - KC Zm Restoration - test - 2020</v>
          </cell>
          <cell r="B237" t="str">
            <v>DB_test_1</v>
          </cell>
          <cell r="C237" t="str">
            <v>single</v>
          </cell>
          <cell r="D237" t="str">
            <v>point</v>
          </cell>
          <cell r="E237" t="str">
            <v>retain</v>
          </cell>
        </row>
        <row r="238">
          <cell r="A238" t="str">
            <v>Dumas Bay - KC Zm Restoration - test - 2021</v>
          </cell>
          <cell r="B238" t="str">
            <v>DB_test_2</v>
          </cell>
          <cell r="C238" t="str">
            <v>single</v>
          </cell>
          <cell r="D238" t="str">
            <v>point</v>
          </cell>
          <cell r="E238" t="str">
            <v>retain</v>
          </cell>
        </row>
        <row r="239">
          <cell r="A239" t="str">
            <v>Dumas Bay - KC Zm Restoration - test - 2021</v>
          </cell>
          <cell r="B239" t="str">
            <v>DB_test_3</v>
          </cell>
          <cell r="C239" t="str">
            <v>single</v>
          </cell>
          <cell r="D239" t="str">
            <v>point</v>
          </cell>
          <cell r="E239" t="str">
            <v>retain</v>
          </cell>
        </row>
        <row r="240">
          <cell r="A240" t="str">
            <v>Dumas Bay - KC Zm Restoration - test - 2021</v>
          </cell>
          <cell r="B240" t="str">
            <v>DB_test_4</v>
          </cell>
          <cell r="C240" t="str">
            <v>single</v>
          </cell>
          <cell r="D240" t="str">
            <v>point</v>
          </cell>
          <cell r="E240" t="str">
            <v>retain</v>
          </cell>
        </row>
        <row r="241">
          <cell r="A241" t="str">
            <v>Dumas Bay - KC Zm Restoration - test - 2021</v>
          </cell>
          <cell r="B241" t="str">
            <v>DB_test_5</v>
          </cell>
          <cell r="C241" t="str">
            <v>single</v>
          </cell>
          <cell r="D241" t="str">
            <v>point</v>
          </cell>
          <cell r="E241" t="str">
            <v>retain</v>
          </cell>
        </row>
        <row r="242">
          <cell r="A242" t="str">
            <v>Dumas Bay - KC Zm Restoration - test 2 - 2022</v>
          </cell>
          <cell r="B242" t="str">
            <v>DB_test_6</v>
          </cell>
          <cell r="C242" t="str">
            <v>single</v>
          </cell>
          <cell r="D242" t="str">
            <v>point</v>
          </cell>
          <cell r="E242" t="str">
            <v>retain</v>
          </cell>
        </row>
        <row r="243">
          <cell r="A243" t="str">
            <v>Dumas Bay - KC Zm Restoration - test 1 - 2022</v>
          </cell>
          <cell r="B243" t="str">
            <v>DB_test_7</v>
          </cell>
          <cell r="C243" t="str">
            <v>single</v>
          </cell>
          <cell r="D243" t="str">
            <v>point</v>
          </cell>
          <cell r="E243" t="str">
            <v>retain</v>
          </cell>
        </row>
        <row r="244">
          <cell r="A244" t="str">
            <v>Elwha Delta - shallow west - PNNL - test - 2016</v>
          </cell>
          <cell r="B244" t="str">
            <v>ELW_shallow_west</v>
          </cell>
          <cell r="C244" t="str">
            <v>single</v>
          </cell>
          <cell r="D244" t="str">
            <v>point</v>
          </cell>
          <cell r="E244" t="str">
            <v>retain</v>
          </cell>
        </row>
        <row r="245">
          <cell r="A245" t="str">
            <v>Eld Inlet - PNNL - test - 2020</v>
          </cell>
          <cell r="B245" t="str">
            <v>ELD</v>
          </cell>
          <cell r="C245" t="str">
            <v>single</v>
          </cell>
          <cell r="D245" t="str">
            <v>point</v>
          </cell>
          <cell r="E245" t="str">
            <v>retain</v>
          </cell>
        </row>
        <row r="246">
          <cell r="A246" t="str">
            <v>Harstine - PNNL - Large Scale 1 - north (deep) - 2018</v>
          </cell>
          <cell r="B246" t="str">
            <v>HAR_deep_L1</v>
          </cell>
          <cell r="C246" t="str">
            <v>single</v>
          </cell>
          <cell r="D246" t="str">
            <v>line</v>
          </cell>
          <cell r="E246" t="str">
            <v>retain</v>
          </cell>
        </row>
        <row r="247">
          <cell r="A247" t="str">
            <v>Harstine - PNNL - Large Scale 1 - south (shallow) - 2018</v>
          </cell>
          <cell r="B247" t="str">
            <v>HAR_shallow_L1</v>
          </cell>
          <cell r="C247" t="str">
            <v>single</v>
          </cell>
          <cell r="D247" t="str">
            <v>line</v>
          </cell>
          <cell r="E247" t="str">
            <v>retain</v>
          </cell>
        </row>
        <row r="248">
          <cell r="A248" t="str">
            <v>Harstine Island - PNNL - Large Scale 2 - shallow - 2019</v>
          </cell>
          <cell r="B248" t="str">
            <v>HAR_shallow_L2</v>
          </cell>
          <cell r="C248" t="str">
            <v>single</v>
          </cell>
          <cell r="D248" t="str">
            <v>line</v>
          </cell>
          <cell r="E248" t="str">
            <v>retain</v>
          </cell>
        </row>
        <row r="249">
          <cell r="A249" t="str">
            <v>Harstine Island - PNNL - Large Scale 3 - shallow - 2020</v>
          </cell>
          <cell r="B249" t="str">
            <v>HAR_shallow_L3</v>
          </cell>
          <cell r="C249" t="str">
            <v>single</v>
          </cell>
          <cell r="D249" t="str">
            <v>line</v>
          </cell>
          <cell r="E249" t="str">
            <v>retain</v>
          </cell>
        </row>
        <row r="250">
          <cell r="A250" t="str">
            <v>Harstine Island - PNNL - Test Plot 5 (north of north plot) rebar shallow- 2020</v>
          </cell>
          <cell r="B250" t="str">
            <v>HAR_5</v>
          </cell>
          <cell r="C250" t="str">
            <v>single</v>
          </cell>
          <cell r="D250" t="str">
            <v>point</v>
          </cell>
          <cell r="E250" t="str">
            <v>retain</v>
          </cell>
        </row>
        <row r="251">
          <cell r="A251" t="str">
            <v>Harstine Island - PNNL - Test Plot 6 (south of south plot) rebar shallow - 2020</v>
          </cell>
          <cell r="B251" t="str">
            <v>HAR_6</v>
          </cell>
          <cell r="C251" t="str">
            <v>single</v>
          </cell>
          <cell r="D251" t="str">
            <v>point</v>
          </cell>
          <cell r="E251" t="str">
            <v>retain</v>
          </cell>
        </row>
        <row r="252">
          <cell r="A252" t="str">
            <v>Harstine Island - PNNL - Test Plot 4 of 4 (south of south plot) staples - 2017</v>
          </cell>
          <cell r="B252" t="str">
            <v>HAR_4</v>
          </cell>
          <cell r="C252" t="str">
            <v>single</v>
          </cell>
          <cell r="D252" t="str">
            <v>point</v>
          </cell>
          <cell r="E252" t="str">
            <v>retain</v>
          </cell>
        </row>
        <row r="253">
          <cell r="A253" t="str">
            <v>Harstine Island - PNNL - Test Plot 4 of 4 (south of south plot) rebar - 2017</v>
          </cell>
          <cell r="B253" t="str">
            <v>HAR_4</v>
          </cell>
          <cell r="C253" t="str">
            <v>single</v>
          </cell>
          <cell r="D253" t="str">
            <v>point</v>
          </cell>
          <cell r="E253" t="str">
            <v>retain</v>
          </cell>
        </row>
        <row r="254">
          <cell r="A254" t="str">
            <v>Edgewater - south - PNNL - test - deep - 2020</v>
          </cell>
          <cell r="B254" t="str">
            <v>HPT_south_2</v>
          </cell>
          <cell r="C254" t="str">
            <v>single</v>
          </cell>
          <cell r="D254" t="str">
            <v>point</v>
          </cell>
          <cell r="E254" t="str">
            <v>retain</v>
          </cell>
        </row>
        <row r="255">
          <cell r="A255" t="str">
            <v>Edgewater - north - PNNL - test - deep - 2020</v>
          </cell>
          <cell r="B255" t="str">
            <v>HPT_north_2</v>
          </cell>
          <cell r="C255" t="str">
            <v>single</v>
          </cell>
          <cell r="D255" t="str">
            <v>point</v>
          </cell>
          <cell r="E255" t="str">
            <v>retain</v>
          </cell>
        </row>
        <row r="256">
          <cell r="A256" t="str">
            <v>Joemma Beach State Park South - SE - HC - large 3 - 2017</v>
          </cell>
          <cell r="B256" t="str">
            <v>JSP_south_P3</v>
          </cell>
          <cell r="C256" t="str">
            <v>single</v>
          </cell>
          <cell r="D256" t="str">
            <v>polygon</v>
          </cell>
          <cell r="E256" t="str">
            <v>retain</v>
          </cell>
        </row>
        <row r="257">
          <cell r="A257" t="str">
            <v>Joemma Beach State Park South - SE - HC - large 4 - 2017</v>
          </cell>
          <cell r="B257" t="str">
            <v>JSP_south_P4</v>
          </cell>
          <cell r="C257" t="str">
            <v>single</v>
          </cell>
          <cell r="D257" t="str">
            <v>polygon</v>
          </cell>
          <cell r="E257" t="str">
            <v>retain</v>
          </cell>
        </row>
        <row r="258">
          <cell r="A258" t="str">
            <v>Joemma Beach State Park - Mid - chia - 2016</v>
          </cell>
          <cell r="B258" t="str">
            <v>JSP_chia_1</v>
          </cell>
          <cell r="C258" t="str">
            <v>single</v>
          </cell>
          <cell r="D258" t="str">
            <v>point</v>
          </cell>
          <cell r="E258" t="str">
            <v>retain</v>
          </cell>
        </row>
        <row r="259">
          <cell r="A259" t="str">
            <v>McDermott Point - PNNL - test - 2020</v>
          </cell>
          <cell r="B259" t="str">
            <v>MCD_1</v>
          </cell>
          <cell r="C259" t="str">
            <v>single</v>
          </cell>
          <cell r="D259" t="str">
            <v>point</v>
          </cell>
          <cell r="E259" t="str">
            <v>retain</v>
          </cell>
        </row>
        <row r="260">
          <cell r="A260" t="str">
            <v>Shine Beach - Squamish Harbor - DNR - test 1 - 2023</v>
          </cell>
          <cell r="B260" t="str">
            <v>SHB_1</v>
          </cell>
          <cell r="C260" t="str">
            <v>single</v>
          </cell>
          <cell r="D260" t="str">
            <v>point</v>
          </cell>
          <cell r="E260" t="str">
            <v>retain</v>
          </cell>
        </row>
        <row r="261">
          <cell r="A261" t="str">
            <v>Otis Beach - Henderson Inlet - DNR - test 1 - 2023</v>
          </cell>
          <cell r="B261" t="str">
            <v>OTB_1</v>
          </cell>
          <cell r="C261" t="str">
            <v>single</v>
          </cell>
          <cell r="D261" t="str">
            <v>point</v>
          </cell>
          <cell r="E261" t="str">
            <v>retain</v>
          </cell>
        </row>
        <row r="262">
          <cell r="A262" t="str">
            <v>Myrtle Edwards - DNR - test - DW - 2021</v>
          </cell>
          <cell r="B262" t="str">
            <v>MRE_1</v>
          </cell>
          <cell r="C262" t="str">
            <v>single</v>
          </cell>
          <cell r="D262" t="str">
            <v>point</v>
          </cell>
          <cell r="E262" t="str">
            <v>retain</v>
          </cell>
        </row>
        <row r="263">
          <cell r="A263" t="str">
            <v>Myrtle Edwards - DNR - test - DB - 2021</v>
          </cell>
          <cell r="B263" t="str">
            <v>MRE_1</v>
          </cell>
          <cell r="C263" t="str">
            <v>single</v>
          </cell>
          <cell r="D263" t="str">
            <v>point</v>
          </cell>
          <cell r="E263" t="str">
            <v>retain</v>
          </cell>
        </row>
        <row r="264">
          <cell r="A264" t="str">
            <v>Myrtle Edwards - DNR - test 1 - DW - 2022</v>
          </cell>
          <cell r="B264" t="str">
            <v>MRE_2</v>
          </cell>
          <cell r="C264" t="str">
            <v>single</v>
          </cell>
          <cell r="D264" t="str">
            <v>point</v>
          </cell>
          <cell r="E264" t="str">
            <v>retain</v>
          </cell>
        </row>
        <row r="265">
          <cell r="A265" t="str">
            <v>Myrtle Edwards - DNR - test 2 - DW - 2022</v>
          </cell>
          <cell r="B265" t="str">
            <v>MRE_2</v>
          </cell>
          <cell r="C265" t="str">
            <v>single</v>
          </cell>
          <cell r="D265" t="str">
            <v>point</v>
          </cell>
          <cell r="E265" t="str">
            <v>retain</v>
          </cell>
        </row>
        <row r="266">
          <cell r="A266" t="str">
            <v>Amsterdam Bay - PNNL - deeper - test - 2020</v>
          </cell>
          <cell r="B266" t="str">
            <v>AMS_deeper</v>
          </cell>
          <cell r="C266" t="str">
            <v>single</v>
          </cell>
          <cell r="D266" t="str">
            <v>point</v>
          </cell>
          <cell r="E266" t="str">
            <v>retain</v>
          </cell>
        </row>
        <row r="267">
          <cell r="A267" t="str">
            <v>Anderson Island West - PNNL - test - 2020</v>
          </cell>
          <cell r="B267" t="str">
            <v>AND_west3</v>
          </cell>
          <cell r="C267" t="str">
            <v>single</v>
          </cell>
          <cell r="D267" t="str">
            <v>point</v>
          </cell>
          <cell r="E267" t="str">
            <v>retain</v>
          </cell>
        </row>
        <row r="268">
          <cell r="A268" t="str">
            <v>Anderson Island Northwest - PNNL - test - 2020</v>
          </cell>
          <cell r="B268" t="str">
            <v>AND_nw1</v>
          </cell>
          <cell r="C268" t="str">
            <v>single</v>
          </cell>
          <cell r="D268" t="str">
            <v>point</v>
          </cell>
          <cell r="E268" t="str">
            <v>retain</v>
          </cell>
        </row>
        <row r="269">
          <cell r="A269" t="str">
            <v>Anderson Island South 1 - west - test - 2021</v>
          </cell>
          <cell r="B269" t="str">
            <v>AND_west4</v>
          </cell>
          <cell r="C269" t="str">
            <v>single</v>
          </cell>
          <cell r="D269" t="str">
            <v>point</v>
          </cell>
          <cell r="E269" t="str">
            <v>retain</v>
          </cell>
        </row>
        <row r="270">
          <cell r="A270" t="str">
            <v>Anderson Island South 2 - west - test - 2021</v>
          </cell>
          <cell r="B270" t="str">
            <v>AND_west5</v>
          </cell>
          <cell r="C270" t="str">
            <v>single</v>
          </cell>
          <cell r="D270" t="str">
            <v>point</v>
          </cell>
          <cell r="E270" t="str">
            <v>retain</v>
          </cell>
        </row>
        <row r="271">
          <cell r="A271" t="str">
            <v>Anderson Island South 3 - west - test - 2021</v>
          </cell>
          <cell r="B271" t="str">
            <v>AND_west6</v>
          </cell>
          <cell r="C271" t="str">
            <v>single</v>
          </cell>
          <cell r="D271" t="str">
            <v>point</v>
          </cell>
          <cell r="E271" t="str">
            <v>retain</v>
          </cell>
        </row>
        <row r="272">
          <cell r="A272" t="str">
            <v>Anderson Island - Carlson Bay SE - DNR - test 1 - 2023</v>
          </cell>
          <cell r="B272" t="str">
            <v>AND_se1</v>
          </cell>
          <cell r="C272" t="str">
            <v>single</v>
          </cell>
          <cell r="D272" t="str">
            <v>point</v>
          </cell>
          <cell r="E272" t="str">
            <v>retain</v>
          </cell>
        </row>
        <row r="273">
          <cell r="A273" t="str">
            <v>Dog Camp - PNNL - test - 2020</v>
          </cell>
          <cell r="B273" t="str">
            <v>KYP_dog1</v>
          </cell>
          <cell r="C273" t="str">
            <v>single</v>
          </cell>
          <cell r="D273" t="str">
            <v>point</v>
          </cell>
          <cell r="E273" t="str">
            <v>retain</v>
          </cell>
        </row>
        <row r="274">
          <cell r="A274" t="str">
            <v>Westcott Bay - Bell Point North - DNR - test - 2020-Dumas</v>
          </cell>
          <cell r="B274" t="str">
            <v>WES_test_1</v>
          </cell>
          <cell r="C274" t="str">
            <v>single</v>
          </cell>
          <cell r="D274" t="str">
            <v>line</v>
          </cell>
          <cell r="E274" t="str">
            <v>retain</v>
          </cell>
        </row>
        <row r="275">
          <cell r="A275" t="str">
            <v>Westcott Bay - Bell Point North - DNR - test - 2020-Fay</v>
          </cell>
          <cell r="B275" t="str">
            <v>WES_test_1</v>
          </cell>
          <cell r="C275" t="str">
            <v>single</v>
          </cell>
          <cell r="D275" t="str">
            <v>line</v>
          </cell>
          <cell r="E275" t="str">
            <v>retain</v>
          </cell>
        </row>
        <row r="276">
          <cell r="A276" t="str">
            <v>Westcott Bay - Bell Point North - DNR - test - 2020-Henry</v>
          </cell>
          <cell r="B276" t="str">
            <v>WES_test_1</v>
          </cell>
          <cell r="C276" t="str">
            <v>single</v>
          </cell>
          <cell r="D276" t="str">
            <v>line</v>
          </cell>
          <cell r="E276" t="str">
            <v>retain</v>
          </cell>
        </row>
        <row r="277">
          <cell r="A277" t="str">
            <v>Westcott Bay - Bell Point North - DNR - test - 2020-Ship</v>
          </cell>
          <cell r="B277" t="str">
            <v>WES_test_1</v>
          </cell>
          <cell r="C277" t="str">
            <v>single</v>
          </cell>
          <cell r="D277" t="str">
            <v>line</v>
          </cell>
          <cell r="E277" t="str">
            <v>retain</v>
          </cell>
        </row>
        <row r="278">
          <cell r="A278" t="str">
            <v>Westcott Bay - Bell Point North - DNR - test - 2020-Mixed</v>
          </cell>
          <cell r="B278" t="str">
            <v>WES_test_1</v>
          </cell>
          <cell r="C278" t="str">
            <v>single</v>
          </cell>
          <cell r="D278" t="str">
            <v>line</v>
          </cell>
          <cell r="E278" t="str">
            <v>retain</v>
          </cell>
        </row>
        <row r="279">
          <cell r="A279" t="str">
            <v>Joemma Beach State Park South of South- PNNL - test - 2020</v>
          </cell>
          <cell r="B279" t="str">
            <v>WHB_test_1</v>
          </cell>
          <cell r="C279" t="str">
            <v>single</v>
          </cell>
          <cell r="D279" t="str">
            <v>point</v>
          </cell>
          <cell r="E279" t="str">
            <v>retain</v>
          </cell>
        </row>
        <row r="280">
          <cell r="A280" t="str">
            <v>Joemma Beach State Park - Mid - test - 2020</v>
          </cell>
          <cell r="B280" t="str">
            <v>JSP_mid_4</v>
          </cell>
          <cell r="C280" t="str">
            <v>single</v>
          </cell>
          <cell r="D280" t="str">
            <v>point</v>
          </cell>
          <cell r="E280" t="str">
            <v>retain</v>
          </cell>
        </row>
        <row r="281">
          <cell r="A281" t="str">
            <v>Joemma Beach State Park - Mid - Rebar - 2022</v>
          </cell>
          <cell r="B281" t="str">
            <v>JSP_mid_connect</v>
          </cell>
          <cell r="C281" t="str">
            <v>single</v>
          </cell>
          <cell r="D281" t="str">
            <v>point</v>
          </cell>
          <cell r="E281" t="str">
            <v>retain</v>
          </cell>
        </row>
        <row r="282">
          <cell r="A282" t="str">
            <v>Joemma Beach State Park - Mid - offshore HC 2016 - Rebar - 2022</v>
          </cell>
          <cell r="B282" t="str">
            <v>HC_off_1</v>
          </cell>
          <cell r="C282" t="str">
            <v>single</v>
          </cell>
          <cell r="D282" t="str">
            <v>point</v>
          </cell>
          <cell r="E282" t="str">
            <v>retain</v>
          </cell>
        </row>
        <row r="283">
          <cell r="A283" t="str">
            <v>Joemma Beach State Park - Mid - offshore HC 2016 - Rebar - 2025</v>
          </cell>
          <cell r="B283" t="str">
            <v>HC_off_2</v>
          </cell>
          <cell r="C283" t="str">
            <v>single</v>
          </cell>
          <cell r="D283" t="str">
            <v>point</v>
          </cell>
          <cell r="E283" t="str">
            <v>retain</v>
          </cell>
        </row>
        <row r="284">
          <cell r="A284" t="str">
            <v>Joemma Beach State Park - Mid - Rebar - 2021</v>
          </cell>
          <cell r="B284" t="str">
            <v>JSP_south_test</v>
          </cell>
          <cell r="C284" t="str">
            <v>single</v>
          </cell>
          <cell r="D284" t="str">
            <v>point</v>
          </cell>
          <cell r="E284" t="str">
            <v>retain</v>
          </cell>
        </row>
      </sheetData>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3AF84-0463-437A-ADB9-A2ADAEEC54FC}">
  <dimension ref="A1:Z437"/>
  <sheetViews>
    <sheetView zoomScale="106" zoomScaleNormal="106" workbookViewId="0">
      <pane ySplit="1" topLeftCell="A2" activePane="bottomLeft" state="frozen"/>
      <selection pane="bottomLeft" activeCell="K14" sqref="K14"/>
    </sheetView>
  </sheetViews>
  <sheetFormatPr defaultColWidth="8.85546875" defaultRowHeight="15" customHeight="1" x14ac:dyDescent="0.25"/>
  <cols>
    <col min="1" max="1" width="10.85546875" bestFit="1" customWidth="1"/>
    <col min="2" max="2" width="39.140625" bestFit="1" customWidth="1"/>
    <col min="3" max="3" width="28.140625" bestFit="1" customWidth="1"/>
    <col min="4" max="4" width="63.85546875" bestFit="1" customWidth="1"/>
    <col min="5" max="5" width="10.7109375" style="35" bestFit="1" customWidth="1"/>
    <col min="6" max="6" width="14.5703125" style="35" bestFit="1" customWidth="1"/>
    <col min="7" max="7" width="17.28515625" style="35" bestFit="1" customWidth="1"/>
    <col min="8" max="8" width="9" style="36" bestFit="1" customWidth="1"/>
    <col min="9" max="9" width="10.85546875" style="36" bestFit="1" customWidth="1"/>
    <col min="10" max="10" width="16.140625" style="36" bestFit="1" customWidth="1"/>
    <col min="11" max="11" width="17.5703125" style="36" bestFit="1" customWidth="1"/>
    <col min="12" max="12" width="7.28515625" style="35" bestFit="1" customWidth="1"/>
    <col min="13" max="13" width="16" style="37" customWidth="1"/>
    <col min="14" max="14" width="14.28515625" style="35" bestFit="1" customWidth="1"/>
    <col min="15" max="15" width="19.140625" style="35" bestFit="1" customWidth="1"/>
    <col min="16" max="16" width="13.140625" style="35" bestFit="1" customWidth="1"/>
    <col min="17" max="17" width="18.5703125" style="35" bestFit="1" customWidth="1"/>
    <col min="18" max="18" width="255.7109375" style="38" bestFit="1" customWidth="1"/>
    <col min="19" max="19" width="86.140625" style="8" bestFit="1" customWidth="1"/>
    <col min="20" max="20" width="15.7109375" customWidth="1"/>
    <col min="21" max="25" width="26" customWidth="1"/>
  </cols>
  <sheetData>
    <row r="1" spans="1:26" ht="15" customHeight="1" x14ac:dyDescent="0.25">
      <c r="A1" s="5" t="s">
        <v>2069</v>
      </c>
      <c r="B1" t="s">
        <v>2070</v>
      </c>
      <c r="C1" t="s">
        <v>2071</v>
      </c>
      <c r="D1" t="s">
        <v>2022</v>
      </c>
      <c r="E1" s="5" t="s">
        <v>2072</v>
      </c>
      <c r="F1" s="5" t="s">
        <v>2073</v>
      </c>
      <c r="G1" s="5" t="s">
        <v>2074</v>
      </c>
      <c r="H1" s="6" t="s">
        <v>2076</v>
      </c>
      <c r="I1" s="6" t="s">
        <v>2075</v>
      </c>
      <c r="J1" s="6" t="s">
        <v>2077</v>
      </c>
      <c r="K1" s="6" t="s">
        <v>2078</v>
      </c>
      <c r="L1" s="5" t="s">
        <v>2026</v>
      </c>
      <c r="M1" s="7" t="s">
        <v>2079</v>
      </c>
      <c r="N1" s="5" t="s">
        <v>2080</v>
      </c>
      <c r="O1" s="5" t="s">
        <v>2081</v>
      </c>
      <c r="P1" s="5" t="s">
        <v>2082</v>
      </c>
      <c r="Q1" s="5" t="s">
        <v>2083</v>
      </c>
      <c r="R1" s="38" t="s">
        <v>2027</v>
      </c>
      <c r="S1" s="22" t="s">
        <v>2084</v>
      </c>
    </row>
    <row r="2" spans="1:26" s="9" customFormat="1" ht="15" customHeight="1" x14ac:dyDescent="0.25">
      <c r="A2" s="3">
        <v>41215</v>
      </c>
      <c r="B2" t="s">
        <v>3</v>
      </c>
      <c r="C2" t="s">
        <v>4</v>
      </c>
      <c r="D2" t="s">
        <v>5</v>
      </c>
      <c r="E2" s="4" t="s">
        <v>6</v>
      </c>
      <c r="F2" s="5" t="s">
        <v>7</v>
      </c>
      <c r="G2" s="5" t="s">
        <v>8</v>
      </c>
      <c r="H2" s="6">
        <v>47.863050000000001</v>
      </c>
      <c r="I2" s="6">
        <v>-122.69146666666667</v>
      </c>
      <c r="J2" s="6"/>
      <c r="K2" s="6"/>
      <c r="L2" s="5" t="s">
        <v>9</v>
      </c>
      <c r="M2" s="7">
        <v>-1.7</v>
      </c>
      <c r="N2" s="5" t="s">
        <v>10</v>
      </c>
      <c r="O2" s="5" t="s">
        <v>11</v>
      </c>
      <c r="P2" s="5" t="s">
        <v>12</v>
      </c>
      <c r="Q2" s="5" t="s">
        <v>13</v>
      </c>
      <c r="R2" s="8" t="s">
        <v>14</v>
      </c>
      <c r="S2" s="22" t="s">
        <v>15</v>
      </c>
    </row>
    <row r="3" spans="1:26" ht="15" customHeight="1" x14ac:dyDescent="0.25">
      <c r="A3" s="3">
        <v>41215</v>
      </c>
      <c r="B3" t="s">
        <v>3</v>
      </c>
      <c r="C3" t="s">
        <v>4</v>
      </c>
      <c r="D3" t="s">
        <v>16</v>
      </c>
      <c r="E3" s="4" t="s">
        <v>6</v>
      </c>
      <c r="F3" s="5" t="s">
        <v>17</v>
      </c>
      <c r="G3" s="5" t="s">
        <v>8</v>
      </c>
      <c r="H3" s="6">
        <v>47.862369999999999</v>
      </c>
      <c r="I3" s="6">
        <v>-122.69046666666667</v>
      </c>
      <c r="J3" s="6">
        <v>47.865270000000002</v>
      </c>
      <c r="K3" s="6">
        <v>-122.68908333333333</v>
      </c>
      <c r="L3" s="5" t="s">
        <v>9</v>
      </c>
      <c r="M3" s="7">
        <v>-3.4</v>
      </c>
      <c r="N3" s="5" t="s">
        <v>10</v>
      </c>
      <c r="O3" s="5" t="s">
        <v>11</v>
      </c>
      <c r="P3" s="5" t="s">
        <v>18</v>
      </c>
      <c r="Q3" s="5" t="s">
        <v>13</v>
      </c>
      <c r="R3" s="8" t="s">
        <v>19</v>
      </c>
      <c r="S3" s="22" t="s">
        <v>15</v>
      </c>
      <c r="T3" s="10"/>
      <c r="U3" s="10"/>
      <c r="V3" s="10"/>
      <c r="W3" s="10"/>
      <c r="X3" s="10"/>
      <c r="Y3" s="10"/>
      <c r="Z3" s="10"/>
    </row>
    <row r="4" spans="1:26" s="2" customFormat="1" ht="15" customHeight="1" x14ac:dyDescent="0.25">
      <c r="A4" s="3">
        <v>41215</v>
      </c>
      <c r="B4" t="s">
        <v>3</v>
      </c>
      <c r="C4" t="s">
        <v>20</v>
      </c>
      <c r="D4" t="s">
        <v>21</v>
      </c>
      <c r="E4" s="4" t="s">
        <v>6</v>
      </c>
      <c r="F4" s="5" t="s">
        <v>7</v>
      </c>
      <c r="G4" s="5" t="s">
        <v>8</v>
      </c>
      <c r="H4" s="6">
        <v>47.823333333333331</v>
      </c>
      <c r="I4" s="6">
        <v>-122.57913333333333</v>
      </c>
      <c r="J4" s="6"/>
      <c r="K4" s="6"/>
      <c r="L4" s="5" t="s">
        <v>9</v>
      </c>
      <c r="M4" s="7">
        <v>-8.1999999999999993</v>
      </c>
      <c r="N4" s="5" t="s">
        <v>10</v>
      </c>
      <c r="O4" s="5" t="s">
        <v>22</v>
      </c>
      <c r="P4" s="5" t="s">
        <v>23</v>
      </c>
      <c r="Q4" s="5" t="s">
        <v>24</v>
      </c>
      <c r="R4" s="8" t="s">
        <v>25</v>
      </c>
      <c r="S4" s="22" t="s">
        <v>15</v>
      </c>
      <c r="T4"/>
      <c r="U4"/>
      <c r="V4"/>
      <c r="W4"/>
      <c r="X4"/>
      <c r="Y4"/>
      <c r="Z4"/>
    </row>
    <row r="5" spans="1:26" ht="15" customHeight="1" x14ac:dyDescent="0.25">
      <c r="A5" s="3">
        <v>41215</v>
      </c>
      <c r="B5" t="s">
        <v>3</v>
      </c>
      <c r="C5" t="s">
        <v>20</v>
      </c>
      <c r="D5" t="s">
        <v>26</v>
      </c>
      <c r="E5" s="4" t="s">
        <v>6</v>
      </c>
      <c r="F5" s="5" t="s">
        <v>17</v>
      </c>
      <c r="G5" s="5" t="s">
        <v>8</v>
      </c>
      <c r="H5" s="6">
        <v>47.822716666666665</v>
      </c>
      <c r="I5" s="6">
        <v>-122.58055</v>
      </c>
      <c r="J5" s="6">
        <v>47.820716666666669</v>
      </c>
      <c r="K5" s="6">
        <v>-122.57989999999999</v>
      </c>
      <c r="L5" s="5" t="s">
        <v>9</v>
      </c>
      <c r="M5" s="7">
        <v>-3.2</v>
      </c>
      <c r="N5" s="5" t="s">
        <v>10</v>
      </c>
      <c r="O5" s="5" t="s">
        <v>22</v>
      </c>
      <c r="P5" s="5" t="s">
        <v>23</v>
      </c>
      <c r="Q5" s="5" t="s">
        <v>24</v>
      </c>
      <c r="R5" s="8" t="s">
        <v>27</v>
      </c>
      <c r="S5" s="22" t="s">
        <v>15</v>
      </c>
    </row>
    <row r="6" spans="1:26" ht="15" customHeight="1" x14ac:dyDescent="0.25">
      <c r="A6" s="3">
        <v>41215</v>
      </c>
      <c r="B6" t="s">
        <v>3</v>
      </c>
      <c r="C6" t="s">
        <v>20</v>
      </c>
      <c r="D6" t="s">
        <v>28</v>
      </c>
      <c r="E6" s="4" t="s">
        <v>6</v>
      </c>
      <c r="F6" s="5" t="s">
        <v>17</v>
      </c>
      <c r="G6" s="5" t="s">
        <v>8</v>
      </c>
      <c r="H6" s="6">
        <v>47.820716666666669</v>
      </c>
      <c r="I6" s="6">
        <v>-122.57989999999999</v>
      </c>
      <c r="J6" s="6">
        <v>47.822733333333332</v>
      </c>
      <c r="K6" s="6">
        <v>-122.57441666666666</v>
      </c>
      <c r="L6" s="5" t="s">
        <v>9</v>
      </c>
      <c r="M6" s="7">
        <v>-5.2</v>
      </c>
      <c r="N6" s="5" t="s">
        <v>10</v>
      </c>
      <c r="O6" s="5" t="s">
        <v>22</v>
      </c>
      <c r="P6" s="5" t="s">
        <v>23</v>
      </c>
      <c r="Q6" s="5" t="s">
        <v>24</v>
      </c>
      <c r="R6" s="8" t="s">
        <v>29</v>
      </c>
      <c r="S6" s="22" t="s">
        <v>15</v>
      </c>
    </row>
    <row r="7" spans="1:26" ht="15" customHeight="1" x14ac:dyDescent="0.25">
      <c r="A7" s="3">
        <v>41215</v>
      </c>
      <c r="B7" t="s">
        <v>3</v>
      </c>
      <c r="C7" t="s">
        <v>30</v>
      </c>
      <c r="D7" t="s">
        <v>31</v>
      </c>
      <c r="E7" s="4" t="s">
        <v>6</v>
      </c>
      <c r="F7" s="5" t="s">
        <v>7</v>
      </c>
      <c r="G7" s="5" t="s">
        <v>8</v>
      </c>
      <c r="H7" s="6">
        <v>47.848599999999998</v>
      </c>
      <c r="I7" s="6">
        <v>-122.6739</v>
      </c>
      <c r="J7" s="6"/>
      <c r="K7" s="6"/>
      <c r="L7" s="5" t="s">
        <v>9</v>
      </c>
      <c r="M7" s="7">
        <v>-2.2000000000000002</v>
      </c>
      <c r="N7" s="5" t="s">
        <v>10</v>
      </c>
      <c r="O7" s="5" t="s">
        <v>32</v>
      </c>
      <c r="P7" s="5" t="s">
        <v>12</v>
      </c>
      <c r="Q7" s="5" t="s">
        <v>13</v>
      </c>
      <c r="R7" s="8" t="s">
        <v>33</v>
      </c>
      <c r="S7" s="22" t="s">
        <v>15</v>
      </c>
    </row>
    <row r="8" spans="1:26" ht="15" customHeight="1" x14ac:dyDescent="0.25">
      <c r="A8" s="3">
        <v>41215</v>
      </c>
      <c r="B8" t="s">
        <v>3</v>
      </c>
      <c r="C8" t="s">
        <v>30</v>
      </c>
      <c r="D8" t="s">
        <v>34</v>
      </c>
      <c r="E8" s="4" t="s">
        <v>6</v>
      </c>
      <c r="F8" s="5" t="s">
        <v>17</v>
      </c>
      <c r="G8" s="5" t="s">
        <v>8</v>
      </c>
      <c r="H8" s="6">
        <f>47+(51.258/60)</f>
        <v>47.854300000000002</v>
      </c>
      <c r="I8" s="6">
        <f>-1*(122+(40.447/60))</f>
        <v>-122.67411666666666</v>
      </c>
      <c r="J8" s="6">
        <f>47+(51.345/60)</f>
        <v>47.85575</v>
      </c>
      <c r="K8" s="6">
        <f>-1*(122+(40.297/60))</f>
        <v>-122.67161666666667</v>
      </c>
      <c r="L8" s="5" t="s">
        <v>9</v>
      </c>
      <c r="M8" s="7">
        <v>-3.6</v>
      </c>
      <c r="N8" s="5" t="s">
        <v>10</v>
      </c>
      <c r="O8" s="5" t="s">
        <v>35</v>
      </c>
      <c r="P8" s="5" t="s">
        <v>36</v>
      </c>
      <c r="Q8" s="5" t="s">
        <v>13</v>
      </c>
      <c r="R8" s="8" t="s">
        <v>37</v>
      </c>
      <c r="S8" s="22" t="s">
        <v>38</v>
      </c>
    </row>
    <row r="9" spans="1:26" ht="15" customHeight="1" x14ac:dyDescent="0.25">
      <c r="A9" s="3">
        <v>41215</v>
      </c>
      <c r="B9" t="s">
        <v>3</v>
      </c>
      <c r="C9" t="s">
        <v>30</v>
      </c>
      <c r="D9" t="s">
        <v>39</v>
      </c>
      <c r="E9" s="4" t="s">
        <v>6</v>
      </c>
      <c r="F9" s="5" t="s">
        <v>17</v>
      </c>
      <c r="G9" s="5" t="s">
        <v>8</v>
      </c>
      <c r="H9" s="6">
        <v>47.847099999999998</v>
      </c>
      <c r="I9" s="6">
        <v>-122.67551666666667</v>
      </c>
      <c r="J9" s="6">
        <v>47.848733333333335</v>
      </c>
      <c r="K9" s="6">
        <v>-122.67398333333334</v>
      </c>
      <c r="L9" s="5" t="s">
        <v>9</v>
      </c>
      <c r="M9" s="7">
        <v>-4.7</v>
      </c>
      <c r="N9" s="5" t="s">
        <v>10</v>
      </c>
      <c r="O9" s="5" t="s">
        <v>32</v>
      </c>
      <c r="P9" s="5" t="s">
        <v>18</v>
      </c>
      <c r="Q9" s="5" t="s">
        <v>13</v>
      </c>
      <c r="R9" s="8" t="s">
        <v>40</v>
      </c>
      <c r="S9" s="22" t="s">
        <v>15</v>
      </c>
    </row>
    <row r="10" spans="1:26" ht="15" customHeight="1" x14ac:dyDescent="0.25">
      <c r="A10" s="3">
        <v>41220</v>
      </c>
      <c r="B10" t="s">
        <v>3</v>
      </c>
      <c r="C10" t="s">
        <v>41</v>
      </c>
      <c r="D10" t="s">
        <v>42</v>
      </c>
      <c r="E10" s="4" t="s">
        <v>6</v>
      </c>
      <c r="F10" s="5" t="s">
        <v>17</v>
      </c>
      <c r="G10" s="5" t="s">
        <v>8</v>
      </c>
      <c r="H10" s="6">
        <v>47.689933333333336</v>
      </c>
      <c r="I10" s="6">
        <v>-122.50038333333333</v>
      </c>
      <c r="J10" s="6">
        <v>47.690583333333336</v>
      </c>
      <c r="K10" s="6">
        <v>-122.5013</v>
      </c>
      <c r="L10" s="5" t="s">
        <v>9</v>
      </c>
      <c r="M10" s="7">
        <v>-1.5</v>
      </c>
      <c r="N10" s="5" t="s">
        <v>10</v>
      </c>
      <c r="O10" s="5" t="s">
        <v>11</v>
      </c>
      <c r="P10" s="5" t="s">
        <v>36</v>
      </c>
      <c r="Q10" s="5" t="s">
        <v>13</v>
      </c>
      <c r="R10" s="8" t="s">
        <v>43</v>
      </c>
      <c r="S10" s="22" t="s">
        <v>15</v>
      </c>
    </row>
    <row r="11" spans="1:26" ht="15" customHeight="1" x14ac:dyDescent="0.25">
      <c r="A11" s="3">
        <v>41220</v>
      </c>
      <c r="B11" t="s">
        <v>3</v>
      </c>
      <c r="C11" t="s">
        <v>44</v>
      </c>
      <c r="D11" t="s">
        <v>45</v>
      </c>
      <c r="E11" s="4" t="s">
        <v>6</v>
      </c>
      <c r="F11" s="5" t="s">
        <v>17</v>
      </c>
      <c r="G11" s="5" t="s">
        <v>8</v>
      </c>
      <c r="H11" s="6">
        <v>47.705866666666665</v>
      </c>
      <c r="I11" s="6">
        <v>-122.60946666666666</v>
      </c>
      <c r="J11" s="6">
        <v>47.707333333333331</v>
      </c>
      <c r="K11" s="6">
        <v>-122.61253333333333</v>
      </c>
      <c r="L11" s="5" t="s">
        <v>9</v>
      </c>
      <c r="M11" s="7">
        <v>-1.7</v>
      </c>
      <c r="N11" s="5" t="s">
        <v>10</v>
      </c>
      <c r="O11" s="5" t="s">
        <v>11</v>
      </c>
      <c r="P11" s="5" t="s">
        <v>23</v>
      </c>
      <c r="Q11" s="5" t="s">
        <v>24</v>
      </c>
      <c r="R11" s="8" t="s">
        <v>46</v>
      </c>
      <c r="S11" s="22" t="s">
        <v>15</v>
      </c>
    </row>
    <row r="12" spans="1:26" ht="15" customHeight="1" x14ac:dyDescent="0.25">
      <c r="A12" s="3">
        <v>41220</v>
      </c>
      <c r="B12" t="s">
        <v>3</v>
      </c>
      <c r="C12" t="s">
        <v>44</v>
      </c>
      <c r="D12" t="s">
        <v>47</v>
      </c>
      <c r="E12" s="4" t="s">
        <v>6</v>
      </c>
      <c r="F12" s="5" t="s">
        <v>7</v>
      </c>
      <c r="G12" s="5" t="s">
        <v>8</v>
      </c>
      <c r="H12" s="6">
        <v>47.692033333333335</v>
      </c>
      <c r="I12" s="6">
        <v>-122.59348333333334</v>
      </c>
      <c r="J12" s="6"/>
      <c r="K12" s="6"/>
      <c r="L12" s="5" t="s">
        <v>9</v>
      </c>
      <c r="M12" s="7">
        <v>-0.2</v>
      </c>
      <c r="N12" s="5" t="s">
        <v>10</v>
      </c>
      <c r="O12" s="5" t="s">
        <v>11</v>
      </c>
      <c r="P12" s="5" t="s">
        <v>23</v>
      </c>
      <c r="Q12" s="5" t="s">
        <v>48</v>
      </c>
      <c r="R12" s="8" t="s">
        <v>49</v>
      </c>
      <c r="S12" s="22" t="s">
        <v>15</v>
      </c>
    </row>
    <row r="13" spans="1:26" ht="15" customHeight="1" x14ac:dyDescent="0.25">
      <c r="A13" s="3">
        <v>41220</v>
      </c>
      <c r="B13" t="s">
        <v>3</v>
      </c>
      <c r="C13" t="s">
        <v>44</v>
      </c>
      <c r="D13" t="s">
        <v>50</v>
      </c>
      <c r="E13" s="4" t="s">
        <v>6</v>
      </c>
      <c r="F13" s="5" t="s">
        <v>17</v>
      </c>
      <c r="G13" s="5" t="s">
        <v>8</v>
      </c>
      <c r="H13" s="6">
        <v>47.690733333333334</v>
      </c>
      <c r="I13" s="6">
        <v>-122.59236666666666</v>
      </c>
      <c r="J13" s="6">
        <v>47.69233333333333</v>
      </c>
      <c r="K13" s="6">
        <v>-122.59368333333333</v>
      </c>
      <c r="L13" s="5" t="s">
        <v>9</v>
      </c>
      <c r="M13" s="7">
        <v>-1.6</v>
      </c>
      <c r="N13" s="5" t="s">
        <v>10</v>
      </c>
      <c r="O13" s="5" t="s">
        <v>11</v>
      </c>
      <c r="P13" s="5" t="s">
        <v>23</v>
      </c>
      <c r="Q13" s="5" t="s">
        <v>48</v>
      </c>
      <c r="R13" s="8" t="s">
        <v>51</v>
      </c>
      <c r="S13" s="22" t="s">
        <v>15</v>
      </c>
    </row>
    <row r="14" spans="1:26" ht="15" customHeight="1" x14ac:dyDescent="0.25">
      <c r="A14" s="3">
        <v>41220</v>
      </c>
      <c r="B14" t="s">
        <v>3</v>
      </c>
      <c r="C14" t="s">
        <v>44</v>
      </c>
      <c r="D14" t="s">
        <v>52</v>
      </c>
      <c r="E14" s="4" t="s">
        <v>6</v>
      </c>
      <c r="F14" s="5" t="s">
        <v>17</v>
      </c>
      <c r="G14" s="5" t="s">
        <v>8</v>
      </c>
      <c r="H14" s="6">
        <v>47.692366666666665</v>
      </c>
      <c r="I14" s="6">
        <v>-122.5949</v>
      </c>
      <c r="J14" s="6">
        <v>47.693649999999998</v>
      </c>
      <c r="K14" s="6">
        <v>-122.59626666666666</v>
      </c>
      <c r="L14" s="5" t="s">
        <v>9</v>
      </c>
      <c r="M14" s="7">
        <v>-1.2</v>
      </c>
      <c r="N14" s="5" t="s">
        <v>10</v>
      </c>
      <c r="O14" s="5" t="s">
        <v>11</v>
      </c>
      <c r="P14" s="5" t="s">
        <v>23</v>
      </c>
      <c r="Q14" s="5" t="s">
        <v>48</v>
      </c>
      <c r="R14" s="8" t="s">
        <v>53</v>
      </c>
      <c r="S14" s="22" t="s">
        <v>15</v>
      </c>
    </row>
    <row r="15" spans="1:26" ht="15" customHeight="1" x14ac:dyDescent="0.25">
      <c r="A15" s="3">
        <v>41220</v>
      </c>
      <c r="B15" t="s">
        <v>3</v>
      </c>
      <c r="C15" t="s">
        <v>54</v>
      </c>
      <c r="D15" t="s">
        <v>55</v>
      </c>
      <c r="E15" s="4" t="s">
        <v>6</v>
      </c>
      <c r="F15" s="5" t="s">
        <v>7</v>
      </c>
      <c r="G15" s="5" t="s">
        <v>8</v>
      </c>
      <c r="H15" s="6">
        <v>47.745049999999999</v>
      </c>
      <c r="I15" s="6">
        <v>-122.52948333333333</v>
      </c>
      <c r="J15" s="6"/>
      <c r="K15" s="6"/>
      <c r="L15" s="5" t="s">
        <v>9</v>
      </c>
      <c r="M15" s="7">
        <v>-1.9</v>
      </c>
      <c r="N15" s="5" t="s">
        <v>10</v>
      </c>
      <c r="O15" s="5" t="s">
        <v>11</v>
      </c>
      <c r="P15" s="5" t="s">
        <v>36</v>
      </c>
      <c r="Q15" s="5" t="s">
        <v>13</v>
      </c>
      <c r="R15" s="8" t="s">
        <v>56</v>
      </c>
      <c r="S15" s="22" t="s">
        <v>15</v>
      </c>
    </row>
    <row r="16" spans="1:26" ht="15" customHeight="1" x14ac:dyDescent="0.25">
      <c r="A16" s="3">
        <v>41220</v>
      </c>
      <c r="B16" t="s">
        <v>3</v>
      </c>
      <c r="C16" t="s">
        <v>54</v>
      </c>
      <c r="D16" t="s">
        <v>57</v>
      </c>
      <c r="E16" s="4" t="s">
        <v>6</v>
      </c>
      <c r="F16" s="5" t="s">
        <v>17</v>
      </c>
      <c r="G16" s="5" t="s">
        <v>8</v>
      </c>
      <c r="H16" s="6">
        <v>47.744700000000002</v>
      </c>
      <c r="I16" s="6">
        <v>-122.53486666666667</v>
      </c>
      <c r="J16" s="6">
        <v>47.746166666666667</v>
      </c>
      <c r="K16" s="6">
        <v>-122.53579999999999</v>
      </c>
      <c r="L16" s="5" t="s">
        <v>9</v>
      </c>
      <c r="M16" s="7">
        <v>0.4</v>
      </c>
      <c r="N16" s="5" t="s">
        <v>10</v>
      </c>
      <c r="O16" s="5" t="s">
        <v>11</v>
      </c>
      <c r="P16" s="5" t="s">
        <v>36</v>
      </c>
      <c r="Q16" s="5" t="s">
        <v>13</v>
      </c>
      <c r="R16" s="8" t="s">
        <v>58</v>
      </c>
      <c r="S16" s="22" t="s">
        <v>15</v>
      </c>
    </row>
    <row r="17" spans="1:19" ht="15" customHeight="1" x14ac:dyDescent="0.25">
      <c r="A17" s="3">
        <v>41220</v>
      </c>
      <c r="B17" t="s">
        <v>3</v>
      </c>
      <c r="C17" t="s">
        <v>54</v>
      </c>
      <c r="D17" t="s">
        <v>59</v>
      </c>
      <c r="E17" s="4" t="s">
        <v>6</v>
      </c>
      <c r="F17" s="5" t="s">
        <v>17</v>
      </c>
      <c r="G17" s="5" t="s">
        <v>8</v>
      </c>
      <c r="H17" s="6">
        <v>47.743099999999998</v>
      </c>
      <c r="I17" s="6">
        <v>-122.54483333333333</v>
      </c>
      <c r="J17" s="6">
        <v>47.743450000000003</v>
      </c>
      <c r="K17" s="6">
        <v>-122.54689999999999</v>
      </c>
      <c r="L17" s="5" t="s">
        <v>9</v>
      </c>
      <c r="M17" s="7">
        <v>-2</v>
      </c>
      <c r="N17" s="5" t="s">
        <v>10</v>
      </c>
      <c r="O17" s="5" t="s">
        <v>11</v>
      </c>
      <c r="P17" s="5" t="s">
        <v>36</v>
      </c>
      <c r="Q17" s="5" t="s">
        <v>13</v>
      </c>
      <c r="R17" s="8" t="s">
        <v>60</v>
      </c>
      <c r="S17" s="22" t="s">
        <v>15</v>
      </c>
    </row>
    <row r="18" spans="1:19" ht="15" customHeight="1" x14ac:dyDescent="0.25">
      <c r="A18" s="3">
        <v>41221</v>
      </c>
      <c r="B18" t="s">
        <v>3</v>
      </c>
      <c r="C18" t="s">
        <v>61</v>
      </c>
      <c r="D18" t="s">
        <v>62</v>
      </c>
      <c r="E18" s="4" t="s">
        <v>6</v>
      </c>
      <c r="F18" s="5" t="s">
        <v>17</v>
      </c>
      <c r="G18" s="5" t="s">
        <v>8</v>
      </c>
      <c r="H18" s="6">
        <v>47.158366666666666</v>
      </c>
      <c r="I18" s="6">
        <v>-122.72148333333334</v>
      </c>
      <c r="J18" s="6">
        <v>47.158866666666668</v>
      </c>
      <c r="K18" s="6">
        <v>-122.72258333333333</v>
      </c>
      <c r="L18" s="5" t="s">
        <v>9</v>
      </c>
      <c r="M18" s="7">
        <v>-0.8</v>
      </c>
      <c r="N18" s="5" t="s">
        <v>10</v>
      </c>
      <c r="O18" s="5" t="s">
        <v>11</v>
      </c>
      <c r="P18" s="5" t="s">
        <v>23</v>
      </c>
      <c r="Q18" s="5" t="s">
        <v>63</v>
      </c>
      <c r="R18" s="8" t="s">
        <v>64</v>
      </c>
      <c r="S18" s="22" t="s">
        <v>15</v>
      </c>
    </row>
    <row r="19" spans="1:19" ht="15" customHeight="1" x14ac:dyDescent="0.25">
      <c r="A19" s="3">
        <v>41221</v>
      </c>
      <c r="B19" t="s">
        <v>3</v>
      </c>
      <c r="C19" t="s">
        <v>61</v>
      </c>
      <c r="D19" t="s">
        <v>65</v>
      </c>
      <c r="E19" s="4" t="s">
        <v>6</v>
      </c>
      <c r="F19" s="5" t="s">
        <v>17</v>
      </c>
      <c r="G19" s="5" t="s">
        <v>8</v>
      </c>
      <c r="H19" s="6">
        <v>47.161466666666669</v>
      </c>
      <c r="I19" s="6">
        <v>-122.72611666666667</v>
      </c>
      <c r="J19" s="6">
        <v>47.162300000000002</v>
      </c>
      <c r="K19" s="6">
        <v>-122.72808333333333</v>
      </c>
      <c r="L19" s="5" t="s">
        <v>9</v>
      </c>
      <c r="M19" s="7">
        <v>-2.7</v>
      </c>
      <c r="N19" s="5" t="s">
        <v>66</v>
      </c>
      <c r="O19" s="5" t="s">
        <v>11</v>
      </c>
      <c r="P19" s="5" t="s">
        <v>23</v>
      </c>
      <c r="Q19" s="5" t="s">
        <v>48</v>
      </c>
      <c r="R19" s="8" t="s">
        <v>67</v>
      </c>
      <c r="S19" s="22" t="s">
        <v>15</v>
      </c>
    </row>
    <row r="20" spans="1:19" ht="15" customHeight="1" x14ac:dyDescent="0.25">
      <c r="A20" s="3">
        <v>41221</v>
      </c>
      <c r="B20" t="s">
        <v>3</v>
      </c>
      <c r="C20" t="s">
        <v>68</v>
      </c>
      <c r="D20" t="s">
        <v>69</v>
      </c>
      <c r="E20" s="4" t="s">
        <v>6</v>
      </c>
      <c r="F20" s="5" t="s">
        <v>17</v>
      </c>
      <c r="G20" s="5" t="s">
        <v>8</v>
      </c>
      <c r="H20" s="6">
        <v>47.166716666666666</v>
      </c>
      <c r="I20" s="6">
        <v>-122.84873333333333</v>
      </c>
      <c r="J20" s="6">
        <v>47.159950000000002</v>
      </c>
      <c r="K20" s="6">
        <v>-122.84716666666667</v>
      </c>
      <c r="L20" s="5" t="s">
        <v>9</v>
      </c>
      <c r="M20" s="7">
        <v>-1</v>
      </c>
      <c r="N20" s="5" t="s">
        <v>10</v>
      </c>
      <c r="O20" s="5" t="s">
        <v>11</v>
      </c>
      <c r="P20" s="5" t="s">
        <v>23</v>
      </c>
      <c r="Q20" s="5" t="s">
        <v>48</v>
      </c>
      <c r="R20" s="8" t="s">
        <v>70</v>
      </c>
      <c r="S20" s="22" t="s">
        <v>15</v>
      </c>
    </row>
    <row r="21" spans="1:19" ht="15" customHeight="1" x14ac:dyDescent="0.25">
      <c r="A21" s="3">
        <v>41221</v>
      </c>
      <c r="B21" t="s">
        <v>3</v>
      </c>
      <c r="C21" t="s">
        <v>71</v>
      </c>
      <c r="D21" t="s">
        <v>72</v>
      </c>
      <c r="E21" s="4" t="s">
        <v>6</v>
      </c>
      <c r="F21" s="5" t="s">
        <v>17</v>
      </c>
      <c r="G21" s="5" t="s">
        <v>8</v>
      </c>
      <c r="H21" s="6">
        <v>47.145383333333335</v>
      </c>
      <c r="I21" s="6">
        <v>-122.89116666666666</v>
      </c>
      <c r="J21" s="6">
        <v>47.146083333333337</v>
      </c>
      <c r="K21" s="6">
        <v>-122.89279999999999</v>
      </c>
      <c r="L21" s="5" t="s">
        <v>9</v>
      </c>
      <c r="M21" s="7">
        <v>-0.7</v>
      </c>
      <c r="N21" s="5" t="s">
        <v>66</v>
      </c>
      <c r="O21" s="5" t="s">
        <v>11</v>
      </c>
      <c r="P21" s="5" t="s">
        <v>23</v>
      </c>
      <c r="Q21" s="5" t="s">
        <v>24</v>
      </c>
      <c r="R21" s="8" t="s">
        <v>73</v>
      </c>
      <c r="S21" s="22" t="s">
        <v>15</v>
      </c>
    </row>
    <row r="22" spans="1:19" ht="15" customHeight="1" x14ac:dyDescent="0.25">
      <c r="A22" s="3">
        <v>41221</v>
      </c>
      <c r="B22" t="s">
        <v>3</v>
      </c>
      <c r="C22" t="s">
        <v>74</v>
      </c>
      <c r="D22" t="s">
        <v>75</v>
      </c>
      <c r="E22" s="4" t="s">
        <v>6</v>
      </c>
      <c r="F22" s="5" t="s">
        <v>17</v>
      </c>
      <c r="G22" s="5" t="s">
        <v>8</v>
      </c>
      <c r="H22" s="6">
        <v>47.221449999999997</v>
      </c>
      <c r="I22" s="6">
        <v>-122.80993333333333</v>
      </c>
      <c r="J22" s="6">
        <v>47.223866666666666</v>
      </c>
      <c r="K22" s="6">
        <v>-122.81176666666667</v>
      </c>
      <c r="L22" s="5" t="s">
        <v>9</v>
      </c>
      <c r="M22" s="7">
        <v>-0.9</v>
      </c>
      <c r="N22" s="5" t="s">
        <v>10</v>
      </c>
      <c r="O22" s="5" t="s">
        <v>35</v>
      </c>
      <c r="P22" s="5" t="s">
        <v>23</v>
      </c>
      <c r="Q22" s="5" t="s">
        <v>63</v>
      </c>
      <c r="R22" s="8" t="s">
        <v>76</v>
      </c>
      <c r="S22" s="22" t="s">
        <v>15</v>
      </c>
    </row>
    <row r="23" spans="1:19" ht="15" customHeight="1" x14ac:dyDescent="0.25">
      <c r="A23" s="3">
        <v>41221</v>
      </c>
      <c r="B23" t="s">
        <v>3</v>
      </c>
      <c r="C23" t="s">
        <v>77</v>
      </c>
      <c r="D23" t="s">
        <v>78</v>
      </c>
      <c r="E23" s="4" t="s">
        <v>6</v>
      </c>
      <c r="F23" s="5" t="s">
        <v>17</v>
      </c>
      <c r="G23" s="5" t="s">
        <v>8</v>
      </c>
      <c r="H23" s="6">
        <v>47.245233333333331</v>
      </c>
      <c r="I23" s="6">
        <v>-122.86490000000001</v>
      </c>
      <c r="J23" s="6">
        <v>47.242783333333335</v>
      </c>
      <c r="K23" s="6">
        <v>-122.86483333333334</v>
      </c>
      <c r="L23" s="5" t="s">
        <v>9</v>
      </c>
      <c r="M23" s="7">
        <v>-0.3</v>
      </c>
      <c r="N23" s="5" t="s">
        <v>10</v>
      </c>
      <c r="O23" s="5" t="s">
        <v>11</v>
      </c>
      <c r="P23" s="5" t="s">
        <v>23</v>
      </c>
      <c r="Q23" s="5" t="s">
        <v>48</v>
      </c>
      <c r="R23" s="8" t="s">
        <v>79</v>
      </c>
      <c r="S23" s="22" t="s">
        <v>15</v>
      </c>
    </row>
    <row r="24" spans="1:19" ht="15" customHeight="1" x14ac:dyDescent="0.25">
      <c r="A24" s="3">
        <v>41221</v>
      </c>
      <c r="B24" t="s">
        <v>3</v>
      </c>
      <c r="C24" t="s">
        <v>77</v>
      </c>
      <c r="D24" t="s">
        <v>80</v>
      </c>
      <c r="E24" s="4" t="s">
        <v>6</v>
      </c>
      <c r="F24" s="5" t="s">
        <v>17</v>
      </c>
      <c r="G24" s="5" t="s">
        <v>8</v>
      </c>
      <c r="H24" s="6">
        <v>47.246983333333333</v>
      </c>
      <c r="I24" s="6">
        <v>-122.86718333333333</v>
      </c>
      <c r="J24" s="6">
        <v>47.246066666666664</v>
      </c>
      <c r="K24" s="6">
        <v>-122.86803333333333</v>
      </c>
      <c r="L24" s="5" t="s">
        <v>9</v>
      </c>
      <c r="M24" s="7">
        <v>-1.6</v>
      </c>
      <c r="N24" s="5" t="s">
        <v>10</v>
      </c>
      <c r="O24" s="5" t="s">
        <v>11</v>
      </c>
      <c r="P24" s="5" t="s">
        <v>23</v>
      </c>
      <c r="Q24" s="5" t="s">
        <v>24</v>
      </c>
      <c r="R24" s="8" t="s">
        <v>81</v>
      </c>
      <c r="S24" s="22" t="s">
        <v>15</v>
      </c>
    </row>
    <row r="25" spans="1:19" ht="15" customHeight="1" x14ac:dyDescent="0.25">
      <c r="A25" s="3">
        <v>41221</v>
      </c>
      <c r="B25" t="s">
        <v>3</v>
      </c>
      <c r="C25" t="s">
        <v>61</v>
      </c>
      <c r="D25" t="s">
        <v>82</v>
      </c>
      <c r="E25" s="4" t="s">
        <v>6</v>
      </c>
      <c r="F25" s="5" t="s">
        <v>17</v>
      </c>
      <c r="G25" s="5" t="s">
        <v>8</v>
      </c>
      <c r="H25" s="6">
        <v>47.181433333333331</v>
      </c>
      <c r="I25" s="6">
        <v>-122.68098333333333</v>
      </c>
      <c r="J25" s="6">
        <v>47.181333333333335</v>
      </c>
      <c r="K25" s="6">
        <v>-122.6816</v>
      </c>
      <c r="L25" s="5" t="s">
        <v>9</v>
      </c>
      <c r="M25" s="7">
        <v>-1.6</v>
      </c>
      <c r="N25" s="5" t="s">
        <v>10</v>
      </c>
      <c r="O25" s="5" t="s">
        <v>32</v>
      </c>
      <c r="P25" s="5" t="s">
        <v>23</v>
      </c>
      <c r="Q25" s="5" t="s">
        <v>24</v>
      </c>
      <c r="R25" s="8" t="s">
        <v>83</v>
      </c>
      <c r="S25" s="22" t="s">
        <v>15</v>
      </c>
    </row>
    <row r="26" spans="1:19" ht="15" customHeight="1" x14ac:dyDescent="0.25">
      <c r="A26" s="3">
        <v>41221</v>
      </c>
      <c r="B26" t="s">
        <v>3</v>
      </c>
      <c r="C26" t="s">
        <v>61</v>
      </c>
      <c r="D26" t="s">
        <v>84</v>
      </c>
      <c r="E26" s="4" t="s">
        <v>6</v>
      </c>
      <c r="F26" s="5" t="s">
        <v>17</v>
      </c>
      <c r="G26" s="5" t="s">
        <v>8</v>
      </c>
      <c r="H26" s="6">
        <v>47.178683333333332</v>
      </c>
      <c r="I26" s="6">
        <v>-122.7218</v>
      </c>
      <c r="J26" s="6">
        <v>47.179983333333332</v>
      </c>
      <c r="K26" s="6">
        <v>-122.72</v>
      </c>
      <c r="L26" s="5" t="s">
        <v>9</v>
      </c>
      <c r="M26" s="7">
        <v>-2.2000000000000002</v>
      </c>
      <c r="N26" s="5" t="s">
        <v>10</v>
      </c>
      <c r="O26" s="5" t="s">
        <v>11</v>
      </c>
      <c r="P26" s="5" t="s">
        <v>23</v>
      </c>
      <c r="Q26" s="5" t="s">
        <v>48</v>
      </c>
      <c r="R26" s="8" t="s">
        <v>85</v>
      </c>
      <c r="S26" s="22" t="s">
        <v>15</v>
      </c>
    </row>
    <row r="27" spans="1:19" ht="15" customHeight="1" x14ac:dyDescent="0.25">
      <c r="A27" s="3">
        <v>41225</v>
      </c>
      <c r="B27" t="s">
        <v>3</v>
      </c>
      <c r="C27" t="s">
        <v>86</v>
      </c>
      <c r="D27" t="s">
        <v>87</v>
      </c>
      <c r="E27" s="4" t="s">
        <v>6</v>
      </c>
      <c r="F27" s="5" t="s">
        <v>17</v>
      </c>
      <c r="G27" s="5" t="s">
        <v>8</v>
      </c>
      <c r="H27" s="6">
        <v>48.293566666666663</v>
      </c>
      <c r="I27" s="6">
        <v>-122.61293333333333</v>
      </c>
      <c r="J27" s="6">
        <v>48.295250000000003</v>
      </c>
      <c r="K27" s="6">
        <v>-122.61338333333333</v>
      </c>
      <c r="L27" s="5" t="s">
        <v>9</v>
      </c>
      <c r="M27" s="7">
        <v>-1.3</v>
      </c>
      <c r="N27" s="5" t="s">
        <v>66</v>
      </c>
      <c r="O27" s="5" t="s">
        <v>11</v>
      </c>
      <c r="P27" s="5" t="s">
        <v>18</v>
      </c>
      <c r="Q27" s="5" t="s">
        <v>13</v>
      </c>
      <c r="R27" s="8" t="s">
        <v>88</v>
      </c>
      <c r="S27" s="22" t="s">
        <v>15</v>
      </c>
    </row>
    <row r="28" spans="1:19" ht="15" customHeight="1" x14ac:dyDescent="0.25">
      <c r="A28" s="3">
        <v>41225</v>
      </c>
      <c r="B28" t="s">
        <v>3</v>
      </c>
      <c r="C28" t="s">
        <v>89</v>
      </c>
      <c r="D28" t="s">
        <v>90</v>
      </c>
      <c r="E28" s="4" t="s">
        <v>6</v>
      </c>
      <c r="F28" s="5" t="s">
        <v>17</v>
      </c>
      <c r="G28" s="5" t="s">
        <v>8</v>
      </c>
      <c r="H28" s="6">
        <v>47.999116666666666</v>
      </c>
      <c r="I28" s="6">
        <v>-122.87096666666666</v>
      </c>
      <c r="J28" s="6">
        <v>47.9968</v>
      </c>
      <c r="K28" s="6">
        <v>-122.87033333333333</v>
      </c>
      <c r="L28" s="5" t="s">
        <v>9</v>
      </c>
      <c r="M28" s="7">
        <v>-3.3</v>
      </c>
      <c r="N28" s="5" t="s">
        <v>66</v>
      </c>
      <c r="O28" s="5" t="s">
        <v>11</v>
      </c>
      <c r="P28" s="5" t="s">
        <v>36</v>
      </c>
      <c r="Q28" s="5" t="s">
        <v>13</v>
      </c>
      <c r="R28" s="8" t="s">
        <v>91</v>
      </c>
      <c r="S28" s="22" t="s">
        <v>15</v>
      </c>
    </row>
    <row r="29" spans="1:19" ht="15" customHeight="1" x14ac:dyDescent="0.25">
      <c r="A29" s="3">
        <v>41225</v>
      </c>
      <c r="B29" t="s">
        <v>3</v>
      </c>
      <c r="C29" t="s">
        <v>92</v>
      </c>
      <c r="D29" t="s">
        <v>93</v>
      </c>
      <c r="E29" s="4" t="s">
        <v>6</v>
      </c>
      <c r="F29" s="5" t="s">
        <v>17</v>
      </c>
      <c r="G29" s="5" t="s">
        <v>8</v>
      </c>
      <c r="H29" s="6">
        <v>48.06516666666667</v>
      </c>
      <c r="I29" s="6">
        <v>-122.74313333333333</v>
      </c>
      <c r="J29" s="6">
        <v>48.067900000000002</v>
      </c>
      <c r="K29" s="6">
        <v>-122.74095</v>
      </c>
      <c r="L29" s="5" t="s">
        <v>9</v>
      </c>
      <c r="M29" s="7">
        <v>-1.4</v>
      </c>
      <c r="N29" s="5" t="s">
        <v>66</v>
      </c>
      <c r="O29" s="5" t="s">
        <v>11</v>
      </c>
      <c r="P29" s="5" t="s">
        <v>12</v>
      </c>
      <c r="Q29" s="5" t="s">
        <v>13</v>
      </c>
      <c r="R29" s="8" t="s">
        <v>94</v>
      </c>
      <c r="S29" s="22" t="s">
        <v>15</v>
      </c>
    </row>
    <row r="30" spans="1:19" ht="15" customHeight="1" x14ac:dyDescent="0.25">
      <c r="A30" s="3">
        <v>41225</v>
      </c>
      <c r="B30" t="s">
        <v>3</v>
      </c>
      <c r="C30" t="s">
        <v>95</v>
      </c>
      <c r="D30" t="s">
        <v>96</v>
      </c>
      <c r="E30" s="4" t="s">
        <v>6</v>
      </c>
      <c r="F30" s="5" t="s">
        <v>17</v>
      </c>
      <c r="G30" s="5" t="s">
        <v>8</v>
      </c>
      <c r="H30" s="6">
        <v>48.263083333333334</v>
      </c>
      <c r="I30" s="6">
        <v>-122.64578333333333</v>
      </c>
      <c r="J30" s="6">
        <v>48.263399999999997</v>
      </c>
      <c r="K30" s="6">
        <v>-122.64725</v>
      </c>
      <c r="L30" s="5" t="s">
        <v>9</v>
      </c>
      <c r="M30" s="7">
        <v>-2.7</v>
      </c>
      <c r="N30" s="5" t="s">
        <v>66</v>
      </c>
      <c r="O30" s="5" t="s">
        <v>11</v>
      </c>
      <c r="P30" s="5" t="s">
        <v>12</v>
      </c>
      <c r="Q30" s="5" t="s">
        <v>13</v>
      </c>
      <c r="R30" s="8" t="s">
        <v>97</v>
      </c>
      <c r="S30" s="22" t="s">
        <v>15</v>
      </c>
    </row>
    <row r="31" spans="1:19" ht="15" customHeight="1" x14ac:dyDescent="0.25">
      <c r="A31" s="3">
        <v>41225</v>
      </c>
      <c r="B31" t="s">
        <v>3</v>
      </c>
      <c r="C31" t="s">
        <v>95</v>
      </c>
      <c r="D31" t="s">
        <v>98</v>
      </c>
      <c r="E31" s="4" t="s">
        <v>6</v>
      </c>
      <c r="F31" s="5" t="s">
        <v>17</v>
      </c>
      <c r="G31" s="5" t="s">
        <v>8</v>
      </c>
      <c r="H31" s="6">
        <v>48.263399999999997</v>
      </c>
      <c r="I31" s="6">
        <v>-122.64725</v>
      </c>
      <c r="J31" s="6">
        <v>48.262549999999997</v>
      </c>
      <c r="K31" s="6">
        <v>-122.65196666666667</v>
      </c>
      <c r="L31" s="5" t="s">
        <v>9</v>
      </c>
      <c r="M31" s="7">
        <v>-1.2</v>
      </c>
      <c r="N31" s="5" t="s">
        <v>66</v>
      </c>
      <c r="O31" s="5" t="s">
        <v>11</v>
      </c>
      <c r="P31" s="5" t="s">
        <v>12</v>
      </c>
      <c r="Q31" s="5" t="s">
        <v>13</v>
      </c>
      <c r="R31" s="8" t="s">
        <v>99</v>
      </c>
      <c r="S31" s="22" t="s">
        <v>15</v>
      </c>
    </row>
    <row r="32" spans="1:19" ht="15" customHeight="1" x14ac:dyDescent="0.25">
      <c r="A32" s="3">
        <v>41225</v>
      </c>
      <c r="B32" t="s">
        <v>3</v>
      </c>
      <c r="C32" t="s">
        <v>100</v>
      </c>
      <c r="D32" t="s">
        <v>101</v>
      </c>
      <c r="E32" s="4" t="s">
        <v>6</v>
      </c>
      <c r="F32" s="5" t="s">
        <v>17</v>
      </c>
      <c r="G32" s="5" t="s">
        <v>8</v>
      </c>
      <c r="H32" s="6">
        <v>48.052266666666668</v>
      </c>
      <c r="I32" s="6">
        <v>-122.76855</v>
      </c>
      <c r="J32" s="6">
        <v>48.051116666666665</v>
      </c>
      <c r="K32" s="6">
        <v>-122.7685</v>
      </c>
      <c r="L32" s="5" t="s">
        <v>9</v>
      </c>
      <c r="M32" s="7">
        <v>-1.7</v>
      </c>
      <c r="N32" s="5" t="s">
        <v>66</v>
      </c>
      <c r="O32" s="5" t="s">
        <v>11</v>
      </c>
      <c r="P32" s="5" t="s">
        <v>18</v>
      </c>
      <c r="Q32" s="5" t="s">
        <v>13</v>
      </c>
      <c r="R32" s="8" t="s">
        <v>102</v>
      </c>
      <c r="S32" s="22" t="s">
        <v>15</v>
      </c>
    </row>
    <row r="33" spans="1:19" ht="15" customHeight="1" x14ac:dyDescent="0.25">
      <c r="A33" s="3">
        <v>41226</v>
      </c>
      <c r="B33" t="s">
        <v>3</v>
      </c>
      <c r="C33" t="s">
        <v>103</v>
      </c>
      <c r="D33" t="s">
        <v>104</v>
      </c>
      <c r="E33" s="4" t="s">
        <v>6</v>
      </c>
      <c r="F33" s="5" t="s">
        <v>17</v>
      </c>
      <c r="G33" s="5" t="s">
        <v>8</v>
      </c>
      <c r="H33" s="6">
        <v>48.496716666666664</v>
      </c>
      <c r="I33" s="6">
        <v>-122.8216</v>
      </c>
      <c r="J33" s="6">
        <v>48.497950000000003</v>
      </c>
      <c r="K33" s="6">
        <v>-122.82053333333333</v>
      </c>
      <c r="L33" s="5" t="s">
        <v>9</v>
      </c>
      <c r="M33" s="7">
        <v>-4</v>
      </c>
      <c r="N33" s="5" t="s">
        <v>66</v>
      </c>
      <c r="O33" s="5" t="s">
        <v>105</v>
      </c>
      <c r="P33" s="5" t="s">
        <v>12</v>
      </c>
      <c r="Q33" s="5" t="s">
        <v>13</v>
      </c>
      <c r="R33" s="8" t="s">
        <v>106</v>
      </c>
      <c r="S33" s="22" t="s">
        <v>15</v>
      </c>
    </row>
    <row r="34" spans="1:19" ht="15" customHeight="1" x14ac:dyDescent="0.25">
      <c r="A34" s="3">
        <v>41226</v>
      </c>
      <c r="B34" t="s">
        <v>3</v>
      </c>
      <c r="C34" t="s">
        <v>103</v>
      </c>
      <c r="D34" t="s">
        <v>107</v>
      </c>
      <c r="E34" s="4" t="s">
        <v>6</v>
      </c>
      <c r="F34" s="5" t="s">
        <v>7</v>
      </c>
      <c r="G34" s="5" t="s">
        <v>8</v>
      </c>
      <c r="H34" s="6">
        <v>48.497233333333334</v>
      </c>
      <c r="I34" s="6">
        <v>-122.81870000000001</v>
      </c>
      <c r="J34" s="6"/>
      <c r="K34" s="6"/>
      <c r="L34" s="5" t="s">
        <v>9</v>
      </c>
      <c r="M34" s="7">
        <v>-1.1000000000000001</v>
      </c>
      <c r="N34" s="5" t="s">
        <v>66</v>
      </c>
      <c r="O34" s="5" t="s">
        <v>105</v>
      </c>
      <c r="P34" s="5" t="s">
        <v>12</v>
      </c>
      <c r="Q34" s="5" t="s">
        <v>13</v>
      </c>
      <c r="R34" s="8" t="s">
        <v>108</v>
      </c>
      <c r="S34" s="22" t="s">
        <v>15</v>
      </c>
    </row>
    <row r="35" spans="1:19" ht="15" customHeight="1" x14ac:dyDescent="0.25">
      <c r="A35" s="3">
        <v>41226</v>
      </c>
      <c r="B35" t="s">
        <v>3</v>
      </c>
      <c r="C35" t="s">
        <v>103</v>
      </c>
      <c r="D35" t="s">
        <v>109</v>
      </c>
      <c r="E35" s="4" t="s">
        <v>6</v>
      </c>
      <c r="F35" s="5" t="s">
        <v>7</v>
      </c>
      <c r="G35" s="5" t="s">
        <v>8</v>
      </c>
      <c r="H35" s="6">
        <v>48.498133333333335</v>
      </c>
      <c r="I35" s="6">
        <v>-122.81756666666666</v>
      </c>
      <c r="J35" s="6"/>
      <c r="K35" s="6"/>
      <c r="L35" s="5" t="s">
        <v>9</v>
      </c>
      <c r="M35" s="7">
        <v>0</v>
      </c>
      <c r="N35" s="5" t="s">
        <v>66</v>
      </c>
      <c r="O35" s="5" t="s">
        <v>105</v>
      </c>
      <c r="P35" s="5" t="s">
        <v>12</v>
      </c>
      <c r="Q35" s="5" t="s">
        <v>13</v>
      </c>
      <c r="R35" s="8" t="s">
        <v>110</v>
      </c>
      <c r="S35" s="22" t="s">
        <v>15</v>
      </c>
    </row>
    <row r="36" spans="1:19" ht="15" customHeight="1" x14ac:dyDescent="0.25">
      <c r="A36" s="3">
        <v>41226</v>
      </c>
      <c r="B36" t="s">
        <v>3</v>
      </c>
      <c r="C36" t="s">
        <v>111</v>
      </c>
      <c r="D36" t="s">
        <v>112</v>
      </c>
      <c r="E36" s="4" t="s">
        <v>6</v>
      </c>
      <c r="F36" s="5" t="s">
        <v>7</v>
      </c>
      <c r="G36" s="5" t="s">
        <v>8</v>
      </c>
      <c r="H36" s="6">
        <v>48.577983333333336</v>
      </c>
      <c r="I36" s="6">
        <v>-122.63238333333334</v>
      </c>
      <c r="J36" s="6"/>
      <c r="K36" s="6"/>
      <c r="L36" s="5" t="s">
        <v>9</v>
      </c>
      <c r="M36" s="7">
        <v>-2.9</v>
      </c>
      <c r="N36" s="5" t="s">
        <v>66</v>
      </c>
      <c r="O36" s="5" t="s">
        <v>11</v>
      </c>
      <c r="P36" s="5" t="s">
        <v>12</v>
      </c>
      <c r="Q36" s="5" t="s">
        <v>13</v>
      </c>
      <c r="R36" s="8" t="s">
        <v>113</v>
      </c>
      <c r="S36" s="22" t="s">
        <v>15</v>
      </c>
    </row>
    <row r="37" spans="1:19" ht="15" customHeight="1" x14ac:dyDescent="0.25">
      <c r="A37" s="3">
        <v>41226</v>
      </c>
      <c r="B37" t="s">
        <v>3</v>
      </c>
      <c r="C37" t="s">
        <v>114</v>
      </c>
      <c r="D37" t="s">
        <v>115</v>
      </c>
      <c r="E37" s="4" t="s">
        <v>6</v>
      </c>
      <c r="F37" s="5" t="s">
        <v>17</v>
      </c>
      <c r="G37" s="5" t="s">
        <v>8</v>
      </c>
      <c r="H37" s="6">
        <v>48.559849999999997</v>
      </c>
      <c r="I37" s="6">
        <v>-122.64855</v>
      </c>
      <c r="J37" s="6">
        <v>48.561799999999998</v>
      </c>
      <c r="K37" s="6">
        <v>-122.64605</v>
      </c>
      <c r="L37" s="5" t="s">
        <v>9</v>
      </c>
      <c r="M37" s="7">
        <v>-3.3</v>
      </c>
      <c r="N37" s="5" t="s">
        <v>66</v>
      </c>
      <c r="O37" s="5" t="s">
        <v>116</v>
      </c>
      <c r="P37" s="5" t="s">
        <v>18</v>
      </c>
      <c r="Q37" s="5" t="s">
        <v>13</v>
      </c>
      <c r="R37" s="8" t="s">
        <v>117</v>
      </c>
      <c r="S37" s="22" t="s">
        <v>15</v>
      </c>
    </row>
    <row r="38" spans="1:19" ht="15" customHeight="1" x14ac:dyDescent="0.25">
      <c r="A38" s="3">
        <v>41226</v>
      </c>
      <c r="B38" t="s">
        <v>3</v>
      </c>
      <c r="C38" t="s">
        <v>118</v>
      </c>
      <c r="D38" t="s">
        <v>119</v>
      </c>
      <c r="E38" s="4" t="s">
        <v>6</v>
      </c>
      <c r="F38" s="5" t="s">
        <v>17</v>
      </c>
      <c r="G38" s="5" t="s">
        <v>8</v>
      </c>
      <c r="H38" s="6">
        <v>48.6892</v>
      </c>
      <c r="I38" s="6">
        <v>-122.89071666666666</v>
      </c>
      <c r="J38" s="6">
        <v>48.692216666666667</v>
      </c>
      <c r="K38" s="6">
        <v>-122.88973333333334</v>
      </c>
      <c r="L38" s="5" t="s">
        <v>9</v>
      </c>
      <c r="M38" s="7">
        <v>-2</v>
      </c>
      <c r="N38" s="5" t="s">
        <v>10</v>
      </c>
      <c r="O38" s="5" t="s">
        <v>11</v>
      </c>
      <c r="P38" s="5" t="s">
        <v>36</v>
      </c>
      <c r="Q38" s="5" t="s">
        <v>13</v>
      </c>
      <c r="R38" s="8" t="s">
        <v>120</v>
      </c>
      <c r="S38" s="22" t="s">
        <v>15</v>
      </c>
    </row>
    <row r="39" spans="1:19" ht="15" customHeight="1" x14ac:dyDescent="0.25">
      <c r="A39" s="3">
        <v>41226</v>
      </c>
      <c r="B39" t="s">
        <v>3</v>
      </c>
      <c r="C39" t="s">
        <v>118</v>
      </c>
      <c r="D39" t="s">
        <v>121</v>
      </c>
      <c r="E39" s="4" t="s">
        <v>6</v>
      </c>
      <c r="F39" s="5" t="s">
        <v>7</v>
      </c>
      <c r="G39" s="5" t="s">
        <v>8</v>
      </c>
      <c r="H39" s="6">
        <v>48.690199999999997</v>
      </c>
      <c r="I39" s="6">
        <v>-122.89060000000001</v>
      </c>
      <c r="J39" s="6"/>
      <c r="K39" s="6"/>
      <c r="L39" s="5" t="s">
        <v>9</v>
      </c>
      <c r="M39" s="7">
        <v>-1.8</v>
      </c>
      <c r="N39" s="5" t="s">
        <v>10</v>
      </c>
      <c r="O39" s="5" t="s">
        <v>11</v>
      </c>
      <c r="P39" s="5" t="s">
        <v>36</v>
      </c>
      <c r="Q39" s="5" t="s">
        <v>13</v>
      </c>
      <c r="R39" s="8" t="s">
        <v>122</v>
      </c>
      <c r="S39" s="22" t="s">
        <v>15</v>
      </c>
    </row>
    <row r="40" spans="1:19" ht="15" customHeight="1" x14ac:dyDescent="0.25">
      <c r="A40" s="3">
        <v>41968</v>
      </c>
      <c r="B40" s="9" t="s">
        <v>123</v>
      </c>
      <c r="C40" t="s">
        <v>124</v>
      </c>
      <c r="D40" t="s">
        <v>125</v>
      </c>
      <c r="E40" s="4" t="s">
        <v>6</v>
      </c>
      <c r="F40" s="5" t="s">
        <v>7</v>
      </c>
      <c r="G40" s="5" t="s">
        <v>8</v>
      </c>
      <c r="H40" s="6">
        <v>47.273228000000003</v>
      </c>
      <c r="I40" s="6">
        <v>-122.75415</v>
      </c>
      <c r="J40" s="6"/>
      <c r="K40" s="6"/>
      <c r="L40" s="5" t="s">
        <v>9</v>
      </c>
      <c r="M40" s="7">
        <v>-1.524</v>
      </c>
      <c r="N40" s="5"/>
      <c r="O40" s="5" t="s">
        <v>11</v>
      </c>
      <c r="P40" s="5" t="s">
        <v>12</v>
      </c>
      <c r="Q40" s="5" t="s">
        <v>13</v>
      </c>
      <c r="R40" s="8" t="s">
        <v>126</v>
      </c>
      <c r="S40" s="22" t="s">
        <v>127</v>
      </c>
    </row>
    <row r="41" spans="1:19" ht="15" customHeight="1" x14ac:dyDescent="0.25">
      <c r="A41" s="3">
        <v>41968</v>
      </c>
      <c r="B41" s="9" t="s">
        <v>123</v>
      </c>
      <c r="C41" t="s">
        <v>124</v>
      </c>
      <c r="D41" t="s">
        <v>128</v>
      </c>
      <c r="E41" s="4" t="s">
        <v>6</v>
      </c>
      <c r="F41" s="5" t="s">
        <v>7</v>
      </c>
      <c r="G41" s="5" t="s">
        <v>8</v>
      </c>
      <c r="H41" s="6">
        <v>47.256050000000002</v>
      </c>
      <c r="I41" s="6">
        <v>-122.73736666666667</v>
      </c>
      <c r="J41" s="6"/>
      <c r="K41" s="6"/>
      <c r="L41" s="5" t="s">
        <v>9</v>
      </c>
      <c r="M41" s="7">
        <v>-1.2801599999999997</v>
      </c>
      <c r="N41" s="5"/>
      <c r="O41" s="5" t="s">
        <v>32</v>
      </c>
      <c r="P41" s="5" t="s">
        <v>23</v>
      </c>
      <c r="Q41" s="5" t="s">
        <v>24</v>
      </c>
      <c r="R41" s="8" t="s">
        <v>32</v>
      </c>
      <c r="S41" s="22" t="s">
        <v>127</v>
      </c>
    </row>
    <row r="42" spans="1:19" ht="15" customHeight="1" x14ac:dyDescent="0.25">
      <c r="A42" s="3">
        <v>41968</v>
      </c>
      <c r="B42" s="9" t="s">
        <v>123</v>
      </c>
      <c r="C42" t="s">
        <v>124</v>
      </c>
      <c r="D42" t="s">
        <v>129</v>
      </c>
      <c r="E42" s="4" t="s">
        <v>6</v>
      </c>
      <c r="F42" s="5" t="s">
        <v>7</v>
      </c>
      <c r="G42" s="5" t="s">
        <v>8</v>
      </c>
      <c r="H42" s="6">
        <v>47.254883333333332</v>
      </c>
      <c r="I42" s="6">
        <v>-122.73686666666667</v>
      </c>
      <c r="J42" s="6"/>
      <c r="K42" s="6"/>
      <c r="L42" s="5" t="s">
        <v>9</v>
      </c>
      <c r="M42" s="7">
        <v>-0.70104000000000022</v>
      </c>
      <c r="N42" s="5"/>
      <c r="O42" s="5" t="s">
        <v>11</v>
      </c>
      <c r="P42" s="5" t="s">
        <v>23</v>
      </c>
      <c r="Q42" s="5" t="s">
        <v>63</v>
      </c>
      <c r="R42" s="8" t="s">
        <v>130</v>
      </c>
      <c r="S42" s="22" t="s">
        <v>127</v>
      </c>
    </row>
    <row r="43" spans="1:19" ht="15" customHeight="1" x14ac:dyDescent="0.25">
      <c r="A43" s="3">
        <v>41968</v>
      </c>
      <c r="B43" s="9" t="s">
        <v>123</v>
      </c>
      <c r="C43" t="s">
        <v>124</v>
      </c>
      <c r="D43" t="s">
        <v>131</v>
      </c>
      <c r="E43" s="4" t="s">
        <v>6</v>
      </c>
      <c r="F43" s="5" t="s">
        <v>7</v>
      </c>
      <c r="G43" s="5" t="s">
        <v>8</v>
      </c>
      <c r="H43" s="6">
        <v>47.254766666666669</v>
      </c>
      <c r="I43" s="6">
        <v>-122.73690000000001</v>
      </c>
      <c r="J43" s="6"/>
      <c r="K43" s="6"/>
      <c r="L43" s="5" t="s">
        <v>9</v>
      </c>
      <c r="M43" s="7">
        <v>-0.12192000000000013</v>
      </c>
      <c r="N43" s="5"/>
      <c r="O43" s="5" t="s">
        <v>32</v>
      </c>
      <c r="P43" s="5" t="s">
        <v>23</v>
      </c>
      <c r="Q43" s="5" t="s">
        <v>24</v>
      </c>
      <c r="R43" s="8" t="s">
        <v>32</v>
      </c>
      <c r="S43" s="22" t="s">
        <v>127</v>
      </c>
    </row>
    <row r="44" spans="1:19" ht="15" customHeight="1" x14ac:dyDescent="0.25">
      <c r="A44" s="3">
        <v>41968</v>
      </c>
      <c r="B44" s="9" t="s">
        <v>123</v>
      </c>
      <c r="C44" t="s">
        <v>124</v>
      </c>
      <c r="D44" t="s">
        <v>132</v>
      </c>
      <c r="E44" s="4" t="s">
        <v>6</v>
      </c>
      <c r="F44" s="5" t="s">
        <v>7</v>
      </c>
      <c r="G44" s="5" t="s">
        <v>8</v>
      </c>
      <c r="H44" s="6">
        <v>47.252983333333333</v>
      </c>
      <c r="I44" s="6">
        <v>-122.73466666666667</v>
      </c>
      <c r="J44" s="6"/>
      <c r="K44" s="6"/>
      <c r="L44" s="5" t="s">
        <v>9</v>
      </c>
      <c r="M44" s="7">
        <v>-0.48767999999999989</v>
      </c>
      <c r="N44" s="5"/>
      <c r="O44" s="5" t="s">
        <v>11</v>
      </c>
      <c r="P44" s="5" t="s">
        <v>23</v>
      </c>
      <c r="Q44" s="5" t="s">
        <v>63</v>
      </c>
      <c r="R44" s="8" t="s">
        <v>133</v>
      </c>
      <c r="S44" s="22" t="s">
        <v>127</v>
      </c>
    </row>
    <row r="45" spans="1:19" ht="15" customHeight="1" x14ac:dyDescent="0.25">
      <c r="A45" s="3">
        <v>41968</v>
      </c>
      <c r="B45" s="9" t="s">
        <v>123</v>
      </c>
      <c r="C45" t="s">
        <v>124</v>
      </c>
      <c r="D45" t="s">
        <v>134</v>
      </c>
      <c r="E45" s="4" t="s">
        <v>6</v>
      </c>
      <c r="F45" s="5" t="s">
        <v>7</v>
      </c>
      <c r="G45" s="5" t="s">
        <v>8</v>
      </c>
      <c r="H45" s="6">
        <v>47.249833333333335</v>
      </c>
      <c r="I45" s="6">
        <v>-122.72726666666667</v>
      </c>
      <c r="J45" s="6"/>
      <c r="K45" s="6"/>
      <c r="L45" s="5" t="s">
        <v>9</v>
      </c>
      <c r="M45" s="7">
        <v>-1.4935200000000002</v>
      </c>
      <c r="N45" s="5"/>
      <c r="O45" s="5" t="s">
        <v>11</v>
      </c>
      <c r="P45" s="5" t="s">
        <v>23</v>
      </c>
      <c r="Q45" s="5" t="s">
        <v>63</v>
      </c>
      <c r="R45" s="8" t="s">
        <v>135</v>
      </c>
      <c r="S45" s="22" t="s">
        <v>127</v>
      </c>
    </row>
    <row r="46" spans="1:19" ht="15" customHeight="1" x14ac:dyDescent="0.25">
      <c r="A46" s="3">
        <v>41968</v>
      </c>
      <c r="B46" s="9" t="s">
        <v>123</v>
      </c>
      <c r="C46" s="8" t="s">
        <v>124</v>
      </c>
      <c r="D46" t="s">
        <v>136</v>
      </c>
      <c r="E46" s="4" t="s">
        <v>6</v>
      </c>
      <c r="F46" s="5" t="s">
        <v>7</v>
      </c>
      <c r="G46" s="5" t="s">
        <v>8</v>
      </c>
      <c r="H46" s="6">
        <v>47.24881666666667</v>
      </c>
      <c r="I46" s="6">
        <v>-122.72475</v>
      </c>
      <c r="J46" s="6"/>
      <c r="K46" s="6"/>
      <c r="L46" s="5" t="s">
        <v>9</v>
      </c>
      <c r="M46" s="7">
        <v>-0.39624000000000026</v>
      </c>
      <c r="N46" s="5"/>
      <c r="O46" s="5" t="s">
        <v>11</v>
      </c>
      <c r="P46" s="5" t="s">
        <v>23</v>
      </c>
      <c r="Q46" s="5" t="s">
        <v>63</v>
      </c>
      <c r="R46" s="8" t="s">
        <v>137</v>
      </c>
      <c r="S46" s="22" t="s">
        <v>127</v>
      </c>
    </row>
    <row r="47" spans="1:19" ht="15" customHeight="1" x14ac:dyDescent="0.25">
      <c r="A47" s="3">
        <v>41968</v>
      </c>
      <c r="B47" s="9" t="s">
        <v>123</v>
      </c>
      <c r="C47" s="8" t="s">
        <v>124</v>
      </c>
      <c r="D47" t="s">
        <v>138</v>
      </c>
      <c r="E47" s="4" t="s">
        <v>6</v>
      </c>
      <c r="F47" s="5" t="s">
        <v>7</v>
      </c>
      <c r="G47" s="5" t="s">
        <v>8</v>
      </c>
      <c r="H47" s="6">
        <v>47.249266666666664</v>
      </c>
      <c r="I47" s="6">
        <v>-122.72466666666666</v>
      </c>
      <c r="J47" s="6"/>
      <c r="K47" s="6"/>
      <c r="L47" s="5" t="s">
        <v>9</v>
      </c>
      <c r="M47" s="7">
        <v>-1.0668</v>
      </c>
      <c r="N47" s="5"/>
      <c r="O47" s="5" t="s">
        <v>11</v>
      </c>
      <c r="P47" s="5" t="s">
        <v>23</v>
      </c>
      <c r="Q47" s="5" t="s">
        <v>48</v>
      </c>
      <c r="R47" s="8" t="s">
        <v>139</v>
      </c>
      <c r="S47" s="22" t="s">
        <v>127</v>
      </c>
    </row>
    <row r="48" spans="1:19" ht="15" customHeight="1" x14ac:dyDescent="0.25">
      <c r="A48" s="3">
        <v>41968</v>
      </c>
      <c r="B48" s="9" t="s">
        <v>123</v>
      </c>
      <c r="C48" s="8" t="s">
        <v>124</v>
      </c>
      <c r="D48" t="s">
        <v>140</v>
      </c>
      <c r="E48" s="4" t="s">
        <v>6</v>
      </c>
      <c r="F48" s="5" t="s">
        <v>7</v>
      </c>
      <c r="G48" s="5" t="s">
        <v>8</v>
      </c>
      <c r="H48" s="6">
        <v>47.249650000000003</v>
      </c>
      <c r="I48" s="6">
        <v>-122.72406666666667</v>
      </c>
      <c r="J48" s="6"/>
      <c r="K48" s="6"/>
      <c r="L48" s="5" t="s">
        <v>9</v>
      </c>
      <c r="M48" s="7">
        <v>-1.4020799999999998</v>
      </c>
      <c r="N48" s="5"/>
      <c r="O48" s="5" t="s">
        <v>11</v>
      </c>
      <c r="P48" s="5" t="s">
        <v>23</v>
      </c>
      <c r="Q48" s="5" t="s">
        <v>48</v>
      </c>
      <c r="R48" s="8" t="s">
        <v>141</v>
      </c>
      <c r="S48" s="22" t="s">
        <v>127</v>
      </c>
    </row>
    <row r="49" spans="1:19" ht="15" customHeight="1" x14ac:dyDescent="0.25">
      <c r="A49" s="3">
        <v>41968</v>
      </c>
      <c r="B49" s="9" t="s">
        <v>123</v>
      </c>
      <c r="C49" s="8" t="s">
        <v>124</v>
      </c>
      <c r="D49" t="s">
        <v>142</v>
      </c>
      <c r="E49" s="4" t="s">
        <v>6</v>
      </c>
      <c r="F49" s="5" t="s">
        <v>7</v>
      </c>
      <c r="G49" s="5" t="s">
        <v>8</v>
      </c>
      <c r="H49" s="6">
        <v>47.250016666666667</v>
      </c>
      <c r="I49" s="6">
        <v>-122.72338333333333</v>
      </c>
      <c r="J49" s="6"/>
      <c r="K49" s="6"/>
      <c r="L49" s="5" t="s">
        <v>9</v>
      </c>
      <c r="M49" s="7">
        <v>-1.7373599999999996</v>
      </c>
      <c r="N49" s="5"/>
      <c r="O49" s="5"/>
      <c r="P49" s="5" t="s">
        <v>23</v>
      </c>
      <c r="Q49" s="5" t="s">
        <v>24</v>
      </c>
      <c r="R49" s="8" t="s">
        <v>143</v>
      </c>
      <c r="S49" s="22" t="s">
        <v>127</v>
      </c>
    </row>
    <row r="50" spans="1:19" ht="15" customHeight="1" x14ac:dyDescent="0.25">
      <c r="A50" s="3">
        <v>41968</v>
      </c>
      <c r="B50" s="9" t="s">
        <v>123</v>
      </c>
      <c r="C50" s="8" t="s">
        <v>124</v>
      </c>
      <c r="D50" t="s">
        <v>144</v>
      </c>
      <c r="E50" s="4" t="s">
        <v>6</v>
      </c>
      <c r="F50" s="5" t="s">
        <v>7</v>
      </c>
      <c r="G50" s="5" t="s">
        <v>8</v>
      </c>
      <c r="H50" s="6">
        <v>47.250250000000001</v>
      </c>
      <c r="I50" s="6">
        <v>-122.7229</v>
      </c>
      <c r="J50" s="6"/>
      <c r="K50" s="6"/>
      <c r="L50" s="5" t="s">
        <v>9</v>
      </c>
      <c r="M50" s="7">
        <v>-1.1887200000000002</v>
      </c>
      <c r="N50" s="5"/>
      <c r="O50" s="5" t="s">
        <v>11</v>
      </c>
      <c r="P50" s="5" t="s">
        <v>23</v>
      </c>
      <c r="Q50" s="5" t="s">
        <v>63</v>
      </c>
      <c r="R50" s="8" t="s">
        <v>145</v>
      </c>
      <c r="S50" s="22" t="s">
        <v>127</v>
      </c>
    </row>
    <row r="51" spans="1:19" ht="15" customHeight="1" x14ac:dyDescent="0.25">
      <c r="A51" s="3">
        <v>41968</v>
      </c>
      <c r="B51" s="9" t="s">
        <v>123</v>
      </c>
      <c r="C51" s="8" t="s">
        <v>124</v>
      </c>
      <c r="D51" t="s">
        <v>146</v>
      </c>
      <c r="E51" s="4" t="s">
        <v>6</v>
      </c>
      <c r="F51" s="5" t="s">
        <v>7</v>
      </c>
      <c r="G51" s="5" t="s">
        <v>8</v>
      </c>
      <c r="H51" s="6">
        <v>47.250700000000002</v>
      </c>
      <c r="I51" s="6">
        <v>-122.72239999999999</v>
      </c>
      <c r="J51" s="6"/>
      <c r="K51" s="6"/>
      <c r="L51" s="5" t="s">
        <v>9</v>
      </c>
      <c r="M51" s="7">
        <v>-1.2192000000000001</v>
      </c>
      <c r="N51" s="5"/>
      <c r="O51" s="5"/>
      <c r="P51" s="5" t="s">
        <v>23</v>
      </c>
      <c r="Q51" s="5" t="s">
        <v>63</v>
      </c>
      <c r="R51" s="8" t="s">
        <v>147</v>
      </c>
      <c r="S51" s="22" t="s">
        <v>127</v>
      </c>
    </row>
    <row r="52" spans="1:19" ht="15" customHeight="1" x14ac:dyDescent="0.25">
      <c r="A52" s="3">
        <v>41968</v>
      </c>
      <c r="B52" s="9" t="s">
        <v>123</v>
      </c>
      <c r="C52" s="8" t="s">
        <v>124</v>
      </c>
      <c r="D52" t="s">
        <v>148</v>
      </c>
      <c r="E52" s="4" t="s">
        <v>6</v>
      </c>
      <c r="F52" s="5" t="s">
        <v>7</v>
      </c>
      <c r="G52" s="5" t="s">
        <v>8</v>
      </c>
      <c r="H52" s="6">
        <v>47.251150000000003</v>
      </c>
      <c r="I52" s="6">
        <v>-122.72168333333333</v>
      </c>
      <c r="J52" s="6"/>
      <c r="K52" s="6"/>
      <c r="L52" s="5" t="s">
        <v>9</v>
      </c>
      <c r="M52" s="7">
        <v>-1.2496799999999999</v>
      </c>
      <c r="N52" s="5"/>
      <c r="O52" s="5" t="s">
        <v>32</v>
      </c>
      <c r="P52" s="5" t="s">
        <v>23</v>
      </c>
      <c r="Q52" s="5" t="s">
        <v>48</v>
      </c>
      <c r="R52" s="8" t="s">
        <v>149</v>
      </c>
      <c r="S52" s="22" t="s">
        <v>127</v>
      </c>
    </row>
    <row r="53" spans="1:19" ht="15" customHeight="1" x14ac:dyDescent="0.25">
      <c r="A53" s="3">
        <v>41968</v>
      </c>
      <c r="B53" s="9" t="s">
        <v>123</v>
      </c>
      <c r="C53" t="s">
        <v>124</v>
      </c>
      <c r="D53" t="s">
        <v>150</v>
      </c>
      <c r="E53" s="4" t="s">
        <v>6</v>
      </c>
      <c r="F53" s="5" t="s">
        <v>7</v>
      </c>
      <c r="G53" s="5" t="s">
        <v>8</v>
      </c>
      <c r="H53" s="6">
        <v>47.273440000000001</v>
      </c>
      <c r="I53" s="6">
        <v>-122.74705</v>
      </c>
      <c r="J53" s="6"/>
      <c r="K53" s="6"/>
      <c r="L53" s="5" t="s">
        <v>9</v>
      </c>
      <c r="M53" s="7">
        <v>-1.7373599999999996</v>
      </c>
      <c r="N53" s="5"/>
      <c r="O53" s="5" t="s">
        <v>32</v>
      </c>
      <c r="P53" s="5" t="s">
        <v>23</v>
      </c>
      <c r="Q53" s="5" t="s">
        <v>24</v>
      </c>
      <c r="R53" s="8" t="s">
        <v>151</v>
      </c>
      <c r="S53" s="22" t="s">
        <v>127</v>
      </c>
    </row>
    <row r="54" spans="1:19" ht="15" customHeight="1" x14ac:dyDescent="0.25">
      <c r="A54" s="3">
        <v>41968</v>
      </c>
      <c r="B54" s="9" t="s">
        <v>123</v>
      </c>
      <c r="C54" t="s">
        <v>124</v>
      </c>
      <c r="D54" t="s">
        <v>152</v>
      </c>
      <c r="E54" s="4" t="s">
        <v>6</v>
      </c>
      <c r="F54" s="5" t="s">
        <v>7</v>
      </c>
      <c r="G54" s="5" t="s">
        <v>8</v>
      </c>
      <c r="H54" s="6">
        <v>47.266590000000001</v>
      </c>
      <c r="I54" s="6">
        <v>-122.73694</v>
      </c>
      <c r="J54" s="6"/>
      <c r="K54" s="6"/>
      <c r="L54" s="5" t="s">
        <v>9</v>
      </c>
      <c r="M54" s="7">
        <v>-3.0479999999999893E-2</v>
      </c>
      <c r="N54" s="5"/>
      <c r="O54" s="5" t="s">
        <v>32</v>
      </c>
      <c r="P54" s="5" t="s">
        <v>23</v>
      </c>
      <c r="Q54" s="5" t="s">
        <v>24</v>
      </c>
      <c r="R54" s="8" t="s">
        <v>153</v>
      </c>
      <c r="S54" s="22" t="s">
        <v>127</v>
      </c>
    </row>
    <row r="55" spans="1:19" ht="15" customHeight="1" x14ac:dyDescent="0.25">
      <c r="A55" s="3">
        <v>41968</v>
      </c>
      <c r="B55" s="9" t="s">
        <v>123</v>
      </c>
      <c r="C55" t="s">
        <v>124</v>
      </c>
      <c r="D55" t="s">
        <v>154</v>
      </c>
      <c r="E55" s="4" t="s">
        <v>6</v>
      </c>
      <c r="F55" s="5" t="s">
        <v>7</v>
      </c>
      <c r="G55" s="5" t="s">
        <v>8</v>
      </c>
      <c r="H55" s="6">
        <v>47.26596</v>
      </c>
      <c r="I55" s="6">
        <v>-122.73585</v>
      </c>
      <c r="J55" s="6"/>
      <c r="K55" s="6"/>
      <c r="L55" s="5" t="s">
        <v>9</v>
      </c>
      <c r="M55" s="7">
        <v>-2.2555200000000002</v>
      </c>
      <c r="N55" s="5"/>
      <c r="O55" s="5" t="s">
        <v>32</v>
      </c>
      <c r="P55" s="5" t="s">
        <v>23</v>
      </c>
      <c r="Q55" s="5" t="s">
        <v>24</v>
      </c>
      <c r="R55" s="8" t="s">
        <v>155</v>
      </c>
      <c r="S55" s="22" t="s">
        <v>127</v>
      </c>
    </row>
    <row r="56" spans="1:19" ht="15" customHeight="1" x14ac:dyDescent="0.25">
      <c r="A56" s="3">
        <v>41968</v>
      </c>
      <c r="B56" s="9" t="s">
        <v>123</v>
      </c>
      <c r="C56" t="s">
        <v>124</v>
      </c>
      <c r="D56" t="s">
        <v>156</v>
      </c>
      <c r="E56" s="4" t="s">
        <v>6</v>
      </c>
      <c r="F56" s="5" t="s">
        <v>7</v>
      </c>
      <c r="G56" s="5" t="s">
        <v>8</v>
      </c>
      <c r="H56" s="6">
        <v>47.253740000000001</v>
      </c>
      <c r="I56" s="6">
        <v>-122.73557</v>
      </c>
      <c r="J56" s="6"/>
      <c r="K56" s="6"/>
      <c r="L56" s="5" t="s">
        <v>9</v>
      </c>
      <c r="M56" s="7">
        <v>-3.3527999999999998</v>
      </c>
      <c r="N56" s="5"/>
      <c r="O56" s="5"/>
      <c r="P56" s="5" t="s">
        <v>23</v>
      </c>
      <c r="Q56" s="5" t="s">
        <v>24</v>
      </c>
      <c r="R56" s="8" t="s">
        <v>157</v>
      </c>
      <c r="S56" s="22" t="s">
        <v>127</v>
      </c>
    </row>
    <row r="57" spans="1:19" ht="15" customHeight="1" x14ac:dyDescent="0.25">
      <c r="A57" s="3">
        <v>41968</v>
      </c>
      <c r="B57" s="9" t="s">
        <v>123</v>
      </c>
      <c r="C57" t="s">
        <v>124</v>
      </c>
      <c r="D57" t="s">
        <v>158</v>
      </c>
      <c r="E57" s="4" t="s">
        <v>6</v>
      </c>
      <c r="F57" s="5" t="s">
        <v>7</v>
      </c>
      <c r="G57" s="5" t="s">
        <v>8</v>
      </c>
      <c r="H57" s="6">
        <v>47.256616666666666</v>
      </c>
      <c r="I57" s="6">
        <v>-122.73763333333333</v>
      </c>
      <c r="J57" s="6"/>
      <c r="K57" s="6"/>
      <c r="L57" s="5" t="s">
        <v>9</v>
      </c>
      <c r="M57" s="7">
        <v>-0.94487999999999983</v>
      </c>
      <c r="N57" s="5"/>
      <c r="O57" s="5" t="s">
        <v>11</v>
      </c>
      <c r="P57" s="5" t="s">
        <v>23</v>
      </c>
      <c r="Q57" s="5" t="s">
        <v>63</v>
      </c>
      <c r="R57" s="8" t="s">
        <v>159</v>
      </c>
      <c r="S57" s="22" t="s">
        <v>127</v>
      </c>
    </row>
    <row r="58" spans="1:19" ht="15" customHeight="1" x14ac:dyDescent="0.25">
      <c r="A58" s="3">
        <v>41968</v>
      </c>
      <c r="B58" s="9" t="s">
        <v>123</v>
      </c>
      <c r="C58" s="11" t="s">
        <v>160</v>
      </c>
      <c r="D58" s="11" t="s">
        <v>161</v>
      </c>
      <c r="E58" s="4" t="s">
        <v>6</v>
      </c>
      <c r="F58" s="5" t="s">
        <v>7</v>
      </c>
      <c r="G58" s="5" t="s">
        <v>8</v>
      </c>
      <c r="H58" s="6">
        <v>47.2179</v>
      </c>
      <c r="I58" s="6">
        <v>-122.65756666666667</v>
      </c>
      <c r="J58" s="6"/>
      <c r="K58" s="6"/>
      <c r="L58" s="5" t="s">
        <v>9</v>
      </c>
      <c r="M58" s="7">
        <v>-0.97536</v>
      </c>
      <c r="N58" s="5"/>
      <c r="O58" s="5" t="s">
        <v>11</v>
      </c>
      <c r="P58" s="5" t="s">
        <v>23</v>
      </c>
      <c r="Q58" s="5" t="s">
        <v>63</v>
      </c>
      <c r="R58" s="8" t="s">
        <v>162</v>
      </c>
      <c r="S58" s="22" t="s">
        <v>127</v>
      </c>
    </row>
    <row r="59" spans="1:19" ht="15" customHeight="1" x14ac:dyDescent="0.25">
      <c r="A59" s="3">
        <v>41968</v>
      </c>
      <c r="B59" s="9" t="s">
        <v>123</v>
      </c>
      <c r="C59" s="11" t="s">
        <v>160</v>
      </c>
      <c r="D59" s="11" t="s">
        <v>163</v>
      </c>
      <c r="E59" s="4" t="s">
        <v>6</v>
      </c>
      <c r="F59" s="5" t="s">
        <v>7</v>
      </c>
      <c r="G59" s="5" t="s">
        <v>8</v>
      </c>
      <c r="H59" s="6">
        <v>47.224766666666667</v>
      </c>
      <c r="I59" s="6">
        <v>-122.67308333333334</v>
      </c>
      <c r="J59" s="6"/>
      <c r="K59" s="6"/>
      <c r="L59" s="5" t="s">
        <v>9</v>
      </c>
      <c r="M59" s="7">
        <v>-0.70103999999999989</v>
      </c>
      <c r="N59" s="5"/>
      <c r="O59" s="5" t="s">
        <v>11</v>
      </c>
      <c r="P59" s="5" t="s">
        <v>23</v>
      </c>
      <c r="Q59" s="5" t="s">
        <v>63</v>
      </c>
      <c r="R59" s="8" t="s">
        <v>164</v>
      </c>
      <c r="S59" s="22" t="s">
        <v>127</v>
      </c>
    </row>
    <row r="60" spans="1:19" ht="15" customHeight="1" x14ac:dyDescent="0.25">
      <c r="A60" s="3">
        <v>41968</v>
      </c>
      <c r="B60" s="9" t="s">
        <v>123</v>
      </c>
      <c r="C60" s="11" t="s">
        <v>160</v>
      </c>
      <c r="D60" s="11" t="s">
        <v>165</v>
      </c>
      <c r="E60" s="4" t="s">
        <v>6</v>
      </c>
      <c r="F60" s="5" t="s">
        <v>7</v>
      </c>
      <c r="G60" s="5" t="s">
        <v>8</v>
      </c>
      <c r="H60" s="6">
        <v>47.232050000000001</v>
      </c>
      <c r="I60" s="6">
        <v>-122.69778333333333</v>
      </c>
      <c r="J60" s="6"/>
      <c r="K60" s="6"/>
      <c r="L60" s="5" t="s">
        <v>9</v>
      </c>
      <c r="M60" s="7">
        <v>-1.0058400000000003</v>
      </c>
      <c r="N60" s="5"/>
      <c r="O60" s="5" t="s">
        <v>11</v>
      </c>
      <c r="P60" s="5" t="s">
        <v>23</v>
      </c>
      <c r="Q60" s="5" t="s">
        <v>63</v>
      </c>
      <c r="R60" s="8" t="s">
        <v>166</v>
      </c>
      <c r="S60" s="22" t="s">
        <v>127</v>
      </c>
    </row>
    <row r="61" spans="1:19" ht="15" customHeight="1" x14ac:dyDescent="0.25">
      <c r="A61" s="3">
        <v>41968</v>
      </c>
      <c r="B61" s="9" t="s">
        <v>123</v>
      </c>
      <c r="C61" s="11" t="s">
        <v>160</v>
      </c>
      <c r="D61" s="11" t="s">
        <v>167</v>
      </c>
      <c r="E61" s="4" t="s">
        <v>6</v>
      </c>
      <c r="F61" s="5" t="s">
        <v>7</v>
      </c>
      <c r="G61" s="5" t="s">
        <v>8</v>
      </c>
      <c r="H61" s="6">
        <v>47.23211666666667</v>
      </c>
      <c r="I61" s="6">
        <v>-122.69473333333333</v>
      </c>
      <c r="J61" s="6"/>
      <c r="K61" s="6"/>
      <c r="L61" s="5" t="s">
        <v>9</v>
      </c>
      <c r="M61" s="7">
        <v>-1.0363200000000001</v>
      </c>
      <c r="N61" s="5"/>
      <c r="O61" s="5"/>
      <c r="P61" s="5" t="s">
        <v>23</v>
      </c>
      <c r="Q61" s="5" t="s">
        <v>63</v>
      </c>
      <c r="R61" s="8" t="s">
        <v>168</v>
      </c>
      <c r="S61" s="22" t="s">
        <v>127</v>
      </c>
    </row>
    <row r="62" spans="1:19" ht="15" customHeight="1" x14ac:dyDescent="0.25">
      <c r="A62" s="3">
        <v>41968</v>
      </c>
      <c r="B62" s="9" t="s">
        <v>123</v>
      </c>
      <c r="C62" s="11" t="s">
        <v>160</v>
      </c>
      <c r="D62" s="11" t="s">
        <v>169</v>
      </c>
      <c r="E62" s="4" t="s">
        <v>6</v>
      </c>
      <c r="F62" s="5" t="s">
        <v>7</v>
      </c>
      <c r="G62" s="5" t="s">
        <v>8</v>
      </c>
      <c r="H62" s="6">
        <v>47.232433333333333</v>
      </c>
      <c r="I62" s="6">
        <v>-122.68923333333333</v>
      </c>
      <c r="J62" s="6"/>
      <c r="K62" s="6"/>
      <c r="L62" s="5" t="s">
        <v>9</v>
      </c>
      <c r="M62" s="7">
        <v>-1.7068799999999997</v>
      </c>
      <c r="N62" s="5"/>
      <c r="O62" s="5" t="s">
        <v>11</v>
      </c>
      <c r="P62" s="5" t="s">
        <v>23</v>
      </c>
      <c r="Q62" s="5" t="s">
        <v>48</v>
      </c>
      <c r="R62" s="8" t="s">
        <v>170</v>
      </c>
      <c r="S62" s="22" t="s">
        <v>127</v>
      </c>
    </row>
    <row r="63" spans="1:19" ht="15" customHeight="1" x14ac:dyDescent="0.25">
      <c r="A63" s="3">
        <v>41968</v>
      </c>
      <c r="B63" s="9" t="s">
        <v>123</v>
      </c>
      <c r="C63" s="11" t="s">
        <v>160</v>
      </c>
      <c r="D63" s="11" t="s">
        <v>171</v>
      </c>
      <c r="E63" s="4" t="s">
        <v>6</v>
      </c>
      <c r="F63" s="5" t="s">
        <v>7</v>
      </c>
      <c r="G63" s="5" t="s">
        <v>8</v>
      </c>
      <c r="H63" s="6">
        <v>47.232616666666665</v>
      </c>
      <c r="I63" s="6">
        <v>-122.68628333333334</v>
      </c>
      <c r="J63" s="6"/>
      <c r="K63" s="6"/>
      <c r="L63" s="5" t="s">
        <v>9</v>
      </c>
      <c r="M63" s="7">
        <v>-1.1582400000000002</v>
      </c>
      <c r="N63" s="5"/>
      <c r="O63" s="5" t="s">
        <v>11</v>
      </c>
      <c r="P63" s="5" t="s">
        <v>23</v>
      </c>
      <c r="Q63" s="5" t="s">
        <v>48</v>
      </c>
      <c r="R63" s="8" t="s">
        <v>172</v>
      </c>
      <c r="S63" s="22" t="s">
        <v>127</v>
      </c>
    </row>
    <row r="64" spans="1:19" ht="15" customHeight="1" x14ac:dyDescent="0.25">
      <c r="A64" s="3">
        <v>41968</v>
      </c>
      <c r="B64" s="9" t="s">
        <v>123</v>
      </c>
      <c r="C64" s="11" t="s">
        <v>173</v>
      </c>
      <c r="D64" s="11" t="s">
        <v>174</v>
      </c>
      <c r="E64" s="4" t="s">
        <v>6</v>
      </c>
      <c r="F64" s="5" t="s">
        <v>7</v>
      </c>
      <c r="G64" s="5" t="s">
        <v>8</v>
      </c>
      <c r="H64" s="6">
        <v>47.237916666666663</v>
      </c>
      <c r="I64" s="6">
        <v>-122.70738333333334</v>
      </c>
      <c r="J64" s="6"/>
      <c r="K64" s="6"/>
      <c r="L64" s="5" t="s">
        <v>9</v>
      </c>
      <c r="M64" s="7">
        <v>-0.88392000000000015</v>
      </c>
      <c r="N64" s="5"/>
      <c r="O64" s="5" t="s">
        <v>32</v>
      </c>
      <c r="P64" s="5" t="s">
        <v>23</v>
      </c>
      <c r="Q64" s="5" t="s">
        <v>24</v>
      </c>
      <c r="R64" s="8" t="s">
        <v>175</v>
      </c>
      <c r="S64" s="22" t="s">
        <v>127</v>
      </c>
    </row>
    <row r="65" spans="1:26" ht="15" customHeight="1" x14ac:dyDescent="0.25">
      <c r="A65" s="3">
        <v>41968</v>
      </c>
      <c r="B65" s="9" t="s">
        <v>123</v>
      </c>
      <c r="C65" s="11" t="s">
        <v>173</v>
      </c>
      <c r="D65" s="11" t="s">
        <v>176</v>
      </c>
      <c r="E65" s="4" t="s">
        <v>6</v>
      </c>
      <c r="F65" s="5" t="s">
        <v>7</v>
      </c>
      <c r="G65" s="5" t="s">
        <v>8</v>
      </c>
      <c r="H65" s="6">
        <v>47.238500000000002</v>
      </c>
      <c r="I65" s="6">
        <v>-122.70661666666666</v>
      </c>
      <c r="J65" s="6"/>
      <c r="K65" s="6"/>
      <c r="L65" s="5" t="s">
        <v>9</v>
      </c>
      <c r="M65" s="7">
        <v>-2.4384000000000001</v>
      </c>
      <c r="N65" s="5"/>
      <c r="O65" s="5"/>
      <c r="P65" s="5" t="s">
        <v>18</v>
      </c>
      <c r="Q65" s="5" t="s">
        <v>13</v>
      </c>
      <c r="R65" s="8" t="s">
        <v>177</v>
      </c>
      <c r="S65" s="22" t="s">
        <v>127</v>
      </c>
    </row>
    <row r="66" spans="1:26" ht="15" customHeight="1" x14ac:dyDescent="0.25">
      <c r="A66" s="3">
        <v>41968</v>
      </c>
      <c r="B66" s="9" t="s">
        <v>123</v>
      </c>
      <c r="C66" s="11" t="s">
        <v>173</v>
      </c>
      <c r="D66" s="11" t="s">
        <v>178</v>
      </c>
      <c r="E66" s="4" t="s">
        <v>6</v>
      </c>
      <c r="F66" s="5" t="s">
        <v>7</v>
      </c>
      <c r="G66" s="5" t="s">
        <v>8</v>
      </c>
      <c r="H66" s="6">
        <v>47.239116666666668</v>
      </c>
      <c r="I66" s="6">
        <v>-122.70874999999999</v>
      </c>
      <c r="J66" s="6"/>
      <c r="K66" s="6"/>
      <c r="L66" s="5" t="s">
        <v>9</v>
      </c>
      <c r="M66" s="7">
        <v>-1.1582400000000002</v>
      </c>
      <c r="N66" s="5"/>
      <c r="O66" s="5"/>
      <c r="P66" s="5" t="s">
        <v>36</v>
      </c>
      <c r="Q66" s="5" t="s">
        <v>13</v>
      </c>
      <c r="R66" s="8" t="s">
        <v>179</v>
      </c>
      <c r="S66" s="22" t="s">
        <v>127</v>
      </c>
    </row>
    <row r="67" spans="1:26" ht="15" customHeight="1" x14ac:dyDescent="0.25">
      <c r="A67" s="3">
        <v>41968</v>
      </c>
      <c r="B67" s="9" t="s">
        <v>123</v>
      </c>
      <c r="C67" s="11" t="s">
        <v>173</v>
      </c>
      <c r="D67" s="11" t="s">
        <v>180</v>
      </c>
      <c r="E67" s="4" t="s">
        <v>6</v>
      </c>
      <c r="F67" s="5" t="s">
        <v>7</v>
      </c>
      <c r="G67" s="5" t="s">
        <v>8</v>
      </c>
      <c r="H67" s="6">
        <v>47.239233333333331</v>
      </c>
      <c r="I67" s="6">
        <v>-122.71206666666667</v>
      </c>
      <c r="J67" s="6"/>
      <c r="K67" s="6"/>
      <c r="L67" s="5" t="s">
        <v>9</v>
      </c>
      <c r="M67" s="7">
        <v>-1.0668</v>
      </c>
      <c r="N67" s="5"/>
      <c r="O67" s="5" t="s">
        <v>11</v>
      </c>
      <c r="P67" s="5" t="s">
        <v>36</v>
      </c>
      <c r="Q67" s="5" t="s">
        <v>13</v>
      </c>
      <c r="R67" s="8" t="s">
        <v>181</v>
      </c>
      <c r="S67" s="22" t="s">
        <v>127</v>
      </c>
    </row>
    <row r="68" spans="1:26" ht="15" customHeight="1" x14ac:dyDescent="0.25">
      <c r="A68" s="3">
        <v>42048</v>
      </c>
      <c r="B68" s="9" t="s">
        <v>123</v>
      </c>
      <c r="C68" s="9" t="s">
        <v>182</v>
      </c>
      <c r="D68" s="9" t="s">
        <v>183</v>
      </c>
      <c r="E68" s="12" t="s">
        <v>6</v>
      </c>
      <c r="F68" s="12" t="s">
        <v>7</v>
      </c>
      <c r="G68" s="12" t="s">
        <v>8</v>
      </c>
      <c r="H68" s="13">
        <v>48.057366666666667</v>
      </c>
      <c r="I68" s="13">
        <v>-122.35573333333333</v>
      </c>
      <c r="J68" s="14"/>
      <c r="K68" s="14"/>
      <c r="L68" s="15" t="s">
        <v>9</v>
      </c>
      <c r="M68" s="16">
        <v>-1.3411200000000001</v>
      </c>
      <c r="N68" s="12" t="s">
        <v>10</v>
      </c>
      <c r="O68" s="12" t="s">
        <v>11</v>
      </c>
      <c r="P68" s="12" t="s">
        <v>12</v>
      </c>
      <c r="Q68" s="12" t="s">
        <v>13</v>
      </c>
      <c r="R68" s="17" t="s">
        <v>184</v>
      </c>
      <c r="S68" s="196" t="s">
        <v>185</v>
      </c>
      <c r="T68" s="9"/>
      <c r="U68" s="9"/>
      <c r="V68" s="9"/>
      <c r="W68" s="9"/>
      <c r="X68" s="9"/>
      <c r="Y68" s="9"/>
      <c r="Z68" s="9"/>
    </row>
    <row r="69" spans="1:26" s="9" customFormat="1" ht="15" customHeight="1" x14ac:dyDescent="0.25">
      <c r="A69" s="3">
        <v>42048</v>
      </c>
      <c r="B69" s="9" t="s">
        <v>123</v>
      </c>
      <c r="C69" s="9" t="s">
        <v>182</v>
      </c>
      <c r="D69" s="9" t="s">
        <v>186</v>
      </c>
      <c r="E69" s="12" t="s">
        <v>6</v>
      </c>
      <c r="F69" s="12" t="s">
        <v>7</v>
      </c>
      <c r="G69" s="12" t="s">
        <v>8</v>
      </c>
      <c r="H69" s="13">
        <v>48.177733333333336</v>
      </c>
      <c r="I69" s="13">
        <v>-122.47546666666666</v>
      </c>
      <c r="J69" s="14"/>
      <c r="K69" s="14"/>
      <c r="L69" s="15" t="s">
        <v>9</v>
      </c>
      <c r="M69" s="16">
        <v>-1.2192000000000001</v>
      </c>
      <c r="N69" s="12" t="s">
        <v>66</v>
      </c>
      <c r="O69" s="12" t="s">
        <v>187</v>
      </c>
      <c r="P69" s="12" t="s">
        <v>23</v>
      </c>
      <c r="Q69" s="19" t="s">
        <v>48</v>
      </c>
      <c r="R69" s="17" t="s">
        <v>188</v>
      </c>
      <c r="S69" s="196" t="s">
        <v>185</v>
      </c>
    </row>
    <row r="70" spans="1:26" s="9" customFormat="1" ht="15" customHeight="1" x14ac:dyDescent="0.25">
      <c r="A70" s="3">
        <v>42048</v>
      </c>
      <c r="B70" s="9" t="s">
        <v>123</v>
      </c>
      <c r="C70" s="9" t="s">
        <v>182</v>
      </c>
      <c r="D70" s="9" t="s">
        <v>189</v>
      </c>
      <c r="E70" s="12" t="s">
        <v>6</v>
      </c>
      <c r="F70" s="12" t="s">
        <v>7</v>
      </c>
      <c r="G70" s="12" t="s">
        <v>8</v>
      </c>
      <c r="H70" s="13">
        <v>48.180300000000003</v>
      </c>
      <c r="I70" s="13">
        <v>-122.44251666666666</v>
      </c>
      <c r="J70" s="14"/>
      <c r="K70" s="14"/>
      <c r="L70" s="15" t="s">
        <v>9</v>
      </c>
      <c r="M70" s="16">
        <v>-1.4325600000000001</v>
      </c>
      <c r="N70" s="12" t="s">
        <v>66</v>
      </c>
      <c r="O70" s="12" t="s">
        <v>22</v>
      </c>
      <c r="P70" s="12" t="s">
        <v>23</v>
      </c>
      <c r="Q70" s="19" t="s">
        <v>24</v>
      </c>
      <c r="R70" s="17" t="s">
        <v>190</v>
      </c>
      <c r="S70" s="196" t="s">
        <v>185</v>
      </c>
    </row>
    <row r="71" spans="1:26" s="9" customFormat="1" ht="15" customHeight="1" x14ac:dyDescent="0.25">
      <c r="A71" s="3">
        <v>42048</v>
      </c>
      <c r="B71" s="9" t="s">
        <v>123</v>
      </c>
      <c r="C71" s="9" t="s">
        <v>182</v>
      </c>
      <c r="D71" s="9" t="s">
        <v>191</v>
      </c>
      <c r="E71" s="12" t="s">
        <v>6</v>
      </c>
      <c r="F71" s="12" t="s">
        <v>7</v>
      </c>
      <c r="G71" s="12" t="s">
        <v>8</v>
      </c>
      <c r="H71" s="13">
        <v>48.186216666666667</v>
      </c>
      <c r="I71" s="13">
        <v>-122.44673333333333</v>
      </c>
      <c r="J71" s="14"/>
      <c r="K71" s="14"/>
      <c r="L71" s="15" t="s">
        <v>9</v>
      </c>
      <c r="M71" s="16">
        <v>-0.60960000000000003</v>
      </c>
      <c r="N71" s="12" t="s">
        <v>66</v>
      </c>
      <c r="O71" s="12" t="s">
        <v>22</v>
      </c>
      <c r="P71" s="12" t="s">
        <v>23</v>
      </c>
      <c r="Q71" s="19" t="s">
        <v>24</v>
      </c>
      <c r="R71" s="17" t="s">
        <v>192</v>
      </c>
      <c r="S71" s="196" t="s">
        <v>185</v>
      </c>
    </row>
    <row r="72" spans="1:26" s="9" customFormat="1" ht="15" customHeight="1" x14ac:dyDescent="0.25">
      <c r="A72" s="3">
        <v>42048</v>
      </c>
      <c r="B72" s="9" t="s">
        <v>123</v>
      </c>
      <c r="C72" s="9" t="s">
        <v>182</v>
      </c>
      <c r="D72" s="9" t="s">
        <v>193</v>
      </c>
      <c r="E72" s="12" t="s">
        <v>6</v>
      </c>
      <c r="F72" s="12" t="s">
        <v>7</v>
      </c>
      <c r="G72" s="12" t="s">
        <v>8</v>
      </c>
      <c r="H72" s="13">
        <v>48.18716666666667</v>
      </c>
      <c r="I72" s="13">
        <v>-122.47373333333333</v>
      </c>
      <c r="J72" s="14"/>
      <c r="K72" s="14"/>
      <c r="L72" s="15" t="s">
        <v>9</v>
      </c>
      <c r="M72" s="16">
        <v>-0.85343999999999987</v>
      </c>
      <c r="N72" s="12" t="s">
        <v>66</v>
      </c>
      <c r="O72" s="12" t="s">
        <v>22</v>
      </c>
      <c r="P72" s="12" t="s">
        <v>23</v>
      </c>
      <c r="Q72" s="19" t="s">
        <v>24</v>
      </c>
      <c r="R72" s="17" t="s">
        <v>194</v>
      </c>
      <c r="S72" s="196" t="s">
        <v>185</v>
      </c>
    </row>
    <row r="73" spans="1:26" s="9" customFormat="1" ht="15" customHeight="1" x14ac:dyDescent="0.25">
      <c r="A73" s="3">
        <v>42048</v>
      </c>
      <c r="B73" s="9" t="s">
        <v>123</v>
      </c>
      <c r="C73" s="9" t="s">
        <v>182</v>
      </c>
      <c r="D73" s="9" t="s">
        <v>195</v>
      </c>
      <c r="E73" s="12" t="s">
        <v>6</v>
      </c>
      <c r="F73" s="12" t="s">
        <v>7</v>
      </c>
      <c r="G73" s="12" t="s">
        <v>8</v>
      </c>
      <c r="H73" s="13">
        <v>48.064733333333336</v>
      </c>
      <c r="I73" s="13">
        <v>-122.36158333333333</v>
      </c>
      <c r="J73" s="14"/>
      <c r="K73" s="14"/>
      <c r="L73" s="15" t="s">
        <v>9</v>
      </c>
      <c r="M73" s="16">
        <v>-0.33527999999999991</v>
      </c>
      <c r="N73" s="12" t="s">
        <v>10</v>
      </c>
      <c r="O73" s="12" t="s">
        <v>11</v>
      </c>
      <c r="P73" s="12" t="s">
        <v>12</v>
      </c>
      <c r="Q73" s="19" t="s">
        <v>13</v>
      </c>
      <c r="R73" s="17" t="s">
        <v>196</v>
      </c>
      <c r="S73" s="196" t="s">
        <v>185</v>
      </c>
    </row>
    <row r="74" spans="1:26" s="9" customFormat="1" ht="15" customHeight="1" x14ac:dyDescent="0.25">
      <c r="A74" s="3">
        <v>42048</v>
      </c>
      <c r="B74" s="9" t="s">
        <v>123</v>
      </c>
      <c r="C74" s="9" t="s">
        <v>182</v>
      </c>
      <c r="D74" s="9" t="s">
        <v>197</v>
      </c>
      <c r="E74" s="12" t="s">
        <v>6</v>
      </c>
      <c r="F74" s="12" t="s">
        <v>7</v>
      </c>
      <c r="G74" s="12" t="s">
        <v>8</v>
      </c>
      <c r="H74" s="13">
        <v>48.168283333333335</v>
      </c>
      <c r="I74" s="13">
        <v>-122.47301666666667</v>
      </c>
      <c r="J74" s="14"/>
      <c r="K74" s="14"/>
      <c r="L74" s="15" t="s">
        <v>9</v>
      </c>
      <c r="M74" s="16">
        <v>-0.88392000000000015</v>
      </c>
      <c r="N74" s="12" t="s">
        <v>10</v>
      </c>
      <c r="O74" s="12" t="s">
        <v>187</v>
      </c>
      <c r="P74" s="12" t="s">
        <v>23</v>
      </c>
      <c r="Q74" s="19" t="s">
        <v>63</v>
      </c>
      <c r="R74" s="17" t="s">
        <v>198</v>
      </c>
      <c r="S74" s="196" t="s">
        <v>185</v>
      </c>
    </row>
    <row r="75" spans="1:26" s="9" customFormat="1" ht="15" customHeight="1" x14ac:dyDescent="0.25">
      <c r="A75" s="3">
        <v>42048</v>
      </c>
      <c r="B75" s="9" t="s">
        <v>123</v>
      </c>
      <c r="C75" s="9" t="s">
        <v>182</v>
      </c>
      <c r="D75" s="9" t="s">
        <v>199</v>
      </c>
      <c r="E75" s="12" t="s">
        <v>6</v>
      </c>
      <c r="F75" s="12" t="s">
        <v>7</v>
      </c>
      <c r="G75" s="12" t="s">
        <v>8</v>
      </c>
      <c r="H75" s="13">
        <v>48.057749999999999</v>
      </c>
      <c r="I75" s="13">
        <v>-122.35608333333333</v>
      </c>
      <c r="J75" s="14"/>
      <c r="K75" s="14"/>
      <c r="L75" s="15" t="s">
        <v>9</v>
      </c>
      <c r="M75" s="20">
        <v>-1.6459200000000003</v>
      </c>
      <c r="N75" s="12" t="s">
        <v>10</v>
      </c>
      <c r="O75" s="12" t="s">
        <v>11</v>
      </c>
      <c r="P75" s="12" t="s">
        <v>12</v>
      </c>
      <c r="Q75" s="12" t="s">
        <v>13</v>
      </c>
      <c r="R75" s="17" t="s">
        <v>184</v>
      </c>
      <c r="S75" s="196" t="s">
        <v>185</v>
      </c>
    </row>
    <row r="76" spans="1:26" s="9" customFormat="1" ht="15" customHeight="1" x14ac:dyDescent="0.25">
      <c r="A76" s="3">
        <v>42048</v>
      </c>
      <c r="B76" s="9" t="s">
        <v>123</v>
      </c>
      <c r="C76" s="9" t="s">
        <v>182</v>
      </c>
      <c r="D76" s="9" t="s">
        <v>200</v>
      </c>
      <c r="E76" s="12" t="s">
        <v>6</v>
      </c>
      <c r="F76" s="12" t="s">
        <v>7</v>
      </c>
      <c r="G76" s="12" t="s">
        <v>8</v>
      </c>
      <c r="H76" s="13">
        <v>48.058666666666667</v>
      </c>
      <c r="I76" s="13">
        <v>-122.35695</v>
      </c>
      <c r="J76" s="14"/>
      <c r="K76" s="14"/>
      <c r="L76" s="15" t="s">
        <v>9</v>
      </c>
      <c r="M76" s="20">
        <v>-1.0972799999999998</v>
      </c>
      <c r="N76" s="12" t="s">
        <v>10</v>
      </c>
      <c r="O76" s="12" t="s">
        <v>11</v>
      </c>
      <c r="P76" s="12" t="s">
        <v>12</v>
      </c>
      <c r="Q76" s="12" t="s">
        <v>13</v>
      </c>
      <c r="R76" s="17" t="s">
        <v>184</v>
      </c>
      <c r="S76" s="196" t="s">
        <v>185</v>
      </c>
    </row>
    <row r="77" spans="1:26" s="9" customFormat="1" ht="15" customHeight="1" x14ac:dyDescent="0.25">
      <c r="A77" s="3">
        <v>42048</v>
      </c>
      <c r="B77" s="9" t="s">
        <v>123</v>
      </c>
      <c r="C77" s="9" t="s">
        <v>182</v>
      </c>
      <c r="D77" s="9" t="s">
        <v>201</v>
      </c>
      <c r="E77" s="12" t="s">
        <v>6</v>
      </c>
      <c r="F77" s="12" t="s">
        <v>7</v>
      </c>
      <c r="G77" s="12" t="s">
        <v>8</v>
      </c>
      <c r="H77" s="13">
        <v>48.059683333333332</v>
      </c>
      <c r="I77" s="13">
        <v>-122.35711666666667</v>
      </c>
      <c r="J77" s="14"/>
      <c r="K77" s="14"/>
      <c r="L77" s="15" t="s">
        <v>9</v>
      </c>
      <c r="M77" s="16">
        <v>-0.2</v>
      </c>
      <c r="N77" s="12" t="s">
        <v>10</v>
      </c>
      <c r="O77" s="12" t="s">
        <v>11</v>
      </c>
      <c r="P77" s="12" t="s">
        <v>12</v>
      </c>
      <c r="Q77" s="12" t="s">
        <v>13</v>
      </c>
      <c r="R77" s="17" t="s">
        <v>202</v>
      </c>
      <c r="S77" s="196" t="s">
        <v>185</v>
      </c>
    </row>
    <row r="78" spans="1:26" s="9" customFormat="1" ht="15" customHeight="1" x14ac:dyDescent="0.25">
      <c r="A78" s="3">
        <v>42048</v>
      </c>
      <c r="B78" s="9" t="s">
        <v>123</v>
      </c>
      <c r="C78" s="9" t="s">
        <v>182</v>
      </c>
      <c r="D78" s="9" t="s">
        <v>203</v>
      </c>
      <c r="E78" s="12" t="s">
        <v>6</v>
      </c>
      <c r="F78" s="12" t="s">
        <v>7</v>
      </c>
      <c r="G78" s="12" t="s">
        <v>8</v>
      </c>
      <c r="H78" s="13">
        <v>48.062766666666668</v>
      </c>
      <c r="I78" s="13">
        <v>-122.35875</v>
      </c>
      <c r="J78" s="14"/>
      <c r="K78" s="14"/>
      <c r="L78" s="15" t="s">
        <v>9</v>
      </c>
      <c r="M78" s="16">
        <v>-0.30480000000000002</v>
      </c>
      <c r="N78" s="12" t="s">
        <v>10</v>
      </c>
      <c r="O78" s="12" t="s">
        <v>32</v>
      </c>
      <c r="P78" s="12" t="s">
        <v>23</v>
      </c>
      <c r="Q78" s="19" t="s">
        <v>24</v>
      </c>
      <c r="R78" s="17" t="s">
        <v>204</v>
      </c>
      <c r="S78" s="196" t="s">
        <v>185</v>
      </c>
    </row>
    <row r="79" spans="1:26" s="9" customFormat="1" ht="15" customHeight="1" x14ac:dyDescent="0.25">
      <c r="A79" s="3">
        <v>42048</v>
      </c>
      <c r="B79" s="9" t="s">
        <v>123</v>
      </c>
      <c r="C79" s="9" t="s">
        <v>182</v>
      </c>
      <c r="D79" s="9" t="s">
        <v>205</v>
      </c>
      <c r="E79" s="12" t="s">
        <v>6</v>
      </c>
      <c r="F79" s="12" t="s">
        <v>7</v>
      </c>
      <c r="G79" s="12" t="s">
        <v>8</v>
      </c>
      <c r="H79" s="13">
        <v>48.063383333333334</v>
      </c>
      <c r="I79" s="13">
        <v>-122.35961666666699</v>
      </c>
      <c r="J79" s="14"/>
      <c r="K79" s="14"/>
      <c r="L79" s="15" t="s">
        <v>9</v>
      </c>
      <c r="M79" s="16">
        <v>-0.33527999999999991</v>
      </c>
      <c r="N79" s="12" t="s">
        <v>10</v>
      </c>
      <c r="O79" s="12" t="s">
        <v>32</v>
      </c>
      <c r="P79" s="12" t="s">
        <v>23</v>
      </c>
      <c r="Q79" s="19" t="s">
        <v>24</v>
      </c>
      <c r="R79" s="17" t="s">
        <v>206</v>
      </c>
      <c r="S79" s="196" t="s">
        <v>185</v>
      </c>
    </row>
    <row r="80" spans="1:26" s="9" customFormat="1" ht="15" customHeight="1" x14ac:dyDescent="0.25">
      <c r="A80" s="3">
        <v>42048</v>
      </c>
      <c r="B80" s="9" t="s">
        <v>123</v>
      </c>
      <c r="C80" s="9" t="s">
        <v>182</v>
      </c>
      <c r="D80" s="9" t="s">
        <v>207</v>
      </c>
      <c r="E80" s="12" t="s">
        <v>6</v>
      </c>
      <c r="F80" s="12" t="s">
        <v>7</v>
      </c>
      <c r="G80" s="12" t="s">
        <v>8</v>
      </c>
      <c r="H80" s="13">
        <v>48.065416666666664</v>
      </c>
      <c r="I80" s="13">
        <v>-122.36231666666667</v>
      </c>
      <c r="J80" s="14"/>
      <c r="K80" s="14"/>
      <c r="L80" s="15" t="s">
        <v>9</v>
      </c>
      <c r="M80" s="16">
        <v>-2.46888</v>
      </c>
      <c r="N80" s="12" t="s">
        <v>10</v>
      </c>
      <c r="O80" s="12" t="s">
        <v>35</v>
      </c>
      <c r="P80" s="12" t="s">
        <v>18</v>
      </c>
      <c r="Q80" s="19" t="s">
        <v>13</v>
      </c>
      <c r="R80" s="17" t="s">
        <v>208</v>
      </c>
      <c r="S80" s="196" t="s">
        <v>185</v>
      </c>
    </row>
    <row r="81" spans="1:26" s="9" customFormat="1" ht="15" customHeight="1" x14ac:dyDescent="0.25">
      <c r="A81" s="3">
        <v>42048</v>
      </c>
      <c r="B81" s="9" t="s">
        <v>123</v>
      </c>
      <c r="C81" s="9" t="s">
        <v>182</v>
      </c>
      <c r="D81" s="9" t="s">
        <v>209</v>
      </c>
      <c r="E81" s="12" t="s">
        <v>6</v>
      </c>
      <c r="F81" s="12" t="s">
        <v>7</v>
      </c>
      <c r="G81" s="12" t="s">
        <v>8</v>
      </c>
      <c r="H81" s="13">
        <v>48.135833333333331</v>
      </c>
      <c r="I81" s="13">
        <v>-122.44063333333334</v>
      </c>
      <c r="J81" s="14"/>
      <c r="K81" s="14"/>
      <c r="L81" s="15" t="s">
        <v>9</v>
      </c>
      <c r="M81" s="16">
        <v>-0.67056000000000004</v>
      </c>
      <c r="N81" s="12" t="s">
        <v>10</v>
      </c>
      <c r="O81" s="12"/>
      <c r="P81" s="12" t="s">
        <v>12</v>
      </c>
      <c r="Q81" s="19" t="s">
        <v>13</v>
      </c>
      <c r="R81" s="17" t="s">
        <v>210</v>
      </c>
      <c r="S81" s="196" t="s">
        <v>185</v>
      </c>
    </row>
    <row r="82" spans="1:26" s="9" customFormat="1" ht="15" customHeight="1" x14ac:dyDescent="0.25">
      <c r="A82" s="3">
        <v>42048</v>
      </c>
      <c r="B82" s="9" t="s">
        <v>123</v>
      </c>
      <c r="C82" s="9" t="s">
        <v>182</v>
      </c>
      <c r="D82" s="9" t="s">
        <v>211</v>
      </c>
      <c r="E82" s="12" t="s">
        <v>6</v>
      </c>
      <c r="F82" s="12" t="s">
        <v>7</v>
      </c>
      <c r="G82" s="12" t="s">
        <v>8</v>
      </c>
      <c r="H82" s="13">
        <v>48.112050000000004</v>
      </c>
      <c r="I82" s="13">
        <v>-122.40918000000001</v>
      </c>
      <c r="J82" s="14"/>
      <c r="K82" s="14"/>
      <c r="L82" s="15" t="s">
        <v>9</v>
      </c>
      <c r="M82" s="16">
        <v>-9.1439999999999938E-2</v>
      </c>
      <c r="N82" s="12" t="s">
        <v>10</v>
      </c>
      <c r="O82" s="12"/>
      <c r="P82" s="12" t="s">
        <v>36</v>
      </c>
      <c r="Q82" s="19" t="s">
        <v>13</v>
      </c>
      <c r="R82" s="17" t="s">
        <v>212</v>
      </c>
      <c r="S82" s="196" t="s">
        <v>185</v>
      </c>
    </row>
    <row r="83" spans="1:26" s="9" customFormat="1" ht="15" customHeight="1" x14ac:dyDescent="0.25">
      <c r="A83" s="3">
        <v>42048</v>
      </c>
      <c r="B83" s="9" t="s">
        <v>123</v>
      </c>
      <c r="C83" s="9" t="s">
        <v>213</v>
      </c>
      <c r="D83" s="9" t="s">
        <v>214</v>
      </c>
      <c r="E83" s="12" t="s">
        <v>6</v>
      </c>
      <c r="F83" s="12" t="s">
        <v>7</v>
      </c>
      <c r="G83" s="12" t="s">
        <v>8</v>
      </c>
      <c r="H83" s="13">
        <v>47.950366666666667</v>
      </c>
      <c r="I83" s="13">
        <v>-122.30018333333334</v>
      </c>
      <c r="J83" s="14"/>
      <c r="K83" s="14"/>
      <c r="L83" s="15" t="s">
        <v>9</v>
      </c>
      <c r="M83" s="16">
        <v>-2.2999999999999998</v>
      </c>
      <c r="N83" s="12"/>
      <c r="O83" s="12" t="s">
        <v>32</v>
      </c>
      <c r="P83" s="12" t="s">
        <v>23</v>
      </c>
      <c r="Q83" s="19" t="s">
        <v>24</v>
      </c>
      <c r="R83" s="17" t="s">
        <v>215</v>
      </c>
      <c r="S83" s="196" t="s">
        <v>185</v>
      </c>
      <c r="T83"/>
      <c r="U83"/>
      <c r="V83"/>
      <c r="W83"/>
      <c r="X83"/>
      <c r="Y83"/>
      <c r="Z83"/>
    </row>
    <row r="84" spans="1:26" ht="15" customHeight="1" x14ac:dyDescent="0.25">
      <c r="A84" s="3">
        <v>42052</v>
      </c>
      <c r="B84" t="s">
        <v>123</v>
      </c>
      <c r="C84" t="s">
        <v>216</v>
      </c>
      <c r="D84" t="s">
        <v>217</v>
      </c>
      <c r="E84" s="4" t="s">
        <v>6</v>
      </c>
      <c r="F84" s="5" t="s">
        <v>17</v>
      </c>
      <c r="G84" s="5" t="s">
        <v>8</v>
      </c>
      <c r="H84" s="6">
        <v>47.60595</v>
      </c>
      <c r="I84" s="6">
        <v>-122.69891666666666</v>
      </c>
      <c r="J84" s="6">
        <v>47.605716666666666</v>
      </c>
      <c r="K84" s="6">
        <v>-122.699</v>
      </c>
      <c r="L84" s="15" t="s">
        <v>9</v>
      </c>
      <c r="M84" s="7">
        <v>-0.4</v>
      </c>
      <c r="N84" s="5"/>
      <c r="O84" s="5" t="s">
        <v>11</v>
      </c>
      <c r="P84" s="5" t="s">
        <v>23</v>
      </c>
      <c r="Q84" s="5" t="s">
        <v>63</v>
      </c>
      <c r="R84" s="8" t="s">
        <v>218</v>
      </c>
      <c r="S84" s="22" t="s">
        <v>219</v>
      </c>
    </row>
    <row r="85" spans="1:26" ht="15" customHeight="1" x14ac:dyDescent="0.25">
      <c r="A85" s="3">
        <v>42052</v>
      </c>
      <c r="B85" t="s">
        <v>123</v>
      </c>
      <c r="C85" t="s">
        <v>216</v>
      </c>
      <c r="D85" t="s">
        <v>220</v>
      </c>
      <c r="E85" s="4" t="s">
        <v>6</v>
      </c>
      <c r="F85" s="5" t="s">
        <v>7</v>
      </c>
      <c r="G85" s="5" t="s">
        <v>8</v>
      </c>
      <c r="H85" s="6">
        <v>47.606450000000002</v>
      </c>
      <c r="I85" s="6">
        <v>-122.69925000000001</v>
      </c>
      <c r="J85" s="6"/>
      <c r="K85" s="6"/>
      <c r="L85" s="15" t="s">
        <v>9</v>
      </c>
      <c r="M85" s="7"/>
      <c r="N85" s="5"/>
      <c r="O85" s="5" t="s">
        <v>11</v>
      </c>
      <c r="P85" s="5" t="s">
        <v>23</v>
      </c>
      <c r="Q85" s="5" t="s">
        <v>63</v>
      </c>
      <c r="R85" s="8" t="s">
        <v>221</v>
      </c>
      <c r="S85" s="22" t="s">
        <v>219</v>
      </c>
    </row>
    <row r="86" spans="1:26" ht="15" customHeight="1" x14ac:dyDescent="0.25">
      <c r="A86" s="3">
        <v>42052</v>
      </c>
      <c r="B86" t="s">
        <v>123</v>
      </c>
      <c r="C86" t="s">
        <v>216</v>
      </c>
      <c r="D86" t="s">
        <v>222</v>
      </c>
      <c r="E86" s="4" t="s">
        <v>6</v>
      </c>
      <c r="F86" s="5" t="s">
        <v>7</v>
      </c>
      <c r="G86" s="5" t="s">
        <v>8</v>
      </c>
      <c r="H86" s="6">
        <v>47.606533333333331</v>
      </c>
      <c r="I86" s="6">
        <v>-122.69926666666667</v>
      </c>
      <c r="J86" s="6"/>
      <c r="K86" s="6"/>
      <c r="L86" s="15" t="s">
        <v>9</v>
      </c>
      <c r="M86" s="7"/>
      <c r="N86" s="5"/>
      <c r="O86" s="5" t="s">
        <v>11</v>
      </c>
      <c r="P86" s="5" t="s">
        <v>23</v>
      </c>
      <c r="Q86" s="5" t="s">
        <v>63</v>
      </c>
      <c r="R86" s="8" t="s">
        <v>223</v>
      </c>
      <c r="S86" s="22" t="s">
        <v>219</v>
      </c>
    </row>
    <row r="87" spans="1:26" ht="15" customHeight="1" x14ac:dyDescent="0.25">
      <c r="A87" s="3">
        <v>42052</v>
      </c>
      <c r="B87" t="s">
        <v>123</v>
      </c>
      <c r="C87" t="s">
        <v>224</v>
      </c>
      <c r="D87" t="s">
        <v>225</v>
      </c>
      <c r="E87" s="4" t="s">
        <v>6</v>
      </c>
      <c r="F87" s="5" t="s">
        <v>17</v>
      </c>
      <c r="G87" s="5" t="s">
        <v>8</v>
      </c>
      <c r="H87" s="6">
        <v>47.594233333333335</v>
      </c>
      <c r="I87" s="6">
        <v>-122.67885</v>
      </c>
      <c r="J87" s="6">
        <v>47.592816666666664</v>
      </c>
      <c r="K87" s="6">
        <v>-122.67933333333333</v>
      </c>
      <c r="L87" s="15" t="s">
        <v>9</v>
      </c>
      <c r="M87" s="7">
        <v>-0.9</v>
      </c>
      <c r="N87" s="5" t="s">
        <v>10</v>
      </c>
      <c r="O87" s="5" t="s">
        <v>11</v>
      </c>
      <c r="P87" s="5" t="s">
        <v>23</v>
      </c>
      <c r="Q87" s="5" t="s">
        <v>24</v>
      </c>
      <c r="R87" s="8" t="s">
        <v>226</v>
      </c>
      <c r="S87" s="22" t="s">
        <v>219</v>
      </c>
    </row>
    <row r="88" spans="1:26" ht="15" customHeight="1" x14ac:dyDescent="0.25">
      <c r="A88" s="3">
        <v>42052</v>
      </c>
      <c r="B88" t="s">
        <v>123</v>
      </c>
      <c r="C88" t="s">
        <v>224</v>
      </c>
      <c r="D88" t="s">
        <v>227</v>
      </c>
      <c r="E88" s="4" t="s">
        <v>6</v>
      </c>
      <c r="F88" s="5" t="s">
        <v>17</v>
      </c>
      <c r="G88" s="5" t="s">
        <v>8</v>
      </c>
      <c r="H88" s="6">
        <v>47.592166666666664</v>
      </c>
      <c r="I88" s="6">
        <v>-122.67925</v>
      </c>
      <c r="J88" s="6">
        <v>47.592033333333333</v>
      </c>
      <c r="K88" s="6">
        <v>-122.67898333333333</v>
      </c>
      <c r="L88" s="15" t="s">
        <v>9</v>
      </c>
      <c r="M88" s="7">
        <v>-0.7</v>
      </c>
      <c r="N88" s="5" t="s">
        <v>10</v>
      </c>
      <c r="O88" s="5" t="s">
        <v>11</v>
      </c>
      <c r="P88" s="5" t="s">
        <v>23</v>
      </c>
      <c r="Q88" s="5" t="s">
        <v>63</v>
      </c>
      <c r="R88" s="8" t="s">
        <v>228</v>
      </c>
      <c r="S88" s="22" t="s">
        <v>219</v>
      </c>
    </row>
    <row r="89" spans="1:26" ht="15" customHeight="1" x14ac:dyDescent="0.25">
      <c r="A89" s="3">
        <v>42052</v>
      </c>
      <c r="B89" t="s">
        <v>123</v>
      </c>
      <c r="C89" t="s">
        <v>224</v>
      </c>
      <c r="D89" t="s">
        <v>229</v>
      </c>
      <c r="E89" s="4" t="s">
        <v>6</v>
      </c>
      <c r="F89" s="5" t="s">
        <v>17</v>
      </c>
      <c r="G89" s="5" t="s">
        <v>8</v>
      </c>
      <c r="H89" s="6">
        <v>47.590216666666663</v>
      </c>
      <c r="I89" s="6">
        <v>-122.68586666666667</v>
      </c>
      <c r="J89" s="6">
        <v>47.590433333333337</v>
      </c>
      <c r="K89" s="6">
        <v>-122.68578333333333</v>
      </c>
      <c r="L89" s="15" t="s">
        <v>9</v>
      </c>
      <c r="M89" s="7">
        <v>-0.6</v>
      </c>
      <c r="N89" s="5" t="s">
        <v>10</v>
      </c>
      <c r="O89" s="5" t="s">
        <v>11</v>
      </c>
      <c r="P89" s="5" t="s">
        <v>23</v>
      </c>
      <c r="Q89" s="5" t="s">
        <v>63</v>
      </c>
      <c r="R89" s="8" t="s">
        <v>230</v>
      </c>
      <c r="S89" s="22" t="s">
        <v>219</v>
      </c>
    </row>
    <row r="90" spans="1:26" ht="15" customHeight="1" x14ac:dyDescent="0.25">
      <c r="A90" s="3">
        <v>42052</v>
      </c>
      <c r="B90" t="s">
        <v>123</v>
      </c>
      <c r="C90" t="s">
        <v>224</v>
      </c>
      <c r="D90" t="s">
        <v>231</v>
      </c>
      <c r="E90" s="4" t="s">
        <v>6</v>
      </c>
      <c r="F90" s="5" t="s">
        <v>7</v>
      </c>
      <c r="G90" s="5" t="s">
        <v>8</v>
      </c>
      <c r="H90" s="6">
        <v>47.592083333333335</v>
      </c>
      <c r="I90" s="6">
        <v>-122.67905</v>
      </c>
      <c r="J90" s="6"/>
      <c r="K90" s="6"/>
      <c r="L90" s="15" t="s">
        <v>9</v>
      </c>
      <c r="M90" s="7">
        <v>-0.5</v>
      </c>
      <c r="N90" s="5" t="s">
        <v>10</v>
      </c>
      <c r="O90" s="5" t="s">
        <v>11</v>
      </c>
      <c r="P90" s="5" t="s">
        <v>23</v>
      </c>
      <c r="Q90" s="5" t="s">
        <v>63</v>
      </c>
      <c r="R90" s="8" t="s">
        <v>232</v>
      </c>
      <c r="S90" s="22" t="s">
        <v>219</v>
      </c>
    </row>
    <row r="91" spans="1:26" ht="15" customHeight="1" x14ac:dyDescent="0.25">
      <c r="A91" s="3">
        <v>42054</v>
      </c>
      <c r="B91" t="s">
        <v>123</v>
      </c>
      <c r="C91" t="s">
        <v>233</v>
      </c>
      <c r="D91" t="s">
        <v>234</v>
      </c>
      <c r="E91" s="4" t="s">
        <v>6</v>
      </c>
      <c r="F91" s="5" t="s">
        <v>17</v>
      </c>
      <c r="G91" s="5" t="s">
        <v>8</v>
      </c>
      <c r="H91" s="6">
        <v>47.418716666666668</v>
      </c>
      <c r="I91" s="6">
        <v>-122.88333333333334</v>
      </c>
      <c r="J91" s="6">
        <v>47.423516666666664</v>
      </c>
      <c r="K91" s="6">
        <v>-122.86936666666666</v>
      </c>
      <c r="L91" s="15" t="s">
        <v>9</v>
      </c>
      <c r="M91" s="7">
        <v>-1.3</v>
      </c>
      <c r="N91" s="5"/>
      <c r="O91" s="5" t="s">
        <v>11</v>
      </c>
      <c r="P91" s="5" t="s">
        <v>36</v>
      </c>
      <c r="Q91" s="5" t="s">
        <v>13</v>
      </c>
      <c r="R91" s="8" t="s">
        <v>235</v>
      </c>
      <c r="S91" s="22" t="s">
        <v>236</v>
      </c>
    </row>
    <row r="92" spans="1:26" ht="15" customHeight="1" x14ac:dyDescent="0.25">
      <c r="A92" s="3">
        <v>42054</v>
      </c>
      <c r="B92" t="s">
        <v>123</v>
      </c>
      <c r="C92" t="s">
        <v>237</v>
      </c>
      <c r="D92" t="s">
        <v>238</v>
      </c>
      <c r="E92" s="4" t="s">
        <v>6</v>
      </c>
      <c r="F92" s="5" t="s">
        <v>17</v>
      </c>
      <c r="G92" s="5" t="s">
        <v>8</v>
      </c>
      <c r="H92" s="6">
        <v>47.383916666666664</v>
      </c>
      <c r="I92" s="6">
        <v>-123.11766666666666</v>
      </c>
      <c r="J92" s="6">
        <v>47.384749999999997</v>
      </c>
      <c r="K92" s="6">
        <v>-123.11898333333333</v>
      </c>
      <c r="L92" s="15" t="s">
        <v>9</v>
      </c>
      <c r="M92" s="7">
        <v>-1.3</v>
      </c>
      <c r="N92" s="5"/>
      <c r="O92" s="5" t="s">
        <v>239</v>
      </c>
      <c r="P92" s="5" t="s">
        <v>12</v>
      </c>
      <c r="Q92" s="5" t="s">
        <v>13</v>
      </c>
      <c r="R92" s="8" t="s">
        <v>240</v>
      </c>
      <c r="S92" s="22" t="s">
        <v>236</v>
      </c>
    </row>
    <row r="93" spans="1:26" ht="15" customHeight="1" x14ac:dyDescent="0.25">
      <c r="A93" s="3">
        <v>42054</v>
      </c>
      <c r="B93" t="s">
        <v>123</v>
      </c>
      <c r="C93" t="s">
        <v>237</v>
      </c>
      <c r="D93" t="s">
        <v>241</v>
      </c>
      <c r="E93" s="4" t="s">
        <v>6</v>
      </c>
      <c r="F93" s="5" t="s">
        <v>17</v>
      </c>
      <c r="G93" s="5" t="s">
        <v>8</v>
      </c>
      <c r="H93" s="6">
        <v>47.373350000000002</v>
      </c>
      <c r="I93" s="6">
        <v>-123.09555</v>
      </c>
      <c r="J93" s="6">
        <v>47.372599999999998</v>
      </c>
      <c r="K93" s="6">
        <v>-123.09336666666667</v>
      </c>
      <c r="L93" s="15" t="s">
        <v>9</v>
      </c>
      <c r="M93" s="7">
        <v>-1.5</v>
      </c>
      <c r="N93" s="5"/>
      <c r="O93" s="5" t="s">
        <v>11</v>
      </c>
      <c r="P93" s="5" t="s">
        <v>18</v>
      </c>
      <c r="Q93" s="5" t="s">
        <v>13</v>
      </c>
      <c r="R93" s="8" t="s">
        <v>242</v>
      </c>
      <c r="S93" s="22" t="s">
        <v>236</v>
      </c>
    </row>
    <row r="94" spans="1:26" ht="15" customHeight="1" x14ac:dyDescent="0.25">
      <c r="A94" s="3">
        <v>42054</v>
      </c>
      <c r="B94" t="s">
        <v>123</v>
      </c>
      <c r="C94" t="s">
        <v>237</v>
      </c>
      <c r="D94" t="s">
        <v>243</v>
      </c>
      <c r="E94" s="4" t="s">
        <v>6</v>
      </c>
      <c r="F94" s="5" t="s">
        <v>17</v>
      </c>
      <c r="G94" s="5" t="s">
        <v>8</v>
      </c>
      <c r="H94" s="6">
        <v>47.372783333333331</v>
      </c>
      <c r="I94" s="6">
        <v>-123.08861666666667</v>
      </c>
      <c r="J94" s="6">
        <v>47.372900000000001</v>
      </c>
      <c r="K94" s="6">
        <v>-123.07340000000001</v>
      </c>
      <c r="L94" s="15" t="s">
        <v>9</v>
      </c>
      <c r="M94" s="7">
        <v>-1.2</v>
      </c>
      <c r="N94" s="5"/>
      <c r="O94" s="5" t="s">
        <v>35</v>
      </c>
      <c r="P94" s="5" t="s">
        <v>18</v>
      </c>
      <c r="Q94" s="5" t="s">
        <v>13</v>
      </c>
      <c r="R94" s="8" t="s">
        <v>244</v>
      </c>
      <c r="S94" s="22" t="s">
        <v>236</v>
      </c>
    </row>
    <row r="95" spans="1:26" ht="15" customHeight="1" x14ac:dyDescent="0.25">
      <c r="A95" s="3">
        <v>42054</v>
      </c>
      <c r="B95" t="s">
        <v>123</v>
      </c>
      <c r="C95" t="s">
        <v>237</v>
      </c>
      <c r="D95" t="s">
        <v>245</v>
      </c>
      <c r="E95" s="4" t="s">
        <v>6</v>
      </c>
      <c r="F95" s="5" t="s">
        <v>17</v>
      </c>
      <c r="G95" s="5" t="s">
        <v>8</v>
      </c>
      <c r="H95" s="6">
        <v>47.367849999999997</v>
      </c>
      <c r="I95" s="6">
        <v>-123.06025</v>
      </c>
      <c r="J95" s="6">
        <v>47.3688</v>
      </c>
      <c r="K95" s="6">
        <v>-123.05718333333333</v>
      </c>
      <c r="L95" s="15" t="s">
        <v>9</v>
      </c>
      <c r="M95" s="7">
        <v>-1.7</v>
      </c>
      <c r="N95" s="5"/>
      <c r="O95" s="5" t="s">
        <v>116</v>
      </c>
      <c r="P95" s="5" t="s">
        <v>12</v>
      </c>
      <c r="Q95" s="5" t="s">
        <v>13</v>
      </c>
      <c r="R95" s="8" t="s">
        <v>246</v>
      </c>
      <c r="S95" s="22" t="s">
        <v>236</v>
      </c>
    </row>
    <row r="96" spans="1:26" ht="15" customHeight="1" x14ac:dyDescent="0.25">
      <c r="A96" s="3">
        <v>42054</v>
      </c>
      <c r="B96" t="s">
        <v>123</v>
      </c>
      <c r="C96" t="s">
        <v>237</v>
      </c>
      <c r="D96" t="s">
        <v>247</v>
      </c>
      <c r="E96" s="4" t="s">
        <v>6</v>
      </c>
      <c r="F96" s="5" t="s">
        <v>17</v>
      </c>
      <c r="G96" s="5" t="s">
        <v>8</v>
      </c>
      <c r="H96" s="6">
        <v>47.388533333333335</v>
      </c>
      <c r="I96" s="6">
        <v>-122.98855</v>
      </c>
      <c r="J96" s="6">
        <v>47.388816666666663</v>
      </c>
      <c r="K96" s="6">
        <v>-122.98851666666667</v>
      </c>
      <c r="L96" s="15" t="s">
        <v>9</v>
      </c>
      <c r="M96" s="7">
        <v>-2.2999999999999998</v>
      </c>
      <c r="N96" s="5"/>
      <c r="O96" s="5" t="s">
        <v>35</v>
      </c>
      <c r="P96" s="5" t="s">
        <v>23</v>
      </c>
      <c r="Q96" s="5" t="s">
        <v>24</v>
      </c>
      <c r="R96" s="8" t="s">
        <v>248</v>
      </c>
      <c r="S96" s="22" t="s">
        <v>236</v>
      </c>
    </row>
    <row r="97" spans="1:19" ht="15" customHeight="1" x14ac:dyDescent="0.25">
      <c r="A97" s="3">
        <v>42054</v>
      </c>
      <c r="B97" t="s">
        <v>123</v>
      </c>
      <c r="C97" t="s">
        <v>237</v>
      </c>
      <c r="D97" t="s">
        <v>249</v>
      </c>
      <c r="E97" s="4" t="s">
        <v>6</v>
      </c>
      <c r="F97" s="5" t="s">
        <v>17</v>
      </c>
      <c r="G97" s="5" t="s">
        <v>8</v>
      </c>
      <c r="H97" s="6">
        <v>47.395699999999998</v>
      </c>
      <c r="I97" s="6">
        <v>-122.97263333333333</v>
      </c>
      <c r="J97" s="6">
        <v>47.396999999999998</v>
      </c>
      <c r="K97" s="6">
        <v>-122.97133333333333</v>
      </c>
      <c r="L97" s="15" t="s">
        <v>9</v>
      </c>
      <c r="M97" s="7">
        <v>-1.5</v>
      </c>
      <c r="N97" s="5"/>
      <c r="O97" s="5" t="s">
        <v>32</v>
      </c>
      <c r="P97" s="5" t="s">
        <v>23</v>
      </c>
      <c r="Q97" s="5" t="s">
        <v>24</v>
      </c>
      <c r="R97" s="8" t="s">
        <v>250</v>
      </c>
      <c r="S97" s="22" t="s">
        <v>236</v>
      </c>
    </row>
    <row r="98" spans="1:19" ht="15" customHeight="1" x14ac:dyDescent="0.25">
      <c r="A98" s="3">
        <v>42054</v>
      </c>
      <c r="B98" t="s">
        <v>123</v>
      </c>
      <c r="C98" t="s">
        <v>237</v>
      </c>
      <c r="D98" t="s">
        <v>251</v>
      </c>
      <c r="E98" s="4" t="s">
        <v>6</v>
      </c>
      <c r="F98" s="5" t="s">
        <v>17</v>
      </c>
      <c r="G98" s="5" t="s">
        <v>8</v>
      </c>
      <c r="H98" s="6">
        <v>47.399933333333337</v>
      </c>
      <c r="I98" s="6">
        <v>-122.95663333333333</v>
      </c>
      <c r="J98" s="6">
        <v>47.383533333333332</v>
      </c>
      <c r="K98" s="6">
        <v>-122.9567</v>
      </c>
      <c r="L98" s="15" t="s">
        <v>9</v>
      </c>
      <c r="M98" s="7">
        <v>-1</v>
      </c>
      <c r="N98" s="5"/>
      <c r="O98" s="5" t="s">
        <v>239</v>
      </c>
      <c r="P98" s="5" t="s">
        <v>23</v>
      </c>
      <c r="Q98" s="5" t="s">
        <v>24</v>
      </c>
      <c r="R98" s="8" t="s">
        <v>252</v>
      </c>
      <c r="S98" s="22" t="s">
        <v>236</v>
      </c>
    </row>
    <row r="99" spans="1:19" ht="15" customHeight="1" x14ac:dyDescent="0.25">
      <c r="A99" s="3">
        <v>42054</v>
      </c>
      <c r="B99" t="s">
        <v>123</v>
      </c>
      <c r="C99" t="s">
        <v>237</v>
      </c>
      <c r="D99" t="s">
        <v>253</v>
      </c>
      <c r="E99" s="4" t="s">
        <v>6</v>
      </c>
      <c r="F99" s="5" t="s">
        <v>17</v>
      </c>
      <c r="G99" s="5" t="s">
        <v>8</v>
      </c>
      <c r="H99" s="6">
        <v>47.389983333333333</v>
      </c>
      <c r="I99" s="6">
        <v>-122.91333333333333</v>
      </c>
      <c r="J99" s="6">
        <v>47.390233333333335</v>
      </c>
      <c r="K99" s="6">
        <v>-122.91351666666667</v>
      </c>
      <c r="L99" s="15" t="s">
        <v>9</v>
      </c>
      <c r="M99" s="7">
        <v>-1.4</v>
      </c>
      <c r="N99" s="5"/>
      <c r="O99" s="5" t="s">
        <v>11</v>
      </c>
      <c r="P99" s="5" t="s">
        <v>36</v>
      </c>
      <c r="Q99" s="5" t="s">
        <v>13</v>
      </c>
      <c r="R99" s="8" t="s">
        <v>254</v>
      </c>
      <c r="S99" s="22" t="s">
        <v>236</v>
      </c>
    </row>
    <row r="100" spans="1:19" ht="15" customHeight="1" x14ac:dyDescent="0.25">
      <c r="A100" s="3">
        <v>42054</v>
      </c>
      <c r="B100" t="s">
        <v>123</v>
      </c>
      <c r="C100" t="s">
        <v>237</v>
      </c>
      <c r="D100" t="s">
        <v>255</v>
      </c>
      <c r="E100" s="4" t="s">
        <v>6</v>
      </c>
      <c r="F100" s="5" t="s">
        <v>17</v>
      </c>
      <c r="G100" s="5" t="s">
        <v>8</v>
      </c>
      <c r="H100" s="6">
        <v>47.379399999999997</v>
      </c>
      <c r="I100" s="6">
        <v>-123.01131666666667</v>
      </c>
      <c r="J100" s="6">
        <v>47.379566666666669</v>
      </c>
      <c r="K100" s="6">
        <v>-123.01146666666666</v>
      </c>
      <c r="L100" s="15" t="s">
        <v>9</v>
      </c>
      <c r="M100" s="7">
        <v>-1.9</v>
      </c>
      <c r="N100" s="5"/>
      <c r="O100" s="5" t="s">
        <v>256</v>
      </c>
      <c r="P100" s="5" t="s">
        <v>23</v>
      </c>
      <c r="Q100" s="5" t="s">
        <v>24</v>
      </c>
      <c r="R100" s="8" t="s">
        <v>257</v>
      </c>
      <c r="S100" s="22" t="s">
        <v>236</v>
      </c>
    </row>
    <row r="101" spans="1:19" ht="15" customHeight="1" x14ac:dyDescent="0.25">
      <c r="A101" s="3">
        <v>42054</v>
      </c>
      <c r="B101" t="s">
        <v>123</v>
      </c>
      <c r="C101" t="s">
        <v>237</v>
      </c>
      <c r="D101" t="s">
        <v>258</v>
      </c>
      <c r="E101" s="4" t="s">
        <v>6</v>
      </c>
      <c r="F101" s="5" t="s">
        <v>7</v>
      </c>
      <c r="G101" s="5" t="s">
        <v>8</v>
      </c>
      <c r="H101" s="6">
        <v>47.379733333333334</v>
      </c>
      <c r="I101" s="6">
        <v>-123.11298333333333</v>
      </c>
      <c r="J101" s="6"/>
      <c r="K101" s="6"/>
      <c r="L101" s="15" t="s">
        <v>9</v>
      </c>
      <c r="M101" s="7"/>
      <c r="N101" s="5"/>
      <c r="O101" s="5" t="s">
        <v>32</v>
      </c>
      <c r="P101" s="5" t="s">
        <v>23</v>
      </c>
      <c r="Q101" s="5" t="s">
        <v>24</v>
      </c>
      <c r="R101" s="8" t="s">
        <v>259</v>
      </c>
      <c r="S101" s="22" t="s">
        <v>236</v>
      </c>
    </row>
    <row r="102" spans="1:19" ht="15" customHeight="1" x14ac:dyDescent="0.25">
      <c r="A102" s="3">
        <v>42054</v>
      </c>
      <c r="B102" t="s">
        <v>123</v>
      </c>
      <c r="C102" t="s">
        <v>237</v>
      </c>
      <c r="D102" t="s">
        <v>260</v>
      </c>
      <c r="E102" s="4" t="s">
        <v>6</v>
      </c>
      <c r="F102" s="5" t="s">
        <v>7</v>
      </c>
      <c r="G102" s="5" t="s">
        <v>8</v>
      </c>
      <c r="H102" s="6">
        <v>47.383616666666668</v>
      </c>
      <c r="I102" s="6">
        <v>-123.11648333333333</v>
      </c>
      <c r="J102" s="6"/>
      <c r="K102" s="6"/>
      <c r="L102" s="15" t="s">
        <v>9</v>
      </c>
      <c r="M102" s="7"/>
      <c r="N102" s="5"/>
      <c r="O102" s="5" t="s">
        <v>32</v>
      </c>
      <c r="P102" s="5" t="s">
        <v>23</v>
      </c>
      <c r="Q102" s="5" t="s">
        <v>24</v>
      </c>
      <c r="R102" s="8" t="s">
        <v>261</v>
      </c>
      <c r="S102" s="22" t="s">
        <v>236</v>
      </c>
    </row>
    <row r="103" spans="1:19" ht="15" customHeight="1" x14ac:dyDescent="0.25">
      <c r="A103" s="3">
        <v>42054</v>
      </c>
      <c r="B103" t="s">
        <v>123</v>
      </c>
      <c r="C103" t="s">
        <v>237</v>
      </c>
      <c r="D103" t="s">
        <v>262</v>
      </c>
      <c r="E103" s="4" t="s">
        <v>6</v>
      </c>
      <c r="F103" s="5" t="s">
        <v>7</v>
      </c>
      <c r="G103" s="5" t="s">
        <v>8</v>
      </c>
      <c r="H103" s="6">
        <v>47.383800000000001</v>
      </c>
      <c r="I103" s="6">
        <v>-122.94978333333333</v>
      </c>
      <c r="J103" s="6"/>
      <c r="K103" s="6"/>
      <c r="L103" s="15" t="s">
        <v>9</v>
      </c>
      <c r="M103" s="7">
        <v>-1.3</v>
      </c>
      <c r="N103" s="5"/>
      <c r="O103" s="5" t="s">
        <v>11</v>
      </c>
      <c r="P103" s="5" t="s">
        <v>36</v>
      </c>
      <c r="Q103" s="5" t="s">
        <v>13</v>
      </c>
      <c r="R103" s="8" t="s">
        <v>263</v>
      </c>
      <c r="S103" s="22" t="s">
        <v>236</v>
      </c>
    </row>
    <row r="104" spans="1:19" ht="15" customHeight="1" x14ac:dyDescent="0.25">
      <c r="A104" s="3">
        <v>42054</v>
      </c>
      <c r="B104" t="s">
        <v>123</v>
      </c>
      <c r="C104" t="s">
        <v>264</v>
      </c>
      <c r="D104" t="s">
        <v>265</v>
      </c>
      <c r="E104" s="4" t="s">
        <v>6</v>
      </c>
      <c r="F104" s="5" t="s">
        <v>17</v>
      </c>
      <c r="G104" s="5" t="s">
        <v>8</v>
      </c>
      <c r="H104" s="6">
        <v>47.35843333333333</v>
      </c>
      <c r="I104" s="6">
        <v>-123.11211666666667</v>
      </c>
      <c r="J104" s="6">
        <v>47.358766666666668</v>
      </c>
      <c r="K104" s="6">
        <v>-123.11148333333334</v>
      </c>
      <c r="L104" s="15" t="s">
        <v>9</v>
      </c>
      <c r="M104" s="7">
        <v>-0.1</v>
      </c>
      <c r="N104" s="5"/>
      <c r="O104" s="5" t="s">
        <v>11</v>
      </c>
      <c r="P104" s="5" t="s">
        <v>12</v>
      </c>
      <c r="Q104" s="5" t="s">
        <v>13</v>
      </c>
      <c r="R104" s="8" t="s">
        <v>266</v>
      </c>
      <c r="S104" s="22" t="s">
        <v>236</v>
      </c>
    </row>
    <row r="105" spans="1:19" ht="15" customHeight="1" x14ac:dyDescent="0.25">
      <c r="A105" s="3">
        <v>42054</v>
      </c>
      <c r="B105" t="s">
        <v>123</v>
      </c>
      <c r="C105" t="s">
        <v>264</v>
      </c>
      <c r="D105" t="s">
        <v>267</v>
      </c>
      <c r="E105" s="4" t="s">
        <v>6</v>
      </c>
      <c r="F105" s="5" t="s">
        <v>17</v>
      </c>
      <c r="G105" s="5" t="s">
        <v>8</v>
      </c>
      <c r="H105" s="6">
        <v>47.361049999999999</v>
      </c>
      <c r="I105" s="6">
        <v>-123.11083333333333</v>
      </c>
      <c r="J105" s="6">
        <v>47.362233333333336</v>
      </c>
      <c r="K105" s="6">
        <v>-123.1109</v>
      </c>
      <c r="L105" s="15" t="s">
        <v>9</v>
      </c>
      <c r="M105" s="7">
        <v>-0.5</v>
      </c>
      <c r="N105" s="5"/>
      <c r="O105" s="5" t="s">
        <v>11</v>
      </c>
      <c r="P105" s="5" t="s">
        <v>18</v>
      </c>
      <c r="Q105" s="5" t="s">
        <v>13</v>
      </c>
      <c r="R105" s="8" t="s">
        <v>268</v>
      </c>
      <c r="S105" s="22" t="s">
        <v>236</v>
      </c>
    </row>
    <row r="106" spans="1:19" ht="15" customHeight="1" x14ac:dyDescent="0.25">
      <c r="A106" s="3">
        <v>42072</v>
      </c>
      <c r="B106" t="s">
        <v>123</v>
      </c>
      <c r="C106" t="s">
        <v>269</v>
      </c>
      <c r="D106" t="s">
        <v>270</v>
      </c>
      <c r="E106" s="4" t="s">
        <v>6</v>
      </c>
      <c r="F106" s="5" t="s">
        <v>17</v>
      </c>
      <c r="G106" s="5" t="s">
        <v>8</v>
      </c>
      <c r="H106" s="6">
        <v>47.120383333333336</v>
      </c>
      <c r="I106" s="6">
        <v>-122.94343000000001</v>
      </c>
      <c r="J106" s="6">
        <v>47.121066666666664</v>
      </c>
      <c r="K106" s="6">
        <v>-122.94378333333333</v>
      </c>
      <c r="L106" s="15" t="s">
        <v>9</v>
      </c>
      <c r="M106" s="7">
        <v>-0.8</v>
      </c>
      <c r="N106" s="5"/>
      <c r="O106" s="5" t="s">
        <v>11</v>
      </c>
      <c r="P106" s="5" t="s">
        <v>23</v>
      </c>
      <c r="Q106" s="5" t="s">
        <v>63</v>
      </c>
      <c r="R106" s="8" t="s">
        <v>271</v>
      </c>
      <c r="S106" s="22" t="s">
        <v>272</v>
      </c>
    </row>
    <row r="107" spans="1:19" ht="15" customHeight="1" x14ac:dyDescent="0.25">
      <c r="A107" s="3">
        <v>42072</v>
      </c>
      <c r="B107" t="s">
        <v>123</v>
      </c>
      <c r="C107" t="s">
        <v>269</v>
      </c>
      <c r="D107" t="s">
        <v>273</v>
      </c>
      <c r="E107" s="4" t="s">
        <v>6</v>
      </c>
      <c r="F107" s="5" t="s">
        <v>17</v>
      </c>
      <c r="G107" s="5" t="s">
        <v>8</v>
      </c>
      <c r="H107" s="6">
        <v>47.076999999999998</v>
      </c>
      <c r="I107" s="6">
        <v>-123.00664999999999</v>
      </c>
      <c r="J107" s="6">
        <v>47.077033333333333</v>
      </c>
      <c r="K107" s="6">
        <v>-122.94023333333334</v>
      </c>
      <c r="L107" s="15" t="s">
        <v>9</v>
      </c>
      <c r="M107" s="7">
        <v>-1.6</v>
      </c>
      <c r="N107" s="5" t="s">
        <v>66</v>
      </c>
      <c r="O107" s="5" t="s">
        <v>11</v>
      </c>
      <c r="P107" s="5" t="s">
        <v>23</v>
      </c>
      <c r="Q107" s="5" t="s">
        <v>24</v>
      </c>
      <c r="R107" s="8" t="s">
        <v>274</v>
      </c>
      <c r="S107" s="22" t="s">
        <v>272</v>
      </c>
    </row>
    <row r="108" spans="1:19" ht="15" customHeight="1" x14ac:dyDescent="0.25">
      <c r="A108" s="3">
        <v>42072</v>
      </c>
      <c r="B108" t="s">
        <v>123</v>
      </c>
      <c r="C108" t="s">
        <v>269</v>
      </c>
      <c r="D108" t="s">
        <v>275</v>
      </c>
      <c r="E108" s="4" t="s">
        <v>6</v>
      </c>
      <c r="F108" s="5" t="s">
        <v>17</v>
      </c>
      <c r="G108" s="5" t="s">
        <v>8</v>
      </c>
      <c r="H108" s="6">
        <v>47.080933333333334</v>
      </c>
      <c r="I108" s="6">
        <v>-122.98773333333334</v>
      </c>
      <c r="J108" s="6">
        <v>47.08121666666667</v>
      </c>
      <c r="K108" s="6">
        <v>-122.98538333333333</v>
      </c>
      <c r="L108" s="15" t="s">
        <v>9</v>
      </c>
      <c r="M108" s="7">
        <v>-1.5</v>
      </c>
      <c r="N108" s="5"/>
      <c r="O108" s="5" t="s">
        <v>11</v>
      </c>
      <c r="P108" s="5" t="s">
        <v>23</v>
      </c>
      <c r="Q108" s="5" t="s">
        <v>48</v>
      </c>
      <c r="R108" s="8" t="s">
        <v>276</v>
      </c>
      <c r="S108" s="22" t="s">
        <v>272</v>
      </c>
    </row>
    <row r="109" spans="1:19" ht="15" customHeight="1" x14ac:dyDescent="0.25">
      <c r="A109" s="3">
        <v>42072</v>
      </c>
      <c r="B109" t="s">
        <v>123</v>
      </c>
      <c r="C109" t="s">
        <v>269</v>
      </c>
      <c r="D109" t="s">
        <v>277</v>
      </c>
      <c r="E109" s="4" t="s">
        <v>6</v>
      </c>
      <c r="F109" s="5" t="s">
        <v>17</v>
      </c>
      <c r="G109" s="5" t="s">
        <v>8</v>
      </c>
      <c r="H109" s="6">
        <v>47.085583333333332</v>
      </c>
      <c r="I109" s="6">
        <v>-122.97913</v>
      </c>
      <c r="J109" s="6">
        <v>47.086366666666663</v>
      </c>
      <c r="K109" s="6">
        <v>-122.97806666666666</v>
      </c>
      <c r="L109" s="15" t="s">
        <v>9</v>
      </c>
      <c r="M109" s="7">
        <v>-1.6</v>
      </c>
      <c r="N109" s="5"/>
      <c r="O109" s="5" t="s">
        <v>11</v>
      </c>
      <c r="P109" s="5" t="s">
        <v>23</v>
      </c>
      <c r="Q109" s="5" t="s">
        <v>63</v>
      </c>
      <c r="R109" s="8" t="s">
        <v>278</v>
      </c>
      <c r="S109" s="22" t="s">
        <v>272</v>
      </c>
    </row>
    <row r="110" spans="1:19" ht="15" customHeight="1" x14ac:dyDescent="0.25">
      <c r="A110" s="3">
        <v>42072</v>
      </c>
      <c r="B110" t="s">
        <v>123</v>
      </c>
      <c r="C110" t="s">
        <v>269</v>
      </c>
      <c r="D110" t="s">
        <v>279</v>
      </c>
      <c r="E110" s="4" t="s">
        <v>6</v>
      </c>
      <c r="F110" s="5" t="s">
        <v>17</v>
      </c>
      <c r="G110" s="5" t="s">
        <v>8</v>
      </c>
      <c r="H110" s="6">
        <v>47.088200000000001</v>
      </c>
      <c r="I110" s="6">
        <v>-122.97431666666667</v>
      </c>
      <c r="J110" s="6">
        <v>47.088850000000001</v>
      </c>
      <c r="K110" s="6">
        <v>-122.97153333333333</v>
      </c>
      <c r="L110" s="15" t="s">
        <v>9</v>
      </c>
      <c r="M110" s="7">
        <v>-1.3</v>
      </c>
      <c r="N110" s="5"/>
      <c r="O110" s="5" t="s">
        <v>11</v>
      </c>
      <c r="P110" s="5" t="s">
        <v>23</v>
      </c>
      <c r="Q110" s="5" t="s">
        <v>48</v>
      </c>
      <c r="R110" s="8" t="s">
        <v>280</v>
      </c>
      <c r="S110" s="22" t="s">
        <v>272</v>
      </c>
    </row>
    <row r="111" spans="1:19" ht="15" customHeight="1" x14ac:dyDescent="0.25">
      <c r="A111" s="3">
        <v>42072</v>
      </c>
      <c r="B111" t="s">
        <v>123</v>
      </c>
      <c r="C111" t="s">
        <v>269</v>
      </c>
      <c r="D111" t="s">
        <v>281</v>
      </c>
      <c r="E111" s="4" t="s">
        <v>6</v>
      </c>
      <c r="F111" s="5" t="s">
        <v>7</v>
      </c>
      <c r="G111" s="5" t="s">
        <v>8</v>
      </c>
      <c r="H111" s="6">
        <v>47.083416666666665</v>
      </c>
      <c r="I111" s="6">
        <v>-122.99801666666667</v>
      </c>
      <c r="J111" s="6"/>
      <c r="K111" s="6"/>
      <c r="L111" s="15" t="s">
        <v>9</v>
      </c>
      <c r="M111" s="7">
        <v>-1.2</v>
      </c>
      <c r="N111" s="5"/>
      <c r="O111" s="5"/>
      <c r="P111" s="5" t="s">
        <v>23</v>
      </c>
      <c r="Q111" s="5" t="s">
        <v>24</v>
      </c>
      <c r="R111" s="8" t="s">
        <v>282</v>
      </c>
      <c r="S111" s="22" t="s">
        <v>272</v>
      </c>
    </row>
    <row r="112" spans="1:19" ht="15" customHeight="1" x14ac:dyDescent="0.25">
      <c r="A112" s="3">
        <v>42072</v>
      </c>
      <c r="B112" t="s">
        <v>123</v>
      </c>
      <c r="C112" t="s">
        <v>269</v>
      </c>
      <c r="D112" t="s">
        <v>283</v>
      </c>
      <c r="E112" s="4" t="s">
        <v>6</v>
      </c>
      <c r="F112" s="5" t="s">
        <v>7</v>
      </c>
      <c r="G112" s="5" t="s">
        <v>8</v>
      </c>
      <c r="H112" s="6">
        <v>47.0976</v>
      </c>
      <c r="I112" s="6">
        <v>-122.95566666666667</v>
      </c>
      <c r="J112" s="6"/>
      <c r="K112" s="6"/>
      <c r="L112" s="15" t="s">
        <v>9</v>
      </c>
      <c r="M112" s="7">
        <v>-2.1</v>
      </c>
      <c r="N112" s="5"/>
      <c r="O112" s="5" t="s">
        <v>11</v>
      </c>
      <c r="P112" s="5" t="s">
        <v>23</v>
      </c>
      <c r="Q112" s="5" t="s">
        <v>63</v>
      </c>
      <c r="R112" s="8" t="s">
        <v>284</v>
      </c>
      <c r="S112" s="22" t="s">
        <v>272</v>
      </c>
    </row>
    <row r="113" spans="1:19" ht="15" customHeight="1" x14ac:dyDescent="0.25">
      <c r="A113" s="3">
        <v>42072</v>
      </c>
      <c r="B113" t="s">
        <v>123</v>
      </c>
      <c r="C113" t="s">
        <v>285</v>
      </c>
      <c r="D113" t="s">
        <v>286</v>
      </c>
      <c r="E113" s="4" t="s">
        <v>6</v>
      </c>
      <c r="F113" s="5" t="s">
        <v>7</v>
      </c>
      <c r="G113" s="5" t="s">
        <v>8</v>
      </c>
      <c r="H113" s="6">
        <v>47.252099999999999</v>
      </c>
      <c r="I113" s="6">
        <v>-122.92789999999999</v>
      </c>
      <c r="J113" s="6"/>
      <c r="K113" s="6"/>
      <c r="L113" s="15" t="s">
        <v>9</v>
      </c>
      <c r="M113" s="7">
        <v>-1.7</v>
      </c>
      <c r="N113" s="5"/>
      <c r="O113" s="5" t="s">
        <v>11</v>
      </c>
      <c r="P113" s="5" t="s">
        <v>23</v>
      </c>
      <c r="Q113" s="5" t="s">
        <v>48</v>
      </c>
      <c r="R113" s="8" t="s">
        <v>287</v>
      </c>
      <c r="S113" s="22" t="s">
        <v>272</v>
      </c>
    </row>
    <row r="114" spans="1:19" ht="15" customHeight="1" x14ac:dyDescent="0.25">
      <c r="A114" s="3">
        <v>42072</v>
      </c>
      <c r="B114" t="s">
        <v>123</v>
      </c>
      <c r="C114" t="s">
        <v>285</v>
      </c>
      <c r="D114" t="s">
        <v>288</v>
      </c>
      <c r="E114" s="4" t="s">
        <v>6</v>
      </c>
      <c r="F114" s="5" t="s">
        <v>7</v>
      </c>
      <c r="G114" s="5" t="s">
        <v>8</v>
      </c>
      <c r="H114" s="6">
        <v>47.244766666666663</v>
      </c>
      <c r="I114" s="6">
        <v>-122.93618333333333</v>
      </c>
      <c r="J114" s="6"/>
      <c r="K114" s="6"/>
      <c r="L114" s="15" t="s">
        <v>9</v>
      </c>
      <c r="M114" s="7">
        <v>-1.9</v>
      </c>
      <c r="N114" s="5"/>
      <c r="O114" s="5" t="s">
        <v>11</v>
      </c>
      <c r="P114" s="5" t="s">
        <v>23</v>
      </c>
      <c r="Q114" s="5" t="s">
        <v>24</v>
      </c>
      <c r="R114" s="8" t="s">
        <v>289</v>
      </c>
      <c r="S114" s="22" t="s">
        <v>272</v>
      </c>
    </row>
    <row r="115" spans="1:19" ht="15" customHeight="1" x14ac:dyDescent="0.25">
      <c r="A115" s="3">
        <v>42072</v>
      </c>
      <c r="B115" t="s">
        <v>123</v>
      </c>
      <c r="C115" t="s">
        <v>285</v>
      </c>
      <c r="D115" t="s">
        <v>290</v>
      </c>
      <c r="E115" s="4" t="s">
        <v>6</v>
      </c>
      <c r="F115" s="5" t="s">
        <v>7</v>
      </c>
      <c r="G115" s="5" t="s">
        <v>8</v>
      </c>
      <c r="H115" s="6">
        <v>47.218466666666664</v>
      </c>
      <c r="I115" s="6">
        <v>-122.94006666666667</v>
      </c>
      <c r="J115" s="6"/>
      <c r="K115" s="6"/>
      <c r="L115" s="15" t="s">
        <v>9</v>
      </c>
      <c r="M115" s="7">
        <v>-0.9</v>
      </c>
      <c r="N115" s="5"/>
      <c r="O115" s="5" t="s">
        <v>11</v>
      </c>
      <c r="P115" s="5" t="s">
        <v>23</v>
      </c>
      <c r="Q115" s="5" t="s">
        <v>24</v>
      </c>
      <c r="R115" s="8" t="s">
        <v>291</v>
      </c>
      <c r="S115" s="22" t="s">
        <v>272</v>
      </c>
    </row>
    <row r="116" spans="1:19" ht="15" customHeight="1" x14ac:dyDescent="0.25">
      <c r="A116" s="3">
        <v>42072</v>
      </c>
      <c r="B116" t="s">
        <v>123</v>
      </c>
      <c r="C116" t="s">
        <v>285</v>
      </c>
      <c r="D116" t="s">
        <v>292</v>
      </c>
      <c r="E116" s="4" t="s">
        <v>6</v>
      </c>
      <c r="F116" s="5" t="s">
        <v>7</v>
      </c>
      <c r="G116" s="5" t="s">
        <v>8</v>
      </c>
      <c r="H116" s="6">
        <v>47.176433333333335</v>
      </c>
      <c r="I116" s="6">
        <v>-122.8952</v>
      </c>
      <c r="J116" s="6"/>
      <c r="K116" s="6"/>
      <c r="L116" s="15" t="s">
        <v>9</v>
      </c>
      <c r="M116" s="7">
        <v>-1.1000000000000001</v>
      </c>
      <c r="N116" s="5"/>
      <c r="O116" s="5" t="s">
        <v>11</v>
      </c>
      <c r="P116" s="5" t="s">
        <v>23</v>
      </c>
      <c r="Q116" s="5" t="s">
        <v>48</v>
      </c>
      <c r="R116" s="8" t="s">
        <v>293</v>
      </c>
      <c r="S116" s="22" t="s">
        <v>272</v>
      </c>
    </row>
    <row r="117" spans="1:19" ht="15" customHeight="1" x14ac:dyDescent="0.25">
      <c r="A117" s="3">
        <v>42072</v>
      </c>
      <c r="B117" t="s">
        <v>123</v>
      </c>
      <c r="C117" t="s">
        <v>294</v>
      </c>
      <c r="D117" t="s">
        <v>295</v>
      </c>
      <c r="E117" s="4" t="s">
        <v>6</v>
      </c>
      <c r="F117" s="5" t="s">
        <v>7</v>
      </c>
      <c r="G117" s="5" t="s">
        <v>8</v>
      </c>
      <c r="H117" s="6">
        <v>47.11096666666667</v>
      </c>
      <c r="I117" s="6">
        <v>-123.02885000000001</v>
      </c>
      <c r="J117" s="6"/>
      <c r="K117" s="6"/>
      <c r="L117" s="15" t="s">
        <v>9</v>
      </c>
      <c r="M117" s="7">
        <v>-1.6</v>
      </c>
      <c r="N117" s="5"/>
      <c r="O117" s="5"/>
      <c r="P117" s="5" t="s">
        <v>23</v>
      </c>
      <c r="Q117" s="5" t="s">
        <v>24</v>
      </c>
      <c r="R117" s="8" t="s">
        <v>296</v>
      </c>
      <c r="S117" s="22" t="s">
        <v>272</v>
      </c>
    </row>
    <row r="118" spans="1:19" ht="15" customHeight="1" x14ac:dyDescent="0.25">
      <c r="A118" s="3">
        <v>42072</v>
      </c>
      <c r="B118" t="s">
        <v>123</v>
      </c>
      <c r="C118" t="s">
        <v>294</v>
      </c>
      <c r="D118" t="s">
        <v>297</v>
      </c>
      <c r="E118" s="4" t="s">
        <v>6</v>
      </c>
      <c r="F118" s="5" t="s">
        <v>7</v>
      </c>
      <c r="G118" s="5" t="s">
        <v>8</v>
      </c>
      <c r="H118" s="6">
        <v>47.199433333333332</v>
      </c>
      <c r="I118" s="6">
        <v>-122.93498333333334</v>
      </c>
      <c r="J118" s="6"/>
      <c r="K118" s="6"/>
      <c r="L118" s="15" t="s">
        <v>9</v>
      </c>
      <c r="M118" s="7">
        <v>-2</v>
      </c>
      <c r="N118" s="5"/>
      <c r="O118" s="5" t="s">
        <v>11</v>
      </c>
      <c r="P118" s="5" t="s">
        <v>23</v>
      </c>
      <c r="Q118" s="5" t="s">
        <v>24</v>
      </c>
      <c r="R118" s="8" t="s">
        <v>298</v>
      </c>
      <c r="S118" s="22" t="s">
        <v>272</v>
      </c>
    </row>
    <row r="119" spans="1:19" ht="15" customHeight="1" x14ac:dyDescent="0.25">
      <c r="A119" s="3">
        <v>42072</v>
      </c>
      <c r="B119" t="s">
        <v>123</v>
      </c>
      <c r="C119" t="s">
        <v>294</v>
      </c>
      <c r="D119" t="s">
        <v>299</v>
      </c>
      <c r="E119" s="4" t="s">
        <v>6</v>
      </c>
      <c r="F119" s="5" t="s">
        <v>7</v>
      </c>
      <c r="G119" s="5" t="s">
        <v>8</v>
      </c>
      <c r="H119" s="6">
        <v>47.202770000000001</v>
      </c>
      <c r="I119" s="6">
        <v>-122.94153333333334</v>
      </c>
      <c r="J119" s="6"/>
      <c r="K119" s="6"/>
      <c r="L119" s="15" t="s">
        <v>9</v>
      </c>
      <c r="M119" s="7">
        <v>-1.1000000000000001</v>
      </c>
      <c r="N119" s="5"/>
      <c r="O119" s="5" t="s">
        <v>32</v>
      </c>
      <c r="P119" s="5" t="s">
        <v>23</v>
      </c>
      <c r="Q119" s="5" t="s">
        <v>24</v>
      </c>
      <c r="R119" s="8" t="s">
        <v>300</v>
      </c>
      <c r="S119" s="22" t="s">
        <v>272</v>
      </c>
    </row>
    <row r="120" spans="1:19" ht="15" customHeight="1" x14ac:dyDescent="0.25">
      <c r="A120" s="3">
        <v>42073</v>
      </c>
      <c r="B120" t="s">
        <v>123</v>
      </c>
      <c r="C120" t="s">
        <v>301</v>
      </c>
      <c r="D120" t="s">
        <v>302</v>
      </c>
      <c r="E120" s="4" t="s">
        <v>6</v>
      </c>
      <c r="F120" s="5" t="s">
        <v>17</v>
      </c>
      <c r="G120" s="5" t="s">
        <v>8</v>
      </c>
      <c r="H120" s="6">
        <v>47.295716666666664</v>
      </c>
      <c r="I120" s="6">
        <v>-122.84936666666667</v>
      </c>
      <c r="J120" s="6">
        <v>47.299799999999998</v>
      </c>
      <c r="K120" s="6">
        <v>-122.95358333333333</v>
      </c>
      <c r="L120" s="15" t="s">
        <v>9</v>
      </c>
      <c r="M120" s="7"/>
      <c r="N120" s="5"/>
      <c r="O120" s="5" t="s">
        <v>11</v>
      </c>
      <c r="P120" s="5" t="s">
        <v>23</v>
      </c>
      <c r="Q120" s="5" t="s">
        <v>48</v>
      </c>
      <c r="R120" s="8" t="s">
        <v>303</v>
      </c>
      <c r="S120" s="22" t="s">
        <v>272</v>
      </c>
    </row>
    <row r="121" spans="1:19" ht="15" customHeight="1" x14ac:dyDescent="0.25">
      <c r="A121" s="3">
        <v>42073</v>
      </c>
      <c r="B121" t="s">
        <v>123</v>
      </c>
      <c r="C121" t="s">
        <v>301</v>
      </c>
      <c r="D121" t="s">
        <v>304</v>
      </c>
      <c r="E121" s="4" t="s">
        <v>6</v>
      </c>
      <c r="F121" s="5" t="s">
        <v>7</v>
      </c>
      <c r="G121" s="5" t="s">
        <v>8</v>
      </c>
      <c r="H121" s="6">
        <v>47.272183333333331</v>
      </c>
      <c r="I121" s="6">
        <v>-122.81691666666667</v>
      </c>
      <c r="J121" s="6"/>
      <c r="K121" s="6"/>
      <c r="L121" s="15" t="s">
        <v>9</v>
      </c>
      <c r="M121" s="7">
        <v>-0.54864000000000024</v>
      </c>
      <c r="N121" s="5"/>
      <c r="O121" s="5" t="s">
        <v>11</v>
      </c>
      <c r="P121" s="5" t="s">
        <v>23</v>
      </c>
      <c r="Q121" s="5" t="s">
        <v>48</v>
      </c>
      <c r="R121" s="8" t="s">
        <v>305</v>
      </c>
      <c r="S121" s="22" t="s">
        <v>272</v>
      </c>
    </row>
    <row r="122" spans="1:19" ht="15" customHeight="1" x14ac:dyDescent="0.25">
      <c r="A122" s="3">
        <v>42073</v>
      </c>
      <c r="B122" t="s">
        <v>123</v>
      </c>
      <c r="C122" t="s">
        <v>301</v>
      </c>
      <c r="D122" t="s">
        <v>306</v>
      </c>
      <c r="E122" s="4" t="s">
        <v>6</v>
      </c>
      <c r="F122" s="5" t="s">
        <v>7</v>
      </c>
      <c r="G122" s="5" t="s">
        <v>8</v>
      </c>
      <c r="H122" s="6">
        <v>47.365099999999998</v>
      </c>
      <c r="I122" s="6">
        <v>-122.81019999999999</v>
      </c>
      <c r="J122" s="6"/>
      <c r="K122" s="6"/>
      <c r="L122" s="15" t="s">
        <v>9</v>
      </c>
      <c r="M122" s="7">
        <v>-0.15240000000000001</v>
      </c>
      <c r="N122" s="5"/>
      <c r="O122" s="5" t="s">
        <v>11</v>
      </c>
      <c r="P122" s="5" t="s">
        <v>23</v>
      </c>
      <c r="Q122" s="5" t="s">
        <v>24</v>
      </c>
      <c r="R122" s="8" t="s">
        <v>307</v>
      </c>
      <c r="S122" s="22" t="s">
        <v>272</v>
      </c>
    </row>
    <row r="123" spans="1:19" ht="15" customHeight="1" x14ac:dyDescent="0.25">
      <c r="A123" s="3">
        <v>42073</v>
      </c>
      <c r="B123" t="s">
        <v>123</v>
      </c>
      <c r="C123" t="s">
        <v>301</v>
      </c>
      <c r="D123" t="s">
        <v>308</v>
      </c>
      <c r="E123" s="4" t="s">
        <v>6</v>
      </c>
      <c r="F123" s="5" t="s">
        <v>7</v>
      </c>
      <c r="G123" s="5" t="s">
        <v>8</v>
      </c>
      <c r="H123" s="6">
        <v>47.340049999999998</v>
      </c>
      <c r="I123" s="6">
        <v>-122.82276666666667</v>
      </c>
      <c r="J123" s="6"/>
      <c r="K123" s="6"/>
      <c r="L123" s="15" t="s">
        <v>9</v>
      </c>
      <c r="M123" s="7">
        <v>-1.8897600000000001</v>
      </c>
      <c r="N123" s="5"/>
      <c r="O123" s="5" t="s">
        <v>32</v>
      </c>
      <c r="P123" s="5" t="s">
        <v>23</v>
      </c>
      <c r="Q123" s="5" t="s">
        <v>24</v>
      </c>
      <c r="R123" s="8" t="s">
        <v>309</v>
      </c>
      <c r="S123" s="22" t="s">
        <v>272</v>
      </c>
    </row>
    <row r="124" spans="1:19" ht="15" customHeight="1" x14ac:dyDescent="0.25">
      <c r="A124" s="3">
        <v>42073</v>
      </c>
      <c r="B124" t="s">
        <v>123</v>
      </c>
      <c r="C124" t="s">
        <v>301</v>
      </c>
      <c r="D124" t="s">
        <v>310</v>
      </c>
      <c r="E124" s="4" t="s">
        <v>6</v>
      </c>
      <c r="F124" s="5" t="s">
        <v>7</v>
      </c>
      <c r="G124" s="5" t="s">
        <v>8</v>
      </c>
      <c r="H124" s="6">
        <v>47.324533333333335</v>
      </c>
      <c r="I124" s="6">
        <v>-122.81976666666667</v>
      </c>
      <c r="J124" s="6"/>
      <c r="K124" s="6"/>
      <c r="L124" s="15" t="s">
        <v>9</v>
      </c>
      <c r="M124" s="7">
        <v>-1.2192000000000001</v>
      </c>
      <c r="N124" s="5"/>
      <c r="O124" s="5" t="s">
        <v>11</v>
      </c>
      <c r="P124" s="5" t="s">
        <v>23</v>
      </c>
      <c r="Q124" s="5" t="s">
        <v>48</v>
      </c>
      <c r="R124" s="8" t="s">
        <v>311</v>
      </c>
      <c r="S124" s="22" t="s">
        <v>272</v>
      </c>
    </row>
    <row r="125" spans="1:19" ht="15" customHeight="1" x14ac:dyDescent="0.25">
      <c r="A125" s="3">
        <v>42073</v>
      </c>
      <c r="B125" t="s">
        <v>123</v>
      </c>
      <c r="C125" t="s">
        <v>301</v>
      </c>
      <c r="D125" t="s">
        <v>312</v>
      </c>
      <c r="E125" s="4" t="s">
        <v>6</v>
      </c>
      <c r="F125" s="5" t="s">
        <v>7</v>
      </c>
      <c r="G125" s="5" t="s">
        <v>8</v>
      </c>
      <c r="H125" s="6">
        <v>47.320169999999997</v>
      </c>
      <c r="I125" s="6">
        <v>-122.83114999999999</v>
      </c>
      <c r="J125" s="6"/>
      <c r="K125" s="6"/>
      <c r="L125" s="15" t="s">
        <v>9</v>
      </c>
      <c r="M125" s="7"/>
      <c r="N125" s="5" t="s">
        <v>10</v>
      </c>
      <c r="O125" s="5" t="s">
        <v>11</v>
      </c>
      <c r="P125" s="5" t="s">
        <v>23</v>
      </c>
      <c r="Q125" s="5" t="s">
        <v>48</v>
      </c>
      <c r="R125" s="8" t="s">
        <v>313</v>
      </c>
      <c r="S125" s="22" t="s">
        <v>272</v>
      </c>
    </row>
    <row r="126" spans="1:19" ht="15" customHeight="1" x14ac:dyDescent="0.25">
      <c r="A126" s="3">
        <v>42073</v>
      </c>
      <c r="B126" t="s">
        <v>123</v>
      </c>
      <c r="C126" t="s">
        <v>301</v>
      </c>
      <c r="D126" t="s">
        <v>314</v>
      </c>
      <c r="E126" s="4" t="s">
        <v>6</v>
      </c>
      <c r="F126" s="5" t="s">
        <v>7</v>
      </c>
      <c r="G126" s="5" t="s">
        <v>8</v>
      </c>
      <c r="H126" s="6">
        <v>47.279533333333333</v>
      </c>
      <c r="I126" s="6">
        <v>-122.81003333333334</v>
      </c>
      <c r="J126" s="6"/>
      <c r="K126" s="6"/>
      <c r="L126" s="15" t="s">
        <v>9</v>
      </c>
      <c r="M126" s="7">
        <v>-1.0972799999999998</v>
      </c>
      <c r="N126" s="5"/>
      <c r="O126" s="5" t="s">
        <v>11</v>
      </c>
      <c r="P126" s="5" t="s">
        <v>23</v>
      </c>
      <c r="Q126" s="5" t="s">
        <v>48</v>
      </c>
      <c r="R126" s="8" t="s">
        <v>315</v>
      </c>
      <c r="S126" s="22" t="s">
        <v>272</v>
      </c>
    </row>
    <row r="127" spans="1:19" ht="15" customHeight="1" x14ac:dyDescent="0.25">
      <c r="A127" s="3">
        <v>42073</v>
      </c>
      <c r="B127" t="s">
        <v>123</v>
      </c>
      <c r="C127" t="s">
        <v>301</v>
      </c>
      <c r="D127" t="s">
        <v>316</v>
      </c>
      <c r="E127" s="4" t="s">
        <v>6</v>
      </c>
      <c r="F127" s="5" t="s">
        <v>7</v>
      </c>
      <c r="G127" s="5" t="s">
        <v>8</v>
      </c>
      <c r="H127" s="6">
        <v>47.290999999999997</v>
      </c>
      <c r="I127" s="6">
        <v>-122.7953</v>
      </c>
      <c r="J127" s="6"/>
      <c r="K127" s="6"/>
      <c r="L127" s="15" t="s">
        <v>9</v>
      </c>
      <c r="M127" s="7">
        <v>-0.39624000000000026</v>
      </c>
      <c r="N127" s="5"/>
      <c r="O127" s="5" t="s">
        <v>11</v>
      </c>
      <c r="P127" s="5" t="s">
        <v>23</v>
      </c>
      <c r="Q127" s="5" t="s">
        <v>48</v>
      </c>
      <c r="R127" s="8" t="s">
        <v>317</v>
      </c>
      <c r="S127" s="22" t="s">
        <v>272</v>
      </c>
    </row>
    <row r="128" spans="1:19" ht="15" customHeight="1" x14ac:dyDescent="0.25">
      <c r="A128" s="3">
        <v>42073</v>
      </c>
      <c r="B128" t="s">
        <v>123</v>
      </c>
      <c r="C128" t="s">
        <v>301</v>
      </c>
      <c r="D128" t="s">
        <v>318</v>
      </c>
      <c r="E128" s="4" t="s">
        <v>6</v>
      </c>
      <c r="F128" s="5" t="s">
        <v>7</v>
      </c>
      <c r="G128" s="5" t="s">
        <v>8</v>
      </c>
      <c r="H128" s="6">
        <v>47.304783333333333</v>
      </c>
      <c r="I128" s="6">
        <v>-122.79186666666666</v>
      </c>
      <c r="J128" s="6"/>
      <c r="K128" s="6"/>
      <c r="L128" s="15" t="s">
        <v>9</v>
      </c>
      <c r="M128" s="7">
        <v>-1.6763999999999999</v>
      </c>
      <c r="N128" s="5"/>
      <c r="O128" s="5" t="s">
        <v>11</v>
      </c>
      <c r="P128" s="5" t="s">
        <v>23</v>
      </c>
      <c r="Q128" s="5" t="s">
        <v>48</v>
      </c>
      <c r="R128" s="8" t="s">
        <v>319</v>
      </c>
      <c r="S128" s="22" t="s">
        <v>272</v>
      </c>
    </row>
    <row r="129" spans="1:19" ht="15" customHeight="1" x14ac:dyDescent="0.25">
      <c r="A129" s="3">
        <v>42073</v>
      </c>
      <c r="B129" t="s">
        <v>123</v>
      </c>
      <c r="C129" t="s">
        <v>301</v>
      </c>
      <c r="D129" t="s">
        <v>320</v>
      </c>
      <c r="E129" s="4" t="s">
        <v>6</v>
      </c>
      <c r="F129" s="5" t="s">
        <v>7</v>
      </c>
      <c r="G129" s="5" t="s">
        <v>8</v>
      </c>
      <c r="H129" s="6">
        <v>47.323466666666668</v>
      </c>
      <c r="I129" s="6">
        <v>-122.7942</v>
      </c>
      <c r="J129" s="6"/>
      <c r="K129" s="6"/>
      <c r="L129" s="15" t="s">
        <v>9</v>
      </c>
      <c r="M129" s="7">
        <v>-0.76200000000000001</v>
      </c>
      <c r="N129" s="5"/>
      <c r="O129" s="5"/>
      <c r="P129" s="5" t="s">
        <v>23</v>
      </c>
      <c r="Q129" s="5" t="s">
        <v>24</v>
      </c>
      <c r="R129" s="8" t="s">
        <v>321</v>
      </c>
      <c r="S129" s="22" t="s">
        <v>272</v>
      </c>
    </row>
    <row r="130" spans="1:19" ht="15" customHeight="1" x14ac:dyDescent="0.25">
      <c r="A130" s="3">
        <v>42073</v>
      </c>
      <c r="B130" t="s">
        <v>123</v>
      </c>
      <c r="C130" t="s">
        <v>301</v>
      </c>
      <c r="D130" t="s">
        <v>322</v>
      </c>
      <c r="E130" s="4" t="s">
        <v>6</v>
      </c>
      <c r="F130" s="5" t="s">
        <v>7</v>
      </c>
      <c r="G130" s="5" t="s">
        <v>8</v>
      </c>
      <c r="H130" s="6">
        <v>47.344549999999998</v>
      </c>
      <c r="I130" s="6">
        <v>-122.79455</v>
      </c>
      <c r="J130" s="6"/>
      <c r="K130" s="6"/>
      <c r="L130" s="15" t="s">
        <v>9</v>
      </c>
      <c r="M130" s="7">
        <v>-2.1335999999999999</v>
      </c>
      <c r="N130" s="5"/>
      <c r="O130" s="5"/>
      <c r="P130" s="5" t="s">
        <v>12</v>
      </c>
      <c r="Q130" s="5" t="s">
        <v>13</v>
      </c>
      <c r="R130" s="8" t="s">
        <v>323</v>
      </c>
      <c r="S130" s="22" t="s">
        <v>272</v>
      </c>
    </row>
    <row r="131" spans="1:19" ht="15" customHeight="1" x14ac:dyDescent="0.25">
      <c r="A131" s="3">
        <v>42073</v>
      </c>
      <c r="B131" t="s">
        <v>123</v>
      </c>
      <c r="C131" t="s">
        <v>301</v>
      </c>
      <c r="D131" t="s">
        <v>324</v>
      </c>
      <c r="E131" s="4" t="s">
        <v>6</v>
      </c>
      <c r="F131" s="5" t="s">
        <v>7</v>
      </c>
      <c r="G131" s="5" t="s">
        <v>8</v>
      </c>
      <c r="H131" s="6">
        <v>47.3523</v>
      </c>
      <c r="I131" s="6">
        <v>-122.79343333333334</v>
      </c>
      <c r="J131" s="6"/>
      <c r="K131" s="6"/>
      <c r="L131" s="15" t="s">
        <v>9</v>
      </c>
      <c r="M131" s="7">
        <v>-0.91439999999999999</v>
      </c>
      <c r="N131" s="5"/>
      <c r="O131" s="5" t="s">
        <v>256</v>
      </c>
      <c r="P131" s="5" t="s">
        <v>23</v>
      </c>
      <c r="Q131" s="5" t="s">
        <v>48</v>
      </c>
      <c r="R131" s="8" t="s">
        <v>325</v>
      </c>
      <c r="S131" s="22" t="s">
        <v>272</v>
      </c>
    </row>
    <row r="132" spans="1:19" ht="15" customHeight="1" x14ac:dyDescent="0.25">
      <c r="A132" s="3">
        <v>42073</v>
      </c>
      <c r="B132" t="s">
        <v>123</v>
      </c>
      <c r="C132" t="s">
        <v>301</v>
      </c>
      <c r="D132" t="s">
        <v>326</v>
      </c>
      <c r="E132" s="4" t="s">
        <v>6</v>
      </c>
      <c r="F132" s="5" t="s">
        <v>7</v>
      </c>
      <c r="G132" s="5" t="s">
        <v>8</v>
      </c>
      <c r="H132" s="6">
        <v>47.35745</v>
      </c>
      <c r="I132" s="6">
        <v>-122.797</v>
      </c>
      <c r="J132" s="6"/>
      <c r="K132" s="6"/>
      <c r="L132" s="15" t="s">
        <v>9</v>
      </c>
      <c r="M132" s="7">
        <v>-1.0668</v>
      </c>
      <c r="N132" s="5"/>
      <c r="O132" s="5"/>
      <c r="P132" s="5" t="s">
        <v>12</v>
      </c>
      <c r="Q132" s="5" t="s">
        <v>13</v>
      </c>
      <c r="R132" s="8" t="s">
        <v>327</v>
      </c>
      <c r="S132" s="22" t="s">
        <v>272</v>
      </c>
    </row>
    <row r="133" spans="1:19" ht="15" customHeight="1" x14ac:dyDescent="0.25">
      <c r="A133" s="3">
        <v>42073</v>
      </c>
      <c r="B133" t="s">
        <v>123</v>
      </c>
      <c r="C133" t="s">
        <v>301</v>
      </c>
      <c r="D133" t="s">
        <v>328</v>
      </c>
      <c r="E133" s="4" t="s">
        <v>6</v>
      </c>
      <c r="F133" s="5" t="s">
        <v>7</v>
      </c>
      <c r="G133" s="5" t="s">
        <v>8</v>
      </c>
      <c r="H133" s="6">
        <v>47.361400000000003</v>
      </c>
      <c r="I133" s="6">
        <v>-122.80768333333333</v>
      </c>
      <c r="J133" s="6"/>
      <c r="K133" s="6"/>
      <c r="L133" s="15" t="s">
        <v>9</v>
      </c>
      <c r="M133" s="7">
        <v>-1.2192000000000001</v>
      </c>
      <c r="N133" s="5"/>
      <c r="O133" s="5" t="s">
        <v>256</v>
      </c>
      <c r="P133" s="5" t="s">
        <v>23</v>
      </c>
      <c r="Q133" s="5" t="s">
        <v>24</v>
      </c>
      <c r="R133" s="8" t="s">
        <v>329</v>
      </c>
      <c r="S133" s="22" t="s">
        <v>272</v>
      </c>
    </row>
    <row r="134" spans="1:19" ht="15" customHeight="1" x14ac:dyDescent="0.25">
      <c r="A134" s="3">
        <v>42080</v>
      </c>
      <c r="B134" t="s">
        <v>123</v>
      </c>
      <c r="C134" t="s">
        <v>330</v>
      </c>
      <c r="D134" t="s">
        <v>331</v>
      </c>
      <c r="E134" s="12" t="s">
        <v>6</v>
      </c>
      <c r="F134" s="12" t="s">
        <v>7</v>
      </c>
      <c r="G134" s="12" t="s">
        <v>8</v>
      </c>
      <c r="H134" s="6">
        <v>47.61696666666667</v>
      </c>
      <c r="I134" s="6">
        <v>-122.35826666666667</v>
      </c>
      <c r="J134" s="6"/>
      <c r="K134" s="6"/>
      <c r="L134" s="15" t="s">
        <v>9</v>
      </c>
      <c r="M134" s="7">
        <v>-2.37744</v>
      </c>
      <c r="N134" s="5"/>
      <c r="O134" s="12" t="s">
        <v>32</v>
      </c>
      <c r="P134" s="5" t="s">
        <v>23</v>
      </c>
      <c r="Q134" s="5" t="s">
        <v>24</v>
      </c>
      <c r="R134" s="21" t="s">
        <v>332</v>
      </c>
      <c r="S134" s="22" t="s">
        <v>333</v>
      </c>
    </row>
    <row r="135" spans="1:19" ht="15" customHeight="1" x14ac:dyDescent="0.25">
      <c r="A135" s="3">
        <v>42080</v>
      </c>
      <c r="B135" t="s">
        <v>123</v>
      </c>
      <c r="C135" t="s">
        <v>330</v>
      </c>
      <c r="D135" t="s">
        <v>334</v>
      </c>
      <c r="E135" s="12" t="s">
        <v>6</v>
      </c>
      <c r="F135" s="12" t="s">
        <v>7</v>
      </c>
      <c r="G135" s="12" t="s">
        <v>8</v>
      </c>
      <c r="H135" s="6">
        <v>47.618433333333336</v>
      </c>
      <c r="I135" s="6">
        <v>-122.36075</v>
      </c>
      <c r="J135" s="6"/>
      <c r="K135" s="6"/>
      <c r="L135" s="15" t="s">
        <v>9</v>
      </c>
      <c r="M135" s="7">
        <v>-2.4384000000000001</v>
      </c>
      <c r="N135" s="5"/>
      <c r="O135" s="12" t="s">
        <v>32</v>
      </c>
      <c r="P135" s="5" t="s">
        <v>23</v>
      </c>
      <c r="Q135" s="5" t="s">
        <v>24</v>
      </c>
      <c r="R135" s="21" t="s">
        <v>335</v>
      </c>
      <c r="S135" s="22" t="s">
        <v>333</v>
      </c>
    </row>
    <row r="136" spans="1:19" ht="15" customHeight="1" x14ac:dyDescent="0.25">
      <c r="A136" s="3">
        <v>42080</v>
      </c>
      <c r="B136" t="s">
        <v>123</v>
      </c>
      <c r="C136" t="s">
        <v>330</v>
      </c>
      <c r="D136" t="s">
        <v>336</v>
      </c>
      <c r="E136" s="12" t="s">
        <v>6</v>
      </c>
      <c r="F136" s="12" t="s">
        <v>7</v>
      </c>
      <c r="G136" s="12" t="s">
        <v>8</v>
      </c>
      <c r="H136" s="6">
        <v>47.619833333333332</v>
      </c>
      <c r="I136" s="6">
        <v>-122.36286666666666</v>
      </c>
      <c r="J136" s="6"/>
      <c r="K136" s="6"/>
      <c r="L136" s="15" t="s">
        <v>9</v>
      </c>
      <c r="M136" s="7">
        <v>-1.6763999999999999</v>
      </c>
      <c r="N136" s="5"/>
      <c r="O136" s="12" t="s">
        <v>32</v>
      </c>
      <c r="P136" s="5" t="s">
        <v>23</v>
      </c>
      <c r="Q136" s="5" t="s">
        <v>24</v>
      </c>
      <c r="R136" s="21" t="s">
        <v>337</v>
      </c>
      <c r="S136" s="22" t="s">
        <v>333</v>
      </c>
    </row>
    <row r="137" spans="1:19" ht="15" customHeight="1" x14ac:dyDescent="0.25">
      <c r="A137" s="3">
        <v>42080</v>
      </c>
      <c r="B137" t="s">
        <v>123</v>
      </c>
      <c r="C137" t="s">
        <v>330</v>
      </c>
      <c r="D137" t="s">
        <v>338</v>
      </c>
      <c r="E137" s="12" t="s">
        <v>6</v>
      </c>
      <c r="F137" s="12" t="s">
        <v>7</v>
      </c>
      <c r="G137" s="12" t="s">
        <v>8</v>
      </c>
      <c r="H137" s="6">
        <v>47.632766666666669</v>
      </c>
      <c r="I137" s="6">
        <v>-122.40388333333334</v>
      </c>
      <c r="J137" s="6"/>
      <c r="K137" s="6"/>
      <c r="L137" s="15" t="s">
        <v>9</v>
      </c>
      <c r="M137" s="7">
        <v>-2.286</v>
      </c>
      <c r="N137" s="5"/>
      <c r="O137" s="5" t="s">
        <v>11</v>
      </c>
      <c r="P137" s="5" t="s">
        <v>12</v>
      </c>
      <c r="Q137" s="5" t="s">
        <v>13</v>
      </c>
      <c r="R137" s="21" t="s">
        <v>339</v>
      </c>
      <c r="S137" s="22" t="s">
        <v>333</v>
      </c>
    </row>
    <row r="138" spans="1:19" ht="15" customHeight="1" x14ac:dyDescent="0.25">
      <c r="A138" s="3">
        <v>42080</v>
      </c>
      <c r="B138" t="s">
        <v>123</v>
      </c>
      <c r="C138" t="s">
        <v>340</v>
      </c>
      <c r="D138" t="s">
        <v>341</v>
      </c>
      <c r="E138" s="12" t="s">
        <v>6</v>
      </c>
      <c r="F138" s="12" t="s">
        <v>7</v>
      </c>
      <c r="G138" s="12" t="s">
        <v>8</v>
      </c>
      <c r="H138" s="6">
        <v>47.583199999999998</v>
      </c>
      <c r="I138" s="6">
        <v>-122.5711</v>
      </c>
      <c r="J138" s="6"/>
      <c r="K138" s="6"/>
      <c r="L138" s="15" t="s">
        <v>9</v>
      </c>
      <c r="M138" s="7">
        <v>-0.94487999999999983</v>
      </c>
      <c r="N138" s="5" t="s">
        <v>10</v>
      </c>
      <c r="O138" s="5" t="s">
        <v>11</v>
      </c>
      <c r="P138" s="5" t="s">
        <v>23</v>
      </c>
      <c r="Q138" s="5" t="s">
        <v>63</v>
      </c>
      <c r="R138" s="21" t="s">
        <v>342</v>
      </c>
      <c r="S138" s="22" t="s">
        <v>333</v>
      </c>
    </row>
    <row r="139" spans="1:19" s="9" customFormat="1" ht="15" customHeight="1" x14ac:dyDescent="0.25">
      <c r="A139" s="3">
        <v>42080</v>
      </c>
      <c r="B139" t="s">
        <v>123</v>
      </c>
      <c r="C139" t="s">
        <v>340</v>
      </c>
      <c r="D139" t="s">
        <v>343</v>
      </c>
      <c r="E139" s="12" t="s">
        <v>6</v>
      </c>
      <c r="F139" s="12" t="s">
        <v>7</v>
      </c>
      <c r="G139" s="12" t="s">
        <v>8</v>
      </c>
      <c r="H139" s="6">
        <v>47.562283333333333</v>
      </c>
      <c r="I139" s="6">
        <v>-122.59484999999999</v>
      </c>
      <c r="J139" s="6"/>
      <c r="K139" s="6"/>
      <c r="L139" s="15" t="s">
        <v>9</v>
      </c>
      <c r="M139" s="7">
        <v>-1.0058400000000003</v>
      </c>
      <c r="N139" s="5" t="s">
        <v>10</v>
      </c>
      <c r="O139" s="5" t="s">
        <v>11</v>
      </c>
      <c r="P139" s="5" t="s">
        <v>12</v>
      </c>
      <c r="Q139" s="5" t="s">
        <v>13</v>
      </c>
      <c r="R139" s="21" t="s">
        <v>344</v>
      </c>
      <c r="S139" s="22" t="s">
        <v>333</v>
      </c>
    </row>
    <row r="140" spans="1:19" s="9" customFormat="1" ht="15" customHeight="1" x14ac:dyDescent="0.25">
      <c r="A140" s="3">
        <v>42080</v>
      </c>
      <c r="B140" t="s">
        <v>123</v>
      </c>
      <c r="C140" t="s">
        <v>340</v>
      </c>
      <c r="D140" t="s">
        <v>345</v>
      </c>
      <c r="E140" s="12" t="s">
        <v>6</v>
      </c>
      <c r="F140" s="12" t="s">
        <v>7</v>
      </c>
      <c r="G140" s="12" t="s">
        <v>8</v>
      </c>
      <c r="H140" s="6">
        <v>47.580750000000002</v>
      </c>
      <c r="I140" s="6">
        <v>-122.5737</v>
      </c>
      <c r="J140" s="6"/>
      <c r="K140" s="6"/>
      <c r="L140" s="15" t="s">
        <v>9</v>
      </c>
      <c r="M140" s="7">
        <v>-1.0972799999999998</v>
      </c>
      <c r="N140" s="5" t="s">
        <v>10</v>
      </c>
      <c r="O140" s="5" t="s">
        <v>11</v>
      </c>
      <c r="P140" s="5" t="s">
        <v>23</v>
      </c>
      <c r="Q140" s="5" t="s">
        <v>24</v>
      </c>
      <c r="R140" s="21" t="s">
        <v>346</v>
      </c>
      <c r="S140" s="22" t="s">
        <v>333</v>
      </c>
    </row>
    <row r="141" spans="1:19" s="9" customFormat="1" ht="15" customHeight="1" x14ac:dyDescent="0.25">
      <c r="A141" s="3">
        <v>42080</v>
      </c>
      <c r="B141" t="s">
        <v>123</v>
      </c>
      <c r="C141" t="s">
        <v>340</v>
      </c>
      <c r="D141" t="s">
        <v>347</v>
      </c>
      <c r="E141" s="12" t="s">
        <v>6</v>
      </c>
      <c r="F141" s="12" t="s">
        <v>7</v>
      </c>
      <c r="G141" s="12" t="s">
        <v>8</v>
      </c>
      <c r="H141" s="6">
        <v>47.549533333333336</v>
      </c>
      <c r="I141" s="6">
        <v>-122.60931666666667</v>
      </c>
      <c r="J141" s="6"/>
      <c r="K141" s="6"/>
      <c r="L141" s="15" t="s">
        <v>9</v>
      </c>
      <c r="M141" s="7">
        <v>-1.2496799999999999</v>
      </c>
      <c r="N141" s="5" t="s">
        <v>66</v>
      </c>
      <c r="O141" s="5" t="s">
        <v>11</v>
      </c>
      <c r="P141" s="5" t="s">
        <v>23</v>
      </c>
      <c r="Q141" s="5" t="s">
        <v>24</v>
      </c>
      <c r="R141" s="21" t="s">
        <v>348</v>
      </c>
      <c r="S141" s="22" t="s">
        <v>333</v>
      </c>
    </row>
    <row r="142" spans="1:19" s="9" customFormat="1" ht="15" customHeight="1" x14ac:dyDescent="0.25">
      <c r="A142" s="3">
        <v>42296</v>
      </c>
      <c r="B142" s="9" t="s">
        <v>349</v>
      </c>
      <c r="C142" s="9" t="s">
        <v>264</v>
      </c>
      <c r="D142" s="9" t="s">
        <v>350</v>
      </c>
      <c r="E142" s="12" t="s">
        <v>6</v>
      </c>
      <c r="F142" s="23" t="s">
        <v>7</v>
      </c>
      <c r="G142" s="23" t="s">
        <v>8</v>
      </c>
      <c r="H142" s="24">
        <v>47.348649999999999</v>
      </c>
      <c r="I142" s="24">
        <v>-123.14746666666667</v>
      </c>
      <c r="J142" s="24"/>
      <c r="K142" s="24"/>
      <c r="L142" s="15" t="s">
        <v>9</v>
      </c>
      <c r="M142" s="25">
        <v>-0.70104000000000022</v>
      </c>
      <c r="N142" s="23" t="s">
        <v>10</v>
      </c>
      <c r="O142" s="23" t="s">
        <v>11</v>
      </c>
      <c r="P142" s="23" t="s">
        <v>12</v>
      </c>
      <c r="Q142" s="23" t="s">
        <v>13</v>
      </c>
      <c r="R142" s="17" t="s">
        <v>351</v>
      </c>
      <c r="S142" s="26" t="s">
        <v>352</v>
      </c>
    </row>
    <row r="143" spans="1:19" s="9" customFormat="1" ht="15" customHeight="1" x14ac:dyDescent="0.25">
      <c r="A143" s="3">
        <v>42296</v>
      </c>
      <c r="B143" s="9" t="s">
        <v>349</v>
      </c>
      <c r="C143" s="9" t="s">
        <v>264</v>
      </c>
      <c r="D143" s="9" t="s">
        <v>353</v>
      </c>
      <c r="E143" s="12" t="s">
        <v>6</v>
      </c>
      <c r="F143" s="23" t="s">
        <v>7</v>
      </c>
      <c r="G143" s="23" t="s">
        <v>8</v>
      </c>
      <c r="H143" s="24">
        <v>47.357999999999997</v>
      </c>
      <c r="I143" s="24">
        <v>-123.15774999999999</v>
      </c>
      <c r="J143" s="24"/>
      <c r="K143" s="24"/>
      <c r="L143" s="15" t="s">
        <v>9</v>
      </c>
      <c r="M143" s="25">
        <v>-0.8229599999999998</v>
      </c>
      <c r="N143" s="23" t="s">
        <v>10</v>
      </c>
      <c r="O143" s="23" t="s">
        <v>11</v>
      </c>
      <c r="P143" s="23" t="s">
        <v>12</v>
      </c>
      <c r="Q143" s="23" t="s">
        <v>13</v>
      </c>
      <c r="R143" s="17" t="s">
        <v>354</v>
      </c>
      <c r="S143" s="26" t="s">
        <v>352</v>
      </c>
    </row>
    <row r="144" spans="1:19" s="9" customFormat="1" ht="15" customHeight="1" x14ac:dyDescent="0.25">
      <c r="A144" s="3">
        <v>42296</v>
      </c>
      <c r="B144" s="9" t="s">
        <v>349</v>
      </c>
      <c r="C144" s="9" t="s">
        <v>264</v>
      </c>
      <c r="D144" s="9" t="s">
        <v>355</v>
      </c>
      <c r="E144" s="12" t="s">
        <v>6</v>
      </c>
      <c r="F144" s="23" t="s">
        <v>7</v>
      </c>
      <c r="G144" s="23" t="s">
        <v>8</v>
      </c>
      <c r="H144" s="24">
        <v>47.350033333333336</v>
      </c>
      <c r="I144" s="24">
        <v>-123.1504</v>
      </c>
      <c r="J144" s="24"/>
      <c r="K144" s="24"/>
      <c r="L144" s="15" t="s">
        <v>9</v>
      </c>
      <c r="M144" s="25">
        <v>-0.4572</v>
      </c>
      <c r="N144" s="23" t="s">
        <v>10</v>
      </c>
      <c r="O144" s="23" t="s">
        <v>11</v>
      </c>
      <c r="P144" s="23" t="s">
        <v>12</v>
      </c>
      <c r="Q144" s="23" t="s">
        <v>13</v>
      </c>
      <c r="R144" s="17" t="s">
        <v>356</v>
      </c>
      <c r="S144" s="26" t="s">
        <v>352</v>
      </c>
    </row>
    <row r="145" spans="1:26" s="9" customFormat="1" ht="15" customHeight="1" x14ac:dyDescent="0.25">
      <c r="A145" s="3">
        <v>42296</v>
      </c>
      <c r="B145" s="9" t="s">
        <v>349</v>
      </c>
      <c r="C145" s="9" t="s">
        <v>264</v>
      </c>
      <c r="D145" s="9" t="s">
        <v>357</v>
      </c>
      <c r="E145" s="12" t="s">
        <v>6</v>
      </c>
      <c r="F145" s="23" t="s">
        <v>7</v>
      </c>
      <c r="G145" s="23" t="s">
        <v>8</v>
      </c>
      <c r="H145" s="24">
        <v>47.351483333333334</v>
      </c>
      <c r="I145" s="24">
        <v>-123.15273333333333</v>
      </c>
      <c r="J145" s="24"/>
      <c r="K145" s="24"/>
      <c r="L145" s="15" t="s">
        <v>9</v>
      </c>
      <c r="M145" s="25">
        <v>-0.30480000000000002</v>
      </c>
      <c r="N145" s="23" t="s">
        <v>10</v>
      </c>
      <c r="O145" s="23" t="s">
        <v>11</v>
      </c>
      <c r="P145" s="23" t="s">
        <v>12</v>
      </c>
      <c r="Q145" s="23" t="s">
        <v>13</v>
      </c>
      <c r="R145" s="17" t="s">
        <v>358</v>
      </c>
      <c r="S145" s="26" t="s">
        <v>352</v>
      </c>
    </row>
    <row r="146" spans="1:26" s="9" customFormat="1" ht="15" customHeight="1" x14ac:dyDescent="0.25">
      <c r="A146" s="3">
        <v>42296</v>
      </c>
      <c r="B146" s="9" t="s">
        <v>349</v>
      </c>
      <c r="C146" s="9" t="s">
        <v>264</v>
      </c>
      <c r="D146" s="9" t="s">
        <v>359</v>
      </c>
      <c r="E146" s="12" t="s">
        <v>6</v>
      </c>
      <c r="F146" s="23" t="s">
        <v>7</v>
      </c>
      <c r="G146" s="23" t="s">
        <v>8</v>
      </c>
      <c r="H146" s="24">
        <v>47.352583333333335</v>
      </c>
      <c r="I146" s="24">
        <v>-123.13398333333333</v>
      </c>
      <c r="J146" s="24"/>
      <c r="K146" s="24"/>
      <c r="L146" s="15" t="s">
        <v>9</v>
      </c>
      <c r="M146" s="25">
        <v>-9.1440000000000216E-2</v>
      </c>
      <c r="N146" s="23" t="s">
        <v>10</v>
      </c>
      <c r="O146" s="23" t="s">
        <v>11</v>
      </c>
      <c r="P146" s="23" t="s">
        <v>12</v>
      </c>
      <c r="Q146" s="23" t="s">
        <v>13</v>
      </c>
      <c r="R146" s="17" t="s">
        <v>360</v>
      </c>
      <c r="S146" s="26" t="s">
        <v>352</v>
      </c>
    </row>
    <row r="147" spans="1:26" s="9" customFormat="1" ht="15" customHeight="1" x14ac:dyDescent="0.25">
      <c r="A147" s="3">
        <v>42296</v>
      </c>
      <c r="B147" s="9" t="s">
        <v>349</v>
      </c>
      <c r="C147" s="9" t="s">
        <v>264</v>
      </c>
      <c r="D147" s="9" t="s">
        <v>361</v>
      </c>
      <c r="E147" s="12" t="s">
        <v>6</v>
      </c>
      <c r="F147" s="23" t="s">
        <v>7</v>
      </c>
      <c r="G147" s="23" t="s">
        <v>8</v>
      </c>
      <c r="H147" s="24">
        <v>47.353816666666667</v>
      </c>
      <c r="I147" s="24">
        <v>-123.15536666666667</v>
      </c>
      <c r="J147" s="24"/>
      <c r="K147" s="24"/>
      <c r="L147" s="15" t="s">
        <v>9</v>
      </c>
      <c r="M147" s="25">
        <v>-0.54864000000000024</v>
      </c>
      <c r="N147" s="23" t="s">
        <v>10</v>
      </c>
      <c r="O147" s="23" t="s">
        <v>11</v>
      </c>
      <c r="P147" s="23" t="s">
        <v>12</v>
      </c>
      <c r="Q147" s="23" t="s">
        <v>13</v>
      </c>
      <c r="R147" s="17" t="s">
        <v>362</v>
      </c>
      <c r="S147" s="26" t="s">
        <v>352</v>
      </c>
    </row>
    <row r="148" spans="1:26" s="9" customFormat="1" ht="15" customHeight="1" x14ac:dyDescent="0.25">
      <c r="A148" s="3">
        <v>42296</v>
      </c>
      <c r="B148" s="9" t="s">
        <v>349</v>
      </c>
      <c r="C148" s="9" t="s">
        <v>264</v>
      </c>
      <c r="D148" s="9" t="s">
        <v>363</v>
      </c>
      <c r="E148" s="12" t="s">
        <v>6</v>
      </c>
      <c r="F148" s="23" t="s">
        <v>7</v>
      </c>
      <c r="G148" s="23" t="s">
        <v>8</v>
      </c>
      <c r="H148" s="24">
        <v>47.354816666666665</v>
      </c>
      <c r="I148" s="24">
        <v>-123.15688333333334</v>
      </c>
      <c r="J148" s="24"/>
      <c r="K148" s="24"/>
      <c r="L148" s="15" t="s">
        <v>9</v>
      </c>
      <c r="M148" s="25">
        <v>-0.4267200000000001</v>
      </c>
      <c r="N148" s="23" t="s">
        <v>10</v>
      </c>
      <c r="O148" s="23" t="s">
        <v>11</v>
      </c>
      <c r="P148" s="23" t="s">
        <v>12</v>
      </c>
      <c r="Q148" s="23" t="s">
        <v>13</v>
      </c>
      <c r="R148" s="17" t="s">
        <v>364</v>
      </c>
      <c r="S148" s="26" t="s">
        <v>352</v>
      </c>
      <c r="T148"/>
      <c r="U148"/>
      <c r="V148"/>
      <c r="W148"/>
      <c r="X148"/>
      <c r="Y148"/>
      <c r="Z148"/>
    </row>
    <row r="149" spans="1:26" ht="15" customHeight="1" x14ac:dyDescent="0.25">
      <c r="A149" s="3">
        <v>42296</v>
      </c>
      <c r="B149" s="9" t="s">
        <v>349</v>
      </c>
      <c r="C149" s="9" t="s">
        <v>264</v>
      </c>
      <c r="D149" s="9" t="s">
        <v>365</v>
      </c>
      <c r="E149" s="12" t="s">
        <v>6</v>
      </c>
      <c r="F149" s="23" t="s">
        <v>7</v>
      </c>
      <c r="G149" s="23" t="s">
        <v>8</v>
      </c>
      <c r="H149" s="24">
        <v>47.354883333333333</v>
      </c>
      <c r="I149" s="24">
        <v>-123.15706666666667</v>
      </c>
      <c r="J149" s="24"/>
      <c r="K149" s="24"/>
      <c r="L149" s="15" t="s">
        <v>9</v>
      </c>
      <c r="M149" s="25">
        <v>-0.18288000000000043</v>
      </c>
      <c r="N149" s="23" t="s">
        <v>10</v>
      </c>
      <c r="O149" s="23" t="s">
        <v>32</v>
      </c>
      <c r="P149" s="23" t="s">
        <v>23</v>
      </c>
      <c r="Q149" s="23" t="s">
        <v>24</v>
      </c>
      <c r="R149" s="17" t="s">
        <v>366</v>
      </c>
      <c r="S149" s="26" t="s">
        <v>352</v>
      </c>
    </row>
    <row r="150" spans="1:26" ht="15" customHeight="1" x14ac:dyDescent="0.25">
      <c r="A150" s="3">
        <v>42296</v>
      </c>
      <c r="B150" s="9" t="s">
        <v>349</v>
      </c>
      <c r="C150" s="9" t="s">
        <v>264</v>
      </c>
      <c r="D150" s="9" t="s">
        <v>367</v>
      </c>
      <c r="E150" s="12" t="s">
        <v>6</v>
      </c>
      <c r="F150" s="23" t="s">
        <v>7</v>
      </c>
      <c r="G150" s="23" t="s">
        <v>8</v>
      </c>
      <c r="H150" s="24">
        <v>47.354900000000001</v>
      </c>
      <c r="I150" s="24">
        <v>-123.13221666666666</v>
      </c>
      <c r="J150" s="24"/>
      <c r="K150" s="24"/>
      <c r="L150" s="15" t="s">
        <v>9</v>
      </c>
      <c r="M150" s="25">
        <v>-0.8534400000000002</v>
      </c>
      <c r="N150" s="23" t="s">
        <v>10</v>
      </c>
      <c r="O150" s="23" t="s">
        <v>11</v>
      </c>
      <c r="P150" s="23" t="s">
        <v>12</v>
      </c>
      <c r="Q150" s="23" t="s">
        <v>13</v>
      </c>
      <c r="R150" s="17" t="s">
        <v>360</v>
      </c>
      <c r="S150" s="26" t="s">
        <v>352</v>
      </c>
    </row>
    <row r="151" spans="1:26" ht="15" customHeight="1" x14ac:dyDescent="0.25">
      <c r="A151" s="3">
        <v>42296</v>
      </c>
      <c r="B151" s="9" t="s">
        <v>349</v>
      </c>
      <c r="C151" s="9" t="s">
        <v>264</v>
      </c>
      <c r="D151" s="9" t="s">
        <v>368</v>
      </c>
      <c r="E151" s="12" t="s">
        <v>6</v>
      </c>
      <c r="F151" s="23" t="s">
        <v>7</v>
      </c>
      <c r="G151" s="23" t="s">
        <v>8</v>
      </c>
      <c r="H151" s="24">
        <v>47.356833333333334</v>
      </c>
      <c r="I151" s="24">
        <v>-123.15796666666667</v>
      </c>
      <c r="J151" s="24"/>
      <c r="K151" s="24"/>
      <c r="L151" s="15" t="s">
        <v>9</v>
      </c>
      <c r="M151" s="25">
        <v>-0.4267200000000001</v>
      </c>
      <c r="N151" s="23" t="s">
        <v>10</v>
      </c>
      <c r="O151" s="23" t="s">
        <v>11</v>
      </c>
      <c r="P151" s="23" t="s">
        <v>12</v>
      </c>
      <c r="Q151" s="23" t="s">
        <v>13</v>
      </c>
      <c r="R151" s="17" t="s">
        <v>369</v>
      </c>
      <c r="S151" s="26" t="s">
        <v>352</v>
      </c>
    </row>
    <row r="152" spans="1:26" ht="15" customHeight="1" x14ac:dyDescent="0.25">
      <c r="A152" s="3">
        <v>42297</v>
      </c>
      <c r="B152" s="9" t="s">
        <v>349</v>
      </c>
      <c r="C152" t="s">
        <v>370</v>
      </c>
      <c r="D152" t="s">
        <v>371</v>
      </c>
      <c r="E152" s="12" t="s">
        <v>6</v>
      </c>
      <c r="F152" s="5" t="s">
        <v>7</v>
      </c>
      <c r="G152" s="5" t="s">
        <v>8</v>
      </c>
      <c r="H152" s="6">
        <v>47.102766666666668</v>
      </c>
      <c r="I152" s="6">
        <v>-122.72685</v>
      </c>
      <c r="J152" s="6"/>
      <c r="K152" s="6"/>
      <c r="L152" s="15" t="s">
        <v>9</v>
      </c>
      <c r="M152" s="7">
        <v>0.27432000000000012</v>
      </c>
      <c r="N152" s="5"/>
      <c r="O152" s="5" t="s">
        <v>11</v>
      </c>
      <c r="P152" s="5" t="s">
        <v>36</v>
      </c>
      <c r="Q152" s="5" t="s">
        <v>13</v>
      </c>
      <c r="R152" s="17" t="s">
        <v>372</v>
      </c>
      <c r="S152" s="26" t="s">
        <v>352</v>
      </c>
    </row>
    <row r="153" spans="1:26" ht="15" customHeight="1" x14ac:dyDescent="0.25">
      <c r="A153" s="3">
        <v>42297</v>
      </c>
      <c r="B153" s="9" t="s">
        <v>349</v>
      </c>
      <c r="C153" t="s">
        <v>370</v>
      </c>
      <c r="D153" t="s">
        <v>373</v>
      </c>
      <c r="E153" s="12" t="s">
        <v>6</v>
      </c>
      <c r="F153" s="5" t="s">
        <v>7</v>
      </c>
      <c r="G153" s="5" t="s">
        <v>8</v>
      </c>
      <c r="H153" s="6">
        <v>47.111383333333336</v>
      </c>
      <c r="I153" s="6">
        <v>-122.72085</v>
      </c>
      <c r="J153" s="6"/>
      <c r="K153" s="6"/>
      <c r="L153" s="15" t="s">
        <v>9</v>
      </c>
      <c r="M153" s="7">
        <v>3.0479999999999893E-2</v>
      </c>
      <c r="N153" s="5"/>
      <c r="O153" s="5" t="s">
        <v>11</v>
      </c>
      <c r="P153" s="5" t="s">
        <v>18</v>
      </c>
      <c r="Q153" s="5" t="s">
        <v>13</v>
      </c>
      <c r="R153" s="17" t="s">
        <v>374</v>
      </c>
      <c r="S153" s="26" t="s">
        <v>352</v>
      </c>
    </row>
    <row r="154" spans="1:26" ht="15" customHeight="1" x14ac:dyDescent="0.25">
      <c r="A154" s="3">
        <v>42297</v>
      </c>
      <c r="B154" s="9" t="s">
        <v>349</v>
      </c>
      <c r="C154" t="s">
        <v>370</v>
      </c>
      <c r="D154" t="s">
        <v>375</v>
      </c>
      <c r="E154" s="12" t="s">
        <v>6</v>
      </c>
      <c r="F154" s="5" t="s">
        <v>7</v>
      </c>
      <c r="G154" s="5" t="s">
        <v>8</v>
      </c>
      <c r="H154" s="6">
        <v>47.111449999999998</v>
      </c>
      <c r="I154" s="6">
        <v>-122.70803333333333</v>
      </c>
      <c r="J154" s="6"/>
      <c r="K154" s="6"/>
      <c r="L154" s="15" t="s">
        <v>9</v>
      </c>
      <c r="M154" s="7">
        <v>-3.0480000000000434E-2</v>
      </c>
      <c r="N154" s="5"/>
      <c r="O154" s="5" t="s">
        <v>11</v>
      </c>
      <c r="P154" s="5" t="s">
        <v>23</v>
      </c>
      <c r="Q154" s="5" t="s">
        <v>24</v>
      </c>
      <c r="R154" s="17" t="s">
        <v>376</v>
      </c>
      <c r="S154" s="26" t="s">
        <v>352</v>
      </c>
    </row>
    <row r="155" spans="1:26" ht="15" customHeight="1" x14ac:dyDescent="0.25">
      <c r="A155" s="3">
        <v>42297</v>
      </c>
      <c r="B155" s="9" t="s">
        <v>349</v>
      </c>
      <c r="C155" t="s">
        <v>370</v>
      </c>
      <c r="D155" t="s">
        <v>377</v>
      </c>
      <c r="E155" s="12" t="s">
        <v>6</v>
      </c>
      <c r="F155" s="5" t="s">
        <v>7</v>
      </c>
      <c r="G155" s="5" t="s">
        <v>8</v>
      </c>
      <c r="H155" s="6">
        <v>47.111499999999999</v>
      </c>
      <c r="I155" s="6">
        <v>-122.71841666666667</v>
      </c>
      <c r="J155" s="6"/>
      <c r="K155" s="6"/>
      <c r="L155" s="15" t="s">
        <v>9</v>
      </c>
      <c r="M155" s="7">
        <v>9.1439999999999674E-2</v>
      </c>
      <c r="N155" s="5"/>
      <c r="O155" s="5" t="s">
        <v>11</v>
      </c>
      <c r="P155" s="5" t="s">
        <v>23</v>
      </c>
      <c r="Q155" s="5" t="s">
        <v>24</v>
      </c>
      <c r="R155" s="17" t="s">
        <v>378</v>
      </c>
      <c r="S155" s="26" t="s">
        <v>352</v>
      </c>
    </row>
    <row r="156" spans="1:26" ht="15" customHeight="1" x14ac:dyDescent="0.25">
      <c r="A156" s="3">
        <v>42297</v>
      </c>
      <c r="B156" s="9" t="s">
        <v>349</v>
      </c>
      <c r="C156" t="s">
        <v>370</v>
      </c>
      <c r="D156" t="s">
        <v>379</v>
      </c>
      <c r="E156" s="12" t="s">
        <v>6</v>
      </c>
      <c r="F156" s="5" t="s">
        <v>7</v>
      </c>
      <c r="G156" s="5" t="s">
        <v>8</v>
      </c>
      <c r="H156" s="6">
        <v>47.111716666666666</v>
      </c>
      <c r="I156" s="6">
        <v>-122.72243333333333</v>
      </c>
      <c r="J156" s="6"/>
      <c r="K156" s="6"/>
      <c r="L156" s="15" t="s">
        <v>9</v>
      </c>
      <c r="M156" s="7">
        <v>-0.15240000000000001</v>
      </c>
      <c r="N156" s="5"/>
      <c r="O156" s="5" t="s">
        <v>11</v>
      </c>
      <c r="P156" s="5" t="s">
        <v>12</v>
      </c>
      <c r="Q156" s="5" t="s">
        <v>13</v>
      </c>
      <c r="R156" s="17" t="s">
        <v>380</v>
      </c>
      <c r="S156" s="26" t="s">
        <v>352</v>
      </c>
    </row>
    <row r="157" spans="1:26" ht="15" customHeight="1" x14ac:dyDescent="0.25">
      <c r="A157" s="3">
        <v>42297</v>
      </c>
      <c r="B157" s="9" t="s">
        <v>349</v>
      </c>
      <c r="C157" t="s">
        <v>370</v>
      </c>
      <c r="D157" t="s">
        <v>381</v>
      </c>
      <c r="E157" s="12" t="s">
        <v>6</v>
      </c>
      <c r="F157" s="5" t="s">
        <v>7</v>
      </c>
      <c r="G157" s="5" t="s">
        <v>8</v>
      </c>
      <c r="H157" s="6">
        <v>47.111716666666666</v>
      </c>
      <c r="I157" s="6">
        <v>-122.72588333333333</v>
      </c>
      <c r="J157" s="6"/>
      <c r="K157" s="6"/>
      <c r="L157" s="15" t="s">
        <v>9</v>
      </c>
      <c r="M157" s="7">
        <v>0.33527999999999991</v>
      </c>
      <c r="N157" s="5"/>
      <c r="O157" s="5" t="s">
        <v>11</v>
      </c>
      <c r="P157" s="5" t="s">
        <v>18</v>
      </c>
      <c r="Q157" s="5" t="s">
        <v>13</v>
      </c>
      <c r="R157" s="17" t="s">
        <v>382</v>
      </c>
      <c r="S157" s="26" t="s">
        <v>352</v>
      </c>
    </row>
    <row r="158" spans="1:26" ht="15" customHeight="1" x14ac:dyDescent="0.25">
      <c r="A158" s="3">
        <v>42297</v>
      </c>
      <c r="B158" s="9" t="s">
        <v>349</v>
      </c>
      <c r="C158" t="s">
        <v>370</v>
      </c>
      <c r="D158" t="s">
        <v>383</v>
      </c>
      <c r="E158" s="12" t="s">
        <v>6</v>
      </c>
      <c r="F158" s="5" t="s">
        <v>7</v>
      </c>
      <c r="G158" s="5" t="s">
        <v>8</v>
      </c>
      <c r="H158" s="6">
        <v>47.111733333333333</v>
      </c>
      <c r="I158" s="6">
        <v>-122.7081</v>
      </c>
      <c r="J158" s="6"/>
      <c r="K158" s="6"/>
      <c r="L158" s="15" t="s">
        <v>9</v>
      </c>
      <c r="M158" s="7">
        <v>-1.4630400000000001</v>
      </c>
      <c r="N158" s="5"/>
      <c r="O158" s="5" t="s">
        <v>11</v>
      </c>
      <c r="P158" s="5" t="s">
        <v>23</v>
      </c>
      <c r="Q158" s="5" t="s">
        <v>24</v>
      </c>
      <c r="R158" s="17" t="s">
        <v>384</v>
      </c>
      <c r="S158" s="26" t="s">
        <v>352</v>
      </c>
    </row>
    <row r="159" spans="1:26" ht="15" customHeight="1" x14ac:dyDescent="0.25">
      <c r="A159" s="3">
        <v>42297</v>
      </c>
      <c r="B159" s="9" t="s">
        <v>349</v>
      </c>
      <c r="C159" t="s">
        <v>370</v>
      </c>
      <c r="D159" t="s">
        <v>385</v>
      </c>
      <c r="E159" s="12" t="s">
        <v>6</v>
      </c>
      <c r="F159" s="5" t="s">
        <v>7</v>
      </c>
      <c r="G159" s="5" t="s">
        <v>8</v>
      </c>
      <c r="H159" s="6">
        <v>47.111866666666664</v>
      </c>
      <c r="I159" s="6">
        <v>-122.7248</v>
      </c>
      <c r="J159" s="6"/>
      <c r="K159" s="6"/>
      <c r="L159" s="15" t="s">
        <v>9</v>
      </c>
      <c r="M159" s="7">
        <v>0.21336000000000005</v>
      </c>
      <c r="N159" s="5"/>
      <c r="O159" s="5" t="s">
        <v>11</v>
      </c>
      <c r="P159" s="5" t="s">
        <v>23</v>
      </c>
      <c r="Q159" s="5" t="s">
        <v>48</v>
      </c>
      <c r="R159" s="17" t="s">
        <v>386</v>
      </c>
      <c r="S159" s="26" t="s">
        <v>352</v>
      </c>
    </row>
    <row r="160" spans="1:26" ht="15" customHeight="1" x14ac:dyDescent="0.25">
      <c r="A160" s="3">
        <v>42297</v>
      </c>
      <c r="B160" s="9" t="s">
        <v>349</v>
      </c>
      <c r="C160" t="s">
        <v>370</v>
      </c>
      <c r="D160" t="s">
        <v>387</v>
      </c>
      <c r="E160" s="12" t="s">
        <v>6</v>
      </c>
      <c r="F160" s="5" t="s">
        <v>7</v>
      </c>
      <c r="G160" s="5" t="s">
        <v>8</v>
      </c>
      <c r="H160" s="6">
        <v>47.114716666666666</v>
      </c>
      <c r="I160" s="6">
        <v>-122.66985</v>
      </c>
      <c r="J160" s="6"/>
      <c r="K160" s="6"/>
      <c r="L160" s="15" t="s">
        <v>9</v>
      </c>
      <c r="M160" s="7">
        <v>-0.51816000000000029</v>
      </c>
      <c r="N160" s="5"/>
      <c r="O160" s="5"/>
      <c r="P160" s="5" t="s">
        <v>23</v>
      </c>
      <c r="Q160" s="5" t="s">
        <v>24</v>
      </c>
      <c r="R160" s="17" t="s">
        <v>388</v>
      </c>
      <c r="S160" s="26" t="s">
        <v>352</v>
      </c>
    </row>
    <row r="161" spans="1:19" ht="15" customHeight="1" x14ac:dyDescent="0.25">
      <c r="A161" s="3">
        <v>42297</v>
      </c>
      <c r="B161" s="9" t="s">
        <v>349</v>
      </c>
      <c r="C161" t="s">
        <v>370</v>
      </c>
      <c r="D161" t="s">
        <v>389</v>
      </c>
      <c r="E161" s="12" t="s">
        <v>6</v>
      </c>
      <c r="F161" s="5" t="s">
        <v>7</v>
      </c>
      <c r="G161" s="5" t="s">
        <v>8</v>
      </c>
      <c r="H161" s="6">
        <v>47.114716666666666</v>
      </c>
      <c r="I161" s="6">
        <v>-122.66963333333334</v>
      </c>
      <c r="J161" s="6"/>
      <c r="K161" s="6"/>
      <c r="L161" s="15" t="s">
        <v>9</v>
      </c>
      <c r="M161" s="7">
        <v>0.36575999999999975</v>
      </c>
      <c r="N161" s="5"/>
      <c r="O161" s="5" t="s">
        <v>32</v>
      </c>
      <c r="P161" s="5" t="s">
        <v>23</v>
      </c>
      <c r="Q161" s="5" t="s">
        <v>24</v>
      </c>
      <c r="R161" s="17" t="s">
        <v>390</v>
      </c>
      <c r="S161" s="26" t="s">
        <v>352</v>
      </c>
    </row>
    <row r="162" spans="1:19" ht="15" customHeight="1" x14ac:dyDescent="0.25">
      <c r="A162" s="3">
        <v>42297</v>
      </c>
      <c r="B162" s="9" t="s">
        <v>349</v>
      </c>
      <c r="C162" t="s">
        <v>370</v>
      </c>
      <c r="D162" t="s">
        <v>391</v>
      </c>
      <c r="E162" s="12" t="s">
        <v>6</v>
      </c>
      <c r="F162" s="5" t="s">
        <v>7</v>
      </c>
      <c r="G162" s="5" t="s">
        <v>8</v>
      </c>
      <c r="H162" s="6">
        <v>47.114783333333335</v>
      </c>
      <c r="I162" s="6">
        <v>-122.66985</v>
      </c>
      <c r="J162" s="6"/>
      <c r="K162" s="6"/>
      <c r="L162" s="15" t="s">
        <v>9</v>
      </c>
      <c r="M162" s="7">
        <v>-0.54864000000000024</v>
      </c>
      <c r="N162" s="5"/>
      <c r="O162" s="5"/>
      <c r="P162" s="5" t="s">
        <v>23</v>
      </c>
      <c r="Q162" s="5" t="s">
        <v>24</v>
      </c>
      <c r="R162" s="17" t="s">
        <v>392</v>
      </c>
      <c r="S162" s="26" t="s">
        <v>352</v>
      </c>
    </row>
    <row r="163" spans="1:19" ht="15" customHeight="1" x14ac:dyDescent="0.25">
      <c r="A163" s="3">
        <v>42297</v>
      </c>
      <c r="B163" s="9" t="s">
        <v>349</v>
      </c>
      <c r="C163" t="s">
        <v>370</v>
      </c>
      <c r="D163" t="s">
        <v>393</v>
      </c>
      <c r="E163" s="12" t="s">
        <v>6</v>
      </c>
      <c r="F163" s="5" t="s">
        <v>7</v>
      </c>
      <c r="G163" s="5" t="s">
        <v>8</v>
      </c>
      <c r="H163" s="6">
        <v>47.103349999999999</v>
      </c>
      <c r="I163" s="6">
        <v>-122.72566666666667</v>
      </c>
      <c r="J163" s="6"/>
      <c r="K163" s="6"/>
      <c r="L163" s="15" t="s">
        <v>9</v>
      </c>
      <c r="M163" s="7">
        <v>-0.33527999999999991</v>
      </c>
      <c r="N163" s="5"/>
      <c r="O163" s="5" t="s">
        <v>11</v>
      </c>
      <c r="P163" s="5" t="s">
        <v>12</v>
      </c>
      <c r="Q163" s="5" t="s">
        <v>13</v>
      </c>
      <c r="R163" s="17" t="s">
        <v>360</v>
      </c>
      <c r="S163" s="26" t="s">
        <v>352</v>
      </c>
    </row>
    <row r="164" spans="1:19" ht="15" customHeight="1" x14ac:dyDescent="0.25">
      <c r="A164" s="3">
        <v>42297</v>
      </c>
      <c r="B164" s="9" t="s">
        <v>349</v>
      </c>
      <c r="C164" t="s">
        <v>370</v>
      </c>
      <c r="D164" t="s">
        <v>394</v>
      </c>
      <c r="E164" s="12" t="s">
        <v>6</v>
      </c>
      <c r="F164" s="5" t="s">
        <v>7</v>
      </c>
      <c r="G164" s="5" t="s">
        <v>8</v>
      </c>
      <c r="H164" s="6">
        <v>47.117216666666664</v>
      </c>
      <c r="I164" s="6">
        <v>-122.66791666666667</v>
      </c>
      <c r="J164" s="6"/>
      <c r="K164" s="6"/>
      <c r="L164" s="15" t="s">
        <v>9</v>
      </c>
      <c r="M164" s="7">
        <v>-0.12192000000000013</v>
      </c>
      <c r="N164" s="5"/>
      <c r="O164" s="5"/>
      <c r="P164" s="5" t="s">
        <v>36</v>
      </c>
      <c r="Q164" s="5" t="s">
        <v>13</v>
      </c>
      <c r="R164" s="17" t="s">
        <v>395</v>
      </c>
      <c r="S164" s="26" t="s">
        <v>352</v>
      </c>
    </row>
    <row r="165" spans="1:19" ht="15" customHeight="1" x14ac:dyDescent="0.25">
      <c r="A165" s="3">
        <v>42297</v>
      </c>
      <c r="B165" s="9" t="s">
        <v>349</v>
      </c>
      <c r="C165" t="s">
        <v>370</v>
      </c>
      <c r="D165" t="s">
        <v>396</v>
      </c>
      <c r="E165" s="12" t="s">
        <v>6</v>
      </c>
      <c r="F165" s="5" t="s">
        <v>7</v>
      </c>
      <c r="G165" s="5" t="s">
        <v>8</v>
      </c>
      <c r="H165" s="6">
        <v>47.117216666666664</v>
      </c>
      <c r="I165" s="6">
        <v>-122.66876666666667</v>
      </c>
      <c r="J165" s="6"/>
      <c r="K165" s="6"/>
      <c r="L165" s="15" t="s">
        <v>9</v>
      </c>
      <c r="M165" s="7">
        <v>-2.2860000000000005</v>
      </c>
      <c r="N165" s="5"/>
      <c r="O165" s="5"/>
      <c r="P165" s="5" t="s">
        <v>36</v>
      </c>
      <c r="Q165" s="5" t="s">
        <v>13</v>
      </c>
      <c r="R165" s="17" t="s">
        <v>397</v>
      </c>
      <c r="S165" s="26" t="s">
        <v>352</v>
      </c>
    </row>
    <row r="166" spans="1:19" ht="15" customHeight="1" x14ac:dyDescent="0.25">
      <c r="A166" s="3">
        <v>42297</v>
      </c>
      <c r="B166" s="9" t="s">
        <v>349</v>
      </c>
      <c r="C166" t="s">
        <v>370</v>
      </c>
      <c r="D166" t="s">
        <v>398</v>
      </c>
      <c r="E166" s="12" t="s">
        <v>6</v>
      </c>
      <c r="F166" s="5" t="s">
        <v>7</v>
      </c>
      <c r="G166" s="5" t="s">
        <v>8</v>
      </c>
      <c r="H166" s="6">
        <v>47.117216666666664</v>
      </c>
      <c r="I166" s="6">
        <v>-122.66898333333333</v>
      </c>
      <c r="J166" s="6"/>
      <c r="K166" s="6"/>
      <c r="L166" s="15" t="s">
        <v>9</v>
      </c>
      <c r="M166" s="7">
        <v>-2.5603199999999999</v>
      </c>
      <c r="N166" s="5"/>
      <c r="O166" s="5"/>
      <c r="P166" s="5" t="s">
        <v>12</v>
      </c>
      <c r="Q166" s="5" t="s">
        <v>13</v>
      </c>
      <c r="R166" s="17" t="s">
        <v>399</v>
      </c>
      <c r="S166" s="26" t="s">
        <v>352</v>
      </c>
    </row>
    <row r="167" spans="1:19" ht="15" customHeight="1" x14ac:dyDescent="0.25">
      <c r="A167" s="3">
        <v>42297</v>
      </c>
      <c r="B167" s="9" t="s">
        <v>349</v>
      </c>
      <c r="C167" t="s">
        <v>370</v>
      </c>
      <c r="D167" t="s">
        <v>400</v>
      </c>
      <c r="E167" s="12" t="s">
        <v>6</v>
      </c>
      <c r="F167" s="5" t="s">
        <v>7</v>
      </c>
      <c r="G167" s="5" t="s">
        <v>8</v>
      </c>
      <c r="H167" s="6">
        <v>47.104900000000001</v>
      </c>
      <c r="I167" s="6">
        <v>-122.7248</v>
      </c>
      <c r="J167" s="6"/>
      <c r="K167" s="6"/>
      <c r="L167" s="15" t="s">
        <v>9</v>
      </c>
      <c r="M167" s="7">
        <v>-1.0363200000000001</v>
      </c>
      <c r="N167" s="5"/>
      <c r="O167" s="5" t="s">
        <v>11</v>
      </c>
      <c r="P167" s="5" t="s">
        <v>23</v>
      </c>
      <c r="Q167" s="5" t="s">
        <v>48</v>
      </c>
      <c r="R167" s="17" t="s">
        <v>401</v>
      </c>
      <c r="S167" s="26" t="s">
        <v>352</v>
      </c>
    </row>
    <row r="168" spans="1:19" ht="15" customHeight="1" x14ac:dyDescent="0.25">
      <c r="A168" s="3">
        <v>42297</v>
      </c>
      <c r="B168" s="9" t="s">
        <v>349</v>
      </c>
      <c r="C168" t="s">
        <v>370</v>
      </c>
      <c r="D168" t="s">
        <v>402</v>
      </c>
      <c r="E168" s="12" t="s">
        <v>6</v>
      </c>
      <c r="F168" s="5" t="s">
        <v>7</v>
      </c>
      <c r="G168" s="5" t="s">
        <v>8</v>
      </c>
      <c r="H168" s="6">
        <v>47.105049999999999</v>
      </c>
      <c r="I168" s="6">
        <v>-122.72395</v>
      </c>
      <c r="J168" s="6"/>
      <c r="K168" s="6"/>
      <c r="L168" s="15" t="s">
        <v>9</v>
      </c>
      <c r="M168" s="7">
        <v>0.27432000000000012</v>
      </c>
      <c r="N168" s="5"/>
      <c r="O168" s="5" t="s">
        <v>11</v>
      </c>
      <c r="P168" s="5" t="s">
        <v>23</v>
      </c>
      <c r="Q168" s="5" t="s">
        <v>48</v>
      </c>
      <c r="R168" s="17" t="s">
        <v>403</v>
      </c>
      <c r="S168" s="26" t="s">
        <v>352</v>
      </c>
    </row>
    <row r="169" spans="1:19" ht="15" customHeight="1" x14ac:dyDescent="0.25">
      <c r="A169" s="3">
        <v>42297</v>
      </c>
      <c r="B169" s="9" t="s">
        <v>349</v>
      </c>
      <c r="C169" t="s">
        <v>370</v>
      </c>
      <c r="D169" t="s">
        <v>404</v>
      </c>
      <c r="E169" s="12" t="s">
        <v>6</v>
      </c>
      <c r="F169" s="5" t="s">
        <v>7</v>
      </c>
      <c r="G169" s="5" t="s">
        <v>8</v>
      </c>
      <c r="H169" s="6">
        <v>47.105049999999999</v>
      </c>
      <c r="I169" s="6">
        <v>-122.72448333333334</v>
      </c>
      <c r="J169" s="6"/>
      <c r="K169" s="6"/>
      <c r="L169" s="15" t="s">
        <v>9</v>
      </c>
      <c r="M169" s="7">
        <v>-3.0479999999999893E-2</v>
      </c>
      <c r="N169" s="5"/>
      <c r="O169" s="5" t="s">
        <v>11</v>
      </c>
      <c r="P169" s="5" t="s">
        <v>12</v>
      </c>
      <c r="Q169" s="5" t="s">
        <v>13</v>
      </c>
      <c r="R169" s="17" t="s">
        <v>360</v>
      </c>
      <c r="S169" s="26" t="s">
        <v>352</v>
      </c>
    </row>
    <row r="170" spans="1:19" ht="15" customHeight="1" x14ac:dyDescent="0.25">
      <c r="A170" s="3">
        <v>42297</v>
      </c>
      <c r="B170" s="9" t="s">
        <v>349</v>
      </c>
      <c r="C170" t="s">
        <v>370</v>
      </c>
      <c r="D170" t="s">
        <v>405</v>
      </c>
      <c r="E170" s="12" t="s">
        <v>6</v>
      </c>
      <c r="F170" s="5" t="s">
        <v>7</v>
      </c>
      <c r="G170" s="5" t="s">
        <v>8</v>
      </c>
      <c r="H170" s="6">
        <v>47.109983333333332</v>
      </c>
      <c r="I170" s="6">
        <v>-122.70831666666666</v>
      </c>
      <c r="J170" s="6"/>
      <c r="K170" s="6"/>
      <c r="L170" s="15" t="s">
        <v>9</v>
      </c>
      <c r="M170" s="7">
        <v>0.42671999999999954</v>
      </c>
      <c r="N170" s="5"/>
      <c r="O170" s="5" t="s">
        <v>11</v>
      </c>
      <c r="P170" s="5" t="s">
        <v>23</v>
      </c>
      <c r="Q170" s="5" t="s">
        <v>24</v>
      </c>
      <c r="R170" s="17" t="s">
        <v>406</v>
      </c>
      <c r="S170" s="26" t="s">
        <v>352</v>
      </c>
    </row>
    <row r="171" spans="1:19" ht="15" customHeight="1" x14ac:dyDescent="0.25">
      <c r="A171" s="3">
        <v>42297</v>
      </c>
      <c r="B171" s="9" t="s">
        <v>349</v>
      </c>
      <c r="C171" t="s">
        <v>370</v>
      </c>
      <c r="D171" t="s">
        <v>407</v>
      </c>
      <c r="E171" s="12" t="s">
        <v>6</v>
      </c>
      <c r="F171" s="5" t="s">
        <v>7</v>
      </c>
      <c r="G171" s="5" t="s">
        <v>8</v>
      </c>
      <c r="H171" s="6">
        <v>47.110166666666665</v>
      </c>
      <c r="I171" s="6">
        <v>-122.70816666666667</v>
      </c>
      <c r="J171" s="6"/>
      <c r="K171" s="6"/>
      <c r="L171" s="15" t="s">
        <v>9</v>
      </c>
      <c r="M171" s="7">
        <v>0.42671999999999954</v>
      </c>
      <c r="N171" s="5"/>
      <c r="O171" s="5" t="s">
        <v>11</v>
      </c>
      <c r="P171" s="5" t="s">
        <v>23</v>
      </c>
      <c r="Q171" s="5" t="s">
        <v>24</v>
      </c>
      <c r="R171" s="17" t="s">
        <v>406</v>
      </c>
      <c r="S171" s="26" t="s">
        <v>352</v>
      </c>
    </row>
    <row r="172" spans="1:19" ht="15" customHeight="1" x14ac:dyDescent="0.25">
      <c r="A172" s="3">
        <v>42297</v>
      </c>
      <c r="B172" s="9" t="s">
        <v>349</v>
      </c>
      <c r="C172" t="s">
        <v>370</v>
      </c>
      <c r="D172" t="s">
        <v>408</v>
      </c>
      <c r="E172" s="12" t="s">
        <v>6</v>
      </c>
      <c r="F172" s="5" t="s">
        <v>7</v>
      </c>
      <c r="G172" s="5" t="s">
        <v>8</v>
      </c>
      <c r="H172" s="6">
        <v>47.111150000000002</v>
      </c>
      <c r="I172" s="6">
        <v>-122.71828333333333</v>
      </c>
      <c r="J172" s="6"/>
      <c r="K172" s="6"/>
      <c r="L172" s="15" t="s">
        <v>9</v>
      </c>
      <c r="M172" s="7">
        <v>0.18287999999999988</v>
      </c>
      <c r="N172" s="5"/>
      <c r="O172" s="5" t="s">
        <v>11</v>
      </c>
      <c r="P172" s="5" t="s">
        <v>23</v>
      </c>
      <c r="Q172" s="5" t="s">
        <v>24</v>
      </c>
      <c r="R172" s="17" t="s">
        <v>409</v>
      </c>
      <c r="S172" s="26" t="s">
        <v>352</v>
      </c>
    </row>
    <row r="173" spans="1:19" ht="15" customHeight="1" x14ac:dyDescent="0.25">
      <c r="A173" s="3">
        <v>42297</v>
      </c>
      <c r="B173" s="9" t="s">
        <v>349</v>
      </c>
      <c r="C173" t="s">
        <v>370</v>
      </c>
      <c r="D173" t="s">
        <v>410</v>
      </c>
      <c r="E173" s="12" t="s">
        <v>6</v>
      </c>
      <c r="F173" s="5" t="s">
        <v>7</v>
      </c>
      <c r="G173" s="5" t="s">
        <v>8</v>
      </c>
      <c r="H173" s="6">
        <v>47.111150000000002</v>
      </c>
      <c r="I173" s="6">
        <v>-122.71806666666667</v>
      </c>
      <c r="J173" s="6"/>
      <c r="K173" s="6"/>
      <c r="L173" s="15" t="s">
        <v>9</v>
      </c>
      <c r="M173" s="7">
        <v>-0.15240000000000001</v>
      </c>
      <c r="N173" s="5"/>
      <c r="O173" s="5" t="s">
        <v>11</v>
      </c>
      <c r="P173" s="5" t="s">
        <v>23</v>
      </c>
      <c r="Q173" s="5" t="s">
        <v>24</v>
      </c>
      <c r="R173" s="17" t="s">
        <v>411</v>
      </c>
      <c r="S173" s="26" t="s">
        <v>352</v>
      </c>
    </row>
    <row r="174" spans="1:19" ht="15" customHeight="1" x14ac:dyDescent="0.25">
      <c r="A174" s="3">
        <v>42297</v>
      </c>
      <c r="B174" s="9" t="s">
        <v>349</v>
      </c>
      <c r="C174" t="s">
        <v>61</v>
      </c>
      <c r="D174" t="s">
        <v>412</v>
      </c>
      <c r="E174" s="12" t="s">
        <v>6</v>
      </c>
      <c r="F174" s="5" t="s">
        <v>7</v>
      </c>
      <c r="G174" s="5" t="s">
        <v>8</v>
      </c>
      <c r="H174" s="6">
        <v>47.126916666666666</v>
      </c>
      <c r="I174" s="6">
        <v>-122.70926666666666</v>
      </c>
      <c r="J174" s="6"/>
      <c r="K174" s="6"/>
      <c r="L174" s="15" t="s">
        <v>9</v>
      </c>
      <c r="M174" s="7">
        <v>-9.1440000000000216E-2</v>
      </c>
      <c r="N174" s="5"/>
      <c r="O174" s="5"/>
      <c r="P174" s="5" t="s">
        <v>12</v>
      </c>
      <c r="Q174" s="5" t="s">
        <v>13</v>
      </c>
      <c r="R174" s="17" t="s">
        <v>413</v>
      </c>
      <c r="S174" s="26" t="s">
        <v>352</v>
      </c>
    </row>
    <row r="175" spans="1:19" ht="15" customHeight="1" x14ac:dyDescent="0.25">
      <c r="A175" s="3">
        <v>42297</v>
      </c>
      <c r="B175" s="9" t="s">
        <v>349</v>
      </c>
      <c r="C175" t="s">
        <v>61</v>
      </c>
      <c r="D175" t="s">
        <v>414</v>
      </c>
      <c r="E175" s="12" t="s">
        <v>6</v>
      </c>
      <c r="F175" s="5" t="s">
        <v>7</v>
      </c>
      <c r="G175" s="5" t="s">
        <v>8</v>
      </c>
      <c r="H175" s="6">
        <v>47.127783333333333</v>
      </c>
      <c r="I175" s="6">
        <v>-122.71141666666666</v>
      </c>
      <c r="J175" s="6"/>
      <c r="K175" s="6"/>
      <c r="L175" s="15" t="s">
        <v>9</v>
      </c>
      <c r="M175" s="7">
        <v>0.48767999999999989</v>
      </c>
      <c r="N175" s="5"/>
      <c r="O175" s="5"/>
      <c r="P175" s="5" t="s">
        <v>23</v>
      </c>
      <c r="Q175" s="5" t="s">
        <v>24</v>
      </c>
      <c r="R175" s="17" t="s">
        <v>415</v>
      </c>
      <c r="S175" s="26" t="s">
        <v>352</v>
      </c>
    </row>
    <row r="176" spans="1:19" ht="15" customHeight="1" x14ac:dyDescent="0.25">
      <c r="A176" s="3">
        <v>42297</v>
      </c>
      <c r="B176" s="9" t="s">
        <v>349</v>
      </c>
      <c r="C176" t="s">
        <v>61</v>
      </c>
      <c r="D176" t="s">
        <v>416</v>
      </c>
      <c r="E176" s="12" t="s">
        <v>6</v>
      </c>
      <c r="F176" s="5" t="s">
        <v>7</v>
      </c>
      <c r="G176" s="5" t="s">
        <v>8</v>
      </c>
      <c r="H176" s="6">
        <v>47.128816666666665</v>
      </c>
      <c r="I176" s="6">
        <v>-122.71386666666666</v>
      </c>
      <c r="J176" s="6"/>
      <c r="K176" s="6"/>
      <c r="L176" s="15" t="s">
        <v>9</v>
      </c>
      <c r="M176" s="7">
        <v>-0.39624000000000026</v>
      </c>
      <c r="N176" s="5"/>
      <c r="O176" s="5" t="s">
        <v>256</v>
      </c>
      <c r="P176" s="5" t="s">
        <v>23</v>
      </c>
      <c r="Q176" s="5" t="s">
        <v>48</v>
      </c>
      <c r="R176" s="17" t="s">
        <v>417</v>
      </c>
      <c r="S176" s="26" t="s">
        <v>352</v>
      </c>
    </row>
    <row r="177" spans="1:19" ht="15" customHeight="1" x14ac:dyDescent="0.25">
      <c r="A177" s="3">
        <v>42297</v>
      </c>
      <c r="B177" s="9" t="s">
        <v>349</v>
      </c>
      <c r="C177" t="s">
        <v>61</v>
      </c>
      <c r="D177" t="s">
        <v>418</v>
      </c>
      <c r="E177" s="12" t="s">
        <v>6</v>
      </c>
      <c r="F177" s="5" t="s">
        <v>7</v>
      </c>
      <c r="G177" s="5" t="s">
        <v>8</v>
      </c>
      <c r="H177" s="6">
        <v>47.128966666666663</v>
      </c>
      <c r="I177" s="6">
        <v>-122.71381666666667</v>
      </c>
      <c r="J177" s="6"/>
      <c r="K177" s="6"/>
      <c r="L177" s="15" t="s">
        <v>9</v>
      </c>
      <c r="M177" s="7">
        <v>0</v>
      </c>
      <c r="N177" s="5"/>
      <c r="O177" s="5" t="s">
        <v>32</v>
      </c>
      <c r="P177" s="5" t="s">
        <v>23</v>
      </c>
      <c r="Q177" s="5" t="s">
        <v>24</v>
      </c>
      <c r="R177" s="17" t="s">
        <v>419</v>
      </c>
      <c r="S177" s="26" t="s">
        <v>352</v>
      </c>
    </row>
    <row r="178" spans="1:19" ht="15" customHeight="1" x14ac:dyDescent="0.25">
      <c r="A178" s="3">
        <v>42297</v>
      </c>
      <c r="B178" s="9" t="s">
        <v>349</v>
      </c>
      <c r="C178" t="s">
        <v>61</v>
      </c>
      <c r="D178" t="s">
        <v>420</v>
      </c>
      <c r="E178" s="12" t="s">
        <v>6</v>
      </c>
      <c r="F178" s="5" t="s">
        <v>7</v>
      </c>
      <c r="G178" s="5" t="s">
        <v>8</v>
      </c>
      <c r="H178" s="6">
        <v>47.132550000000002</v>
      </c>
      <c r="I178" s="6">
        <v>-122.71776666666666</v>
      </c>
      <c r="J178" s="6"/>
      <c r="K178" s="6"/>
      <c r="L178" s="15" t="s">
        <v>9</v>
      </c>
      <c r="M178" s="7"/>
      <c r="N178" s="5"/>
      <c r="O178" s="5" t="s">
        <v>11</v>
      </c>
      <c r="P178" s="5" t="s">
        <v>23</v>
      </c>
      <c r="Q178" s="5" t="s">
        <v>63</v>
      </c>
      <c r="R178" s="17" t="s">
        <v>421</v>
      </c>
      <c r="S178" s="26" t="s">
        <v>352</v>
      </c>
    </row>
    <row r="179" spans="1:19" ht="15" customHeight="1" x14ac:dyDescent="0.25">
      <c r="A179" s="3">
        <v>42297</v>
      </c>
      <c r="B179" s="9" t="s">
        <v>349</v>
      </c>
      <c r="C179" t="s">
        <v>61</v>
      </c>
      <c r="D179" t="s">
        <v>422</v>
      </c>
      <c r="E179" s="12" t="s">
        <v>6</v>
      </c>
      <c r="F179" s="5" t="s">
        <v>7</v>
      </c>
      <c r="G179" s="5" t="s">
        <v>8</v>
      </c>
      <c r="H179" s="6">
        <v>47.133299999999998</v>
      </c>
      <c r="I179" s="6">
        <v>-122.71858333333333</v>
      </c>
      <c r="J179" s="6"/>
      <c r="K179" s="6"/>
      <c r="L179" s="15" t="s">
        <v>9</v>
      </c>
      <c r="M179" s="7">
        <v>-0.94488000000000039</v>
      </c>
      <c r="N179" s="5"/>
      <c r="O179" s="5" t="s">
        <v>11</v>
      </c>
      <c r="P179" s="5" t="s">
        <v>23</v>
      </c>
      <c r="Q179" s="5" t="s">
        <v>63</v>
      </c>
      <c r="R179" s="17" t="s">
        <v>423</v>
      </c>
      <c r="S179" s="26" t="s">
        <v>352</v>
      </c>
    </row>
    <row r="180" spans="1:19" ht="15" customHeight="1" x14ac:dyDescent="0.25">
      <c r="A180" s="3">
        <v>42297</v>
      </c>
      <c r="B180" s="9" t="s">
        <v>349</v>
      </c>
      <c r="C180" t="s">
        <v>61</v>
      </c>
      <c r="D180" t="s">
        <v>424</v>
      </c>
      <c r="E180" s="12" t="s">
        <v>6</v>
      </c>
      <c r="F180" s="5" t="s">
        <v>7</v>
      </c>
      <c r="G180" s="5" t="s">
        <v>8</v>
      </c>
      <c r="H180" s="6">
        <v>47.1374</v>
      </c>
      <c r="I180" s="6">
        <v>-122.72221666666667</v>
      </c>
      <c r="J180" s="6"/>
      <c r="K180" s="6"/>
      <c r="L180" s="15" t="s">
        <v>9</v>
      </c>
      <c r="M180" s="7">
        <v>-1.8897599999999997</v>
      </c>
      <c r="N180" s="5"/>
      <c r="O180" s="5" t="s">
        <v>11</v>
      </c>
      <c r="P180" s="5" t="s">
        <v>23</v>
      </c>
      <c r="Q180" s="5" t="s">
        <v>63</v>
      </c>
      <c r="R180" s="17" t="s">
        <v>425</v>
      </c>
      <c r="S180" s="26" t="s">
        <v>352</v>
      </c>
    </row>
    <row r="181" spans="1:19" ht="15" customHeight="1" x14ac:dyDescent="0.25">
      <c r="A181" s="3">
        <v>42297</v>
      </c>
      <c r="B181" s="9" t="s">
        <v>349</v>
      </c>
      <c r="C181" t="s">
        <v>61</v>
      </c>
      <c r="D181" t="s">
        <v>426</v>
      </c>
      <c r="E181" s="12" t="s">
        <v>6</v>
      </c>
      <c r="F181" s="5" t="s">
        <v>7</v>
      </c>
      <c r="G181" s="5" t="s">
        <v>8</v>
      </c>
      <c r="H181" s="6">
        <v>47.137749999999997</v>
      </c>
      <c r="I181" s="6">
        <v>-122.72268333333334</v>
      </c>
      <c r="J181" s="6"/>
      <c r="K181" s="6"/>
      <c r="L181" s="15" t="s">
        <v>9</v>
      </c>
      <c r="M181" s="7">
        <v>-0.4267200000000001</v>
      </c>
      <c r="N181" s="5"/>
      <c r="O181" s="5" t="s">
        <v>11</v>
      </c>
      <c r="P181" s="5" t="s">
        <v>23</v>
      </c>
      <c r="Q181" s="5" t="s">
        <v>24</v>
      </c>
      <c r="R181" s="17" t="s">
        <v>427</v>
      </c>
      <c r="S181" s="26" t="s">
        <v>352</v>
      </c>
    </row>
    <row r="182" spans="1:19" ht="15" customHeight="1" x14ac:dyDescent="0.25">
      <c r="A182" s="3">
        <v>42297</v>
      </c>
      <c r="B182" s="9" t="s">
        <v>349</v>
      </c>
      <c r="C182" t="s">
        <v>61</v>
      </c>
      <c r="D182" t="s">
        <v>428</v>
      </c>
      <c r="E182" s="12" t="s">
        <v>6</v>
      </c>
      <c r="F182" s="5" t="s">
        <v>7</v>
      </c>
      <c r="G182" s="5" t="s">
        <v>8</v>
      </c>
      <c r="H182" s="6">
        <v>47.138083333333334</v>
      </c>
      <c r="I182" s="6">
        <v>-122.72331666666666</v>
      </c>
      <c r="J182" s="6"/>
      <c r="K182" s="6"/>
      <c r="L182" s="15" t="s">
        <v>9</v>
      </c>
      <c r="M182" s="7">
        <v>-0.88392000000000015</v>
      </c>
      <c r="N182" s="5"/>
      <c r="O182" s="5" t="s">
        <v>11</v>
      </c>
      <c r="P182" s="5" t="s">
        <v>23</v>
      </c>
      <c r="Q182" s="5" t="s">
        <v>63</v>
      </c>
      <c r="R182" s="17" t="s">
        <v>429</v>
      </c>
      <c r="S182" s="26" t="s">
        <v>352</v>
      </c>
    </row>
    <row r="183" spans="1:19" ht="15" customHeight="1" x14ac:dyDescent="0.25">
      <c r="A183" s="3">
        <v>42297</v>
      </c>
      <c r="B183" s="9" t="s">
        <v>349</v>
      </c>
      <c r="C183" t="s">
        <v>61</v>
      </c>
      <c r="D183" t="s">
        <v>430</v>
      </c>
      <c r="E183" s="12" t="s">
        <v>6</v>
      </c>
      <c r="F183" s="5" t="s">
        <v>7</v>
      </c>
      <c r="G183" s="5" t="s">
        <v>8</v>
      </c>
      <c r="H183" s="6">
        <v>47.142150000000001</v>
      </c>
      <c r="I183" s="6">
        <v>-122.7315</v>
      </c>
      <c r="J183" s="6"/>
      <c r="K183" s="6"/>
      <c r="L183" s="15" t="s">
        <v>9</v>
      </c>
      <c r="M183" s="7">
        <v>-0.4267200000000001</v>
      </c>
      <c r="N183" s="5"/>
      <c r="O183" s="5" t="s">
        <v>11</v>
      </c>
      <c r="P183" s="5" t="s">
        <v>23</v>
      </c>
      <c r="Q183" s="5" t="s">
        <v>48</v>
      </c>
      <c r="R183" s="17" t="s">
        <v>431</v>
      </c>
      <c r="S183" s="26" t="s">
        <v>352</v>
      </c>
    </row>
    <row r="184" spans="1:19" ht="15" customHeight="1" x14ac:dyDescent="0.25">
      <c r="A184" s="3">
        <v>42297</v>
      </c>
      <c r="B184" s="9" t="s">
        <v>349</v>
      </c>
      <c r="C184" t="s">
        <v>61</v>
      </c>
      <c r="D184" t="s">
        <v>432</v>
      </c>
      <c r="E184" s="12" t="s">
        <v>6</v>
      </c>
      <c r="F184" s="5" t="s">
        <v>7</v>
      </c>
      <c r="G184" s="5" t="s">
        <v>8</v>
      </c>
      <c r="H184" s="6">
        <v>47.142366666666668</v>
      </c>
      <c r="I184" s="6">
        <v>-122.7306</v>
      </c>
      <c r="J184" s="6"/>
      <c r="K184" s="6"/>
      <c r="L184" s="15" t="s">
        <v>9</v>
      </c>
      <c r="M184" s="7">
        <v>-0.12192000000000013</v>
      </c>
      <c r="N184" s="5"/>
      <c r="O184" s="5" t="s">
        <v>11</v>
      </c>
      <c r="P184" s="5" t="s">
        <v>23</v>
      </c>
      <c r="Q184" s="5" t="s">
        <v>48</v>
      </c>
      <c r="R184" s="17" t="s">
        <v>433</v>
      </c>
      <c r="S184" s="26" t="s">
        <v>352</v>
      </c>
    </row>
    <row r="185" spans="1:19" ht="15" customHeight="1" x14ac:dyDescent="0.25">
      <c r="A185" s="3">
        <v>42297</v>
      </c>
      <c r="B185" s="9" t="s">
        <v>349</v>
      </c>
      <c r="C185" t="s">
        <v>61</v>
      </c>
      <c r="D185" t="s">
        <v>434</v>
      </c>
      <c r="E185" s="12" t="s">
        <v>6</v>
      </c>
      <c r="F185" s="5" t="s">
        <v>7</v>
      </c>
      <c r="G185" s="5" t="s">
        <v>8</v>
      </c>
      <c r="H185" s="6">
        <v>47.126916666666666</v>
      </c>
      <c r="I185" s="6">
        <v>-122.7097</v>
      </c>
      <c r="J185" s="6"/>
      <c r="K185" s="6"/>
      <c r="L185" s="15" t="s">
        <v>9</v>
      </c>
      <c r="M185" s="7">
        <v>-0.39624000000000026</v>
      </c>
      <c r="N185" s="5"/>
      <c r="O185" s="5"/>
      <c r="P185" s="5" t="s">
        <v>12</v>
      </c>
      <c r="Q185" s="5" t="s">
        <v>13</v>
      </c>
      <c r="R185" s="17" t="s">
        <v>435</v>
      </c>
      <c r="S185" s="26" t="s">
        <v>352</v>
      </c>
    </row>
    <row r="186" spans="1:19" ht="15" customHeight="1" x14ac:dyDescent="0.25">
      <c r="A186" s="3">
        <v>42297</v>
      </c>
      <c r="B186" s="9" t="s">
        <v>349</v>
      </c>
      <c r="C186" t="s">
        <v>61</v>
      </c>
      <c r="D186" t="s">
        <v>436</v>
      </c>
      <c r="E186" s="12" t="s">
        <v>6</v>
      </c>
      <c r="F186" s="5" t="s">
        <v>7</v>
      </c>
      <c r="G186" s="5" t="s">
        <v>8</v>
      </c>
      <c r="H186" s="6">
        <v>47.144416666666665</v>
      </c>
      <c r="I186" s="6">
        <v>-122.73205</v>
      </c>
      <c r="J186" s="6"/>
      <c r="K186" s="6"/>
      <c r="L186" s="15" t="s">
        <v>9</v>
      </c>
      <c r="M186" s="7">
        <v>0.4267200000000001</v>
      </c>
      <c r="N186" s="5"/>
      <c r="O186" s="5" t="s">
        <v>32</v>
      </c>
      <c r="P186" s="5" t="s">
        <v>23</v>
      </c>
      <c r="Q186" s="5" t="s">
        <v>24</v>
      </c>
      <c r="R186" s="17" t="s">
        <v>32</v>
      </c>
      <c r="S186" s="26" t="s">
        <v>352</v>
      </c>
    </row>
    <row r="187" spans="1:19" ht="15" customHeight="1" x14ac:dyDescent="0.25">
      <c r="A187" s="3">
        <v>42297</v>
      </c>
      <c r="B187" s="9" t="s">
        <v>349</v>
      </c>
      <c r="C187" t="s">
        <v>61</v>
      </c>
      <c r="D187" t="s">
        <v>437</v>
      </c>
      <c r="E187" s="12" t="s">
        <v>6</v>
      </c>
      <c r="F187" s="5" t="s">
        <v>7</v>
      </c>
      <c r="G187" s="5" t="s">
        <v>8</v>
      </c>
      <c r="H187" s="6">
        <v>47.144633333333331</v>
      </c>
      <c r="I187" s="6">
        <v>-122.73271666666666</v>
      </c>
      <c r="J187" s="6"/>
      <c r="K187" s="6"/>
      <c r="L187" s="15" t="s">
        <v>9</v>
      </c>
      <c r="M187" s="7">
        <v>-0.70103999999999966</v>
      </c>
      <c r="N187" s="5"/>
      <c r="O187" s="5" t="s">
        <v>11</v>
      </c>
      <c r="P187" s="5" t="s">
        <v>23</v>
      </c>
      <c r="Q187" s="5" t="s">
        <v>48</v>
      </c>
      <c r="R187" s="17" t="s">
        <v>438</v>
      </c>
      <c r="S187" s="26" t="s">
        <v>352</v>
      </c>
    </row>
    <row r="188" spans="1:19" ht="15" customHeight="1" x14ac:dyDescent="0.25">
      <c r="A188" s="3">
        <v>42297</v>
      </c>
      <c r="B188" s="9" t="s">
        <v>349</v>
      </c>
      <c r="C188" t="s">
        <v>61</v>
      </c>
      <c r="D188" t="s">
        <v>439</v>
      </c>
      <c r="E188" s="12" t="s">
        <v>6</v>
      </c>
      <c r="F188" s="5" t="s">
        <v>7</v>
      </c>
      <c r="G188" s="5" t="s">
        <v>8</v>
      </c>
      <c r="H188" s="6">
        <v>47.12703333333333</v>
      </c>
      <c r="I188" s="6">
        <v>-122.70925</v>
      </c>
      <c r="J188" s="6"/>
      <c r="K188" s="6"/>
      <c r="L188" s="15" t="s">
        <v>9</v>
      </c>
      <c r="M188" s="7">
        <v>0.4572</v>
      </c>
      <c r="N188" s="5"/>
      <c r="O188" s="5"/>
      <c r="P188" s="5" t="s">
        <v>12</v>
      </c>
      <c r="Q188" s="5" t="s">
        <v>13</v>
      </c>
      <c r="R188" s="17" t="s">
        <v>440</v>
      </c>
      <c r="S188" s="26" t="s">
        <v>352</v>
      </c>
    </row>
    <row r="189" spans="1:19" ht="15" customHeight="1" x14ac:dyDescent="0.25">
      <c r="A189" s="3">
        <v>42297</v>
      </c>
      <c r="B189" s="9" t="s">
        <v>349</v>
      </c>
      <c r="C189" t="s">
        <v>61</v>
      </c>
      <c r="D189" t="s">
        <v>441</v>
      </c>
      <c r="E189" s="12" t="s">
        <v>6</v>
      </c>
      <c r="F189" s="5" t="s">
        <v>7</v>
      </c>
      <c r="G189" s="5" t="s">
        <v>8</v>
      </c>
      <c r="H189" s="6">
        <v>47.127266666666664</v>
      </c>
      <c r="I189" s="6">
        <v>-122.71013333333333</v>
      </c>
      <c r="J189" s="6"/>
      <c r="K189" s="6"/>
      <c r="L189" s="15" t="s">
        <v>9</v>
      </c>
      <c r="M189" s="7">
        <v>0.30480000000000002</v>
      </c>
      <c r="N189" s="5"/>
      <c r="O189" s="5"/>
      <c r="P189" s="5" t="s">
        <v>18</v>
      </c>
      <c r="Q189" s="5" t="s">
        <v>13</v>
      </c>
      <c r="R189" s="17" t="s">
        <v>442</v>
      </c>
      <c r="S189" s="26" t="s">
        <v>352</v>
      </c>
    </row>
    <row r="190" spans="1:19" ht="15" customHeight="1" x14ac:dyDescent="0.25">
      <c r="A190" s="3">
        <v>42297</v>
      </c>
      <c r="B190" s="9" t="s">
        <v>349</v>
      </c>
      <c r="C190" t="s">
        <v>61</v>
      </c>
      <c r="D190" t="s">
        <v>443</v>
      </c>
      <c r="E190" s="12" t="s">
        <v>6</v>
      </c>
      <c r="F190" s="5" t="s">
        <v>7</v>
      </c>
      <c r="G190" s="5" t="s">
        <v>8</v>
      </c>
      <c r="H190" s="6">
        <v>47.127333333333333</v>
      </c>
      <c r="I190" s="6">
        <v>-122.71068333333334</v>
      </c>
      <c r="J190" s="6"/>
      <c r="K190" s="6"/>
      <c r="L190" s="15" t="s">
        <v>9</v>
      </c>
      <c r="M190" s="7">
        <v>-0.36576000000000031</v>
      </c>
      <c r="N190" s="5"/>
      <c r="O190" s="5"/>
      <c r="P190" s="5" t="s">
        <v>12</v>
      </c>
      <c r="Q190" s="5" t="s">
        <v>13</v>
      </c>
      <c r="R190" s="17" t="s">
        <v>444</v>
      </c>
      <c r="S190" s="26" t="s">
        <v>352</v>
      </c>
    </row>
    <row r="191" spans="1:19" ht="15" customHeight="1" x14ac:dyDescent="0.25">
      <c r="A191" s="3">
        <v>42297</v>
      </c>
      <c r="B191" s="9" t="s">
        <v>349</v>
      </c>
      <c r="C191" t="s">
        <v>61</v>
      </c>
      <c r="D191" t="s">
        <v>445</v>
      </c>
      <c r="E191" s="12" t="s">
        <v>6</v>
      </c>
      <c r="F191" s="5" t="s">
        <v>7</v>
      </c>
      <c r="G191" s="5" t="s">
        <v>8</v>
      </c>
      <c r="H191" s="6">
        <v>47.127383333333334</v>
      </c>
      <c r="I191" s="6">
        <v>-122.71071666666667</v>
      </c>
      <c r="J191" s="6"/>
      <c r="K191" s="6"/>
      <c r="L191" s="15" t="s">
        <v>9</v>
      </c>
      <c r="M191" s="7">
        <v>-0.24384000000000025</v>
      </c>
      <c r="N191" s="5"/>
      <c r="O191" s="5"/>
      <c r="P191" s="5" t="s">
        <v>12</v>
      </c>
      <c r="Q191" s="5" t="s">
        <v>13</v>
      </c>
      <c r="R191" s="17" t="s">
        <v>444</v>
      </c>
      <c r="S191" s="26" t="s">
        <v>352</v>
      </c>
    </row>
    <row r="192" spans="1:19" ht="15" customHeight="1" x14ac:dyDescent="0.25">
      <c r="A192" s="3">
        <v>42297</v>
      </c>
      <c r="B192" s="9" t="s">
        <v>349</v>
      </c>
      <c r="C192" t="s">
        <v>61</v>
      </c>
      <c r="D192" t="s">
        <v>446</v>
      </c>
      <c r="E192" s="12" t="s">
        <v>6</v>
      </c>
      <c r="F192" s="5" t="s">
        <v>7</v>
      </c>
      <c r="G192" s="5" t="s">
        <v>8</v>
      </c>
      <c r="H192" s="6">
        <v>47.127416666666669</v>
      </c>
      <c r="I192" s="6">
        <v>-122.7103</v>
      </c>
      <c r="J192" s="6"/>
      <c r="K192" s="6"/>
      <c r="L192" s="15" t="s">
        <v>9</v>
      </c>
      <c r="M192" s="7">
        <v>0.60960000000000003</v>
      </c>
      <c r="N192" s="5"/>
      <c r="O192" s="5"/>
      <c r="P192" s="5" t="s">
        <v>23</v>
      </c>
      <c r="Q192" s="5" t="s">
        <v>24</v>
      </c>
      <c r="R192" s="17" t="s">
        <v>447</v>
      </c>
      <c r="S192" s="26" t="s">
        <v>352</v>
      </c>
    </row>
    <row r="193" spans="1:26" ht="15" customHeight="1" x14ac:dyDescent="0.25">
      <c r="A193" s="3">
        <v>42297</v>
      </c>
      <c r="B193" s="9" t="s">
        <v>349</v>
      </c>
      <c r="C193" t="s">
        <v>61</v>
      </c>
      <c r="D193" t="s">
        <v>448</v>
      </c>
      <c r="E193" s="12" t="s">
        <v>6</v>
      </c>
      <c r="F193" s="5" t="s">
        <v>7</v>
      </c>
      <c r="G193" s="5" t="s">
        <v>8</v>
      </c>
      <c r="H193" s="6">
        <v>47.127450000000003</v>
      </c>
      <c r="I193" s="6">
        <v>-122.71086666666666</v>
      </c>
      <c r="J193" s="6"/>
      <c r="K193" s="6"/>
      <c r="L193" s="15" t="s">
        <v>9</v>
      </c>
      <c r="M193" s="7">
        <v>-0.18288000000000043</v>
      </c>
      <c r="N193" s="5"/>
      <c r="O193" s="5"/>
      <c r="P193" s="5" t="s">
        <v>12</v>
      </c>
      <c r="Q193" s="5" t="s">
        <v>13</v>
      </c>
      <c r="R193" s="17" t="s">
        <v>444</v>
      </c>
      <c r="S193" s="26" t="s">
        <v>352</v>
      </c>
    </row>
    <row r="194" spans="1:26" ht="15" customHeight="1" x14ac:dyDescent="0.25">
      <c r="A194" s="3">
        <v>42297</v>
      </c>
      <c r="B194" s="9" t="s">
        <v>349</v>
      </c>
      <c r="C194" t="s">
        <v>61</v>
      </c>
      <c r="D194" t="s">
        <v>449</v>
      </c>
      <c r="E194" s="12" t="s">
        <v>6</v>
      </c>
      <c r="F194" s="5" t="s">
        <v>7</v>
      </c>
      <c r="G194" s="5" t="s">
        <v>8</v>
      </c>
      <c r="H194" s="6">
        <v>47.127549999999999</v>
      </c>
      <c r="I194" s="6">
        <v>-122.71091666666666</v>
      </c>
      <c r="J194" s="6"/>
      <c r="K194" s="6"/>
      <c r="L194" s="15" t="s">
        <v>9</v>
      </c>
      <c r="M194" s="7">
        <v>3.0479999999999893E-2</v>
      </c>
      <c r="N194" s="5"/>
      <c r="O194" s="5"/>
      <c r="P194" s="5" t="s">
        <v>12</v>
      </c>
      <c r="Q194" s="5" t="s">
        <v>13</v>
      </c>
      <c r="R194" s="17" t="s">
        <v>450</v>
      </c>
      <c r="S194" s="26" t="s">
        <v>352</v>
      </c>
    </row>
    <row r="195" spans="1:26" ht="15" customHeight="1" x14ac:dyDescent="0.25">
      <c r="A195" s="3">
        <v>42297</v>
      </c>
      <c r="B195" s="9" t="s">
        <v>349</v>
      </c>
      <c r="C195" t="s">
        <v>451</v>
      </c>
      <c r="D195" t="s">
        <v>452</v>
      </c>
      <c r="E195" s="12" t="s">
        <v>6</v>
      </c>
      <c r="F195" s="5" t="s">
        <v>7</v>
      </c>
      <c r="G195" s="5" t="s">
        <v>8</v>
      </c>
      <c r="H195" s="6">
        <v>47.121033333333337</v>
      </c>
      <c r="I195" s="6">
        <v>-122.77323333333334</v>
      </c>
      <c r="J195" s="6"/>
      <c r="K195" s="6"/>
      <c r="L195" s="15" t="s">
        <v>9</v>
      </c>
      <c r="M195" s="7">
        <v>1.6763999999999999</v>
      </c>
      <c r="N195" s="5"/>
      <c r="O195" s="5" t="s">
        <v>11</v>
      </c>
      <c r="P195" s="5" t="s">
        <v>23</v>
      </c>
      <c r="Q195" s="5" t="s">
        <v>24</v>
      </c>
      <c r="R195" s="17" t="s">
        <v>453</v>
      </c>
      <c r="S195" s="26" t="s">
        <v>352</v>
      </c>
    </row>
    <row r="196" spans="1:26" ht="15" customHeight="1" x14ac:dyDescent="0.25">
      <c r="A196" s="3">
        <v>42297</v>
      </c>
      <c r="B196" s="9" t="s">
        <v>349</v>
      </c>
      <c r="C196" t="s">
        <v>451</v>
      </c>
      <c r="D196" t="s">
        <v>454</v>
      </c>
      <c r="E196" s="12" t="s">
        <v>6</v>
      </c>
      <c r="F196" s="5" t="s">
        <v>7</v>
      </c>
      <c r="G196" s="5" t="s">
        <v>8</v>
      </c>
      <c r="H196" s="6">
        <v>47.121400000000001</v>
      </c>
      <c r="I196" s="6">
        <v>-122.77298333333333</v>
      </c>
      <c r="J196" s="6"/>
      <c r="K196" s="6"/>
      <c r="L196" s="15" t="s">
        <v>9</v>
      </c>
      <c r="M196" s="7">
        <v>1.1582399999999997</v>
      </c>
      <c r="N196" s="5"/>
      <c r="O196" s="5" t="s">
        <v>11</v>
      </c>
      <c r="P196" s="5" t="s">
        <v>23</v>
      </c>
      <c r="Q196" s="5" t="s">
        <v>24</v>
      </c>
      <c r="R196" s="17" t="s">
        <v>455</v>
      </c>
      <c r="S196" s="26" t="s">
        <v>352</v>
      </c>
    </row>
    <row r="197" spans="1:26" ht="15" customHeight="1" x14ac:dyDescent="0.25">
      <c r="A197" s="3">
        <v>42297</v>
      </c>
      <c r="B197" s="9" t="s">
        <v>349</v>
      </c>
      <c r="C197" t="s">
        <v>451</v>
      </c>
      <c r="D197" t="s">
        <v>456</v>
      </c>
      <c r="E197" s="12" t="s">
        <v>6</v>
      </c>
      <c r="F197" s="5" t="s">
        <v>7</v>
      </c>
      <c r="G197" s="5" t="s">
        <v>8</v>
      </c>
      <c r="H197" s="6">
        <v>47.122166666666665</v>
      </c>
      <c r="I197" s="6">
        <v>-122.77249999999999</v>
      </c>
      <c r="J197" s="6"/>
      <c r="K197" s="6"/>
      <c r="L197" s="15" t="s">
        <v>9</v>
      </c>
      <c r="M197" s="7">
        <v>0.24383999999999967</v>
      </c>
      <c r="N197" s="5"/>
      <c r="O197" s="5" t="s">
        <v>11</v>
      </c>
      <c r="P197" s="5" t="s">
        <v>23</v>
      </c>
      <c r="Q197" s="5" t="s">
        <v>48</v>
      </c>
      <c r="R197" s="17" t="s">
        <v>457</v>
      </c>
      <c r="S197" s="26" t="s">
        <v>352</v>
      </c>
    </row>
    <row r="198" spans="1:26" ht="15" customHeight="1" x14ac:dyDescent="0.25">
      <c r="A198" s="3">
        <v>42297</v>
      </c>
      <c r="B198" s="9" t="s">
        <v>349</v>
      </c>
      <c r="C198" t="s">
        <v>451</v>
      </c>
      <c r="D198" t="s">
        <v>458</v>
      </c>
      <c r="E198" s="12" t="s">
        <v>6</v>
      </c>
      <c r="F198" s="5" t="s">
        <v>7</v>
      </c>
      <c r="G198" s="5" t="s">
        <v>8</v>
      </c>
      <c r="H198" s="6">
        <v>47.122683333333335</v>
      </c>
      <c r="I198" s="6">
        <v>-122.77106666666667</v>
      </c>
      <c r="J198" s="6"/>
      <c r="K198" s="6"/>
      <c r="L198" s="15" t="s">
        <v>9</v>
      </c>
      <c r="M198" s="7">
        <v>6.0960000000000319E-2</v>
      </c>
      <c r="N198" s="5"/>
      <c r="O198" s="5" t="s">
        <v>11</v>
      </c>
      <c r="P198" s="5" t="s">
        <v>23</v>
      </c>
      <c r="Q198" s="5" t="s">
        <v>24</v>
      </c>
      <c r="R198" s="17" t="s">
        <v>459</v>
      </c>
      <c r="S198" s="26" t="s">
        <v>352</v>
      </c>
    </row>
    <row r="199" spans="1:26" ht="15" customHeight="1" x14ac:dyDescent="0.25">
      <c r="A199" s="3">
        <v>42297</v>
      </c>
      <c r="B199" s="9" t="s">
        <v>349</v>
      </c>
      <c r="C199" t="s">
        <v>451</v>
      </c>
      <c r="D199" t="s">
        <v>460</v>
      </c>
      <c r="E199" s="12" t="s">
        <v>6</v>
      </c>
      <c r="F199" s="5" t="s">
        <v>7</v>
      </c>
      <c r="G199" s="5" t="s">
        <v>8</v>
      </c>
      <c r="H199" s="6">
        <v>47.123150000000003</v>
      </c>
      <c r="I199" s="6">
        <v>-122.77070000000001</v>
      </c>
      <c r="J199" s="6"/>
      <c r="K199" s="6"/>
      <c r="L199" s="15" t="s">
        <v>9</v>
      </c>
      <c r="M199" s="7">
        <v>-0.67056000000000027</v>
      </c>
      <c r="N199" s="5"/>
      <c r="O199" s="5" t="s">
        <v>11</v>
      </c>
      <c r="P199" s="5" t="s">
        <v>23</v>
      </c>
      <c r="Q199" s="5" t="s">
        <v>48</v>
      </c>
      <c r="R199" s="17" t="s">
        <v>461</v>
      </c>
      <c r="S199" s="26" t="s">
        <v>352</v>
      </c>
    </row>
    <row r="200" spans="1:26" ht="15" customHeight="1" x14ac:dyDescent="0.25">
      <c r="A200" s="3">
        <v>42299</v>
      </c>
      <c r="B200" s="9" t="s">
        <v>349</v>
      </c>
      <c r="C200" s="9" t="s">
        <v>462</v>
      </c>
      <c r="D200" s="9" t="s">
        <v>463</v>
      </c>
      <c r="E200" s="12" t="s">
        <v>6</v>
      </c>
      <c r="F200" s="23" t="s">
        <v>17</v>
      </c>
      <c r="G200" s="23" t="s">
        <v>8</v>
      </c>
      <c r="H200" s="24">
        <v>48.133949999999999</v>
      </c>
      <c r="I200" s="24">
        <v>-123.50393333333334</v>
      </c>
      <c r="J200" s="24">
        <v>48.132416666666664</v>
      </c>
      <c r="K200" s="24">
        <v>-123.50478333333334</v>
      </c>
      <c r="L200" s="15" t="s">
        <v>9</v>
      </c>
      <c r="M200" s="25">
        <v>-3</v>
      </c>
      <c r="N200" s="23" t="s">
        <v>10</v>
      </c>
      <c r="O200" s="23" t="s">
        <v>11</v>
      </c>
      <c r="P200" s="23" t="s">
        <v>23</v>
      </c>
      <c r="Q200" s="23" t="s">
        <v>48</v>
      </c>
      <c r="R200" s="17" t="s">
        <v>464</v>
      </c>
      <c r="S200" s="26"/>
    </row>
    <row r="201" spans="1:26" ht="15" customHeight="1" x14ac:dyDescent="0.25">
      <c r="A201" s="3">
        <v>42299</v>
      </c>
      <c r="B201" s="9" t="s">
        <v>349</v>
      </c>
      <c r="C201" s="9" t="s">
        <v>462</v>
      </c>
      <c r="D201" s="9" t="s">
        <v>465</v>
      </c>
      <c r="E201" s="12" t="s">
        <v>6</v>
      </c>
      <c r="F201" s="23" t="s">
        <v>17</v>
      </c>
      <c r="G201" s="23" t="s">
        <v>8</v>
      </c>
      <c r="H201" s="24">
        <v>48.134099999999997</v>
      </c>
      <c r="I201" s="24">
        <v>-123.5097</v>
      </c>
      <c r="J201" s="24">
        <v>48.132566666666669</v>
      </c>
      <c r="K201" s="24">
        <v>-123.50873333333334</v>
      </c>
      <c r="L201" s="15" t="s">
        <v>9</v>
      </c>
      <c r="M201" s="25">
        <v>-3</v>
      </c>
      <c r="N201" s="23" t="s">
        <v>10</v>
      </c>
      <c r="O201" s="23" t="s">
        <v>35</v>
      </c>
      <c r="P201" s="23" t="s">
        <v>23</v>
      </c>
      <c r="Q201" s="23" t="s">
        <v>48</v>
      </c>
      <c r="R201" s="17" t="s">
        <v>466</v>
      </c>
      <c r="S201" s="26"/>
      <c r="T201" s="9"/>
      <c r="U201" s="9"/>
      <c r="V201" s="9"/>
      <c r="W201" s="9"/>
      <c r="X201" s="9"/>
      <c r="Y201" s="9"/>
      <c r="Z201" s="9"/>
    </row>
    <row r="202" spans="1:26" s="9" customFormat="1" ht="15" customHeight="1" x14ac:dyDescent="0.25">
      <c r="A202" s="3">
        <v>42299</v>
      </c>
      <c r="B202" s="9" t="s">
        <v>349</v>
      </c>
      <c r="C202" s="9" t="s">
        <v>462</v>
      </c>
      <c r="D202" s="9" t="s">
        <v>467</v>
      </c>
      <c r="E202" s="12" t="s">
        <v>6</v>
      </c>
      <c r="F202" s="23" t="s">
        <v>17</v>
      </c>
      <c r="G202" s="23" t="s">
        <v>8</v>
      </c>
      <c r="H202" s="24">
        <v>48.137633333333333</v>
      </c>
      <c r="I202" s="24">
        <v>-123.52101666666667</v>
      </c>
      <c r="J202" s="24">
        <v>48.134983333333331</v>
      </c>
      <c r="K202" s="24">
        <v>-123.52086666666666</v>
      </c>
      <c r="L202" s="15" t="s">
        <v>9</v>
      </c>
      <c r="M202" s="25">
        <v>-3</v>
      </c>
      <c r="N202" s="23" t="s">
        <v>10</v>
      </c>
      <c r="O202" s="23" t="s">
        <v>35</v>
      </c>
      <c r="P202" s="23" t="s">
        <v>23</v>
      </c>
      <c r="Q202" s="23" t="s">
        <v>24</v>
      </c>
      <c r="R202" s="17" t="s">
        <v>468</v>
      </c>
      <c r="S202" s="26"/>
    </row>
    <row r="203" spans="1:26" s="9" customFormat="1" ht="15" customHeight="1" x14ac:dyDescent="0.25">
      <c r="A203" s="3">
        <v>42299</v>
      </c>
      <c r="B203" s="9" t="s">
        <v>349</v>
      </c>
      <c r="C203" s="9" t="s">
        <v>462</v>
      </c>
      <c r="D203" s="9" t="s">
        <v>469</v>
      </c>
      <c r="E203" s="12" t="s">
        <v>6</v>
      </c>
      <c r="F203" s="23" t="s">
        <v>17</v>
      </c>
      <c r="G203" s="23" t="s">
        <v>8</v>
      </c>
      <c r="H203" s="24">
        <v>48.1404</v>
      </c>
      <c r="I203" s="24">
        <v>-123.52476666666666</v>
      </c>
      <c r="J203" s="24">
        <v>48.138283333333334</v>
      </c>
      <c r="K203" s="24">
        <v>-123.52616666666667</v>
      </c>
      <c r="L203" s="15" t="s">
        <v>9</v>
      </c>
      <c r="M203" s="25">
        <v>-3</v>
      </c>
      <c r="N203" s="23" t="s">
        <v>10</v>
      </c>
      <c r="O203" s="23" t="s">
        <v>35</v>
      </c>
      <c r="P203" s="23" t="s">
        <v>23</v>
      </c>
      <c r="Q203" s="23" t="s">
        <v>48</v>
      </c>
      <c r="R203" s="17" t="s">
        <v>470</v>
      </c>
      <c r="S203" s="26"/>
    </row>
    <row r="204" spans="1:26" s="9" customFormat="1" ht="15" customHeight="1" x14ac:dyDescent="0.25">
      <c r="A204" s="3">
        <v>42299</v>
      </c>
      <c r="B204" s="9" t="s">
        <v>349</v>
      </c>
      <c r="C204" s="9" t="s">
        <v>462</v>
      </c>
      <c r="D204" s="9" t="s">
        <v>471</v>
      </c>
      <c r="E204" s="12" t="s">
        <v>6</v>
      </c>
      <c r="F204" s="23" t="s">
        <v>17</v>
      </c>
      <c r="G204" s="23" t="s">
        <v>8</v>
      </c>
      <c r="H204" s="24">
        <v>48.143883333333335</v>
      </c>
      <c r="I204" s="24">
        <v>-123.5294</v>
      </c>
      <c r="J204" s="24">
        <v>48.142383333333335</v>
      </c>
      <c r="K204" s="24">
        <v>-123.53128333333333</v>
      </c>
      <c r="L204" s="15" t="s">
        <v>9</v>
      </c>
      <c r="M204" s="25">
        <v>-3</v>
      </c>
      <c r="N204" s="23" t="s">
        <v>10</v>
      </c>
      <c r="O204" s="23" t="s">
        <v>35</v>
      </c>
      <c r="P204" s="23" t="s">
        <v>23</v>
      </c>
      <c r="Q204" s="23" t="s">
        <v>24</v>
      </c>
      <c r="R204" s="17" t="s">
        <v>472</v>
      </c>
      <c r="S204" s="26"/>
    </row>
    <row r="205" spans="1:26" s="9" customFormat="1" ht="15" customHeight="1" x14ac:dyDescent="0.25">
      <c r="A205" s="3">
        <v>42299</v>
      </c>
      <c r="B205" s="9" t="s">
        <v>349</v>
      </c>
      <c r="C205" s="9" t="s">
        <v>462</v>
      </c>
      <c r="D205" s="9" t="s">
        <v>473</v>
      </c>
      <c r="E205" s="12" t="s">
        <v>6</v>
      </c>
      <c r="F205" s="23" t="s">
        <v>17</v>
      </c>
      <c r="G205" s="23" t="s">
        <v>8</v>
      </c>
      <c r="H205" s="24">
        <v>48.144599999999997</v>
      </c>
      <c r="I205" s="24">
        <v>-123.43383333333334</v>
      </c>
      <c r="J205" s="24">
        <v>48.142733333333332</v>
      </c>
      <c r="K205" s="24">
        <v>-123.43428333333334</v>
      </c>
      <c r="L205" s="15" t="s">
        <v>9</v>
      </c>
      <c r="M205" s="25">
        <v>-3</v>
      </c>
      <c r="N205" s="23" t="s">
        <v>10</v>
      </c>
      <c r="O205" s="23" t="s">
        <v>11</v>
      </c>
      <c r="P205" s="23" t="s">
        <v>12</v>
      </c>
      <c r="Q205" s="23" t="s">
        <v>13</v>
      </c>
      <c r="R205" s="17" t="s">
        <v>474</v>
      </c>
      <c r="S205" s="26"/>
    </row>
    <row r="206" spans="1:26" s="9" customFormat="1" ht="15" customHeight="1" x14ac:dyDescent="0.25">
      <c r="A206" s="3">
        <v>42299</v>
      </c>
      <c r="B206" s="9" t="s">
        <v>349</v>
      </c>
      <c r="C206" s="9" t="s">
        <v>462</v>
      </c>
      <c r="D206" s="9" t="s">
        <v>475</v>
      </c>
      <c r="E206" s="12" t="s">
        <v>6</v>
      </c>
      <c r="F206" s="23" t="s">
        <v>17</v>
      </c>
      <c r="G206" s="23" t="s">
        <v>8</v>
      </c>
      <c r="H206" s="24">
        <v>48.147433333333332</v>
      </c>
      <c r="I206" s="24">
        <v>-123.53328333333333</v>
      </c>
      <c r="J206" s="24">
        <v>48.145583333333335</v>
      </c>
      <c r="K206" s="24">
        <v>-123.53481666666667</v>
      </c>
      <c r="L206" s="15" t="s">
        <v>9</v>
      </c>
      <c r="M206" s="25">
        <v>-3</v>
      </c>
      <c r="N206" s="23" t="s">
        <v>10</v>
      </c>
      <c r="O206" s="23" t="s">
        <v>35</v>
      </c>
      <c r="P206" s="23" t="s">
        <v>23</v>
      </c>
      <c r="Q206" s="23" t="s">
        <v>48</v>
      </c>
      <c r="R206" s="17" t="s">
        <v>476</v>
      </c>
      <c r="S206" s="26"/>
    </row>
    <row r="207" spans="1:26" s="9" customFormat="1" ht="15" customHeight="1" x14ac:dyDescent="0.25">
      <c r="A207" s="3">
        <v>42299</v>
      </c>
      <c r="B207" s="9" t="s">
        <v>349</v>
      </c>
      <c r="C207" s="9" t="s">
        <v>462</v>
      </c>
      <c r="D207" s="9" t="s">
        <v>477</v>
      </c>
      <c r="E207" s="12" t="s">
        <v>6</v>
      </c>
      <c r="F207" s="23" t="s">
        <v>17</v>
      </c>
      <c r="G207" s="23" t="s">
        <v>8</v>
      </c>
      <c r="H207" s="24">
        <v>48.147966666666669</v>
      </c>
      <c r="I207" s="24">
        <v>-123.53776666666667</v>
      </c>
      <c r="J207" s="24">
        <v>48.147116666666669</v>
      </c>
      <c r="K207" s="24">
        <v>-123.53806666666667</v>
      </c>
      <c r="L207" s="15" t="s">
        <v>9</v>
      </c>
      <c r="M207" s="25">
        <v>-3</v>
      </c>
      <c r="N207" s="23" t="s">
        <v>66</v>
      </c>
      <c r="O207" s="23" t="s">
        <v>11</v>
      </c>
      <c r="P207" s="23" t="s">
        <v>23</v>
      </c>
      <c r="Q207" s="23" t="s">
        <v>48</v>
      </c>
      <c r="R207" s="17" t="s">
        <v>478</v>
      </c>
      <c r="S207" s="26"/>
    </row>
    <row r="208" spans="1:26" s="9" customFormat="1" ht="15" customHeight="1" x14ac:dyDescent="0.25">
      <c r="A208" s="3">
        <v>42457</v>
      </c>
      <c r="B208" s="9" t="s">
        <v>349</v>
      </c>
      <c r="C208" s="9" t="s">
        <v>462</v>
      </c>
      <c r="D208" s="9" t="s">
        <v>479</v>
      </c>
      <c r="E208" s="12" t="s">
        <v>6</v>
      </c>
      <c r="F208" s="23" t="s">
        <v>17</v>
      </c>
      <c r="G208" s="23" t="s">
        <v>8</v>
      </c>
      <c r="H208" s="24">
        <v>48.138733333333334</v>
      </c>
      <c r="I208" s="24">
        <v>-123.58603333333333</v>
      </c>
      <c r="J208" s="24">
        <v>48.137433333333334</v>
      </c>
      <c r="K208" s="24">
        <v>-123.58895</v>
      </c>
      <c r="L208" s="15" t="s">
        <v>9</v>
      </c>
      <c r="M208" s="20">
        <v>-7.4980799999999999</v>
      </c>
      <c r="N208" s="23" t="s">
        <v>66</v>
      </c>
      <c r="O208" s="23"/>
      <c r="P208" s="23" t="s">
        <v>23</v>
      </c>
      <c r="Q208" s="23" t="s">
        <v>48</v>
      </c>
      <c r="R208" s="27" t="s">
        <v>480</v>
      </c>
      <c r="S208" s="26" t="s">
        <v>481</v>
      </c>
    </row>
    <row r="209" spans="1:19" s="9" customFormat="1" ht="15" customHeight="1" x14ac:dyDescent="0.25">
      <c r="A209" s="3">
        <v>42457</v>
      </c>
      <c r="B209" s="9" t="s">
        <v>349</v>
      </c>
      <c r="C209" s="9" t="s">
        <v>462</v>
      </c>
      <c r="D209" s="9" t="s">
        <v>482</v>
      </c>
      <c r="E209" s="12" t="s">
        <v>6</v>
      </c>
      <c r="F209" s="23" t="s">
        <v>7</v>
      </c>
      <c r="G209" s="23" t="s">
        <v>8</v>
      </c>
      <c r="H209" s="24">
        <v>48.135166666666663</v>
      </c>
      <c r="I209" s="24">
        <v>-123.47233333333334</v>
      </c>
      <c r="J209" s="24"/>
      <c r="K209" s="24"/>
      <c r="L209" s="15" t="s">
        <v>9</v>
      </c>
      <c r="M209" s="20">
        <v>-7.2938640000000001</v>
      </c>
      <c r="N209" s="23"/>
      <c r="O209" s="23"/>
      <c r="P209" s="23" t="s">
        <v>23</v>
      </c>
      <c r="Q209" s="23" t="s">
        <v>48</v>
      </c>
      <c r="R209" s="17" t="s">
        <v>483</v>
      </c>
      <c r="S209" s="26"/>
    </row>
    <row r="210" spans="1:19" s="9" customFormat="1" ht="15" customHeight="1" x14ac:dyDescent="0.25">
      <c r="A210" s="3">
        <v>42457</v>
      </c>
      <c r="B210" s="9" t="s">
        <v>349</v>
      </c>
      <c r="C210" s="9" t="s">
        <v>462</v>
      </c>
      <c r="D210" s="9" t="s">
        <v>484</v>
      </c>
      <c r="E210" s="12" t="s">
        <v>6</v>
      </c>
      <c r="F210" s="23" t="s">
        <v>7</v>
      </c>
      <c r="G210" s="23" t="s">
        <v>8</v>
      </c>
      <c r="H210" s="24">
        <v>48.137566666666665</v>
      </c>
      <c r="I210" s="24">
        <v>-123.58696666666667</v>
      </c>
      <c r="J210" s="24"/>
      <c r="K210" s="24"/>
      <c r="L210" s="15" t="s">
        <v>9</v>
      </c>
      <c r="M210" s="20">
        <v>-3.9624000000000001</v>
      </c>
      <c r="N210" s="23" t="s">
        <v>66</v>
      </c>
      <c r="O210" s="23"/>
      <c r="P210" s="23" t="s">
        <v>23</v>
      </c>
      <c r="Q210" s="23" t="s">
        <v>48</v>
      </c>
      <c r="R210" s="17" t="s">
        <v>485</v>
      </c>
      <c r="S210" s="26" t="s">
        <v>481</v>
      </c>
    </row>
    <row r="211" spans="1:19" s="9" customFormat="1" ht="15" customHeight="1" x14ac:dyDescent="0.25">
      <c r="A211" s="3">
        <v>42457</v>
      </c>
      <c r="B211" s="9" t="s">
        <v>349</v>
      </c>
      <c r="C211" s="9" t="s">
        <v>462</v>
      </c>
      <c r="D211" s="9" t="s">
        <v>486</v>
      </c>
      <c r="E211" s="12" t="s">
        <v>6</v>
      </c>
      <c r="F211" s="23" t="s">
        <v>7</v>
      </c>
      <c r="G211" s="23" t="s">
        <v>8</v>
      </c>
      <c r="H211" s="24">
        <v>48.137833333333333</v>
      </c>
      <c r="I211" s="24">
        <v>-123.58491666666667</v>
      </c>
      <c r="J211" s="24"/>
      <c r="K211" s="24"/>
      <c r="L211" s="15" t="s">
        <v>9</v>
      </c>
      <c r="M211" s="20">
        <v>-4.1452799999999996</v>
      </c>
      <c r="N211" s="23"/>
      <c r="O211" s="23"/>
      <c r="P211" s="23" t="s">
        <v>12</v>
      </c>
      <c r="Q211" s="23" t="s">
        <v>13</v>
      </c>
      <c r="R211" s="17" t="s">
        <v>487</v>
      </c>
      <c r="S211" s="26" t="s">
        <v>481</v>
      </c>
    </row>
    <row r="212" spans="1:19" s="9" customFormat="1" ht="15" customHeight="1" x14ac:dyDescent="0.25">
      <c r="A212" s="3">
        <v>42457</v>
      </c>
      <c r="B212" s="9" t="s">
        <v>349</v>
      </c>
      <c r="C212" s="9" t="s">
        <v>462</v>
      </c>
      <c r="D212" s="9" t="s">
        <v>488</v>
      </c>
      <c r="E212" s="12" t="s">
        <v>6</v>
      </c>
      <c r="F212" s="23" t="s">
        <v>7</v>
      </c>
      <c r="G212" s="23" t="s">
        <v>8</v>
      </c>
      <c r="H212" s="24">
        <v>48.137916666666669</v>
      </c>
      <c r="I212" s="24">
        <v>-123.58448333333334</v>
      </c>
      <c r="J212" s="24"/>
      <c r="K212" s="24"/>
      <c r="L212" s="15" t="s">
        <v>9</v>
      </c>
      <c r="M212" s="20">
        <v>-4.4378880000000001</v>
      </c>
      <c r="N212" s="23" t="s">
        <v>66</v>
      </c>
      <c r="O212" s="23"/>
      <c r="P212" s="23" t="s">
        <v>23</v>
      </c>
      <c r="Q212" s="23" t="s">
        <v>48</v>
      </c>
      <c r="R212" s="17" t="s">
        <v>489</v>
      </c>
      <c r="S212" s="26" t="s">
        <v>481</v>
      </c>
    </row>
    <row r="213" spans="1:19" s="9" customFormat="1" ht="15" customHeight="1" x14ac:dyDescent="0.25">
      <c r="A213" s="3">
        <v>42457</v>
      </c>
      <c r="B213" s="9" t="s">
        <v>349</v>
      </c>
      <c r="C213" s="9" t="s">
        <v>462</v>
      </c>
      <c r="D213" s="9" t="s">
        <v>490</v>
      </c>
      <c r="E213" s="12" t="s">
        <v>6</v>
      </c>
      <c r="F213" s="23" t="s">
        <v>7</v>
      </c>
      <c r="G213" s="23" t="s">
        <v>8</v>
      </c>
      <c r="H213" s="24">
        <v>48.140066666666669</v>
      </c>
      <c r="I213" s="24">
        <v>-123.57825</v>
      </c>
      <c r="J213" s="24"/>
      <c r="K213" s="24"/>
      <c r="L213" s="15" t="s">
        <v>9</v>
      </c>
      <c r="M213" s="20">
        <v>-4.0233600000000003</v>
      </c>
      <c r="N213" s="23" t="s">
        <v>491</v>
      </c>
      <c r="O213" s="23"/>
      <c r="P213" s="23" t="s">
        <v>23</v>
      </c>
      <c r="Q213" s="23" t="s">
        <v>24</v>
      </c>
      <c r="R213" s="17" t="s">
        <v>492</v>
      </c>
      <c r="S213" s="26" t="s">
        <v>481</v>
      </c>
    </row>
    <row r="214" spans="1:19" s="9" customFormat="1" ht="15" customHeight="1" x14ac:dyDescent="0.25">
      <c r="A214" s="3">
        <v>42457</v>
      </c>
      <c r="B214" s="9" t="s">
        <v>349</v>
      </c>
      <c r="C214" s="9" t="s">
        <v>462</v>
      </c>
      <c r="D214" s="9" t="s">
        <v>493</v>
      </c>
      <c r="E214" s="12" t="s">
        <v>6</v>
      </c>
      <c r="F214" s="23" t="s">
        <v>7</v>
      </c>
      <c r="G214" s="23" t="s">
        <v>8</v>
      </c>
      <c r="H214" s="24">
        <v>48.140300000000003</v>
      </c>
      <c r="I214" s="24">
        <v>-123.57911666666666</v>
      </c>
      <c r="J214" s="24"/>
      <c r="K214" s="24"/>
      <c r="L214" s="15" t="s">
        <v>9</v>
      </c>
      <c r="M214" s="20">
        <v>-5.6083199999999991</v>
      </c>
      <c r="N214" s="23" t="s">
        <v>66</v>
      </c>
      <c r="O214" s="23"/>
      <c r="P214" s="23" t="s">
        <v>23</v>
      </c>
      <c r="Q214" s="23" t="s">
        <v>24</v>
      </c>
      <c r="R214" s="17" t="s">
        <v>494</v>
      </c>
      <c r="S214" s="26" t="s">
        <v>481</v>
      </c>
    </row>
    <row r="215" spans="1:19" s="9" customFormat="1" ht="15" customHeight="1" x14ac:dyDescent="0.25">
      <c r="A215" s="3">
        <v>42457</v>
      </c>
      <c r="B215" s="9" t="s">
        <v>349</v>
      </c>
      <c r="C215" s="9" t="s">
        <v>462</v>
      </c>
      <c r="D215" s="9" t="s">
        <v>495</v>
      </c>
      <c r="E215" s="12" t="s">
        <v>6</v>
      </c>
      <c r="F215" s="23" t="s">
        <v>7</v>
      </c>
      <c r="G215" s="23" t="s">
        <v>8</v>
      </c>
      <c r="H215" s="24">
        <v>48.147649999999999</v>
      </c>
      <c r="I215" s="24">
        <v>-123.53506666666667</v>
      </c>
      <c r="J215" s="24"/>
      <c r="K215" s="24"/>
      <c r="L215" s="15" t="s">
        <v>9</v>
      </c>
      <c r="M215" s="20">
        <v>-3.7795200000000002</v>
      </c>
      <c r="N215" s="23"/>
      <c r="O215" s="23"/>
      <c r="P215" s="23" t="s">
        <v>23</v>
      </c>
      <c r="Q215" s="23" t="s">
        <v>48</v>
      </c>
      <c r="R215" s="17" t="s">
        <v>496</v>
      </c>
      <c r="S215" s="26" t="s">
        <v>481</v>
      </c>
    </row>
    <row r="216" spans="1:19" s="9" customFormat="1" ht="15" customHeight="1" x14ac:dyDescent="0.25">
      <c r="A216" s="3">
        <v>42493</v>
      </c>
      <c r="B216" s="9" t="s">
        <v>349</v>
      </c>
      <c r="C216" s="9" t="s">
        <v>497</v>
      </c>
      <c r="D216" s="9" t="s">
        <v>498</v>
      </c>
      <c r="E216" s="12" t="s">
        <v>6</v>
      </c>
      <c r="F216" s="23" t="s">
        <v>17</v>
      </c>
      <c r="G216" s="23" t="s">
        <v>8</v>
      </c>
      <c r="H216" s="24">
        <v>48.32855</v>
      </c>
      <c r="I216" s="24">
        <v>-122.50796666666666</v>
      </c>
      <c r="J216" s="24">
        <v>48.328183333333335</v>
      </c>
      <c r="K216" s="24">
        <v>-122.50656666666667</v>
      </c>
      <c r="L216" s="15" t="s">
        <v>9</v>
      </c>
      <c r="M216" s="20">
        <v>-1.0363199999999997</v>
      </c>
      <c r="N216" s="23"/>
      <c r="O216" s="23"/>
      <c r="P216" s="23" t="s">
        <v>12</v>
      </c>
      <c r="Q216" s="23" t="s">
        <v>13</v>
      </c>
      <c r="R216" s="17" t="s">
        <v>499</v>
      </c>
      <c r="S216" s="26" t="s">
        <v>500</v>
      </c>
    </row>
    <row r="217" spans="1:19" s="9" customFormat="1" ht="15" customHeight="1" x14ac:dyDescent="0.25">
      <c r="A217" s="3">
        <v>42493</v>
      </c>
      <c r="B217" s="9" t="s">
        <v>349</v>
      </c>
      <c r="C217" s="9" t="s">
        <v>497</v>
      </c>
      <c r="D217" s="9" t="s">
        <v>501</v>
      </c>
      <c r="E217" s="12" t="s">
        <v>6</v>
      </c>
      <c r="F217" s="23" t="s">
        <v>7</v>
      </c>
      <c r="G217" s="23" t="s">
        <v>8</v>
      </c>
      <c r="H217" s="24">
        <v>48.3429</v>
      </c>
      <c r="I217" s="24">
        <v>-122.53716666666666</v>
      </c>
      <c r="J217" s="24"/>
      <c r="K217" s="24"/>
      <c r="L217" s="15" t="s">
        <v>9</v>
      </c>
      <c r="M217" s="25">
        <v>-0.94488000000000005</v>
      </c>
      <c r="N217" s="23"/>
      <c r="O217" s="23"/>
      <c r="P217" s="23" t="s">
        <v>12</v>
      </c>
      <c r="Q217" s="23" t="s">
        <v>13</v>
      </c>
      <c r="R217" s="17" t="s">
        <v>502</v>
      </c>
      <c r="S217" s="26" t="s">
        <v>500</v>
      </c>
    </row>
    <row r="218" spans="1:19" s="9" customFormat="1" ht="15" customHeight="1" x14ac:dyDescent="0.25">
      <c r="A218" s="3">
        <v>42493</v>
      </c>
      <c r="B218" s="9" t="s">
        <v>349</v>
      </c>
      <c r="C218" s="9" t="s">
        <v>497</v>
      </c>
      <c r="D218" s="9" t="s">
        <v>503</v>
      </c>
      <c r="E218" s="12" t="s">
        <v>6</v>
      </c>
      <c r="F218" s="23" t="s">
        <v>7</v>
      </c>
      <c r="G218" s="23" t="s">
        <v>8</v>
      </c>
      <c r="H218" s="24">
        <v>48.344050000000003</v>
      </c>
      <c r="I218" s="24">
        <v>-122.53873333333334</v>
      </c>
      <c r="J218" s="24"/>
      <c r="K218" s="24"/>
      <c r="L218" s="15" t="s">
        <v>9</v>
      </c>
      <c r="M218" s="25">
        <v>-0.64007999999999998</v>
      </c>
      <c r="N218" s="23"/>
      <c r="O218" s="23"/>
      <c r="P218" s="23" t="s">
        <v>12</v>
      </c>
      <c r="Q218" s="23" t="s">
        <v>13</v>
      </c>
      <c r="R218" s="17" t="s">
        <v>504</v>
      </c>
      <c r="S218" s="26" t="s">
        <v>500</v>
      </c>
    </row>
    <row r="219" spans="1:19" s="9" customFormat="1" ht="15" customHeight="1" x14ac:dyDescent="0.25">
      <c r="A219" s="3">
        <v>42493</v>
      </c>
      <c r="B219" s="9" t="s">
        <v>349</v>
      </c>
      <c r="C219" s="9" t="s">
        <v>497</v>
      </c>
      <c r="D219" s="9" t="s">
        <v>505</v>
      </c>
      <c r="E219" s="12" t="s">
        <v>6</v>
      </c>
      <c r="F219" s="23" t="s">
        <v>7</v>
      </c>
      <c r="G219" s="23" t="s">
        <v>8</v>
      </c>
      <c r="H219" s="24">
        <v>48.344666666666669</v>
      </c>
      <c r="I219" s="24">
        <v>-122.5384</v>
      </c>
      <c r="J219" s="24"/>
      <c r="K219" s="24"/>
      <c r="L219" s="15" t="s">
        <v>9</v>
      </c>
      <c r="M219" s="25">
        <v>-0.57911999999999986</v>
      </c>
      <c r="N219" s="23"/>
      <c r="O219" s="23"/>
      <c r="P219" s="23" t="s">
        <v>12</v>
      </c>
      <c r="Q219" s="23" t="s">
        <v>13</v>
      </c>
      <c r="R219" s="17" t="s">
        <v>506</v>
      </c>
      <c r="S219" s="26" t="s">
        <v>500</v>
      </c>
    </row>
    <row r="220" spans="1:19" s="9" customFormat="1" ht="15" customHeight="1" x14ac:dyDescent="0.25">
      <c r="A220" s="3">
        <v>42493</v>
      </c>
      <c r="B220" s="9" t="s">
        <v>349</v>
      </c>
      <c r="C220" s="9" t="s">
        <v>497</v>
      </c>
      <c r="D220" s="9" t="s">
        <v>507</v>
      </c>
      <c r="E220" s="12" t="s">
        <v>6</v>
      </c>
      <c r="F220" s="23" t="s">
        <v>7</v>
      </c>
      <c r="G220" s="23" t="s">
        <v>8</v>
      </c>
      <c r="H220" s="24">
        <v>48.34525</v>
      </c>
      <c r="I220" s="24">
        <v>-122.54025</v>
      </c>
      <c r="J220" s="24"/>
      <c r="K220" s="24"/>
      <c r="L220" s="15" t="s">
        <v>9</v>
      </c>
      <c r="M220" s="25"/>
      <c r="N220" s="23"/>
      <c r="O220" s="23"/>
      <c r="P220" s="23" t="s">
        <v>12</v>
      </c>
      <c r="Q220" s="23" t="s">
        <v>13</v>
      </c>
      <c r="R220" s="17" t="s">
        <v>508</v>
      </c>
      <c r="S220" s="26" t="s">
        <v>500</v>
      </c>
    </row>
    <row r="221" spans="1:19" s="9" customFormat="1" ht="15" customHeight="1" x14ac:dyDescent="0.25">
      <c r="A221" s="3">
        <v>42493</v>
      </c>
      <c r="B221" s="9" t="s">
        <v>349</v>
      </c>
      <c r="C221" s="9" t="s">
        <v>497</v>
      </c>
      <c r="D221" s="9" t="s">
        <v>509</v>
      </c>
      <c r="E221" s="12" t="s">
        <v>6</v>
      </c>
      <c r="F221" s="23" t="s">
        <v>7</v>
      </c>
      <c r="G221" s="23" t="s">
        <v>8</v>
      </c>
      <c r="H221" s="24">
        <v>48.345366666666663</v>
      </c>
      <c r="I221" s="24">
        <v>-122.54133333333333</v>
      </c>
      <c r="J221" s="24"/>
      <c r="K221" s="24"/>
      <c r="L221" s="15" t="s">
        <v>9</v>
      </c>
      <c r="M221" s="25">
        <v>-0.76200000000000001</v>
      </c>
      <c r="N221" s="23"/>
      <c r="O221" s="23"/>
      <c r="P221" s="23" t="s">
        <v>12</v>
      </c>
      <c r="Q221" s="23" t="s">
        <v>13</v>
      </c>
      <c r="R221" s="17" t="s">
        <v>510</v>
      </c>
      <c r="S221" s="26" t="s">
        <v>500</v>
      </c>
    </row>
    <row r="222" spans="1:19" s="9" customFormat="1" ht="15" customHeight="1" x14ac:dyDescent="0.25">
      <c r="A222" s="3">
        <v>42493</v>
      </c>
      <c r="B222" s="9" t="s">
        <v>349</v>
      </c>
      <c r="C222" s="9" t="s">
        <v>497</v>
      </c>
      <c r="D222" s="9" t="s">
        <v>511</v>
      </c>
      <c r="E222" s="12" t="s">
        <v>6</v>
      </c>
      <c r="F222" s="23" t="s">
        <v>7</v>
      </c>
      <c r="G222" s="23" t="s">
        <v>8</v>
      </c>
      <c r="H222" s="24">
        <v>48.347183333333334</v>
      </c>
      <c r="I222" s="24">
        <v>-122.54228333333333</v>
      </c>
      <c r="J222" s="24"/>
      <c r="K222" s="24"/>
      <c r="L222" s="15" t="s">
        <v>9</v>
      </c>
      <c r="M222" s="25"/>
      <c r="N222" s="23"/>
      <c r="O222" s="23"/>
      <c r="P222" s="23" t="s">
        <v>23</v>
      </c>
      <c r="Q222" s="23" t="s">
        <v>48</v>
      </c>
      <c r="R222" s="17" t="s">
        <v>512</v>
      </c>
      <c r="S222" s="26" t="s">
        <v>500</v>
      </c>
    </row>
    <row r="223" spans="1:19" s="9" customFormat="1" ht="15" customHeight="1" x14ac:dyDescent="0.25">
      <c r="A223" s="3">
        <v>42493</v>
      </c>
      <c r="B223" s="9" t="s">
        <v>349</v>
      </c>
      <c r="C223" s="9" t="s">
        <v>497</v>
      </c>
      <c r="D223" s="9" t="s">
        <v>513</v>
      </c>
      <c r="E223" s="12" t="s">
        <v>6</v>
      </c>
      <c r="F223" s="23" t="s">
        <v>7</v>
      </c>
      <c r="G223" s="23" t="s">
        <v>8</v>
      </c>
      <c r="H223" s="24">
        <v>48.34811666666667</v>
      </c>
      <c r="I223" s="24">
        <v>-122.54281666666667</v>
      </c>
      <c r="J223" s="24"/>
      <c r="K223" s="24"/>
      <c r="L223" s="15" t="s">
        <v>9</v>
      </c>
      <c r="M223" s="25"/>
      <c r="N223" s="23"/>
      <c r="O223" s="23"/>
      <c r="P223" s="23" t="s">
        <v>12</v>
      </c>
      <c r="Q223" s="23" t="s">
        <v>13</v>
      </c>
      <c r="R223" s="17" t="s">
        <v>514</v>
      </c>
      <c r="S223" s="26" t="s">
        <v>500</v>
      </c>
    </row>
    <row r="224" spans="1:19" s="9" customFormat="1" ht="15" customHeight="1" x14ac:dyDescent="0.25">
      <c r="A224" s="3">
        <v>42493</v>
      </c>
      <c r="B224" s="9" t="s">
        <v>349</v>
      </c>
      <c r="C224" s="9" t="s">
        <v>497</v>
      </c>
      <c r="D224" s="9" t="s">
        <v>515</v>
      </c>
      <c r="E224" s="12" t="s">
        <v>6</v>
      </c>
      <c r="F224" s="23" t="s">
        <v>7</v>
      </c>
      <c r="G224" s="23" t="s">
        <v>8</v>
      </c>
      <c r="H224" s="24">
        <v>48.348616666666665</v>
      </c>
      <c r="I224" s="24">
        <v>-122.54461666666667</v>
      </c>
      <c r="J224" s="24"/>
      <c r="K224" s="24"/>
      <c r="L224" s="15" t="s">
        <v>9</v>
      </c>
      <c r="M224" s="25">
        <v>-0.73152000000000006</v>
      </c>
      <c r="N224" s="23"/>
      <c r="O224" s="23"/>
      <c r="P224" s="23" t="s">
        <v>12</v>
      </c>
      <c r="Q224" s="23" t="s">
        <v>13</v>
      </c>
      <c r="R224" s="17" t="s">
        <v>516</v>
      </c>
      <c r="S224" s="26" t="s">
        <v>500</v>
      </c>
    </row>
    <row r="225" spans="1:26" s="9" customFormat="1" ht="15" customHeight="1" x14ac:dyDescent="0.25">
      <c r="A225" s="3">
        <v>42493</v>
      </c>
      <c r="B225" s="9" t="s">
        <v>349</v>
      </c>
      <c r="C225" s="9" t="s">
        <v>497</v>
      </c>
      <c r="D225" s="9" t="s">
        <v>517</v>
      </c>
      <c r="E225" s="12" t="s">
        <v>6</v>
      </c>
      <c r="F225" s="23" t="s">
        <v>7</v>
      </c>
      <c r="G225" s="23" t="s">
        <v>8</v>
      </c>
      <c r="H225" s="24">
        <v>48.349649999999997</v>
      </c>
      <c r="I225" s="24">
        <v>-122.54604999999999</v>
      </c>
      <c r="J225" s="24"/>
      <c r="K225" s="24"/>
      <c r="L225" s="15" t="s">
        <v>9</v>
      </c>
      <c r="M225" s="25">
        <v>-0.57912000000000008</v>
      </c>
      <c r="N225" s="23"/>
      <c r="O225" s="23"/>
      <c r="P225" s="23" t="s">
        <v>12</v>
      </c>
      <c r="Q225" s="23" t="s">
        <v>13</v>
      </c>
      <c r="R225" s="17" t="s">
        <v>518</v>
      </c>
      <c r="S225" s="26" t="s">
        <v>500</v>
      </c>
    </row>
    <row r="226" spans="1:26" s="9" customFormat="1" ht="15" customHeight="1" x14ac:dyDescent="0.25">
      <c r="A226" s="3">
        <v>42493</v>
      </c>
      <c r="B226" s="9" t="s">
        <v>349</v>
      </c>
      <c r="C226" s="9" t="s">
        <v>497</v>
      </c>
      <c r="D226" s="9" t="s">
        <v>519</v>
      </c>
      <c r="E226" s="12" t="s">
        <v>6</v>
      </c>
      <c r="F226" s="23" t="s">
        <v>7</v>
      </c>
      <c r="G226" s="23" t="s">
        <v>8</v>
      </c>
      <c r="H226" s="24">
        <v>48.353549999999998</v>
      </c>
      <c r="I226" s="24">
        <v>-122.54665</v>
      </c>
      <c r="J226" s="24"/>
      <c r="K226" s="24"/>
      <c r="L226" s="15" t="s">
        <v>9</v>
      </c>
      <c r="M226" s="25">
        <v>-0.48767999999999989</v>
      </c>
      <c r="N226" s="23"/>
      <c r="O226" s="23"/>
      <c r="P226" s="23" t="s">
        <v>12</v>
      </c>
      <c r="Q226" s="23" t="s">
        <v>13</v>
      </c>
      <c r="R226" s="17" t="s">
        <v>520</v>
      </c>
      <c r="S226" s="26" t="s">
        <v>500</v>
      </c>
    </row>
    <row r="227" spans="1:26" s="9" customFormat="1" ht="15" customHeight="1" x14ac:dyDescent="0.25">
      <c r="A227" s="3">
        <v>42493</v>
      </c>
      <c r="B227" s="9" t="s">
        <v>349</v>
      </c>
      <c r="C227" s="9" t="s">
        <v>497</v>
      </c>
      <c r="D227" s="9" t="s">
        <v>521</v>
      </c>
      <c r="E227" s="12" t="s">
        <v>6</v>
      </c>
      <c r="F227" s="23" t="s">
        <v>17</v>
      </c>
      <c r="G227" s="23" t="s">
        <v>8</v>
      </c>
      <c r="H227" s="24">
        <v>48.329616666666666</v>
      </c>
      <c r="I227" s="24">
        <v>-122.50960000000001</v>
      </c>
      <c r="J227" s="24">
        <v>48.329116666666664</v>
      </c>
      <c r="K227" s="24">
        <v>-122.50846666666666</v>
      </c>
      <c r="L227" s="15" t="s">
        <v>9</v>
      </c>
      <c r="M227" s="20">
        <v>-0.91439999999999999</v>
      </c>
      <c r="N227" s="23"/>
      <c r="O227" s="23"/>
      <c r="P227" s="23" t="s">
        <v>12</v>
      </c>
      <c r="Q227" s="23" t="s">
        <v>13</v>
      </c>
      <c r="R227" s="17" t="s">
        <v>522</v>
      </c>
      <c r="S227" s="26" t="s">
        <v>500</v>
      </c>
    </row>
    <row r="228" spans="1:26" s="9" customFormat="1" ht="15" customHeight="1" x14ac:dyDescent="0.25">
      <c r="A228" s="3">
        <v>42493</v>
      </c>
      <c r="B228" s="9" t="s">
        <v>349</v>
      </c>
      <c r="C228" s="9" t="s">
        <v>497</v>
      </c>
      <c r="D228" s="9" t="s">
        <v>523</v>
      </c>
      <c r="E228" s="12" t="s">
        <v>6</v>
      </c>
      <c r="F228" s="23" t="s">
        <v>7</v>
      </c>
      <c r="G228" s="23" t="s">
        <v>8</v>
      </c>
      <c r="H228" s="24">
        <v>48.354316666666669</v>
      </c>
      <c r="I228" s="24">
        <v>-122.5498</v>
      </c>
      <c r="J228" s="24"/>
      <c r="K228" s="24"/>
      <c r="L228" s="15" t="s">
        <v>9</v>
      </c>
      <c r="M228" s="25">
        <v>-9.1439999999999938E-2</v>
      </c>
      <c r="N228" s="23"/>
      <c r="O228" s="23"/>
      <c r="P228" s="23" t="s">
        <v>12</v>
      </c>
      <c r="Q228" s="23" t="s">
        <v>13</v>
      </c>
      <c r="R228" s="17" t="s">
        <v>524</v>
      </c>
      <c r="S228" s="26" t="s">
        <v>500</v>
      </c>
    </row>
    <row r="229" spans="1:26" s="9" customFormat="1" ht="15" customHeight="1" x14ac:dyDescent="0.25">
      <c r="A229" s="3">
        <v>42493</v>
      </c>
      <c r="B229" s="9" t="s">
        <v>349</v>
      </c>
      <c r="C229" s="9" t="s">
        <v>497</v>
      </c>
      <c r="D229" s="9" t="s">
        <v>525</v>
      </c>
      <c r="E229" s="12" t="s">
        <v>6</v>
      </c>
      <c r="F229" s="23" t="s">
        <v>7</v>
      </c>
      <c r="G229" s="23" t="s">
        <v>8</v>
      </c>
      <c r="H229" s="24">
        <v>48.360766666666663</v>
      </c>
      <c r="I229" s="24">
        <v>-122.55070000000001</v>
      </c>
      <c r="J229" s="24"/>
      <c r="K229" s="24"/>
      <c r="L229" s="15" t="s">
        <v>9</v>
      </c>
      <c r="M229" s="25">
        <v>-6.0959999999999785E-2</v>
      </c>
      <c r="N229" s="23"/>
      <c r="O229" s="23"/>
      <c r="P229" s="23" t="s">
        <v>12</v>
      </c>
      <c r="Q229" s="23" t="s">
        <v>13</v>
      </c>
      <c r="R229" s="17" t="s">
        <v>526</v>
      </c>
      <c r="S229" s="26" t="s">
        <v>500</v>
      </c>
    </row>
    <row r="230" spans="1:26" s="9" customFormat="1" ht="15" customHeight="1" x14ac:dyDescent="0.25">
      <c r="A230" s="3">
        <v>42493</v>
      </c>
      <c r="B230" s="9" t="s">
        <v>349</v>
      </c>
      <c r="C230" s="9" t="s">
        <v>497</v>
      </c>
      <c r="D230" s="9" t="s">
        <v>527</v>
      </c>
      <c r="E230" s="12" t="s">
        <v>6</v>
      </c>
      <c r="F230" s="23" t="s">
        <v>7</v>
      </c>
      <c r="G230" s="23" t="s">
        <v>8</v>
      </c>
      <c r="H230" s="24">
        <v>48.332749999999997</v>
      </c>
      <c r="I230" s="24">
        <v>-122.49886666666667</v>
      </c>
      <c r="J230" s="24"/>
      <c r="K230" s="24"/>
      <c r="L230" s="15" t="s">
        <v>9</v>
      </c>
      <c r="M230" s="25">
        <v>-0.4572</v>
      </c>
      <c r="N230" s="23" t="s">
        <v>66</v>
      </c>
      <c r="O230" s="23"/>
      <c r="P230" s="23" t="s">
        <v>23</v>
      </c>
      <c r="Q230" s="23" t="s">
        <v>24</v>
      </c>
      <c r="R230" s="17" t="s">
        <v>528</v>
      </c>
      <c r="S230" s="26" t="s">
        <v>500</v>
      </c>
    </row>
    <row r="231" spans="1:26" s="9" customFormat="1" ht="15" customHeight="1" x14ac:dyDescent="0.25">
      <c r="A231" s="3">
        <v>42493</v>
      </c>
      <c r="B231" s="9" t="s">
        <v>349</v>
      </c>
      <c r="C231" s="9" t="s">
        <v>497</v>
      </c>
      <c r="D231" s="9" t="s">
        <v>529</v>
      </c>
      <c r="E231" s="12" t="s">
        <v>6</v>
      </c>
      <c r="F231" s="23" t="s">
        <v>7</v>
      </c>
      <c r="G231" s="23" t="s">
        <v>8</v>
      </c>
      <c r="H231" s="24">
        <v>48.335216666666668</v>
      </c>
      <c r="I231" s="24">
        <v>-122.5073</v>
      </c>
      <c r="J231" s="24"/>
      <c r="K231" s="24"/>
      <c r="L231" s="15" t="s">
        <v>9</v>
      </c>
      <c r="M231" s="25">
        <v>-0.48768000000000017</v>
      </c>
      <c r="N231" s="23"/>
      <c r="O231" s="23"/>
      <c r="P231" s="23" t="s">
        <v>18</v>
      </c>
      <c r="Q231" s="23" t="s">
        <v>13</v>
      </c>
      <c r="R231" s="17" t="s">
        <v>530</v>
      </c>
      <c r="S231" s="26" t="s">
        <v>500</v>
      </c>
    </row>
    <row r="232" spans="1:26" s="9" customFormat="1" ht="15" customHeight="1" x14ac:dyDescent="0.25">
      <c r="A232" s="3">
        <v>42493</v>
      </c>
      <c r="B232" s="9" t="s">
        <v>349</v>
      </c>
      <c r="C232" s="9" t="s">
        <v>497</v>
      </c>
      <c r="D232" s="9" t="s">
        <v>531</v>
      </c>
      <c r="E232" s="12" t="s">
        <v>6</v>
      </c>
      <c r="F232" s="23" t="s">
        <v>7</v>
      </c>
      <c r="G232" s="23" t="s">
        <v>8</v>
      </c>
      <c r="H232" s="24">
        <v>48.3354</v>
      </c>
      <c r="I232" s="24">
        <v>-122.52135</v>
      </c>
      <c r="J232" s="24"/>
      <c r="K232" s="24"/>
      <c r="L232" s="15" t="s">
        <v>9</v>
      </c>
      <c r="M232" s="25">
        <v>-0.64007999999999987</v>
      </c>
      <c r="N232" s="23" t="s">
        <v>66</v>
      </c>
      <c r="O232" s="23"/>
      <c r="P232" s="23" t="s">
        <v>12</v>
      </c>
      <c r="Q232" s="23" t="s">
        <v>13</v>
      </c>
      <c r="R232" s="17" t="s">
        <v>532</v>
      </c>
      <c r="S232" s="26" t="s">
        <v>500</v>
      </c>
    </row>
    <row r="233" spans="1:26" s="9" customFormat="1" ht="15" customHeight="1" x14ac:dyDescent="0.25">
      <c r="A233" s="3">
        <v>42493</v>
      </c>
      <c r="B233" s="9" t="s">
        <v>349</v>
      </c>
      <c r="C233" s="9" t="s">
        <v>497</v>
      </c>
      <c r="D233" s="9" t="s">
        <v>533</v>
      </c>
      <c r="E233" s="12" t="s">
        <v>6</v>
      </c>
      <c r="F233" s="23" t="s">
        <v>7</v>
      </c>
      <c r="G233" s="23" t="s">
        <v>8</v>
      </c>
      <c r="H233" s="24">
        <v>48.335416666666667</v>
      </c>
      <c r="I233" s="24">
        <v>-122.52226666666667</v>
      </c>
      <c r="J233" s="24"/>
      <c r="K233" s="24"/>
      <c r="L233" s="15" t="s">
        <v>9</v>
      </c>
      <c r="M233" s="25">
        <v>-0.88392000000000015</v>
      </c>
      <c r="N233" s="23"/>
      <c r="O233" s="23"/>
      <c r="P233" s="23" t="s">
        <v>23</v>
      </c>
      <c r="Q233" s="23" t="s">
        <v>24</v>
      </c>
      <c r="R233" s="17" t="s">
        <v>11</v>
      </c>
      <c r="S233" s="26" t="s">
        <v>500</v>
      </c>
    </row>
    <row r="234" spans="1:26" s="9" customFormat="1" ht="15" customHeight="1" x14ac:dyDescent="0.25">
      <c r="A234" s="3">
        <v>42493</v>
      </c>
      <c r="B234" s="9" t="s">
        <v>349</v>
      </c>
      <c r="C234" s="9" t="s">
        <v>497</v>
      </c>
      <c r="D234" s="9" t="s">
        <v>534</v>
      </c>
      <c r="E234" s="12" t="s">
        <v>6</v>
      </c>
      <c r="F234" s="23" t="s">
        <v>7</v>
      </c>
      <c r="G234" s="23" t="s">
        <v>8</v>
      </c>
      <c r="H234" s="24">
        <v>48.338533333333331</v>
      </c>
      <c r="I234" s="24">
        <v>-122.52998333333333</v>
      </c>
      <c r="J234" s="24"/>
      <c r="K234" s="24"/>
      <c r="L234" s="15" t="s">
        <v>9</v>
      </c>
      <c r="M234" s="25">
        <v>-0.97536</v>
      </c>
      <c r="N234" s="23"/>
      <c r="O234" s="23"/>
      <c r="P234" s="23" t="s">
        <v>12</v>
      </c>
      <c r="Q234" s="23" t="s">
        <v>13</v>
      </c>
      <c r="R234" s="17" t="s">
        <v>535</v>
      </c>
      <c r="S234" s="26" t="s">
        <v>500</v>
      </c>
    </row>
    <row r="235" spans="1:26" s="9" customFormat="1" ht="15" customHeight="1" x14ac:dyDescent="0.25">
      <c r="A235" s="3">
        <v>42493</v>
      </c>
      <c r="B235" s="9" t="s">
        <v>349</v>
      </c>
      <c r="C235" s="9" t="s">
        <v>497</v>
      </c>
      <c r="D235" s="9" t="s">
        <v>536</v>
      </c>
      <c r="E235" s="12" t="s">
        <v>6</v>
      </c>
      <c r="F235" s="23" t="s">
        <v>7</v>
      </c>
      <c r="G235" s="23" t="s">
        <v>8</v>
      </c>
      <c r="H235" s="24">
        <v>48.34075</v>
      </c>
      <c r="I235" s="24">
        <v>-122.53286666666666</v>
      </c>
      <c r="J235" s="24"/>
      <c r="K235" s="24"/>
      <c r="L235" s="15" t="s">
        <v>9</v>
      </c>
      <c r="M235" s="25">
        <v>-0.48768</v>
      </c>
      <c r="N235" s="23"/>
      <c r="O235" s="23"/>
      <c r="P235" s="23" t="s">
        <v>12</v>
      </c>
      <c r="Q235" s="23" t="s">
        <v>13</v>
      </c>
      <c r="R235" s="17" t="s">
        <v>537</v>
      </c>
      <c r="S235" s="26" t="s">
        <v>500</v>
      </c>
    </row>
    <row r="236" spans="1:26" s="9" customFormat="1" ht="15" customHeight="1" x14ac:dyDescent="0.25">
      <c r="A236" s="3">
        <v>42493</v>
      </c>
      <c r="B236" s="9" t="s">
        <v>349</v>
      </c>
      <c r="C236" s="9" t="s">
        <v>497</v>
      </c>
      <c r="D236" s="9" t="s">
        <v>538</v>
      </c>
      <c r="E236" s="12" t="s">
        <v>6</v>
      </c>
      <c r="F236" s="23" t="s">
        <v>7</v>
      </c>
      <c r="G236" s="23" t="s">
        <v>8</v>
      </c>
      <c r="H236" s="24">
        <v>48.340783333333334</v>
      </c>
      <c r="I236" s="24">
        <v>-122.5322</v>
      </c>
      <c r="J236" s="24"/>
      <c r="K236" s="24"/>
      <c r="L236" s="15" t="s">
        <v>9</v>
      </c>
      <c r="M236" s="25">
        <v>-0.60960000000000003</v>
      </c>
      <c r="N236" s="23"/>
      <c r="O236" s="23"/>
      <c r="P236" s="23" t="s">
        <v>18</v>
      </c>
      <c r="Q236" s="23" t="s">
        <v>13</v>
      </c>
      <c r="R236" s="17" t="s">
        <v>539</v>
      </c>
      <c r="S236" s="26" t="s">
        <v>500</v>
      </c>
    </row>
    <row r="237" spans="1:26" s="9" customFormat="1" ht="15" customHeight="1" x14ac:dyDescent="0.25">
      <c r="A237" s="3">
        <v>42550</v>
      </c>
      <c r="B237" s="9" t="s">
        <v>349</v>
      </c>
      <c r="C237" s="9" t="s">
        <v>540</v>
      </c>
      <c r="D237" s="9" t="s">
        <v>541</v>
      </c>
      <c r="E237" s="12" t="s">
        <v>6</v>
      </c>
      <c r="F237" s="15" t="s">
        <v>17</v>
      </c>
      <c r="G237" s="12" t="s">
        <v>8</v>
      </c>
      <c r="H237" s="28">
        <v>47.793033333333334</v>
      </c>
      <c r="I237" s="28">
        <v>-122.85051666666666</v>
      </c>
      <c r="J237" s="14">
        <v>47.800600000000003</v>
      </c>
      <c r="K237" s="14">
        <v>-122.8481</v>
      </c>
      <c r="L237" s="15" t="s">
        <v>9</v>
      </c>
      <c r="M237" s="20">
        <v>-2.2555200000000002</v>
      </c>
      <c r="N237" s="12"/>
      <c r="O237" s="12" t="s">
        <v>187</v>
      </c>
      <c r="P237" s="12" t="s">
        <v>23</v>
      </c>
      <c r="Q237" s="12" t="s">
        <v>48</v>
      </c>
      <c r="R237" s="29" t="s">
        <v>542</v>
      </c>
      <c r="S237" s="196" t="s">
        <v>543</v>
      </c>
    </row>
    <row r="238" spans="1:26" s="9" customFormat="1" ht="15" customHeight="1" x14ac:dyDescent="0.25">
      <c r="A238" s="3">
        <v>42550</v>
      </c>
      <c r="B238" s="9" t="s">
        <v>349</v>
      </c>
      <c r="C238" s="9" t="s">
        <v>540</v>
      </c>
      <c r="D238" s="9" t="s">
        <v>544</v>
      </c>
      <c r="E238" s="12" t="s">
        <v>6</v>
      </c>
      <c r="F238" s="15" t="s">
        <v>7</v>
      </c>
      <c r="G238" s="12" t="s">
        <v>8</v>
      </c>
      <c r="H238" s="28">
        <v>47.802433333333333</v>
      </c>
      <c r="I238" s="28">
        <v>-122.85243333333334</v>
      </c>
      <c r="J238" s="14"/>
      <c r="K238" s="14"/>
      <c r="L238" s="15" t="s">
        <v>9</v>
      </c>
      <c r="M238" s="20">
        <v>-2.1335999999999999</v>
      </c>
      <c r="N238" s="12"/>
      <c r="O238" s="12"/>
      <c r="P238" s="12" t="s">
        <v>18</v>
      </c>
      <c r="Q238" s="12" t="s">
        <v>13</v>
      </c>
      <c r="R238" s="29" t="s">
        <v>545</v>
      </c>
      <c r="S238" s="196" t="s">
        <v>543</v>
      </c>
    </row>
    <row r="239" spans="1:26" ht="15" customHeight="1" x14ac:dyDescent="0.25">
      <c r="A239" s="3">
        <v>42550</v>
      </c>
      <c r="B239" s="9" t="s">
        <v>349</v>
      </c>
      <c r="C239" s="9" t="s">
        <v>540</v>
      </c>
      <c r="D239" s="9" t="s">
        <v>546</v>
      </c>
      <c r="E239" s="12" t="s">
        <v>6</v>
      </c>
      <c r="F239" s="15" t="s">
        <v>7</v>
      </c>
      <c r="G239" s="12" t="s">
        <v>8</v>
      </c>
      <c r="H239" s="28">
        <v>47.779816666666669</v>
      </c>
      <c r="I239" s="28">
        <v>-122.85096666666666</v>
      </c>
      <c r="J239" s="14"/>
      <c r="K239" s="14"/>
      <c r="L239" s="15" t="s">
        <v>9</v>
      </c>
      <c r="M239" s="20">
        <v>-1.85928</v>
      </c>
      <c r="N239" s="12"/>
      <c r="O239" s="12"/>
      <c r="P239" s="12" t="s">
        <v>36</v>
      </c>
      <c r="Q239" s="12" t="s">
        <v>13</v>
      </c>
      <c r="R239" s="30" t="s">
        <v>547</v>
      </c>
      <c r="S239" s="196" t="s">
        <v>543</v>
      </c>
      <c r="T239" s="9"/>
      <c r="U239" s="9"/>
      <c r="V239" s="9"/>
      <c r="W239" s="9"/>
      <c r="X239" s="9"/>
      <c r="Y239" s="9"/>
      <c r="Z239" s="9"/>
    </row>
    <row r="240" spans="1:26" s="9" customFormat="1" ht="15" customHeight="1" x14ac:dyDescent="0.25">
      <c r="A240" s="3">
        <v>42550</v>
      </c>
      <c r="B240" s="9" t="s">
        <v>349</v>
      </c>
      <c r="C240" s="9" t="s">
        <v>540</v>
      </c>
      <c r="D240" s="9" t="s">
        <v>548</v>
      </c>
      <c r="E240" s="12" t="s">
        <v>6</v>
      </c>
      <c r="F240" s="15" t="s">
        <v>7</v>
      </c>
      <c r="G240" s="12" t="s">
        <v>8</v>
      </c>
      <c r="H240" s="28">
        <v>47.795349999999999</v>
      </c>
      <c r="I240" s="28">
        <v>-122.85033333333334</v>
      </c>
      <c r="J240" s="14"/>
      <c r="K240" s="14"/>
      <c r="L240" s="15" t="s">
        <v>9</v>
      </c>
      <c r="M240" s="20">
        <v>-0.88392000000000004</v>
      </c>
      <c r="N240" s="12"/>
      <c r="O240" s="12"/>
      <c r="P240" s="12" t="s">
        <v>18</v>
      </c>
      <c r="Q240" s="12" t="s">
        <v>13</v>
      </c>
      <c r="R240" s="29" t="s">
        <v>549</v>
      </c>
      <c r="S240" s="196" t="s">
        <v>543</v>
      </c>
    </row>
    <row r="241" spans="1:19" s="9" customFormat="1" ht="15" customHeight="1" x14ac:dyDescent="0.25">
      <c r="A241" s="3">
        <v>42550</v>
      </c>
      <c r="B241" s="9" t="s">
        <v>349</v>
      </c>
      <c r="C241" s="9" t="s">
        <v>540</v>
      </c>
      <c r="D241" s="9" t="s">
        <v>550</v>
      </c>
      <c r="E241" s="12" t="s">
        <v>6</v>
      </c>
      <c r="F241" s="15" t="s">
        <v>7</v>
      </c>
      <c r="G241" s="12" t="s">
        <v>8</v>
      </c>
      <c r="H241" s="13">
        <v>47.801450000000003</v>
      </c>
      <c r="I241" s="28">
        <v>-122.84756666666667</v>
      </c>
      <c r="J241" s="14"/>
      <c r="K241" s="14"/>
      <c r="L241" s="15" t="s">
        <v>9</v>
      </c>
      <c r="M241" s="20">
        <v>-0.15240000000000001</v>
      </c>
      <c r="N241" s="12"/>
      <c r="O241" s="12"/>
      <c r="P241" s="12" t="s">
        <v>18</v>
      </c>
      <c r="Q241" s="12" t="s">
        <v>13</v>
      </c>
      <c r="R241" s="29" t="s">
        <v>551</v>
      </c>
      <c r="S241" s="196" t="s">
        <v>543</v>
      </c>
    </row>
    <row r="242" spans="1:19" s="9" customFormat="1" ht="15" customHeight="1" x14ac:dyDescent="0.25">
      <c r="A242" s="3">
        <v>42550</v>
      </c>
      <c r="B242" s="9" t="s">
        <v>349</v>
      </c>
      <c r="C242" s="9" t="s">
        <v>540</v>
      </c>
      <c r="D242" s="9" t="s">
        <v>552</v>
      </c>
      <c r="E242" s="12" t="s">
        <v>6</v>
      </c>
      <c r="F242" s="15" t="s">
        <v>7</v>
      </c>
      <c r="G242" s="12" t="s">
        <v>8</v>
      </c>
      <c r="H242" s="28">
        <v>47.801666666666669</v>
      </c>
      <c r="I242" s="28">
        <v>-122.84828333333333</v>
      </c>
      <c r="J242" s="14"/>
      <c r="K242" s="14"/>
      <c r="L242" s="15" t="s">
        <v>9</v>
      </c>
      <c r="M242" s="20">
        <v>-1.0058400000000001</v>
      </c>
      <c r="N242" s="12"/>
      <c r="O242" s="12"/>
      <c r="P242" s="12" t="s">
        <v>12</v>
      </c>
      <c r="Q242" s="12" t="s">
        <v>13</v>
      </c>
      <c r="R242" s="29" t="s">
        <v>553</v>
      </c>
      <c r="S242" s="196" t="s">
        <v>543</v>
      </c>
    </row>
    <row r="243" spans="1:19" s="9" customFormat="1" ht="15" customHeight="1" x14ac:dyDescent="0.25">
      <c r="A243" s="3">
        <v>42550</v>
      </c>
      <c r="B243" s="9" t="s">
        <v>349</v>
      </c>
      <c r="C243" s="9" t="s">
        <v>540</v>
      </c>
      <c r="D243" s="9" t="s">
        <v>554</v>
      </c>
      <c r="E243" s="12" t="s">
        <v>6</v>
      </c>
      <c r="F243" s="15" t="s">
        <v>7</v>
      </c>
      <c r="G243" s="12" t="s">
        <v>8</v>
      </c>
      <c r="H243" s="28">
        <v>47.801733333333331</v>
      </c>
      <c r="I243" s="28">
        <v>-122.84851666666667</v>
      </c>
      <c r="J243" s="14"/>
      <c r="K243" s="14"/>
      <c r="L243" s="15" t="s">
        <v>9</v>
      </c>
      <c r="M243" s="20">
        <v>-1.8288</v>
      </c>
      <c r="N243" s="12"/>
      <c r="O243" s="12"/>
      <c r="P243" s="12" t="s">
        <v>12</v>
      </c>
      <c r="Q243" s="12" t="s">
        <v>13</v>
      </c>
      <c r="R243" s="29" t="s">
        <v>555</v>
      </c>
      <c r="S243" s="196" t="s">
        <v>543</v>
      </c>
    </row>
    <row r="244" spans="1:19" s="9" customFormat="1" ht="15" customHeight="1" x14ac:dyDescent="0.25">
      <c r="A244" s="3">
        <v>42550</v>
      </c>
      <c r="B244" s="9" t="s">
        <v>349</v>
      </c>
      <c r="C244" s="9" t="s">
        <v>540</v>
      </c>
      <c r="D244" s="9" t="s">
        <v>556</v>
      </c>
      <c r="E244" s="12" t="s">
        <v>6</v>
      </c>
      <c r="F244" s="15" t="s">
        <v>7</v>
      </c>
      <c r="G244" s="12" t="s">
        <v>8</v>
      </c>
      <c r="H244" s="28">
        <v>47.801916666666664</v>
      </c>
      <c r="I244" s="28">
        <v>-122.85235</v>
      </c>
      <c r="J244" s="14"/>
      <c r="K244" s="14"/>
      <c r="L244" s="15" t="s">
        <v>9</v>
      </c>
      <c r="M244" s="20">
        <v>-2.9260799999999998</v>
      </c>
      <c r="N244" s="12"/>
      <c r="O244" s="12"/>
      <c r="P244" s="12" t="s">
        <v>23</v>
      </c>
      <c r="Q244" s="12" t="s">
        <v>24</v>
      </c>
      <c r="R244" s="29" t="s">
        <v>557</v>
      </c>
      <c r="S244" s="196" t="s">
        <v>543</v>
      </c>
    </row>
    <row r="245" spans="1:19" s="9" customFormat="1" ht="15" customHeight="1" x14ac:dyDescent="0.25">
      <c r="A245" s="3">
        <v>42550</v>
      </c>
      <c r="B245" s="9" t="s">
        <v>349</v>
      </c>
      <c r="C245" s="9" t="s">
        <v>540</v>
      </c>
      <c r="D245" s="9" t="s">
        <v>558</v>
      </c>
      <c r="E245" s="12" t="s">
        <v>6</v>
      </c>
      <c r="F245" s="15" t="s">
        <v>7</v>
      </c>
      <c r="G245" s="12" t="s">
        <v>8</v>
      </c>
      <c r="H245" s="28">
        <v>47.802066666666668</v>
      </c>
      <c r="I245" s="28">
        <v>-122.8493</v>
      </c>
      <c r="J245" s="14"/>
      <c r="K245" s="14"/>
      <c r="L245" s="15" t="s">
        <v>9</v>
      </c>
      <c r="M245" s="20">
        <v>-1.18872</v>
      </c>
      <c r="N245" s="12"/>
      <c r="O245" s="12"/>
      <c r="P245" s="12" t="s">
        <v>18</v>
      </c>
      <c r="Q245" s="12" t="s">
        <v>13</v>
      </c>
      <c r="R245" s="29" t="s">
        <v>559</v>
      </c>
      <c r="S245" s="196" t="s">
        <v>543</v>
      </c>
    </row>
    <row r="246" spans="1:19" s="9" customFormat="1" ht="15" customHeight="1" x14ac:dyDescent="0.25">
      <c r="A246" s="3">
        <v>42550</v>
      </c>
      <c r="B246" s="9" t="s">
        <v>349</v>
      </c>
      <c r="C246" s="9" t="s">
        <v>540</v>
      </c>
      <c r="D246" s="9" t="s">
        <v>560</v>
      </c>
      <c r="E246" s="12" t="s">
        <v>6</v>
      </c>
      <c r="F246" s="15" t="s">
        <v>7</v>
      </c>
      <c r="G246" s="12" t="s">
        <v>8</v>
      </c>
      <c r="H246" s="28">
        <v>47.802283333333335</v>
      </c>
      <c r="I246" s="28">
        <v>-122.86683333333333</v>
      </c>
      <c r="J246" s="14"/>
      <c r="K246" s="14"/>
      <c r="L246" s="15" t="s">
        <v>9</v>
      </c>
      <c r="M246" s="20">
        <v>-1.31064</v>
      </c>
      <c r="N246" s="12"/>
      <c r="O246" s="12"/>
      <c r="P246" s="12" t="s">
        <v>12</v>
      </c>
      <c r="Q246" s="12" t="s">
        <v>13</v>
      </c>
      <c r="R246" s="29" t="s">
        <v>561</v>
      </c>
      <c r="S246" s="196" t="s">
        <v>543</v>
      </c>
    </row>
    <row r="247" spans="1:19" s="9" customFormat="1" ht="15" customHeight="1" x14ac:dyDescent="0.25">
      <c r="A247" s="3">
        <v>42626</v>
      </c>
      <c r="B247" s="9" t="s">
        <v>562</v>
      </c>
      <c r="C247" s="9" t="s">
        <v>563</v>
      </c>
      <c r="D247" s="9" t="s">
        <v>564</v>
      </c>
      <c r="E247" s="12" t="s">
        <v>6</v>
      </c>
      <c r="F247" s="15" t="s">
        <v>7</v>
      </c>
      <c r="G247" s="12" t="s">
        <v>8</v>
      </c>
      <c r="H247" s="13">
        <v>47.269367000000003</v>
      </c>
      <c r="I247" s="13">
        <v>-122.6431</v>
      </c>
      <c r="J247" s="14"/>
      <c r="K247" s="14"/>
      <c r="L247" s="15" t="s">
        <v>9</v>
      </c>
      <c r="M247" s="16"/>
      <c r="N247" s="12"/>
      <c r="O247" s="12" t="s">
        <v>11</v>
      </c>
      <c r="P247" s="12" t="s">
        <v>23</v>
      </c>
      <c r="Q247" s="19" t="s">
        <v>63</v>
      </c>
      <c r="R247" s="17" t="s">
        <v>565</v>
      </c>
      <c r="S247" s="196" t="s">
        <v>566</v>
      </c>
    </row>
    <row r="248" spans="1:19" s="9" customFormat="1" ht="15" customHeight="1" x14ac:dyDescent="0.25">
      <c r="A248" s="3">
        <v>42626</v>
      </c>
      <c r="B248" s="9" t="s">
        <v>562</v>
      </c>
      <c r="C248" s="9" t="s">
        <v>563</v>
      </c>
      <c r="D248" s="9" t="s">
        <v>567</v>
      </c>
      <c r="E248" s="12" t="s">
        <v>6</v>
      </c>
      <c r="F248" s="15" t="s">
        <v>7</v>
      </c>
      <c r="G248" s="12" t="s">
        <v>8</v>
      </c>
      <c r="H248" s="13">
        <v>47.266117000000001</v>
      </c>
      <c r="I248" s="13">
        <v>-122.63330000000001</v>
      </c>
      <c r="J248" s="14"/>
      <c r="K248" s="14"/>
      <c r="L248" s="15" t="s">
        <v>9</v>
      </c>
      <c r="M248" s="16"/>
      <c r="N248" s="12"/>
      <c r="O248" s="12"/>
      <c r="P248" s="12" t="s">
        <v>23</v>
      </c>
      <c r="Q248" s="19" t="s">
        <v>24</v>
      </c>
      <c r="R248" s="17" t="s">
        <v>568</v>
      </c>
      <c r="S248" s="196" t="s">
        <v>566</v>
      </c>
    </row>
    <row r="249" spans="1:19" s="9" customFormat="1" ht="15" customHeight="1" x14ac:dyDescent="0.25">
      <c r="A249" s="3">
        <v>42626</v>
      </c>
      <c r="B249" s="9" t="s">
        <v>562</v>
      </c>
      <c r="C249" s="9" t="s">
        <v>563</v>
      </c>
      <c r="D249" s="9" t="s">
        <v>569</v>
      </c>
      <c r="E249" s="12" t="s">
        <v>6</v>
      </c>
      <c r="F249" s="15" t="s">
        <v>7</v>
      </c>
      <c r="G249" s="12" t="s">
        <v>8</v>
      </c>
      <c r="H249" s="13">
        <v>47.266533000000003</v>
      </c>
      <c r="I249" s="13">
        <v>-122.6388</v>
      </c>
      <c r="J249" s="14"/>
      <c r="K249" s="14"/>
      <c r="L249" s="15" t="s">
        <v>9</v>
      </c>
      <c r="M249" s="16"/>
      <c r="N249" s="12"/>
      <c r="O249" s="12"/>
      <c r="P249" s="12" t="s">
        <v>23</v>
      </c>
      <c r="Q249" s="19" t="s">
        <v>24</v>
      </c>
      <c r="R249" s="17" t="s">
        <v>570</v>
      </c>
      <c r="S249" s="196" t="s">
        <v>566</v>
      </c>
    </row>
    <row r="250" spans="1:19" s="9" customFormat="1" ht="15" customHeight="1" x14ac:dyDescent="0.25">
      <c r="A250" s="3">
        <v>42626</v>
      </c>
      <c r="B250" s="9" t="s">
        <v>562</v>
      </c>
      <c r="C250" s="9" t="s">
        <v>563</v>
      </c>
      <c r="D250" s="9" t="s">
        <v>571</v>
      </c>
      <c r="E250" s="12" t="s">
        <v>6</v>
      </c>
      <c r="F250" s="15" t="s">
        <v>7</v>
      </c>
      <c r="G250" s="12" t="s">
        <v>8</v>
      </c>
      <c r="H250" s="13">
        <v>47.268050000000002</v>
      </c>
      <c r="I250" s="13">
        <v>-122.62908299999999</v>
      </c>
      <c r="J250" s="14"/>
      <c r="K250" s="14"/>
      <c r="L250" s="15" t="s">
        <v>9</v>
      </c>
      <c r="M250" s="16"/>
      <c r="N250" s="12"/>
      <c r="O250" s="12" t="s">
        <v>11</v>
      </c>
      <c r="P250" s="12" t="s">
        <v>23</v>
      </c>
      <c r="Q250" s="19" t="s">
        <v>48</v>
      </c>
      <c r="R250" s="17" t="s">
        <v>572</v>
      </c>
      <c r="S250" s="196" t="s">
        <v>566</v>
      </c>
    </row>
    <row r="251" spans="1:19" s="9" customFormat="1" ht="15" customHeight="1" x14ac:dyDescent="0.25">
      <c r="A251" s="3">
        <v>42626</v>
      </c>
      <c r="B251" s="9" t="s">
        <v>562</v>
      </c>
      <c r="C251" s="9" t="s">
        <v>563</v>
      </c>
      <c r="D251" s="9" t="s">
        <v>573</v>
      </c>
      <c r="E251" s="12" t="s">
        <v>6</v>
      </c>
      <c r="F251" s="15" t="s">
        <v>7</v>
      </c>
      <c r="G251" s="12" t="s">
        <v>8</v>
      </c>
      <c r="H251" s="13">
        <v>47.273183000000003</v>
      </c>
      <c r="I251" s="13">
        <v>-122.650683</v>
      </c>
      <c r="J251" s="14"/>
      <c r="K251" s="14"/>
      <c r="L251" s="15" t="s">
        <v>9</v>
      </c>
      <c r="M251" s="16"/>
      <c r="N251" s="12"/>
      <c r="O251" s="12"/>
      <c r="P251" s="12" t="s">
        <v>23</v>
      </c>
      <c r="Q251" s="19" t="s">
        <v>24</v>
      </c>
      <c r="R251" s="17" t="s">
        <v>574</v>
      </c>
      <c r="S251" s="196" t="s">
        <v>566</v>
      </c>
    </row>
    <row r="252" spans="1:19" s="9" customFormat="1" ht="15" customHeight="1" x14ac:dyDescent="0.25">
      <c r="A252" s="3">
        <v>42626</v>
      </c>
      <c r="B252" s="9" t="s">
        <v>562</v>
      </c>
      <c r="C252" s="9" t="s">
        <v>563</v>
      </c>
      <c r="D252" s="9" t="s">
        <v>575</v>
      </c>
      <c r="E252" s="12" t="s">
        <v>6</v>
      </c>
      <c r="F252" s="15" t="s">
        <v>7</v>
      </c>
      <c r="G252" s="12" t="s">
        <v>8</v>
      </c>
      <c r="H252" s="13">
        <v>47.27355</v>
      </c>
      <c r="I252" s="13">
        <v>-122.649517</v>
      </c>
      <c r="J252" s="14"/>
      <c r="K252" s="14"/>
      <c r="L252" s="15" t="s">
        <v>9</v>
      </c>
      <c r="M252" s="16">
        <v>-1.6763999999999999</v>
      </c>
      <c r="N252" s="12"/>
      <c r="O252" s="12"/>
      <c r="P252" s="19" t="s">
        <v>12</v>
      </c>
      <c r="Q252" s="15" t="s">
        <v>13</v>
      </c>
      <c r="R252" s="17" t="s">
        <v>576</v>
      </c>
      <c r="S252" s="196" t="s">
        <v>566</v>
      </c>
    </row>
    <row r="253" spans="1:19" s="9" customFormat="1" ht="15" customHeight="1" x14ac:dyDescent="0.25">
      <c r="A253" s="3">
        <v>42626</v>
      </c>
      <c r="B253" s="9" t="s">
        <v>562</v>
      </c>
      <c r="C253" s="9" t="s">
        <v>563</v>
      </c>
      <c r="D253" s="9" t="s">
        <v>577</v>
      </c>
      <c r="E253" s="12" t="s">
        <v>6</v>
      </c>
      <c r="F253" s="15" t="s">
        <v>7</v>
      </c>
      <c r="G253" s="12" t="s">
        <v>8</v>
      </c>
      <c r="H253" s="13">
        <v>47.274299999999997</v>
      </c>
      <c r="I253" s="13">
        <v>-122.65263299999999</v>
      </c>
      <c r="J253" s="14"/>
      <c r="K253" s="14"/>
      <c r="L253" s="15" t="s">
        <v>9</v>
      </c>
      <c r="M253" s="16"/>
      <c r="N253" s="12"/>
      <c r="O253" s="12"/>
      <c r="P253" s="12" t="s">
        <v>23</v>
      </c>
      <c r="Q253" s="19" t="s">
        <v>24</v>
      </c>
      <c r="R253" s="17" t="s">
        <v>578</v>
      </c>
      <c r="S253" s="196" t="s">
        <v>566</v>
      </c>
    </row>
    <row r="254" spans="1:19" s="9" customFormat="1" ht="15" customHeight="1" x14ac:dyDescent="0.25">
      <c r="A254" s="3">
        <v>42626</v>
      </c>
      <c r="B254" s="9" t="s">
        <v>562</v>
      </c>
      <c r="C254" s="9" t="s">
        <v>563</v>
      </c>
      <c r="D254" s="9" t="s">
        <v>579</v>
      </c>
      <c r="E254" s="12" t="s">
        <v>6</v>
      </c>
      <c r="F254" s="15" t="s">
        <v>7</v>
      </c>
      <c r="G254" s="12" t="s">
        <v>8</v>
      </c>
      <c r="H254" s="13">
        <v>47.274867</v>
      </c>
      <c r="I254" s="13">
        <v>-122.65325</v>
      </c>
      <c r="J254" s="14"/>
      <c r="K254" s="14"/>
      <c r="L254" s="15" t="s">
        <v>9</v>
      </c>
      <c r="M254" s="16">
        <v>-1.6459200000000005</v>
      </c>
      <c r="N254" s="12"/>
      <c r="O254" s="12"/>
      <c r="P254" s="12" t="s">
        <v>23</v>
      </c>
      <c r="Q254" s="19" t="s">
        <v>48</v>
      </c>
      <c r="R254" s="17" t="s">
        <v>580</v>
      </c>
      <c r="S254" s="196" t="s">
        <v>566</v>
      </c>
    </row>
    <row r="255" spans="1:19" s="9" customFormat="1" ht="15" customHeight="1" x14ac:dyDescent="0.25">
      <c r="A255" s="3">
        <v>42626</v>
      </c>
      <c r="B255" s="9" t="s">
        <v>562</v>
      </c>
      <c r="C255" s="9" t="s">
        <v>563</v>
      </c>
      <c r="D255" s="9" t="s">
        <v>581</v>
      </c>
      <c r="E255" s="12" t="s">
        <v>6</v>
      </c>
      <c r="F255" s="15" t="s">
        <v>7</v>
      </c>
      <c r="G255" s="12" t="s">
        <v>8</v>
      </c>
      <c r="H255" s="13">
        <v>47.275016999999998</v>
      </c>
      <c r="I255" s="13">
        <v>-122.65091700000001</v>
      </c>
      <c r="J255" s="14"/>
      <c r="K255" s="14"/>
      <c r="L255" s="15" t="s">
        <v>9</v>
      </c>
      <c r="M255" s="16"/>
      <c r="N255" s="12"/>
      <c r="O255" s="12" t="s">
        <v>11</v>
      </c>
      <c r="P255" s="12" t="s">
        <v>23</v>
      </c>
      <c r="Q255" s="19" t="s">
        <v>24</v>
      </c>
      <c r="R255" s="17" t="s">
        <v>582</v>
      </c>
      <c r="S255" s="196" t="s">
        <v>566</v>
      </c>
    </row>
    <row r="256" spans="1:19" s="9" customFormat="1" ht="15" customHeight="1" x14ac:dyDescent="0.25">
      <c r="A256" s="3">
        <v>42626</v>
      </c>
      <c r="B256" s="9" t="s">
        <v>562</v>
      </c>
      <c r="C256" s="9" t="s">
        <v>563</v>
      </c>
      <c r="D256" s="9" t="s">
        <v>583</v>
      </c>
      <c r="E256" s="12" t="s">
        <v>6</v>
      </c>
      <c r="F256" s="15" t="s">
        <v>7</v>
      </c>
      <c r="G256" s="12" t="s">
        <v>8</v>
      </c>
      <c r="H256" s="13">
        <v>47.277482999999997</v>
      </c>
      <c r="I256" s="13">
        <v>-122.665083</v>
      </c>
      <c r="J256" s="14"/>
      <c r="K256" s="14"/>
      <c r="L256" s="15" t="s">
        <v>9</v>
      </c>
      <c r="M256" s="16"/>
      <c r="N256" s="12"/>
      <c r="O256" s="12"/>
      <c r="P256" s="12" t="s">
        <v>23</v>
      </c>
      <c r="Q256" s="19" t="s">
        <v>24</v>
      </c>
      <c r="R256" s="17" t="s">
        <v>584</v>
      </c>
      <c r="S256" s="196" t="s">
        <v>566</v>
      </c>
    </row>
    <row r="257" spans="1:19" s="9" customFormat="1" ht="15" customHeight="1" x14ac:dyDescent="0.25">
      <c r="A257" s="3">
        <v>42626</v>
      </c>
      <c r="B257" s="9" t="s">
        <v>562</v>
      </c>
      <c r="C257" s="9" t="s">
        <v>563</v>
      </c>
      <c r="D257" s="9" t="s">
        <v>585</v>
      </c>
      <c r="E257" s="12" t="s">
        <v>6</v>
      </c>
      <c r="F257" s="15" t="s">
        <v>7</v>
      </c>
      <c r="G257" s="12" t="s">
        <v>8</v>
      </c>
      <c r="H257" s="13">
        <v>47.278216999999998</v>
      </c>
      <c r="I257" s="13">
        <v>-122.6664</v>
      </c>
      <c r="J257" s="14"/>
      <c r="K257" s="14"/>
      <c r="L257" s="15" t="s">
        <v>9</v>
      </c>
      <c r="M257" s="16"/>
      <c r="N257" s="12"/>
      <c r="O257" s="12" t="s">
        <v>11</v>
      </c>
      <c r="P257" s="12" t="s">
        <v>23</v>
      </c>
      <c r="Q257" s="19" t="s">
        <v>24</v>
      </c>
      <c r="R257" s="17" t="s">
        <v>586</v>
      </c>
      <c r="S257" s="196" t="s">
        <v>566</v>
      </c>
    </row>
    <row r="258" spans="1:19" s="9" customFormat="1" ht="15" customHeight="1" x14ac:dyDescent="0.25">
      <c r="A258" s="3">
        <v>42626</v>
      </c>
      <c r="B258" s="9" t="s">
        <v>562</v>
      </c>
      <c r="C258" s="9" t="s">
        <v>563</v>
      </c>
      <c r="D258" s="9" t="s">
        <v>587</v>
      </c>
      <c r="E258" s="12" t="s">
        <v>6</v>
      </c>
      <c r="F258" s="15" t="s">
        <v>7</v>
      </c>
      <c r="G258" s="12" t="s">
        <v>8</v>
      </c>
      <c r="H258" s="13">
        <v>47.278767000000002</v>
      </c>
      <c r="I258" s="13">
        <v>-122.664767</v>
      </c>
      <c r="J258" s="14"/>
      <c r="K258" s="14"/>
      <c r="L258" s="15" t="s">
        <v>9</v>
      </c>
      <c r="M258" s="16"/>
      <c r="N258" s="12"/>
      <c r="O258" s="12" t="s">
        <v>32</v>
      </c>
      <c r="P258" s="12" t="s">
        <v>23</v>
      </c>
      <c r="Q258" s="19" t="s">
        <v>24</v>
      </c>
      <c r="R258" s="17" t="s">
        <v>588</v>
      </c>
      <c r="S258" s="196" t="s">
        <v>566</v>
      </c>
    </row>
    <row r="259" spans="1:19" s="9" customFormat="1" ht="15" customHeight="1" x14ac:dyDescent="0.25">
      <c r="A259" s="3">
        <v>42626</v>
      </c>
      <c r="B259" s="9" t="s">
        <v>562</v>
      </c>
      <c r="C259" s="9" t="s">
        <v>563</v>
      </c>
      <c r="D259" s="9" t="s">
        <v>589</v>
      </c>
      <c r="E259" s="12" t="s">
        <v>6</v>
      </c>
      <c r="F259" s="15" t="s">
        <v>7</v>
      </c>
      <c r="G259" s="12" t="s">
        <v>8</v>
      </c>
      <c r="H259" s="13">
        <v>47.234282999999998</v>
      </c>
      <c r="I259" s="13">
        <v>-122.58880000000001</v>
      </c>
      <c r="J259" s="14"/>
      <c r="K259" s="14"/>
      <c r="L259" s="15" t="s">
        <v>9</v>
      </c>
      <c r="M259" s="20"/>
      <c r="N259" s="12"/>
      <c r="O259" s="12"/>
      <c r="P259" s="12" t="s">
        <v>23</v>
      </c>
      <c r="Q259" s="12" t="s">
        <v>24</v>
      </c>
      <c r="R259" s="17" t="s">
        <v>590</v>
      </c>
      <c r="S259" s="196" t="s">
        <v>566</v>
      </c>
    </row>
    <row r="260" spans="1:19" s="9" customFormat="1" ht="15" customHeight="1" x14ac:dyDescent="0.25">
      <c r="A260" s="3">
        <v>42626</v>
      </c>
      <c r="B260" s="9" t="s">
        <v>562</v>
      </c>
      <c r="C260" s="9" t="s">
        <v>563</v>
      </c>
      <c r="D260" s="9" t="s">
        <v>591</v>
      </c>
      <c r="E260" s="12" t="s">
        <v>6</v>
      </c>
      <c r="F260" s="15" t="s">
        <v>7</v>
      </c>
      <c r="G260" s="12" t="s">
        <v>8</v>
      </c>
      <c r="H260" s="13">
        <v>47.242550000000001</v>
      </c>
      <c r="I260" s="13">
        <v>-122.601383</v>
      </c>
      <c r="J260" s="14"/>
      <c r="K260" s="14"/>
      <c r="L260" s="15" t="s">
        <v>9</v>
      </c>
      <c r="M260" s="20"/>
      <c r="N260" s="12"/>
      <c r="O260" s="12" t="s">
        <v>11</v>
      </c>
      <c r="P260" s="12" t="s">
        <v>23</v>
      </c>
      <c r="Q260" s="12" t="s">
        <v>24</v>
      </c>
      <c r="R260" s="21" t="s">
        <v>592</v>
      </c>
      <c r="S260" s="196" t="s">
        <v>566</v>
      </c>
    </row>
    <row r="261" spans="1:19" s="9" customFormat="1" ht="15" customHeight="1" x14ac:dyDescent="0.25">
      <c r="A261" s="3">
        <v>42626</v>
      </c>
      <c r="B261" s="9" t="s">
        <v>562</v>
      </c>
      <c r="C261" s="9" t="s">
        <v>563</v>
      </c>
      <c r="D261" s="9" t="s">
        <v>593</v>
      </c>
      <c r="E261" s="12" t="s">
        <v>6</v>
      </c>
      <c r="F261" s="15" t="s">
        <v>7</v>
      </c>
      <c r="G261" s="12" t="s">
        <v>8</v>
      </c>
      <c r="H261" s="13">
        <v>47.247999999999998</v>
      </c>
      <c r="I261" s="13">
        <v>-122.60550000000001</v>
      </c>
      <c r="J261" s="14"/>
      <c r="K261" s="14"/>
      <c r="L261" s="15" t="s">
        <v>9</v>
      </c>
      <c r="M261" s="16"/>
      <c r="N261" s="12"/>
      <c r="O261" s="12"/>
      <c r="P261" s="12" t="s">
        <v>23</v>
      </c>
      <c r="Q261" s="19" t="s">
        <v>24</v>
      </c>
      <c r="R261" s="17" t="s">
        <v>594</v>
      </c>
      <c r="S261" s="196" t="s">
        <v>566</v>
      </c>
    </row>
    <row r="262" spans="1:19" s="9" customFormat="1" ht="15" customHeight="1" x14ac:dyDescent="0.25">
      <c r="A262" s="3">
        <v>42626</v>
      </c>
      <c r="B262" s="9" t="s">
        <v>562</v>
      </c>
      <c r="C262" s="9" t="s">
        <v>563</v>
      </c>
      <c r="D262" s="9" t="s">
        <v>595</v>
      </c>
      <c r="E262" s="12" t="s">
        <v>6</v>
      </c>
      <c r="F262" s="15" t="s">
        <v>7</v>
      </c>
      <c r="G262" s="12" t="s">
        <v>8</v>
      </c>
      <c r="H262" s="13">
        <v>47.255282999999999</v>
      </c>
      <c r="I262" s="13">
        <v>-122.615033</v>
      </c>
      <c r="J262" s="14"/>
      <c r="K262" s="14"/>
      <c r="L262" s="15" t="s">
        <v>9</v>
      </c>
      <c r="M262" s="16">
        <v>-1.0058400000000001</v>
      </c>
      <c r="N262" s="12"/>
      <c r="O262" s="12"/>
      <c r="P262" s="12" t="s">
        <v>23</v>
      </c>
      <c r="Q262" s="19" t="s">
        <v>48</v>
      </c>
      <c r="R262" s="17" t="s">
        <v>596</v>
      </c>
      <c r="S262" s="196" t="s">
        <v>566</v>
      </c>
    </row>
    <row r="263" spans="1:19" s="9" customFormat="1" ht="15" customHeight="1" x14ac:dyDescent="0.25">
      <c r="A263" s="3">
        <v>42626</v>
      </c>
      <c r="B263" s="9" t="s">
        <v>562</v>
      </c>
      <c r="C263" s="9" t="s">
        <v>563</v>
      </c>
      <c r="D263" s="9" t="s">
        <v>597</v>
      </c>
      <c r="E263" s="12" t="s">
        <v>6</v>
      </c>
      <c r="F263" s="15" t="s">
        <v>7</v>
      </c>
      <c r="G263" s="12" t="s">
        <v>8</v>
      </c>
      <c r="H263" s="13">
        <v>47.262250000000002</v>
      </c>
      <c r="I263" s="13">
        <v>-122.627083</v>
      </c>
      <c r="J263" s="14"/>
      <c r="K263" s="14"/>
      <c r="L263" s="15" t="s">
        <v>9</v>
      </c>
      <c r="M263" s="16"/>
      <c r="N263" s="12"/>
      <c r="O263" s="12"/>
      <c r="P263" s="12" t="s">
        <v>23</v>
      </c>
      <c r="Q263" s="19" t="s">
        <v>24</v>
      </c>
      <c r="R263" s="17" t="s">
        <v>598</v>
      </c>
      <c r="S263" s="196" t="s">
        <v>566</v>
      </c>
    </row>
    <row r="264" spans="1:19" s="9" customFormat="1" ht="15" customHeight="1" x14ac:dyDescent="0.25">
      <c r="A264" s="3">
        <v>42626</v>
      </c>
      <c r="B264" s="9" t="s">
        <v>562</v>
      </c>
      <c r="C264" s="9" t="s">
        <v>599</v>
      </c>
      <c r="D264" s="9" t="s">
        <v>600</v>
      </c>
      <c r="E264" s="12" t="s">
        <v>6</v>
      </c>
      <c r="F264" s="15" t="s">
        <v>7</v>
      </c>
      <c r="G264" s="12" t="s">
        <v>8</v>
      </c>
      <c r="H264" s="13">
        <v>47.280217</v>
      </c>
      <c r="I264" s="13">
        <v>-122.680533</v>
      </c>
      <c r="J264" s="14"/>
      <c r="K264" s="14"/>
      <c r="L264" s="15" t="s">
        <v>9</v>
      </c>
      <c r="M264" s="16">
        <v>-1.85928</v>
      </c>
      <c r="N264" s="12"/>
      <c r="O264" s="12" t="s">
        <v>11</v>
      </c>
      <c r="P264" s="19" t="s">
        <v>36</v>
      </c>
      <c r="Q264" s="15" t="s">
        <v>13</v>
      </c>
      <c r="R264" s="17" t="s">
        <v>601</v>
      </c>
      <c r="S264" s="196" t="s">
        <v>566</v>
      </c>
    </row>
    <row r="265" spans="1:19" s="9" customFormat="1" ht="15" customHeight="1" x14ac:dyDescent="0.25">
      <c r="A265" s="3">
        <v>42626</v>
      </c>
      <c r="B265" s="9" t="s">
        <v>562</v>
      </c>
      <c r="C265" s="9" t="s">
        <v>599</v>
      </c>
      <c r="D265" s="9" t="s">
        <v>602</v>
      </c>
      <c r="E265" s="12" t="s">
        <v>6</v>
      </c>
      <c r="F265" s="15" t="s">
        <v>7</v>
      </c>
      <c r="G265" s="12" t="s">
        <v>8</v>
      </c>
      <c r="H265" s="13">
        <v>47.282533000000001</v>
      </c>
      <c r="I265" s="13">
        <v>-122.68208300000001</v>
      </c>
      <c r="J265" s="14"/>
      <c r="K265" s="14"/>
      <c r="L265" s="15" t="s">
        <v>9</v>
      </c>
      <c r="M265" s="16"/>
      <c r="N265" s="12"/>
      <c r="O265" s="12"/>
      <c r="P265" s="12" t="s">
        <v>23</v>
      </c>
      <c r="Q265" s="19" t="s">
        <v>24</v>
      </c>
      <c r="R265" s="17" t="s">
        <v>603</v>
      </c>
      <c r="S265" s="196" t="s">
        <v>566</v>
      </c>
    </row>
    <row r="266" spans="1:19" s="9" customFormat="1" ht="15" customHeight="1" x14ac:dyDescent="0.25">
      <c r="A266" s="3">
        <v>42627</v>
      </c>
      <c r="B266" s="9" t="s">
        <v>562</v>
      </c>
      <c r="C266" s="9" t="s">
        <v>604</v>
      </c>
      <c r="D266" s="9" t="s">
        <v>605</v>
      </c>
      <c r="E266" s="12" t="s">
        <v>6</v>
      </c>
      <c r="F266" s="15" t="s">
        <v>7</v>
      </c>
      <c r="G266" s="12" t="s">
        <v>8</v>
      </c>
      <c r="H266" s="13">
        <v>47.297153000000002</v>
      </c>
      <c r="I266" s="13">
        <v>-122.68532</v>
      </c>
      <c r="J266" s="14"/>
      <c r="K266" s="14"/>
      <c r="L266" s="15" t="s">
        <v>9</v>
      </c>
      <c r="M266" s="16"/>
      <c r="N266" s="12"/>
      <c r="O266" s="12" t="s">
        <v>11</v>
      </c>
      <c r="P266" s="12" t="s">
        <v>23</v>
      </c>
      <c r="Q266" s="19" t="s">
        <v>48</v>
      </c>
      <c r="R266" s="17" t="s">
        <v>606</v>
      </c>
      <c r="S266" s="196" t="s">
        <v>566</v>
      </c>
    </row>
    <row r="267" spans="1:19" s="9" customFormat="1" ht="15" customHeight="1" x14ac:dyDescent="0.25">
      <c r="A267" s="3">
        <v>42627</v>
      </c>
      <c r="B267" s="9" t="s">
        <v>562</v>
      </c>
      <c r="C267" s="9" t="s">
        <v>604</v>
      </c>
      <c r="D267" s="9" t="s">
        <v>607</v>
      </c>
      <c r="E267" s="12" t="s">
        <v>6</v>
      </c>
      <c r="F267" s="15" t="s">
        <v>7</v>
      </c>
      <c r="G267" s="12" t="s">
        <v>8</v>
      </c>
      <c r="H267" s="13">
        <v>47.297533000000001</v>
      </c>
      <c r="I267" s="13">
        <v>-122.69108300000001</v>
      </c>
      <c r="J267" s="14"/>
      <c r="K267" s="14"/>
      <c r="L267" s="15" t="s">
        <v>9</v>
      </c>
      <c r="M267" s="16"/>
      <c r="N267" s="12"/>
      <c r="O267" s="12" t="s">
        <v>11</v>
      </c>
      <c r="P267" s="12" t="s">
        <v>18</v>
      </c>
      <c r="Q267" s="19" t="s">
        <v>13</v>
      </c>
      <c r="R267" s="17" t="s">
        <v>608</v>
      </c>
      <c r="S267" s="196" t="s">
        <v>566</v>
      </c>
    </row>
    <row r="268" spans="1:19" s="9" customFormat="1" ht="15" customHeight="1" x14ac:dyDescent="0.25">
      <c r="A268" s="3">
        <v>42627</v>
      </c>
      <c r="B268" s="9" t="s">
        <v>562</v>
      </c>
      <c r="C268" s="9" t="s">
        <v>604</v>
      </c>
      <c r="D268" s="9" t="s">
        <v>609</v>
      </c>
      <c r="E268" s="12" t="s">
        <v>6</v>
      </c>
      <c r="F268" s="15" t="s">
        <v>7</v>
      </c>
      <c r="G268" s="12" t="s">
        <v>8</v>
      </c>
      <c r="H268" s="13">
        <v>47.310282999999998</v>
      </c>
      <c r="I268" s="13">
        <v>-122.737533</v>
      </c>
      <c r="J268" s="14"/>
      <c r="K268" s="14"/>
      <c r="L268" s="15" t="s">
        <v>9</v>
      </c>
      <c r="M268" s="16"/>
      <c r="N268" s="12"/>
      <c r="O268" s="12"/>
      <c r="P268" s="12" t="s">
        <v>18</v>
      </c>
      <c r="Q268" s="19" t="s">
        <v>13</v>
      </c>
      <c r="R268" s="17" t="s">
        <v>610</v>
      </c>
      <c r="S268" s="196" t="s">
        <v>566</v>
      </c>
    </row>
    <row r="269" spans="1:19" s="9" customFormat="1" ht="15" customHeight="1" x14ac:dyDescent="0.25">
      <c r="A269" s="3">
        <v>42627</v>
      </c>
      <c r="B269" s="9" t="s">
        <v>562</v>
      </c>
      <c r="C269" s="9" t="s">
        <v>604</v>
      </c>
      <c r="D269" s="9" t="s">
        <v>611</v>
      </c>
      <c r="E269" s="12" t="s">
        <v>6</v>
      </c>
      <c r="F269" s="15" t="s">
        <v>7</v>
      </c>
      <c r="G269" s="12" t="s">
        <v>8</v>
      </c>
      <c r="H269" s="13">
        <v>47.321114000000001</v>
      </c>
      <c r="I269" s="13">
        <v>-122.730361</v>
      </c>
      <c r="J269" s="14"/>
      <c r="K269" s="14"/>
      <c r="L269" s="15" t="s">
        <v>9</v>
      </c>
      <c r="M269" s="16"/>
      <c r="N269" s="12"/>
      <c r="O269" s="12" t="s">
        <v>11</v>
      </c>
      <c r="P269" s="12" t="s">
        <v>23</v>
      </c>
      <c r="Q269" s="19" t="s">
        <v>48</v>
      </c>
      <c r="R269" s="17" t="s">
        <v>612</v>
      </c>
      <c r="S269" s="196" t="s">
        <v>566</v>
      </c>
    </row>
    <row r="270" spans="1:19" s="9" customFormat="1" ht="15" customHeight="1" x14ac:dyDescent="0.25">
      <c r="A270" s="3">
        <v>42627</v>
      </c>
      <c r="B270" s="9" t="s">
        <v>562</v>
      </c>
      <c r="C270" s="9" t="s">
        <v>604</v>
      </c>
      <c r="D270" s="9" t="s">
        <v>613</v>
      </c>
      <c r="E270" s="12" t="s">
        <v>6</v>
      </c>
      <c r="F270" s="15" t="s">
        <v>7</v>
      </c>
      <c r="G270" s="12" t="s">
        <v>8</v>
      </c>
      <c r="H270" s="13">
        <v>47.329732999999997</v>
      </c>
      <c r="I270" s="13">
        <v>-122.659783</v>
      </c>
      <c r="J270" s="14"/>
      <c r="K270" s="14"/>
      <c r="L270" s="15" t="s">
        <v>9</v>
      </c>
      <c r="M270" s="16"/>
      <c r="N270" s="12"/>
      <c r="O270" s="12"/>
      <c r="P270" s="12" t="s">
        <v>12</v>
      </c>
      <c r="Q270" s="19" t="s">
        <v>13</v>
      </c>
      <c r="R270" s="17" t="s">
        <v>614</v>
      </c>
      <c r="S270" s="196" t="s">
        <v>566</v>
      </c>
    </row>
    <row r="271" spans="1:19" s="9" customFormat="1" ht="15" customHeight="1" x14ac:dyDescent="0.25">
      <c r="A271" s="3">
        <v>42627</v>
      </c>
      <c r="B271" s="9" t="s">
        <v>562</v>
      </c>
      <c r="C271" s="9" t="s">
        <v>604</v>
      </c>
      <c r="D271" s="9" t="s">
        <v>615</v>
      </c>
      <c r="E271" s="12" t="s">
        <v>6</v>
      </c>
      <c r="F271" s="15" t="s">
        <v>7</v>
      </c>
      <c r="G271" s="12" t="s">
        <v>8</v>
      </c>
      <c r="H271" s="13">
        <v>47.329967000000003</v>
      </c>
      <c r="I271" s="13">
        <v>-122.678567</v>
      </c>
      <c r="J271" s="14"/>
      <c r="K271" s="14"/>
      <c r="L271" s="15" t="s">
        <v>9</v>
      </c>
      <c r="M271" s="16"/>
      <c r="N271" s="12"/>
      <c r="O271" s="12"/>
      <c r="P271" s="12" t="s">
        <v>36</v>
      </c>
      <c r="Q271" s="19" t="s">
        <v>13</v>
      </c>
      <c r="R271" s="17" t="s">
        <v>616</v>
      </c>
      <c r="S271" s="196" t="s">
        <v>566</v>
      </c>
    </row>
    <row r="272" spans="1:19" s="9" customFormat="1" ht="15" customHeight="1" x14ac:dyDescent="0.25">
      <c r="A272" s="3">
        <v>42627</v>
      </c>
      <c r="B272" s="9" t="s">
        <v>562</v>
      </c>
      <c r="C272" s="9" t="s">
        <v>604</v>
      </c>
      <c r="D272" s="9" t="s">
        <v>617</v>
      </c>
      <c r="E272" s="12" t="s">
        <v>6</v>
      </c>
      <c r="F272" s="15" t="s">
        <v>7</v>
      </c>
      <c r="G272" s="12" t="s">
        <v>8</v>
      </c>
      <c r="H272" s="13">
        <v>47.340533000000001</v>
      </c>
      <c r="I272" s="13">
        <v>-122.66985</v>
      </c>
      <c r="J272" s="14"/>
      <c r="K272" s="14"/>
      <c r="L272" s="15" t="s">
        <v>9</v>
      </c>
      <c r="M272" s="16"/>
      <c r="N272" s="12"/>
      <c r="O272" s="12"/>
      <c r="P272" s="12" t="s">
        <v>12</v>
      </c>
      <c r="Q272" s="19" t="s">
        <v>13</v>
      </c>
      <c r="R272" s="17" t="s">
        <v>618</v>
      </c>
      <c r="S272" s="196" t="s">
        <v>566</v>
      </c>
    </row>
    <row r="273" spans="1:19" s="9" customFormat="1" ht="15" customHeight="1" x14ac:dyDescent="0.25">
      <c r="A273" s="3">
        <v>42627</v>
      </c>
      <c r="B273" s="9" t="s">
        <v>562</v>
      </c>
      <c r="C273" s="9" t="s">
        <v>604</v>
      </c>
      <c r="D273" s="9" t="s">
        <v>619</v>
      </c>
      <c r="E273" s="12" t="s">
        <v>6</v>
      </c>
      <c r="F273" s="15" t="s">
        <v>7</v>
      </c>
      <c r="G273" s="12" t="s">
        <v>8</v>
      </c>
      <c r="H273" s="13">
        <v>47.341650000000001</v>
      </c>
      <c r="I273" s="13">
        <v>-122.714883</v>
      </c>
      <c r="J273" s="14"/>
      <c r="K273" s="14"/>
      <c r="L273" s="15" t="s">
        <v>9</v>
      </c>
      <c r="M273" s="16"/>
      <c r="N273" s="12"/>
      <c r="O273" s="12" t="s">
        <v>11</v>
      </c>
      <c r="P273" s="12" t="s">
        <v>23</v>
      </c>
      <c r="Q273" s="19" t="s">
        <v>48</v>
      </c>
      <c r="R273" s="17" t="s">
        <v>620</v>
      </c>
      <c r="S273" s="196" t="s">
        <v>566</v>
      </c>
    </row>
    <row r="274" spans="1:19" s="9" customFormat="1" ht="15" customHeight="1" x14ac:dyDescent="0.25">
      <c r="A274" s="3">
        <v>42627</v>
      </c>
      <c r="B274" s="9" t="s">
        <v>562</v>
      </c>
      <c r="C274" s="9" t="s">
        <v>604</v>
      </c>
      <c r="D274" s="9" t="s">
        <v>621</v>
      </c>
      <c r="E274" s="12" t="s">
        <v>6</v>
      </c>
      <c r="F274" s="15" t="s">
        <v>7</v>
      </c>
      <c r="G274" s="12" t="s">
        <v>8</v>
      </c>
      <c r="H274" s="13">
        <v>47.346699999999998</v>
      </c>
      <c r="I274" s="13">
        <v>-122.707233</v>
      </c>
      <c r="J274" s="14"/>
      <c r="K274" s="14"/>
      <c r="L274" s="15" t="s">
        <v>9</v>
      </c>
      <c r="M274" s="16"/>
      <c r="N274" s="12"/>
      <c r="O274" s="12"/>
      <c r="P274" s="12" t="s">
        <v>18</v>
      </c>
      <c r="Q274" s="19" t="s">
        <v>13</v>
      </c>
      <c r="R274" s="17" t="s">
        <v>622</v>
      </c>
      <c r="S274" s="196" t="s">
        <v>566</v>
      </c>
    </row>
    <row r="275" spans="1:19" s="9" customFormat="1" ht="15" customHeight="1" x14ac:dyDescent="0.25">
      <c r="A275" s="3">
        <v>42627</v>
      </c>
      <c r="B275" s="9" t="s">
        <v>562</v>
      </c>
      <c r="C275" s="9" t="s">
        <v>563</v>
      </c>
      <c r="D275" s="9" t="s">
        <v>623</v>
      </c>
      <c r="E275" s="12" t="s">
        <v>6</v>
      </c>
      <c r="F275" s="15" t="s">
        <v>7</v>
      </c>
      <c r="G275" s="12" t="s">
        <v>8</v>
      </c>
      <c r="H275" s="13">
        <v>47.222917000000002</v>
      </c>
      <c r="I275" s="13">
        <v>-122.596571</v>
      </c>
      <c r="J275" s="14"/>
      <c r="K275" s="14"/>
      <c r="L275" s="15" t="s">
        <v>9</v>
      </c>
      <c r="M275" s="16"/>
      <c r="N275" s="12"/>
      <c r="O275" s="12" t="s">
        <v>11</v>
      </c>
      <c r="P275" s="12" t="s">
        <v>23</v>
      </c>
      <c r="Q275" s="19" t="s">
        <v>24</v>
      </c>
      <c r="R275" s="17" t="s">
        <v>624</v>
      </c>
      <c r="S275" s="196" t="s">
        <v>566</v>
      </c>
    </row>
    <row r="276" spans="1:19" s="9" customFormat="1" ht="15" customHeight="1" x14ac:dyDescent="0.25">
      <c r="A276" s="3">
        <v>42627</v>
      </c>
      <c r="B276" s="9" t="s">
        <v>562</v>
      </c>
      <c r="C276" s="9" t="s">
        <v>563</v>
      </c>
      <c r="D276" s="9" t="s">
        <v>625</v>
      </c>
      <c r="E276" s="12" t="s">
        <v>6</v>
      </c>
      <c r="F276" s="15" t="s">
        <v>7</v>
      </c>
      <c r="G276" s="12" t="s">
        <v>8</v>
      </c>
      <c r="H276" s="13">
        <v>47.227381999999999</v>
      </c>
      <c r="I276" s="13">
        <v>-122.62112999999999</v>
      </c>
      <c r="J276" s="14"/>
      <c r="K276" s="14"/>
      <c r="L276" s="15" t="s">
        <v>9</v>
      </c>
      <c r="M276" s="16"/>
      <c r="N276" s="12"/>
      <c r="O276" s="12" t="s">
        <v>11</v>
      </c>
      <c r="P276" s="12" t="s">
        <v>12</v>
      </c>
      <c r="Q276" s="19" t="s">
        <v>13</v>
      </c>
      <c r="R276" s="17" t="s">
        <v>626</v>
      </c>
      <c r="S276" s="196" t="s">
        <v>566</v>
      </c>
    </row>
    <row r="277" spans="1:19" s="9" customFormat="1" ht="15" customHeight="1" x14ac:dyDescent="0.25">
      <c r="A277" s="3">
        <v>42627</v>
      </c>
      <c r="B277" s="9" t="s">
        <v>562</v>
      </c>
      <c r="C277" s="9" t="s">
        <v>563</v>
      </c>
      <c r="D277" s="9" t="s">
        <v>627</v>
      </c>
      <c r="E277" s="12" t="s">
        <v>6</v>
      </c>
      <c r="F277" s="15" t="s">
        <v>7</v>
      </c>
      <c r="G277" s="12" t="s">
        <v>8</v>
      </c>
      <c r="H277" s="13">
        <v>47.236832999999997</v>
      </c>
      <c r="I277" s="13">
        <v>-122.62996699999999</v>
      </c>
      <c r="J277" s="14"/>
      <c r="K277" s="14"/>
      <c r="L277" s="15" t="s">
        <v>9</v>
      </c>
      <c r="M277" s="16"/>
      <c r="N277" s="12"/>
      <c r="O277" s="12"/>
      <c r="P277" s="12" t="s">
        <v>18</v>
      </c>
      <c r="Q277" s="19" t="s">
        <v>13</v>
      </c>
      <c r="R277" s="17" t="s">
        <v>628</v>
      </c>
      <c r="S277" s="196" t="s">
        <v>566</v>
      </c>
    </row>
    <row r="278" spans="1:19" s="9" customFormat="1" ht="15" customHeight="1" x14ac:dyDescent="0.25">
      <c r="A278" s="3">
        <v>42627</v>
      </c>
      <c r="B278" s="9" t="s">
        <v>562</v>
      </c>
      <c r="C278" s="9" t="s">
        <v>563</v>
      </c>
      <c r="D278" s="9" t="s">
        <v>629</v>
      </c>
      <c r="E278" s="12" t="s">
        <v>6</v>
      </c>
      <c r="F278" s="15" t="s">
        <v>7</v>
      </c>
      <c r="G278" s="12" t="s">
        <v>8</v>
      </c>
      <c r="H278" s="13">
        <v>47.247149999999998</v>
      </c>
      <c r="I278" s="13">
        <v>-122.64146700000001</v>
      </c>
      <c r="J278" s="14"/>
      <c r="K278" s="14"/>
      <c r="L278" s="15" t="s">
        <v>9</v>
      </c>
      <c r="M278" s="16"/>
      <c r="N278" s="12"/>
      <c r="O278" s="12"/>
      <c r="P278" s="12" t="s">
        <v>18</v>
      </c>
      <c r="Q278" s="19" t="s">
        <v>13</v>
      </c>
      <c r="R278" s="17" t="s">
        <v>630</v>
      </c>
      <c r="S278" s="196" t="s">
        <v>566</v>
      </c>
    </row>
    <row r="279" spans="1:19" s="9" customFormat="1" ht="15" customHeight="1" x14ac:dyDescent="0.25">
      <c r="A279" s="3">
        <v>42627</v>
      </c>
      <c r="B279" s="9" t="s">
        <v>562</v>
      </c>
      <c r="C279" s="9" t="s">
        <v>631</v>
      </c>
      <c r="D279" s="9" t="s">
        <v>632</v>
      </c>
      <c r="E279" s="12" t="s">
        <v>6</v>
      </c>
      <c r="F279" s="15" t="s">
        <v>7</v>
      </c>
      <c r="G279" s="12" t="s">
        <v>8</v>
      </c>
      <c r="H279" s="13">
        <v>47.337133000000001</v>
      </c>
      <c r="I279" s="13">
        <v>-122.72935</v>
      </c>
      <c r="J279" s="14"/>
      <c r="K279" s="14"/>
      <c r="L279" s="15" t="s">
        <v>9</v>
      </c>
      <c r="M279" s="16"/>
      <c r="N279" s="12"/>
      <c r="O279" s="12" t="s">
        <v>11</v>
      </c>
      <c r="P279" s="12" t="s">
        <v>23</v>
      </c>
      <c r="Q279" s="19" t="s">
        <v>63</v>
      </c>
      <c r="R279" s="17" t="s">
        <v>633</v>
      </c>
      <c r="S279" s="196" t="s">
        <v>566</v>
      </c>
    </row>
    <row r="280" spans="1:19" s="9" customFormat="1" ht="15" customHeight="1" x14ac:dyDescent="0.25">
      <c r="A280" s="3">
        <v>42627</v>
      </c>
      <c r="B280" s="9" t="s">
        <v>562</v>
      </c>
      <c r="C280" s="9" t="s">
        <v>631</v>
      </c>
      <c r="D280" s="9" t="s">
        <v>634</v>
      </c>
      <c r="E280" s="12" t="s">
        <v>6</v>
      </c>
      <c r="F280" s="15" t="s">
        <v>7</v>
      </c>
      <c r="G280" s="12" t="s">
        <v>8</v>
      </c>
      <c r="H280" s="13">
        <v>47.337466999999997</v>
      </c>
      <c r="I280" s="13">
        <v>-122.729817</v>
      </c>
      <c r="J280" s="14"/>
      <c r="K280" s="14"/>
      <c r="L280" s="15" t="s">
        <v>9</v>
      </c>
      <c r="M280" s="16"/>
      <c r="N280" s="12"/>
      <c r="O280" s="12"/>
      <c r="P280" s="12" t="s">
        <v>12</v>
      </c>
      <c r="Q280" s="19" t="s">
        <v>13</v>
      </c>
      <c r="R280" s="17" t="s">
        <v>635</v>
      </c>
      <c r="S280" s="196" t="s">
        <v>566</v>
      </c>
    </row>
    <row r="281" spans="1:19" s="9" customFormat="1" ht="15" customHeight="1" x14ac:dyDescent="0.25">
      <c r="A281" s="3">
        <v>42627</v>
      </c>
      <c r="B281" s="9" t="s">
        <v>562</v>
      </c>
      <c r="C281" s="9" t="s">
        <v>599</v>
      </c>
      <c r="D281" s="9" t="s">
        <v>636</v>
      </c>
      <c r="E281" s="12" t="s">
        <v>6</v>
      </c>
      <c r="F281" s="15" t="s">
        <v>7</v>
      </c>
      <c r="G281" s="12" t="s">
        <v>8</v>
      </c>
      <c r="H281" s="13">
        <v>47.273409999999998</v>
      </c>
      <c r="I281" s="13">
        <v>-122.62338</v>
      </c>
      <c r="J281" s="14"/>
      <c r="K281" s="14"/>
      <c r="L281" s="15" t="s">
        <v>9</v>
      </c>
      <c r="M281" s="16"/>
      <c r="N281" s="12"/>
      <c r="O281" s="12"/>
      <c r="P281" s="12" t="s">
        <v>23</v>
      </c>
      <c r="Q281" s="19" t="s">
        <v>48</v>
      </c>
      <c r="R281" s="17" t="s">
        <v>637</v>
      </c>
      <c r="S281" s="196" t="s">
        <v>566</v>
      </c>
    </row>
    <row r="282" spans="1:19" s="9" customFormat="1" ht="15" customHeight="1" x14ac:dyDescent="0.25">
      <c r="A282" s="3">
        <v>42627</v>
      </c>
      <c r="B282" s="9" t="s">
        <v>562</v>
      </c>
      <c r="C282" s="9" t="s">
        <v>599</v>
      </c>
      <c r="D282" s="9" t="s">
        <v>638</v>
      </c>
      <c r="E282" s="12" t="s">
        <v>6</v>
      </c>
      <c r="F282" s="15" t="s">
        <v>7</v>
      </c>
      <c r="G282" s="12" t="s">
        <v>8</v>
      </c>
      <c r="H282" s="13">
        <v>47.277616999999999</v>
      </c>
      <c r="I282" s="13">
        <v>-122.629503</v>
      </c>
      <c r="J282" s="14"/>
      <c r="K282" s="14"/>
      <c r="L282" s="15" t="s">
        <v>9</v>
      </c>
      <c r="M282" s="16"/>
      <c r="N282" s="12"/>
      <c r="O282" s="12" t="s">
        <v>11</v>
      </c>
      <c r="P282" s="12" t="s">
        <v>12</v>
      </c>
      <c r="Q282" s="19" t="s">
        <v>13</v>
      </c>
      <c r="R282" s="17" t="s">
        <v>639</v>
      </c>
      <c r="S282" s="196" t="s">
        <v>566</v>
      </c>
    </row>
    <row r="283" spans="1:19" s="9" customFormat="1" ht="15" customHeight="1" x14ac:dyDescent="0.25">
      <c r="A283" s="3">
        <v>42627</v>
      </c>
      <c r="B283" s="9" t="s">
        <v>562</v>
      </c>
      <c r="C283" s="9" t="s">
        <v>599</v>
      </c>
      <c r="D283" s="9" t="s">
        <v>640</v>
      </c>
      <c r="E283" s="12" t="s">
        <v>6</v>
      </c>
      <c r="F283" s="15" t="s">
        <v>7</v>
      </c>
      <c r="G283" s="12" t="s">
        <v>8</v>
      </c>
      <c r="H283" s="13">
        <v>47.283850000000001</v>
      </c>
      <c r="I283" s="13">
        <v>-122.66235</v>
      </c>
      <c r="J283" s="14"/>
      <c r="K283" s="14"/>
      <c r="L283" s="15" t="s">
        <v>9</v>
      </c>
      <c r="M283" s="16"/>
      <c r="N283" s="12" t="s">
        <v>10</v>
      </c>
      <c r="O283" s="12" t="s">
        <v>11</v>
      </c>
      <c r="P283" s="12" t="s">
        <v>23</v>
      </c>
      <c r="Q283" s="19" t="s">
        <v>48</v>
      </c>
      <c r="R283" s="17" t="s">
        <v>641</v>
      </c>
      <c r="S283" s="196" t="s">
        <v>566</v>
      </c>
    </row>
    <row r="284" spans="1:19" s="9" customFormat="1" ht="15" customHeight="1" x14ac:dyDescent="0.25">
      <c r="A284" s="3">
        <v>42627</v>
      </c>
      <c r="B284" s="9" t="s">
        <v>562</v>
      </c>
      <c r="C284" s="9" t="s">
        <v>642</v>
      </c>
      <c r="D284" s="9" t="s">
        <v>643</v>
      </c>
      <c r="E284" s="12" t="s">
        <v>6</v>
      </c>
      <c r="F284" s="15" t="s">
        <v>7</v>
      </c>
      <c r="G284" s="12" t="s">
        <v>8</v>
      </c>
      <c r="H284" s="13">
        <v>47.270916999999997</v>
      </c>
      <c r="I284" s="13">
        <v>-122.592417</v>
      </c>
      <c r="J284" s="14"/>
      <c r="K284" s="14"/>
      <c r="L284" s="15" t="s">
        <v>9</v>
      </c>
      <c r="M284" s="16"/>
      <c r="N284" s="12"/>
      <c r="O284" s="12" t="s">
        <v>11</v>
      </c>
      <c r="P284" s="12" t="s">
        <v>23</v>
      </c>
      <c r="Q284" s="19" t="s">
        <v>63</v>
      </c>
      <c r="R284" s="17" t="s">
        <v>644</v>
      </c>
      <c r="S284" s="196" t="s">
        <v>566</v>
      </c>
    </row>
    <row r="285" spans="1:19" s="9" customFormat="1" ht="15" customHeight="1" x14ac:dyDescent="0.25">
      <c r="A285" s="3">
        <v>42627</v>
      </c>
      <c r="B285" s="9" t="s">
        <v>562</v>
      </c>
      <c r="C285" s="9" t="s">
        <v>642</v>
      </c>
      <c r="D285" s="9" t="s">
        <v>645</v>
      </c>
      <c r="E285" s="12" t="s">
        <v>6</v>
      </c>
      <c r="F285" s="15" t="s">
        <v>7</v>
      </c>
      <c r="G285" s="12" t="s">
        <v>8</v>
      </c>
      <c r="H285" s="13">
        <v>47.279933</v>
      </c>
      <c r="I285" s="13">
        <v>-122.59985</v>
      </c>
      <c r="J285" s="14"/>
      <c r="K285" s="14"/>
      <c r="L285" s="15" t="s">
        <v>9</v>
      </c>
      <c r="M285" s="16"/>
      <c r="N285" s="12"/>
      <c r="O285" s="12" t="s">
        <v>11</v>
      </c>
      <c r="P285" s="12" t="s">
        <v>23</v>
      </c>
      <c r="Q285" s="19" t="s">
        <v>24</v>
      </c>
      <c r="R285" s="17" t="s">
        <v>646</v>
      </c>
      <c r="S285" s="196" t="s">
        <v>566</v>
      </c>
    </row>
    <row r="286" spans="1:19" s="9" customFormat="1" ht="15" customHeight="1" x14ac:dyDescent="0.25">
      <c r="A286" s="3">
        <v>42627</v>
      </c>
      <c r="B286" s="9" t="s">
        <v>562</v>
      </c>
      <c r="C286" s="9" t="s">
        <v>642</v>
      </c>
      <c r="D286" s="9" t="s">
        <v>647</v>
      </c>
      <c r="E286" s="12" t="s">
        <v>6</v>
      </c>
      <c r="F286" s="15" t="s">
        <v>7</v>
      </c>
      <c r="G286" s="12" t="s">
        <v>8</v>
      </c>
      <c r="H286" s="13">
        <v>47.290689999999998</v>
      </c>
      <c r="I286" s="13">
        <v>-122.60673</v>
      </c>
      <c r="J286" s="14"/>
      <c r="K286" s="14"/>
      <c r="L286" s="15" t="s">
        <v>9</v>
      </c>
      <c r="M286" s="16"/>
      <c r="N286" s="12"/>
      <c r="O286" s="12" t="s">
        <v>11</v>
      </c>
      <c r="P286" s="12" t="s">
        <v>23</v>
      </c>
      <c r="Q286" s="19" t="s">
        <v>24</v>
      </c>
      <c r="R286" s="17" t="s">
        <v>648</v>
      </c>
      <c r="S286" s="196" t="s">
        <v>566</v>
      </c>
    </row>
    <row r="287" spans="1:19" s="9" customFormat="1" ht="15" customHeight="1" x14ac:dyDescent="0.25">
      <c r="A287" s="3">
        <v>42628</v>
      </c>
      <c r="B287" s="9" t="s">
        <v>562</v>
      </c>
      <c r="C287" s="9" t="s">
        <v>61</v>
      </c>
      <c r="D287" s="9" t="s">
        <v>649</v>
      </c>
      <c r="E287" s="12" t="s">
        <v>6</v>
      </c>
      <c r="F287" s="15" t="s">
        <v>7</v>
      </c>
      <c r="G287" s="12" t="s">
        <v>8</v>
      </c>
      <c r="H287" s="13">
        <v>47.138083000000002</v>
      </c>
      <c r="I287" s="13">
        <v>-122.72331699999999</v>
      </c>
      <c r="J287" s="14"/>
      <c r="K287" s="14"/>
      <c r="L287" s="15" t="s">
        <v>9</v>
      </c>
      <c r="M287" s="16"/>
      <c r="N287" s="12" t="s">
        <v>10</v>
      </c>
      <c r="O287" s="12" t="s">
        <v>11</v>
      </c>
      <c r="P287" s="12" t="s">
        <v>23</v>
      </c>
      <c r="Q287" s="19" t="s">
        <v>48</v>
      </c>
      <c r="R287" s="17" t="s">
        <v>650</v>
      </c>
      <c r="S287" s="196" t="s">
        <v>651</v>
      </c>
    </row>
    <row r="288" spans="1:19" s="9" customFormat="1" ht="15" customHeight="1" x14ac:dyDescent="0.25">
      <c r="A288" s="3">
        <v>42628</v>
      </c>
      <c r="B288" s="9" t="s">
        <v>562</v>
      </c>
      <c r="C288" s="9" t="s">
        <v>61</v>
      </c>
      <c r="D288" s="9" t="s">
        <v>652</v>
      </c>
      <c r="E288" s="12" t="s">
        <v>6</v>
      </c>
      <c r="F288" s="15" t="s">
        <v>7</v>
      </c>
      <c r="G288" s="12" t="s">
        <v>8</v>
      </c>
      <c r="H288" s="13">
        <v>47.1374</v>
      </c>
      <c r="I288" s="13">
        <v>-122.722217</v>
      </c>
      <c r="J288" s="14"/>
      <c r="K288" s="14"/>
      <c r="L288" s="15" t="s">
        <v>9</v>
      </c>
      <c r="M288" s="16"/>
      <c r="N288" s="12" t="s">
        <v>10</v>
      </c>
      <c r="O288" s="12" t="s">
        <v>11</v>
      </c>
      <c r="P288" s="12" t="s">
        <v>23</v>
      </c>
      <c r="Q288" s="19" t="s">
        <v>48</v>
      </c>
      <c r="R288" s="17" t="s">
        <v>653</v>
      </c>
      <c r="S288" s="196" t="s">
        <v>651</v>
      </c>
    </row>
    <row r="289" spans="1:19" s="9" customFormat="1" ht="15" customHeight="1" x14ac:dyDescent="0.25">
      <c r="A289" s="3">
        <v>42628</v>
      </c>
      <c r="B289" s="9" t="s">
        <v>562</v>
      </c>
      <c r="C289" s="9" t="s">
        <v>61</v>
      </c>
      <c r="D289" s="9" t="s">
        <v>654</v>
      </c>
      <c r="E289" s="12" t="s">
        <v>6</v>
      </c>
      <c r="F289" s="15" t="s">
        <v>7</v>
      </c>
      <c r="G289" s="12" t="s">
        <v>8</v>
      </c>
      <c r="H289" s="13">
        <v>47.132550000000002</v>
      </c>
      <c r="I289" s="13">
        <v>-122.71776699999999</v>
      </c>
      <c r="J289" s="14"/>
      <c r="K289" s="14"/>
      <c r="L289" s="15" t="s">
        <v>9</v>
      </c>
      <c r="M289" s="16"/>
      <c r="N289" s="12"/>
      <c r="O289" s="12" t="s">
        <v>11</v>
      </c>
      <c r="P289" s="12" t="s">
        <v>23</v>
      </c>
      <c r="Q289" s="19" t="s">
        <v>48</v>
      </c>
      <c r="R289" s="17" t="s">
        <v>655</v>
      </c>
      <c r="S289" s="196" t="s">
        <v>651</v>
      </c>
    </row>
    <row r="290" spans="1:19" s="9" customFormat="1" ht="15" customHeight="1" x14ac:dyDescent="0.25">
      <c r="A290" s="3">
        <v>42628</v>
      </c>
      <c r="B290" s="9" t="s">
        <v>562</v>
      </c>
      <c r="C290" s="9" t="s">
        <v>61</v>
      </c>
      <c r="D290" s="9" t="s">
        <v>656</v>
      </c>
      <c r="E290" s="12" t="s">
        <v>6</v>
      </c>
      <c r="F290" s="15" t="s">
        <v>7</v>
      </c>
      <c r="G290" s="12" t="s">
        <v>8</v>
      </c>
      <c r="H290" s="13">
        <v>47.140307999999997</v>
      </c>
      <c r="I290" s="13">
        <v>-122.683087</v>
      </c>
      <c r="J290" s="14"/>
      <c r="K290" s="14"/>
      <c r="L290" s="15" t="s">
        <v>9</v>
      </c>
      <c r="M290" s="16"/>
      <c r="N290" s="12"/>
      <c r="O290" s="12" t="s">
        <v>11</v>
      </c>
      <c r="P290" s="12" t="s">
        <v>23</v>
      </c>
      <c r="Q290" s="19" t="s">
        <v>24</v>
      </c>
      <c r="R290" s="17" t="s">
        <v>657</v>
      </c>
      <c r="S290" s="196" t="s">
        <v>566</v>
      </c>
    </row>
    <row r="291" spans="1:19" s="9" customFormat="1" ht="15" customHeight="1" x14ac:dyDescent="0.25">
      <c r="A291" s="3">
        <v>42628</v>
      </c>
      <c r="B291" s="9" t="s">
        <v>562</v>
      </c>
      <c r="C291" s="9" t="s">
        <v>61</v>
      </c>
      <c r="D291" s="9" t="s">
        <v>658</v>
      </c>
      <c r="E291" s="12" t="s">
        <v>6</v>
      </c>
      <c r="F291" s="15" t="s">
        <v>7</v>
      </c>
      <c r="G291" s="12" t="s">
        <v>8</v>
      </c>
      <c r="H291" s="13">
        <v>47.144016999999998</v>
      </c>
      <c r="I291" s="13">
        <v>-122.675967</v>
      </c>
      <c r="J291" s="14"/>
      <c r="K291" s="14"/>
      <c r="L291" s="15" t="s">
        <v>9</v>
      </c>
      <c r="M291" s="16"/>
      <c r="N291" s="12" t="s">
        <v>10</v>
      </c>
      <c r="O291" s="12"/>
      <c r="P291" s="12" t="s">
        <v>36</v>
      </c>
      <c r="Q291" s="19" t="s">
        <v>13</v>
      </c>
      <c r="R291" s="17" t="s">
        <v>659</v>
      </c>
      <c r="S291" s="196" t="s">
        <v>566</v>
      </c>
    </row>
    <row r="292" spans="1:19" s="9" customFormat="1" ht="15" customHeight="1" x14ac:dyDescent="0.25">
      <c r="A292" s="3">
        <v>42628</v>
      </c>
      <c r="B292" s="9" t="s">
        <v>562</v>
      </c>
      <c r="C292" s="9" t="s">
        <v>61</v>
      </c>
      <c r="D292" s="9" t="s">
        <v>660</v>
      </c>
      <c r="E292" s="12" t="s">
        <v>6</v>
      </c>
      <c r="F292" s="15" t="s">
        <v>7</v>
      </c>
      <c r="G292" s="12" t="s">
        <v>8</v>
      </c>
      <c r="H292" s="13">
        <v>47.135283999999999</v>
      </c>
      <c r="I292" s="13">
        <v>-122.697599</v>
      </c>
      <c r="J292" s="14"/>
      <c r="K292" s="14"/>
      <c r="L292" s="15" t="s">
        <v>9</v>
      </c>
      <c r="M292" s="16"/>
      <c r="N292" s="12"/>
      <c r="O292" s="12"/>
      <c r="P292" s="12" t="s">
        <v>23</v>
      </c>
      <c r="Q292" s="19" t="s">
        <v>24</v>
      </c>
      <c r="R292" s="17" t="s">
        <v>661</v>
      </c>
      <c r="S292" s="196" t="s">
        <v>651</v>
      </c>
    </row>
    <row r="293" spans="1:19" s="9" customFormat="1" ht="15" customHeight="1" x14ac:dyDescent="0.25">
      <c r="A293" s="3">
        <v>42628</v>
      </c>
      <c r="B293" s="9" t="s">
        <v>562</v>
      </c>
      <c r="C293" s="9" t="s">
        <v>61</v>
      </c>
      <c r="D293" s="9" t="s">
        <v>662</v>
      </c>
      <c r="E293" s="12" t="s">
        <v>6</v>
      </c>
      <c r="F293" s="15" t="s">
        <v>7</v>
      </c>
      <c r="G293" s="12" t="s">
        <v>8</v>
      </c>
      <c r="H293" s="13">
        <v>47.138632999999999</v>
      </c>
      <c r="I293" s="13">
        <v>-122.70653</v>
      </c>
      <c r="J293" s="14"/>
      <c r="K293" s="14"/>
      <c r="L293" s="15" t="s">
        <v>9</v>
      </c>
      <c r="M293" s="16"/>
      <c r="N293" s="12" t="s">
        <v>66</v>
      </c>
      <c r="O293" s="12" t="s">
        <v>11</v>
      </c>
      <c r="P293" s="12" t="s">
        <v>23</v>
      </c>
      <c r="Q293" s="19" t="s">
        <v>24</v>
      </c>
      <c r="R293" s="17" t="s">
        <v>663</v>
      </c>
      <c r="S293" s="196" t="s">
        <v>651</v>
      </c>
    </row>
    <row r="294" spans="1:19" s="9" customFormat="1" ht="15" customHeight="1" x14ac:dyDescent="0.25">
      <c r="A294" s="3">
        <v>42628</v>
      </c>
      <c r="B294" s="9" t="s">
        <v>562</v>
      </c>
      <c r="C294" s="9" t="s">
        <v>61</v>
      </c>
      <c r="D294" s="9" t="s">
        <v>664</v>
      </c>
      <c r="E294" s="12" t="s">
        <v>6</v>
      </c>
      <c r="F294" s="15" t="s">
        <v>7</v>
      </c>
      <c r="G294" s="12" t="s">
        <v>8</v>
      </c>
      <c r="H294" s="13">
        <v>47.143656999999997</v>
      </c>
      <c r="I294" s="13">
        <v>-122.686994</v>
      </c>
      <c r="J294" s="14"/>
      <c r="K294" s="14"/>
      <c r="L294" s="15" t="s">
        <v>9</v>
      </c>
      <c r="M294" s="16"/>
      <c r="N294" s="12"/>
      <c r="O294" s="12" t="s">
        <v>11</v>
      </c>
      <c r="P294" s="12" t="s">
        <v>23</v>
      </c>
      <c r="Q294" s="19" t="s">
        <v>24</v>
      </c>
      <c r="R294" s="17" t="s">
        <v>665</v>
      </c>
      <c r="S294" s="196" t="s">
        <v>651</v>
      </c>
    </row>
    <row r="295" spans="1:19" s="9" customFormat="1" ht="15" customHeight="1" x14ac:dyDescent="0.25">
      <c r="A295" s="3">
        <v>42628</v>
      </c>
      <c r="B295" s="9" t="s">
        <v>562</v>
      </c>
      <c r="C295" s="9" t="s">
        <v>61</v>
      </c>
      <c r="D295" s="9" t="s">
        <v>666</v>
      </c>
      <c r="E295" s="12" t="s">
        <v>6</v>
      </c>
      <c r="F295" s="15" t="s">
        <v>7</v>
      </c>
      <c r="G295" s="12" t="s">
        <v>8</v>
      </c>
      <c r="H295" s="13">
        <v>47.144215000000003</v>
      </c>
      <c r="I295" s="13">
        <v>-122.695925</v>
      </c>
      <c r="J295" s="14"/>
      <c r="K295" s="14"/>
      <c r="L295" s="15" t="s">
        <v>9</v>
      </c>
      <c r="M295" s="16"/>
      <c r="N295" s="12"/>
      <c r="O295" s="12" t="s">
        <v>11</v>
      </c>
      <c r="P295" s="12" t="s">
        <v>23</v>
      </c>
      <c r="Q295" s="19" t="s">
        <v>48</v>
      </c>
      <c r="R295" s="17" t="s">
        <v>667</v>
      </c>
      <c r="S295" s="196" t="s">
        <v>651</v>
      </c>
    </row>
    <row r="296" spans="1:19" s="9" customFormat="1" ht="15" customHeight="1" x14ac:dyDescent="0.25">
      <c r="A296" s="3">
        <v>42628</v>
      </c>
      <c r="B296" s="9" t="s">
        <v>562</v>
      </c>
      <c r="C296" s="9" t="s">
        <v>61</v>
      </c>
      <c r="D296" s="9" t="s">
        <v>668</v>
      </c>
      <c r="E296" s="12" t="s">
        <v>6</v>
      </c>
      <c r="F296" s="15" t="s">
        <v>7</v>
      </c>
      <c r="G296" s="12" t="s">
        <v>8</v>
      </c>
      <c r="H296" s="13">
        <v>47.170783</v>
      </c>
      <c r="I296" s="13">
        <v>-122.728883</v>
      </c>
      <c r="J296" s="14"/>
      <c r="K296" s="14"/>
      <c r="L296" s="15" t="s">
        <v>9</v>
      </c>
      <c r="M296" s="16"/>
      <c r="N296" s="12"/>
      <c r="O296" s="12"/>
      <c r="P296" s="12" t="s">
        <v>23</v>
      </c>
      <c r="Q296" s="19" t="s">
        <v>24</v>
      </c>
      <c r="R296" s="17" t="s">
        <v>669</v>
      </c>
      <c r="S296" s="196" t="s">
        <v>651</v>
      </c>
    </row>
    <row r="297" spans="1:19" s="9" customFormat="1" ht="15" customHeight="1" x14ac:dyDescent="0.25">
      <c r="A297" s="3">
        <v>42628</v>
      </c>
      <c r="B297" s="9" t="s">
        <v>562</v>
      </c>
      <c r="C297" s="9" t="s">
        <v>670</v>
      </c>
      <c r="D297" s="9" t="s">
        <v>671</v>
      </c>
      <c r="E297" s="12" t="s">
        <v>6</v>
      </c>
      <c r="F297" s="15" t="s">
        <v>7</v>
      </c>
      <c r="G297" s="12" t="s">
        <v>8</v>
      </c>
      <c r="H297" s="13">
        <v>47.174914000000001</v>
      </c>
      <c r="I297" s="13">
        <v>-122.749509</v>
      </c>
      <c r="J297" s="14"/>
      <c r="K297" s="14"/>
      <c r="L297" s="15" t="s">
        <v>9</v>
      </c>
      <c r="M297" s="16"/>
      <c r="N297" s="12" t="s">
        <v>66</v>
      </c>
      <c r="O297" s="12"/>
      <c r="P297" s="12" t="s">
        <v>23</v>
      </c>
      <c r="Q297" s="19" t="s">
        <v>48</v>
      </c>
      <c r="R297" s="17" t="s">
        <v>672</v>
      </c>
      <c r="S297" s="196" t="s">
        <v>651</v>
      </c>
    </row>
    <row r="298" spans="1:19" s="9" customFormat="1" ht="15" customHeight="1" x14ac:dyDescent="0.25">
      <c r="A298" s="3">
        <v>42628</v>
      </c>
      <c r="B298" s="9" t="s">
        <v>562</v>
      </c>
      <c r="C298" s="9" t="s">
        <v>670</v>
      </c>
      <c r="D298" s="9" t="s">
        <v>673</v>
      </c>
      <c r="E298" s="12" t="s">
        <v>6</v>
      </c>
      <c r="F298" s="15" t="s">
        <v>7</v>
      </c>
      <c r="G298" s="12" t="s">
        <v>8</v>
      </c>
      <c r="H298" s="13">
        <v>47.178821999999997</v>
      </c>
      <c r="I298" s="13">
        <v>-122.747276</v>
      </c>
      <c r="J298" s="14"/>
      <c r="K298" s="14"/>
      <c r="L298" s="15" t="s">
        <v>9</v>
      </c>
      <c r="M298" s="16"/>
      <c r="N298" s="12" t="s">
        <v>10</v>
      </c>
      <c r="O298" s="12"/>
      <c r="P298" s="12" t="s">
        <v>23</v>
      </c>
      <c r="Q298" s="19" t="s">
        <v>63</v>
      </c>
      <c r="R298" s="17" t="s">
        <v>674</v>
      </c>
      <c r="S298" s="196" t="s">
        <v>651</v>
      </c>
    </row>
    <row r="299" spans="1:19" s="9" customFormat="1" ht="15" customHeight="1" x14ac:dyDescent="0.25">
      <c r="A299" s="3">
        <v>42628</v>
      </c>
      <c r="B299" s="9" t="s">
        <v>562</v>
      </c>
      <c r="C299" s="9" t="s">
        <v>670</v>
      </c>
      <c r="D299" s="9" t="s">
        <v>675</v>
      </c>
      <c r="E299" s="12" t="s">
        <v>6</v>
      </c>
      <c r="F299" s="15" t="s">
        <v>7</v>
      </c>
      <c r="G299" s="12" t="s">
        <v>8</v>
      </c>
      <c r="H299" s="13">
        <v>47.181612000000001</v>
      </c>
      <c r="I299" s="13">
        <v>-122.74839299999999</v>
      </c>
      <c r="J299" s="14"/>
      <c r="K299" s="14"/>
      <c r="L299" s="15" t="s">
        <v>9</v>
      </c>
      <c r="M299" s="16"/>
      <c r="N299" s="12" t="s">
        <v>66</v>
      </c>
      <c r="O299" s="12"/>
      <c r="P299" s="12" t="s">
        <v>23</v>
      </c>
      <c r="Q299" s="19" t="s">
        <v>24</v>
      </c>
      <c r="R299" s="17" t="s">
        <v>676</v>
      </c>
      <c r="S299" s="196" t="s">
        <v>651</v>
      </c>
    </row>
    <row r="300" spans="1:19" s="9" customFormat="1" ht="15" customHeight="1" x14ac:dyDescent="0.25">
      <c r="A300" s="3">
        <v>42628</v>
      </c>
      <c r="B300" s="9" t="s">
        <v>562</v>
      </c>
      <c r="C300" s="9" t="s">
        <v>670</v>
      </c>
      <c r="D300" s="9" t="s">
        <v>677</v>
      </c>
      <c r="E300" s="12" t="s">
        <v>6</v>
      </c>
      <c r="F300" s="15" t="s">
        <v>7</v>
      </c>
      <c r="G300" s="12" t="s">
        <v>8</v>
      </c>
      <c r="H300" s="13">
        <v>47.195008000000001</v>
      </c>
      <c r="I300" s="13">
        <v>-122.740578</v>
      </c>
      <c r="J300" s="14"/>
      <c r="K300" s="14"/>
      <c r="L300" s="15" t="s">
        <v>9</v>
      </c>
      <c r="M300" s="16"/>
      <c r="N300" s="12"/>
      <c r="O300" s="12" t="s">
        <v>11</v>
      </c>
      <c r="P300" s="12" t="s">
        <v>23</v>
      </c>
      <c r="Q300" s="19" t="s">
        <v>24</v>
      </c>
      <c r="R300" s="17" t="s">
        <v>678</v>
      </c>
      <c r="S300" s="196" t="s">
        <v>651</v>
      </c>
    </row>
    <row r="301" spans="1:19" s="9" customFormat="1" ht="15" customHeight="1" x14ac:dyDescent="0.25">
      <c r="A301" s="3">
        <v>42628</v>
      </c>
      <c r="B301" s="9" t="s">
        <v>562</v>
      </c>
      <c r="C301" s="9" t="s">
        <v>670</v>
      </c>
      <c r="D301" s="9" t="s">
        <v>679</v>
      </c>
      <c r="E301" s="12" t="s">
        <v>6</v>
      </c>
      <c r="F301" s="15" t="s">
        <v>7</v>
      </c>
      <c r="G301" s="12" t="s">
        <v>8</v>
      </c>
      <c r="H301" s="13">
        <v>47.200032</v>
      </c>
      <c r="I301" s="13">
        <v>-122.743927</v>
      </c>
      <c r="J301" s="14"/>
      <c r="K301" s="14"/>
      <c r="L301" s="15" t="s">
        <v>9</v>
      </c>
      <c r="M301" s="16"/>
      <c r="N301" s="12"/>
      <c r="O301" s="12" t="s">
        <v>187</v>
      </c>
      <c r="P301" s="12" t="s">
        <v>23</v>
      </c>
      <c r="Q301" s="19" t="s">
        <v>24</v>
      </c>
      <c r="R301" s="17" t="s">
        <v>680</v>
      </c>
      <c r="S301" s="196" t="s">
        <v>651</v>
      </c>
    </row>
    <row r="302" spans="1:19" s="9" customFormat="1" ht="15" customHeight="1" x14ac:dyDescent="0.25">
      <c r="A302" s="3">
        <v>42628</v>
      </c>
      <c r="B302" s="9" t="s">
        <v>562</v>
      </c>
      <c r="C302" s="9" t="s">
        <v>681</v>
      </c>
      <c r="D302" s="9" t="s">
        <v>682</v>
      </c>
      <c r="E302" s="12" t="s">
        <v>6</v>
      </c>
      <c r="F302" s="15" t="s">
        <v>7</v>
      </c>
      <c r="G302" s="12" t="s">
        <v>8</v>
      </c>
      <c r="H302" s="13">
        <v>47.213456999999998</v>
      </c>
      <c r="I302" s="13">
        <v>-122.748115</v>
      </c>
      <c r="J302" s="14"/>
      <c r="K302" s="14"/>
      <c r="L302" s="15" t="s">
        <v>9</v>
      </c>
      <c r="M302" s="16"/>
      <c r="N302" s="12" t="s">
        <v>66</v>
      </c>
      <c r="O302" s="12"/>
      <c r="P302" s="12" t="s">
        <v>23</v>
      </c>
      <c r="Q302" s="19" t="s">
        <v>48</v>
      </c>
      <c r="R302" s="17" t="s">
        <v>683</v>
      </c>
      <c r="S302" s="196" t="s">
        <v>651</v>
      </c>
    </row>
    <row r="303" spans="1:19" s="9" customFormat="1" ht="15" customHeight="1" x14ac:dyDescent="0.25">
      <c r="A303" s="3">
        <v>42628</v>
      </c>
      <c r="B303" s="9" t="s">
        <v>562</v>
      </c>
      <c r="C303" s="9" t="s">
        <v>160</v>
      </c>
      <c r="D303" s="9" t="s">
        <v>684</v>
      </c>
      <c r="E303" s="12" t="s">
        <v>6</v>
      </c>
      <c r="F303" s="15" t="s">
        <v>7</v>
      </c>
      <c r="G303" s="12" t="s">
        <v>8</v>
      </c>
      <c r="H303" s="13">
        <v>47.205275999999998</v>
      </c>
      <c r="I303" s="13">
        <v>-122.727816</v>
      </c>
      <c r="J303" s="14"/>
      <c r="K303" s="14"/>
      <c r="L303" s="15" t="s">
        <v>9</v>
      </c>
      <c r="M303" s="16"/>
      <c r="N303" s="12"/>
      <c r="O303" s="12" t="s">
        <v>11</v>
      </c>
      <c r="P303" s="12" t="s">
        <v>23</v>
      </c>
      <c r="Q303" s="19" t="s">
        <v>63</v>
      </c>
      <c r="R303" s="17" t="s">
        <v>685</v>
      </c>
      <c r="S303" s="196" t="s">
        <v>651</v>
      </c>
    </row>
    <row r="304" spans="1:19" s="9" customFormat="1" ht="15" customHeight="1" x14ac:dyDescent="0.25">
      <c r="A304" s="3">
        <v>42628</v>
      </c>
      <c r="B304" s="9" t="s">
        <v>562</v>
      </c>
      <c r="C304" s="9" t="s">
        <v>160</v>
      </c>
      <c r="D304" s="9" t="s">
        <v>686</v>
      </c>
      <c r="E304" s="12" t="s">
        <v>6</v>
      </c>
      <c r="F304" s="15" t="s">
        <v>7</v>
      </c>
      <c r="G304" s="12" t="s">
        <v>8</v>
      </c>
      <c r="H304" s="13">
        <v>47.213985999999998</v>
      </c>
      <c r="I304" s="13">
        <v>-122.662993</v>
      </c>
      <c r="J304" s="14"/>
      <c r="K304" s="14"/>
      <c r="L304" s="15" t="s">
        <v>9</v>
      </c>
      <c r="M304" s="16"/>
      <c r="N304" s="12"/>
      <c r="O304" s="12" t="s">
        <v>11</v>
      </c>
      <c r="P304" s="12" t="s">
        <v>23</v>
      </c>
      <c r="Q304" s="19" t="s">
        <v>24</v>
      </c>
      <c r="R304" s="17" t="s">
        <v>687</v>
      </c>
      <c r="S304" s="196" t="s">
        <v>566</v>
      </c>
    </row>
    <row r="305" spans="1:19" s="9" customFormat="1" ht="15" customHeight="1" x14ac:dyDescent="0.25">
      <c r="A305" s="3">
        <v>42628</v>
      </c>
      <c r="B305" s="9" t="s">
        <v>562</v>
      </c>
      <c r="C305" s="9" t="s">
        <v>160</v>
      </c>
      <c r="D305" s="9" t="s">
        <v>688</v>
      </c>
      <c r="E305" s="12" t="s">
        <v>6</v>
      </c>
      <c r="F305" s="15" t="s">
        <v>7</v>
      </c>
      <c r="G305" s="12" t="s">
        <v>8</v>
      </c>
      <c r="H305" s="13">
        <v>47.217892999999997</v>
      </c>
      <c r="I305" s="13">
        <v>-122.667458</v>
      </c>
      <c r="J305" s="14"/>
      <c r="K305" s="14"/>
      <c r="L305" s="15" t="s">
        <v>9</v>
      </c>
      <c r="M305" s="16"/>
      <c r="N305" s="12"/>
      <c r="O305" s="12"/>
      <c r="P305" s="12" t="s">
        <v>23</v>
      </c>
      <c r="Q305" s="19" t="s">
        <v>24</v>
      </c>
      <c r="R305" s="17" t="s">
        <v>689</v>
      </c>
      <c r="S305" s="196" t="s">
        <v>566</v>
      </c>
    </row>
    <row r="306" spans="1:19" s="9" customFormat="1" ht="15" customHeight="1" x14ac:dyDescent="0.25">
      <c r="A306" s="3">
        <v>42628</v>
      </c>
      <c r="B306" s="9" t="s">
        <v>562</v>
      </c>
      <c r="C306" s="9" t="s">
        <v>160</v>
      </c>
      <c r="D306" s="9" t="s">
        <v>690</v>
      </c>
      <c r="E306" s="12" t="s">
        <v>6</v>
      </c>
      <c r="F306" s="15" t="s">
        <v>7</v>
      </c>
      <c r="G306" s="12" t="s">
        <v>8</v>
      </c>
      <c r="H306" s="13">
        <v>47.223475000000001</v>
      </c>
      <c r="I306" s="13">
        <v>-122.669133</v>
      </c>
      <c r="J306" s="14"/>
      <c r="K306" s="14"/>
      <c r="L306" s="15" t="s">
        <v>9</v>
      </c>
      <c r="M306" s="16"/>
      <c r="N306" s="12"/>
      <c r="O306" s="12"/>
      <c r="P306" s="12" t="s">
        <v>23</v>
      </c>
      <c r="Q306" s="19" t="s">
        <v>24</v>
      </c>
      <c r="R306" s="17" t="s">
        <v>691</v>
      </c>
      <c r="S306" s="196" t="s">
        <v>566</v>
      </c>
    </row>
    <row r="307" spans="1:19" s="9" customFormat="1" ht="15" customHeight="1" x14ac:dyDescent="0.25">
      <c r="A307" s="3">
        <v>42628</v>
      </c>
      <c r="B307" s="9" t="s">
        <v>562</v>
      </c>
      <c r="C307" s="9" t="s">
        <v>160</v>
      </c>
      <c r="D307" s="9" t="s">
        <v>692</v>
      </c>
      <c r="E307" s="12" t="s">
        <v>6</v>
      </c>
      <c r="F307" s="15" t="s">
        <v>7</v>
      </c>
      <c r="G307" s="12" t="s">
        <v>8</v>
      </c>
      <c r="H307" s="13">
        <v>47.191617000000001</v>
      </c>
      <c r="I307" s="13">
        <v>-122.671733</v>
      </c>
      <c r="J307" s="14"/>
      <c r="K307" s="14"/>
      <c r="L307" s="15" t="s">
        <v>9</v>
      </c>
      <c r="M307" s="16"/>
      <c r="N307" s="12"/>
      <c r="O307" s="12" t="s">
        <v>11</v>
      </c>
      <c r="P307" s="12" t="s">
        <v>23</v>
      </c>
      <c r="Q307" s="19" t="s">
        <v>48</v>
      </c>
      <c r="R307" s="17" t="s">
        <v>693</v>
      </c>
      <c r="S307" s="196" t="s">
        <v>566</v>
      </c>
    </row>
    <row r="308" spans="1:19" s="9" customFormat="1" ht="15" customHeight="1" x14ac:dyDescent="0.25">
      <c r="A308" s="3">
        <v>42628</v>
      </c>
      <c r="B308" s="9" t="s">
        <v>562</v>
      </c>
      <c r="C308" s="9" t="s">
        <v>160</v>
      </c>
      <c r="D308" s="9" t="s">
        <v>694</v>
      </c>
      <c r="E308" s="12" t="s">
        <v>6</v>
      </c>
      <c r="F308" s="15" t="s">
        <v>7</v>
      </c>
      <c r="G308" s="12" t="s">
        <v>8</v>
      </c>
      <c r="H308" s="13">
        <v>47.191633000000003</v>
      </c>
      <c r="I308" s="13">
        <v>-122.671567</v>
      </c>
      <c r="J308" s="14"/>
      <c r="K308" s="14"/>
      <c r="L308" s="15" t="s">
        <v>9</v>
      </c>
      <c r="M308" s="16"/>
      <c r="N308" s="12" t="s">
        <v>10</v>
      </c>
      <c r="O308" s="12"/>
      <c r="P308" s="12" t="s">
        <v>18</v>
      </c>
      <c r="Q308" s="19" t="s">
        <v>13</v>
      </c>
      <c r="R308" s="17" t="s">
        <v>695</v>
      </c>
      <c r="S308" s="196" t="s">
        <v>566</v>
      </c>
    </row>
    <row r="309" spans="1:19" s="9" customFormat="1" ht="15" customHeight="1" x14ac:dyDescent="0.25">
      <c r="A309" s="3">
        <v>42640</v>
      </c>
      <c r="B309" s="9" t="s">
        <v>562</v>
      </c>
      <c r="C309" s="9" t="s">
        <v>696</v>
      </c>
      <c r="D309" s="9" t="s">
        <v>697</v>
      </c>
      <c r="E309" s="12" t="s">
        <v>6</v>
      </c>
      <c r="F309" s="15" t="s">
        <v>17</v>
      </c>
      <c r="G309" s="12" t="s">
        <v>8</v>
      </c>
      <c r="H309" s="13">
        <v>48.356516666666664</v>
      </c>
      <c r="I309" s="13">
        <v>-122.67965</v>
      </c>
      <c r="J309" s="13">
        <v>48.356666666666669</v>
      </c>
      <c r="K309" s="13">
        <v>-122.67795</v>
      </c>
      <c r="L309" s="15" t="s">
        <v>9</v>
      </c>
      <c r="M309" s="20">
        <v>-3.5051999999999999</v>
      </c>
      <c r="N309" s="12" t="s">
        <v>10</v>
      </c>
      <c r="O309" s="12" t="s">
        <v>11</v>
      </c>
      <c r="P309" s="12" t="s">
        <v>23</v>
      </c>
      <c r="Q309" s="19" t="s">
        <v>48</v>
      </c>
      <c r="R309" s="17" t="s">
        <v>698</v>
      </c>
      <c r="S309" s="196" t="s">
        <v>699</v>
      </c>
    </row>
    <row r="310" spans="1:19" s="9" customFormat="1" ht="15" customHeight="1" x14ac:dyDescent="0.25">
      <c r="A310" s="3">
        <v>42640</v>
      </c>
      <c r="B310" s="9" t="s">
        <v>562</v>
      </c>
      <c r="C310" s="9" t="s">
        <v>696</v>
      </c>
      <c r="D310" s="9" t="s">
        <v>700</v>
      </c>
      <c r="E310" s="12" t="s">
        <v>6</v>
      </c>
      <c r="F310" s="15" t="s">
        <v>7</v>
      </c>
      <c r="G310" s="12" t="s">
        <v>8</v>
      </c>
      <c r="H310" s="13">
        <v>48.359949999999998</v>
      </c>
      <c r="I310" s="13">
        <v>-122.6747</v>
      </c>
      <c r="J310" s="14"/>
      <c r="K310" s="14"/>
      <c r="L310" s="15" t="s">
        <v>9</v>
      </c>
      <c r="M310" s="20">
        <v>-2.9565599999999996</v>
      </c>
      <c r="N310" s="12" t="s">
        <v>10</v>
      </c>
      <c r="O310" s="12" t="s">
        <v>11</v>
      </c>
      <c r="P310" s="12" t="s">
        <v>23</v>
      </c>
      <c r="Q310" s="19" t="s">
        <v>48</v>
      </c>
      <c r="R310" s="17" t="s">
        <v>701</v>
      </c>
      <c r="S310" s="196" t="s">
        <v>699</v>
      </c>
    </row>
    <row r="311" spans="1:19" s="9" customFormat="1" ht="15" customHeight="1" x14ac:dyDescent="0.25">
      <c r="A311" s="3">
        <v>42640</v>
      </c>
      <c r="B311" s="9" t="s">
        <v>562</v>
      </c>
      <c r="C311" s="9" t="s">
        <v>696</v>
      </c>
      <c r="D311" s="9" t="s">
        <v>702</v>
      </c>
      <c r="E311" s="12" t="s">
        <v>6</v>
      </c>
      <c r="F311" s="15" t="s">
        <v>7</v>
      </c>
      <c r="G311" s="12" t="s">
        <v>8</v>
      </c>
      <c r="H311" s="13">
        <v>48.385683333333333</v>
      </c>
      <c r="I311" s="13">
        <v>-122.66803333333333</v>
      </c>
      <c r="J311" s="14"/>
      <c r="K311" s="14"/>
      <c r="L311" s="15" t="s">
        <v>9</v>
      </c>
      <c r="M311" s="20">
        <v>-5.5778400000000001</v>
      </c>
      <c r="N311" s="12" t="s">
        <v>10</v>
      </c>
      <c r="O311" s="12" t="s">
        <v>11</v>
      </c>
      <c r="P311" s="12" t="s">
        <v>23</v>
      </c>
      <c r="Q311" s="19" t="s">
        <v>48</v>
      </c>
      <c r="R311" s="17" t="s">
        <v>703</v>
      </c>
      <c r="S311" s="196" t="s">
        <v>699</v>
      </c>
    </row>
    <row r="312" spans="1:19" s="9" customFormat="1" ht="15" customHeight="1" x14ac:dyDescent="0.25">
      <c r="A312" s="3">
        <v>42640</v>
      </c>
      <c r="B312" s="9" t="s">
        <v>562</v>
      </c>
      <c r="C312" s="9" t="s">
        <v>696</v>
      </c>
      <c r="D312" s="9" t="s">
        <v>704</v>
      </c>
      <c r="E312" s="12" t="s">
        <v>6</v>
      </c>
      <c r="F312" s="15" t="s">
        <v>7</v>
      </c>
      <c r="G312" s="12" t="s">
        <v>8</v>
      </c>
      <c r="H312" s="31">
        <v>48.257433333333331</v>
      </c>
      <c r="I312" s="31">
        <v>-122.75605</v>
      </c>
      <c r="J312" s="14"/>
      <c r="K312" s="14"/>
      <c r="L312" s="15" t="s">
        <v>9</v>
      </c>
      <c r="M312" s="20">
        <v>-4.2062400000000002</v>
      </c>
      <c r="N312" s="12" t="s">
        <v>10</v>
      </c>
      <c r="O312" s="12" t="s">
        <v>11</v>
      </c>
      <c r="P312" s="12" t="s">
        <v>18</v>
      </c>
      <c r="Q312" s="19" t="s">
        <v>13</v>
      </c>
      <c r="R312" s="17" t="s">
        <v>705</v>
      </c>
      <c r="S312" s="196" t="s">
        <v>699</v>
      </c>
    </row>
    <row r="313" spans="1:19" s="9" customFormat="1" ht="15" customHeight="1" x14ac:dyDescent="0.25">
      <c r="A313" s="3">
        <v>42640</v>
      </c>
      <c r="B313" s="9" t="s">
        <v>562</v>
      </c>
      <c r="C313" s="9" t="s">
        <v>696</v>
      </c>
      <c r="D313" s="9" t="s">
        <v>706</v>
      </c>
      <c r="E313" s="12" t="s">
        <v>6</v>
      </c>
      <c r="F313" s="15" t="s">
        <v>7</v>
      </c>
      <c r="G313" s="12" t="s">
        <v>8</v>
      </c>
      <c r="H313" s="31">
        <v>48.265300000000003</v>
      </c>
      <c r="I313" s="31">
        <v>-122.74871666666667</v>
      </c>
      <c r="J313" s="14"/>
      <c r="K313" s="14"/>
      <c r="L313" s="15" t="s">
        <v>9</v>
      </c>
      <c r="M313" s="20">
        <v>-4.9987199999999996</v>
      </c>
      <c r="N313" s="12" t="s">
        <v>10</v>
      </c>
      <c r="O313" s="12" t="s">
        <v>707</v>
      </c>
      <c r="P313" s="12" t="s">
        <v>18</v>
      </c>
      <c r="Q313" s="19" t="s">
        <v>13</v>
      </c>
      <c r="R313" s="17" t="s">
        <v>708</v>
      </c>
      <c r="S313" s="196" t="s">
        <v>699</v>
      </c>
    </row>
    <row r="314" spans="1:19" s="9" customFormat="1" ht="15" customHeight="1" x14ac:dyDescent="0.25">
      <c r="A314" s="3">
        <v>42640</v>
      </c>
      <c r="B314" s="9" t="s">
        <v>562</v>
      </c>
      <c r="C314" s="9" t="s">
        <v>696</v>
      </c>
      <c r="D314" s="9" t="s">
        <v>709</v>
      </c>
      <c r="E314" s="12" t="s">
        <v>6</v>
      </c>
      <c r="F314" s="15" t="s">
        <v>7</v>
      </c>
      <c r="G314" s="12" t="s">
        <v>8</v>
      </c>
      <c r="H314" s="31">
        <v>48.265500000000003</v>
      </c>
      <c r="I314" s="31">
        <v>-122.7499</v>
      </c>
      <c r="J314" s="14"/>
      <c r="K314" s="14"/>
      <c r="L314" s="15" t="s">
        <v>9</v>
      </c>
      <c r="M314" s="20">
        <v>-3.81</v>
      </c>
      <c r="N314" s="12" t="s">
        <v>10</v>
      </c>
      <c r="O314" s="12" t="s">
        <v>11</v>
      </c>
      <c r="P314" s="12" t="s">
        <v>23</v>
      </c>
      <c r="Q314" s="19" t="s">
        <v>24</v>
      </c>
      <c r="R314" s="17" t="s">
        <v>710</v>
      </c>
      <c r="S314" s="196" t="s">
        <v>699</v>
      </c>
    </row>
    <row r="315" spans="1:19" s="9" customFormat="1" ht="15" customHeight="1" x14ac:dyDescent="0.25">
      <c r="A315" s="3">
        <v>42640</v>
      </c>
      <c r="B315" s="9" t="s">
        <v>562</v>
      </c>
      <c r="C315" s="9" t="s">
        <v>696</v>
      </c>
      <c r="D315" s="9" t="s">
        <v>711</v>
      </c>
      <c r="E315" s="12" t="s">
        <v>6</v>
      </c>
      <c r="F315" s="15" t="s">
        <v>7</v>
      </c>
      <c r="G315" s="12" t="s">
        <v>8</v>
      </c>
      <c r="H315" s="13">
        <v>48.305116666666663</v>
      </c>
      <c r="I315" s="13">
        <v>-122.72533333333334</v>
      </c>
      <c r="J315" s="14"/>
      <c r="K315" s="14"/>
      <c r="L315" s="15" t="s">
        <v>9</v>
      </c>
      <c r="M315" s="16">
        <v>5</v>
      </c>
      <c r="N315" s="12" t="s">
        <v>10</v>
      </c>
      <c r="O315" s="12" t="s">
        <v>11</v>
      </c>
      <c r="P315" s="12" t="s">
        <v>18</v>
      </c>
      <c r="Q315" s="19" t="s">
        <v>13</v>
      </c>
      <c r="R315" s="17" t="s">
        <v>712</v>
      </c>
      <c r="S315" s="196" t="s">
        <v>699</v>
      </c>
    </row>
    <row r="316" spans="1:19" s="9" customFormat="1" ht="15" customHeight="1" x14ac:dyDescent="0.25">
      <c r="A316" s="3">
        <v>42640</v>
      </c>
      <c r="B316" s="9" t="s">
        <v>562</v>
      </c>
      <c r="C316" s="9" t="s">
        <v>696</v>
      </c>
      <c r="D316" s="9" t="s">
        <v>713</v>
      </c>
      <c r="E316" s="12" t="s">
        <v>6</v>
      </c>
      <c r="F316" s="15" t="s">
        <v>7</v>
      </c>
      <c r="G316" s="12" t="s">
        <v>8</v>
      </c>
      <c r="H316" s="13">
        <v>48.316283333333331</v>
      </c>
      <c r="I316" s="13">
        <v>-122.71451666666667</v>
      </c>
      <c r="J316" s="14"/>
      <c r="K316" s="14"/>
      <c r="L316" s="15" t="s">
        <v>9</v>
      </c>
      <c r="M316" s="16"/>
      <c r="N316" s="12" t="s">
        <v>10</v>
      </c>
      <c r="O316" s="12" t="s">
        <v>11</v>
      </c>
      <c r="P316" s="12" t="s">
        <v>18</v>
      </c>
      <c r="Q316" s="19" t="s">
        <v>13</v>
      </c>
      <c r="R316" s="17" t="s">
        <v>714</v>
      </c>
      <c r="S316" s="196" t="s">
        <v>699</v>
      </c>
    </row>
    <row r="317" spans="1:19" s="9" customFormat="1" ht="15" customHeight="1" x14ac:dyDescent="0.25">
      <c r="A317" s="3">
        <v>42640</v>
      </c>
      <c r="B317" s="9" t="s">
        <v>562</v>
      </c>
      <c r="C317" s="9" t="s">
        <v>715</v>
      </c>
      <c r="D317" s="9" t="s">
        <v>716</v>
      </c>
      <c r="E317" s="12" t="s">
        <v>6</v>
      </c>
      <c r="F317" s="15" t="s">
        <v>7</v>
      </c>
      <c r="G317" s="12" t="s">
        <v>8</v>
      </c>
      <c r="H317" s="13">
        <v>48.422350000000002</v>
      </c>
      <c r="I317" s="13">
        <v>-122.5655</v>
      </c>
      <c r="J317" s="14"/>
      <c r="K317" s="14"/>
      <c r="L317" s="15" t="s">
        <v>9</v>
      </c>
      <c r="M317" s="20">
        <v>-1.4630399999999997</v>
      </c>
      <c r="N317" s="12" t="s">
        <v>66</v>
      </c>
      <c r="O317" s="12" t="s">
        <v>22</v>
      </c>
      <c r="P317" s="12" t="s">
        <v>12</v>
      </c>
      <c r="Q317" s="19" t="s">
        <v>13</v>
      </c>
      <c r="R317" s="32" t="s">
        <v>717</v>
      </c>
      <c r="S317" s="196" t="s">
        <v>699</v>
      </c>
    </row>
    <row r="318" spans="1:19" s="9" customFormat="1" ht="15" customHeight="1" x14ac:dyDescent="0.25">
      <c r="A318" s="3">
        <v>42640</v>
      </c>
      <c r="B318" s="9" t="s">
        <v>562</v>
      </c>
      <c r="C318" s="9" t="s">
        <v>715</v>
      </c>
      <c r="D318" s="9" t="s">
        <v>718</v>
      </c>
      <c r="E318" s="12" t="s">
        <v>6</v>
      </c>
      <c r="F318" s="15" t="s">
        <v>7</v>
      </c>
      <c r="G318" s="12" t="s">
        <v>8</v>
      </c>
      <c r="H318" s="13">
        <v>48.424366666666664</v>
      </c>
      <c r="I318" s="13">
        <v>-122.58358333333334</v>
      </c>
      <c r="J318" s="14"/>
      <c r="K318" s="14"/>
      <c r="L318" s="15" t="s">
        <v>9</v>
      </c>
      <c r="M318" s="20">
        <v>-1.5849599999999999</v>
      </c>
      <c r="N318" s="12" t="s">
        <v>66</v>
      </c>
      <c r="O318" s="12" t="s">
        <v>22</v>
      </c>
      <c r="P318" s="12" t="s">
        <v>12</v>
      </c>
      <c r="Q318" s="19" t="s">
        <v>13</v>
      </c>
      <c r="R318" s="32" t="s">
        <v>719</v>
      </c>
      <c r="S318" s="196" t="s">
        <v>699</v>
      </c>
    </row>
    <row r="319" spans="1:19" s="9" customFormat="1" ht="15" customHeight="1" x14ac:dyDescent="0.25">
      <c r="A319" s="3">
        <v>42640</v>
      </c>
      <c r="B319" s="9" t="s">
        <v>562</v>
      </c>
      <c r="C319" s="9" t="s">
        <v>715</v>
      </c>
      <c r="D319" s="9" t="s">
        <v>720</v>
      </c>
      <c r="E319" s="12" t="s">
        <v>6</v>
      </c>
      <c r="F319" s="15" t="s">
        <v>7</v>
      </c>
      <c r="G319" s="12" t="s">
        <v>8</v>
      </c>
      <c r="H319" s="13">
        <v>48.443716666666667</v>
      </c>
      <c r="I319" s="13">
        <v>-122.57248333333334</v>
      </c>
      <c r="J319" s="14"/>
      <c r="K319" s="14"/>
      <c r="L319" s="15" t="s">
        <v>9</v>
      </c>
      <c r="M319" s="20">
        <v>-1.1277600000000001</v>
      </c>
      <c r="N319" s="12" t="s">
        <v>66</v>
      </c>
      <c r="O319" s="12" t="s">
        <v>22</v>
      </c>
      <c r="P319" s="12" t="s">
        <v>12</v>
      </c>
      <c r="Q319" s="19" t="s">
        <v>13</v>
      </c>
      <c r="R319" s="32" t="s">
        <v>721</v>
      </c>
      <c r="S319" s="196" t="s">
        <v>699</v>
      </c>
    </row>
    <row r="320" spans="1:19" s="9" customFormat="1" ht="15" customHeight="1" x14ac:dyDescent="0.25">
      <c r="A320" s="3">
        <v>42641</v>
      </c>
      <c r="B320" s="9" t="s">
        <v>562</v>
      </c>
      <c r="C320" s="9" t="s">
        <v>722</v>
      </c>
      <c r="D320" s="9" t="s">
        <v>723</v>
      </c>
      <c r="E320" s="12" t="s">
        <v>6</v>
      </c>
      <c r="F320" s="15" t="s">
        <v>17</v>
      </c>
      <c r="G320" s="12" t="s">
        <v>8</v>
      </c>
      <c r="H320" s="13">
        <v>48.588116666666664</v>
      </c>
      <c r="I320" s="13">
        <v>-122.80934999999999</v>
      </c>
      <c r="J320" s="13">
        <v>48.588349999999998</v>
      </c>
      <c r="K320" s="13">
        <v>-122.80948333333333</v>
      </c>
      <c r="L320" s="15" t="s">
        <v>9</v>
      </c>
      <c r="M320" s="20">
        <v>-2.2250399999999999</v>
      </c>
      <c r="N320" s="12"/>
      <c r="O320" s="12"/>
      <c r="P320" s="12" t="s">
        <v>36</v>
      </c>
      <c r="Q320" s="19" t="s">
        <v>13</v>
      </c>
      <c r="R320" s="32" t="s">
        <v>724</v>
      </c>
      <c r="S320" s="196" t="s">
        <v>699</v>
      </c>
    </row>
    <row r="321" spans="1:19" s="9" customFormat="1" ht="15" customHeight="1" x14ac:dyDescent="0.25">
      <c r="A321" s="3">
        <v>42641</v>
      </c>
      <c r="B321" s="9" t="s">
        <v>562</v>
      </c>
      <c r="C321" s="9" t="s">
        <v>722</v>
      </c>
      <c r="D321" s="9" t="s">
        <v>723</v>
      </c>
      <c r="E321" s="12" t="s">
        <v>6</v>
      </c>
      <c r="F321" s="15" t="s">
        <v>7</v>
      </c>
      <c r="G321" s="12" t="s">
        <v>8</v>
      </c>
      <c r="H321" s="13">
        <v>48.585866666666668</v>
      </c>
      <c r="I321" s="13">
        <v>-122.80215</v>
      </c>
      <c r="J321" s="14"/>
      <c r="K321" s="14"/>
      <c r="L321" s="15" t="s">
        <v>9</v>
      </c>
      <c r="M321" s="20">
        <v>-3.2918400000000005</v>
      </c>
      <c r="N321" s="12"/>
      <c r="O321" s="12"/>
      <c r="P321" s="12" t="s">
        <v>12</v>
      </c>
      <c r="Q321" s="19" t="s">
        <v>13</v>
      </c>
      <c r="R321" s="32" t="s">
        <v>725</v>
      </c>
      <c r="S321" s="196" t="s">
        <v>699</v>
      </c>
    </row>
    <row r="322" spans="1:19" s="9" customFormat="1" ht="15" customHeight="1" x14ac:dyDescent="0.25">
      <c r="A322" s="3">
        <v>42641</v>
      </c>
      <c r="B322" s="9" t="s">
        <v>562</v>
      </c>
      <c r="C322" s="9" t="s">
        <v>726</v>
      </c>
      <c r="D322" s="9" t="s">
        <v>727</v>
      </c>
      <c r="E322" s="12" t="s">
        <v>6</v>
      </c>
      <c r="F322" s="15" t="s">
        <v>17</v>
      </c>
      <c r="G322" s="12" t="s">
        <v>8</v>
      </c>
      <c r="H322" s="31">
        <v>48.750100000000003</v>
      </c>
      <c r="I322" s="31">
        <v>-122.58055</v>
      </c>
      <c r="J322" s="14">
        <v>48.749516666666665</v>
      </c>
      <c r="K322" s="14">
        <v>-122.58533333333334</v>
      </c>
      <c r="L322" s="15" t="s">
        <v>9</v>
      </c>
      <c r="M322" s="16">
        <v>-1.2</v>
      </c>
      <c r="N322" s="12" t="s">
        <v>10</v>
      </c>
      <c r="O322" s="12" t="s">
        <v>11</v>
      </c>
      <c r="P322" s="12" t="s">
        <v>23</v>
      </c>
      <c r="Q322" s="19" t="s">
        <v>63</v>
      </c>
      <c r="R322" s="32" t="s">
        <v>728</v>
      </c>
      <c r="S322" s="196" t="s">
        <v>699</v>
      </c>
    </row>
    <row r="323" spans="1:19" s="9" customFormat="1" ht="15" customHeight="1" x14ac:dyDescent="0.25">
      <c r="A323" s="3">
        <v>42641</v>
      </c>
      <c r="B323" s="9" t="s">
        <v>562</v>
      </c>
      <c r="C323" s="9" t="s">
        <v>726</v>
      </c>
      <c r="D323" s="9" t="s">
        <v>729</v>
      </c>
      <c r="E323" s="12" t="s">
        <v>6</v>
      </c>
      <c r="F323" s="15" t="s">
        <v>17</v>
      </c>
      <c r="G323" s="12" t="s">
        <v>8</v>
      </c>
      <c r="H323" s="31">
        <v>48.758116666666666</v>
      </c>
      <c r="I323" s="31">
        <v>-122.53693333333334</v>
      </c>
      <c r="J323" s="14">
        <v>48.758416666666669</v>
      </c>
      <c r="K323" s="14">
        <v>-122.54693333333333</v>
      </c>
      <c r="L323" s="15" t="s">
        <v>9</v>
      </c>
      <c r="M323" s="16">
        <v>-1.2</v>
      </c>
      <c r="N323" s="12" t="s">
        <v>10</v>
      </c>
      <c r="O323" s="12" t="s">
        <v>11</v>
      </c>
      <c r="P323" s="12" t="s">
        <v>18</v>
      </c>
      <c r="Q323" s="19" t="s">
        <v>13</v>
      </c>
      <c r="R323" s="32" t="s">
        <v>730</v>
      </c>
      <c r="S323" s="196" t="s">
        <v>699</v>
      </c>
    </row>
    <row r="324" spans="1:19" s="9" customFormat="1" ht="15" customHeight="1" x14ac:dyDescent="0.25">
      <c r="A324" s="3">
        <v>42641</v>
      </c>
      <c r="B324" s="9" t="s">
        <v>562</v>
      </c>
      <c r="C324" s="9" t="s">
        <v>726</v>
      </c>
      <c r="D324" s="9" t="s">
        <v>731</v>
      </c>
      <c r="E324" s="12" t="s">
        <v>6</v>
      </c>
      <c r="F324" s="15" t="s">
        <v>7</v>
      </c>
      <c r="G324" s="12" t="s">
        <v>8</v>
      </c>
      <c r="H324" s="31">
        <v>48.755583333333334</v>
      </c>
      <c r="I324" s="31">
        <v>-122.55848333333333</v>
      </c>
      <c r="J324" s="14"/>
      <c r="K324" s="14"/>
      <c r="L324" s="15" t="s">
        <v>9</v>
      </c>
      <c r="M324" s="16">
        <v>-1.2</v>
      </c>
      <c r="N324" s="12" t="s">
        <v>10</v>
      </c>
      <c r="O324" s="12" t="s">
        <v>11</v>
      </c>
      <c r="P324" s="12" t="s">
        <v>23</v>
      </c>
      <c r="Q324" s="19" t="s">
        <v>63</v>
      </c>
      <c r="R324" s="32" t="s">
        <v>732</v>
      </c>
      <c r="S324" s="196" t="s">
        <v>699</v>
      </c>
    </row>
    <row r="325" spans="1:19" s="9" customFormat="1" ht="15" customHeight="1" x14ac:dyDescent="0.25">
      <c r="A325" s="3">
        <v>42641</v>
      </c>
      <c r="B325" s="9" t="s">
        <v>562</v>
      </c>
      <c r="C325" s="9" t="s">
        <v>118</v>
      </c>
      <c r="D325" s="9" t="s">
        <v>733</v>
      </c>
      <c r="E325" s="12" t="s">
        <v>6</v>
      </c>
      <c r="F325" s="15" t="s">
        <v>7</v>
      </c>
      <c r="G325" s="12" t="s">
        <v>8</v>
      </c>
      <c r="H325" s="13">
        <v>48.609333333333332</v>
      </c>
      <c r="I325" s="13">
        <v>-122.97928333333333</v>
      </c>
      <c r="J325" s="14"/>
      <c r="K325" s="14"/>
      <c r="L325" s="15" t="s">
        <v>9</v>
      </c>
      <c r="M325" s="16">
        <v>-4.0999999999999996</v>
      </c>
      <c r="N325" s="12" t="s">
        <v>10</v>
      </c>
      <c r="O325" s="12" t="s">
        <v>32</v>
      </c>
      <c r="P325" s="12" t="s">
        <v>23</v>
      </c>
      <c r="Q325" s="19" t="s">
        <v>24</v>
      </c>
      <c r="R325" s="17" t="s">
        <v>734</v>
      </c>
      <c r="S325" s="196" t="s">
        <v>699</v>
      </c>
    </row>
    <row r="326" spans="1:19" s="9" customFormat="1" ht="15" customHeight="1" x14ac:dyDescent="0.25">
      <c r="A326" s="3">
        <v>42641</v>
      </c>
      <c r="B326" s="9" t="s">
        <v>562</v>
      </c>
      <c r="C326" s="9" t="s">
        <v>118</v>
      </c>
      <c r="D326" s="9" t="s">
        <v>735</v>
      </c>
      <c r="E326" s="12" t="s">
        <v>6</v>
      </c>
      <c r="F326" s="15" t="s">
        <v>7</v>
      </c>
      <c r="G326" s="12" t="s">
        <v>8</v>
      </c>
      <c r="H326" s="13">
        <v>48.613533333333336</v>
      </c>
      <c r="I326" s="13">
        <v>-122.97714999999999</v>
      </c>
      <c r="J326" s="14"/>
      <c r="K326" s="14"/>
      <c r="L326" s="15" t="s">
        <v>9</v>
      </c>
      <c r="M326" s="20">
        <v>-1.0972799999999998</v>
      </c>
      <c r="N326" s="12" t="s">
        <v>10</v>
      </c>
      <c r="O326" s="12" t="s">
        <v>32</v>
      </c>
      <c r="P326" s="12" t="s">
        <v>23</v>
      </c>
      <c r="Q326" s="19" t="s">
        <v>24</v>
      </c>
      <c r="R326" s="17" t="s">
        <v>736</v>
      </c>
      <c r="S326" s="196" t="s">
        <v>699</v>
      </c>
    </row>
    <row r="327" spans="1:19" s="9" customFormat="1" ht="15" customHeight="1" x14ac:dyDescent="0.25">
      <c r="A327" s="3">
        <v>42641</v>
      </c>
      <c r="B327" s="9" t="s">
        <v>562</v>
      </c>
      <c r="C327" s="9" t="s">
        <v>118</v>
      </c>
      <c r="D327" s="9" t="s">
        <v>737</v>
      </c>
      <c r="E327" s="12" t="s">
        <v>6</v>
      </c>
      <c r="F327" s="15" t="s">
        <v>7</v>
      </c>
      <c r="G327" s="12" t="s">
        <v>8</v>
      </c>
      <c r="H327" s="13">
        <v>48.615549999999999</v>
      </c>
      <c r="I327" s="13">
        <v>-122.97866666666667</v>
      </c>
      <c r="J327" s="14"/>
      <c r="K327" s="14"/>
      <c r="L327" s="15" t="s">
        <v>9</v>
      </c>
      <c r="M327" s="20">
        <v>-5.2425600000000001</v>
      </c>
      <c r="N327" s="12" t="s">
        <v>10</v>
      </c>
      <c r="O327" s="12" t="s">
        <v>32</v>
      </c>
      <c r="P327" s="12" t="s">
        <v>23</v>
      </c>
      <c r="Q327" s="19" t="s">
        <v>24</v>
      </c>
      <c r="R327" s="17" t="s">
        <v>738</v>
      </c>
      <c r="S327" s="196" t="s">
        <v>699</v>
      </c>
    </row>
    <row r="328" spans="1:19" s="9" customFormat="1" ht="15" customHeight="1" x14ac:dyDescent="0.25">
      <c r="A328" s="3">
        <v>42641</v>
      </c>
      <c r="B328" s="9" t="s">
        <v>562</v>
      </c>
      <c r="C328" s="9" t="s">
        <v>118</v>
      </c>
      <c r="D328" s="9" t="s">
        <v>739</v>
      </c>
      <c r="E328" s="12" t="s">
        <v>6</v>
      </c>
      <c r="F328" s="15" t="s">
        <v>7</v>
      </c>
      <c r="G328" s="12" t="s">
        <v>8</v>
      </c>
      <c r="H328" s="13">
        <v>48.621633333333335</v>
      </c>
      <c r="I328" s="13">
        <v>-122.98746666666666</v>
      </c>
      <c r="J328" s="14"/>
      <c r="K328" s="14"/>
      <c r="L328" s="15" t="s">
        <v>9</v>
      </c>
      <c r="M328" s="20">
        <v>-2.71272</v>
      </c>
      <c r="N328" s="12" t="s">
        <v>10</v>
      </c>
      <c r="O328" s="12" t="s">
        <v>32</v>
      </c>
      <c r="P328" s="12" t="s">
        <v>23</v>
      </c>
      <c r="Q328" s="19" t="s">
        <v>24</v>
      </c>
      <c r="R328" s="17" t="s">
        <v>740</v>
      </c>
      <c r="S328" s="196" t="s">
        <v>699</v>
      </c>
    </row>
    <row r="329" spans="1:19" s="9" customFormat="1" ht="15" customHeight="1" x14ac:dyDescent="0.25">
      <c r="A329" s="3">
        <v>42641</v>
      </c>
      <c r="B329" s="9" t="s">
        <v>562</v>
      </c>
      <c r="C329" s="9" t="s">
        <v>118</v>
      </c>
      <c r="D329" s="9" t="s">
        <v>741</v>
      </c>
      <c r="E329" s="12" t="s">
        <v>6</v>
      </c>
      <c r="F329" s="15" t="s">
        <v>7</v>
      </c>
      <c r="G329" s="12" t="s">
        <v>8</v>
      </c>
      <c r="H329" s="13">
        <v>48.625999999999998</v>
      </c>
      <c r="I329" s="13">
        <v>-122.9876</v>
      </c>
      <c r="J329" s="14"/>
      <c r="K329" s="14"/>
      <c r="L329" s="15" t="s">
        <v>9</v>
      </c>
      <c r="M329" s="20">
        <v>-3.9319199999999999</v>
      </c>
      <c r="N329" s="12" t="s">
        <v>10</v>
      </c>
      <c r="O329" s="12" t="s">
        <v>742</v>
      </c>
      <c r="P329" s="12" t="s">
        <v>23</v>
      </c>
      <c r="Q329" s="19" t="s">
        <v>24</v>
      </c>
      <c r="R329" s="17" t="s">
        <v>743</v>
      </c>
      <c r="S329" s="196" t="s">
        <v>699</v>
      </c>
    </row>
    <row r="330" spans="1:19" s="9" customFormat="1" ht="15" customHeight="1" x14ac:dyDescent="0.25">
      <c r="A330" s="3">
        <v>42641</v>
      </c>
      <c r="B330" s="9" t="s">
        <v>562</v>
      </c>
      <c r="C330" s="9" t="s">
        <v>118</v>
      </c>
      <c r="D330" s="9" t="s">
        <v>744</v>
      </c>
      <c r="E330" s="12" t="s">
        <v>6</v>
      </c>
      <c r="F330" s="15" t="s">
        <v>7</v>
      </c>
      <c r="G330" s="12" t="s">
        <v>8</v>
      </c>
      <c r="H330" s="13">
        <v>48.636899999999997</v>
      </c>
      <c r="I330" s="13">
        <v>-122.97826666666667</v>
      </c>
      <c r="J330" s="14"/>
      <c r="K330" s="14"/>
      <c r="L330" s="15" t="s">
        <v>9</v>
      </c>
      <c r="M330" s="20"/>
      <c r="N330" s="12"/>
      <c r="O330" s="12"/>
      <c r="P330" s="12" t="s">
        <v>745</v>
      </c>
      <c r="Q330" s="19" t="s">
        <v>24</v>
      </c>
      <c r="R330" s="17" t="s">
        <v>746</v>
      </c>
      <c r="S330" s="196" t="s">
        <v>699</v>
      </c>
    </row>
    <row r="331" spans="1:19" s="9" customFormat="1" ht="15" customHeight="1" x14ac:dyDescent="0.25">
      <c r="A331" s="3">
        <v>42641</v>
      </c>
      <c r="B331" s="9" t="s">
        <v>562</v>
      </c>
      <c r="C331" s="9" t="s">
        <v>118</v>
      </c>
      <c r="D331" s="9" t="s">
        <v>747</v>
      </c>
      <c r="E331" s="12" t="s">
        <v>6</v>
      </c>
      <c r="F331" s="15" t="s">
        <v>7</v>
      </c>
      <c r="G331" s="12" t="s">
        <v>8</v>
      </c>
      <c r="H331" s="13">
        <v>48.642049999999998</v>
      </c>
      <c r="I331" s="13">
        <v>-122.9845</v>
      </c>
      <c r="J331" s="14"/>
      <c r="K331" s="14"/>
      <c r="L331" s="15" t="s">
        <v>9</v>
      </c>
      <c r="M331" s="20">
        <v>-3.7185600000000001</v>
      </c>
      <c r="N331" s="12" t="s">
        <v>10</v>
      </c>
      <c r="O331" s="12" t="s">
        <v>748</v>
      </c>
      <c r="P331" s="12" t="s">
        <v>23</v>
      </c>
      <c r="Q331" s="19" t="s">
        <v>48</v>
      </c>
      <c r="R331" s="17" t="s">
        <v>749</v>
      </c>
      <c r="S331" s="196" t="s">
        <v>699</v>
      </c>
    </row>
    <row r="332" spans="1:19" s="9" customFormat="1" ht="15" customHeight="1" x14ac:dyDescent="0.25">
      <c r="A332" s="3">
        <v>42641</v>
      </c>
      <c r="B332" s="9" t="s">
        <v>562</v>
      </c>
      <c r="C332" s="9" t="s">
        <v>750</v>
      </c>
      <c r="D332" s="9" t="s">
        <v>751</v>
      </c>
      <c r="E332" s="12" t="s">
        <v>752</v>
      </c>
      <c r="F332" s="15" t="s">
        <v>7</v>
      </c>
      <c r="G332" s="12" t="s">
        <v>8</v>
      </c>
      <c r="H332" s="13">
        <v>48.73265</v>
      </c>
      <c r="I332" s="13">
        <v>-122.62715</v>
      </c>
      <c r="J332" s="14"/>
      <c r="K332" s="14"/>
      <c r="L332" s="15" t="s">
        <v>9</v>
      </c>
      <c r="M332" s="16">
        <v>-3.56616</v>
      </c>
      <c r="N332" s="12" t="s">
        <v>10</v>
      </c>
      <c r="O332" s="12" t="s">
        <v>11</v>
      </c>
      <c r="P332" s="12" t="s">
        <v>23</v>
      </c>
      <c r="Q332" s="33" t="s">
        <v>24</v>
      </c>
      <c r="R332" s="17" t="s">
        <v>753</v>
      </c>
      <c r="S332" s="196" t="s">
        <v>699</v>
      </c>
    </row>
    <row r="333" spans="1:19" s="9" customFormat="1" ht="15" customHeight="1" x14ac:dyDescent="0.25">
      <c r="A333" s="3">
        <v>42641</v>
      </c>
      <c r="B333" s="9" t="s">
        <v>562</v>
      </c>
      <c r="C333" s="9" t="s">
        <v>750</v>
      </c>
      <c r="D333" s="9" t="s">
        <v>754</v>
      </c>
      <c r="E333" s="12" t="s">
        <v>752</v>
      </c>
      <c r="F333" s="15" t="s">
        <v>7</v>
      </c>
      <c r="G333" s="12" t="s">
        <v>8</v>
      </c>
      <c r="H333" s="13">
        <v>48.733600000000003</v>
      </c>
      <c r="I333" s="13">
        <v>-122.62895</v>
      </c>
      <c r="J333" s="14"/>
      <c r="K333" s="14"/>
      <c r="L333" s="15" t="s">
        <v>9</v>
      </c>
      <c r="M333" s="16">
        <v>-2.6212800000000001</v>
      </c>
      <c r="N333" s="12" t="s">
        <v>10</v>
      </c>
      <c r="O333" s="12" t="s">
        <v>32</v>
      </c>
      <c r="P333" s="12" t="s">
        <v>23</v>
      </c>
      <c r="Q333" s="33" t="s">
        <v>24</v>
      </c>
      <c r="R333" s="17" t="s">
        <v>755</v>
      </c>
      <c r="S333" s="196" t="s">
        <v>699</v>
      </c>
    </row>
    <row r="334" spans="1:19" s="9" customFormat="1" ht="15" customHeight="1" x14ac:dyDescent="0.25">
      <c r="A334" s="3">
        <v>42641</v>
      </c>
      <c r="B334" s="9" t="s">
        <v>562</v>
      </c>
      <c r="C334" s="9" t="s">
        <v>750</v>
      </c>
      <c r="D334" s="9" t="s">
        <v>756</v>
      </c>
      <c r="E334" s="12" t="s">
        <v>752</v>
      </c>
      <c r="F334" s="15" t="s">
        <v>7</v>
      </c>
      <c r="G334" s="12" t="s">
        <v>8</v>
      </c>
      <c r="H334" s="13">
        <v>48.73428333333333</v>
      </c>
      <c r="I334" s="13">
        <v>-122.61501666666666</v>
      </c>
      <c r="J334" s="14"/>
      <c r="K334" s="14"/>
      <c r="L334" s="15" t="s">
        <v>9</v>
      </c>
      <c r="M334" s="16">
        <v>-1.6459200000000003</v>
      </c>
      <c r="N334" s="12" t="s">
        <v>10</v>
      </c>
      <c r="O334" s="12"/>
      <c r="P334" s="12" t="s">
        <v>12</v>
      </c>
      <c r="Q334" s="19" t="s">
        <v>13</v>
      </c>
      <c r="R334" s="17" t="s">
        <v>757</v>
      </c>
      <c r="S334" s="196" t="s">
        <v>699</v>
      </c>
    </row>
    <row r="335" spans="1:19" s="9" customFormat="1" ht="15" customHeight="1" x14ac:dyDescent="0.25">
      <c r="A335" s="3">
        <v>42641</v>
      </c>
      <c r="B335" s="9" t="s">
        <v>562</v>
      </c>
      <c r="C335" s="9" t="s">
        <v>750</v>
      </c>
      <c r="D335" s="9" t="s">
        <v>758</v>
      </c>
      <c r="E335" s="12" t="s">
        <v>752</v>
      </c>
      <c r="F335" s="15" t="s">
        <v>7</v>
      </c>
      <c r="G335" s="12" t="s">
        <v>8</v>
      </c>
      <c r="H335" s="13">
        <v>48.735433333333333</v>
      </c>
      <c r="I335" s="13">
        <v>-122.63071666666667</v>
      </c>
      <c r="J335" s="14"/>
      <c r="K335" s="14"/>
      <c r="L335" s="15" t="s">
        <v>9</v>
      </c>
      <c r="M335" s="16">
        <v>-1.95072</v>
      </c>
      <c r="N335" s="12" t="s">
        <v>10</v>
      </c>
      <c r="O335" s="12" t="s">
        <v>32</v>
      </c>
      <c r="P335" s="4" t="s">
        <v>12</v>
      </c>
      <c r="Q335" s="19" t="s">
        <v>13</v>
      </c>
      <c r="R335" s="17" t="s">
        <v>759</v>
      </c>
      <c r="S335" s="196" t="s">
        <v>699</v>
      </c>
    </row>
    <row r="336" spans="1:19" s="9" customFormat="1" ht="15" customHeight="1" x14ac:dyDescent="0.25">
      <c r="A336" s="3">
        <v>42641</v>
      </c>
      <c r="B336" s="9" t="s">
        <v>562</v>
      </c>
      <c r="C336" s="9" t="s">
        <v>750</v>
      </c>
      <c r="D336" s="9" t="s">
        <v>760</v>
      </c>
      <c r="E336" s="12" t="s">
        <v>752</v>
      </c>
      <c r="F336" s="15" t="s">
        <v>7</v>
      </c>
      <c r="G336" s="12" t="s">
        <v>8</v>
      </c>
      <c r="H336" s="13">
        <v>48.735666666666667</v>
      </c>
      <c r="I336" s="13">
        <v>-122.6301</v>
      </c>
      <c r="J336" s="14"/>
      <c r="K336" s="14"/>
      <c r="L336" s="15" t="s">
        <v>9</v>
      </c>
      <c r="M336" s="16">
        <v>-1.95072</v>
      </c>
      <c r="N336" s="12" t="s">
        <v>10</v>
      </c>
      <c r="O336" s="12" t="s">
        <v>11</v>
      </c>
      <c r="P336" s="12" t="s">
        <v>23</v>
      </c>
      <c r="Q336" s="33" t="s">
        <v>24</v>
      </c>
      <c r="R336" s="17" t="s">
        <v>761</v>
      </c>
      <c r="S336" s="196" t="s">
        <v>699</v>
      </c>
    </row>
    <row r="337" spans="1:19" s="9" customFormat="1" ht="15" customHeight="1" x14ac:dyDescent="0.25">
      <c r="A337" s="3">
        <v>42641</v>
      </c>
      <c r="B337" s="9" t="s">
        <v>562</v>
      </c>
      <c r="C337" s="9" t="s">
        <v>762</v>
      </c>
      <c r="D337" s="9" t="s">
        <v>763</v>
      </c>
      <c r="E337" s="12" t="s">
        <v>6</v>
      </c>
      <c r="F337" s="15" t="s">
        <v>7</v>
      </c>
      <c r="G337" s="12" t="s">
        <v>8</v>
      </c>
      <c r="H337" s="13">
        <v>48.587866666666663</v>
      </c>
      <c r="I337" s="13">
        <v>-123.15615</v>
      </c>
      <c r="J337" s="14"/>
      <c r="K337" s="14"/>
      <c r="L337" s="15" t="s">
        <v>9</v>
      </c>
      <c r="M337" s="16">
        <v>0.4</v>
      </c>
      <c r="N337" s="12" t="s">
        <v>66</v>
      </c>
      <c r="O337" s="12" t="s">
        <v>22</v>
      </c>
      <c r="P337" s="12" t="s">
        <v>23</v>
      </c>
      <c r="Q337" s="19" t="s">
        <v>24</v>
      </c>
      <c r="R337" s="17" t="s">
        <v>764</v>
      </c>
      <c r="S337" s="196" t="s">
        <v>699</v>
      </c>
    </row>
    <row r="338" spans="1:19" s="9" customFormat="1" ht="15" customHeight="1" x14ac:dyDescent="0.25">
      <c r="A338" s="3">
        <v>42641</v>
      </c>
      <c r="B338" s="9" t="s">
        <v>562</v>
      </c>
      <c r="C338" s="9" t="s">
        <v>762</v>
      </c>
      <c r="D338" s="9" t="s">
        <v>765</v>
      </c>
      <c r="E338" s="12" t="s">
        <v>6</v>
      </c>
      <c r="F338" s="15" t="s">
        <v>7</v>
      </c>
      <c r="G338" s="12" t="s">
        <v>8</v>
      </c>
      <c r="H338" s="13">
        <v>48.589199999999998</v>
      </c>
      <c r="I338" s="13">
        <v>-123.16781666666667</v>
      </c>
      <c r="J338" s="14"/>
      <c r="K338" s="14"/>
      <c r="L338" s="15" t="s">
        <v>9</v>
      </c>
      <c r="M338" s="20">
        <v>-2.3164799999999999</v>
      </c>
      <c r="N338" s="12" t="s">
        <v>10</v>
      </c>
      <c r="O338" s="12"/>
      <c r="P338" s="12" t="s">
        <v>18</v>
      </c>
      <c r="Q338" s="19" t="s">
        <v>13</v>
      </c>
      <c r="R338" s="17" t="s">
        <v>766</v>
      </c>
      <c r="S338" s="196" t="s">
        <v>699</v>
      </c>
    </row>
    <row r="339" spans="1:19" s="9" customFormat="1" ht="15" customHeight="1" x14ac:dyDescent="0.25">
      <c r="A339" s="3">
        <v>42641</v>
      </c>
      <c r="B339" s="9" t="s">
        <v>562</v>
      </c>
      <c r="C339" s="9" t="s">
        <v>762</v>
      </c>
      <c r="D339" s="9" t="s">
        <v>767</v>
      </c>
      <c r="E339" s="12" t="s">
        <v>6</v>
      </c>
      <c r="F339" s="15" t="s">
        <v>7</v>
      </c>
      <c r="G339" s="12" t="s">
        <v>8</v>
      </c>
      <c r="H339" s="13">
        <v>48.590299999999999</v>
      </c>
      <c r="I339" s="13">
        <v>-123.15770000000001</v>
      </c>
      <c r="J339" s="14"/>
      <c r="K339" s="14"/>
      <c r="L339" s="15" t="s">
        <v>9</v>
      </c>
      <c r="M339" s="16">
        <v>-1</v>
      </c>
      <c r="N339" s="12" t="s">
        <v>10</v>
      </c>
      <c r="O339" s="12" t="s">
        <v>11</v>
      </c>
      <c r="P339" s="12" t="s">
        <v>23</v>
      </c>
      <c r="Q339" s="19" t="s">
        <v>48</v>
      </c>
      <c r="R339" s="32" t="s">
        <v>768</v>
      </c>
      <c r="S339" s="196" t="s">
        <v>699</v>
      </c>
    </row>
    <row r="340" spans="1:19" s="9" customFormat="1" ht="15" customHeight="1" x14ac:dyDescent="0.25">
      <c r="A340" s="3">
        <v>42641</v>
      </c>
      <c r="B340" s="9" t="s">
        <v>562</v>
      </c>
      <c r="C340" s="9" t="s">
        <v>762</v>
      </c>
      <c r="D340" s="9" t="s">
        <v>769</v>
      </c>
      <c r="E340" s="12" t="s">
        <v>6</v>
      </c>
      <c r="F340" s="15" t="s">
        <v>7</v>
      </c>
      <c r="G340" s="12" t="s">
        <v>8</v>
      </c>
      <c r="H340" s="13">
        <v>48.590883333333331</v>
      </c>
      <c r="I340" s="13">
        <v>-123.16426666666666</v>
      </c>
      <c r="J340" s="14"/>
      <c r="K340" s="14"/>
      <c r="L340" s="15" t="s">
        <v>9</v>
      </c>
      <c r="M340" s="20">
        <v>-2.3164799999999999</v>
      </c>
      <c r="N340" s="12" t="s">
        <v>10</v>
      </c>
      <c r="O340" s="12"/>
      <c r="P340" s="12" t="s">
        <v>23</v>
      </c>
      <c r="Q340" s="19" t="s">
        <v>24</v>
      </c>
      <c r="R340" s="32" t="s">
        <v>770</v>
      </c>
      <c r="S340" s="196" t="s">
        <v>699</v>
      </c>
    </row>
    <row r="341" spans="1:19" s="9" customFormat="1" ht="15" customHeight="1" x14ac:dyDescent="0.25">
      <c r="A341" s="3">
        <v>42641</v>
      </c>
      <c r="B341" s="9" t="s">
        <v>562</v>
      </c>
      <c r="C341" s="9" t="s">
        <v>762</v>
      </c>
      <c r="D341" s="9" t="s">
        <v>771</v>
      </c>
      <c r="E341" s="12" t="s">
        <v>6</v>
      </c>
      <c r="F341" s="15" t="s">
        <v>7</v>
      </c>
      <c r="G341" s="12" t="s">
        <v>8</v>
      </c>
      <c r="H341" s="13">
        <v>48.590966666666667</v>
      </c>
      <c r="I341" s="13">
        <v>-123.16328333333334</v>
      </c>
      <c r="J341" s="14"/>
      <c r="K341" s="14"/>
      <c r="L341" s="15" t="s">
        <v>9</v>
      </c>
      <c r="M341" s="16">
        <v>-2.3164799999999999</v>
      </c>
      <c r="N341" s="12" t="s">
        <v>10</v>
      </c>
      <c r="O341" s="12" t="s">
        <v>11</v>
      </c>
      <c r="P341" s="12" t="s">
        <v>18</v>
      </c>
      <c r="Q341" s="19" t="s">
        <v>13</v>
      </c>
      <c r="R341" s="17" t="s">
        <v>772</v>
      </c>
      <c r="S341" s="196" t="s">
        <v>699</v>
      </c>
    </row>
    <row r="342" spans="1:19" s="9" customFormat="1" ht="15" customHeight="1" x14ac:dyDescent="0.25">
      <c r="A342" s="3">
        <v>42641</v>
      </c>
      <c r="B342" s="9" t="s">
        <v>562</v>
      </c>
      <c r="C342" s="9" t="s">
        <v>762</v>
      </c>
      <c r="D342" s="9" t="s">
        <v>773</v>
      </c>
      <c r="E342" s="12" t="s">
        <v>6</v>
      </c>
      <c r="F342" s="15" t="s">
        <v>7</v>
      </c>
      <c r="G342" s="12" t="s">
        <v>8</v>
      </c>
      <c r="H342" s="13">
        <v>48.593800000000002</v>
      </c>
      <c r="I342" s="13">
        <v>-123.16226666666667</v>
      </c>
      <c r="J342" s="14"/>
      <c r="K342" s="14"/>
      <c r="L342" s="15" t="s">
        <v>9</v>
      </c>
      <c r="M342" s="16">
        <v>-1.0058400000000001</v>
      </c>
      <c r="N342" s="12" t="s">
        <v>10</v>
      </c>
      <c r="O342" s="12"/>
      <c r="P342" s="12" t="s">
        <v>18</v>
      </c>
      <c r="Q342" s="19" t="s">
        <v>13</v>
      </c>
      <c r="R342" s="17" t="s">
        <v>774</v>
      </c>
      <c r="S342" s="196" t="s">
        <v>699</v>
      </c>
    </row>
    <row r="343" spans="1:19" s="9" customFormat="1" ht="15" customHeight="1" x14ac:dyDescent="0.25">
      <c r="A343" s="3">
        <v>42641</v>
      </c>
      <c r="B343" s="9" t="s">
        <v>562</v>
      </c>
      <c r="C343" s="9" t="s">
        <v>762</v>
      </c>
      <c r="D343" s="9" t="s">
        <v>775</v>
      </c>
      <c r="E343" s="12" t="s">
        <v>6</v>
      </c>
      <c r="F343" s="15" t="s">
        <v>7</v>
      </c>
      <c r="G343" s="12" t="s">
        <v>8</v>
      </c>
      <c r="H343" s="13">
        <v>48.594149999999999</v>
      </c>
      <c r="I343" s="13">
        <v>-123.15723333333334</v>
      </c>
      <c r="J343" s="14"/>
      <c r="K343" s="14"/>
      <c r="L343" s="15" t="s">
        <v>9</v>
      </c>
      <c r="M343" s="16">
        <v>-0.8</v>
      </c>
      <c r="N343" s="12" t="s">
        <v>10</v>
      </c>
      <c r="O343" s="12" t="s">
        <v>11</v>
      </c>
      <c r="P343" s="12" t="s">
        <v>36</v>
      </c>
      <c r="Q343" s="19" t="s">
        <v>13</v>
      </c>
      <c r="R343" s="32" t="s">
        <v>776</v>
      </c>
      <c r="S343" s="196" t="s">
        <v>699</v>
      </c>
    </row>
    <row r="344" spans="1:19" s="9" customFormat="1" ht="15" customHeight="1" x14ac:dyDescent="0.25">
      <c r="A344" s="3">
        <v>42641</v>
      </c>
      <c r="B344" s="9" t="s">
        <v>562</v>
      </c>
      <c r="C344" s="9" t="s">
        <v>762</v>
      </c>
      <c r="D344" s="9" t="s">
        <v>777</v>
      </c>
      <c r="E344" s="12" t="s">
        <v>6</v>
      </c>
      <c r="F344" s="15" t="s">
        <v>7</v>
      </c>
      <c r="G344" s="12" t="s">
        <v>8</v>
      </c>
      <c r="H344" s="13">
        <v>48.596716666666666</v>
      </c>
      <c r="I344" s="13">
        <v>-123.15971666666667</v>
      </c>
      <c r="J344" s="14"/>
      <c r="K344" s="14"/>
      <c r="L344" s="15" t="s">
        <v>9</v>
      </c>
      <c r="M344" s="16">
        <v>-2.1335999999999999</v>
      </c>
      <c r="N344" s="12" t="s">
        <v>10</v>
      </c>
      <c r="O344" s="12" t="s">
        <v>11</v>
      </c>
      <c r="P344" s="12" t="s">
        <v>23</v>
      </c>
      <c r="Q344" s="19" t="s">
        <v>48</v>
      </c>
      <c r="R344" s="17" t="s">
        <v>778</v>
      </c>
      <c r="S344" s="196" t="s">
        <v>699</v>
      </c>
    </row>
    <row r="345" spans="1:19" s="9" customFormat="1" ht="15" customHeight="1" x14ac:dyDescent="0.25">
      <c r="A345" s="3">
        <v>42779</v>
      </c>
      <c r="B345" s="9" t="s">
        <v>562</v>
      </c>
      <c r="C345" s="9" t="s">
        <v>779</v>
      </c>
      <c r="D345" s="9" t="s">
        <v>780</v>
      </c>
      <c r="E345" s="12" t="s">
        <v>6</v>
      </c>
      <c r="F345" s="15" t="s">
        <v>7</v>
      </c>
      <c r="G345" s="12" t="s">
        <v>8</v>
      </c>
      <c r="H345" s="31">
        <v>48.114033333333332</v>
      </c>
      <c r="I345" s="31">
        <v>-122.87135000000001</v>
      </c>
      <c r="J345" s="14"/>
      <c r="K345" s="14"/>
      <c r="L345" s="15" t="s">
        <v>9</v>
      </c>
      <c r="M345" s="16">
        <v>-2.6212800000000001</v>
      </c>
      <c r="N345" s="12"/>
      <c r="O345" s="12"/>
      <c r="P345" s="15" t="s">
        <v>18</v>
      </c>
      <c r="Q345" s="19" t="s">
        <v>13</v>
      </c>
      <c r="R345" s="17" t="s">
        <v>781</v>
      </c>
      <c r="S345" s="196" t="s">
        <v>782</v>
      </c>
    </row>
    <row r="346" spans="1:19" s="9" customFormat="1" ht="15" customHeight="1" x14ac:dyDescent="0.25">
      <c r="A346" s="3">
        <v>42779</v>
      </c>
      <c r="B346" s="9" t="s">
        <v>562</v>
      </c>
      <c r="C346" s="9" t="s">
        <v>779</v>
      </c>
      <c r="D346" s="9" t="s">
        <v>783</v>
      </c>
      <c r="E346" s="12" t="s">
        <v>6</v>
      </c>
      <c r="F346" s="15" t="s">
        <v>7</v>
      </c>
      <c r="G346" s="12" t="s">
        <v>8</v>
      </c>
      <c r="H346" s="31">
        <v>48.127899999999997</v>
      </c>
      <c r="I346" s="31">
        <v>-122.84918333333333</v>
      </c>
      <c r="J346" s="14"/>
      <c r="K346" s="14"/>
      <c r="L346" s="15" t="s">
        <v>9</v>
      </c>
      <c r="M346" s="16">
        <v>-4.4500799999999998</v>
      </c>
      <c r="N346" s="12"/>
      <c r="O346" s="12"/>
      <c r="P346" s="15" t="s">
        <v>18</v>
      </c>
      <c r="Q346" s="19" t="s">
        <v>13</v>
      </c>
      <c r="R346" s="17" t="s">
        <v>784</v>
      </c>
      <c r="S346" s="196" t="s">
        <v>782</v>
      </c>
    </row>
    <row r="347" spans="1:19" s="9" customFormat="1" ht="15" customHeight="1" x14ac:dyDescent="0.25">
      <c r="A347" s="3">
        <v>42779</v>
      </c>
      <c r="B347" s="9" t="s">
        <v>562</v>
      </c>
      <c r="C347" s="9" t="s">
        <v>779</v>
      </c>
      <c r="D347" s="9" t="s">
        <v>785</v>
      </c>
      <c r="E347" s="12" t="s">
        <v>6</v>
      </c>
      <c r="F347" s="15" t="s">
        <v>7</v>
      </c>
      <c r="G347" s="12" t="s">
        <v>8</v>
      </c>
      <c r="H347" s="31">
        <v>48.136716666666665</v>
      </c>
      <c r="I347" s="31">
        <v>-122.8282</v>
      </c>
      <c r="J347" s="14"/>
      <c r="K347" s="14"/>
      <c r="L347" s="15" t="s">
        <v>9</v>
      </c>
      <c r="M347" s="16">
        <v>-4.2062400000000002</v>
      </c>
      <c r="N347" s="12"/>
      <c r="O347" s="12"/>
      <c r="P347" s="34" t="s">
        <v>23</v>
      </c>
      <c r="Q347" s="19" t="s">
        <v>48</v>
      </c>
      <c r="R347" s="17" t="s">
        <v>786</v>
      </c>
      <c r="S347" s="196" t="s">
        <v>782</v>
      </c>
    </row>
    <row r="348" spans="1:19" s="9" customFormat="1" ht="15" customHeight="1" x14ac:dyDescent="0.25">
      <c r="A348" s="3">
        <v>42779</v>
      </c>
      <c r="B348" s="9" t="s">
        <v>562</v>
      </c>
      <c r="C348" s="9" t="s">
        <v>779</v>
      </c>
      <c r="D348" s="9" t="s">
        <v>787</v>
      </c>
      <c r="E348" s="12" t="s">
        <v>6</v>
      </c>
      <c r="F348" s="15" t="s">
        <v>7</v>
      </c>
      <c r="G348" s="12" t="s">
        <v>8</v>
      </c>
      <c r="H348" s="31">
        <v>48.138100000000001</v>
      </c>
      <c r="I348" s="31">
        <v>-122.81328333333333</v>
      </c>
      <c r="J348" s="14"/>
      <c r="K348" s="14"/>
      <c r="L348" s="15" t="s">
        <v>9</v>
      </c>
      <c r="M348" s="16">
        <v>-2.71272</v>
      </c>
      <c r="N348" s="12" t="s">
        <v>66</v>
      </c>
      <c r="O348" s="12" t="s">
        <v>32</v>
      </c>
      <c r="P348" s="34" t="s">
        <v>12</v>
      </c>
      <c r="Q348" s="19" t="s">
        <v>13</v>
      </c>
      <c r="R348" s="17" t="s">
        <v>788</v>
      </c>
      <c r="S348" s="196" t="s">
        <v>782</v>
      </c>
    </row>
    <row r="349" spans="1:19" s="9" customFormat="1" ht="15" customHeight="1" x14ac:dyDescent="0.25">
      <c r="A349" s="3">
        <v>42779</v>
      </c>
      <c r="B349" s="9" t="s">
        <v>562</v>
      </c>
      <c r="C349" s="9" t="s">
        <v>779</v>
      </c>
      <c r="D349" s="9" t="s">
        <v>789</v>
      </c>
      <c r="E349" s="12" t="s">
        <v>6</v>
      </c>
      <c r="F349" s="15" t="s">
        <v>7</v>
      </c>
      <c r="G349" s="12" t="s">
        <v>8</v>
      </c>
      <c r="H349" s="31">
        <v>48.141666666666666</v>
      </c>
      <c r="I349" s="31">
        <v>-122.79423333333334</v>
      </c>
      <c r="J349" s="14"/>
      <c r="K349" s="14"/>
      <c r="L349" s="15" t="s">
        <v>9</v>
      </c>
      <c r="M349" s="16">
        <v>-1.0363200000000001</v>
      </c>
      <c r="N349" s="12" t="s">
        <v>66</v>
      </c>
      <c r="O349" s="12" t="s">
        <v>32</v>
      </c>
      <c r="P349" s="34" t="s">
        <v>12</v>
      </c>
      <c r="Q349" s="19" t="s">
        <v>13</v>
      </c>
      <c r="R349" s="17" t="s">
        <v>790</v>
      </c>
      <c r="S349" s="196" t="s">
        <v>782</v>
      </c>
    </row>
    <row r="350" spans="1:19" s="9" customFormat="1" ht="15" customHeight="1" x14ac:dyDescent="0.25">
      <c r="A350" s="3">
        <v>42779</v>
      </c>
      <c r="B350" s="9" t="s">
        <v>562</v>
      </c>
      <c r="C350" s="9" t="s">
        <v>779</v>
      </c>
      <c r="D350" s="9" t="s">
        <v>791</v>
      </c>
      <c r="E350" s="12" t="s">
        <v>6</v>
      </c>
      <c r="F350" s="15" t="s">
        <v>7</v>
      </c>
      <c r="G350" s="12" t="s">
        <v>8</v>
      </c>
      <c r="H350" s="31">
        <v>48.14353333333333</v>
      </c>
      <c r="I350" s="31">
        <v>-122.78196666666666</v>
      </c>
      <c r="J350" s="14"/>
      <c r="K350" s="14"/>
      <c r="L350" s="15" t="s">
        <v>9</v>
      </c>
      <c r="M350" s="16">
        <v>-2.5298400000000005</v>
      </c>
      <c r="N350" s="12"/>
      <c r="O350" s="12"/>
      <c r="P350" s="15" t="s">
        <v>18</v>
      </c>
      <c r="Q350" s="19" t="s">
        <v>13</v>
      </c>
      <c r="R350" s="17" t="s">
        <v>792</v>
      </c>
      <c r="S350" s="196" t="s">
        <v>782</v>
      </c>
    </row>
    <row r="351" spans="1:19" s="9" customFormat="1" ht="15" customHeight="1" x14ac:dyDescent="0.25">
      <c r="A351" s="3">
        <v>42779</v>
      </c>
      <c r="B351" s="9" t="s">
        <v>562</v>
      </c>
      <c r="C351" s="9" t="s">
        <v>779</v>
      </c>
      <c r="D351" s="9" t="s">
        <v>793</v>
      </c>
      <c r="E351" s="12" t="s">
        <v>6</v>
      </c>
      <c r="F351" s="15" t="s">
        <v>7</v>
      </c>
      <c r="G351" s="12" t="s">
        <v>8</v>
      </c>
      <c r="H351" s="31">
        <v>48.144233333333332</v>
      </c>
      <c r="I351" s="31">
        <v>-122.77218333333333</v>
      </c>
      <c r="J351" s="14"/>
      <c r="K351" s="14"/>
      <c r="L351" s="15" t="s">
        <v>9</v>
      </c>
      <c r="M351" s="16">
        <v>-4.23672</v>
      </c>
      <c r="N351" s="12" t="s">
        <v>66</v>
      </c>
      <c r="O351" s="12"/>
      <c r="P351" s="34" t="s">
        <v>18</v>
      </c>
      <c r="Q351" s="19" t="s">
        <v>13</v>
      </c>
      <c r="R351" s="17" t="s">
        <v>794</v>
      </c>
      <c r="S351" s="196" t="s">
        <v>782</v>
      </c>
    </row>
    <row r="352" spans="1:19" s="9" customFormat="1" ht="15" customHeight="1" x14ac:dyDescent="0.25">
      <c r="A352" s="3">
        <v>42779</v>
      </c>
      <c r="B352" s="9" t="s">
        <v>562</v>
      </c>
      <c r="C352" s="9" t="s">
        <v>779</v>
      </c>
      <c r="D352" s="9" t="s">
        <v>795</v>
      </c>
      <c r="E352" s="12" t="s">
        <v>6</v>
      </c>
      <c r="F352" s="15" t="s">
        <v>7</v>
      </c>
      <c r="G352" s="12" t="s">
        <v>8</v>
      </c>
      <c r="H352" s="31">
        <v>48.144966666666669</v>
      </c>
      <c r="I352" s="31">
        <v>-122.75641666666667</v>
      </c>
      <c r="J352" s="14"/>
      <c r="K352" s="14"/>
      <c r="L352" s="15" t="s">
        <v>9</v>
      </c>
      <c r="M352" s="16">
        <v>-2.4079199999999998</v>
      </c>
      <c r="N352" s="12" t="s">
        <v>66</v>
      </c>
      <c r="O352" s="12"/>
      <c r="P352" s="15" t="s">
        <v>18</v>
      </c>
      <c r="Q352" s="19" t="s">
        <v>13</v>
      </c>
      <c r="R352" s="17" t="s">
        <v>796</v>
      </c>
      <c r="S352" s="196" t="s">
        <v>782</v>
      </c>
    </row>
    <row r="353" spans="1:19" s="9" customFormat="1" ht="15" customHeight="1" x14ac:dyDescent="0.25">
      <c r="A353" s="3">
        <v>42779</v>
      </c>
      <c r="B353" s="9" t="s">
        <v>562</v>
      </c>
      <c r="C353" s="9" t="s">
        <v>779</v>
      </c>
      <c r="D353" s="9" t="s">
        <v>797</v>
      </c>
      <c r="E353" s="12" t="s">
        <v>6</v>
      </c>
      <c r="F353" s="15" t="s">
        <v>7</v>
      </c>
      <c r="G353" s="12" t="s">
        <v>8</v>
      </c>
      <c r="H353" s="31">
        <v>48.148000000000003</v>
      </c>
      <c r="I353" s="31">
        <v>-122.7585</v>
      </c>
      <c r="J353" s="14"/>
      <c r="K353" s="14"/>
      <c r="L353" s="15" t="s">
        <v>9</v>
      </c>
      <c r="M353" s="16">
        <v>-4.5110400000000004</v>
      </c>
      <c r="N353" s="12"/>
      <c r="O353" s="12" t="s">
        <v>32</v>
      </c>
      <c r="P353" s="15" t="s">
        <v>23</v>
      </c>
      <c r="Q353" s="19" t="s">
        <v>24</v>
      </c>
      <c r="R353" s="17" t="s">
        <v>798</v>
      </c>
      <c r="S353" s="196" t="s">
        <v>782</v>
      </c>
    </row>
    <row r="354" spans="1:19" s="9" customFormat="1" ht="15" customHeight="1" x14ac:dyDescent="0.25">
      <c r="A354" s="3">
        <v>42779</v>
      </c>
      <c r="B354" s="9" t="s">
        <v>562</v>
      </c>
      <c r="C354" s="9" t="s">
        <v>799</v>
      </c>
      <c r="D354" s="9" t="s">
        <v>800</v>
      </c>
      <c r="E354" s="12" t="s">
        <v>6</v>
      </c>
      <c r="F354" s="15" t="s">
        <v>7</v>
      </c>
      <c r="G354" s="12" t="s">
        <v>8</v>
      </c>
      <c r="H354" s="31">
        <v>48.119066666666669</v>
      </c>
      <c r="I354" s="31">
        <v>-123.24948333333333</v>
      </c>
      <c r="J354" s="14"/>
      <c r="K354" s="14"/>
      <c r="L354" s="15" t="s">
        <v>9</v>
      </c>
      <c r="M354" s="16">
        <v>-3.8709600000000002</v>
      </c>
      <c r="N354" s="12" t="s">
        <v>66</v>
      </c>
      <c r="O354" s="12"/>
      <c r="P354" s="15" t="s">
        <v>12</v>
      </c>
      <c r="Q354" s="19" t="s">
        <v>13</v>
      </c>
      <c r="R354" s="17" t="s">
        <v>801</v>
      </c>
      <c r="S354" s="196" t="s">
        <v>782</v>
      </c>
    </row>
    <row r="355" spans="1:19" s="9" customFormat="1" ht="15" customHeight="1" x14ac:dyDescent="0.25">
      <c r="A355" s="3">
        <v>42779</v>
      </c>
      <c r="B355" s="9" t="s">
        <v>562</v>
      </c>
      <c r="C355" s="9" t="s">
        <v>799</v>
      </c>
      <c r="D355" s="9" t="s">
        <v>802</v>
      </c>
      <c r="E355" s="12" t="s">
        <v>6</v>
      </c>
      <c r="F355" s="15" t="s">
        <v>7</v>
      </c>
      <c r="G355" s="12" t="s">
        <v>8</v>
      </c>
      <c r="H355" s="31">
        <v>48.119450000000001</v>
      </c>
      <c r="I355" s="31">
        <v>-123.28263333333334</v>
      </c>
      <c r="J355" s="14"/>
      <c r="K355" s="14"/>
      <c r="L355" s="15" t="s">
        <v>9</v>
      </c>
      <c r="M355" s="16">
        <v>-2.1335999999999999</v>
      </c>
      <c r="N355" s="12"/>
      <c r="O355" s="12"/>
      <c r="P355" s="15" t="s">
        <v>12</v>
      </c>
      <c r="Q355" s="19" t="s">
        <v>13</v>
      </c>
      <c r="R355" s="17" t="s">
        <v>803</v>
      </c>
      <c r="S355" s="196" t="s">
        <v>782</v>
      </c>
    </row>
    <row r="356" spans="1:19" s="9" customFormat="1" ht="15" customHeight="1" x14ac:dyDescent="0.25">
      <c r="A356" s="3">
        <v>42779</v>
      </c>
      <c r="B356" s="9" t="s">
        <v>562</v>
      </c>
      <c r="C356" s="9" t="s">
        <v>799</v>
      </c>
      <c r="D356" s="9" t="s">
        <v>804</v>
      </c>
      <c r="E356" s="12" t="s">
        <v>6</v>
      </c>
      <c r="F356" s="15" t="s">
        <v>7</v>
      </c>
      <c r="G356" s="12" t="s">
        <v>8</v>
      </c>
      <c r="H356" s="31">
        <v>48.120283333333333</v>
      </c>
      <c r="I356" s="31">
        <v>-123.28335</v>
      </c>
      <c r="J356" s="14"/>
      <c r="K356" s="14"/>
      <c r="L356" s="15" t="s">
        <v>9</v>
      </c>
      <c r="M356" s="16">
        <v>-3.3527999999999998</v>
      </c>
      <c r="N356" s="12" t="s">
        <v>66</v>
      </c>
      <c r="O356" s="12"/>
      <c r="P356" s="15" t="s">
        <v>745</v>
      </c>
      <c r="Q356" s="19" t="s">
        <v>24</v>
      </c>
      <c r="R356" s="17" t="s">
        <v>805</v>
      </c>
      <c r="S356" s="196" t="s">
        <v>782</v>
      </c>
    </row>
    <row r="357" spans="1:19" s="9" customFormat="1" ht="15" customHeight="1" x14ac:dyDescent="0.25">
      <c r="A357" s="3">
        <v>42779</v>
      </c>
      <c r="B357" s="9" t="s">
        <v>562</v>
      </c>
      <c r="C357" s="9" t="s">
        <v>799</v>
      </c>
      <c r="D357" s="9" t="s">
        <v>806</v>
      </c>
      <c r="E357" s="12" t="s">
        <v>6</v>
      </c>
      <c r="F357" s="15" t="s">
        <v>7</v>
      </c>
      <c r="G357" s="12" t="s">
        <v>8</v>
      </c>
      <c r="H357" s="31">
        <v>48.120716666666667</v>
      </c>
      <c r="I357" s="31">
        <v>-123.28181666666667</v>
      </c>
      <c r="J357" s="14"/>
      <c r="K357" s="14"/>
      <c r="L357" s="15" t="s">
        <v>9</v>
      </c>
      <c r="M357" s="16">
        <v>-4.2062400000000002</v>
      </c>
      <c r="N357" s="12" t="s">
        <v>66</v>
      </c>
      <c r="O357" s="12"/>
      <c r="P357" s="15" t="s">
        <v>23</v>
      </c>
      <c r="Q357" s="19" t="s">
        <v>24</v>
      </c>
      <c r="R357" s="17" t="s">
        <v>807</v>
      </c>
      <c r="S357" s="196" t="s">
        <v>782</v>
      </c>
    </row>
    <row r="358" spans="1:19" s="9" customFormat="1" ht="15" customHeight="1" x14ac:dyDescent="0.25">
      <c r="A358" s="3">
        <v>42779</v>
      </c>
      <c r="B358" s="9" t="s">
        <v>562</v>
      </c>
      <c r="C358" s="9" t="s">
        <v>799</v>
      </c>
      <c r="D358" s="9" t="s">
        <v>808</v>
      </c>
      <c r="E358" s="12" t="s">
        <v>6</v>
      </c>
      <c r="F358" s="15" t="s">
        <v>7</v>
      </c>
      <c r="G358" s="12" t="s">
        <v>8</v>
      </c>
      <c r="H358" s="31">
        <v>48.121616666666668</v>
      </c>
      <c r="I358" s="31">
        <v>-123.23645</v>
      </c>
      <c r="J358" s="14"/>
      <c r="K358" s="14"/>
      <c r="L358" s="15" t="s">
        <v>9</v>
      </c>
      <c r="M358" s="16">
        <v>-3.81</v>
      </c>
      <c r="N358" s="15"/>
      <c r="O358" s="15"/>
      <c r="P358" s="15" t="s">
        <v>18</v>
      </c>
      <c r="Q358" s="19" t="s">
        <v>13</v>
      </c>
      <c r="R358" s="17" t="s">
        <v>809</v>
      </c>
      <c r="S358" s="196" t="s">
        <v>782</v>
      </c>
    </row>
    <row r="359" spans="1:19" s="9" customFormat="1" ht="15" customHeight="1" x14ac:dyDescent="0.25">
      <c r="A359" s="3">
        <v>42807</v>
      </c>
      <c r="B359" s="9" t="s">
        <v>562</v>
      </c>
      <c r="C359" s="9" t="s">
        <v>224</v>
      </c>
      <c r="D359" s="9" t="s">
        <v>810</v>
      </c>
      <c r="E359" s="12" t="s">
        <v>6</v>
      </c>
      <c r="F359" s="15" t="s">
        <v>7</v>
      </c>
      <c r="G359" s="12" t="s">
        <v>8</v>
      </c>
      <c r="H359" s="31">
        <v>47.581650000000003</v>
      </c>
      <c r="I359" s="31">
        <v>-122.66306666666667</v>
      </c>
      <c r="J359" s="14"/>
      <c r="K359" s="14"/>
      <c r="L359" s="15" t="s">
        <v>9</v>
      </c>
      <c r="M359" s="16">
        <v>-1.2192000000000001</v>
      </c>
      <c r="N359" s="12"/>
      <c r="O359" s="12"/>
      <c r="P359" s="12" t="s">
        <v>23</v>
      </c>
      <c r="Q359" s="15" t="s">
        <v>24</v>
      </c>
      <c r="R359" s="17" t="s">
        <v>811</v>
      </c>
      <c r="S359" s="196"/>
    </row>
    <row r="360" spans="1:19" s="9" customFormat="1" ht="15" customHeight="1" x14ac:dyDescent="0.25">
      <c r="A360" s="3">
        <v>42807</v>
      </c>
      <c r="B360" s="9" t="s">
        <v>562</v>
      </c>
      <c r="C360" s="9" t="s">
        <v>224</v>
      </c>
      <c r="D360" s="9" t="s">
        <v>812</v>
      </c>
      <c r="E360" s="12" t="s">
        <v>6</v>
      </c>
      <c r="F360" s="15" t="s">
        <v>7</v>
      </c>
      <c r="G360" s="12" t="s">
        <v>8</v>
      </c>
      <c r="H360" s="31">
        <v>47.601166666666664</v>
      </c>
      <c r="I360" s="31">
        <v>-122.65928333333333</v>
      </c>
      <c r="J360" s="14"/>
      <c r="K360" s="14"/>
      <c r="L360" s="15" t="s">
        <v>9</v>
      </c>
      <c r="M360" s="16">
        <v>-1.3715999999999999</v>
      </c>
      <c r="N360" s="12"/>
      <c r="O360" s="12" t="s">
        <v>32</v>
      </c>
      <c r="P360" s="12" t="s">
        <v>23</v>
      </c>
      <c r="Q360" s="15" t="s">
        <v>24</v>
      </c>
      <c r="R360" s="17" t="s">
        <v>813</v>
      </c>
      <c r="S360" s="196"/>
    </row>
    <row r="361" spans="1:19" s="9" customFormat="1" ht="15" customHeight="1" x14ac:dyDescent="0.25">
      <c r="A361" s="3">
        <v>42807</v>
      </c>
      <c r="B361" s="9" t="s">
        <v>562</v>
      </c>
      <c r="C361" s="9" t="s">
        <v>224</v>
      </c>
      <c r="D361" s="9" t="s">
        <v>814</v>
      </c>
      <c r="E361" s="12" t="s">
        <v>6</v>
      </c>
      <c r="F361" s="15" t="s">
        <v>7</v>
      </c>
      <c r="G361" s="12" t="s">
        <v>8</v>
      </c>
      <c r="H361" s="31">
        <v>47.602683333333331</v>
      </c>
      <c r="I361" s="31">
        <v>-122.66535</v>
      </c>
      <c r="J361" s="14"/>
      <c r="K361" s="14"/>
      <c r="L361" s="15" t="s">
        <v>9</v>
      </c>
      <c r="M361" s="16">
        <v>-1.28016</v>
      </c>
      <c r="N361" s="12"/>
      <c r="O361" s="12" t="s">
        <v>32</v>
      </c>
      <c r="P361" s="12" t="s">
        <v>23</v>
      </c>
      <c r="Q361" s="15" t="s">
        <v>24</v>
      </c>
      <c r="R361" s="17" t="s">
        <v>815</v>
      </c>
      <c r="S361" s="196"/>
    </row>
    <row r="362" spans="1:19" s="9" customFormat="1" ht="15" customHeight="1" x14ac:dyDescent="0.25">
      <c r="A362" s="3">
        <v>42807</v>
      </c>
      <c r="B362" s="9" t="s">
        <v>562</v>
      </c>
      <c r="C362" s="9" t="s">
        <v>224</v>
      </c>
      <c r="D362" s="9" t="s">
        <v>816</v>
      </c>
      <c r="E362" s="12" t="s">
        <v>6</v>
      </c>
      <c r="F362" s="15" t="s">
        <v>7</v>
      </c>
      <c r="G362" s="12" t="s">
        <v>8</v>
      </c>
      <c r="H362" s="31">
        <v>47.604050000000001</v>
      </c>
      <c r="I362" s="31">
        <v>-122.66143333333333</v>
      </c>
      <c r="J362" s="14"/>
      <c r="K362" s="14"/>
      <c r="L362" s="15" t="s">
        <v>9</v>
      </c>
      <c r="M362" s="16">
        <v>-1.28016</v>
      </c>
      <c r="N362" s="12"/>
      <c r="O362" s="12" t="s">
        <v>32</v>
      </c>
      <c r="P362" s="12" t="s">
        <v>23</v>
      </c>
      <c r="Q362" s="15" t="s">
        <v>24</v>
      </c>
      <c r="R362" s="17" t="s">
        <v>817</v>
      </c>
      <c r="S362" s="196"/>
    </row>
    <row r="363" spans="1:19" s="9" customFormat="1" ht="15" customHeight="1" x14ac:dyDescent="0.25">
      <c r="A363" s="3">
        <v>42807</v>
      </c>
      <c r="B363" s="9" t="s">
        <v>562</v>
      </c>
      <c r="C363" s="9" t="s">
        <v>224</v>
      </c>
      <c r="D363" s="9" t="s">
        <v>818</v>
      </c>
      <c r="E363" s="12" t="s">
        <v>6</v>
      </c>
      <c r="F363" s="15" t="s">
        <v>7</v>
      </c>
      <c r="G363" s="12" t="s">
        <v>8</v>
      </c>
      <c r="H363" s="31">
        <v>47.606516666666664</v>
      </c>
      <c r="I363" s="31">
        <v>-122.66138333333333</v>
      </c>
      <c r="J363" s="14"/>
      <c r="K363" s="14"/>
      <c r="L363" s="15" t="s">
        <v>9</v>
      </c>
      <c r="M363" s="16">
        <v>-1.3715999999999997</v>
      </c>
      <c r="N363" s="12"/>
      <c r="O363" s="12" t="s">
        <v>32</v>
      </c>
      <c r="P363" s="12" t="s">
        <v>23</v>
      </c>
      <c r="Q363" s="15" t="s">
        <v>24</v>
      </c>
      <c r="R363" s="17" t="s">
        <v>819</v>
      </c>
      <c r="S363" s="196"/>
    </row>
    <row r="364" spans="1:19" s="9" customFormat="1" ht="15" customHeight="1" x14ac:dyDescent="0.25">
      <c r="A364" s="3">
        <v>42807</v>
      </c>
      <c r="B364" s="9" t="s">
        <v>562</v>
      </c>
      <c r="C364" s="9" t="s">
        <v>224</v>
      </c>
      <c r="D364" s="9" t="s">
        <v>820</v>
      </c>
      <c r="E364" s="12" t="s">
        <v>6</v>
      </c>
      <c r="F364" s="15" t="s">
        <v>7</v>
      </c>
      <c r="G364" s="12" t="s">
        <v>8</v>
      </c>
      <c r="H364" s="31">
        <v>47.581833333333336</v>
      </c>
      <c r="I364" s="31">
        <v>-122.66033333333333</v>
      </c>
      <c r="J364" s="14"/>
      <c r="K364" s="14"/>
      <c r="L364" s="15" t="s">
        <v>9</v>
      </c>
      <c r="M364" s="16">
        <v>-1.28016</v>
      </c>
      <c r="N364" s="12"/>
      <c r="O364" s="12"/>
      <c r="P364" s="12" t="s">
        <v>23</v>
      </c>
      <c r="Q364" s="15" t="s">
        <v>24</v>
      </c>
      <c r="R364" s="17" t="s">
        <v>821</v>
      </c>
      <c r="S364" s="196"/>
    </row>
    <row r="365" spans="1:19" s="9" customFormat="1" ht="15" customHeight="1" x14ac:dyDescent="0.25">
      <c r="A365" s="3">
        <v>42807</v>
      </c>
      <c r="B365" s="9" t="s">
        <v>562</v>
      </c>
      <c r="C365" s="9" t="s">
        <v>224</v>
      </c>
      <c r="D365" s="9" t="s">
        <v>822</v>
      </c>
      <c r="E365" s="12" t="s">
        <v>6</v>
      </c>
      <c r="F365" s="15" t="s">
        <v>7</v>
      </c>
      <c r="G365" s="12" t="s">
        <v>8</v>
      </c>
      <c r="H365" s="31">
        <v>47.587283333333332</v>
      </c>
      <c r="I365" s="31">
        <v>-122.65825</v>
      </c>
      <c r="J365" s="14"/>
      <c r="K365" s="14"/>
      <c r="L365" s="15" t="s">
        <v>9</v>
      </c>
      <c r="M365" s="16">
        <v>-1.1582399999999999</v>
      </c>
      <c r="N365" s="12"/>
      <c r="O365" s="12" t="s">
        <v>11</v>
      </c>
      <c r="P365" s="12" t="s">
        <v>23</v>
      </c>
      <c r="Q365" s="15" t="s">
        <v>63</v>
      </c>
      <c r="R365" s="17" t="s">
        <v>823</v>
      </c>
      <c r="S365" s="196"/>
    </row>
    <row r="366" spans="1:19" s="9" customFormat="1" ht="15" customHeight="1" x14ac:dyDescent="0.25">
      <c r="A366" s="3">
        <v>42807</v>
      </c>
      <c r="B366" s="9" t="s">
        <v>562</v>
      </c>
      <c r="C366" s="9" t="s">
        <v>224</v>
      </c>
      <c r="D366" s="9" t="s">
        <v>824</v>
      </c>
      <c r="E366" s="12" t="s">
        <v>6</v>
      </c>
      <c r="F366" s="15" t="s">
        <v>7</v>
      </c>
      <c r="G366" s="12" t="s">
        <v>8</v>
      </c>
      <c r="H366" s="31">
        <v>47.587933333333332</v>
      </c>
      <c r="I366" s="31">
        <v>-122.6579</v>
      </c>
      <c r="J366" s="14"/>
      <c r="K366" s="14"/>
      <c r="L366" s="15" t="s">
        <v>9</v>
      </c>
      <c r="M366" s="16"/>
      <c r="N366" s="12"/>
      <c r="O366" s="12" t="s">
        <v>32</v>
      </c>
      <c r="P366" s="12" t="s">
        <v>23</v>
      </c>
      <c r="Q366" s="15" t="s">
        <v>24</v>
      </c>
      <c r="R366" s="17" t="s">
        <v>825</v>
      </c>
      <c r="S366" s="196"/>
    </row>
    <row r="367" spans="1:19" s="9" customFormat="1" ht="15" customHeight="1" x14ac:dyDescent="0.25">
      <c r="A367" s="3">
        <v>42807</v>
      </c>
      <c r="B367" s="9" t="s">
        <v>562</v>
      </c>
      <c r="C367" s="9" t="s">
        <v>224</v>
      </c>
      <c r="D367" s="9" t="s">
        <v>826</v>
      </c>
      <c r="E367" s="12" t="s">
        <v>6</v>
      </c>
      <c r="F367" s="15" t="s">
        <v>7</v>
      </c>
      <c r="G367" s="12" t="s">
        <v>8</v>
      </c>
      <c r="H367" s="31">
        <v>47.588500000000003</v>
      </c>
      <c r="I367" s="31">
        <v>-122.65796666666667</v>
      </c>
      <c r="J367" s="14"/>
      <c r="K367" s="14"/>
      <c r="L367" s="15" t="s">
        <v>9</v>
      </c>
      <c r="M367" s="16">
        <v>-1.3715999999999999</v>
      </c>
      <c r="N367" s="12"/>
      <c r="O367" s="12" t="s">
        <v>32</v>
      </c>
      <c r="P367" s="12" t="s">
        <v>23</v>
      </c>
      <c r="Q367" s="15" t="s">
        <v>24</v>
      </c>
      <c r="R367" s="17" t="s">
        <v>827</v>
      </c>
      <c r="S367" s="196"/>
    </row>
    <row r="368" spans="1:19" s="9" customFormat="1" ht="15" customHeight="1" x14ac:dyDescent="0.25">
      <c r="A368" s="3">
        <v>42807</v>
      </c>
      <c r="B368" s="9" t="s">
        <v>562</v>
      </c>
      <c r="C368" s="9" t="s">
        <v>224</v>
      </c>
      <c r="D368" s="9" t="s">
        <v>828</v>
      </c>
      <c r="E368" s="12" t="s">
        <v>6</v>
      </c>
      <c r="F368" s="15" t="s">
        <v>7</v>
      </c>
      <c r="G368" s="12" t="s">
        <v>8</v>
      </c>
      <c r="H368" s="31">
        <v>47.589733333333335</v>
      </c>
      <c r="I368" s="31">
        <v>-122.66475</v>
      </c>
      <c r="J368" s="14"/>
      <c r="K368" s="14"/>
      <c r="L368" s="15" t="s">
        <v>9</v>
      </c>
      <c r="M368" s="16">
        <v>-1.3411200000000001</v>
      </c>
      <c r="N368" s="12"/>
      <c r="O368" s="12" t="s">
        <v>32</v>
      </c>
      <c r="P368" s="12" t="s">
        <v>23</v>
      </c>
      <c r="Q368" s="15" t="s">
        <v>24</v>
      </c>
      <c r="R368" s="17" t="s">
        <v>829</v>
      </c>
      <c r="S368" s="196"/>
    </row>
    <row r="369" spans="1:19" s="9" customFormat="1" ht="15" customHeight="1" x14ac:dyDescent="0.25">
      <c r="A369" s="3">
        <v>42807</v>
      </c>
      <c r="B369" s="9" t="s">
        <v>562</v>
      </c>
      <c r="C369" s="9" t="s">
        <v>224</v>
      </c>
      <c r="D369" s="9" t="s">
        <v>830</v>
      </c>
      <c r="E369" s="12" t="s">
        <v>6</v>
      </c>
      <c r="F369" s="15" t="s">
        <v>7</v>
      </c>
      <c r="G369" s="12" t="s">
        <v>8</v>
      </c>
      <c r="H369" s="31">
        <v>47.59191666666667</v>
      </c>
      <c r="I369" s="31">
        <v>-122.66291666666666</v>
      </c>
      <c r="J369" s="14"/>
      <c r="K369" s="14"/>
      <c r="L369" s="15" t="s">
        <v>9</v>
      </c>
      <c r="M369" s="16">
        <v>-1.2192000000000001</v>
      </c>
      <c r="N369" s="12"/>
      <c r="O369" s="12" t="s">
        <v>11</v>
      </c>
      <c r="P369" s="12" t="s">
        <v>23</v>
      </c>
      <c r="Q369" s="15" t="s">
        <v>63</v>
      </c>
      <c r="R369" s="17" t="s">
        <v>831</v>
      </c>
      <c r="S369" s="196"/>
    </row>
    <row r="370" spans="1:19" s="9" customFormat="1" ht="15" customHeight="1" x14ac:dyDescent="0.25">
      <c r="A370" s="3">
        <v>42807</v>
      </c>
      <c r="B370" s="9" t="s">
        <v>562</v>
      </c>
      <c r="C370" s="9" t="s">
        <v>224</v>
      </c>
      <c r="D370" s="9" t="s">
        <v>832</v>
      </c>
      <c r="E370" s="12" t="s">
        <v>6</v>
      </c>
      <c r="F370" s="15" t="s">
        <v>7</v>
      </c>
      <c r="G370" s="12" t="s">
        <v>8</v>
      </c>
      <c r="H370" s="31">
        <v>47.595616666666665</v>
      </c>
      <c r="I370" s="31">
        <v>-122.6562</v>
      </c>
      <c r="J370" s="14"/>
      <c r="K370" s="14"/>
      <c r="L370" s="15" t="s">
        <v>9</v>
      </c>
      <c r="M370" s="16">
        <v>-1.4630399999999999</v>
      </c>
      <c r="N370" s="12"/>
      <c r="O370" s="12" t="s">
        <v>742</v>
      </c>
      <c r="P370" s="12" t="s">
        <v>23</v>
      </c>
      <c r="Q370" s="15" t="s">
        <v>24</v>
      </c>
      <c r="R370" s="17" t="s">
        <v>833</v>
      </c>
      <c r="S370" s="196"/>
    </row>
    <row r="371" spans="1:19" s="9" customFormat="1" ht="15" customHeight="1" x14ac:dyDescent="0.25">
      <c r="A371" s="3">
        <v>42807</v>
      </c>
      <c r="B371" s="9" t="s">
        <v>562</v>
      </c>
      <c r="C371" s="9" t="s">
        <v>224</v>
      </c>
      <c r="D371" s="9" t="s">
        <v>834</v>
      </c>
      <c r="E371" s="12" t="s">
        <v>6</v>
      </c>
      <c r="F371" s="15" t="s">
        <v>7</v>
      </c>
      <c r="G371" s="12" t="s">
        <v>8</v>
      </c>
      <c r="H371" s="31">
        <v>47.600349999999999</v>
      </c>
      <c r="I371" s="31">
        <v>-122.66295</v>
      </c>
      <c r="J371" s="14"/>
      <c r="K371" s="14"/>
      <c r="L371" s="15" t="s">
        <v>9</v>
      </c>
      <c r="M371" s="16">
        <v>-1.0058400000000001</v>
      </c>
      <c r="N371" s="12"/>
      <c r="O371" s="12" t="s">
        <v>11</v>
      </c>
      <c r="P371" s="12" t="s">
        <v>23</v>
      </c>
      <c r="Q371" s="15" t="s">
        <v>24</v>
      </c>
      <c r="R371" s="17" t="s">
        <v>835</v>
      </c>
      <c r="S371" s="196"/>
    </row>
    <row r="372" spans="1:19" s="9" customFormat="1" ht="15" customHeight="1" x14ac:dyDescent="0.25">
      <c r="A372" s="3">
        <v>42808</v>
      </c>
      <c r="B372" s="9" t="s">
        <v>562</v>
      </c>
      <c r="C372" s="9" t="s">
        <v>836</v>
      </c>
      <c r="D372" s="9" t="s">
        <v>837</v>
      </c>
      <c r="E372" s="12" t="s">
        <v>6</v>
      </c>
      <c r="F372" s="15" t="s">
        <v>7</v>
      </c>
      <c r="G372" s="12" t="s">
        <v>8</v>
      </c>
      <c r="H372" s="31">
        <v>47.26253333333333</v>
      </c>
      <c r="I372" s="31">
        <v>-122.4362</v>
      </c>
      <c r="J372" s="14"/>
      <c r="K372" s="14"/>
      <c r="L372" s="15" t="s">
        <v>9</v>
      </c>
      <c r="M372" s="16">
        <v>-1.6764000000000001</v>
      </c>
      <c r="N372" s="12"/>
      <c r="O372" s="12"/>
      <c r="P372" s="15" t="s">
        <v>12</v>
      </c>
      <c r="Q372" s="19" t="s">
        <v>13</v>
      </c>
      <c r="R372" s="17" t="s">
        <v>838</v>
      </c>
      <c r="S372" s="196" t="s">
        <v>839</v>
      </c>
    </row>
    <row r="373" spans="1:19" s="9" customFormat="1" ht="15" customHeight="1" x14ac:dyDescent="0.25">
      <c r="A373" s="3">
        <v>42808</v>
      </c>
      <c r="B373" s="9" t="s">
        <v>562</v>
      </c>
      <c r="C373" s="9" t="s">
        <v>836</v>
      </c>
      <c r="D373" s="9" t="s">
        <v>840</v>
      </c>
      <c r="E373" s="12" t="s">
        <v>6</v>
      </c>
      <c r="F373" s="15" t="s">
        <v>7</v>
      </c>
      <c r="G373" s="12" t="s">
        <v>8</v>
      </c>
      <c r="H373" s="31">
        <v>47.310166666666667</v>
      </c>
      <c r="I373" s="31">
        <v>-122.52328333333334</v>
      </c>
      <c r="J373" s="14"/>
      <c r="K373" s="14"/>
      <c r="L373" s="15" t="s">
        <v>9</v>
      </c>
      <c r="M373" s="16"/>
      <c r="N373" s="12"/>
      <c r="O373" s="12"/>
      <c r="P373" s="15" t="s">
        <v>23</v>
      </c>
      <c r="Q373" s="19" t="s">
        <v>24</v>
      </c>
      <c r="R373" s="17" t="s">
        <v>841</v>
      </c>
      <c r="S373" s="196" t="s">
        <v>839</v>
      </c>
    </row>
    <row r="374" spans="1:19" s="9" customFormat="1" ht="15" customHeight="1" x14ac:dyDescent="0.25">
      <c r="A374" s="3">
        <v>42808</v>
      </c>
      <c r="B374" s="9" t="s">
        <v>562</v>
      </c>
      <c r="C374" s="9" t="s">
        <v>836</v>
      </c>
      <c r="D374" s="9" t="s">
        <v>842</v>
      </c>
      <c r="E374" s="12" t="s">
        <v>6</v>
      </c>
      <c r="F374" s="15" t="s">
        <v>7</v>
      </c>
      <c r="G374" s="12" t="s">
        <v>8</v>
      </c>
      <c r="H374" s="31">
        <v>47.316216666666669</v>
      </c>
      <c r="I374" s="31">
        <v>-122.53185000000001</v>
      </c>
      <c r="J374" s="14"/>
      <c r="K374" s="14"/>
      <c r="L374" s="15" t="s">
        <v>9</v>
      </c>
      <c r="M374" s="16">
        <v>-4.5110400000000004</v>
      </c>
      <c r="N374" s="12"/>
      <c r="O374" s="12"/>
      <c r="P374" s="15" t="s">
        <v>23</v>
      </c>
      <c r="Q374" s="19" t="s">
        <v>24</v>
      </c>
      <c r="R374" s="17" t="s">
        <v>843</v>
      </c>
      <c r="S374" s="196" t="s">
        <v>839</v>
      </c>
    </row>
    <row r="375" spans="1:19" s="9" customFormat="1" ht="15" customHeight="1" x14ac:dyDescent="0.25">
      <c r="A375" s="3">
        <v>42808</v>
      </c>
      <c r="B375" s="9" t="s">
        <v>562</v>
      </c>
      <c r="C375" s="9" t="s">
        <v>836</v>
      </c>
      <c r="D375" s="9" t="s">
        <v>844</v>
      </c>
      <c r="E375" s="12" t="s">
        <v>6</v>
      </c>
      <c r="F375" s="15" t="s">
        <v>7</v>
      </c>
      <c r="G375" s="12" t="s">
        <v>8</v>
      </c>
      <c r="H375" s="31">
        <v>47.276049999999998</v>
      </c>
      <c r="I375" s="31">
        <v>-122.46398333333333</v>
      </c>
      <c r="J375" s="14"/>
      <c r="K375" s="14"/>
      <c r="L375" s="15" t="s">
        <v>9</v>
      </c>
      <c r="M375" s="16">
        <v>-1.2192000000000001</v>
      </c>
      <c r="N375" s="12"/>
      <c r="O375" s="12"/>
      <c r="P375" s="15" t="s">
        <v>23</v>
      </c>
      <c r="Q375" s="19" t="s">
        <v>63</v>
      </c>
      <c r="R375" s="17" t="s">
        <v>845</v>
      </c>
      <c r="S375" s="196" t="s">
        <v>839</v>
      </c>
    </row>
    <row r="376" spans="1:19" s="9" customFormat="1" ht="15" customHeight="1" x14ac:dyDescent="0.25">
      <c r="A376" s="3">
        <v>42808</v>
      </c>
      <c r="B376" s="9" t="s">
        <v>562</v>
      </c>
      <c r="C376" s="9" t="s">
        <v>836</v>
      </c>
      <c r="D376" s="9" t="s">
        <v>846</v>
      </c>
      <c r="E376" s="12" t="s">
        <v>6</v>
      </c>
      <c r="F376" s="15" t="s">
        <v>7</v>
      </c>
      <c r="G376" s="12" t="s">
        <v>8</v>
      </c>
      <c r="H376" s="31">
        <v>47.280683333333336</v>
      </c>
      <c r="I376" s="31">
        <v>-122.47621666666667</v>
      </c>
      <c r="J376" s="14"/>
      <c r="K376" s="14"/>
      <c r="L376" s="15" t="s">
        <v>9</v>
      </c>
      <c r="M376" s="16">
        <v>-2.2250399999999995</v>
      </c>
      <c r="N376" s="12"/>
      <c r="O376" s="12"/>
      <c r="P376" s="15" t="s">
        <v>12</v>
      </c>
      <c r="Q376" s="19" t="s">
        <v>13</v>
      </c>
      <c r="R376" s="17" t="s">
        <v>847</v>
      </c>
      <c r="S376" s="196" t="s">
        <v>839</v>
      </c>
    </row>
    <row r="377" spans="1:19" s="9" customFormat="1" ht="15" customHeight="1" x14ac:dyDescent="0.25">
      <c r="A377" s="3">
        <v>42808</v>
      </c>
      <c r="B377" s="9" t="s">
        <v>562</v>
      </c>
      <c r="C377" s="9" t="s">
        <v>836</v>
      </c>
      <c r="D377" s="9" t="s">
        <v>848</v>
      </c>
      <c r="E377" s="12" t="s">
        <v>6</v>
      </c>
      <c r="F377" s="15" t="s">
        <v>7</v>
      </c>
      <c r="G377" s="12" t="s">
        <v>8</v>
      </c>
      <c r="H377" s="31">
        <v>47.285516666666666</v>
      </c>
      <c r="I377" s="31">
        <v>-122.48526666666666</v>
      </c>
      <c r="J377" s="14"/>
      <c r="K377" s="14"/>
      <c r="L377" s="15" t="s">
        <v>9</v>
      </c>
      <c r="M377" s="16">
        <v>-2.1640799999999998</v>
      </c>
      <c r="N377" s="12"/>
      <c r="O377" s="12"/>
      <c r="P377" s="15" t="s">
        <v>12</v>
      </c>
      <c r="Q377" s="19" t="s">
        <v>13</v>
      </c>
      <c r="R377" s="17" t="s">
        <v>849</v>
      </c>
      <c r="S377" s="196" t="s">
        <v>839</v>
      </c>
    </row>
    <row r="378" spans="1:19" s="9" customFormat="1" ht="15" customHeight="1" x14ac:dyDescent="0.25">
      <c r="A378" s="3">
        <v>42808</v>
      </c>
      <c r="B378" s="9" t="s">
        <v>562</v>
      </c>
      <c r="C378" s="9" t="s">
        <v>836</v>
      </c>
      <c r="D378" s="9" t="s">
        <v>850</v>
      </c>
      <c r="E378" s="12" t="s">
        <v>6</v>
      </c>
      <c r="F378" s="15" t="s">
        <v>7</v>
      </c>
      <c r="G378" s="12" t="s">
        <v>8</v>
      </c>
      <c r="H378" s="31">
        <v>47.287300000000002</v>
      </c>
      <c r="I378" s="31">
        <v>-122.41164999999999</v>
      </c>
      <c r="J378" s="14"/>
      <c r="K378" s="14"/>
      <c r="L378" s="15" t="s">
        <v>9</v>
      </c>
      <c r="M378" s="16">
        <v>-2.1031200000000001</v>
      </c>
      <c r="N378" s="12"/>
      <c r="O378" s="12"/>
      <c r="P378" s="15" t="s">
        <v>12</v>
      </c>
      <c r="Q378" s="19" t="s">
        <v>13</v>
      </c>
      <c r="R378" s="17" t="s">
        <v>851</v>
      </c>
      <c r="S378" s="196" t="s">
        <v>839</v>
      </c>
    </row>
    <row r="379" spans="1:19" s="9" customFormat="1" ht="15" customHeight="1" x14ac:dyDescent="0.25">
      <c r="A379" s="3">
        <v>42808</v>
      </c>
      <c r="B379" s="9" t="s">
        <v>562</v>
      </c>
      <c r="C379" s="9" t="s">
        <v>836</v>
      </c>
      <c r="D379" s="9" t="s">
        <v>852</v>
      </c>
      <c r="E379" s="12" t="s">
        <v>6</v>
      </c>
      <c r="F379" s="15" t="s">
        <v>7</v>
      </c>
      <c r="G379" s="12" t="s">
        <v>8</v>
      </c>
      <c r="H379" s="31">
        <v>47.295250000000003</v>
      </c>
      <c r="I379" s="31">
        <v>-122.49731666666666</v>
      </c>
      <c r="J379" s="14"/>
      <c r="K379" s="14"/>
      <c r="L379" s="15" t="s">
        <v>9</v>
      </c>
      <c r="M379" s="16">
        <v>-2.9565599999999996</v>
      </c>
      <c r="N379" s="12"/>
      <c r="O379" s="12"/>
      <c r="P379" s="15" t="s">
        <v>23</v>
      </c>
      <c r="Q379" s="19" t="s">
        <v>48</v>
      </c>
      <c r="R379" s="17" t="s">
        <v>853</v>
      </c>
      <c r="S379" s="196" t="s">
        <v>839</v>
      </c>
    </row>
    <row r="380" spans="1:19" s="9" customFormat="1" ht="15" customHeight="1" x14ac:dyDescent="0.25">
      <c r="A380" s="3">
        <v>42808</v>
      </c>
      <c r="B380" s="9" t="s">
        <v>562</v>
      </c>
      <c r="C380" s="9" t="s">
        <v>836</v>
      </c>
      <c r="D380" s="9" t="s">
        <v>854</v>
      </c>
      <c r="E380" s="12" t="s">
        <v>6</v>
      </c>
      <c r="F380" s="15" t="s">
        <v>7</v>
      </c>
      <c r="G380" s="12" t="s">
        <v>8</v>
      </c>
      <c r="H380" s="31">
        <v>47.295316666666665</v>
      </c>
      <c r="I380" s="31">
        <v>-122.4986</v>
      </c>
      <c r="J380" s="14"/>
      <c r="K380" s="14"/>
      <c r="L380" s="15" t="s">
        <v>9</v>
      </c>
      <c r="M380" s="16">
        <v>-1.73736</v>
      </c>
      <c r="N380" s="12"/>
      <c r="O380" s="12"/>
      <c r="P380" s="15" t="s">
        <v>23</v>
      </c>
      <c r="Q380" s="19" t="s">
        <v>48</v>
      </c>
      <c r="R380" s="17" t="s">
        <v>855</v>
      </c>
      <c r="S380" s="196" t="s">
        <v>839</v>
      </c>
    </row>
    <row r="381" spans="1:19" s="9" customFormat="1" ht="15" customHeight="1" x14ac:dyDescent="0.25">
      <c r="A381" s="3">
        <v>42808</v>
      </c>
      <c r="B381" s="9" t="s">
        <v>562</v>
      </c>
      <c r="C381" s="9" t="s">
        <v>836</v>
      </c>
      <c r="D381" s="9" t="s">
        <v>856</v>
      </c>
      <c r="E381" s="12" t="s">
        <v>6</v>
      </c>
      <c r="F381" s="15" t="s">
        <v>7</v>
      </c>
      <c r="G381" s="12" t="s">
        <v>8</v>
      </c>
      <c r="H381" s="31">
        <v>47.295366666666666</v>
      </c>
      <c r="I381" s="31">
        <v>-122.49816666666666</v>
      </c>
      <c r="J381" s="14"/>
      <c r="K381" s="14"/>
      <c r="L381" s="15" t="s">
        <v>9</v>
      </c>
      <c r="M381" s="16">
        <v>-2.9565599999999996</v>
      </c>
      <c r="N381" s="12"/>
      <c r="O381" s="12"/>
      <c r="P381" s="15" t="s">
        <v>12</v>
      </c>
      <c r="Q381" s="19" t="s">
        <v>13</v>
      </c>
      <c r="R381" s="17" t="s">
        <v>857</v>
      </c>
      <c r="S381" s="196" t="s">
        <v>839</v>
      </c>
    </row>
    <row r="382" spans="1:19" s="9" customFormat="1" ht="15" customHeight="1" x14ac:dyDescent="0.25">
      <c r="A382" s="3">
        <v>42808</v>
      </c>
      <c r="B382" s="9" t="s">
        <v>562</v>
      </c>
      <c r="C382" s="9" t="s">
        <v>836</v>
      </c>
      <c r="D382" s="9" t="s">
        <v>858</v>
      </c>
      <c r="E382" s="12" t="s">
        <v>6</v>
      </c>
      <c r="F382" s="15" t="s">
        <v>7</v>
      </c>
      <c r="G382" s="12" t="s">
        <v>8</v>
      </c>
      <c r="H382" s="31">
        <v>47.306699999999999</v>
      </c>
      <c r="I382" s="31">
        <v>-122.51545</v>
      </c>
      <c r="J382" s="14"/>
      <c r="K382" s="14"/>
      <c r="L382" s="15" t="s">
        <v>9</v>
      </c>
      <c r="M382" s="16">
        <v>-2.6822400000000002</v>
      </c>
      <c r="N382" s="12"/>
      <c r="O382" s="12"/>
      <c r="P382" s="15" t="s">
        <v>23</v>
      </c>
      <c r="Q382" s="19" t="s">
        <v>24</v>
      </c>
      <c r="R382" s="17" t="s">
        <v>859</v>
      </c>
      <c r="S382" s="196" t="s">
        <v>839</v>
      </c>
    </row>
    <row r="383" spans="1:19" s="9" customFormat="1" ht="15" customHeight="1" x14ac:dyDescent="0.25">
      <c r="A383" s="3">
        <v>42808</v>
      </c>
      <c r="B383" s="9" t="s">
        <v>562</v>
      </c>
      <c r="C383" s="9" t="s">
        <v>860</v>
      </c>
      <c r="D383" s="9" t="s">
        <v>861</v>
      </c>
      <c r="E383" s="12" t="s">
        <v>6</v>
      </c>
      <c r="F383" s="15" t="s">
        <v>17</v>
      </c>
      <c r="G383" s="12" t="s">
        <v>8</v>
      </c>
      <c r="H383" s="31">
        <v>47.367216666666664</v>
      </c>
      <c r="I383" s="31">
        <v>-122.46803333333334</v>
      </c>
      <c r="J383" s="31">
        <v>47.367150000000002</v>
      </c>
      <c r="K383" s="31">
        <v>-122.4675</v>
      </c>
      <c r="L383" s="15" t="s">
        <v>9</v>
      </c>
      <c r="M383" s="20">
        <v>-1.6</v>
      </c>
      <c r="N383" s="12"/>
      <c r="O383" s="12" t="s">
        <v>11</v>
      </c>
      <c r="P383" s="15" t="s">
        <v>23</v>
      </c>
      <c r="Q383" s="19" t="s">
        <v>63</v>
      </c>
      <c r="R383" s="17" t="s">
        <v>862</v>
      </c>
      <c r="S383" s="196"/>
    </row>
    <row r="384" spans="1:19" s="9" customFormat="1" ht="15" customHeight="1" x14ac:dyDescent="0.25">
      <c r="A384" s="3">
        <v>42808</v>
      </c>
      <c r="B384" s="9" t="s">
        <v>562</v>
      </c>
      <c r="C384" s="9" t="s">
        <v>860</v>
      </c>
      <c r="D384" s="9" t="s">
        <v>863</v>
      </c>
      <c r="E384" s="12" t="s">
        <v>6</v>
      </c>
      <c r="F384" s="15" t="s">
        <v>7</v>
      </c>
      <c r="G384" s="12" t="s">
        <v>8</v>
      </c>
      <c r="H384" s="31">
        <v>47.380733333333332</v>
      </c>
      <c r="I384" s="31">
        <v>-122.44628333333333</v>
      </c>
      <c r="J384" s="14"/>
      <c r="K384" s="14"/>
      <c r="L384" s="15" t="s">
        <v>9</v>
      </c>
      <c r="M384" s="20">
        <v>-1.6763999999999999</v>
      </c>
      <c r="N384" s="12"/>
      <c r="O384" s="12"/>
      <c r="P384" s="15" t="s">
        <v>12</v>
      </c>
      <c r="Q384" s="19" t="s">
        <v>13</v>
      </c>
      <c r="R384" s="17" t="s">
        <v>864</v>
      </c>
      <c r="S384" s="196"/>
    </row>
    <row r="385" spans="1:19" s="9" customFormat="1" ht="15" customHeight="1" x14ac:dyDescent="0.25">
      <c r="A385" s="3">
        <v>42808</v>
      </c>
      <c r="B385" s="9" t="s">
        <v>562</v>
      </c>
      <c r="C385" s="9" t="s">
        <v>860</v>
      </c>
      <c r="D385" s="9" t="s">
        <v>865</v>
      </c>
      <c r="E385" s="12" t="s">
        <v>6</v>
      </c>
      <c r="F385" s="15" t="s">
        <v>7</v>
      </c>
      <c r="G385" s="12" t="s">
        <v>8</v>
      </c>
      <c r="H385" s="31">
        <v>47.383200000000002</v>
      </c>
      <c r="I385" s="31">
        <v>-122.4522</v>
      </c>
      <c r="J385" s="14"/>
      <c r="K385" s="14"/>
      <c r="L385" s="15" t="s">
        <v>9</v>
      </c>
      <c r="M385" s="20">
        <v>-2.2250399999999999</v>
      </c>
      <c r="N385" s="12"/>
      <c r="O385" s="12" t="s">
        <v>11</v>
      </c>
      <c r="P385" s="15" t="s">
        <v>23</v>
      </c>
      <c r="Q385" s="19" t="s">
        <v>63</v>
      </c>
      <c r="R385" s="17" t="s">
        <v>866</v>
      </c>
      <c r="S385" s="196"/>
    </row>
    <row r="386" spans="1:19" s="9" customFormat="1" ht="15" customHeight="1" x14ac:dyDescent="0.25">
      <c r="A386" s="3">
        <v>42808</v>
      </c>
      <c r="B386" s="9" t="s">
        <v>562</v>
      </c>
      <c r="C386" s="9" t="s">
        <v>860</v>
      </c>
      <c r="D386" s="9" t="s">
        <v>867</v>
      </c>
      <c r="E386" s="12" t="s">
        <v>6</v>
      </c>
      <c r="F386" s="15" t="s">
        <v>7</v>
      </c>
      <c r="G386" s="12" t="s">
        <v>8</v>
      </c>
      <c r="H386" s="31">
        <v>47.383783333333334</v>
      </c>
      <c r="I386" s="31">
        <v>-122.45033333333333</v>
      </c>
      <c r="J386" s="14"/>
      <c r="K386" s="14"/>
      <c r="L386" s="15" t="s">
        <v>9</v>
      </c>
      <c r="M386" s="20">
        <v>-0.70103999999999989</v>
      </c>
      <c r="N386" s="12"/>
      <c r="O386" s="12" t="s">
        <v>11</v>
      </c>
      <c r="P386" s="15" t="s">
        <v>23</v>
      </c>
      <c r="Q386" s="19" t="s">
        <v>24</v>
      </c>
      <c r="R386" s="17" t="s">
        <v>868</v>
      </c>
      <c r="S386" s="196"/>
    </row>
    <row r="387" spans="1:19" s="9" customFormat="1" ht="15" customHeight="1" x14ac:dyDescent="0.25">
      <c r="A387" s="3">
        <v>42808</v>
      </c>
      <c r="B387" s="9" t="s">
        <v>562</v>
      </c>
      <c r="C387" s="9" t="s">
        <v>860</v>
      </c>
      <c r="D387" s="9" t="s">
        <v>869</v>
      </c>
      <c r="E387" s="12" t="s">
        <v>6</v>
      </c>
      <c r="F387" s="15" t="s">
        <v>7</v>
      </c>
      <c r="G387" s="12" t="s">
        <v>8</v>
      </c>
      <c r="H387" s="31">
        <v>47.383916666666664</v>
      </c>
      <c r="I387" s="31">
        <v>-122.4439</v>
      </c>
      <c r="J387" s="14"/>
      <c r="K387" s="14"/>
      <c r="L387" s="15" t="s">
        <v>9</v>
      </c>
      <c r="M387" s="20">
        <v>-1.8288</v>
      </c>
      <c r="N387" s="12"/>
      <c r="O387" s="12" t="s">
        <v>11</v>
      </c>
      <c r="P387" s="15" t="s">
        <v>12</v>
      </c>
      <c r="Q387" s="19" t="s">
        <v>13</v>
      </c>
      <c r="R387" s="17" t="s">
        <v>870</v>
      </c>
      <c r="S387" s="196"/>
    </row>
    <row r="388" spans="1:19" s="9" customFormat="1" ht="15" customHeight="1" x14ac:dyDescent="0.25">
      <c r="A388" s="3">
        <v>42808</v>
      </c>
      <c r="B388" s="9" t="s">
        <v>562</v>
      </c>
      <c r="C388" s="9" t="s">
        <v>860</v>
      </c>
      <c r="D388" s="9" t="s">
        <v>871</v>
      </c>
      <c r="E388" s="12" t="s">
        <v>6</v>
      </c>
      <c r="F388" s="15" t="s">
        <v>7</v>
      </c>
      <c r="G388" s="12" t="s">
        <v>8</v>
      </c>
      <c r="H388" s="31">
        <v>47.384383333333332</v>
      </c>
      <c r="I388" s="31">
        <v>-122.44943333333333</v>
      </c>
      <c r="J388" s="14"/>
      <c r="K388" s="14"/>
      <c r="L388" s="15" t="s">
        <v>9</v>
      </c>
      <c r="M388" s="20">
        <v>-2.2250399999999999</v>
      </c>
      <c r="N388" s="12"/>
      <c r="O388" s="12" t="s">
        <v>11</v>
      </c>
      <c r="P388" s="15" t="s">
        <v>23</v>
      </c>
      <c r="Q388" s="19" t="s">
        <v>63</v>
      </c>
      <c r="R388" s="17" t="s">
        <v>872</v>
      </c>
      <c r="S388" s="196"/>
    </row>
    <row r="389" spans="1:19" s="9" customFormat="1" ht="15" customHeight="1" x14ac:dyDescent="0.25">
      <c r="A389" s="3">
        <v>42808</v>
      </c>
      <c r="B389" s="9" t="s">
        <v>562</v>
      </c>
      <c r="C389" s="9" t="s">
        <v>860</v>
      </c>
      <c r="D389" s="9" t="s">
        <v>873</v>
      </c>
      <c r="E389" s="12" t="s">
        <v>6</v>
      </c>
      <c r="F389" s="15" t="s">
        <v>7</v>
      </c>
      <c r="G389" s="12" t="s">
        <v>8</v>
      </c>
      <c r="H389" s="31">
        <v>47.384399999999999</v>
      </c>
      <c r="I389" s="31">
        <v>-122.44296666666666</v>
      </c>
      <c r="J389" s="14"/>
      <c r="K389" s="14"/>
      <c r="L389" s="15" t="s">
        <v>9</v>
      </c>
      <c r="M389" s="20">
        <v>-1.8288</v>
      </c>
      <c r="N389" s="12"/>
      <c r="O389" s="12"/>
      <c r="P389" s="15" t="s">
        <v>12</v>
      </c>
      <c r="Q389" s="19" t="s">
        <v>13</v>
      </c>
      <c r="R389" s="17" t="s">
        <v>874</v>
      </c>
      <c r="S389" s="196"/>
    </row>
    <row r="390" spans="1:19" s="9" customFormat="1" ht="15" customHeight="1" x14ac:dyDescent="0.25">
      <c r="A390" s="3">
        <v>42808</v>
      </c>
      <c r="B390" s="9" t="s">
        <v>562</v>
      </c>
      <c r="C390" s="9" t="s">
        <v>860</v>
      </c>
      <c r="D390" s="9" t="s">
        <v>875</v>
      </c>
      <c r="E390" s="12" t="s">
        <v>6</v>
      </c>
      <c r="F390" s="15" t="s">
        <v>7</v>
      </c>
      <c r="G390" s="12" t="s">
        <v>8</v>
      </c>
      <c r="H390" s="31">
        <v>47.38485</v>
      </c>
      <c r="I390" s="31">
        <v>-122.44235</v>
      </c>
      <c r="J390" s="14"/>
      <c r="K390" s="14"/>
      <c r="L390" s="15" t="s">
        <v>9</v>
      </c>
      <c r="M390" s="20">
        <v>-2.1640799999999998</v>
      </c>
      <c r="N390" s="12"/>
      <c r="O390" s="12"/>
      <c r="P390" s="15" t="s">
        <v>12</v>
      </c>
      <c r="Q390" s="19" t="s">
        <v>13</v>
      </c>
      <c r="R390" s="17" t="s">
        <v>876</v>
      </c>
      <c r="S390" s="196"/>
    </row>
    <row r="391" spans="1:19" s="9" customFormat="1" ht="15" customHeight="1" x14ac:dyDescent="0.25">
      <c r="A391" s="3">
        <v>42808</v>
      </c>
      <c r="B391" s="9" t="s">
        <v>562</v>
      </c>
      <c r="C391" s="9" t="s">
        <v>860</v>
      </c>
      <c r="D391" s="9" t="s">
        <v>877</v>
      </c>
      <c r="E391" s="12" t="s">
        <v>6</v>
      </c>
      <c r="F391" s="15" t="s">
        <v>7</v>
      </c>
      <c r="G391" s="12" t="s">
        <v>8</v>
      </c>
      <c r="H391" s="31">
        <v>47.386833333333335</v>
      </c>
      <c r="I391" s="31">
        <v>-122.46941666666666</v>
      </c>
      <c r="J391" s="14"/>
      <c r="K391" s="14"/>
      <c r="L391" s="15" t="s">
        <v>9</v>
      </c>
      <c r="M391" s="20">
        <v>-1.0668</v>
      </c>
      <c r="N391" s="12"/>
      <c r="O391" s="12"/>
      <c r="P391" s="15" t="s">
        <v>12</v>
      </c>
      <c r="Q391" s="19" t="s">
        <v>13</v>
      </c>
      <c r="R391" s="17" t="s">
        <v>878</v>
      </c>
      <c r="S391" s="196"/>
    </row>
    <row r="392" spans="1:19" s="9" customFormat="1" ht="15" customHeight="1" x14ac:dyDescent="0.25">
      <c r="A392" s="3">
        <v>42808</v>
      </c>
      <c r="B392" s="9" t="s">
        <v>562</v>
      </c>
      <c r="C392" s="9" t="s">
        <v>860</v>
      </c>
      <c r="D392" s="9" t="s">
        <v>879</v>
      </c>
      <c r="E392" s="12" t="s">
        <v>6</v>
      </c>
      <c r="F392" s="15" t="s">
        <v>7</v>
      </c>
      <c r="G392" s="12" t="s">
        <v>8</v>
      </c>
      <c r="H392" s="31">
        <v>47.393683333333335</v>
      </c>
      <c r="I392" s="31">
        <v>-122.44843333333333</v>
      </c>
      <c r="J392" s="14"/>
      <c r="K392" s="14"/>
      <c r="L392" s="15" t="s">
        <v>9</v>
      </c>
      <c r="M392" s="20">
        <v>-1.73736</v>
      </c>
      <c r="N392" s="12"/>
      <c r="O392" s="12"/>
      <c r="P392" s="15" t="s">
        <v>23</v>
      </c>
      <c r="Q392" s="19" t="s">
        <v>63</v>
      </c>
      <c r="R392" s="17" t="s">
        <v>880</v>
      </c>
      <c r="S392" s="196"/>
    </row>
    <row r="393" spans="1:19" s="9" customFormat="1" ht="15" customHeight="1" x14ac:dyDescent="0.25">
      <c r="A393" s="3">
        <v>42808</v>
      </c>
      <c r="B393" s="9" t="s">
        <v>562</v>
      </c>
      <c r="C393" s="9" t="s">
        <v>860</v>
      </c>
      <c r="D393" s="9" t="s">
        <v>881</v>
      </c>
      <c r="E393" s="12" t="s">
        <v>6</v>
      </c>
      <c r="F393" s="15" t="s">
        <v>7</v>
      </c>
      <c r="G393" s="12" t="s">
        <v>8</v>
      </c>
      <c r="H393" s="31">
        <v>47.398850000000003</v>
      </c>
      <c r="I393" s="31">
        <v>-122.43976666666667</v>
      </c>
      <c r="J393" s="14"/>
      <c r="K393" s="14"/>
      <c r="L393" s="15" t="s">
        <v>9</v>
      </c>
      <c r="M393" s="20"/>
      <c r="N393" s="12"/>
      <c r="O393" s="12" t="s">
        <v>32</v>
      </c>
      <c r="P393" s="15" t="s">
        <v>23</v>
      </c>
      <c r="Q393" s="19" t="s">
        <v>24</v>
      </c>
      <c r="R393" s="17" t="s">
        <v>882</v>
      </c>
      <c r="S393" s="196"/>
    </row>
    <row r="394" spans="1:19" s="9" customFormat="1" ht="15" customHeight="1" x14ac:dyDescent="0.25">
      <c r="A394" s="3">
        <v>42808</v>
      </c>
      <c r="B394" s="9" t="s">
        <v>562</v>
      </c>
      <c r="C394" s="9" t="s">
        <v>860</v>
      </c>
      <c r="D394" s="9" t="s">
        <v>883</v>
      </c>
      <c r="E394" s="12" t="s">
        <v>6</v>
      </c>
      <c r="F394" s="15" t="s">
        <v>17</v>
      </c>
      <c r="G394" s="12" t="s">
        <v>8</v>
      </c>
      <c r="H394" s="31">
        <v>47.386583333333334</v>
      </c>
      <c r="I394" s="31">
        <v>-122.46963333333333</v>
      </c>
      <c r="J394" s="31">
        <v>47.386933333333332</v>
      </c>
      <c r="K394" s="31">
        <v>-122.46956666666667</v>
      </c>
      <c r="L394" s="15" t="s">
        <v>9</v>
      </c>
      <c r="M394" s="20">
        <v>-1.6</v>
      </c>
      <c r="N394" s="12"/>
      <c r="O394" s="12" t="s">
        <v>11</v>
      </c>
      <c r="P394" s="15" t="s">
        <v>23</v>
      </c>
      <c r="Q394" s="19" t="s">
        <v>63</v>
      </c>
      <c r="R394" s="17" t="s">
        <v>884</v>
      </c>
      <c r="S394" s="196"/>
    </row>
    <row r="395" spans="1:19" s="9" customFormat="1" ht="15" customHeight="1" x14ac:dyDescent="0.25">
      <c r="A395" s="3">
        <v>42808</v>
      </c>
      <c r="B395" s="9" t="s">
        <v>562</v>
      </c>
      <c r="C395" s="9" t="s">
        <v>860</v>
      </c>
      <c r="D395" s="9" t="s">
        <v>885</v>
      </c>
      <c r="E395" s="12" t="s">
        <v>6</v>
      </c>
      <c r="F395" s="15" t="s">
        <v>7</v>
      </c>
      <c r="G395" s="12" t="s">
        <v>8</v>
      </c>
      <c r="H395" s="31">
        <v>47.40423333333333</v>
      </c>
      <c r="I395" s="31">
        <v>-122.44428333333333</v>
      </c>
      <c r="J395" s="14"/>
      <c r="K395" s="14"/>
      <c r="L395" s="15" t="s">
        <v>9</v>
      </c>
      <c r="M395" s="20">
        <v>-1.4630399999999999</v>
      </c>
      <c r="N395" s="12" t="s">
        <v>66</v>
      </c>
      <c r="O395" s="12" t="s">
        <v>187</v>
      </c>
      <c r="P395" s="15" t="s">
        <v>23</v>
      </c>
      <c r="Q395" s="19" t="s">
        <v>48</v>
      </c>
      <c r="R395" s="17" t="s">
        <v>886</v>
      </c>
      <c r="S395" s="196"/>
    </row>
    <row r="396" spans="1:19" s="9" customFormat="1" ht="15" customHeight="1" x14ac:dyDescent="0.25">
      <c r="A396" s="3">
        <v>42808</v>
      </c>
      <c r="B396" s="9" t="s">
        <v>562</v>
      </c>
      <c r="C396" s="9" t="s">
        <v>860</v>
      </c>
      <c r="D396" s="9" t="s">
        <v>887</v>
      </c>
      <c r="E396" s="12" t="s">
        <v>6</v>
      </c>
      <c r="F396" s="15" t="s">
        <v>17</v>
      </c>
      <c r="G396" s="12" t="s">
        <v>8</v>
      </c>
      <c r="H396" s="31">
        <v>47.390416666666667</v>
      </c>
      <c r="I396" s="31">
        <v>-122.43631666666667</v>
      </c>
      <c r="J396" s="31">
        <v>47.390933333333336</v>
      </c>
      <c r="K396" s="31">
        <v>-122.43525</v>
      </c>
      <c r="L396" s="15" t="s">
        <v>9</v>
      </c>
      <c r="M396" s="20">
        <v>-1.6</v>
      </c>
      <c r="N396" s="12"/>
      <c r="O396" s="12" t="s">
        <v>11</v>
      </c>
      <c r="P396" s="15" t="s">
        <v>23</v>
      </c>
      <c r="Q396" s="19" t="s">
        <v>63</v>
      </c>
      <c r="R396" s="17" t="s">
        <v>888</v>
      </c>
      <c r="S396" s="196"/>
    </row>
    <row r="397" spans="1:19" s="9" customFormat="1" ht="15" customHeight="1" x14ac:dyDescent="0.25">
      <c r="A397" s="3">
        <v>42808</v>
      </c>
      <c r="B397" s="9" t="s">
        <v>562</v>
      </c>
      <c r="C397" s="9" t="s">
        <v>860</v>
      </c>
      <c r="D397" s="9" t="s">
        <v>889</v>
      </c>
      <c r="E397" s="12" t="s">
        <v>6</v>
      </c>
      <c r="F397" s="15" t="s">
        <v>17</v>
      </c>
      <c r="G397" s="12" t="s">
        <v>8</v>
      </c>
      <c r="H397" s="31">
        <v>47.394483333333334</v>
      </c>
      <c r="I397" s="31">
        <v>-122.4579</v>
      </c>
      <c r="J397" s="31">
        <v>47.394199999999998</v>
      </c>
      <c r="K397" s="31">
        <v>-122.45773333333334</v>
      </c>
      <c r="L397" s="15" t="s">
        <v>9</v>
      </c>
      <c r="M397" s="20">
        <v>-1.6</v>
      </c>
      <c r="N397" s="12"/>
      <c r="O397" s="12" t="s">
        <v>11</v>
      </c>
      <c r="P397" s="15" t="s">
        <v>23</v>
      </c>
      <c r="Q397" s="19" t="s">
        <v>48</v>
      </c>
      <c r="R397" s="17" t="s">
        <v>890</v>
      </c>
      <c r="S397" s="196"/>
    </row>
    <row r="398" spans="1:19" s="9" customFormat="1" ht="15" customHeight="1" x14ac:dyDescent="0.25">
      <c r="A398" s="3">
        <v>42808</v>
      </c>
      <c r="B398" s="9" t="s">
        <v>562</v>
      </c>
      <c r="C398" s="9" t="s">
        <v>860</v>
      </c>
      <c r="D398" s="9" t="s">
        <v>891</v>
      </c>
      <c r="E398" s="12" t="s">
        <v>6</v>
      </c>
      <c r="F398" s="15" t="s">
        <v>17</v>
      </c>
      <c r="G398" s="12" t="s">
        <v>8</v>
      </c>
      <c r="H398" s="31">
        <v>47.394966666666669</v>
      </c>
      <c r="I398" s="31">
        <v>-122.45028333333333</v>
      </c>
      <c r="J398" s="31">
        <v>47.394816666666664</v>
      </c>
      <c r="K398" s="31">
        <v>-122.45061666666666</v>
      </c>
      <c r="L398" s="15" t="s">
        <v>9</v>
      </c>
      <c r="M398" s="20">
        <v>-1.6</v>
      </c>
      <c r="N398" s="12" t="s">
        <v>10</v>
      </c>
      <c r="O398" s="12" t="s">
        <v>11</v>
      </c>
      <c r="P398" s="15" t="s">
        <v>23</v>
      </c>
      <c r="Q398" s="19" t="s">
        <v>63</v>
      </c>
      <c r="R398" s="17" t="s">
        <v>892</v>
      </c>
      <c r="S398" s="196"/>
    </row>
    <row r="399" spans="1:19" s="9" customFormat="1" ht="15" customHeight="1" x14ac:dyDescent="0.25">
      <c r="A399" s="3">
        <v>42808</v>
      </c>
      <c r="B399" s="9" t="s">
        <v>562</v>
      </c>
      <c r="C399" s="9" t="s">
        <v>860</v>
      </c>
      <c r="D399" s="9" t="s">
        <v>893</v>
      </c>
      <c r="E399" s="12" t="s">
        <v>6</v>
      </c>
      <c r="F399" s="15" t="s">
        <v>17</v>
      </c>
      <c r="G399" s="12" t="s">
        <v>8</v>
      </c>
      <c r="H399" s="31">
        <v>47.402233333333335</v>
      </c>
      <c r="I399" s="31">
        <v>-122.45591666666667</v>
      </c>
      <c r="J399" s="31">
        <v>47.402466666666669</v>
      </c>
      <c r="K399" s="31">
        <v>-122.45583333333333</v>
      </c>
      <c r="L399" s="15" t="s">
        <v>9</v>
      </c>
      <c r="M399" s="20">
        <v>-1.6</v>
      </c>
      <c r="N399" s="12"/>
      <c r="O399" s="12" t="s">
        <v>32</v>
      </c>
      <c r="P399" s="15" t="s">
        <v>23</v>
      </c>
      <c r="Q399" s="19" t="s">
        <v>24</v>
      </c>
      <c r="R399" s="17" t="s">
        <v>894</v>
      </c>
      <c r="S399" s="196"/>
    </row>
    <row r="400" spans="1:19" s="9" customFormat="1" ht="15" customHeight="1" x14ac:dyDescent="0.25">
      <c r="A400" s="3">
        <v>42808</v>
      </c>
      <c r="B400" s="9" t="s">
        <v>562</v>
      </c>
      <c r="C400" s="9" t="s">
        <v>860</v>
      </c>
      <c r="D400" s="9" t="s">
        <v>895</v>
      </c>
      <c r="E400" s="12" t="s">
        <v>6</v>
      </c>
      <c r="F400" s="15" t="s">
        <v>7</v>
      </c>
      <c r="G400" s="12" t="s">
        <v>8</v>
      </c>
      <c r="H400" s="31">
        <v>47.377966666666666</v>
      </c>
      <c r="I400" s="31">
        <v>-122.44841666666667</v>
      </c>
      <c r="J400" s="14"/>
      <c r="K400" s="14"/>
      <c r="L400" s="15" t="s">
        <v>9</v>
      </c>
      <c r="M400" s="20">
        <v>-1.8288</v>
      </c>
      <c r="N400" s="12"/>
      <c r="O400" s="12"/>
      <c r="P400" s="15" t="s">
        <v>12</v>
      </c>
      <c r="Q400" s="19" t="s">
        <v>13</v>
      </c>
      <c r="R400" s="17" t="s">
        <v>896</v>
      </c>
      <c r="S400" s="196"/>
    </row>
    <row r="401" spans="1:26" s="9" customFormat="1" ht="15" customHeight="1" x14ac:dyDescent="0.25">
      <c r="A401" s="3">
        <v>42808</v>
      </c>
      <c r="B401" s="9" t="s">
        <v>562</v>
      </c>
      <c r="C401" s="9" t="s">
        <v>860</v>
      </c>
      <c r="D401" s="9" t="s">
        <v>897</v>
      </c>
      <c r="E401" s="12" t="s">
        <v>6</v>
      </c>
      <c r="F401" s="15" t="s">
        <v>7</v>
      </c>
      <c r="G401" s="12" t="s">
        <v>8</v>
      </c>
      <c r="H401" s="31">
        <v>47.378733333333336</v>
      </c>
      <c r="I401" s="31">
        <v>-122.4479</v>
      </c>
      <c r="J401" s="14"/>
      <c r="K401" s="14"/>
      <c r="L401" s="15" t="s">
        <v>9</v>
      </c>
      <c r="M401" s="20">
        <v>-1.8288</v>
      </c>
      <c r="N401" s="12"/>
      <c r="O401" s="12"/>
      <c r="P401" s="15" t="s">
        <v>12</v>
      </c>
      <c r="Q401" s="19" t="s">
        <v>13</v>
      </c>
      <c r="R401" s="17" t="s">
        <v>898</v>
      </c>
      <c r="S401" s="196"/>
    </row>
    <row r="402" spans="1:26" s="9" customFormat="1" ht="15" customHeight="1" x14ac:dyDescent="0.25">
      <c r="A402" s="3">
        <v>42808</v>
      </c>
      <c r="B402" s="9" t="s">
        <v>562</v>
      </c>
      <c r="C402" s="9" t="s">
        <v>860</v>
      </c>
      <c r="D402" s="9" t="s">
        <v>899</v>
      </c>
      <c r="E402" s="12" t="s">
        <v>6</v>
      </c>
      <c r="F402" s="15" t="s">
        <v>7</v>
      </c>
      <c r="G402" s="12" t="s">
        <v>8</v>
      </c>
      <c r="H402" s="31">
        <v>47.379049999999999</v>
      </c>
      <c r="I402" s="31">
        <v>-122.48353333333333</v>
      </c>
      <c r="J402" s="14"/>
      <c r="K402" s="14"/>
      <c r="L402" s="15" t="s">
        <v>9</v>
      </c>
      <c r="M402" s="20">
        <v>-5.8826400000000003</v>
      </c>
      <c r="N402" s="12"/>
      <c r="O402" s="12" t="s">
        <v>32</v>
      </c>
      <c r="P402" s="15" t="s">
        <v>23</v>
      </c>
      <c r="Q402" s="19" t="s">
        <v>24</v>
      </c>
      <c r="R402" s="17" t="s">
        <v>900</v>
      </c>
      <c r="S402" s="196"/>
    </row>
    <row r="403" spans="1:26" s="9" customFormat="1" ht="15" customHeight="1" x14ac:dyDescent="0.25">
      <c r="A403" s="3">
        <v>42842</v>
      </c>
      <c r="B403" s="9" t="s">
        <v>349</v>
      </c>
      <c r="C403" t="s">
        <v>901</v>
      </c>
      <c r="D403" s="9" t="s">
        <v>902</v>
      </c>
      <c r="E403" s="12" t="s">
        <v>6</v>
      </c>
      <c r="F403" s="35" t="s">
        <v>7</v>
      </c>
      <c r="G403" s="35" t="s">
        <v>903</v>
      </c>
      <c r="H403" s="36">
        <f>48+8.17/60</f>
        <v>48.136166666666668</v>
      </c>
      <c r="I403" s="36">
        <f>-123-28.05/60</f>
        <v>-123.4675</v>
      </c>
      <c r="J403" s="36"/>
      <c r="K403" s="36"/>
      <c r="L403" s="35" t="s">
        <v>9</v>
      </c>
      <c r="M403" s="37">
        <v>5.2730399999999999</v>
      </c>
      <c r="N403" s="35"/>
      <c r="O403" s="35"/>
      <c r="P403" s="35" t="s">
        <v>23</v>
      </c>
      <c r="Q403" s="35" t="s">
        <v>24</v>
      </c>
      <c r="R403" s="38" t="s">
        <v>904</v>
      </c>
      <c r="S403" s="196" t="s">
        <v>905</v>
      </c>
    </row>
    <row r="404" spans="1:26" s="9" customFormat="1" ht="15" customHeight="1" x14ac:dyDescent="0.25">
      <c r="A404" s="3">
        <v>42842</v>
      </c>
      <c r="B404" s="9" t="s">
        <v>349</v>
      </c>
      <c r="C404" t="s">
        <v>901</v>
      </c>
      <c r="D404" s="9" t="s">
        <v>906</v>
      </c>
      <c r="E404" s="12" t="s">
        <v>6</v>
      </c>
      <c r="F404" s="35" t="s">
        <v>7</v>
      </c>
      <c r="G404" s="35" t="s">
        <v>903</v>
      </c>
      <c r="H404" s="36">
        <f>48+8.271/60</f>
        <v>48.13785</v>
      </c>
      <c r="I404" s="36">
        <f>-123-27.818/60</f>
        <v>-123.46363333333333</v>
      </c>
      <c r="J404" s="36"/>
      <c r="K404" s="36"/>
      <c r="L404" s="35" t="s">
        <v>9</v>
      </c>
      <c r="M404" s="37"/>
      <c r="N404" s="35"/>
      <c r="O404" s="35"/>
      <c r="P404" s="35" t="s">
        <v>23</v>
      </c>
      <c r="Q404" s="35" t="s">
        <v>24</v>
      </c>
      <c r="R404" s="38" t="s">
        <v>907</v>
      </c>
      <c r="S404" s="196" t="s">
        <v>905</v>
      </c>
      <c r="T404"/>
      <c r="U404"/>
      <c r="V404"/>
      <c r="W404"/>
      <c r="X404"/>
      <c r="Y404"/>
      <c r="Z404"/>
    </row>
    <row r="405" spans="1:26" ht="15" customHeight="1" x14ac:dyDescent="0.25">
      <c r="A405" s="3">
        <v>42842</v>
      </c>
      <c r="B405" s="9" t="s">
        <v>349</v>
      </c>
      <c r="C405" t="s">
        <v>901</v>
      </c>
      <c r="D405" s="9" t="s">
        <v>908</v>
      </c>
      <c r="E405" s="12" t="s">
        <v>6</v>
      </c>
      <c r="F405" s="35" t="s">
        <v>7</v>
      </c>
      <c r="G405" s="35" t="s">
        <v>903</v>
      </c>
      <c r="H405" s="36">
        <f>48+8.299/60</f>
        <v>48.138316666666668</v>
      </c>
      <c r="I405" s="36">
        <f>-123-27.7/60</f>
        <v>-123.46166666666667</v>
      </c>
      <c r="L405" s="35" t="s">
        <v>9</v>
      </c>
      <c r="M405" s="37">
        <v>4.3891200000000001</v>
      </c>
      <c r="P405" s="35" t="s">
        <v>23</v>
      </c>
      <c r="Q405" s="35" t="s">
        <v>24</v>
      </c>
      <c r="R405" s="38" t="s">
        <v>909</v>
      </c>
      <c r="S405" s="196" t="s">
        <v>905</v>
      </c>
    </row>
    <row r="406" spans="1:26" ht="15" customHeight="1" x14ac:dyDescent="0.25">
      <c r="A406" s="3">
        <v>42842</v>
      </c>
      <c r="B406" s="9" t="s">
        <v>349</v>
      </c>
      <c r="C406" t="s">
        <v>901</v>
      </c>
      <c r="D406" s="9" t="s">
        <v>910</v>
      </c>
      <c r="E406" s="12" t="s">
        <v>6</v>
      </c>
      <c r="F406" s="35" t="s">
        <v>7</v>
      </c>
      <c r="G406" s="35" t="s">
        <v>903</v>
      </c>
      <c r="H406" s="36">
        <f>48+8.391/60</f>
        <v>48.139850000000003</v>
      </c>
      <c r="I406" s="36">
        <f>-123-27.492/60</f>
        <v>-123.45820000000001</v>
      </c>
      <c r="L406" s="35" t="s">
        <v>9</v>
      </c>
      <c r="M406" s="37">
        <v>4.9987199999999996</v>
      </c>
      <c r="P406" s="35" t="s">
        <v>23</v>
      </c>
      <c r="Q406" s="35" t="s">
        <v>48</v>
      </c>
      <c r="R406" s="38" t="s">
        <v>911</v>
      </c>
      <c r="S406" s="196" t="s">
        <v>905</v>
      </c>
    </row>
    <row r="407" spans="1:26" ht="15" customHeight="1" x14ac:dyDescent="0.25">
      <c r="A407" s="3">
        <v>42842</v>
      </c>
      <c r="B407" s="9" t="s">
        <v>349</v>
      </c>
      <c r="C407" t="s">
        <v>901</v>
      </c>
      <c r="D407" s="9" t="s">
        <v>912</v>
      </c>
      <c r="E407" s="12" t="s">
        <v>6</v>
      </c>
      <c r="F407" s="35" t="s">
        <v>7</v>
      </c>
      <c r="G407" s="35" t="s">
        <v>903</v>
      </c>
      <c r="H407" s="36">
        <f>48+8.408/60</f>
        <v>48.140133333333331</v>
      </c>
      <c r="I407" s="36">
        <f>-123-27.368/60</f>
        <v>-123.45613333333333</v>
      </c>
      <c r="L407" s="35" t="s">
        <v>9</v>
      </c>
      <c r="M407" s="37">
        <v>4.08432</v>
      </c>
      <c r="O407" s="35" t="s">
        <v>239</v>
      </c>
      <c r="P407" s="35" t="s">
        <v>23</v>
      </c>
      <c r="Q407" s="35" t="s">
        <v>48</v>
      </c>
      <c r="R407" s="38" t="s">
        <v>913</v>
      </c>
      <c r="S407" s="196" t="s">
        <v>905</v>
      </c>
    </row>
    <row r="408" spans="1:26" ht="15" customHeight="1" x14ac:dyDescent="0.25">
      <c r="A408" s="3">
        <v>42842</v>
      </c>
      <c r="B408" s="9" t="s">
        <v>349</v>
      </c>
      <c r="C408" t="s">
        <v>901</v>
      </c>
      <c r="D408" s="9" t="s">
        <v>914</v>
      </c>
      <c r="E408" s="12" t="s">
        <v>6</v>
      </c>
      <c r="F408" s="35" t="s">
        <v>7</v>
      </c>
      <c r="G408" s="35" t="s">
        <v>903</v>
      </c>
      <c r="H408" s="36">
        <f>48+8.429/60</f>
        <v>48.140483333333336</v>
      </c>
      <c r="I408" s="36">
        <f>-123-27.382/60</f>
        <v>-123.45636666666667</v>
      </c>
      <c r="L408" s="35" t="s">
        <v>9</v>
      </c>
      <c r="M408" s="37">
        <v>5.2425600000000001</v>
      </c>
      <c r="P408" s="35" t="s">
        <v>23</v>
      </c>
      <c r="Q408" s="35" t="s">
        <v>48</v>
      </c>
      <c r="S408" s="196" t="s">
        <v>905</v>
      </c>
    </row>
    <row r="409" spans="1:26" ht="15" customHeight="1" x14ac:dyDescent="0.25">
      <c r="A409" s="3">
        <v>42881</v>
      </c>
      <c r="B409" s="9" t="s">
        <v>562</v>
      </c>
      <c r="C409" t="s">
        <v>915</v>
      </c>
      <c r="D409" s="9" t="s">
        <v>916</v>
      </c>
      <c r="E409" s="12" t="s">
        <v>6</v>
      </c>
      <c r="F409" s="35" t="s">
        <v>7</v>
      </c>
      <c r="G409" s="35" t="s">
        <v>917</v>
      </c>
      <c r="H409" s="36">
        <v>48.664700000000003</v>
      </c>
      <c r="I409" s="36">
        <v>-123.15649999999999</v>
      </c>
      <c r="L409" s="35" t="s">
        <v>9</v>
      </c>
      <c r="M409" s="37">
        <v>-7.3</v>
      </c>
      <c r="P409" s="35" t="s">
        <v>36</v>
      </c>
      <c r="Q409" s="33" t="s">
        <v>13</v>
      </c>
      <c r="R409" s="38" t="s">
        <v>918</v>
      </c>
      <c r="S409" s="8" t="s">
        <v>919</v>
      </c>
    </row>
    <row r="410" spans="1:26" ht="15" customHeight="1" x14ac:dyDescent="0.25">
      <c r="A410" s="3">
        <v>42881</v>
      </c>
      <c r="B410" s="9" t="s">
        <v>562</v>
      </c>
      <c r="C410" t="s">
        <v>915</v>
      </c>
      <c r="D410" s="9" t="s">
        <v>920</v>
      </c>
      <c r="E410" s="12" t="s">
        <v>6</v>
      </c>
      <c r="F410" s="35" t="s">
        <v>7</v>
      </c>
      <c r="G410" s="35" t="s">
        <v>917</v>
      </c>
      <c r="H410" s="36">
        <f>48+39.9177/60</f>
        <v>48.665295</v>
      </c>
      <c r="I410" s="36">
        <f>-123-8.85/60</f>
        <v>-123.14749999999999</v>
      </c>
      <c r="L410" s="35" t="s">
        <v>9</v>
      </c>
      <c r="M410" s="37">
        <v>-3.8</v>
      </c>
      <c r="O410" s="35" t="s">
        <v>256</v>
      </c>
      <c r="P410" s="35" t="s">
        <v>36</v>
      </c>
      <c r="Q410" s="33" t="s">
        <v>13</v>
      </c>
      <c r="R410" s="38" t="s">
        <v>921</v>
      </c>
      <c r="S410" s="8" t="s">
        <v>919</v>
      </c>
    </row>
    <row r="411" spans="1:26" ht="15" customHeight="1" x14ac:dyDescent="0.25">
      <c r="A411" s="3">
        <v>42881</v>
      </c>
      <c r="B411" s="9" t="s">
        <v>562</v>
      </c>
      <c r="C411" t="s">
        <v>915</v>
      </c>
      <c r="D411" s="9" t="s">
        <v>922</v>
      </c>
      <c r="E411" s="12" t="s">
        <v>6</v>
      </c>
      <c r="F411" s="35" t="s">
        <v>7</v>
      </c>
      <c r="G411" s="35" t="s">
        <v>917</v>
      </c>
      <c r="H411" s="36">
        <f>48+39.6302/60</f>
        <v>48.660503333333331</v>
      </c>
      <c r="I411" s="36">
        <f>-123-8.3533/60</f>
        <v>-123.13922166666667</v>
      </c>
      <c r="L411" s="35" t="s">
        <v>9</v>
      </c>
      <c r="M411" s="37">
        <v>-3</v>
      </c>
      <c r="O411" s="35" t="s">
        <v>256</v>
      </c>
      <c r="P411" s="35" t="s">
        <v>18</v>
      </c>
      <c r="Q411" s="33" t="s">
        <v>13</v>
      </c>
      <c r="R411" s="38" t="s">
        <v>923</v>
      </c>
      <c r="S411" s="8" t="s">
        <v>919</v>
      </c>
    </row>
    <row r="412" spans="1:26" ht="15" customHeight="1" x14ac:dyDescent="0.25">
      <c r="A412" s="3">
        <v>42881</v>
      </c>
      <c r="B412" s="9" t="s">
        <v>562</v>
      </c>
      <c r="C412" t="s">
        <v>915</v>
      </c>
      <c r="D412" s="9" t="s">
        <v>924</v>
      </c>
      <c r="E412" s="12" t="s">
        <v>6</v>
      </c>
      <c r="F412" s="35" t="s">
        <v>7</v>
      </c>
      <c r="G412" s="35" t="s">
        <v>917</v>
      </c>
      <c r="H412" s="36">
        <v>48.662500000000001</v>
      </c>
      <c r="I412" s="36">
        <v>-123.15049999999999</v>
      </c>
      <c r="L412" s="35" t="s">
        <v>9</v>
      </c>
      <c r="M412" s="37">
        <v>-4.5</v>
      </c>
      <c r="O412" s="35" t="s">
        <v>256</v>
      </c>
      <c r="P412" s="35" t="s">
        <v>36</v>
      </c>
      <c r="Q412" s="33" t="s">
        <v>13</v>
      </c>
      <c r="R412" s="38" t="s">
        <v>925</v>
      </c>
      <c r="S412" s="8" t="s">
        <v>919</v>
      </c>
    </row>
    <row r="413" spans="1:26" ht="15" customHeight="1" x14ac:dyDescent="0.25">
      <c r="A413" s="3">
        <v>42881</v>
      </c>
      <c r="B413" s="9" t="s">
        <v>562</v>
      </c>
      <c r="C413" t="s">
        <v>915</v>
      </c>
      <c r="D413" s="9" t="s">
        <v>926</v>
      </c>
      <c r="E413" s="12" t="s">
        <v>6</v>
      </c>
      <c r="F413" s="35" t="s">
        <v>17</v>
      </c>
      <c r="G413" s="35" t="s">
        <v>903</v>
      </c>
      <c r="H413" s="36">
        <v>48.679600000000001</v>
      </c>
      <c r="I413" s="36">
        <v>-123.2071</v>
      </c>
      <c r="J413" s="36">
        <f>48+40.866/60</f>
        <v>48.681100000000001</v>
      </c>
      <c r="K413" s="36">
        <f>-123-12.281/60</f>
        <v>-123.20468333333334</v>
      </c>
      <c r="L413" s="35" t="s">
        <v>9</v>
      </c>
      <c r="M413" s="37">
        <v>-4.0538400000000001</v>
      </c>
      <c r="O413" s="35" t="s">
        <v>256</v>
      </c>
      <c r="P413" s="35" t="s">
        <v>36</v>
      </c>
      <c r="Q413" s="35" t="s">
        <v>13</v>
      </c>
      <c r="R413" s="38" t="s">
        <v>927</v>
      </c>
      <c r="S413" s="8" t="s">
        <v>919</v>
      </c>
    </row>
    <row r="414" spans="1:26" ht="15" customHeight="1" x14ac:dyDescent="0.25">
      <c r="A414" s="3">
        <v>42881</v>
      </c>
      <c r="B414" s="9" t="s">
        <v>562</v>
      </c>
      <c r="C414" t="s">
        <v>915</v>
      </c>
      <c r="D414" s="9" t="s">
        <v>928</v>
      </c>
      <c r="E414" s="12" t="s">
        <v>6</v>
      </c>
      <c r="F414" s="35" t="s">
        <v>7</v>
      </c>
      <c r="G414" s="35" t="s">
        <v>903</v>
      </c>
      <c r="H414" s="36">
        <v>48.684199999999997</v>
      </c>
      <c r="I414" s="36">
        <v>-123.20829999999999</v>
      </c>
      <c r="L414" s="35" t="s">
        <v>9</v>
      </c>
      <c r="P414" s="35" t="s">
        <v>745</v>
      </c>
      <c r="Q414" s="35" t="s">
        <v>24</v>
      </c>
      <c r="R414" s="38" t="s">
        <v>929</v>
      </c>
      <c r="S414" s="8" t="s">
        <v>919</v>
      </c>
    </row>
    <row r="415" spans="1:26" ht="15" customHeight="1" x14ac:dyDescent="0.25">
      <c r="A415" s="3">
        <v>42881</v>
      </c>
      <c r="B415" s="9" t="s">
        <v>562</v>
      </c>
      <c r="C415" t="s">
        <v>915</v>
      </c>
      <c r="D415" s="9" t="s">
        <v>930</v>
      </c>
      <c r="E415" s="12" t="s">
        <v>6</v>
      </c>
      <c r="F415" s="35" t="s">
        <v>7</v>
      </c>
      <c r="G415" s="35" t="s">
        <v>903</v>
      </c>
      <c r="H415" s="36">
        <v>48.678800000000003</v>
      </c>
      <c r="I415" s="36">
        <v>-123.2038</v>
      </c>
      <c r="L415" s="35" t="s">
        <v>9</v>
      </c>
      <c r="P415" s="35" t="s">
        <v>745</v>
      </c>
      <c r="Q415" s="35" t="s">
        <v>24</v>
      </c>
      <c r="R415" s="38" t="s">
        <v>931</v>
      </c>
      <c r="S415" s="8" t="s">
        <v>919</v>
      </c>
    </row>
    <row r="416" spans="1:26" ht="15" customHeight="1" x14ac:dyDescent="0.25">
      <c r="A416" s="3">
        <v>42881</v>
      </c>
      <c r="B416" s="9" t="s">
        <v>562</v>
      </c>
      <c r="C416" t="s">
        <v>915</v>
      </c>
      <c r="D416" s="9" t="s">
        <v>932</v>
      </c>
      <c r="E416" s="12" t="s">
        <v>6</v>
      </c>
      <c r="F416" s="35" t="s">
        <v>7</v>
      </c>
      <c r="G416" s="35" t="s">
        <v>903</v>
      </c>
      <c r="H416" s="36">
        <v>48.680700000000002</v>
      </c>
      <c r="I416" s="36">
        <v>-123.1969</v>
      </c>
      <c r="L416" s="35" t="s">
        <v>9</v>
      </c>
      <c r="P416" s="35" t="s">
        <v>745</v>
      </c>
      <c r="Q416" s="35" t="s">
        <v>24</v>
      </c>
      <c r="R416" s="38" t="s">
        <v>933</v>
      </c>
      <c r="S416" s="8" t="s">
        <v>919</v>
      </c>
    </row>
    <row r="417" spans="1:19" ht="15" customHeight="1" x14ac:dyDescent="0.25">
      <c r="A417" s="3">
        <v>42881</v>
      </c>
      <c r="B417" s="9" t="s">
        <v>562</v>
      </c>
      <c r="C417" t="s">
        <v>915</v>
      </c>
      <c r="D417" s="9" t="s">
        <v>934</v>
      </c>
      <c r="E417" s="12" t="s">
        <v>6</v>
      </c>
      <c r="F417" s="35" t="s">
        <v>7</v>
      </c>
      <c r="G417" s="35" t="s">
        <v>8</v>
      </c>
      <c r="H417" s="36">
        <f>48+40.866/60</f>
        <v>48.681100000000001</v>
      </c>
      <c r="I417" s="36">
        <f>-123-11.232/60</f>
        <v>-123.1872</v>
      </c>
      <c r="L417" s="35" t="s">
        <v>9</v>
      </c>
      <c r="M417" s="37">
        <v>-3.7</v>
      </c>
      <c r="O417" s="35" t="s">
        <v>32</v>
      </c>
      <c r="P417" s="35" t="s">
        <v>23</v>
      </c>
      <c r="Q417" s="35" t="s">
        <v>24</v>
      </c>
      <c r="R417" s="38" t="s">
        <v>935</v>
      </c>
      <c r="S417" s="8" t="s">
        <v>919</v>
      </c>
    </row>
    <row r="418" spans="1:19" ht="15" customHeight="1" x14ac:dyDescent="0.25">
      <c r="A418" s="3">
        <v>42881</v>
      </c>
      <c r="B418" s="9" t="s">
        <v>562</v>
      </c>
      <c r="C418" t="s">
        <v>915</v>
      </c>
      <c r="D418" s="9" t="s">
        <v>936</v>
      </c>
      <c r="E418" s="12" t="s">
        <v>6</v>
      </c>
      <c r="F418" s="35" t="s">
        <v>7</v>
      </c>
      <c r="G418" s="35" t="s">
        <v>903</v>
      </c>
      <c r="H418" s="36">
        <v>48.679000000000002</v>
      </c>
      <c r="I418" s="36">
        <v>-123.1712</v>
      </c>
      <c r="L418" s="35" t="s">
        <v>9</v>
      </c>
      <c r="P418" s="35" t="s">
        <v>745</v>
      </c>
      <c r="Q418" s="35" t="s">
        <v>24</v>
      </c>
      <c r="R418" s="38" t="s">
        <v>937</v>
      </c>
      <c r="S418" s="8" t="s">
        <v>919</v>
      </c>
    </row>
    <row r="419" spans="1:19" ht="15" customHeight="1" x14ac:dyDescent="0.25">
      <c r="A419" s="3">
        <v>43987</v>
      </c>
      <c r="B419" s="9" t="s">
        <v>938</v>
      </c>
      <c r="C419" t="s">
        <v>939</v>
      </c>
      <c r="D419" t="s">
        <v>939</v>
      </c>
      <c r="E419" s="5" t="s">
        <v>6</v>
      </c>
      <c r="F419" s="5" t="s">
        <v>17</v>
      </c>
      <c r="G419" s="5" t="s">
        <v>940</v>
      </c>
      <c r="H419" s="6">
        <v>47.588439999999999</v>
      </c>
      <c r="I419" s="6">
        <v>-122.37906</v>
      </c>
      <c r="J419" s="6">
        <v>47.586930000000002</v>
      </c>
      <c r="K419" s="6">
        <v>-122.37667</v>
      </c>
      <c r="L419" s="5" t="s">
        <v>9</v>
      </c>
      <c r="M419" s="7">
        <v>-1.6</v>
      </c>
      <c r="N419" s="5"/>
      <c r="O419" s="5" t="s">
        <v>256</v>
      </c>
      <c r="P419" s="5" t="s">
        <v>23</v>
      </c>
      <c r="Q419" s="5" t="s">
        <v>24</v>
      </c>
      <c r="R419" s="38" t="s">
        <v>941</v>
      </c>
      <c r="S419" s="22"/>
    </row>
    <row r="420" spans="1:19" ht="15" customHeight="1" x14ac:dyDescent="0.25">
      <c r="A420" s="3">
        <v>43986</v>
      </c>
      <c r="B420" s="9" t="s">
        <v>938</v>
      </c>
      <c r="C420" t="s">
        <v>942</v>
      </c>
      <c r="D420" s="9" t="s">
        <v>942</v>
      </c>
      <c r="E420" s="5" t="s">
        <v>6</v>
      </c>
      <c r="F420" s="5" t="s">
        <v>7</v>
      </c>
      <c r="G420" s="5" t="s">
        <v>940</v>
      </c>
      <c r="H420" s="6">
        <v>47.329329999999999</v>
      </c>
      <c r="I420" s="6">
        <v>-122.38615</v>
      </c>
      <c r="J420" s="36">
        <v>47.329329999999999</v>
      </c>
      <c r="K420" s="36">
        <v>-122.38615</v>
      </c>
      <c r="L420" s="5" t="s">
        <v>9</v>
      </c>
      <c r="M420" s="7">
        <v>-1.6</v>
      </c>
      <c r="N420" s="5"/>
      <c r="O420" s="5" t="s">
        <v>11</v>
      </c>
      <c r="P420" s="5" t="s">
        <v>23</v>
      </c>
      <c r="Q420" s="5" t="s">
        <v>63</v>
      </c>
      <c r="R420" s="38" t="s">
        <v>943</v>
      </c>
      <c r="S420" s="22"/>
    </row>
    <row r="421" spans="1:19" ht="15" customHeight="1" x14ac:dyDescent="0.25">
      <c r="A421" s="3">
        <v>44004</v>
      </c>
      <c r="B421" s="9" t="s">
        <v>938</v>
      </c>
      <c r="C421" t="s">
        <v>944</v>
      </c>
      <c r="D421" s="9" t="s">
        <v>944</v>
      </c>
      <c r="E421" s="5" t="s">
        <v>6</v>
      </c>
      <c r="F421" s="5" t="s">
        <v>17</v>
      </c>
      <c r="G421" s="5" t="s">
        <v>940</v>
      </c>
      <c r="H421" s="6">
        <v>47.620370000000001</v>
      </c>
      <c r="I421" s="6">
        <v>-122.36365000000001</v>
      </c>
      <c r="J421" s="6">
        <v>47.620539999999998</v>
      </c>
      <c r="K421" s="6">
        <v>-122.36382999999999</v>
      </c>
      <c r="L421" s="5" t="s">
        <v>9</v>
      </c>
      <c r="M421" s="7">
        <v>-2</v>
      </c>
      <c r="N421" s="5"/>
      <c r="O421" s="5" t="s">
        <v>256</v>
      </c>
      <c r="P421" s="5" t="s">
        <v>23</v>
      </c>
      <c r="Q421" s="5" t="s">
        <v>48</v>
      </c>
      <c r="R421" s="38" t="s">
        <v>945</v>
      </c>
      <c r="S421" s="22"/>
    </row>
    <row r="422" spans="1:19" ht="15" customHeight="1" x14ac:dyDescent="0.25">
      <c r="A422" s="3"/>
      <c r="B422" s="9"/>
      <c r="E422" s="5"/>
      <c r="F422" s="5"/>
      <c r="G422" s="5"/>
      <c r="H422" s="6"/>
      <c r="I422" s="6"/>
      <c r="J422" s="6"/>
      <c r="K422" s="6"/>
      <c r="L422" s="5"/>
      <c r="M422" s="7"/>
      <c r="N422" s="5"/>
      <c r="O422" s="5"/>
      <c r="P422" s="5"/>
      <c r="Q422" s="5"/>
      <c r="S422" s="22"/>
    </row>
    <row r="423" spans="1:19" ht="15" customHeight="1" x14ac:dyDescent="0.25">
      <c r="A423" s="3"/>
      <c r="B423" s="9"/>
      <c r="E423" s="5"/>
      <c r="F423" s="5"/>
      <c r="G423" s="5"/>
      <c r="H423" s="6"/>
      <c r="I423" s="6"/>
      <c r="J423" s="6"/>
      <c r="K423" s="6"/>
      <c r="L423" s="5"/>
      <c r="M423" s="7"/>
      <c r="N423" s="5"/>
      <c r="O423" s="5"/>
      <c r="P423" s="5"/>
      <c r="Q423" s="5"/>
      <c r="S423" s="22"/>
    </row>
    <row r="424" spans="1:19" ht="15" customHeight="1" x14ac:dyDescent="0.25">
      <c r="A424" s="3"/>
      <c r="B424" s="9"/>
      <c r="E424" s="5"/>
      <c r="F424" s="5"/>
      <c r="G424" s="5"/>
      <c r="H424" s="6"/>
      <c r="I424" s="6"/>
      <c r="J424" s="6"/>
      <c r="K424" s="6"/>
      <c r="L424" s="5"/>
      <c r="M424" s="7"/>
      <c r="N424" s="5"/>
      <c r="O424" s="5"/>
      <c r="P424" s="5"/>
      <c r="Q424" s="5"/>
      <c r="S424" s="22"/>
    </row>
    <row r="425" spans="1:19" ht="15" customHeight="1" x14ac:dyDescent="0.25">
      <c r="A425" s="3"/>
      <c r="B425" s="9"/>
      <c r="E425" s="5"/>
      <c r="F425" s="5"/>
      <c r="G425" s="5"/>
      <c r="H425" s="6"/>
      <c r="I425" s="6"/>
      <c r="J425" s="6"/>
      <c r="K425" s="6"/>
      <c r="L425" s="5"/>
      <c r="M425" s="7"/>
      <c r="N425" s="5"/>
      <c r="O425" s="5"/>
      <c r="P425" s="5"/>
      <c r="Q425" s="5"/>
      <c r="S425" s="22"/>
    </row>
    <row r="426" spans="1:19" ht="15" customHeight="1" x14ac:dyDescent="0.25">
      <c r="A426" s="3"/>
    </row>
    <row r="427" spans="1:19" ht="15" customHeight="1" x14ac:dyDescent="0.25">
      <c r="A427" s="3"/>
    </row>
    <row r="428" spans="1:19" ht="15" customHeight="1" x14ac:dyDescent="0.25">
      <c r="A428" s="3"/>
    </row>
    <row r="429" spans="1:19" ht="15" customHeight="1" x14ac:dyDescent="0.25">
      <c r="A429" s="3"/>
    </row>
    <row r="430" spans="1:19" ht="15" customHeight="1" x14ac:dyDescent="0.25">
      <c r="A430" s="3"/>
    </row>
    <row r="431" spans="1:19" ht="15" customHeight="1" x14ac:dyDescent="0.25">
      <c r="A431" s="3"/>
    </row>
    <row r="432" spans="1:19" ht="15" customHeight="1" x14ac:dyDescent="0.25">
      <c r="A432" s="3"/>
    </row>
    <row r="433" spans="1:1" ht="15" customHeight="1" x14ac:dyDescent="0.25">
      <c r="A433" s="3"/>
    </row>
    <row r="434" spans="1:1" ht="15" customHeight="1" x14ac:dyDescent="0.25">
      <c r="A434" s="3"/>
    </row>
    <row r="435" spans="1:1" ht="15" customHeight="1" x14ac:dyDescent="0.25">
      <c r="A435" s="3"/>
    </row>
    <row r="436" spans="1:1" ht="15" customHeight="1" x14ac:dyDescent="0.25">
      <c r="A436" s="3"/>
    </row>
    <row r="437" spans="1:1" ht="15" customHeight="1" x14ac:dyDescent="0.25">
      <c r="A437" s="3"/>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49742E-1862-4C9D-8CFF-167A07E09F1E}">
  <dimension ref="A1:AL306"/>
  <sheetViews>
    <sheetView zoomScaleNormal="100" workbookViewId="0">
      <selection activeCell="F9" sqref="F9"/>
    </sheetView>
  </sheetViews>
  <sheetFormatPr defaultColWidth="15.28515625" defaultRowHeight="15" x14ac:dyDescent="0.25"/>
  <cols>
    <col min="1" max="1" width="23.85546875" bestFit="1" customWidth="1"/>
    <col min="2" max="2" width="69.7109375" bestFit="1" customWidth="1"/>
    <col min="3" max="3" width="19.42578125" bestFit="1" customWidth="1"/>
    <col min="4" max="4" width="19" bestFit="1" customWidth="1"/>
    <col min="5" max="5" width="5.140625" bestFit="1" customWidth="1"/>
    <col min="6" max="6" width="255.7109375" bestFit="1" customWidth="1"/>
    <col min="7" max="7" width="15.42578125" bestFit="1" customWidth="1"/>
    <col min="8" max="8" width="20.7109375" bestFit="1" customWidth="1"/>
    <col min="9" max="9" width="11.28515625" bestFit="1" customWidth="1"/>
    <col min="10" max="10" width="49.140625" bestFit="1" customWidth="1"/>
    <col min="11" max="11" width="13.140625" bestFit="1" customWidth="1"/>
    <col min="12" max="12" width="80.140625" bestFit="1" customWidth="1"/>
    <col min="13" max="13" width="35.5703125" bestFit="1" customWidth="1"/>
    <col min="14" max="14" width="32.42578125" bestFit="1" customWidth="1"/>
    <col min="15" max="15" width="14.5703125" bestFit="1" customWidth="1"/>
    <col min="16" max="16" width="27.85546875" bestFit="1" customWidth="1"/>
    <col min="17" max="17" width="255.7109375" bestFit="1" customWidth="1"/>
    <col min="18" max="18" width="11" bestFit="1" customWidth="1"/>
    <col min="19" max="19" width="11.42578125" bestFit="1" customWidth="1"/>
    <col min="20" max="20" width="11.7109375" bestFit="1" customWidth="1"/>
    <col min="21" max="21" width="11.28515625" bestFit="1" customWidth="1"/>
    <col min="22" max="22" width="11.85546875" bestFit="1" customWidth="1"/>
    <col min="23" max="23" width="16" bestFit="1" customWidth="1"/>
    <col min="24" max="24" width="16.28515625" bestFit="1" customWidth="1"/>
    <col min="25" max="25" width="7.140625" bestFit="1" customWidth="1"/>
    <col min="26" max="26" width="16.140625" bestFit="1" customWidth="1"/>
    <col min="27" max="27" width="14.5703125" bestFit="1" customWidth="1"/>
    <col min="28" max="28" width="13.42578125" bestFit="1" customWidth="1"/>
    <col min="29" max="29" width="18.85546875" bestFit="1" customWidth="1"/>
    <col min="30" max="30" width="11.5703125" bestFit="1" customWidth="1"/>
    <col min="31" max="31" width="14.5703125" bestFit="1" customWidth="1"/>
    <col min="32" max="32" width="22.42578125" bestFit="1" customWidth="1"/>
    <col min="33" max="33" width="19.42578125" bestFit="1" customWidth="1"/>
    <col min="34" max="34" width="13.5703125" bestFit="1" customWidth="1"/>
    <col min="35" max="35" width="17" bestFit="1" customWidth="1"/>
    <col min="36" max="36" width="18.42578125" bestFit="1" customWidth="1"/>
    <col min="37" max="37" width="29.85546875" bestFit="1" customWidth="1"/>
    <col min="38" max="38" width="255.7109375" style="8" bestFit="1" customWidth="1"/>
  </cols>
  <sheetData>
    <row r="1" spans="1:38" ht="28.5" x14ac:dyDescent="0.25">
      <c r="A1" s="198" t="s">
        <v>2085</v>
      </c>
      <c r="B1" s="198" t="s">
        <v>2022</v>
      </c>
      <c r="C1" s="198" t="s">
        <v>947</v>
      </c>
      <c r="D1" s="198" t="s">
        <v>948</v>
      </c>
      <c r="E1" s="198" t="s">
        <v>2086</v>
      </c>
      <c r="F1" s="186" t="s">
        <v>2087</v>
      </c>
      <c r="G1" s="199" t="s">
        <v>2088</v>
      </c>
      <c r="H1" s="198" t="s">
        <v>2023</v>
      </c>
      <c r="I1" s="198" t="s">
        <v>2089</v>
      </c>
      <c r="J1" s="198" t="s">
        <v>2090</v>
      </c>
      <c r="K1" s="198" t="s">
        <v>2091</v>
      </c>
      <c r="L1" s="198" t="s">
        <v>2092</v>
      </c>
      <c r="M1" s="186" t="s">
        <v>2093</v>
      </c>
      <c r="N1" s="186" t="s">
        <v>2094</v>
      </c>
      <c r="O1" s="186" t="s">
        <v>2095</v>
      </c>
      <c r="P1" s="186" t="s">
        <v>2096</v>
      </c>
      <c r="Q1" s="198" t="s">
        <v>2097</v>
      </c>
      <c r="R1" s="199" t="s">
        <v>2098</v>
      </c>
      <c r="S1" s="199" t="s">
        <v>2099</v>
      </c>
      <c r="T1" s="186" t="s">
        <v>2100</v>
      </c>
      <c r="U1" s="186" t="s">
        <v>2076</v>
      </c>
      <c r="V1" s="186" t="s">
        <v>2075</v>
      </c>
      <c r="W1" s="186" t="s">
        <v>2088</v>
      </c>
      <c r="X1" s="186" t="s">
        <v>2101</v>
      </c>
      <c r="Y1" s="186" t="s">
        <v>2026</v>
      </c>
      <c r="Z1" s="186" t="s">
        <v>2079</v>
      </c>
      <c r="AA1" s="200" t="s">
        <v>2102</v>
      </c>
      <c r="AB1" s="186" t="s">
        <v>2103</v>
      </c>
      <c r="AC1" s="186" t="s">
        <v>2104</v>
      </c>
      <c r="AD1" s="186" t="s">
        <v>2105</v>
      </c>
      <c r="AE1" s="186" t="s">
        <v>2106</v>
      </c>
      <c r="AF1" s="186" t="s">
        <v>2107</v>
      </c>
      <c r="AG1" s="199" t="s">
        <v>2108</v>
      </c>
      <c r="AH1" s="199" t="s">
        <v>2109</v>
      </c>
      <c r="AI1" s="199" t="s">
        <v>2110</v>
      </c>
      <c r="AJ1" s="199" t="s">
        <v>2112</v>
      </c>
      <c r="AK1" s="198" t="s">
        <v>2111</v>
      </c>
      <c r="AL1" s="197" t="s">
        <v>2027</v>
      </c>
    </row>
    <row r="2" spans="1:38" x14ac:dyDescent="0.25">
      <c r="A2" t="s">
        <v>61</v>
      </c>
      <c r="B2" t="s">
        <v>955</v>
      </c>
      <c r="C2" t="str">
        <f>VLOOKUP(B2,[1]Plantings!$A$2:$C$285,2,FALSE)</f>
        <v>AMS_shallow</v>
      </c>
      <c r="D2" t="str">
        <f>VLOOKUP(B2,[1]Plantings!$A$2:$C$285,3,FALSE)</f>
        <v>single</v>
      </c>
      <c r="E2">
        <v>2013</v>
      </c>
      <c r="F2" t="s">
        <v>956</v>
      </c>
      <c r="G2" t="s">
        <v>7</v>
      </c>
      <c r="H2" t="s">
        <v>670</v>
      </c>
      <c r="I2" t="s">
        <v>957</v>
      </c>
      <c r="J2" t="s">
        <v>958</v>
      </c>
      <c r="K2" t="s">
        <v>959</v>
      </c>
      <c r="L2" t="s">
        <v>960</v>
      </c>
      <c r="M2" t="s">
        <v>961</v>
      </c>
      <c r="N2" t="s">
        <v>962</v>
      </c>
      <c r="O2" t="s">
        <v>963</v>
      </c>
      <c r="P2" t="s">
        <v>964</v>
      </c>
      <c r="Q2" t="s">
        <v>965</v>
      </c>
      <c r="R2" t="s">
        <v>966</v>
      </c>
      <c r="S2" t="s">
        <v>966</v>
      </c>
      <c r="T2" s="42">
        <v>41431</v>
      </c>
      <c r="U2" s="43">
        <v>47.160600000000002</v>
      </c>
      <c r="V2" s="43">
        <v>-122.72776666666667</v>
      </c>
      <c r="W2" t="str">
        <f>VLOOKUP(B2,[1]Plantings!$A$2:$E$285,4,FALSE)</f>
        <v>point</v>
      </c>
      <c r="X2" s="43" t="str">
        <f>VLOOKUP(B2,[1]Plantings!$A$2:$E$285,5,FALSE)</f>
        <v>retain</v>
      </c>
      <c r="Y2" s="8" t="s">
        <v>9</v>
      </c>
      <c r="Z2" s="44">
        <v>-0.91439999999999999</v>
      </c>
      <c r="AA2" s="45" t="s">
        <v>967</v>
      </c>
      <c r="AB2">
        <v>6</v>
      </c>
      <c r="AC2">
        <v>6</v>
      </c>
      <c r="AD2">
        <f t="shared" ref="AD2:AD7" si="0">AB2*AC2</f>
        <v>36</v>
      </c>
      <c r="AE2">
        <v>36</v>
      </c>
      <c r="AF2" s="46">
        <f t="shared" ref="AF2:AF22" si="1">IF(AA2="staple",AG2*0.005,IF(AA2="rebar",AG2*0.025,IF(AA2="burlap",AG2*0.0625,IF(AA2="washer",AG2*0.0025,IF(AA2="pucks",AG2*0.00785,IF(AA2="turf",AG2*0.01,IF(AA2="","")))))))</f>
        <v>0.9</v>
      </c>
      <c r="AG2" s="47">
        <f>AH2/4</f>
        <v>180</v>
      </c>
      <c r="AH2" s="47">
        <v>720</v>
      </c>
      <c r="AI2" s="45"/>
      <c r="AJ2" s="45">
        <f t="shared" ref="AJ2:AJ65" si="2">IFERROR(AH2/AE2, "")</f>
        <v>20</v>
      </c>
      <c r="AK2" t="s">
        <v>968</v>
      </c>
    </row>
    <row r="3" spans="1:38" x14ac:dyDescent="0.25">
      <c r="A3" t="s">
        <v>61</v>
      </c>
      <c r="B3" t="s">
        <v>969</v>
      </c>
      <c r="C3" t="str">
        <f>VLOOKUP(B3,[1]Plantings!$A$2:$C$285,2,FALSE)</f>
        <v>AMS_deep</v>
      </c>
      <c r="D3" t="str">
        <f>VLOOKUP(B3,[1]Plantings!$A$2:$C$285,3,FALSE)</f>
        <v>single</v>
      </c>
      <c r="E3">
        <v>2013</v>
      </c>
      <c r="F3" t="s">
        <v>956</v>
      </c>
      <c r="G3" t="s">
        <v>7</v>
      </c>
      <c r="H3" t="s">
        <v>670</v>
      </c>
      <c r="I3" t="s">
        <v>957</v>
      </c>
      <c r="J3" t="s">
        <v>958</v>
      </c>
      <c r="K3" t="s">
        <v>959</v>
      </c>
      <c r="L3" t="s">
        <v>960</v>
      </c>
      <c r="M3" t="s">
        <v>961</v>
      </c>
      <c r="N3" t="s">
        <v>962</v>
      </c>
      <c r="O3" t="s">
        <v>963</v>
      </c>
      <c r="P3" t="s">
        <v>964</v>
      </c>
      <c r="Q3" t="s">
        <v>965</v>
      </c>
      <c r="R3" t="s">
        <v>966</v>
      </c>
      <c r="S3" t="s">
        <v>966</v>
      </c>
      <c r="T3" s="42">
        <v>41431</v>
      </c>
      <c r="U3" s="43">
        <v>47.160683333333331</v>
      </c>
      <c r="V3" s="43">
        <v>-122.72781666666667</v>
      </c>
      <c r="W3" t="str">
        <f>VLOOKUP(B3,[1]Plantings!$A$2:$E$285,4,FALSE)</f>
        <v>point</v>
      </c>
      <c r="X3" s="43" t="str">
        <f>VLOOKUP(B3,[1]Plantings!$A$2:$E$285,5,FALSE)</f>
        <v>retain</v>
      </c>
      <c r="Y3" s="48" t="s">
        <v>9</v>
      </c>
      <c r="Z3" s="44">
        <v>-1.524</v>
      </c>
      <c r="AA3" s="45" t="s">
        <v>967</v>
      </c>
      <c r="AB3">
        <v>6</v>
      </c>
      <c r="AC3">
        <v>6</v>
      </c>
      <c r="AD3">
        <f t="shared" si="0"/>
        <v>36</v>
      </c>
      <c r="AE3">
        <v>36</v>
      </c>
      <c r="AF3" s="46">
        <f t="shared" si="1"/>
        <v>0.9</v>
      </c>
      <c r="AG3" s="47">
        <f>AH3/4</f>
        <v>180</v>
      </c>
      <c r="AH3" s="47">
        <v>720</v>
      </c>
      <c r="AI3" s="45">
        <f t="shared" ref="AI3:AI65" si="3">IFERROR(AH3/AD3, "")</f>
        <v>20</v>
      </c>
      <c r="AJ3" s="45">
        <f t="shared" si="2"/>
        <v>20</v>
      </c>
      <c r="AK3" t="s">
        <v>968</v>
      </c>
    </row>
    <row r="4" spans="1:38" s="10" customFormat="1" x14ac:dyDescent="0.25">
      <c r="A4" t="s">
        <v>61</v>
      </c>
      <c r="B4" t="s">
        <v>970</v>
      </c>
      <c r="C4" t="str">
        <f>VLOOKUP(B4,[1]Plantings!$A$2:$C$285,2,FALSE)</f>
        <v>AND_west1</v>
      </c>
      <c r="D4" t="str">
        <f>VLOOKUP(B4,[1]Plantings!$A$2:$C$285,3,FALSE)</f>
        <v>single</v>
      </c>
      <c r="E4">
        <v>2015</v>
      </c>
      <c r="F4" t="s">
        <v>956</v>
      </c>
      <c r="G4" t="s">
        <v>7</v>
      </c>
      <c r="H4" t="s">
        <v>670</v>
      </c>
      <c r="I4" t="s">
        <v>957</v>
      </c>
      <c r="J4" t="s">
        <v>123</v>
      </c>
      <c r="K4" t="s">
        <v>971</v>
      </c>
      <c r="L4" t="s">
        <v>972</v>
      </c>
      <c r="M4"/>
      <c r="N4"/>
      <c r="O4" t="s">
        <v>963</v>
      </c>
      <c r="P4" t="s">
        <v>973</v>
      </c>
      <c r="Q4" t="s">
        <v>974</v>
      </c>
      <c r="R4" t="s">
        <v>966</v>
      </c>
      <c r="S4" t="s">
        <v>966</v>
      </c>
      <c r="T4" s="42">
        <v>42062</v>
      </c>
      <c r="U4" s="49">
        <v>47.170783333333333</v>
      </c>
      <c r="V4" s="49">
        <v>-122.72888333333333</v>
      </c>
      <c r="W4" t="str">
        <f>VLOOKUP(B4,[1]Plantings!$A$2:$E$285,4,FALSE)</f>
        <v>point</v>
      </c>
      <c r="X4" s="43" t="str">
        <f>VLOOKUP(B4,[1]Plantings!$A$2:$E$285,5,FALSE)</f>
        <v>retain</v>
      </c>
      <c r="Y4" s="48" t="s">
        <v>9</v>
      </c>
      <c r="Z4" s="44">
        <v>-0.8</v>
      </c>
      <c r="AA4" s="45" t="s">
        <v>967</v>
      </c>
      <c r="AB4">
        <v>5</v>
      </c>
      <c r="AC4">
        <v>5</v>
      </c>
      <c r="AD4">
        <f t="shared" si="0"/>
        <v>25</v>
      </c>
      <c r="AE4" s="45">
        <v>25</v>
      </c>
      <c r="AF4" s="46">
        <f t="shared" si="1"/>
        <v>0.625</v>
      </c>
      <c r="AG4" s="47">
        <f>AH4/4</f>
        <v>125</v>
      </c>
      <c r="AH4" s="47">
        <v>500</v>
      </c>
      <c r="AI4" s="45">
        <f t="shared" si="3"/>
        <v>20</v>
      </c>
      <c r="AJ4" s="45">
        <f t="shared" si="2"/>
        <v>20</v>
      </c>
      <c r="AK4" t="s">
        <v>975</v>
      </c>
      <c r="AL4" s="8"/>
    </row>
    <row r="5" spans="1:38" x14ac:dyDescent="0.25">
      <c r="A5" t="s">
        <v>61</v>
      </c>
      <c r="B5" s="9" t="s">
        <v>976</v>
      </c>
      <c r="C5" t="str">
        <f>VLOOKUP(B5,[1]Plantings!$A$2:$C$285,2,FALSE)</f>
        <v>AND_west2</v>
      </c>
      <c r="D5" t="str">
        <f>VLOOKUP(B5,[1]Plantings!$A$2:$C$285,3,FALSE)</f>
        <v>single</v>
      </c>
      <c r="E5" s="9">
        <v>2016</v>
      </c>
      <c r="F5" t="s">
        <v>956</v>
      </c>
      <c r="G5" s="9" t="s">
        <v>7</v>
      </c>
      <c r="H5" s="9" t="s">
        <v>977</v>
      </c>
      <c r="I5" t="s">
        <v>957</v>
      </c>
      <c r="J5" s="9" t="s">
        <v>349</v>
      </c>
      <c r="K5" s="9" t="s">
        <v>978</v>
      </c>
      <c r="L5" s="9" t="s">
        <v>978</v>
      </c>
      <c r="M5" s="18" t="s">
        <v>979</v>
      </c>
      <c r="N5" s="9" t="s">
        <v>980</v>
      </c>
      <c r="O5" s="9" t="s">
        <v>963</v>
      </c>
      <c r="P5" s="9" t="s">
        <v>981</v>
      </c>
      <c r="R5" s="9" t="s">
        <v>966</v>
      </c>
      <c r="S5" s="9" t="s">
        <v>966</v>
      </c>
      <c r="T5" s="42">
        <v>42633</v>
      </c>
      <c r="U5" s="50">
        <v>47.17093333333333</v>
      </c>
      <c r="V5" s="50">
        <v>-122.72905</v>
      </c>
      <c r="W5" t="str">
        <f>VLOOKUP(B5,[1]Plantings!$A$2:$E$285,4,FALSE)</f>
        <v>point</v>
      </c>
      <c r="X5" s="43" t="str">
        <f>VLOOKUP(B5,[1]Plantings!$A$2:$E$285,5,FALSE)</f>
        <v>retain</v>
      </c>
      <c r="Y5" s="48" t="s">
        <v>9</v>
      </c>
      <c r="Z5" s="44">
        <v>-1.7</v>
      </c>
      <c r="AA5" t="s">
        <v>982</v>
      </c>
      <c r="AB5">
        <v>2.5</v>
      </c>
      <c r="AC5">
        <v>2.5</v>
      </c>
      <c r="AD5">
        <f t="shared" si="0"/>
        <v>6.25</v>
      </c>
      <c r="AE5">
        <f>AG5*0.25</f>
        <v>5</v>
      </c>
      <c r="AF5" s="46">
        <f t="shared" si="1"/>
        <v>0.5</v>
      </c>
      <c r="AG5" s="47">
        <v>20</v>
      </c>
      <c r="AH5" s="47">
        <v>500</v>
      </c>
      <c r="AI5" s="45">
        <f t="shared" si="3"/>
        <v>80</v>
      </c>
      <c r="AJ5" s="45">
        <f t="shared" si="2"/>
        <v>100</v>
      </c>
      <c r="AK5" t="s">
        <v>983</v>
      </c>
      <c r="AL5" s="51"/>
    </row>
    <row r="6" spans="1:38" x14ac:dyDescent="0.25">
      <c r="A6" t="s">
        <v>61</v>
      </c>
      <c r="B6" s="9" t="s">
        <v>984</v>
      </c>
      <c r="C6" t="str">
        <f>VLOOKUP(B6,[1]Plantings!$A$2:$C$285,2,FALSE)</f>
        <v>AND_south1</v>
      </c>
      <c r="D6" t="str">
        <f>VLOOKUP(B6,[1]Plantings!$A$2:$C$285,3,FALSE)</f>
        <v>single</v>
      </c>
      <c r="E6" s="9">
        <v>2016</v>
      </c>
      <c r="F6" t="s">
        <v>956</v>
      </c>
      <c r="G6" s="9" t="s">
        <v>7</v>
      </c>
      <c r="H6" s="9" t="s">
        <v>977</v>
      </c>
      <c r="I6" t="s">
        <v>957</v>
      </c>
      <c r="J6" s="9" t="s">
        <v>349</v>
      </c>
      <c r="K6" s="9" t="s">
        <v>978</v>
      </c>
      <c r="L6" s="9" t="s">
        <v>978</v>
      </c>
      <c r="M6" s="18" t="s">
        <v>979</v>
      </c>
      <c r="N6" s="9" t="s">
        <v>980</v>
      </c>
      <c r="O6" s="9" t="s">
        <v>963</v>
      </c>
      <c r="P6" s="9" t="s">
        <v>981</v>
      </c>
      <c r="Q6" s="9"/>
      <c r="R6" s="9" t="s">
        <v>966</v>
      </c>
      <c r="S6" s="9" t="s">
        <v>966</v>
      </c>
      <c r="T6" s="42">
        <v>42633</v>
      </c>
      <c r="U6" s="201">
        <v>47.132633329999997</v>
      </c>
      <c r="V6" s="201">
        <v>-122.7181167</v>
      </c>
      <c r="W6" t="str">
        <f>VLOOKUP(B6,[1]Plantings!$A$2:$E$285,4,FALSE)</f>
        <v>point</v>
      </c>
      <c r="X6" s="43" t="str">
        <f>VLOOKUP(B6,[1]Plantings!$A$2:$E$285,5,FALSE)</f>
        <v>retain</v>
      </c>
      <c r="Y6" s="48" t="s">
        <v>9</v>
      </c>
      <c r="Z6" s="44">
        <v>-1.9</v>
      </c>
      <c r="AA6" t="s">
        <v>982</v>
      </c>
      <c r="AB6">
        <v>2.5</v>
      </c>
      <c r="AC6">
        <v>2.5</v>
      </c>
      <c r="AD6">
        <f t="shared" si="0"/>
        <v>6.25</v>
      </c>
      <c r="AE6">
        <f>AG6*0.25</f>
        <v>5</v>
      </c>
      <c r="AF6" s="46">
        <f t="shared" si="1"/>
        <v>0.5</v>
      </c>
      <c r="AG6" s="47">
        <v>20</v>
      </c>
      <c r="AH6" s="47">
        <v>500</v>
      </c>
      <c r="AI6" s="45">
        <f t="shared" si="3"/>
        <v>80</v>
      </c>
      <c r="AJ6" s="45">
        <f t="shared" si="2"/>
        <v>100</v>
      </c>
      <c r="AK6" t="s">
        <v>983</v>
      </c>
      <c r="AL6" s="51" t="s">
        <v>985</v>
      </c>
    </row>
    <row r="7" spans="1:38" x14ac:dyDescent="0.25">
      <c r="A7" t="s">
        <v>61</v>
      </c>
      <c r="B7" t="s">
        <v>986</v>
      </c>
      <c r="C7" t="str">
        <f>VLOOKUP(B7,[1]Plantings!$A$2:$C$285,2,FALSE)</f>
        <v>AND_west_L1</v>
      </c>
      <c r="D7" t="str">
        <f>VLOOKUP(B7,[1]Plantings!$A$2:$C$285,3,FALSE)</f>
        <v>single</v>
      </c>
      <c r="E7">
        <v>2017</v>
      </c>
      <c r="F7" t="s">
        <v>956</v>
      </c>
      <c r="G7" s="9" t="s">
        <v>987</v>
      </c>
      <c r="H7" t="s">
        <v>670</v>
      </c>
      <c r="I7" t="s">
        <v>957</v>
      </c>
      <c r="J7" t="s">
        <v>988</v>
      </c>
      <c r="K7" t="s">
        <v>959</v>
      </c>
      <c r="L7" t="s">
        <v>960</v>
      </c>
      <c r="M7" t="s">
        <v>989</v>
      </c>
      <c r="N7" t="s">
        <v>990</v>
      </c>
      <c r="O7" t="s">
        <v>991</v>
      </c>
      <c r="P7" t="s">
        <v>992</v>
      </c>
      <c r="Q7" t="s">
        <v>993</v>
      </c>
      <c r="R7" t="s">
        <v>966</v>
      </c>
      <c r="S7" t="s">
        <v>966</v>
      </c>
      <c r="T7" s="42">
        <v>42860</v>
      </c>
      <c r="U7" s="50">
        <v>47.181829999999998</v>
      </c>
      <c r="V7" s="50">
        <v>-122.71405</v>
      </c>
      <c r="W7" t="str">
        <f>VLOOKUP(B7,[1]Plantings!$A$2:$E$285,4,FALSE)</f>
        <v>line</v>
      </c>
      <c r="X7" s="43" t="str">
        <f>VLOOKUP(B7,[1]Plantings!$A$2:$E$285,5,FALSE)</f>
        <v>retain</v>
      </c>
      <c r="Y7" s="48" t="s">
        <v>9</v>
      </c>
      <c r="Z7" s="44">
        <v>-1.6</v>
      </c>
      <c r="AA7" t="s">
        <v>994</v>
      </c>
      <c r="AB7">
        <v>10</v>
      </c>
      <c r="AC7">
        <v>1</v>
      </c>
      <c r="AD7">
        <f t="shared" si="0"/>
        <v>10</v>
      </c>
      <c r="AE7">
        <v>6</v>
      </c>
      <c r="AF7" s="46">
        <f t="shared" si="1"/>
        <v>0.87</v>
      </c>
      <c r="AG7" s="47">
        <v>87</v>
      </c>
      <c r="AH7" s="47">
        <v>869</v>
      </c>
      <c r="AI7" s="45">
        <f t="shared" si="3"/>
        <v>86.9</v>
      </c>
      <c r="AJ7" s="45">
        <f t="shared" si="2"/>
        <v>144.83333333333334</v>
      </c>
      <c r="AK7" t="s">
        <v>995</v>
      </c>
      <c r="AL7" s="51" t="s">
        <v>996</v>
      </c>
    </row>
    <row r="8" spans="1:38" x14ac:dyDescent="0.25">
      <c r="A8" t="s">
        <v>61</v>
      </c>
      <c r="B8" t="s">
        <v>997</v>
      </c>
      <c r="C8" t="str">
        <f>VLOOKUP(B8,[1]Plantings!$A$2:$C$285,2,FALSE)</f>
        <v>AND_west_L1</v>
      </c>
      <c r="D8" t="str">
        <f>VLOOKUP(B8,[1]Plantings!$A$2:$C$285,3,FALSE)</f>
        <v>single</v>
      </c>
      <c r="E8">
        <v>2017</v>
      </c>
      <c r="F8" t="s">
        <v>956</v>
      </c>
      <c r="G8" s="9" t="s">
        <v>987</v>
      </c>
      <c r="H8" t="s">
        <v>670</v>
      </c>
      <c r="I8" t="s">
        <v>957</v>
      </c>
      <c r="J8" t="s">
        <v>988</v>
      </c>
      <c r="K8" t="s">
        <v>959</v>
      </c>
      <c r="L8" t="s">
        <v>960</v>
      </c>
      <c r="M8" t="s">
        <v>989</v>
      </c>
      <c r="N8" t="s">
        <v>990</v>
      </c>
      <c r="O8" t="s">
        <v>991</v>
      </c>
      <c r="P8" t="s">
        <v>992</v>
      </c>
      <c r="Q8" t="s">
        <v>993</v>
      </c>
      <c r="R8" t="s">
        <v>966</v>
      </c>
      <c r="S8" s="52" t="s">
        <v>998</v>
      </c>
      <c r="T8" s="42">
        <v>42860</v>
      </c>
      <c r="U8" s="50">
        <v>47.18186</v>
      </c>
      <c r="V8" s="50">
        <v>-122.71402999999999</v>
      </c>
      <c r="W8" t="str">
        <f>VLOOKUP(B8,[1]Plantings!$A$2:$E$285,4,FALSE)</f>
        <v>line</v>
      </c>
      <c r="X8" s="43" t="str">
        <f>VLOOKUP(B8,[1]Plantings!$A$2:$E$285,5,FALSE)</f>
        <v>retain</v>
      </c>
      <c r="Y8" s="48" t="s">
        <v>9</v>
      </c>
      <c r="AF8" s="46" t="str">
        <f t="shared" si="1"/>
        <v/>
      </c>
      <c r="AG8" s="47"/>
      <c r="AH8" s="47"/>
      <c r="AI8" s="45" t="str">
        <f t="shared" si="3"/>
        <v/>
      </c>
      <c r="AJ8" s="45" t="str">
        <f t="shared" si="2"/>
        <v/>
      </c>
      <c r="AL8" s="51"/>
    </row>
    <row r="9" spans="1:38" x14ac:dyDescent="0.25">
      <c r="A9" t="s">
        <v>61</v>
      </c>
      <c r="B9" t="s">
        <v>999</v>
      </c>
      <c r="C9" t="str">
        <f>VLOOKUP(B9,[1]Plantings!$A$2:$C$285,2,FALSE)</f>
        <v>AND_south_L1</v>
      </c>
      <c r="D9" t="str">
        <f>VLOOKUP(B9,[1]Plantings!$A$2:$C$285,3,FALSE)</f>
        <v>single</v>
      </c>
      <c r="E9">
        <v>2017</v>
      </c>
      <c r="F9" t="s">
        <v>956</v>
      </c>
      <c r="G9" s="9" t="s">
        <v>987</v>
      </c>
      <c r="H9" t="s">
        <v>670</v>
      </c>
      <c r="I9" t="s">
        <v>957</v>
      </c>
      <c r="J9" t="s">
        <v>988</v>
      </c>
      <c r="K9" t="s">
        <v>959</v>
      </c>
      <c r="L9" t="s">
        <v>960</v>
      </c>
      <c r="M9" t="s">
        <v>989</v>
      </c>
      <c r="N9" t="s">
        <v>990</v>
      </c>
      <c r="O9" t="s">
        <v>991</v>
      </c>
      <c r="P9" t="s">
        <v>992</v>
      </c>
      <c r="Q9" t="s">
        <v>993</v>
      </c>
      <c r="R9" t="s">
        <v>966</v>
      </c>
      <c r="S9" t="s">
        <v>966</v>
      </c>
      <c r="T9" s="42">
        <v>42860</v>
      </c>
      <c r="U9" s="50">
        <v>47.176900000000003</v>
      </c>
      <c r="V9" s="50">
        <v>-122.7251</v>
      </c>
      <c r="W9" t="str">
        <f>VLOOKUP(B9,[1]Plantings!$A$2:$E$285,4,FALSE)</f>
        <v>line</v>
      </c>
      <c r="X9" s="43" t="str">
        <f>VLOOKUP(B9,[1]Plantings!$A$2:$E$285,5,FALSE)</f>
        <v>retain</v>
      </c>
      <c r="Y9" s="48" t="s">
        <v>9</v>
      </c>
      <c r="Z9">
        <v>-1.6</v>
      </c>
      <c r="AA9" t="s">
        <v>994</v>
      </c>
      <c r="AB9">
        <v>10</v>
      </c>
      <c r="AC9">
        <v>1</v>
      </c>
      <c r="AD9">
        <f>AB9*AC9</f>
        <v>10</v>
      </c>
      <c r="AE9">
        <v>6</v>
      </c>
      <c r="AF9" s="46">
        <f t="shared" si="1"/>
        <v>0.87</v>
      </c>
      <c r="AG9" s="47">
        <v>87</v>
      </c>
      <c r="AH9" s="47">
        <v>869</v>
      </c>
      <c r="AI9" s="45">
        <f t="shared" si="3"/>
        <v>86.9</v>
      </c>
      <c r="AJ9" s="45">
        <f t="shared" si="2"/>
        <v>144.83333333333334</v>
      </c>
      <c r="AK9" t="s">
        <v>995</v>
      </c>
      <c r="AL9" s="51" t="s">
        <v>1000</v>
      </c>
    </row>
    <row r="10" spans="1:38" x14ac:dyDescent="0.25">
      <c r="A10" t="s">
        <v>61</v>
      </c>
      <c r="B10" t="s">
        <v>1001</v>
      </c>
      <c r="C10" t="str">
        <f>VLOOKUP(B10,[1]Plantings!$A$2:$C$285,2,FALSE)</f>
        <v>AND_south_L1</v>
      </c>
      <c r="D10" t="str">
        <f>VLOOKUP(B10,[1]Plantings!$A$2:$C$285,3,FALSE)</f>
        <v>single</v>
      </c>
      <c r="E10">
        <v>2017</v>
      </c>
      <c r="F10" t="s">
        <v>956</v>
      </c>
      <c r="G10" s="9" t="s">
        <v>987</v>
      </c>
      <c r="H10" t="s">
        <v>670</v>
      </c>
      <c r="I10" t="s">
        <v>957</v>
      </c>
      <c r="J10" t="s">
        <v>988</v>
      </c>
      <c r="K10" t="s">
        <v>959</v>
      </c>
      <c r="L10" t="s">
        <v>960</v>
      </c>
      <c r="M10" t="s">
        <v>989</v>
      </c>
      <c r="N10" t="s">
        <v>990</v>
      </c>
      <c r="O10" t="s">
        <v>991</v>
      </c>
      <c r="P10" t="s">
        <v>992</v>
      </c>
      <c r="Q10" t="s">
        <v>993</v>
      </c>
      <c r="R10" t="s">
        <v>966</v>
      </c>
      <c r="S10" s="52" t="s">
        <v>998</v>
      </c>
      <c r="T10" s="42">
        <v>42860</v>
      </c>
      <c r="U10" s="50">
        <v>47.176929999999999</v>
      </c>
      <c r="V10" s="50">
        <v>-122.72505</v>
      </c>
      <c r="W10" t="str">
        <f>VLOOKUP(B10,[1]Plantings!$A$2:$E$285,4,FALSE)</f>
        <v>line</v>
      </c>
      <c r="X10" s="43" t="str">
        <f>VLOOKUP(B10,[1]Plantings!$A$2:$E$285,5,FALSE)</f>
        <v>retain</v>
      </c>
      <c r="Y10" s="48" t="s">
        <v>9</v>
      </c>
      <c r="AF10" s="46" t="str">
        <f t="shared" si="1"/>
        <v/>
      </c>
      <c r="AG10" s="47"/>
      <c r="AH10" s="47"/>
      <c r="AI10" s="45" t="str">
        <f t="shared" si="3"/>
        <v/>
      </c>
      <c r="AJ10" s="45" t="str">
        <f t="shared" si="2"/>
        <v/>
      </c>
      <c r="AL10" s="51"/>
    </row>
    <row r="11" spans="1:38" x14ac:dyDescent="0.25">
      <c r="A11" t="s">
        <v>61</v>
      </c>
      <c r="B11" s="9" t="s">
        <v>1002</v>
      </c>
      <c r="C11" t="str">
        <f>VLOOKUP(B11,[1]Plantings!$A$2:$C$285,2,FALSE)</f>
        <v>AND_south_L2</v>
      </c>
      <c r="D11" t="str">
        <f>VLOOKUP(B11,[1]Plantings!$A$2:$C$285,3,FALSE)</f>
        <v>single</v>
      </c>
      <c r="E11" s="9">
        <v>2017</v>
      </c>
      <c r="F11" t="s">
        <v>956</v>
      </c>
      <c r="G11" t="s">
        <v>1003</v>
      </c>
      <c r="H11" s="9" t="s">
        <v>977</v>
      </c>
      <c r="I11" t="s">
        <v>957</v>
      </c>
      <c r="J11" t="s">
        <v>988</v>
      </c>
      <c r="K11" t="s">
        <v>959</v>
      </c>
      <c r="L11" t="s">
        <v>960</v>
      </c>
      <c r="M11" t="s">
        <v>989</v>
      </c>
      <c r="N11" t="s">
        <v>990</v>
      </c>
      <c r="O11" t="s">
        <v>991</v>
      </c>
      <c r="P11" t="s">
        <v>992</v>
      </c>
      <c r="Q11" t="s">
        <v>993</v>
      </c>
      <c r="R11" s="9" t="s">
        <v>1004</v>
      </c>
      <c r="S11" s="9" t="s">
        <v>1004</v>
      </c>
      <c r="T11" s="42">
        <v>42888</v>
      </c>
      <c r="U11" s="43">
        <v>47.138750000000002</v>
      </c>
      <c r="V11" s="201">
        <v>-122.725111</v>
      </c>
      <c r="W11" t="str">
        <f>VLOOKUP(B11,[1]Plantings!$A$2:$E$285,4,FALSE)</f>
        <v>line</v>
      </c>
      <c r="X11" s="43" t="str">
        <f>VLOOKUP(B11,[1]Plantings!$A$2:$E$285,5,FALSE)</f>
        <v>retain</v>
      </c>
      <c r="Y11" s="48" t="s">
        <v>9</v>
      </c>
      <c r="Z11">
        <v>-1.6</v>
      </c>
      <c r="AA11" t="s">
        <v>994</v>
      </c>
      <c r="AB11">
        <v>40</v>
      </c>
      <c r="AC11">
        <v>4</v>
      </c>
      <c r="AD11">
        <f>AB11*AC11</f>
        <v>160</v>
      </c>
      <c r="AE11">
        <v>155</v>
      </c>
      <c r="AF11" s="46">
        <f t="shared" si="1"/>
        <v>20.5</v>
      </c>
      <c r="AG11" s="47">
        <v>2050</v>
      </c>
      <c r="AH11" s="53">
        <v>20500</v>
      </c>
      <c r="AI11" s="45">
        <f t="shared" si="3"/>
        <v>128.125</v>
      </c>
      <c r="AJ11" s="45">
        <f t="shared" si="2"/>
        <v>132.25806451612902</v>
      </c>
      <c r="AK11" t="s">
        <v>995</v>
      </c>
      <c r="AL11" s="51" t="s">
        <v>1005</v>
      </c>
    </row>
    <row r="12" spans="1:38" x14ac:dyDescent="0.25">
      <c r="A12" t="s">
        <v>61</v>
      </c>
      <c r="B12" s="9" t="s">
        <v>1006</v>
      </c>
      <c r="C12" t="str">
        <f>VLOOKUP(B12,[1]Plantings!$A$2:$C$285,2,FALSE)</f>
        <v>AND_south_L2</v>
      </c>
      <c r="D12" t="str">
        <f>VLOOKUP(B12,[1]Plantings!$A$2:$C$285,3,FALSE)</f>
        <v>single</v>
      </c>
      <c r="E12" s="9">
        <v>2017</v>
      </c>
      <c r="F12" t="s">
        <v>956</v>
      </c>
      <c r="G12" t="s">
        <v>1003</v>
      </c>
      <c r="H12" s="9" t="s">
        <v>977</v>
      </c>
      <c r="I12" t="s">
        <v>957</v>
      </c>
      <c r="J12" t="s">
        <v>988</v>
      </c>
      <c r="K12" t="s">
        <v>959</v>
      </c>
      <c r="L12" t="s">
        <v>960</v>
      </c>
      <c r="M12" t="s">
        <v>989</v>
      </c>
      <c r="N12" t="s">
        <v>990</v>
      </c>
      <c r="O12" t="s">
        <v>991</v>
      </c>
      <c r="P12" t="s">
        <v>992</v>
      </c>
      <c r="Q12" t="s">
        <v>993</v>
      </c>
      <c r="R12" s="9" t="s">
        <v>1004</v>
      </c>
      <c r="S12" s="52" t="s">
        <v>998</v>
      </c>
      <c r="T12" s="42">
        <v>42888</v>
      </c>
      <c r="U12" s="43">
        <v>47.138916999999999</v>
      </c>
      <c r="V12" s="201">
        <v>-122.725556</v>
      </c>
      <c r="W12" t="str">
        <f>VLOOKUP(B12,[1]Plantings!$A$2:$E$285,4,FALSE)</f>
        <v>line</v>
      </c>
      <c r="X12" s="43" t="str">
        <f>VLOOKUP(B12,[1]Plantings!$A$2:$E$285,5,FALSE)</f>
        <v>retain</v>
      </c>
      <c r="Y12" s="48" t="s">
        <v>9</v>
      </c>
      <c r="AF12" s="46" t="str">
        <f t="shared" si="1"/>
        <v/>
      </c>
      <c r="AG12" s="47"/>
      <c r="AH12" s="47"/>
      <c r="AI12" s="45" t="str">
        <f t="shared" si="3"/>
        <v/>
      </c>
      <c r="AJ12" s="45" t="str">
        <f t="shared" si="2"/>
        <v/>
      </c>
      <c r="AL12" s="51"/>
    </row>
    <row r="13" spans="1:38" x14ac:dyDescent="0.25">
      <c r="A13" t="s">
        <v>61</v>
      </c>
      <c r="B13" s="9" t="s">
        <v>1007</v>
      </c>
      <c r="C13" t="str">
        <f>VLOOKUP(B13,[1]Plantings!$A$2:$C$285,2,FALSE)</f>
        <v>AND_south_L3</v>
      </c>
      <c r="D13" t="str">
        <f>VLOOKUP(B13,[1]Plantings!$A$2:$C$285,3,FALSE)</f>
        <v>single</v>
      </c>
      <c r="E13" s="9">
        <v>2017</v>
      </c>
      <c r="F13" t="s">
        <v>956</v>
      </c>
      <c r="G13" t="s">
        <v>1003</v>
      </c>
      <c r="H13" s="9" t="s">
        <v>977</v>
      </c>
      <c r="I13" t="s">
        <v>957</v>
      </c>
      <c r="J13" t="s">
        <v>988</v>
      </c>
      <c r="K13" t="s">
        <v>959</v>
      </c>
      <c r="L13" t="s">
        <v>960</v>
      </c>
      <c r="M13" t="s">
        <v>989</v>
      </c>
      <c r="N13" t="s">
        <v>990</v>
      </c>
      <c r="O13" t="s">
        <v>991</v>
      </c>
      <c r="P13" t="s">
        <v>992</v>
      </c>
      <c r="Q13" t="s">
        <v>993</v>
      </c>
      <c r="R13" s="9" t="s">
        <v>1004</v>
      </c>
      <c r="S13" s="9" t="s">
        <v>1004</v>
      </c>
      <c r="T13" s="42">
        <v>42890</v>
      </c>
      <c r="U13" s="43">
        <v>47.138249999999999</v>
      </c>
      <c r="V13" s="201">
        <v>-122.72369399999999</v>
      </c>
      <c r="W13" t="str">
        <f>VLOOKUP(B13,[1]Plantings!$A$2:$E$285,4,FALSE)</f>
        <v>line</v>
      </c>
      <c r="X13" s="43" t="str">
        <f>VLOOKUP(B13,[1]Plantings!$A$2:$E$285,5,FALSE)</f>
        <v>retain</v>
      </c>
      <c r="Y13" s="48" t="s">
        <v>9</v>
      </c>
      <c r="Z13">
        <v>-1.6</v>
      </c>
      <c r="AA13" t="s">
        <v>994</v>
      </c>
      <c r="AB13">
        <v>40</v>
      </c>
      <c r="AC13">
        <v>4</v>
      </c>
      <c r="AD13">
        <f>AB13*AC13</f>
        <v>160</v>
      </c>
      <c r="AE13">
        <v>160</v>
      </c>
      <c r="AF13" s="46">
        <f t="shared" si="1"/>
        <v>24.830000000000002</v>
      </c>
      <c r="AG13" s="47">
        <v>2483</v>
      </c>
      <c r="AH13" s="53">
        <v>24830</v>
      </c>
      <c r="AI13" s="45">
        <f t="shared" si="3"/>
        <v>155.1875</v>
      </c>
      <c r="AJ13" s="45">
        <f t="shared" si="2"/>
        <v>155.1875</v>
      </c>
      <c r="AK13" t="s">
        <v>995</v>
      </c>
      <c r="AL13" s="51" t="s">
        <v>1008</v>
      </c>
    </row>
    <row r="14" spans="1:38" x14ac:dyDescent="0.25">
      <c r="A14" t="s">
        <v>61</v>
      </c>
      <c r="B14" s="9" t="s">
        <v>1009</v>
      </c>
      <c r="C14" t="str">
        <f>VLOOKUP(B14,[1]Plantings!$A$2:$C$285,2,FALSE)</f>
        <v>AND_south_L3</v>
      </c>
      <c r="D14" t="str">
        <f>VLOOKUP(B14,[1]Plantings!$A$2:$C$285,3,FALSE)</f>
        <v>single</v>
      </c>
      <c r="E14" s="9">
        <v>2017</v>
      </c>
      <c r="F14" t="s">
        <v>956</v>
      </c>
      <c r="G14" t="s">
        <v>1003</v>
      </c>
      <c r="H14" s="9" t="s">
        <v>977</v>
      </c>
      <c r="I14" t="s">
        <v>957</v>
      </c>
      <c r="J14" t="s">
        <v>988</v>
      </c>
      <c r="K14" t="s">
        <v>959</v>
      </c>
      <c r="L14" t="s">
        <v>960</v>
      </c>
      <c r="M14" t="s">
        <v>989</v>
      </c>
      <c r="N14" t="s">
        <v>990</v>
      </c>
      <c r="O14" t="s">
        <v>991</v>
      </c>
      <c r="P14" t="s">
        <v>992</v>
      </c>
      <c r="Q14" t="s">
        <v>993</v>
      </c>
      <c r="R14" s="9" t="s">
        <v>1004</v>
      </c>
      <c r="S14" s="52" t="s">
        <v>998</v>
      </c>
      <c r="T14" s="42">
        <v>42890</v>
      </c>
      <c r="U14" s="43">
        <v>47.138444</v>
      </c>
      <c r="V14" s="201">
        <v>-122.72416699999999</v>
      </c>
      <c r="W14" t="str">
        <f>VLOOKUP(B14,[1]Plantings!$A$2:$E$285,4,FALSE)</f>
        <v>line</v>
      </c>
      <c r="X14" s="43" t="str">
        <f>VLOOKUP(B14,[1]Plantings!$A$2:$E$285,5,FALSE)</f>
        <v>retain</v>
      </c>
      <c r="Y14" s="48" t="s">
        <v>9</v>
      </c>
      <c r="AF14" s="46" t="str">
        <f t="shared" si="1"/>
        <v/>
      </c>
      <c r="AG14" s="47"/>
      <c r="AH14" s="47"/>
      <c r="AI14" s="45" t="str">
        <f t="shared" si="3"/>
        <v/>
      </c>
      <c r="AJ14" s="45" t="str">
        <f t="shared" si="2"/>
        <v/>
      </c>
      <c r="AL14" s="51"/>
    </row>
    <row r="15" spans="1:38" x14ac:dyDescent="0.25">
      <c r="A15" s="9" t="s">
        <v>61</v>
      </c>
      <c r="B15" s="9" t="s">
        <v>1010</v>
      </c>
      <c r="C15" t="str">
        <f>VLOOKUP(B15,[1]Plantings!$A$2:$C$285,2,FALSE)</f>
        <v>AND_south_L4</v>
      </c>
      <c r="D15" t="str">
        <f>VLOOKUP(B15,[1]Plantings!$A$2:$C$285,3,FALSE)</f>
        <v>single</v>
      </c>
      <c r="E15" s="9">
        <v>2017</v>
      </c>
      <c r="F15" s="9" t="s">
        <v>956</v>
      </c>
      <c r="G15" s="9" t="s">
        <v>987</v>
      </c>
      <c r="H15" s="9" t="s">
        <v>977</v>
      </c>
      <c r="I15" t="s">
        <v>957</v>
      </c>
      <c r="J15" s="9" t="s">
        <v>349</v>
      </c>
      <c r="K15" s="9" t="s">
        <v>978</v>
      </c>
      <c r="L15" s="9" t="s">
        <v>978</v>
      </c>
      <c r="M15" s="18" t="s">
        <v>979</v>
      </c>
      <c r="N15" s="9" t="s">
        <v>980</v>
      </c>
      <c r="O15" s="9" t="s">
        <v>963</v>
      </c>
      <c r="P15" s="9" t="s">
        <v>1011</v>
      </c>
      <c r="Q15" s="9"/>
      <c r="R15" s="9" t="s">
        <v>1004</v>
      </c>
      <c r="S15" s="9" t="s">
        <v>1004</v>
      </c>
      <c r="T15" s="3">
        <v>42955</v>
      </c>
      <c r="U15" s="49">
        <v>47.132633329999997</v>
      </c>
      <c r="V15" s="49">
        <v>-122.7181167</v>
      </c>
      <c r="W15" t="str">
        <f>VLOOKUP(B15,[1]Plantings!$A$2:$E$285,4,FALSE)</f>
        <v>line</v>
      </c>
      <c r="X15" s="43" t="str">
        <f>VLOOKUP(B15,[1]Plantings!$A$2:$E$285,5,FALSE)</f>
        <v>retain</v>
      </c>
      <c r="Y15" s="54" t="s">
        <v>9</v>
      </c>
      <c r="Z15" s="55">
        <v>-1.31064</v>
      </c>
      <c r="AA15" s="9" t="s">
        <v>982</v>
      </c>
      <c r="AB15" s="9">
        <v>30</v>
      </c>
      <c r="AC15" s="9">
        <v>5</v>
      </c>
      <c r="AD15">
        <f>AB15*AC15</f>
        <v>150</v>
      </c>
      <c r="AE15">
        <f>AG15*0.25</f>
        <v>105.25</v>
      </c>
      <c r="AF15" s="46">
        <f t="shared" si="1"/>
        <v>10.525</v>
      </c>
      <c r="AG15" s="56">
        <v>421</v>
      </c>
      <c r="AH15" s="57">
        <v>10525</v>
      </c>
      <c r="AI15" s="45">
        <f t="shared" si="3"/>
        <v>70.166666666666671</v>
      </c>
      <c r="AJ15" s="45">
        <f t="shared" si="2"/>
        <v>100</v>
      </c>
      <c r="AK15" s="9" t="s">
        <v>968</v>
      </c>
      <c r="AL15" s="58" t="s">
        <v>1012</v>
      </c>
    </row>
    <row r="16" spans="1:38" x14ac:dyDescent="0.25">
      <c r="A16" s="9" t="s">
        <v>61</v>
      </c>
      <c r="B16" s="9" t="s">
        <v>1010</v>
      </c>
      <c r="C16" t="str">
        <f>VLOOKUP(B16,[1]Plantings!$A$2:$C$285,2,FALSE)</f>
        <v>AND_south_L4</v>
      </c>
      <c r="D16" t="str">
        <f>VLOOKUP(B16,[1]Plantings!$A$2:$C$285,3,FALSE)</f>
        <v>single</v>
      </c>
      <c r="E16" s="9">
        <v>2017</v>
      </c>
      <c r="F16" s="9" t="s">
        <v>956</v>
      </c>
      <c r="G16" s="9" t="s">
        <v>987</v>
      </c>
      <c r="H16" s="9" t="s">
        <v>977</v>
      </c>
      <c r="I16" t="s">
        <v>957</v>
      </c>
      <c r="J16" s="9" t="s">
        <v>349</v>
      </c>
      <c r="K16" s="9" t="s">
        <v>978</v>
      </c>
      <c r="L16" s="9" t="s">
        <v>978</v>
      </c>
      <c r="M16" s="18" t="s">
        <v>979</v>
      </c>
      <c r="N16" s="9" t="s">
        <v>980</v>
      </c>
      <c r="O16" s="9" t="s">
        <v>963</v>
      </c>
      <c r="P16" s="9" t="s">
        <v>1011</v>
      </c>
      <c r="Q16" s="9"/>
      <c r="R16" s="9" t="s">
        <v>1004</v>
      </c>
      <c r="S16" s="52" t="s">
        <v>998</v>
      </c>
      <c r="T16" s="3">
        <v>42955</v>
      </c>
      <c r="U16" s="49">
        <v>47.132379999999998</v>
      </c>
      <c r="V16" s="49">
        <v>-122.71795</v>
      </c>
      <c r="W16" t="str">
        <f>VLOOKUP(B16,[1]Plantings!$A$2:$E$285,4,FALSE)</f>
        <v>line</v>
      </c>
      <c r="X16" s="43" t="str">
        <f>VLOOKUP(B16,[1]Plantings!$A$2:$E$285,5,FALSE)</f>
        <v>retain</v>
      </c>
      <c r="Y16" s="54" t="s">
        <v>9</v>
      </c>
      <c r="Z16" s="55"/>
      <c r="AA16" s="9"/>
      <c r="AB16" s="9"/>
      <c r="AC16" s="9"/>
      <c r="AE16" s="9"/>
      <c r="AF16" s="46" t="str">
        <f t="shared" si="1"/>
        <v/>
      </c>
      <c r="AG16" s="56"/>
      <c r="AH16" s="57"/>
      <c r="AI16" s="45" t="str">
        <f t="shared" si="3"/>
        <v/>
      </c>
      <c r="AJ16" s="45" t="str">
        <f t="shared" si="2"/>
        <v/>
      </c>
      <c r="AK16" s="9"/>
      <c r="AL16" s="58"/>
    </row>
    <row r="17" spans="1:38" x14ac:dyDescent="0.25">
      <c r="A17" t="s">
        <v>61</v>
      </c>
      <c r="B17" t="s">
        <v>1013</v>
      </c>
      <c r="C17" t="str">
        <f>VLOOKUP(B17,[1]Plantings!$A$2:$C$285,2,FALSE)</f>
        <v>AMS_deeper</v>
      </c>
      <c r="D17" t="str">
        <f>VLOOKUP(B17,[1]Plantings!$A$2:$C$285,3,FALSE)</f>
        <v>single</v>
      </c>
      <c r="E17" s="18">
        <v>2020</v>
      </c>
      <c r="F17" s="9" t="s">
        <v>956</v>
      </c>
      <c r="G17" t="s">
        <v>7</v>
      </c>
      <c r="H17" t="s">
        <v>670</v>
      </c>
      <c r="I17" t="s">
        <v>957</v>
      </c>
      <c r="J17" s="9" t="s">
        <v>1014</v>
      </c>
      <c r="K17" s="9" t="s">
        <v>978</v>
      </c>
      <c r="L17" s="9" t="s">
        <v>978</v>
      </c>
      <c r="M17" s="18" t="s">
        <v>979</v>
      </c>
      <c r="N17" s="9" t="s">
        <v>980</v>
      </c>
      <c r="O17" s="9" t="s">
        <v>963</v>
      </c>
      <c r="R17" s="9" t="s">
        <v>966</v>
      </c>
      <c r="S17" s="9" t="s">
        <v>966</v>
      </c>
      <c r="T17" s="59">
        <v>44012</v>
      </c>
      <c r="U17" s="43">
        <v>47.160375999999999</v>
      </c>
      <c r="V17" s="43">
        <v>-122.72771659999999</v>
      </c>
      <c r="W17" t="str">
        <f>VLOOKUP(B17,[1]Plantings!$A$2:$E$285,4,FALSE)</f>
        <v>point</v>
      </c>
      <c r="X17" s="43" t="str">
        <f>VLOOKUP(B17,[1]Plantings!$A$2:$E$285,5,FALSE)</f>
        <v>retain</v>
      </c>
      <c r="Y17" s="54" t="s">
        <v>9</v>
      </c>
      <c r="Z17" s="44">
        <v>-1.1000000000000001</v>
      </c>
      <c r="AA17" s="45" t="s">
        <v>982</v>
      </c>
      <c r="AB17">
        <v>2.5</v>
      </c>
      <c r="AC17">
        <v>2.5</v>
      </c>
      <c r="AD17">
        <f t="shared" ref="AD17:AD32" si="4">AB17*AC17</f>
        <v>6.25</v>
      </c>
      <c r="AE17">
        <f t="shared" ref="AE17:AE28" si="5">AG17*0.25</f>
        <v>4.75</v>
      </c>
      <c r="AF17" s="46">
        <f t="shared" si="1"/>
        <v>0.47500000000000003</v>
      </c>
      <c r="AG17">
        <v>19</v>
      </c>
      <c r="AH17">
        <v>475</v>
      </c>
      <c r="AI17" s="45">
        <f t="shared" si="3"/>
        <v>76</v>
      </c>
      <c r="AJ17" s="45">
        <f t="shared" si="2"/>
        <v>100</v>
      </c>
      <c r="AK17" t="s">
        <v>61</v>
      </c>
      <c r="AL17" s="8" t="s">
        <v>1015</v>
      </c>
    </row>
    <row r="18" spans="1:38" x14ac:dyDescent="0.25">
      <c r="A18" t="s">
        <v>61</v>
      </c>
      <c r="B18" t="s">
        <v>1016</v>
      </c>
      <c r="C18" t="str">
        <f>VLOOKUP(B18,[1]Plantings!$A$2:$C$285,2,FALSE)</f>
        <v>AND_west3</v>
      </c>
      <c r="D18" t="str">
        <f>VLOOKUP(B18,[1]Plantings!$A$2:$C$285,3,FALSE)</f>
        <v>single</v>
      </c>
      <c r="E18" s="18">
        <v>2020</v>
      </c>
      <c r="F18" s="9" t="s">
        <v>956</v>
      </c>
      <c r="G18" t="s">
        <v>7</v>
      </c>
      <c r="H18" t="s">
        <v>670</v>
      </c>
      <c r="I18" t="s">
        <v>957</v>
      </c>
      <c r="J18" s="9" t="s">
        <v>1014</v>
      </c>
      <c r="K18" s="9" t="s">
        <v>978</v>
      </c>
      <c r="L18" s="9" t="s">
        <v>978</v>
      </c>
      <c r="M18" s="18" t="s">
        <v>979</v>
      </c>
      <c r="N18" s="9" t="s">
        <v>980</v>
      </c>
      <c r="O18" s="9" t="s">
        <v>963</v>
      </c>
      <c r="R18" s="9" t="s">
        <v>966</v>
      </c>
      <c r="S18" s="9" t="s">
        <v>966</v>
      </c>
      <c r="T18" s="59">
        <v>44013</v>
      </c>
      <c r="U18" s="43">
        <v>47.172138166000003</v>
      </c>
      <c r="V18" s="43">
        <v>-122.7279458</v>
      </c>
      <c r="W18" t="str">
        <f>VLOOKUP(B18,[1]Plantings!$A$2:$E$285,4,FALSE)</f>
        <v>point</v>
      </c>
      <c r="X18" s="43" t="str">
        <f>VLOOKUP(B18,[1]Plantings!$A$2:$E$285,5,FALSE)</f>
        <v>retain</v>
      </c>
      <c r="Y18" s="54" t="s">
        <v>9</v>
      </c>
      <c r="Z18" s="44">
        <v>-1.2</v>
      </c>
      <c r="AA18" s="45" t="s">
        <v>982</v>
      </c>
      <c r="AB18">
        <v>3</v>
      </c>
      <c r="AC18">
        <v>2.5</v>
      </c>
      <c r="AD18">
        <f t="shared" si="4"/>
        <v>7.5</v>
      </c>
      <c r="AE18">
        <f t="shared" si="5"/>
        <v>6.25</v>
      </c>
      <c r="AF18" s="46">
        <f t="shared" si="1"/>
        <v>0.625</v>
      </c>
      <c r="AG18">
        <v>25</v>
      </c>
      <c r="AH18">
        <v>625</v>
      </c>
      <c r="AI18" s="45">
        <f t="shared" si="3"/>
        <v>83.333333333333329</v>
      </c>
      <c r="AJ18" s="45">
        <f t="shared" si="2"/>
        <v>100</v>
      </c>
      <c r="AK18" t="s">
        <v>61</v>
      </c>
      <c r="AL18" s="8" t="s">
        <v>1017</v>
      </c>
    </row>
    <row r="19" spans="1:38" x14ac:dyDescent="0.25">
      <c r="A19" t="s">
        <v>61</v>
      </c>
      <c r="B19" t="s">
        <v>1018</v>
      </c>
      <c r="C19" t="str">
        <f>VLOOKUP(B19,[1]Plantings!$A$2:$C$285,2,FALSE)</f>
        <v>AND_nw1</v>
      </c>
      <c r="D19" t="str">
        <f>VLOOKUP(B19,[1]Plantings!$A$2:$C$285,3,FALSE)</f>
        <v>single</v>
      </c>
      <c r="E19" s="18">
        <v>2020</v>
      </c>
      <c r="F19" s="9" t="s">
        <v>956</v>
      </c>
      <c r="G19" t="s">
        <v>7</v>
      </c>
      <c r="H19" t="s">
        <v>670</v>
      </c>
      <c r="I19" t="s">
        <v>957</v>
      </c>
      <c r="J19" s="9" t="s">
        <v>1014</v>
      </c>
      <c r="K19" s="9" t="s">
        <v>978</v>
      </c>
      <c r="L19" s="9" t="s">
        <v>978</v>
      </c>
      <c r="M19" s="18" t="s">
        <v>979</v>
      </c>
      <c r="N19" s="9" t="s">
        <v>980</v>
      </c>
      <c r="O19" s="9" t="s">
        <v>963</v>
      </c>
      <c r="R19" s="9" t="s">
        <v>966</v>
      </c>
      <c r="S19" s="9" t="s">
        <v>966</v>
      </c>
      <c r="T19" s="59">
        <v>44012</v>
      </c>
      <c r="U19" s="43">
        <v>47.182099999999998</v>
      </c>
      <c r="V19" s="43">
        <v>-122.71379159999999</v>
      </c>
      <c r="W19" t="str">
        <f>VLOOKUP(B19,[1]Plantings!$A$2:$E$285,4,FALSE)</f>
        <v>point</v>
      </c>
      <c r="X19" s="43" t="str">
        <f>VLOOKUP(B19,[1]Plantings!$A$2:$E$285,5,FALSE)</f>
        <v>retain</v>
      </c>
      <c r="Y19" s="54" t="s">
        <v>9</v>
      </c>
      <c r="Z19" s="44">
        <v>-1.3</v>
      </c>
      <c r="AA19" s="45" t="s">
        <v>982</v>
      </c>
      <c r="AB19">
        <v>2.5</v>
      </c>
      <c r="AC19">
        <v>2.5</v>
      </c>
      <c r="AD19">
        <f t="shared" si="4"/>
        <v>6.25</v>
      </c>
      <c r="AE19">
        <f t="shared" si="5"/>
        <v>5</v>
      </c>
      <c r="AF19" s="46">
        <f t="shared" si="1"/>
        <v>0.5</v>
      </c>
      <c r="AG19">
        <v>20</v>
      </c>
      <c r="AH19">
        <v>500</v>
      </c>
      <c r="AI19" s="45">
        <f t="shared" si="3"/>
        <v>80</v>
      </c>
      <c r="AJ19" s="45">
        <f t="shared" si="2"/>
        <v>100</v>
      </c>
      <c r="AK19" t="s">
        <v>61</v>
      </c>
      <c r="AL19" s="8" t="s">
        <v>1019</v>
      </c>
    </row>
    <row r="20" spans="1:38" x14ac:dyDescent="0.25">
      <c r="A20" t="s">
        <v>61</v>
      </c>
      <c r="B20" s="9" t="s">
        <v>1020</v>
      </c>
      <c r="C20" t="str">
        <f>VLOOKUP(B20,[1]Plantings!$A$2:$C$285,2,FALSE)</f>
        <v>AND_west4</v>
      </c>
      <c r="D20" t="str">
        <f>VLOOKUP(B20,[1]Plantings!$A$2:$C$285,3,FALSE)</f>
        <v>single</v>
      </c>
      <c r="E20" s="18">
        <v>2021</v>
      </c>
      <c r="F20" s="9"/>
      <c r="J20" s="9"/>
      <c r="K20" s="9"/>
      <c r="L20" s="9"/>
      <c r="M20" s="18"/>
      <c r="N20" s="9"/>
      <c r="O20" s="9"/>
      <c r="R20" s="9" t="s">
        <v>966</v>
      </c>
      <c r="S20" s="9" t="s">
        <v>966</v>
      </c>
      <c r="T20" s="59">
        <v>44369</v>
      </c>
      <c r="U20" s="43"/>
      <c r="V20" s="43"/>
      <c r="W20" t="str">
        <f>VLOOKUP(B20,[1]Plantings!$A$2:$E$285,4,FALSE)</f>
        <v>point</v>
      </c>
      <c r="X20" s="43" t="str">
        <f>VLOOKUP(B20,[1]Plantings!$A$2:$E$285,5,FALSE)</f>
        <v>retain</v>
      </c>
      <c r="Y20" s="54" t="s">
        <v>9</v>
      </c>
      <c r="Z20" s="44">
        <v>-1.5</v>
      </c>
      <c r="AA20" s="45" t="s">
        <v>982</v>
      </c>
      <c r="AB20">
        <v>3.5</v>
      </c>
      <c r="AC20">
        <v>0.5</v>
      </c>
      <c r="AD20">
        <f t="shared" si="4"/>
        <v>1.75</v>
      </c>
      <c r="AE20">
        <f t="shared" si="5"/>
        <v>2.25</v>
      </c>
      <c r="AF20" s="46">
        <f t="shared" si="1"/>
        <v>0.22500000000000001</v>
      </c>
      <c r="AG20">
        <v>9</v>
      </c>
      <c r="AH20">
        <v>135</v>
      </c>
      <c r="AI20" s="45">
        <f t="shared" si="3"/>
        <v>77.142857142857139</v>
      </c>
      <c r="AJ20" s="45">
        <f t="shared" si="2"/>
        <v>60</v>
      </c>
      <c r="AK20" t="s">
        <v>1021</v>
      </c>
    </row>
    <row r="21" spans="1:38" x14ac:dyDescent="0.25">
      <c r="A21" t="s">
        <v>61</v>
      </c>
      <c r="B21" s="9" t="s">
        <v>1022</v>
      </c>
      <c r="C21" t="str">
        <f>VLOOKUP(B21,[1]Plantings!$A$2:$C$285,2,FALSE)</f>
        <v>AND_west5</v>
      </c>
      <c r="D21" t="str">
        <f>VLOOKUP(B21,[1]Plantings!$A$2:$C$285,3,FALSE)</f>
        <v>single</v>
      </c>
      <c r="E21" s="18">
        <v>2021</v>
      </c>
      <c r="F21" s="9"/>
      <c r="J21" s="9"/>
      <c r="K21" s="9"/>
      <c r="L21" s="9"/>
      <c r="M21" s="18"/>
      <c r="N21" s="9"/>
      <c r="O21" s="9"/>
      <c r="R21" s="9" t="s">
        <v>966</v>
      </c>
      <c r="S21" s="9" t="s">
        <v>966</v>
      </c>
      <c r="T21" s="59">
        <v>44372</v>
      </c>
      <c r="U21" s="43"/>
      <c r="V21" s="43"/>
      <c r="W21" t="str">
        <f>VLOOKUP(B21,[1]Plantings!$A$2:$E$285,4,FALSE)</f>
        <v>point</v>
      </c>
      <c r="X21" s="43" t="str">
        <f>VLOOKUP(B21,[1]Plantings!$A$2:$E$285,5,FALSE)</f>
        <v>retain</v>
      </c>
      <c r="Y21" s="54" t="s">
        <v>9</v>
      </c>
      <c r="Z21" s="44">
        <v>-1.5</v>
      </c>
      <c r="AA21" s="45" t="s">
        <v>982</v>
      </c>
      <c r="AB21">
        <v>3.5</v>
      </c>
      <c r="AC21">
        <v>0.5</v>
      </c>
      <c r="AD21">
        <f t="shared" si="4"/>
        <v>1.75</v>
      </c>
      <c r="AE21">
        <f t="shared" si="5"/>
        <v>2.25</v>
      </c>
      <c r="AF21" s="46">
        <f t="shared" si="1"/>
        <v>0.22500000000000001</v>
      </c>
      <c r="AG21">
        <v>9</v>
      </c>
      <c r="AH21">
        <v>135</v>
      </c>
      <c r="AI21" s="45">
        <f t="shared" si="3"/>
        <v>77.142857142857139</v>
      </c>
      <c r="AJ21" s="45">
        <f t="shared" si="2"/>
        <v>60</v>
      </c>
      <c r="AK21" t="s">
        <v>1021</v>
      </c>
    </row>
    <row r="22" spans="1:38" x14ac:dyDescent="0.25">
      <c r="A22" t="s">
        <v>61</v>
      </c>
      <c r="B22" s="9" t="s">
        <v>1023</v>
      </c>
      <c r="C22" t="str">
        <f>VLOOKUP(B22,[1]Plantings!$A$2:$C$285,2,FALSE)</f>
        <v>AND_west6</v>
      </c>
      <c r="D22" t="str">
        <f>VLOOKUP(B22,[1]Plantings!$A$2:$C$285,3,FALSE)</f>
        <v>single</v>
      </c>
      <c r="E22" s="18">
        <v>2021</v>
      </c>
      <c r="F22" s="9"/>
      <c r="J22" s="9"/>
      <c r="K22" s="9"/>
      <c r="L22" s="9"/>
      <c r="M22" s="18"/>
      <c r="N22" s="9"/>
      <c r="O22" s="9"/>
      <c r="R22" s="9" t="s">
        <v>966</v>
      </c>
      <c r="S22" s="9" t="s">
        <v>966</v>
      </c>
      <c r="T22" s="59">
        <v>44372</v>
      </c>
      <c r="U22" s="43"/>
      <c r="V22" s="43"/>
      <c r="W22" t="str">
        <f>VLOOKUP(B22,[1]Plantings!$A$2:$E$285,4,FALSE)</f>
        <v>point</v>
      </c>
      <c r="X22" s="43" t="str">
        <f>VLOOKUP(B22,[1]Plantings!$A$2:$E$285,5,FALSE)</f>
        <v>retain</v>
      </c>
      <c r="Y22" s="54" t="s">
        <v>9</v>
      </c>
      <c r="Z22" s="44">
        <v>-1.5</v>
      </c>
      <c r="AA22" s="45" t="s">
        <v>982</v>
      </c>
      <c r="AB22">
        <v>3.5</v>
      </c>
      <c r="AC22">
        <v>0.5</v>
      </c>
      <c r="AD22">
        <f t="shared" si="4"/>
        <v>1.75</v>
      </c>
      <c r="AE22">
        <f t="shared" si="5"/>
        <v>2.25</v>
      </c>
      <c r="AF22" s="46">
        <f t="shared" si="1"/>
        <v>0.22500000000000001</v>
      </c>
      <c r="AG22">
        <v>9</v>
      </c>
      <c r="AH22">
        <v>135</v>
      </c>
      <c r="AI22" s="45">
        <f t="shared" si="3"/>
        <v>77.142857142857139</v>
      </c>
      <c r="AJ22" s="45">
        <f t="shared" si="2"/>
        <v>60</v>
      </c>
      <c r="AK22" t="s">
        <v>1021</v>
      </c>
    </row>
    <row r="23" spans="1:38" x14ac:dyDescent="0.25">
      <c r="A23" t="s">
        <v>61</v>
      </c>
      <c r="B23" t="s">
        <v>1024</v>
      </c>
      <c r="C23" t="str">
        <f>VLOOKUP(B23,[1]Plantings!$A$2:$C$285,2,FALSE)</f>
        <v>AND_se1</v>
      </c>
      <c r="D23" t="str">
        <f>VLOOKUP(B23,[1]Plantings!$A$2:$C$285,3,FALSE)</f>
        <v>single</v>
      </c>
      <c r="E23">
        <v>2023</v>
      </c>
      <c r="G23" t="s">
        <v>7</v>
      </c>
      <c r="H23" t="s">
        <v>301</v>
      </c>
      <c r="I23" t="s">
        <v>957</v>
      </c>
      <c r="R23" t="s">
        <v>966</v>
      </c>
      <c r="S23" t="s">
        <v>966</v>
      </c>
      <c r="T23" s="59">
        <v>45082</v>
      </c>
      <c r="U23">
        <v>47.141539999999999</v>
      </c>
      <c r="V23">
        <v>-122.73026</v>
      </c>
      <c r="W23" t="str">
        <f>VLOOKUP(B23,[1]Plantings!$A$2:$E$285,4,FALSE)</f>
        <v>point</v>
      </c>
      <c r="X23" s="43" t="str">
        <f>VLOOKUP(B23,[1]Plantings!$A$2:$E$285,5,FALSE)</f>
        <v>retain</v>
      </c>
      <c r="Y23" s="48" t="s">
        <v>9</v>
      </c>
      <c r="Z23" s="44">
        <v>-1.5</v>
      </c>
      <c r="AA23" s="45" t="s">
        <v>982</v>
      </c>
      <c r="AB23">
        <v>1.5</v>
      </c>
      <c r="AC23">
        <v>0.5</v>
      </c>
      <c r="AD23">
        <f t="shared" si="4"/>
        <v>0.75</v>
      </c>
      <c r="AE23">
        <f t="shared" si="5"/>
        <v>2.25</v>
      </c>
      <c r="AF23" s="46">
        <f>IF(AA23="staple",AG23*0.005,IF(AA23="rebar",AG23*0.025,IF(AA23="burlap",AG23*0.0625,IF(AA23="washer",AG23*0.0025,IF(AA23="pucks",AG23*0.00785,IF(AA23="turf",AG23*0.01,IF(AA23="TERFS",AG23*0.25,IF(AA23="",""))))))))</f>
        <v>0.22500000000000001</v>
      </c>
      <c r="AG23" s="47">
        <v>9</v>
      </c>
      <c r="AH23" s="60">
        <v>150</v>
      </c>
      <c r="AI23" s="45">
        <f t="shared" si="3"/>
        <v>200</v>
      </c>
      <c r="AJ23" s="45">
        <f t="shared" si="2"/>
        <v>66.666666666666671</v>
      </c>
      <c r="AK23" t="s">
        <v>1021</v>
      </c>
    </row>
    <row r="24" spans="1:38" x14ac:dyDescent="0.25">
      <c r="A24" t="s">
        <v>1025</v>
      </c>
      <c r="B24" t="s">
        <v>1026</v>
      </c>
      <c r="C24" t="str">
        <f>VLOOKUP(B24,[1]Plantings!$A$2:$C$285,2,FALSE)</f>
        <v>BB_test_1</v>
      </c>
      <c r="D24" t="str">
        <f>VLOOKUP(B24,[1]Plantings!$A$2:$C$285,3,FALSE)</f>
        <v>single</v>
      </c>
      <c r="E24" s="18">
        <v>2020</v>
      </c>
      <c r="F24" t="s">
        <v>1027</v>
      </c>
      <c r="G24" s="9" t="s">
        <v>987</v>
      </c>
      <c r="H24" s="9" t="s">
        <v>1025</v>
      </c>
      <c r="I24" s="9" t="s">
        <v>1028</v>
      </c>
      <c r="J24" s="9" t="s">
        <v>1029</v>
      </c>
      <c r="K24" s="9" t="s">
        <v>971</v>
      </c>
      <c r="L24" s="9" t="s">
        <v>1030</v>
      </c>
      <c r="R24" s="9" t="s">
        <v>966</v>
      </c>
      <c r="S24" s="9" t="s">
        <v>966</v>
      </c>
      <c r="T24" s="59">
        <v>44045</v>
      </c>
      <c r="U24" s="49">
        <v>48.578159999999997</v>
      </c>
      <c r="V24" s="49">
        <v>-122.94099</v>
      </c>
      <c r="W24" t="str">
        <f>VLOOKUP(B24,[1]Plantings!$A$2:$E$285,4,FALSE)</f>
        <v>line</v>
      </c>
      <c r="X24" s="43" t="str">
        <f>VLOOKUP(B24,[1]Plantings!$A$2:$E$285,5,FALSE)</f>
        <v>retain</v>
      </c>
      <c r="Y24" s="48" t="s">
        <v>9</v>
      </c>
      <c r="Z24">
        <v>-1.7</v>
      </c>
      <c r="AA24" s="45" t="s">
        <v>982</v>
      </c>
      <c r="AB24">
        <v>14</v>
      </c>
      <c r="AC24">
        <v>1</v>
      </c>
      <c r="AD24">
        <f t="shared" si="4"/>
        <v>14</v>
      </c>
      <c r="AE24">
        <f t="shared" si="5"/>
        <v>4</v>
      </c>
      <c r="AF24" s="46">
        <v>0.4</v>
      </c>
      <c r="AG24">
        <v>16</v>
      </c>
      <c r="AH24" s="61">
        <v>320</v>
      </c>
      <c r="AI24" s="45">
        <f t="shared" si="3"/>
        <v>22.857142857142858</v>
      </c>
      <c r="AJ24" s="45">
        <f t="shared" si="2"/>
        <v>80</v>
      </c>
      <c r="AK24" t="s">
        <v>942</v>
      </c>
      <c r="AL24" s="8" t="s">
        <v>1031</v>
      </c>
    </row>
    <row r="25" spans="1:38" x14ac:dyDescent="0.25">
      <c r="A25" t="s">
        <v>1025</v>
      </c>
      <c r="B25" t="s">
        <v>1026</v>
      </c>
      <c r="C25" t="str">
        <f>VLOOKUP(B25,[1]Plantings!$A$2:$C$285,2,FALSE)</f>
        <v>BB_test_1</v>
      </c>
      <c r="D25" t="str">
        <f>VLOOKUP(B25,[1]Plantings!$A$2:$C$285,3,FALSE)</f>
        <v>single</v>
      </c>
      <c r="E25" s="18">
        <v>2020</v>
      </c>
      <c r="F25" t="s">
        <v>1027</v>
      </c>
      <c r="G25" s="9" t="s">
        <v>987</v>
      </c>
      <c r="H25" s="9" t="s">
        <v>1025</v>
      </c>
      <c r="I25" s="9" t="s">
        <v>1028</v>
      </c>
      <c r="J25" s="9" t="s">
        <v>1029</v>
      </c>
      <c r="K25" s="9" t="s">
        <v>971</v>
      </c>
      <c r="L25" s="9" t="s">
        <v>1030</v>
      </c>
      <c r="R25" s="9" t="s">
        <v>966</v>
      </c>
      <c r="S25" s="9" t="s">
        <v>966</v>
      </c>
      <c r="T25" s="59">
        <v>44045</v>
      </c>
      <c r="U25" s="49">
        <v>48.578159999999997</v>
      </c>
      <c r="V25" s="49">
        <v>-122.94099</v>
      </c>
      <c r="W25" t="str">
        <f>VLOOKUP(B25,[1]Plantings!$A$2:$E$285,4,FALSE)</f>
        <v>line</v>
      </c>
      <c r="X25" s="43" t="str">
        <f>VLOOKUP(B25,[1]Plantings!$A$2:$E$285,5,FALSE)</f>
        <v>retain</v>
      </c>
      <c r="Y25" s="48" t="s">
        <v>9</v>
      </c>
      <c r="Z25">
        <v>-1.7</v>
      </c>
      <c r="AA25" s="45" t="s">
        <v>982</v>
      </c>
      <c r="AB25">
        <v>14</v>
      </c>
      <c r="AC25">
        <v>1</v>
      </c>
      <c r="AD25">
        <f t="shared" si="4"/>
        <v>14</v>
      </c>
      <c r="AE25">
        <f t="shared" si="5"/>
        <v>0.75</v>
      </c>
      <c r="AF25" s="46">
        <v>7.4999999999999997E-2</v>
      </c>
      <c r="AG25">
        <v>3</v>
      </c>
      <c r="AH25" s="61">
        <v>60</v>
      </c>
      <c r="AI25" s="45">
        <f t="shared" si="3"/>
        <v>4.2857142857142856</v>
      </c>
      <c r="AJ25" s="45">
        <f t="shared" si="2"/>
        <v>80</v>
      </c>
      <c r="AK25" t="s">
        <v>1032</v>
      </c>
      <c r="AL25" s="8" t="s">
        <v>1031</v>
      </c>
    </row>
    <row r="26" spans="1:38" x14ac:dyDescent="0.25">
      <c r="A26" t="s">
        <v>1025</v>
      </c>
      <c r="B26" t="s">
        <v>1026</v>
      </c>
      <c r="C26" t="str">
        <f>VLOOKUP(B26,[1]Plantings!$A$2:$C$285,2,FALSE)</f>
        <v>BB_test_1</v>
      </c>
      <c r="D26" t="str">
        <f>VLOOKUP(B26,[1]Plantings!$A$2:$C$285,3,FALSE)</f>
        <v>single</v>
      </c>
      <c r="E26" s="18">
        <v>2020</v>
      </c>
      <c r="F26" t="s">
        <v>1027</v>
      </c>
      <c r="G26" s="9" t="s">
        <v>987</v>
      </c>
      <c r="H26" s="9" t="s">
        <v>1025</v>
      </c>
      <c r="I26" s="9" t="s">
        <v>1028</v>
      </c>
      <c r="J26" s="9" t="s">
        <v>1029</v>
      </c>
      <c r="K26" s="9" t="s">
        <v>971</v>
      </c>
      <c r="L26" s="9" t="s">
        <v>1030</v>
      </c>
      <c r="R26" s="9" t="s">
        <v>966</v>
      </c>
      <c r="S26" s="9" t="s">
        <v>966</v>
      </c>
      <c r="T26" s="59">
        <v>44045</v>
      </c>
      <c r="U26" s="49">
        <v>48.578159999999997</v>
      </c>
      <c r="V26" s="49">
        <v>-122.94099</v>
      </c>
      <c r="W26" t="str">
        <f>VLOOKUP(B26,[1]Plantings!$A$2:$E$285,4,FALSE)</f>
        <v>line</v>
      </c>
      <c r="X26" s="43" t="str">
        <f>VLOOKUP(B26,[1]Plantings!$A$2:$E$285,5,FALSE)</f>
        <v>retain</v>
      </c>
      <c r="Y26" s="48" t="s">
        <v>9</v>
      </c>
      <c r="Z26">
        <v>-1.7</v>
      </c>
      <c r="AA26" s="45" t="s">
        <v>982</v>
      </c>
      <c r="AB26">
        <v>14</v>
      </c>
      <c r="AC26">
        <v>1</v>
      </c>
      <c r="AD26">
        <f t="shared" si="4"/>
        <v>14</v>
      </c>
      <c r="AE26">
        <f t="shared" si="5"/>
        <v>2.25</v>
      </c>
      <c r="AF26" s="46">
        <v>0.22500000000000001</v>
      </c>
      <c r="AG26">
        <v>9</v>
      </c>
      <c r="AH26" s="61">
        <v>135</v>
      </c>
      <c r="AI26" s="45">
        <f t="shared" si="3"/>
        <v>9.6428571428571423</v>
      </c>
      <c r="AJ26" s="45">
        <f t="shared" si="2"/>
        <v>60</v>
      </c>
      <c r="AK26" t="s">
        <v>1033</v>
      </c>
      <c r="AL26" s="8" t="s">
        <v>1034</v>
      </c>
    </row>
    <row r="27" spans="1:38" x14ac:dyDescent="0.25">
      <c r="A27" t="s">
        <v>1025</v>
      </c>
      <c r="B27" t="s">
        <v>1026</v>
      </c>
      <c r="C27" t="str">
        <f>VLOOKUP(B27,[1]Plantings!$A$2:$C$285,2,FALSE)</f>
        <v>BB_test_1</v>
      </c>
      <c r="D27" t="str">
        <f>VLOOKUP(B27,[1]Plantings!$A$2:$C$285,3,FALSE)</f>
        <v>single</v>
      </c>
      <c r="E27" s="18">
        <v>2020</v>
      </c>
      <c r="F27" t="s">
        <v>1027</v>
      </c>
      <c r="G27" s="9" t="s">
        <v>987</v>
      </c>
      <c r="H27" s="9" t="s">
        <v>1025</v>
      </c>
      <c r="I27" s="9" t="s">
        <v>1028</v>
      </c>
      <c r="J27" s="9" t="s">
        <v>1029</v>
      </c>
      <c r="K27" s="9" t="s">
        <v>971</v>
      </c>
      <c r="L27" s="9" t="s">
        <v>1030</v>
      </c>
      <c r="R27" s="9" t="s">
        <v>966</v>
      </c>
      <c r="S27" s="9" t="s">
        <v>966</v>
      </c>
      <c r="T27" s="59">
        <v>44045</v>
      </c>
      <c r="U27" s="49">
        <v>48.578159999999997</v>
      </c>
      <c r="V27" s="49">
        <v>-122.94099</v>
      </c>
      <c r="W27" t="str">
        <f>VLOOKUP(B27,[1]Plantings!$A$2:$E$285,4,FALSE)</f>
        <v>line</v>
      </c>
      <c r="X27" s="43" t="str">
        <f>VLOOKUP(B27,[1]Plantings!$A$2:$E$285,5,FALSE)</f>
        <v>retain</v>
      </c>
      <c r="Y27" s="48" t="s">
        <v>9</v>
      </c>
      <c r="Z27">
        <v>-1.7</v>
      </c>
      <c r="AA27" s="45" t="s">
        <v>982</v>
      </c>
      <c r="AB27">
        <v>14</v>
      </c>
      <c r="AC27">
        <v>1</v>
      </c>
      <c r="AD27">
        <f t="shared" si="4"/>
        <v>14</v>
      </c>
      <c r="AE27">
        <f t="shared" si="5"/>
        <v>3.75</v>
      </c>
      <c r="AF27" s="46">
        <v>0.375</v>
      </c>
      <c r="AG27">
        <v>15</v>
      </c>
      <c r="AH27" s="61">
        <v>210</v>
      </c>
      <c r="AI27" s="45">
        <f t="shared" si="3"/>
        <v>15</v>
      </c>
      <c r="AJ27" s="45">
        <f t="shared" si="2"/>
        <v>56</v>
      </c>
      <c r="AK27" t="s">
        <v>1035</v>
      </c>
      <c r="AL27" s="8" t="s">
        <v>1031</v>
      </c>
    </row>
    <row r="28" spans="1:38" x14ac:dyDescent="0.25">
      <c r="A28" t="s">
        <v>1025</v>
      </c>
      <c r="B28" t="s">
        <v>1026</v>
      </c>
      <c r="C28" t="str">
        <f>VLOOKUP(B28,[1]Plantings!$A$2:$C$285,2,FALSE)</f>
        <v>BB_test_1</v>
      </c>
      <c r="D28" t="str">
        <f>VLOOKUP(B28,[1]Plantings!$A$2:$C$285,3,FALSE)</f>
        <v>single</v>
      </c>
      <c r="E28" s="18">
        <v>2020</v>
      </c>
      <c r="F28" t="s">
        <v>1027</v>
      </c>
      <c r="G28" s="9" t="s">
        <v>987</v>
      </c>
      <c r="H28" s="9" t="s">
        <v>1025</v>
      </c>
      <c r="I28" s="9" t="s">
        <v>1028</v>
      </c>
      <c r="J28" s="9" t="s">
        <v>1029</v>
      </c>
      <c r="K28" s="9" t="s">
        <v>971</v>
      </c>
      <c r="L28" s="9" t="s">
        <v>1030</v>
      </c>
      <c r="R28" s="9" t="s">
        <v>966</v>
      </c>
      <c r="S28" s="9" t="s">
        <v>966</v>
      </c>
      <c r="T28" s="59">
        <v>44045</v>
      </c>
      <c r="U28" s="49">
        <v>48.578159999999997</v>
      </c>
      <c r="V28" s="49">
        <v>-122.94099</v>
      </c>
      <c r="W28" t="str">
        <f>VLOOKUP(B28,[1]Plantings!$A$2:$E$285,4,FALSE)</f>
        <v>line</v>
      </c>
      <c r="X28" s="43" t="str">
        <f>VLOOKUP(B28,[1]Plantings!$A$2:$E$285,5,FALSE)</f>
        <v>retain</v>
      </c>
      <c r="Y28" s="48" t="s">
        <v>9</v>
      </c>
      <c r="Z28">
        <v>-1.7</v>
      </c>
      <c r="AA28" s="45" t="s">
        <v>982</v>
      </c>
      <c r="AB28">
        <v>14</v>
      </c>
      <c r="AC28">
        <v>1</v>
      </c>
      <c r="AD28">
        <f t="shared" si="4"/>
        <v>14</v>
      </c>
      <c r="AE28">
        <f t="shared" si="5"/>
        <v>1.75</v>
      </c>
      <c r="AF28" s="46">
        <v>0.17499999999999999</v>
      </c>
      <c r="AG28">
        <v>7</v>
      </c>
      <c r="AH28" s="61">
        <v>175</v>
      </c>
      <c r="AI28" s="45">
        <f t="shared" si="3"/>
        <v>12.5</v>
      </c>
      <c r="AJ28" s="45">
        <f t="shared" si="2"/>
        <v>100</v>
      </c>
      <c r="AK28" t="s">
        <v>1036</v>
      </c>
      <c r="AL28" s="8" t="s">
        <v>1031</v>
      </c>
    </row>
    <row r="29" spans="1:38" x14ac:dyDescent="0.25">
      <c r="A29" t="s">
        <v>216</v>
      </c>
      <c r="B29" t="s">
        <v>1037</v>
      </c>
      <c r="C29" t="str">
        <f>VLOOKUP(B29,[1]Plantings!$A$2:$C$285,2,FALSE)</f>
        <v>CHC</v>
      </c>
      <c r="D29" t="str">
        <f>VLOOKUP(B29,[1]Plantings!$A$2:$C$285,3,FALSE)</f>
        <v>single</v>
      </c>
      <c r="E29">
        <v>2015</v>
      </c>
      <c r="G29" t="s">
        <v>7</v>
      </c>
      <c r="H29" t="s">
        <v>224</v>
      </c>
      <c r="I29" t="s">
        <v>957</v>
      </c>
      <c r="J29" t="s">
        <v>123</v>
      </c>
      <c r="K29" t="s">
        <v>971</v>
      </c>
      <c r="L29" t="s">
        <v>972</v>
      </c>
      <c r="O29" t="s">
        <v>963</v>
      </c>
      <c r="P29" t="s">
        <v>973</v>
      </c>
      <c r="Q29" t="s">
        <v>974</v>
      </c>
      <c r="R29" t="s">
        <v>966</v>
      </c>
      <c r="S29" t="s">
        <v>966</v>
      </c>
      <c r="T29" s="42">
        <v>42053</v>
      </c>
      <c r="U29" s="43">
        <v>47.606483333333337</v>
      </c>
      <c r="V29" s="43">
        <v>-122.69918333333334</v>
      </c>
      <c r="W29" t="str">
        <f>VLOOKUP(B29,[1]Plantings!$A$2:$E$285,4,FALSE)</f>
        <v>point</v>
      </c>
      <c r="X29" s="43" t="str">
        <f>VLOOKUP(B29,[1]Plantings!$A$2:$E$285,5,FALSE)</f>
        <v>retain</v>
      </c>
      <c r="Y29" s="48" t="s">
        <v>9</v>
      </c>
      <c r="Z29" s="44">
        <v>-0.85343999999999987</v>
      </c>
      <c r="AA29" s="45" t="s">
        <v>967</v>
      </c>
      <c r="AB29">
        <v>5</v>
      </c>
      <c r="AC29">
        <v>5</v>
      </c>
      <c r="AD29">
        <f t="shared" si="4"/>
        <v>25</v>
      </c>
      <c r="AE29">
        <v>25</v>
      </c>
      <c r="AF29" s="46">
        <f t="shared" ref="AF29:AF34" si="6">IF(AA29="staple",AG29*0.005,IF(AA29="rebar",AG29*0.025,IF(AA29="burlap",AG29*0.0625,IF(AA29="washer",AG29*0.0025,IF(AA29="pucks",AG29*0.00785,IF(AA29="turf",AG29*0.01,IF(AA29="","")))))))</f>
        <v>0.625</v>
      </c>
      <c r="AG29" s="47">
        <f>AH29/4</f>
        <v>125</v>
      </c>
      <c r="AH29" s="53">
        <v>500</v>
      </c>
      <c r="AI29" s="45">
        <f t="shared" si="3"/>
        <v>20</v>
      </c>
      <c r="AJ29" s="45">
        <f t="shared" si="2"/>
        <v>20</v>
      </c>
      <c r="AK29" t="s">
        <v>1038</v>
      </c>
    </row>
    <row r="30" spans="1:38" x14ac:dyDescent="0.25">
      <c r="A30" s="9" t="s">
        <v>836</v>
      </c>
      <c r="B30" s="9" t="s">
        <v>1039</v>
      </c>
      <c r="C30" t="str">
        <f>VLOOKUP(B30,[1]Plantings!$A$2:$C$285,2,FALSE)</f>
        <v>COM_shallow</v>
      </c>
      <c r="D30" t="str">
        <f>VLOOKUP(B30,[1]Plantings!$A$2:$C$285,3,FALSE)</f>
        <v>single</v>
      </c>
      <c r="E30" s="9">
        <v>2017</v>
      </c>
      <c r="F30" s="9"/>
      <c r="G30" s="9" t="s">
        <v>7</v>
      </c>
      <c r="H30" s="9" t="s">
        <v>836</v>
      </c>
      <c r="I30" s="9" t="s">
        <v>957</v>
      </c>
      <c r="J30" s="18" t="s">
        <v>1014</v>
      </c>
      <c r="K30" s="18" t="s">
        <v>562</v>
      </c>
      <c r="L30" s="18" t="s">
        <v>562</v>
      </c>
      <c r="M30" s="18" t="s">
        <v>1040</v>
      </c>
      <c r="N30" s="9"/>
      <c r="O30" s="9" t="s">
        <v>963</v>
      </c>
      <c r="P30" s="9" t="s">
        <v>1041</v>
      </c>
      <c r="Q30" s="9"/>
      <c r="R30" s="9" t="s">
        <v>966</v>
      </c>
      <c r="S30" s="9" t="s">
        <v>966</v>
      </c>
      <c r="T30" s="3">
        <v>42978</v>
      </c>
      <c r="U30" s="49">
        <v>47.276260000000001</v>
      </c>
      <c r="V30" s="49">
        <v>-122.4636385</v>
      </c>
      <c r="W30" t="str">
        <f>VLOOKUP(B30,[1]Plantings!$A$2:$E$285,4,FALSE)</f>
        <v>point</v>
      </c>
      <c r="X30" s="43" t="str">
        <f>VLOOKUP(B30,[1]Plantings!$A$2:$E$285,5,FALSE)</f>
        <v>retain</v>
      </c>
      <c r="Y30" s="54" t="s">
        <v>9</v>
      </c>
      <c r="Z30" s="55">
        <v>-1.524</v>
      </c>
      <c r="AA30" s="9" t="s">
        <v>982</v>
      </c>
      <c r="AB30" s="9">
        <v>2.5</v>
      </c>
      <c r="AC30" s="9">
        <v>2.5</v>
      </c>
      <c r="AD30">
        <f t="shared" si="4"/>
        <v>6.25</v>
      </c>
      <c r="AE30">
        <f>AG30*0.25</f>
        <v>5</v>
      </c>
      <c r="AF30" s="46">
        <f t="shared" si="6"/>
        <v>0.5</v>
      </c>
      <c r="AG30" s="56">
        <v>20</v>
      </c>
      <c r="AH30" s="57">
        <v>500</v>
      </c>
      <c r="AI30" s="45">
        <f t="shared" si="3"/>
        <v>80</v>
      </c>
      <c r="AJ30" s="45">
        <f t="shared" si="2"/>
        <v>100</v>
      </c>
      <c r="AK30" s="9" t="s">
        <v>1038</v>
      </c>
      <c r="AL30" s="58"/>
    </row>
    <row r="31" spans="1:38" x14ac:dyDescent="0.25">
      <c r="A31" s="9" t="s">
        <v>836</v>
      </c>
      <c r="B31" s="9" t="s">
        <v>1042</v>
      </c>
      <c r="C31" t="str">
        <f>VLOOKUP(B31,[1]Plantings!$A$2:$C$285,2,FALSE)</f>
        <v>COM_deep</v>
      </c>
      <c r="D31" t="str">
        <f>VLOOKUP(B31,[1]Plantings!$A$2:$C$285,3,FALSE)</f>
        <v>single</v>
      </c>
      <c r="E31" s="9">
        <v>2017</v>
      </c>
      <c r="F31" s="9"/>
      <c r="G31" s="9" t="s">
        <v>7</v>
      </c>
      <c r="H31" s="9" t="s">
        <v>836</v>
      </c>
      <c r="I31" s="9" t="s">
        <v>957</v>
      </c>
      <c r="J31" s="18" t="s">
        <v>1014</v>
      </c>
      <c r="K31" s="18" t="s">
        <v>562</v>
      </c>
      <c r="L31" s="18" t="s">
        <v>562</v>
      </c>
      <c r="M31" s="18" t="s">
        <v>1040</v>
      </c>
      <c r="N31" s="9"/>
      <c r="O31" s="9" t="s">
        <v>963</v>
      </c>
      <c r="P31" s="9" t="s">
        <v>1041</v>
      </c>
      <c r="Q31" s="9"/>
      <c r="R31" s="9" t="s">
        <v>966</v>
      </c>
      <c r="S31" s="9" t="s">
        <v>966</v>
      </c>
      <c r="T31" s="3">
        <v>42978</v>
      </c>
      <c r="U31" s="49">
        <v>47.276316666666666</v>
      </c>
      <c r="V31" s="49">
        <v>-122.46373333333334</v>
      </c>
      <c r="W31" t="str">
        <f>VLOOKUP(B31,[1]Plantings!$A$2:$E$285,4,FALSE)</f>
        <v>point</v>
      </c>
      <c r="X31" s="43" t="str">
        <f>VLOOKUP(B31,[1]Plantings!$A$2:$E$285,5,FALSE)</f>
        <v>retain</v>
      </c>
      <c r="Y31" s="54" t="s">
        <v>9</v>
      </c>
      <c r="Z31" s="55">
        <v>-2.4384000000000001</v>
      </c>
      <c r="AA31" s="9" t="s">
        <v>982</v>
      </c>
      <c r="AB31" s="9">
        <v>2.5</v>
      </c>
      <c r="AC31" s="9">
        <v>2.5</v>
      </c>
      <c r="AD31">
        <f t="shared" si="4"/>
        <v>6.25</v>
      </c>
      <c r="AE31">
        <f>AG31*0.25</f>
        <v>5</v>
      </c>
      <c r="AF31" s="46">
        <f t="shared" si="6"/>
        <v>0.5</v>
      </c>
      <c r="AG31" s="56">
        <v>20</v>
      </c>
      <c r="AH31" s="57">
        <v>500</v>
      </c>
      <c r="AI31" s="45">
        <f t="shared" si="3"/>
        <v>80</v>
      </c>
      <c r="AJ31" s="45">
        <f t="shared" si="2"/>
        <v>100</v>
      </c>
      <c r="AK31" s="9" t="s">
        <v>1038</v>
      </c>
      <c r="AL31" s="58"/>
    </row>
    <row r="32" spans="1:38" x14ac:dyDescent="0.25">
      <c r="A32" s="62" t="s">
        <v>836</v>
      </c>
      <c r="B32" s="18" t="s">
        <v>1043</v>
      </c>
      <c r="C32" t="str">
        <f>VLOOKUP(B32,[1]Plantings!$A$2:$C$285,2,FALSE)</f>
        <v>COM_L1</v>
      </c>
      <c r="D32" t="str">
        <f>VLOOKUP(B32,[1]Plantings!$A$2:$C$285,3,FALSE)</f>
        <v>single</v>
      </c>
      <c r="E32" s="18">
        <v>2018</v>
      </c>
      <c r="F32" s="62"/>
      <c r="G32" s="62" t="s">
        <v>987</v>
      </c>
      <c r="H32" s="62" t="s">
        <v>836</v>
      </c>
      <c r="I32" s="9" t="s">
        <v>957</v>
      </c>
      <c r="J32" s="18" t="s">
        <v>1014</v>
      </c>
      <c r="K32" s="18" t="s">
        <v>562</v>
      </c>
      <c r="L32" s="18" t="s">
        <v>562</v>
      </c>
      <c r="M32" s="18" t="s">
        <v>1040</v>
      </c>
      <c r="N32" s="63"/>
      <c r="O32" s="62" t="s">
        <v>963</v>
      </c>
      <c r="P32" s="9" t="s">
        <v>1041</v>
      </c>
      <c r="Q32" s="62"/>
      <c r="R32" s="62" t="s">
        <v>1004</v>
      </c>
      <c r="S32" s="62" t="s">
        <v>1004</v>
      </c>
      <c r="T32" s="59">
        <v>43277</v>
      </c>
      <c r="U32" s="64">
        <v>47.276299999999999</v>
      </c>
      <c r="V32" s="64">
        <v>-122.4636</v>
      </c>
      <c r="W32" t="str">
        <f>VLOOKUP(B32,[1]Plantings!$A$2:$E$285,4,FALSE)</f>
        <v>line</v>
      </c>
      <c r="X32" s="43" t="str">
        <f>VLOOKUP(B32,[1]Plantings!$A$2:$E$285,5,FALSE)</f>
        <v>retain</v>
      </c>
      <c r="Y32" s="65" t="s">
        <v>9</v>
      </c>
      <c r="Z32" s="65">
        <v>-2.4384000000000001</v>
      </c>
      <c r="AA32" s="62" t="s">
        <v>982</v>
      </c>
      <c r="AB32" s="62">
        <v>19</v>
      </c>
      <c r="AC32" s="62">
        <v>10</v>
      </c>
      <c r="AD32">
        <f t="shared" si="4"/>
        <v>190</v>
      </c>
      <c r="AE32">
        <f>AG32*0.25</f>
        <v>108.25</v>
      </c>
      <c r="AF32" s="46">
        <f t="shared" si="6"/>
        <v>10.825000000000001</v>
      </c>
      <c r="AG32" s="66">
        <v>433</v>
      </c>
      <c r="AH32" s="67">
        <f>AG32*25</f>
        <v>10825</v>
      </c>
      <c r="AI32" s="45">
        <f t="shared" si="3"/>
        <v>56.973684210526315</v>
      </c>
      <c r="AJ32" s="45">
        <f t="shared" si="2"/>
        <v>100</v>
      </c>
      <c r="AK32" s="62" t="s">
        <v>942</v>
      </c>
      <c r="AL32" s="68" t="s">
        <v>1044</v>
      </c>
    </row>
    <row r="33" spans="1:38" x14ac:dyDescent="0.25">
      <c r="A33" s="62" t="s">
        <v>836</v>
      </c>
      <c r="B33" s="18" t="s">
        <v>1043</v>
      </c>
      <c r="C33" t="str">
        <f>VLOOKUP(B33,[1]Plantings!$A$2:$C$285,2,FALSE)</f>
        <v>COM_L1</v>
      </c>
      <c r="D33" t="str">
        <f>VLOOKUP(B33,[1]Plantings!$A$2:$C$285,3,FALSE)</f>
        <v>single</v>
      </c>
      <c r="E33" s="18">
        <v>2018</v>
      </c>
      <c r="F33" s="62"/>
      <c r="G33" s="62" t="s">
        <v>987</v>
      </c>
      <c r="H33" s="62" t="s">
        <v>836</v>
      </c>
      <c r="I33" s="9" t="s">
        <v>957</v>
      </c>
      <c r="J33" s="18" t="s">
        <v>1014</v>
      </c>
      <c r="K33" s="18" t="s">
        <v>562</v>
      </c>
      <c r="L33" s="18" t="s">
        <v>562</v>
      </c>
      <c r="M33" s="18" t="s">
        <v>1040</v>
      </c>
      <c r="N33" s="63"/>
      <c r="O33" s="62" t="s">
        <v>963</v>
      </c>
      <c r="P33" s="9" t="s">
        <v>1041</v>
      </c>
      <c r="Q33" s="62"/>
      <c r="R33" s="62" t="s">
        <v>1004</v>
      </c>
      <c r="S33" s="69" t="s">
        <v>998</v>
      </c>
      <c r="T33" s="59">
        <v>43277</v>
      </c>
      <c r="U33" s="64">
        <v>47.276319999999998</v>
      </c>
      <c r="V33" s="64">
        <v>-122.46381</v>
      </c>
      <c r="W33" t="str">
        <f>VLOOKUP(B33,[1]Plantings!$A$2:$E$285,4,FALSE)</f>
        <v>line</v>
      </c>
      <c r="X33" s="43" t="str">
        <f>VLOOKUP(B33,[1]Plantings!$A$2:$E$285,5,FALSE)</f>
        <v>retain</v>
      </c>
      <c r="Y33" s="65" t="s">
        <v>9</v>
      </c>
      <c r="Z33" s="65"/>
      <c r="AA33" s="62"/>
      <c r="AB33" s="62"/>
      <c r="AC33" s="62"/>
      <c r="AE33" s="9"/>
      <c r="AF33" s="46" t="str">
        <f t="shared" si="6"/>
        <v/>
      </c>
      <c r="AG33" s="66"/>
      <c r="AH33" s="67"/>
      <c r="AI33" s="45" t="str">
        <f t="shared" si="3"/>
        <v/>
      </c>
      <c r="AJ33" s="45" t="str">
        <f t="shared" si="2"/>
        <v/>
      </c>
      <c r="AK33" s="62"/>
      <c r="AL33" s="68"/>
    </row>
    <row r="34" spans="1:38" x14ac:dyDescent="0.25">
      <c r="A34" t="s">
        <v>836</v>
      </c>
      <c r="B34" t="s">
        <v>1045</v>
      </c>
      <c r="C34" t="str">
        <f>VLOOKUP(B34,[1]Plantings!$A$2:$C$285,2,FALSE)</f>
        <v>COM_L2</v>
      </c>
      <c r="D34" t="str">
        <f>VLOOKUP(B34,[1]Plantings!$A$2:$C$285,3,FALSE)</f>
        <v>single</v>
      </c>
      <c r="E34">
        <v>2019</v>
      </c>
      <c r="G34" t="s">
        <v>987</v>
      </c>
      <c r="H34" t="s">
        <v>836</v>
      </c>
      <c r="I34" t="s">
        <v>957</v>
      </c>
      <c r="J34" s="9" t="s">
        <v>1014</v>
      </c>
      <c r="K34" s="9" t="s">
        <v>978</v>
      </c>
      <c r="L34" s="9" t="s">
        <v>978</v>
      </c>
      <c r="M34" s="18" t="s">
        <v>979</v>
      </c>
      <c r="N34" s="9" t="s">
        <v>980</v>
      </c>
      <c r="O34" s="9" t="s">
        <v>963</v>
      </c>
      <c r="P34" s="9" t="s">
        <v>981</v>
      </c>
      <c r="R34" t="s">
        <v>1004</v>
      </c>
      <c r="S34" t="s">
        <v>1004</v>
      </c>
      <c r="T34" s="42">
        <v>43625</v>
      </c>
      <c r="U34" s="49">
        <v>47.276290000000003</v>
      </c>
      <c r="V34" s="49">
        <v>-122.46335999999999</v>
      </c>
      <c r="W34" t="str">
        <f>VLOOKUP(B34,[1]Plantings!$A$2:$E$285,4,FALSE)</f>
        <v>line</v>
      </c>
      <c r="X34" s="43" t="str">
        <f>VLOOKUP(B34,[1]Plantings!$A$2:$E$285,5,FALSE)</f>
        <v>retain</v>
      </c>
      <c r="Y34" s="48" t="s">
        <v>9</v>
      </c>
      <c r="Z34" s="48">
        <v>-2.4</v>
      </c>
      <c r="AA34" s="45" t="s">
        <v>982</v>
      </c>
      <c r="AB34">
        <v>27</v>
      </c>
      <c r="AC34">
        <v>10</v>
      </c>
      <c r="AD34">
        <f>AB34*AC34</f>
        <v>270</v>
      </c>
      <c r="AE34">
        <f>AG34*0.25</f>
        <v>164</v>
      </c>
      <c r="AF34" s="46">
        <f t="shared" si="6"/>
        <v>16.400000000000002</v>
      </c>
      <c r="AG34" s="47">
        <v>656</v>
      </c>
      <c r="AH34" s="47">
        <v>16400</v>
      </c>
      <c r="AI34" s="45">
        <f t="shared" si="3"/>
        <v>60.74074074074074</v>
      </c>
      <c r="AJ34" s="45">
        <f t="shared" si="2"/>
        <v>100</v>
      </c>
      <c r="AK34" t="s">
        <v>942</v>
      </c>
      <c r="AL34" s="8" t="s">
        <v>1046</v>
      </c>
    </row>
    <row r="35" spans="1:38" x14ac:dyDescent="0.25">
      <c r="A35" t="s">
        <v>836</v>
      </c>
      <c r="B35" t="s">
        <v>1045</v>
      </c>
      <c r="C35" t="str">
        <f>VLOOKUP(B35,[1]Plantings!$A$2:$C$285,2,FALSE)</f>
        <v>COM_L2</v>
      </c>
      <c r="D35" t="str">
        <f>VLOOKUP(B35,[1]Plantings!$A$2:$C$285,3,FALSE)</f>
        <v>single</v>
      </c>
      <c r="E35">
        <v>2019</v>
      </c>
      <c r="G35" t="s">
        <v>987</v>
      </c>
      <c r="H35" t="s">
        <v>836</v>
      </c>
      <c r="I35" t="s">
        <v>957</v>
      </c>
      <c r="J35" s="9" t="s">
        <v>1014</v>
      </c>
      <c r="K35" s="9" t="s">
        <v>978</v>
      </c>
      <c r="L35" s="9" t="s">
        <v>978</v>
      </c>
      <c r="M35" s="18" t="s">
        <v>979</v>
      </c>
      <c r="N35" s="9" t="s">
        <v>980</v>
      </c>
      <c r="O35" s="9" t="s">
        <v>963</v>
      </c>
      <c r="P35" s="9" t="s">
        <v>981</v>
      </c>
      <c r="R35" t="s">
        <v>1004</v>
      </c>
      <c r="S35" s="52" t="s">
        <v>998</v>
      </c>
      <c r="T35" s="42">
        <v>43625</v>
      </c>
      <c r="U35" s="49">
        <v>47.276294999999998</v>
      </c>
      <c r="V35" s="49">
        <v>-122.463595</v>
      </c>
      <c r="W35" t="str">
        <f>VLOOKUP(B35,[1]Plantings!$A$2:$E$285,4,FALSE)</f>
        <v>line</v>
      </c>
      <c r="X35" s="43" t="str">
        <f>VLOOKUP(B35,[1]Plantings!$A$2:$E$285,5,FALSE)</f>
        <v>retain</v>
      </c>
      <c r="Y35" s="48" t="s">
        <v>9</v>
      </c>
      <c r="Z35">
        <v>-2.6</v>
      </c>
      <c r="AA35" s="45"/>
      <c r="AI35" s="45" t="str">
        <f t="shared" si="3"/>
        <v/>
      </c>
      <c r="AJ35" s="45" t="str">
        <f t="shared" si="2"/>
        <v/>
      </c>
    </row>
    <row r="36" spans="1:38" x14ac:dyDescent="0.25">
      <c r="A36" t="s">
        <v>1047</v>
      </c>
      <c r="B36" t="s">
        <v>1048</v>
      </c>
      <c r="C36" t="str">
        <f>VLOOKUP(B36,[1]Plantings!$A$2:$C$285,2,FALSE)</f>
        <v>DEL_1</v>
      </c>
      <c r="D36" t="str">
        <f>VLOOKUP(B36,[1]Plantings!$A$2:$C$285,3,FALSE)</f>
        <v>initial</v>
      </c>
      <c r="E36">
        <v>2015</v>
      </c>
      <c r="F36" t="s">
        <v>956</v>
      </c>
      <c r="G36" t="s">
        <v>7</v>
      </c>
      <c r="H36" t="s">
        <v>604</v>
      </c>
      <c r="I36" t="s">
        <v>957</v>
      </c>
      <c r="J36" t="s">
        <v>123</v>
      </c>
      <c r="K36" t="s">
        <v>971</v>
      </c>
      <c r="L36" t="s">
        <v>972</v>
      </c>
      <c r="O36" t="s">
        <v>963</v>
      </c>
      <c r="P36" t="s">
        <v>973</v>
      </c>
      <c r="Q36" t="s">
        <v>974</v>
      </c>
      <c r="R36" t="s">
        <v>966</v>
      </c>
      <c r="S36" t="s">
        <v>966</v>
      </c>
      <c r="T36" s="42">
        <v>42061</v>
      </c>
      <c r="U36" s="43">
        <v>47.254983333333335</v>
      </c>
      <c r="V36" s="43">
        <v>-122.73711666666667</v>
      </c>
      <c r="W36" t="str">
        <f>VLOOKUP(B36,[1]Plantings!$A$2:$E$285,4,FALSE)</f>
        <v>point</v>
      </c>
      <c r="X36" s="43" t="str">
        <f>VLOOKUP(B36,[1]Plantings!$A$2:$E$285,5,FALSE)</f>
        <v>retain</v>
      </c>
      <c r="Y36" s="48" t="s">
        <v>9</v>
      </c>
      <c r="Z36" s="44">
        <v>-2.3469600000000002</v>
      </c>
      <c r="AA36" s="45" t="s">
        <v>967</v>
      </c>
      <c r="AB36">
        <v>5</v>
      </c>
      <c r="AC36">
        <v>5</v>
      </c>
      <c r="AD36">
        <f>AB36*AC36</f>
        <v>25</v>
      </c>
      <c r="AE36">
        <v>25</v>
      </c>
      <c r="AF36" s="46">
        <f>IF(AA36="staple",AG36*0.005,IF(AA36="rebar",AG36*0.025,IF(AA36="burlap",AG36*0.0625,IF(AA36="washer",AG36*0.0025,IF(AA36="pucks",AG36*0.00785,IF(AA36="turf",AG36*0.01,IF(AA36="","")))))))</f>
        <v>0.625</v>
      </c>
      <c r="AG36" s="47">
        <f>AH36/4</f>
        <v>125</v>
      </c>
      <c r="AH36" s="53">
        <v>500</v>
      </c>
      <c r="AI36" s="45">
        <f t="shared" si="3"/>
        <v>20</v>
      </c>
      <c r="AJ36" s="45">
        <f t="shared" si="2"/>
        <v>20</v>
      </c>
      <c r="AK36" t="s">
        <v>975</v>
      </c>
      <c r="AL36" s="8" t="s">
        <v>1049</v>
      </c>
    </row>
    <row r="37" spans="1:38" x14ac:dyDescent="0.25">
      <c r="A37" t="s">
        <v>1047</v>
      </c>
      <c r="B37" t="s">
        <v>1050</v>
      </c>
      <c r="C37" t="str">
        <f>VLOOKUP(B37,[1]Plantings!$A$2:$C$285,2,FALSE)</f>
        <v>DEL_L1</v>
      </c>
      <c r="D37" t="str">
        <f>VLOOKUP(B37,[1]Plantings!$A$2:$C$285,3,FALSE)</f>
        <v>single</v>
      </c>
      <c r="E37">
        <v>2016</v>
      </c>
      <c r="F37" t="s">
        <v>956</v>
      </c>
      <c r="G37" t="s">
        <v>987</v>
      </c>
      <c r="H37" t="s">
        <v>604</v>
      </c>
      <c r="I37" t="s">
        <v>957</v>
      </c>
      <c r="J37" t="s">
        <v>988</v>
      </c>
      <c r="K37" t="s">
        <v>959</v>
      </c>
      <c r="L37" t="s">
        <v>960</v>
      </c>
      <c r="M37" t="s">
        <v>989</v>
      </c>
      <c r="N37" t="s">
        <v>1051</v>
      </c>
      <c r="O37" t="s">
        <v>991</v>
      </c>
      <c r="P37" t="s">
        <v>992</v>
      </c>
      <c r="Q37" t="s">
        <v>993</v>
      </c>
      <c r="R37" t="s">
        <v>966</v>
      </c>
      <c r="S37" t="s">
        <v>966</v>
      </c>
      <c r="T37" s="42">
        <v>42481</v>
      </c>
      <c r="U37" s="50">
        <v>47.258040352777776</v>
      </c>
      <c r="V37" s="43">
        <v>-122.73927132222222</v>
      </c>
      <c r="W37" t="str">
        <f>VLOOKUP(B37,[1]Plantings!$A$2:$E$285,4,FALSE)</f>
        <v>line</v>
      </c>
      <c r="X37" s="43" t="str">
        <f>VLOOKUP(B37,[1]Plantings!$A$2:$E$285,5,FALSE)</f>
        <v>retain</v>
      </c>
      <c r="Y37" s="48" t="s">
        <v>9</v>
      </c>
      <c r="Z37" s="44">
        <v>-2</v>
      </c>
      <c r="AA37" s="45" t="s">
        <v>1052</v>
      </c>
      <c r="AB37">
        <v>25</v>
      </c>
      <c r="AC37">
        <v>5</v>
      </c>
      <c r="AD37">
        <f>AB37*AC37</f>
        <v>125</v>
      </c>
      <c r="AE37">
        <v>75</v>
      </c>
      <c r="AF37" s="46">
        <f>IF(AA37="staple",AG37*0.005,IF(AA37="rebar",AG37*0.025,IF(AA37="burlap",AG37*0.0625,IF(AA37="washer",AG37*0.0025,IF(AA37="pucks",AG37*0.00785,IF(AA37="turf",AG37*0.01,IF(AA37="","")))))))</f>
        <v>9.75</v>
      </c>
      <c r="AG37" s="47">
        <v>156</v>
      </c>
      <c r="AH37" s="60">
        <v>780</v>
      </c>
      <c r="AI37" s="45">
        <f t="shared" si="3"/>
        <v>6.24</v>
      </c>
      <c r="AJ37" s="45">
        <f t="shared" si="2"/>
        <v>10.4</v>
      </c>
      <c r="AK37" t="s">
        <v>1053</v>
      </c>
      <c r="AL37" s="51" t="s">
        <v>1054</v>
      </c>
    </row>
    <row r="38" spans="1:38" x14ac:dyDescent="0.25">
      <c r="A38" t="s">
        <v>1047</v>
      </c>
      <c r="B38" t="s">
        <v>1055</v>
      </c>
      <c r="C38" t="str">
        <f>VLOOKUP(B38,[1]Plantings!$A$2:$C$285,2,FALSE)</f>
        <v>DEL_L1</v>
      </c>
      <c r="D38" t="str">
        <f>VLOOKUP(B38,[1]Plantings!$A$2:$C$285,3,FALSE)</f>
        <v>single</v>
      </c>
      <c r="E38">
        <v>2016</v>
      </c>
      <c r="F38" t="s">
        <v>956</v>
      </c>
      <c r="G38" t="s">
        <v>987</v>
      </c>
      <c r="H38" t="s">
        <v>604</v>
      </c>
      <c r="I38" t="s">
        <v>957</v>
      </c>
      <c r="J38" t="s">
        <v>988</v>
      </c>
      <c r="K38" t="s">
        <v>959</v>
      </c>
      <c r="L38" t="s">
        <v>960</v>
      </c>
      <c r="M38" t="s">
        <v>989</v>
      </c>
      <c r="N38" t="s">
        <v>1051</v>
      </c>
      <c r="O38" t="s">
        <v>991</v>
      </c>
      <c r="P38" t="s">
        <v>992</v>
      </c>
      <c r="Q38" t="s">
        <v>993</v>
      </c>
      <c r="R38" t="s">
        <v>966</v>
      </c>
      <c r="S38" s="52" t="s">
        <v>998</v>
      </c>
      <c r="T38" s="42">
        <v>42481</v>
      </c>
      <c r="U38" s="50">
        <v>47.258279688888891</v>
      </c>
      <c r="V38" s="43">
        <v>-122.7380948</v>
      </c>
      <c r="W38" t="str">
        <f>VLOOKUP(B38,[1]Plantings!$A$2:$E$285,4,FALSE)</f>
        <v>line</v>
      </c>
      <c r="X38" s="43" t="str">
        <f>VLOOKUP(B38,[1]Plantings!$A$2:$E$285,5,FALSE)</f>
        <v>retain</v>
      </c>
      <c r="Y38" s="48" t="s">
        <v>9</v>
      </c>
      <c r="Z38" s="44">
        <v>-2</v>
      </c>
      <c r="AA38" s="45" t="s">
        <v>1052</v>
      </c>
      <c r="AF38" s="46"/>
      <c r="AG38" s="47"/>
      <c r="AH38" s="47"/>
      <c r="AI38" s="45" t="str">
        <f t="shared" si="3"/>
        <v/>
      </c>
      <c r="AJ38" s="45" t="str">
        <f t="shared" si="2"/>
        <v/>
      </c>
      <c r="AL38" s="51"/>
    </row>
    <row r="39" spans="1:38" x14ac:dyDescent="0.25">
      <c r="A39" t="s">
        <v>1047</v>
      </c>
      <c r="B39" t="s">
        <v>1056</v>
      </c>
      <c r="C39" t="str">
        <f>VLOOKUP(B39,[1]Plantings!$A$2:$C$285,2,FALSE)</f>
        <v>DEL_P1</v>
      </c>
      <c r="D39" t="str">
        <f>VLOOKUP(B39,[1]Plantings!$A$2:$C$285,3,FALSE)</f>
        <v>single</v>
      </c>
      <c r="E39">
        <v>2016</v>
      </c>
      <c r="F39" t="s">
        <v>956</v>
      </c>
      <c r="G39" t="s">
        <v>1003</v>
      </c>
      <c r="H39" t="s">
        <v>604</v>
      </c>
      <c r="I39" t="s">
        <v>957</v>
      </c>
      <c r="J39" t="s">
        <v>988</v>
      </c>
      <c r="K39" t="s">
        <v>959</v>
      </c>
      <c r="L39" t="s">
        <v>960</v>
      </c>
      <c r="M39" t="s">
        <v>989</v>
      </c>
      <c r="N39" t="s">
        <v>1051</v>
      </c>
      <c r="O39" t="s">
        <v>991</v>
      </c>
      <c r="P39" t="s">
        <v>992</v>
      </c>
      <c r="Q39" t="s">
        <v>993</v>
      </c>
      <c r="R39" t="s">
        <v>1004</v>
      </c>
      <c r="S39" t="s">
        <v>1004</v>
      </c>
      <c r="T39" s="42">
        <v>42535</v>
      </c>
      <c r="U39" s="43">
        <v>47.257533000000002</v>
      </c>
      <c r="V39" s="43">
        <v>-122.73820383333333</v>
      </c>
      <c r="W39" t="str">
        <f>VLOOKUP(B39,[1]Plantings!$A$2:$E$285,4,FALSE)</f>
        <v>polygon</v>
      </c>
      <c r="X39" s="43" t="str">
        <f>VLOOKUP(B39,[1]Plantings!$A$2:$E$285,5,FALSE)</f>
        <v>retain</v>
      </c>
      <c r="Y39" s="48" t="s">
        <v>9</v>
      </c>
      <c r="Z39" s="44">
        <v>-2</v>
      </c>
      <c r="AA39" s="70" t="s">
        <v>1052</v>
      </c>
      <c r="AB39">
        <v>35</v>
      </c>
      <c r="AC39">
        <v>6</v>
      </c>
      <c r="AD39">
        <f>AB39*AC39</f>
        <v>210</v>
      </c>
      <c r="AE39">
        <v>50.4</v>
      </c>
      <c r="AF39" s="46">
        <f t="shared" ref="AF39:AF57" si="7">IF(AA39="staple",AG39*0.005,IF(AA39="rebar",AG39*0.025,IF(AA39="burlap",AG39*0.0625,IF(AA39="washer",AG39*0.0025,IF(AA39="pucks",AG39*0.00785,IF(AA39="turf",AG39*0.01,IF(AA39="","")))))))</f>
        <v>78.75</v>
      </c>
      <c r="AG39" s="47">
        <v>1260</v>
      </c>
      <c r="AH39" s="53">
        <v>20850</v>
      </c>
      <c r="AI39" s="45">
        <f t="shared" si="3"/>
        <v>99.285714285714292</v>
      </c>
      <c r="AJ39" s="45">
        <f t="shared" si="2"/>
        <v>413.6904761904762</v>
      </c>
      <c r="AK39" t="s">
        <v>1053</v>
      </c>
      <c r="AL39" s="51"/>
    </row>
    <row r="40" spans="1:38" x14ac:dyDescent="0.25">
      <c r="A40" t="s">
        <v>1047</v>
      </c>
      <c r="B40" t="s">
        <v>1057</v>
      </c>
      <c r="C40" t="str">
        <f>VLOOKUP(B40,[1]Plantings!$A$2:$C$285,2,FALSE)</f>
        <v>DEL_P1</v>
      </c>
      <c r="D40" t="str">
        <f>VLOOKUP(B40,[1]Plantings!$A$2:$C$285,3,FALSE)</f>
        <v>single</v>
      </c>
      <c r="E40">
        <v>2016</v>
      </c>
      <c r="F40" t="s">
        <v>956</v>
      </c>
      <c r="G40" t="s">
        <v>1003</v>
      </c>
      <c r="H40" t="s">
        <v>604</v>
      </c>
      <c r="I40" t="s">
        <v>957</v>
      </c>
      <c r="J40" t="s">
        <v>988</v>
      </c>
      <c r="K40" t="s">
        <v>959</v>
      </c>
      <c r="L40" t="s">
        <v>960</v>
      </c>
      <c r="M40" t="s">
        <v>989</v>
      </c>
      <c r="N40" t="s">
        <v>1051</v>
      </c>
      <c r="O40" t="s">
        <v>991</v>
      </c>
      <c r="P40" t="s">
        <v>992</v>
      </c>
      <c r="Q40" t="s">
        <v>993</v>
      </c>
      <c r="R40" t="s">
        <v>1004</v>
      </c>
      <c r="S40" s="52" t="s">
        <v>998</v>
      </c>
      <c r="T40" s="42">
        <v>42535</v>
      </c>
      <c r="U40" s="43">
        <v>47.257536833333333</v>
      </c>
      <c r="V40" s="43">
        <v>-122.73813800000001</v>
      </c>
      <c r="W40" t="str">
        <f>VLOOKUP(B40,[1]Plantings!$A$2:$E$285,4,FALSE)</f>
        <v>polygon</v>
      </c>
      <c r="X40" s="43" t="str">
        <f>VLOOKUP(B40,[1]Plantings!$A$2:$E$285,5,FALSE)</f>
        <v>retain</v>
      </c>
      <c r="Y40" s="48" t="s">
        <v>9</v>
      </c>
      <c r="Z40" s="44"/>
      <c r="AA40" s="45"/>
      <c r="AF40" s="46" t="str">
        <f t="shared" si="7"/>
        <v/>
      </c>
      <c r="AG40" s="47"/>
      <c r="AH40" s="47"/>
      <c r="AI40" s="45" t="str">
        <f t="shared" si="3"/>
        <v/>
      </c>
      <c r="AJ40" s="45" t="str">
        <f t="shared" si="2"/>
        <v/>
      </c>
      <c r="AL40" s="51"/>
    </row>
    <row r="41" spans="1:38" x14ac:dyDescent="0.25">
      <c r="A41" t="s">
        <v>1047</v>
      </c>
      <c r="B41" t="s">
        <v>1058</v>
      </c>
      <c r="C41" t="str">
        <f>VLOOKUP(B41,[1]Plantings!$A$2:$C$285,2,FALSE)</f>
        <v>DEL_P1</v>
      </c>
      <c r="D41" t="str">
        <f>VLOOKUP(B41,[1]Plantings!$A$2:$C$285,3,FALSE)</f>
        <v>single</v>
      </c>
      <c r="E41">
        <v>2016</v>
      </c>
      <c r="F41" t="s">
        <v>956</v>
      </c>
      <c r="G41" t="s">
        <v>1003</v>
      </c>
      <c r="H41" t="s">
        <v>604</v>
      </c>
      <c r="I41" t="s">
        <v>957</v>
      </c>
      <c r="J41" t="s">
        <v>988</v>
      </c>
      <c r="K41" t="s">
        <v>959</v>
      </c>
      <c r="L41" t="s">
        <v>960</v>
      </c>
      <c r="M41" t="s">
        <v>989</v>
      </c>
      <c r="N41" t="s">
        <v>1051</v>
      </c>
      <c r="O41" t="s">
        <v>991</v>
      </c>
      <c r="P41" t="s">
        <v>992</v>
      </c>
      <c r="Q41" t="s">
        <v>993</v>
      </c>
      <c r="R41" t="s">
        <v>1004</v>
      </c>
      <c r="S41" s="52" t="s">
        <v>998</v>
      </c>
      <c r="T41" s="42">
        <v>42535</v>
      </c>
      <c r="U41" s="43">
        <v>47.25784183333333</v>
      </c>
      <c r="V41" s="43">
        <v>-122.73817200000001</v>
      </c>
      <c r="W41" t="str">
        <f>VLOOKUP(B41,[1]Plantings!$A$2:$E$285,4,FALSE)</f>
        <v>polygon</v>
      </c>
      <c r="X41" s="43" t="str">
        <f>VLOOKUP(B41,[1]Plantings!$A$2:$E$285,5,FALSE)</f>
        <v>retain</v>
      </c>
      <c r="Y41" s="48" t="s">
        <v>9</v>
      </c>
      <c r="Z41" s="44"/>
      <c r="AA41" s="45"/>
      <c r="AF41" s="46" t="str">
        <f t="shared" si="7"/>
        <v/>
      </c>
      <c r="AG41" s="47"/>
      <c r="AH41" s="47"/>
      <c r="AI41" s="45" t="str">
        <f t="shared" si="3"/>
        <v/>
      </c>
      <c r="AJ41" s="45" t="str">
        <f t="shared" si="2"/>
        <v/>
      </c>
      <c r="AL41" s="51"/>
    </row>
    <row r="42" spans="1:38" x14ac:dyDescent="0.25">
      <c r="A42" t="s">
        <v>1047</v>
      </c>
      <c r="B42" t="s">
        <v>1059</v>
      </c>
      <c r="C42" t="str">
        <f>VLOOKUP(B42,[1]Plantings!$A$2:$C$285,2,FALSE)</f>
        <v>DEL_P1</v>
      </c>
      <c r="D42" t="str">
        <f>VLOOKUP(B42,[1]Plantings!$A$2:$C$285,3,FALSE)</f>
        <v>single</v>
      </c>
      <c r="E42">
        <v>2016</v>
      </c>
      <c r="F42" t="s">
        <v>956</v>
      </c>
      <c r="G42" t="s">
        <v>1003</v>
      </c>
      <c r="H42" t="s">
        <v>604</v>
      </c>
      <c r="I42" t="s">
        <v>957</v>
      </c>
      <c r="J42" t="s">
        <v>988</v>
      </c>
      <c r="K42" t="s">
        <v>959</v>
      </c>
      <c r="L42" t="s">
        <v>960</v>
      </c>
      <c r="M42" t="s">
        <v>989</v>
      </c>
      <c r="N42" t="s">
        <v>1051</v>
      </c>
      <c r="O42" t="s">
        <v>991</v>
      </c>
      <c r="P42" t="s">
        <v>992</v>
      </c>
      <c r="Q42" t="s">
        <v>993</v>
      </c>
      <c r="R42" t="s">
        <v>1004</v>
      </c>
      <c r="S42" s="52" t="s">
        <v>998</v>
      </c>
      <c r="T42" s="42">
        <v>42535</v>
      </c>
      <c r="U42" s="43">
        <v>47.257838833333331</v>
      </c>
      <c r="V42" s="43">
        <v>-122.73823783333333</v>
      </c>
      <c r="W42" t="str">
        <f>VLOOKUP(B42,[1]Plantings!$A$2:$E$285,4,FALSE)</f>
        <v>polygon</v>
      </c>
      <c r="X42" s="43" t="str">
        <f>VLOOKUP(B42,[1]Plantings!$A$2:$E$285,5,FALSE)</f>
        <v>retain</v>
      </c>
      <c r="Y42" s="48" t="s">
        <v>9</v>
      </c>
      <c r="Z42" s="44"/>
      <c r="AA42" s="45"/>
      <c r="AF42" s="46" t="str">
        <f t="shared" si="7"/>
        <v/>
      </c>
      <c r="AG42" s="47"/>
      <c r="AH42" s="47"/>
      <c r="AI42" s="45" t="str">
        <f t="shared" si="3"/>
        <v/>
      </c>
      <c r="AJ42" s="45" t="str">
        <f t="shared" si="2"/>
        <v/>
      </c>
      <c r="AL42" s="51"/>
    </row>
    <row r="43" spans="1:38" x14ac:dyDescent="0.25">
      <c r="A43" t="s">
        <v>1047</v>
      </c>
      <c r="B43" s="9" t="s">
        <v>1060</v>
      </c>
      <c r="C43" t="str">
        <f>VLOOKUP(B43,[1]Plantings!$A$2:$C$285,2,FALSE)</f>
        <v>DEL_3</v>
      </c>
      <c r="D43" t="str">
        <f>VLOOKUP(B43,[1]Plantings!$A$2:$C$285,3,FALSE)</f>
        <v>initial</v>
      </c>
      <c r="E43" s="9">
        <v>2017</v>
      </c>
      <c r="F43" t="s">
        <v>956</v>
      </c>
      <c r="G43" s="9" t="s">
        <v>7</v>
      </c>
      <c r="H43" s="9" t="s">
        <v>604</v>
      </c>
      <c r="I43" t="s">
        <v>957</v>
      </c>
      <c r="J43" t="s">
        <v>988</v>
      </c>
      <c r="K43" t="s">
        <v>959</v>
      </c>
      <c r="L43" t="s">
        <v>960</v>
      </c>
      <c r="M43" t="s">
        <v>989</v>
      </c>
      <c r="N43" t="s">
        <v>990</v>
      </c>
      <c r="O43" t="s">
        <v>991</v>
      </c>
      <c r="P43" t="s">
        <v>992</v>
      </c>
      <c r="Q43" t="s">
        <v>993</v>
      </c>
      <c r="R43" s="9" t="s">
        <v>966</v>
      </c>
      <c r="S43" s="9" t="s">
        <v>966</v>
      </c>
      <c r="T43" s="42">
        <v>42933</v>
      </c>
      <c r="U43" s="201">
        <v>47.249850000000002</v>
      </c>
      <c r="V43" s="201">
        <v>-122.72317</v>
      </c>
      <c r="W43" t="str">
        <f>VLOOKUP(B43,[1]Plantings!$A$2:$E$285,4,FALSE)</f>
        <v>point</v>
      </c>
      <c r="X43" s="43" t="str">
        <f>VLOOKUP(B43,[1]Plantings!$A$2:$E$285,5,FALSE)</f>
        <v>retain</v>
      </c>
      <c r="Y43" s="48" t="s">
        <v>9</v>
      </c>
      <c r="Z43" s="55">
        <v>-1.6</v>
      </c>
      <c r="AA43" t="s">
        <v>994</v>
      </c>
      <c r="AB43" s="9">
        <v>10</v>
      </c>
      <c r="AC43" s="9">
        <v>1</v>
      </c>
      <c r="AD43">
        <f t="shared" ref="AD43:AD65" si="8">AB43*AC43</f>
        <v>10</v>
      </c>
      <c r="AE43" s="9">
        <v>6</v>
      </c>
      <c r="AF43" s="46">
        <f t="shared" si="7"/>
        <v>1.67</v>
      </c>
      <c r="AG43" s="56">
        <v>167</v>
      </c>
      <c r="AH43" s="60">
        <v>1172</v>
      </c>
      <c r="AI43" s="45">
        <f t="shared" si="3"/>
        <v>117.2</v>
      </c>
      <c r="AJ43" s="45">
        <f t="shared" si="2"/>
        <v>195.33333333333334</v>
      </c>
      <c r="AK43" t="s">
        <v>1053</v>
      </c>
      <c r="AL43" s="51" t="s">
        <v>1061</v>
      </c>
    </row>
    <row r="44" spans="1:38" x14ac:dyDescent="0.25">
      <c r="A44" t="s">
        <v>1047</v>
      </c>
      <c r="B44" s="9" t="s">
        <v>1062</v>
      </c>
      <c r="C44" t="str">
        <f>VLOOKUP(B44,[1]Plantings!$A$2:$C$285,2,FALSE)</f>
        <v>DEL_2</v>
      </c>
      <c r="D44" t="str">
        <f>VLOOKUP(B44,[1]Plantings!$A$2:$C$285,3,FALSE)</f>
        <v>single</v>
      </c>
      <c r="E44" s="9">
        <v>2017</v>
      </c>
      <c r="F44" t="s">
        <v>956</v>
      </c>
      <c r="G44" s="9" t="s">
        <v>7</v>
      </c>
      <c r="H44" s="9" t="s">
        <v>604</v>
      </c>
      <c r="I44" t="s">
        <v>957</v>
      </c>
      <c r="J44" t="s">
        <v>988</v>
      </c>
      <c r="K44" t="s">
        <v>959</v>
      </c>
      <c r="L44" t="s">
        <v>960</v>
      </c>
      <c r="M44" t="s">
        <v>989</v>
      </c>
      <c r="N44" t="s">
        <v>990</v>
      </c>
      <c r="O44" t="s">
        <v>991</v>
      </c>
      <c r="P44" t="s">
        <v>992</v>
      </c>
      <c r="Q44" t="s">
        <v>993</v>
      </c>
      <c r="R44" s="9" t="s">
        <v>966</v>
      </c>
      <c r="S44" s="9" t="s">
        <v>966</v>
      </c>
      <c r="T44" s="42">
        <v>42933</v>
      </c>
      <c r="U44" s="201">
        <v>47.249630000000003</v>
      </c>
      <c r="V44" s="201">
        <v>-122.72338000000001</v>
      </c>
      <c r="W44" t="str">
        <f>VLOOKUP(B44,[1]Plantings!$A$2:$E$285,4,FALSE)</f>
        <v>point</v>
      </c>
      <c r="X44" s="43" t="str">
        <f>VLOOKUP(B44,[1]Plantings!$A$2:$E$285,5,FALSE)</f>
        <v>retain</v>
      </c>
      <c r="Y44" s="48" t="s">
        <v>9</v>
      </c>
      <c r="Z44" s="55">
        <v>-1.6</v>
      </c>
      <c r="AA44" t="s">
        <v>994</v>
      </c>
      <c r="AB44" s="9">
        <v>10</v>
      </c>
      <c r="AC44" s="9">
        <v>1</v>
      </c>
      <c r="AD44">
        <f t="shared" si="8"/>
        <v>10</v>
      </c>
      <c r="AE44" s="9">
        <v>6</v>
      </c>
      <c r="AF44" s="46">
        <f t="shared" si="7"/>
        <v>1.45</v>
      </c>
      <c r="AG44" s="56">
        <v>145</v>
      </c>
      <c r="AH44" s="60">
        <v>1015</v>
      </c>
      <c r="AI44" s="45">
        <f t="shared" si="3"/>
        <v>101.5</v>
      </c>
      <c r="AJ44" s="45">
        <f t="shared" si="2"/>
        <v>169.16666666666666</v>
      </c>
      <c r="AK44" t="s">
        <v>1053</v>
      </c>
      <c r="AL44" s="51" t="s">
        <v>1063</v>
      </c>
    </row>
    <row r="45" spans="1:38" x14ac:dyDescent="0.25">
      <c r="A45" t="s">
        <v>1047</v>
      </c>
      <c r="B45" t="s">
        <v>1064</v>
      </c>
      <c r="C45" t="str">
        <f>VLOOKUP(B45,[1]Plantings!$A$2:$C$285,2,FALSE)</f>
        <v>DEL_1</v>
      </c>
      <c r="D45" t="str">
        <f>VLOOKUP(B45,[1]Plantings!$A$2:$C$285,3,FALSE)</f>
        <v>repeat</v>
      </c>
      <c r="E45" s="18">
        <v>2018</v>
      </c>
      <c r="F45" t="s">
        <v>956</v>
      </c>
      <c r="G45" s="9" t="s">
        <v>7</v>
      </c>
      <c r="H45" s="62" t="s">
        <v>604</v>
      </c>
      <c r="I45" s="62" t="s">
        <v>957</v>
      </c>
      <c r="J45" s="9" t="s">
        <v>971</v>
      </c>
      <c r="K45" s="9" t="s">
        <v>971</v>
      </c>
      <c r="L45" s="9" t="s">
        <v>1065</v>
      </c>
      <c r="R45" s="9" t="s">
        <v>966</v>
      </c>
      <c r="S45" t="s">
        <v>966</v>
      </c>
      <c r="T45" s="59">
        <v>43279</v>
      </c>
      <c r="U45" s="43">
        <v>47.254983333333335</v>
      </c>
      <c r="V45" s="43">
        <v>-122.73711666666667</v>
      </c>
      <c r="W45" t="str">
        <f>VLOOKUP(B45,[1]Plantings!$A$2:$E$285,4,FALSE)</f>
        <v>point</v>
      </c>
      <c r="X45" s="43" t="str">
        <f>VLOOKUP(B45,[1]Plantings!$A$2:$E$285,5,FALSE)</f>
        <v>retain</v>
      </c>
      <c r="Y45" s="48" t="s">
        <v>9</v>
      </c>
      <c r="Z45" s="44">
        <v>-2.3469600000000002</v>
      </c>
      <c r="AA45" t="s">
        <v>982</v>
      </c>
      <c r="AB45">
        <v>5</v>
      </c>
      <c r="AC45">
        <v>0.5</v>
      </c>
      <c r="AD45">
        <f t="shared" si="8"/>
        <v>2.5</v>
      </c>
      <c r="AE45">
        <f t="shared" ref="AE45:AE51" si="9">AG45*0.25</f>
        <v>2.75</v>
      </c>
      <c r="AF45" s="46">
        <f t="shared" si="7"/>
        <v>0.27500000000000002</v>
      </c>
      <c r="AG45" s="47">
        <v>11</v>
      </c>
      <c r="AH45" s="67">
        <f>AG45*25</f>
        <v>275</v>
      </c>
      <c r="AI45" s="45">
        <f t="shared" si="3"/>
        <v>110</v>
      </c>
      <c r="AJ45" s="45">
        <f t="shared" si="2"/>
        <v>100</v>
      </c>
      <c r="AK45" t="s">
        <v>1021</v>
      </c>
      <c r="AL45" s="8" t="s">
        <v>1066</v>
      </c>
    </row>
    <row r="46" spans="1:38" x14ac:dyDescent="0.25">
      <c r="A46" t="s">
        <v>1047</v>
      </c>
      <c r="B46" s="9" t="s">
        <v>1067</v>
      </c>
      <c r="C46" t="str">
        <f>VLOOKUP(B46,[1]Plantings!$A$2:$C$285,2,FALSE)</f>
        <v>DEL_3</v>
      </c>
      <c r="D46" t="str">
        <f>VLOOKUP(B46,[1]Plantings!$A$2:$C$285,3,FALSE)</f>
        <v>repeat</v>
      </c>
      <c r="E46" s="18">
        <v>2018</v>
      </c>
      <c r="F46" t="s">
        <v>956</v>
      </c>
      <c r="G46" s="9" t="s">
        <v>7</v>
      </c>
      <c r="H46" s="62" t="s">
        <v>604</v>
      </c>
      <c r="I46" s="62" t="s">
        <v>957</v>
      </c>
      <c r="J46" s="9" t="s">
        <v>971</v>
      </c>
      <c r="K46" s="9" t="s">
        <v>971</v>
      </c>
      <c r="L46" s="9" t="s">
        <v>1065</v>
      </c>
      <c r="R46" s="9" t="s">
        <v>966</v>
      </c>
      <c r="S46" t="s">
        <v>966</v>
      </c>
      <c r="T46" s="59">
        <v>43279</v>
      </c>
      <c r="U46" s="201">
        <v>47.249850000000002</v>
      </c>
      <c r="V46" s="201">
        <v>-122.72317</v>
      </c>
      <c r="W46" t="str">
        <f>VLOOKUP(B46,[1]Plantings!$A$2:$E$285,4,FALSE)</f>
        <v>point</v>
      </c>
      <c r="X46" s="43" t="str">
        <f>VLOOKUP(B46,[1]Plantings!$A$2:$E$285,5,FALSE)</f>
        <v>retain</v>
      </c>
      <c r="Y46" s="48" t="s">
        <v>9</v>
      </c>
      <c r="Z46" s="44">
        <v>-1.6</v>
      </c>
      <c r="AA46" t="s">
        <v>982</v>
      </c>
      <c r="AB46">
        <v>5</v>
      </c>
      <c r="AC46">
        <v>0.5</v>
      </c>
      <c r="AD46">
        <f t="shared" si="8"/>
        <v>2.5</v>
      </c>
      <c r="AE46">
        <f t="shared" si="9"/>
        <v>2.25</v>
      </c>
      <c r="AF46" s="46">
        <f t="shared" si="7"/>
        <v>0.22500000000000001</v>
      </c>
      <c r="AG46" s="47">
        <v>9</v>
      </c>
      <c r="AH46" s="67">
        <f>AG46*25</f>
        <v>225</v>
      </c>
      <c r="AI46" s="45">
        <f t="shared" si="3"/>
        <v>90</v>
      </c>
      <c r="AJ46" s="45">
        <f t="shared" si="2"/>
        <v>100</v>
      </c>
      <c r="AK46" t="s">
        <v>1021</v>
      </c>
      <c r="AL46" s="8" t="s">
        <v>1068</v>
      </c>
    </row>
    <row r="47" spans="1:38" x14ac:dyDescent="0.25">
      <c r="A47" t="s">
        <v>1047</v>
      </c>
      <c r="B47" t="s">
        <v>1069</v>
      </c>
      <c r="C47" t="str">
        <f>VLOOKUP(B47,[1]Plantings!$A$2:$C$285,2,FALSE)</f>
        <v>DEL_east_1</v>
      </c>
      <c r="D47" t="str">
        <f>VLOOKUP(B47,[1]Plantings!$A$2:$C$285,3,FALSE)</f>
        <v>single</v>
      </c>
      <c r="E47" s="18">
        <v>2020</v>
      </c>
      <c r="F47" t="s">
        <v>956</v>
      </c>
      <c r="G47" t="s">
        <v>7</v>
      </c>
      <c r="H47" s="62" t="s">
        <v>604</v>
      </c>
      <c r="I47" s="62" t="s">
        <v>957</v>
      </c>
      <c r="J47" s="9" t="s">
        <v>1014</v>
      </c>
      <c r="K47" s="9" t="s">
        <v>978</v>
      </c>
      <c r="L47" s="9" t="s">
        <v>978</v>
      </c>
      <c r="M47" s="18" t="s">
        <v>979</v>
      </c>
      <c r="N47" s="9" t="s">
        <v>980</v>
      </c>
      <c r="O47" s="9" t="s">
        <v>963</v>
      </c>
      <c r="R47" s="9" t="s">
        <v>966</v>
      </c>
      <c r="S47" s="9" t="s">
        <v>966</v>
      </c>
      <c r="T47" s="59">
        <v>44013</v>
      </c>
      <c r="U47" s="43">
        <v>47.249993000000003</v>
      </c>
      <c r="V47" s="43">
        <v>-122.7228933</v>
      </c>
      <c r="W47" t="str">
        <f>VLOOKUP(B47,[1]Plantings!$A$2:$E$285,4,FALSE)</f>
        <v>point</v>
      </c>
      <c r="X47" s="43" t="str">
        <f>VLOOKUP(B47,[1]Plantings!$A$2:$E$285,5,FALSE)</f>
        <v>retain</v>
      </c>
      <c r="Y47" s="54" t="s">
        <v>9</v>
      </c>
      <c r="Z47" s="44">
        <v>-1.2</v>
      </c>
      <c r="AA47" s="45" t="s">
        <v>982</v>
      </c>
      <c r="AB47">
        <v>2.5</v>
      </c>
      <c r="AC47">
        <v>2.5</v>
      </c>
      <c r="AD47">
        <f t="shared" si="8"/>
        <v>6.25</v>
      </c>
      <c r="AE47">
        <f t="shared" si="9"/>
        <v>6.25</v>
      </c>
      <c r="AF47" s="46">
        <f t="shared" si="7"/>
        <v>0.625</v>
      </c>
      <c r="AG47">
        <v>25</v>
      </c>
      <c r="AH47">
        <v>625</v>
      </c>
      <c r="AI47" s="45">
        <f t="shared" si="3"/>
        <v>100</v>
      </c>
      <c r="AJ47" s="45">
        <f t="shared" si="2"/>
        <v>100</v>
      </c>
      <c r="AK47" t="s">
        <v>61</v>
      </c>
      <c r="AL47" s="8" t="s">
        <v>1070</v>
      </c>
    </row>
    <row r="48" spans="1:38" x14ac:dyDescent="0.25">
      <c r="A48" t="s">
        <v>1047</v>
      </c>
      <c r="B48" t="s">
        <v>1071</v>
      </c>
      <c r="C48" t="str">
        <f>VLOOKUP(B48,[1]Plantings!$A$2:$C$285,2,FALSE)</f>
        <v>DEL_west_1</v>
      </c>
      <c r="D48" t="str">
        <f>VLOOKUP(B48,[1]Plantings!$A$2:$C$285,3,FALSE)</f>
        <v>single</v>
      </c>
      <c r="E48" s="18">
        <v>2020</v>
      </c>
      <c r="F48" t="s">
        <v>956</v>
      </c>
      <c r="G48" t="s">
        <v>7</v>
      </c>
      <c r="H48" s="62" t="s">
        <v>604</v>
      </c>
      <c r="I48" s="62" t="s">
        <v>957</v>
      </c>
      <c r="J48" s="9" t="s">
        <v>1014</v>
      </c>
      <c r="K48" s="9" t="s">
        <v>978</v>
      </c>
      <c r="L48" s="9" t="s">
        <v>978</v>
      </c>
      <c r="M48" s="18" t="s">
        <v>979</v>
      </c>
      <c r="N48" s="9" t="s">
        <v>980</v>
      </c>
      <c r="O48" s="9" t="s">
        <v>963</v>
      </c>
      <c r="R48" s="9" t="s">
        <v>966</v>
      </c>
      <c r="S48" s="9" t="s">
        <v>966</v>
      </c>
      <c r="T48" s="59">
        <v>44013</v>
      </c>
      <c r="U48" s="202">
        <v>47.252598300000002</v>
      </c>
      <c r="V48" s="202">
        <v>-122.73546829999999</v>
      </c>
      <c r="W48" t="str">
        <f>VLOOKUP(B48,[1]Plantings!$A$2:$E$285,4,FALSE)</f>
        <v>point</v>
      </c>
      <c r="X48" s="43" t="str">
        <f>VLOOKUP(B48,[1]Plantings!$A$2:$E$285,5,FALSE)</f>
        <v>retain</v>
      </c>
      <c r="Y48" s="54" t="s">
        <v>9</v>
      </c>
      <c r="Z48" s="44">
        <v>-1.6</v>
      </c>
      <c r="AA48" s="45" t="s">
        <v>982</v>
      </c>
      <c r="AB48">
        <v>3</v>
      </c>
      <c r="AC48">
        <v>2.5</v>
      </c>
      <c r="AD48">
        <f t="shared" si="8"/>
        <v>7.5</v>
      </c>
      <c r="AE48">
        <f t="shared" si="9"/>
        <v>6.75</v>
      </c>
      <c r="AF48" s="46">
        <f t="shared" si="7"/>
        <v>0.67500000000000004</v>
      </c>
      <c r="AG48">
        <v>27</v>
      </c>
      <c r="AH48" s="71">
        <v>692</v>
      </c>
      <c r="AI48" s="45">
        <f t="shared" si="3"/>
        <v>92.266666666666666</v>
      </c>
      <c r="AJ48" s="45">
        <f t="shared" si="2"/>
        <v>102.51851851851852</v>
      </c>
      <c r="AK48" t="s">
        <v>61</v>
      </c>
      <c r="AL48" s="72" t="s">
        <v>1072</v>
      </c>
    </row>
    <row r="49" spans="1:38" x14ac:dyDescent="0.25">
      <c r="A49" s="9" t="s">
        <v>1047</v>
      </c>
      <c r="B49" s="9" t="s">
        <v>1073</v>
      </c>
      <c r="C49" t="str">
        <f>VLOOKUP(B49,[1]Plantings!$A$2:$C$285,2,FALSE)</f>
        <v>DEL_L</v>
      </c>
      <c r="D49" t="str">
        <f>VLOOKUP(B49,[1]Plantings!$A$2:$C$285,3,FALSE)</f>
        <v>single</v>
      </c>
      <c r="E49" s="18">
        <v>2021</v>
      </c>
      <c r="F49" t="s">
        <v>956</v>
      </c>
      <c r="G49" t="s">
        <v>7</v>
      </c>
      <c r="H49" s="62" t="s">
        <v>604</v>
      </c>
      <c r="I49" s="62" t="s">
        <v>957</v>
      </c>
      <c r="J49" s="9" t="s">
        <v>1014</v>
      </c>
      <c r="K49" s="9" t="s">
        <v>978</v>
      </c>
      <c r="L49" s="9" t="s">
        <v>978</v>
      </c>
      <c r="M49" s="18" t="s">
        <v>979</v>
      </c>
      <c r="N49" s="9" t="s">
        <v>980</v>
      </c>
      <c r="O49" s="9" t="s">
        <v>963</v>
      </c>
      <c r="R49" s="9" t="s">
        <v>1004</v>
      </c>
      <c r="S49" s="9" t="s">
        <v>1004</v>
      </c>
      <c r="T49" s="59">
        <v>44350</v>
      </c>
      <c r="U49" s="202">
        <v>47.252598300000002</v>
      </c>
      <c r="V49" s="202">
        <v>-122.73546829999999</v>
      </c>
      <c r="W49" t="str">
        <f>VLOOKUP(B49,[1]Plantings!$A$2:$E$285,4,FALSE)</f>
        <v>point</v>
      </c>
      <c r="X49" s="43" t="str">
        <f>VLOOKUP(B49,[1]Plantings!$A$2:$E$285,5,FALSE)</f>
        <v>retain</v>
      </c>
      <c r="Y49" s="54" t="s">
        <v>9</v>
      </c>
      <c r="Z49" s="44">
        <v>-1.3</v>
      </c>
      <c r="AA49" s="45" t="s">
        <v>982</v>
      </c>
      <c r="AB49">
        <v>50</v>
      </c>
      <c r="AC49">
        <v>5</v>
      </c>
      <c r="AD49">
        <f t="shared" si="8"/>
        <v>250</v>
      </c>
      <c r="AE49">
        <f t="shared" si="9"/>
        <v>149.25</v>
      </c>
      <c r="AF49" s="46">
        <f t="shared" si="7"/>
        <v>14.925000000000001</v>
      </c>
      <c r="AG49">
        <v>597</v>
      </c>
      <c r="AH49" s="71">
        <v>12305</v>
      </c>
      <c r="AI49" s="45">
        <f t="shared" si="3"/>
        <v>49.22</v>
      </c>
      <c r="AJ49" s="45">
        <f t="shared" si="2"/>
        <v>82.44556113902847</v>
      </c>
      <c r="AK49" t="s">
        <v>1074</v>
      </c>
      <c r="AL49" s="72"/>
    </row>
    <row r="50" spans="1:38" x14ac:dyDescent="0.25">
      <c r="A50" t="s">
        <v>1047</v>
      </c>
      <c r="B50" t="s">
        <v>1075</v>
      </c>
      <c r="C50" t="str">
        <f>VLOOKUP(B50,[1]Plantings!$A$2:$C$285,2,FALSE)</f>
        <v>DEL_west_shallow_1</v>
      </c>
      <c r="D50" t="str">
        <f>VLOOKUP(B50,[1]Plantings!$A$2:$C$285,3,FALSE)</f>
        <v>single</v>
      </c>
      <c r="E50" s="18">
        <v>2021</v>
      </c>
      <c r="H50" s="62"/>
      <c r="I50" s="62"/>
      <c r="J50" s="9" t="s">
        <v>971</v>
      </c>
      <c r="K50" s="9" t="s">
        <v>971</v>
      </c>
      <c r="L50" s="9"/>
      <c r="M50" s="18"/>
      <c r="N50" s="9"/>
      <c r="O50" s="9"/>
      <c r="R50" s="9" t="s">
        <v>966</v>
      </c>
      <c r="S50" s="9" t="s">
        <v>966</v>
      </c>
      <c r="T50" s="59">
        <v>44370</v>
      </c>
      <c r="U50" s="202"/>
      <c r="V50" s="202"/>
      <c r="W50" t="str">
        <f>VLOOKUP(B50,[1]Plantings!$A$2:$E$285,4,FALSE)</f>
        <v>point</v>
      </c>
      <c r="X50" s="43" t="str">
        <f>VLOOKUP(B50,[1]Plantings!$A$2:$E$285,5,FALSE)</f>
        <v>retain</v>
      </c>
      <c r="Y50" s="54" t="s">
        <v>9</v>
      </c>
      <c r="Z50" s="55">
        <v>-1.524</v>
      </c>
      <c r="AA50" s="9" t="s">
        <v>982</v>
      </c>
      <c r="AB50">
        <v>1.5</v>
      </c>
      <c r="AC50">
        <v>1</v>
      </c>
      <c r="AD50">
        <f t="shared" si="8"/>
        <v>1.5</v>
      </c>
      <c r="AE50">
        <f t="shared" si="9"/>
        <v>4.5</v>
      </c>
      <c r="AF50" s="46">
        <f t="shared" si="7"/>
        <v>0.45</v>
      </c>
      <c r="AG50">
        <v>18</v>
      </c>
      <c r="AH50" s="71">
        <v>270</v>
      </c>
      <c r="AI50" s="45">
        <f t="shared" si="3"/>
        <v>180</v>
      </c>
      <c r="AJ50" s="45">
        <f t="shared" si="2"/>
        <v>60</v>
      </c>
      <c r="AK50" t="s">
        <v>1021</v>
      </c>
      <c r="AL50" s="72"/>
    </row>
    <row r="51" spans="1:38" x14ac:dyDescent="0.25">
      <c r="A51" t="s">
        <v>1047</v>
      </c>
      <c r="B51" t="s">
        <v>1076</v>
      </c>
      <c r="C51" t="str">
        <f>VLOOKUP(B51,[1]Plantings!$A$2:$C$285,2,FALSE)</f>
        <v>DEL_west_deep_1</v>
      </c>
      <c r="D51" t="str">
        <f>VLOOKUP(B51,[1]Plantings!$A$2:$C$285,3,FALSE)</f>
        <v>single</v>
      </c>
      <c r="E51" s="18">
        <v>2021</v>
      </c>
      <c r="H51" s="62"/>
      <c r="I51" s="62"/>
      <c r="J51" s="9" t="s">
        <v>971</v>
      </c>
      <c r="K51" s="9" t="s">
        <v>971</v>
      </c>
      <c r="L51" s="9"/>
      <c r="M51" s="18"/>
      <c r="N51" s="9"/>
      <c r="O51" s="9"/>
      <c r="R51" s="9" t="s">
        <v>966</v>
      </c>
      <c r="S51" s="9" t="s">
        <v>966</v>
      </c>
      <c r="T51" s="59">
        <v>44370</v>
      </c>
      <c r="U51" s="202"/>
      <c r="V51" s="202"/>
      <c r="W51" t="str">
        <f>VLOOKUP(B51,[1]Plantings!$A$2:$E$285,4,FALSE)</f>
        <v>point</v>
      </c>
      <c r="X51" s="43" t="str">
        <f>VLOOKUP(B51,[1]Plantings!$A$2:$E$285,5,FALSE)</f>
        <v>retain</v>
      </c>
      <c r="Y51" s="54" t="s">
        <v>9</v>
      </c>
      <c r="Z51" s="55">
        <v>-1.524</v>
      </c>
      <c r="AA51" s="9" t="s">
        <v>982</v>
      </c>
      <c r="AB51">
        <v>1</v>
      </c>
      <c r="AC51">
        <v>1</v>
      </c>
      <c r="AD51">
        <f t="shared" si="8"/>
        <v>1</v>
      </c>
      <c r="AE51">
        <f t="shared" si="9"/>
        <v>3</v>
      </c>
      <c r="AF51" s="46">
        <f t="shared" si="7"/>
        <v>0.30000000000000004</v>
      </c>
      <c r="AG51">
        <v>12</v>
      </c>
      <c r="AH51" s="71">
        <v>180</v>
      </c>
      <c r="AI51" s="45">
        <f t="shared" si="3"/>
        <v>180</v>
      </c>
      <c r="AJ51" s="45">
        <f t="shared" si="2"/>
        <v>60</v>
      </c>
      <c r="AK51" t="s">
        <v>1021</v>
      </c>
      <c r="AL51" s="72"/>
    </row>
    <row r="52" spans="1:38" x14ac:dyDescent="0.25">
      <c r="A52" t="s">
        <v>942</v>
      </c>
      <c r="B52" t="s">
        <v>1077</v>
      </c>
      <c r="C52" t="str">
        <f>VLOOKUP(B52,[1]Plantings!$A$2:$C$285,2,FALSE)</f>
        <v>DB_test_1</v>
      </c>
      <c r="D52" t="str">
        <f>VLOOKUP(B52,[1]Plantings!$A$2:$C$285,3,FALSE)</f>
        <v>single</v>
      </c>
      <c r="E52">
        <v>2020</v>
      </c>
      <c r="F52" t="s">
        <v>1027</v>
      </c>
      <c r="G52" t="s">
        <v>7</v>
      </c>
      <c r="H52" t="s">
        <v>1078</v>
      </c>
      <c r="I52" t="s">
        <v>957</v>
      </c>
      <c r="J52" t="s">
        <v>938</v>
      </c>
      <c r="K52" s="9" t="s">
        <v>938</v>
      </c>
      <c r="L52" s="9" t="s">
        <v>1079</v>
      </c>
      <c r="N52" t="s">
        <v>1080</v>
      </c>
      <c r="R52" t="s">
        <v>966</v>
      </c>
      <c r="S52" t="s">
        <v>966</v>
      </c>
      <c r="T52" s="59">
        <v>44018</v>
      </c>
      <c r="U52" s="49">
        <v>47.329329999999999</v>
      </c>
      <c r="V52" s="49">
        <v>-122.38615</v>
      </c>
      <c r="W52" t="str">
        <f>VLOOKUP(B52,[1]Plantings!$A$2:$E$285,4,FALSE)</f>
        <v>point</v>
      </c>
      <c r="X52" s="43" t="str">
        <f>VLOOKUP(B52,[1]Plantings!$A$2:$E$285,5,FALSE)</f>
        <v>retain</v>
      </c>
      <c r="Y52" s="48" t="s">
        <v>9</v>
      </c>
      <c r="Z52" s="44">
        <v>-1.6</v>
      </c>
      <c r="AA52" s="45" t="s">
        <v>982</v>
      </c>
      <c r="AB52">
        <v>3.5</v>
      </c>
      <c r="AC52">
        <v>3.5</v>
      </c>
      <c r="AD52">
        <f t="shared" si="8"/>
        <v>12.25</v>
      </c>
      <c r="AE52">
        <v>1.5</v>
      </c>
      <c r="AF52" s="46">
        <f t="shared" si="7"/>
        <v>0.45</v>
      </c>
      <c r="AG52">
        <v>18</v>
      </c>
      <c r="AH52" s="47">
        <v>300</v>
      </c>
      <c r="AI52" s="45">
        <f t="shared" si="3"/>
        <v>24.489795918367346</v>
      </c>
      <c r="AJ52" s="45">
        <f t="shared" si="2"/>
        <v>200</v>
      </c>
      <c r="AK52" t="s">
        <v>942</v>
      </c>
      <c r="AL52" s="8" t="s">
        <v>1081</v>
      </c>
    </row>
    <row r="53" spans="1:38" x14ac:dyDescent="0.25">
      <c r="A53" t="s">
        <v>942</v>
      </c>
      <c r="B53" t="s">
        <v>1082</v>
      </c>
      <c r="C53" t="str">
        <f>VLOOKUP(B53,[1]Plantings!$A$2:$C$285,2,FALSE)</f>
        <v>DB_test_2</v>
      </c>
      <c r="D53" t="str">
        <f>VLOOKUP(B53,[1]Plantings!$A$2:$C$285,3,FALSE)</f>
        <v>single</v>
      </c>
      <c r="E53">
        <v>2021</v>
      </c>
      <c r="F53" t="s">
        <v>1027</v>
      </c>
      <c r="G53" t="s">
        <v>7</v>
      </c>
      <c r="H53" t="s">
        <v>1078</v>
      </c>
      <c r="I53" t="s">
        <v>957</v>
      </c>
      <c r="J53" t="s">
        <v>938</v>
      </c>
      <c r="K53" s="9" t="s">
        <v>938</v>
      </c>
      <c r="L53" s="9" t="s">
        <v>1079</v>
      </c>
      <c r="N53" t="s">
        <v>1080</v>
      </c>
      <c r="R53" t="s">
        <v>966</v>
      </c>
      <c r="S53" t="s">
        <v>966</v>
      </c>
      <c r="T53" s="59">
        <v>44314</v>
      </c>
      <c r="U53" s="49">
        <v>47.329329999999999</v>
      </c>
      <c r="V53" s="49">
        <v>-122.38615</v>
      </c>
      <c r="W53" t="str">
        <f>VLOOKUP(B53,[1]Plantings!$A$2:$E$285,4,FALSE)</f>
        <v>point</v>
      </c>
      <c r="X53" s="43" t="str">
        <f>VLOOKUP(B53,[1]Plantings!$A$2:$E$285,5,FALSE)</f>
        <v>retain</v>
      </c>
      <c r="Y53" s="48" t="s">
        <v>9</v>
      </c>
      <c r="Z53" s="44">
        <v>-1.6</v>
      </c>
      <c r="AA53" s="45" t="s">
        <v>982</v>
      </c>
      <c r="AB53">
        <v>3.5</v>
      </c>
      <c r="AC53">
        <v>3.5</v>
      </c>
      <c r="AD53">
        <f t="shared" si="8"/>
        <v>12.25</v>
      </c>
      <c r="AE53">
        <v>1</v>
      </c>
      <c r="AF53" s="46">
        <f t="shared" si="7"/>
        <v>0.30000000000000004</v>
      </c>
      <c r="AG53">
        <v>12</v>
      </c>
      <c r="AH53" s="47">
        <v>300</v>
      </c>
      <c r="AI53" s="45">
        <f t="shared" si="3"/>
        <v>24.489795918367346</v>
      </c>
      <c r="AJ53" s="45">
        <f t="shared" si="2"/>
        <v>300</v>
      </c>
      <c r="AK53" t="s">
        <v>942</v>
      </c>
      <c r="AL53" s="8" t="s">
        <v>1083</v>
      </c>
    </row>
    <row r="54" spans="1:38" x14ac:dyDescent="0.25">
      <c r="A54" t="s">
        <v>942</v>
      </c>
      <c r="B54" t="s">
        <v>1082</v>
      </c>
      <c r="C54" t="str">
        <f>VLOOKUP(B54,[1]Plantings!$A$2:$C$285,2,FALSE)</f>
        <v>DB_test_2</v>
      </c>
      <c r="D54" t="str">
        <f>VLOOKUP(B54,[1]Plantings!$A$2:$C$285,3,FALSE)</f>
        <v>single</v>
      </c>
      <c r="E54">
        <v>2021</v>
      </c>
      <c r="F54" t="s">
        <v>1027</v>
      </c>
      <c r="G54" t="s">
        <v>7</v>
      </c>
      <c r="H54" t="s">
        <v>1078</v>
      </c>
      <c r="I54" t="s">
        <v>957</v>
      </c>
      <c r="J54" t="s">
        <v>938</v>
      </c>
      <c r="K54" s="9" t="s">
        <v>938</v>
      </c>
      <c r="L54" s="9" t="s">
        <v>1079</v>
      </c>
      <c r="N54" t="s">
        <v>1080</v>
      </c>
      <c r="R54" t="s">
        <v>966</v>
      </c>
      <c r="S54" t="s">
        <v>966</v>
      </c>
      <c r="T54" s="59">
        <v>44329</v>
      </c>
      <c r="U54" s="49">
        <v>47.329329999999999</v>
      </c>
      <c r="V54" s="49">
        <v>-122.38615</v>
      </c>
      <c r="W54" t="str">
        <f>VLOOKUP(B54,[1]Plantings!$A$2:$E$285,4,FALSE)</f>
        <v>point</v>
      </c>
      <c r="X54" s="43" t="str">
        <f>VLOOKUP(B54,[1]Plantings!$A$2:$E$285,5,FALSE)</f>
        <v>retain</v>
      </c>
      <c r="Y54" s="48" t="s">
        <v>9</v>
      </c>
      <c r="Z54" s="44">
        <v>-1.6</v>
      </c>
      <c r="AA54" s="45" t="s">
        <v>982</v>
      </c>
      <c r="AB54">
        <v>3.5</v>
      </c>
      <c r="AC54">
        <v>0.5</v>
      </c>
      <c r="AD54">
        <f t="shared" si="8"/>
        <v>1.75</v>
      </c>
      <c r="AE54">
        <v>0.75</v>
      </c>
      <c r="AF54" s="46">
        <f t="shared" si="7"/>
        <v>0.22500000000000001</v>
      </c>
      <c r="AG54">
        <v>9</v>
      </c>
      <c r="AH54" s="47">
        <v>180</v>
      </c>
      <c r="AI54" s="45">
        <f t="shared" si="3"/>
        <v>102.85714285714286</v>
      </c>
      <c r="AJ54" s="45">
        <f t="shared" si="2"/>
        <v>240</v>
      </c>
      <c r="AK54" t="s">
        <v>1021</v>
      </c>
      <c r="AL54" s="8" t="s">
        <v>1084</v>
      </c>
    </row>
    <row r="55" spans="1:38" x14ac:dyDescent="0.25">
      <c r="A55" t="s">
        <v>942</v>
      </c>
      <c r="B55" t="s">
        <v>1082</v>
      </c>
      <c r="C55" t="str">
        <f>VLOOKUP(B55,[1]Plantings!$A$2:$C$285,2,FALSE)</f>
        <v>DB_test_2</v>
      </c>
      <c r="D55" t="str">
        <f>VLOOKUP(B55,[1]Plantings!$A$2:$C$285,3,FALSE)</f>
        <v>single</v>
      </c>
      <c r="E55">
        <v>2021</v>
      </c>
      <c r="F55" t="s">
        <v>1027</v>
      </c>
      <c r="G55" t="s">
        <v>7</v>
      </c>
      <c r="H55" t="s">
        <v>1078</v>
      </c>
      <c r="I55" t="s">
        <v>957</v>
      </c>
      <c r="J55" t="s">
        <v>938</v>
      </c>
      <c r="K55" s="9" t="s">
        <v>938</v>
      </c>
      <c r="L55" s="9" t="s">
        <v>1079</v>
      </c>
      <c r="N55" t="s">
        <v>1080</v>
      </c>
      <c r="R55" t="s">
        <v>966</v>
      </c>
      <c r="S55" t="s">
        <v>966</v>
      </c>
      <c r="T55" s="59">
        <v>44342</v>
      </c>
      <c r="U55" s="49">
        <v>47.329329999999999</v>
      </c>
      <c r="V55" s="49">
        <v>-122.38615</v>
      </c>
      <c r="W55" t="str">
        <f>VLOOKUP(B55,[1]Plantings!$A$2:$E$285,4,FALSE)</f>
        <v>point</v>
      </c>
      <c r="X55" s="43" t="str">
        <f>VLOOKUP(B55,[1]Plantings!$A$2:$E$285,5,FALSE)</f>
        <v>retain</v>
      </c>
      <c r="Y55" s="48" t="s">
        <v>9</v>
      </c>
      <c r="Z55" s="44">
        <v>-1.6</v>
      </c>
      <c r="AA55" s="45" t="s">
        <v>982</v>
      </c>
      <c r="AB55">
        <v>3.5</v>
      </c>
      <c r="AC55">
        <v>0.5</v>
      </c>
      <c r="AD55">
        <f t="shared" si="8"/>
        <v>1.75</v>
      </c>
      <c r="AE55">
        <v>0.75</v>
      </c>
      <c r="AF55" s="46">
        <f t="shared" si="7"/>
        <v>0.22500000000000001</v>
      </c>
      <c r="AG55">
        <v>9</v>
      </c>
      <c r="AH55" s="47">
        <v>180</v>
      </c>
      <c r="AI55" s="45">
        <f t="shared" si="3"/>
        <v>102.85714285714286</v>
      </c>
      <c r="AJ55" s="45">
        <f t="shared" si="2"/>
        <v>240</v>
      </c>
      <c r="AK55" t="s">
        <v>1021</v>
      </c>
      <c r="AL55" s="8" t="s">
        <v>1085</v>
      </c>
    </row>
    <row r="56" spans="1:38" x14ac:dyDescent="0.25">
      <c r="A56" t="s">
        <v>942</v>
      </c>
      <c r="B56" t="s">
        <v>1082</v>
      </c>
      <c r="C56" t="str">
        <f>VLOOKUP(B56,[1]Plantings!$A$2:$C$285,2,FALSE)</f>
        <v>DB_test_2</v>
      </c>
      <c r="D56" t="str">
        <f>VLOOKUP(B56,[1]Plantings!$A$2:$C$285,3,FALSE)</f>
        <v>single</v>
      </c>
      <c r="E56">
        <v>2021</v>
      </c>
      <c r="F56" t="s">
        <v>1027</v>
      </c>
      <c r="G56" t="s">
        <v>7</v>
      </c>
      <c r="H56" t="s">
        <v>1078</v>
      </c>
      <c r="I56" t="s">
        <v>957</v>
      </c>
      <c r="J56" t="s">
        <v>938</v>
      </c>
      <c r="K56" s="9" t="s">
        <v>938</v>
      </c>
      <c r="L56" s="9" t="s">
        <v>1079</v>
      </c>
      <c r="N56" t="s">
        <v>1080</v>
      </c>
      <c r="R56" t="s">
        <v>966</v>
      </c>
      <c r="S56" t="s">
        <v>966</v>
      </c>
      <c r="T56" s="59">
        <v>44373</v>
      </c>
      <c r="U56" s="49">
        <v>47.329329999999999</v>
      </c>
      <c r="V56" s="49">
        <v>-122.38615</v>
      </c>
      <c r="W56" t="str">
        <f>VLOOKUP(B56,[1]Plantings!$A$2:$E$285,4,FALSE)</f>
        <v>point</v>
      </c>
      <c r="X56" s="43" t="str">
        <f>VLOOKUP(B56,[1]Plantings!$A$2:$E$285,5,FALSE)</f>
        <v>retain</v>
      </c>
      <c r="Y56" s="48" t="s">
        <v>9</v>
      </c>
      <c r="Z56" s="44">
        <v>-1.6</v>
      </c>
      <c r="AA56" s="45" t="s">
        <v>982</v>
      </c>
      <c r="AB56">
        <v>3.5</v>
      </c>
      <c r="AC56">
        <v>2</v>
      </c>
      <c r="AD56">
        <f t="shared" si="8"/>
        <v>7</v>
      </c>
      <c r="AE56">
        <v>1.5</v>
      </c>
      <c r="AF56" s="46">
        <f t="shared" si="7"/>
        <v>0.45</v>
      </c>
      <c r="AG56">
        <v>18</v>
      </c>
      <c r="AH56" s="47">
        <v>270</v>
      </c>
      <c r="AI56" s="45">
        <f t="shared" si="3"/>
        <v>38.571428571428569</v>
      </c>
      <c r="AJ56" s="45">
        <f t="shared" si="2"/>
        <v>180</v>
      </c>
      <c r="AK56" t="s">
        <v>1021</v>
      </c>
      <c r="AL56" s="8" t="s">
        <v>1086</v>
      </c>
    </row>
    <row r="57" spans="1:38" x14ac:dyDescent="0.25">
      <c r="A57" t="s">
        <v>942</v>
      </c>
      <c r="B57" t="s">
        <v>1087</v>
      </c>
      <c r="C57" t="str">
        <f>VLOOKUP(B57,[1]Plantings!$A$2:$C$285,2,FALSE)</f>
        <v>DB_test_6</v>
      </c>
      <c r="D57" t="str">
        <f>VLOOKUP(B57,[1]Plantings!$A$2:$C$285,3,FALSE)</f>
        <v>single</v>
      </c>
      <c r="E57">
        <v>2022</v>
      </c>
      <c r="F57" t="s">
        <v>1027</v>
      </c>
      <c r="G57" t="s">
        <v>7</v>
      </c>
      <c r="H57" t="s">
        <v>1078</v>
      </c>
      <c r="I57" t="s">
        <v>957</v>
      </c>
      <c r="J57" t="s">
        <v>938</v>
      </c>
      <c r="K57" s="9" t="s">
        <v>938</v>
      </c>
      <c r="L57" s="9" t="s">
        <v>1079</v>
      </c>
      <c r="N57" t="s">
        <v>1080</v>
      </c>
      <c r="R57" t="s">
        <v>966</v>
      </c>
      <c r="S57" t="s">
        <v>966</v>
      </c>
      <c r="T57" s="59">
        <v>44728</v>
      </c>
      <c r="U57" s="49">
        <v>47.329329999999999</v>
      </c>
      <c r="V57" s="49">
        <v>-122.38615</v>
      </c>
      <c r="W57" t="str">
        <f>VLOOKUP(B57,[1]Plantings!$A$2:$E$285,4,FALSE)</f>
        <v>point</v>
      </c>
      <c r="X57" s="43" t="str">
        <f>VLOOKUP(B57,[1]Plantings!$A$2:$E$285,5,FALSE)</f>
        <v>retain</v>
      </c>
      <c r="Y57" s="48" t="s">
        <v>9</v>
      </c>
      <c r="Z57" s="44">
        <v>-1.6</v>
      </c>
      <c r="AA57" s="45" t="s">
        <v>982</v>
      </c>
      <c r="AB57">
        <v>10</v>
      </c>
      <c r="AC57">
        <v>1</v>
      </c>
      <c r="AD57">
        <f t="shared" si="8"/>
        <v>10</v>
      </c>
      <c r="AE57">
        <v>5</v>
      </c>
      <c r="AF57" s="46">
        <f t="shared" si="7"/>
        <v>1.5</v>
      </c>
      <c r="AG57">
        <v>60</v>
      </c>
      <c r="AH57" s="47">
        <v>720</v>
      </c>
      <c r="AI57" s="45">
        <f t="shared" si="3"/>
        <v>72</v>
      </c>
      <c r="AJ57" s="45">
        <f t="shared" si="2"/>
        <v>144</v>
      </c>
      <c r="AK57" t="s">
        <v>1021</v>
      </c>
      <c r="AL57" s="8" t="s">
        <v>1088</v>
      </c>
    </row>
    <row r="58" spans="1:38" x14ac:dyDescent="0.25">
      <c r="A58" t="s">
        <v>942</v>
      </c>
      <c r="B58" t="s">
        <v>1089</v>
      </c>
      <c r="C58" t="str">
        <f>VLOOKUP(B58,[1]Plantings!$A$2:$C$285,2,FALSE)</f>
        <v>DB_test_7</v>
      </c>
      <c r="D58" t="str">
        <f>VLOOKUP(B58,[1]Plantings!$A$2:$C$285,3,FALSE)</f>
        <v>single</v>
      </c>
      <c r="E58">
        <v>2022</v>
      </c>
      <c r="F58" t="s">
        <v>1027</v>
      </c>
      <c r="G58" t="s">
        <v>7</v>
      </c>
      <c r="H58" t="s">
        <v>1078</v>
      </c>
      <c r="I58" t="s">
        <v>957</v>
      </c>
      <c r="J58" t="s">
        <v>938</v>
      </c>
      <c r="K58" s="9" t="s">
        <v>938</v>
      </c>
      <c r="L58" s="9" t="s">
        <v>1079</v>
      </c>
      <c r="N58" t="s">
        <v>1080</v>
      </c>
      <c r="R58" t="s">
        <v>966</v>
      </c>
      <c r="S58" t="s">
        <v>966</v>
      </c>
      <c r="T58" s="59">
        <v>44700</v>
      </c>
      <c r="U58" s="49">
        <v>47.329329999999999</v>
      </c>
      <c r="V58" s="49">
        <v>-122.38615</v>
      </c>
      <c r="W58" t="str">
        <f>VLOOKUP(B58,[1]Plantings!$A$2:$E$285,4,FALSE)</f>
        <v>point</v>
      </c>
      <c r="X58" s="43" t="str">
        <f>VLOOKUP(B58,[1]Plantings!$A$2:$E$285,5,FALSE)</f>
        <v>retain</v>
      </c>
      <c r="Y58" s="48" t="s">
        <v>9</v>
      </c>
      <c r="Z58" s="44">
        <v>-1.6</v>
      </c>
      <c r="AA58" s="45" t="s">
        <v>982</v>
      </c>
      <c r="AB58">
        <v>3</v>
      </c>
      <c r="AC58">
        <v>0.5</v>
      </c>
      <c r="AD58">
        <f t="shared" si="8"/>
        <v>1.5</v>
      </c>
      <c r="AE58">
        <f>AG58*0.25</f>
        <v>5</v>
      </c>
      <c r="AF58" s="46">
        <f>IF(AA58="staple",AG58*0.005,IF(AA58="rebar",AG58*0.025,IF(AA58="burlap",AG58*0.0625,IF(AA58="washer",AG58*0.0025,IF(AA58="pucks",AG58*0.00785,IF(AA58="turf",AG58*0.01,IF(AA58="TERFS",AG58*0.25,IF(AA58="",""))))))))</f>
        <v>0.5</v>
      </c>
      <c r="AG58" s="47">
        <v>20</v>
      </c>
      <c r="AH58" s="60">
        <v>400</v>
      </c>
      <c r="AI58" s="45">
        <f t="shared" si="3"/>
        <v>266.66666666666669</v>
      </c>
      <c r="AJ58" s="45">
        <f t="shared" si="2"/>
        <v>80</v>
      </c>
      <c r="AK58" t="s">
        <v>1021</v>
      </c>
      <c r="AL58" s="8" t="s">
        <v>1090</v>
      </c>
    </row>
    <row r="59" spans="1:38" x14ac:dyDescent="0.25">
      <c r="A59" t="s">
        <v>269</v>
      </c>
      <c r="B59" t="s">
        <v>1091</v>
      </c>
      <c r="C59" t="str">
        <f>VLOOKUP(B59,[1]Plantings!$A$2:$C$285,2,FALSE)</f>
        <v>ELD_shallow</v>
      </c>
      <c r="D59" t="str">
        <f>VLOOKUP(B59,[1]Plantings!$A$2:$C$285,3,FALSE)</f>
        <v>single</v>
      </c>
      <c r="E59">
        <v>2015</v>
      </c>
      <c r="G59" t="s">
        <v>7</v>
      </c>
      <c r="H59" t="s">
        <v>269</v>
      </c>
      <c r="I59" t="s">
        <v>1092</v>
      </c>
      <c r="J59" t="s">
        <v>123</v>
      </c>
      <c r="K59" t="s">
        <v>971</v>
      </c>
      <c r="L59" t="s">
        <v>972</v>
      </c>
      <c r="O59" t="s">
        <v>963</v>
      </c>
      <c r="P59" t="s">
        <v>973</v>
      </c>
      <c r="Q59" t="s">
        <v>974</v>
      </c>
      <c r="R59" t="s">
        <v>966</v>
      </c>
      <c r="S59" t="s">
        <v>966</v>
      </c>
      <c r="T59" s="59">
        <v>42075</v>
      </c>
      <c r="U59" s="43">
        <v>47.0974</v>
      </c>
      <c r="V59" s="43">
        <v>-122.95525000000001</v>
      </c>
      <c r="W59" t="str">
        <f>VLOOKUP(B59,[1]Plantings!$A$2:$E$285,4,FALSE)</f>
        <v>point</v>
      </c>
      <c r="X59" s="43" t="str">
        <f>VLOOKUP(B59,[1]Plantings!$A$2:$E$285,5,FALSE)</f>
        <v>retain</v>
      </c>
      <c r="Y59" s="48" t="s">
        <v>9</v>
      </c>
      <c r="Z59" s="44">
        <v>-1.0668</v>
      </c>
      <c r="AA59" s="45" t="s">
        <v>967</v>
      </c>
      <c r="AB59">
        <v>5</v>
      </c>
      <c r="AC59">
        <v>5</v>
      </c>
      <c r="AD59">
        <f t="shared" si="8"/>
        <v>25</v>
      </c>
      <c r="AE59">
        <v>25</v>
      </c>
      <c r="AF59" s="46">
        <f t="shared" ref="AF59:AF84" si="10">IF(AA59="staple",AG59*0.005,IF(AA59="rebar",AG59*0.025,IF(AA59="burlap",AG59*0.0625,IF(AA59="washer",AG59*0.0025,IF(AA59="pucks",AG59*0.00785,IF(AA59="turf",AG59*0.01,IF(AA59="","")))))))</f>
        <v>0.625</v>
      </c>
      <c r="AG59" s="47">
        <f>AH59/4</f>
        <v>125</v>
      </c>
      <c r="AH59" s="53">
        <v>500</v>
      </c>
      <c r="AI59" s="45">
        <f t="shared" si="3"/>
        <v>20</v>
      </c>
      <c r="AJ59" s="45">
        <f t="shared" si="2"/>
        <v>20</v>
      </c>
      <c r="AK59" t="s">
        <v>1093</v>
      </c>
      <c r="AL59" s="8" t="s">
        <v>1094</v>
      </c>
    </row>
    <row r="60" spans="1:38" x14ac:dyDescent="0.25">
      <c r="A60" t="s">
        <v>269</v>
      </c>
      <c r="B60" t="s">
        <v>1095</v>
      </c>
      <c r="C60" t="str">
        <f>VLOOKUP(B60,[1]Plantings!$A$2:$C$285,2,FALSE)</f>
        <v>ELD_deep</v>
      </c>
      <c r="D60" t="str">
        <f>VLOOKUP(B60,[1]Plantings!$A$2:$C$285,3,FALSE)</f>
        <v>single</v>
      </c>
      <c r="E60">
        <v>2015</v>
      </c>
      <c r="G60" t="s">
        <v>7</v>
      </c>
      <c r="H60" t="s">
        <v>269</v>
      </c>
      <c r="I60" t="s">
        <v>1092</v>
      </c>
      <c r="J60" t="s">
        <v>123</v>
      </c>
      <c r="K60" t="s">
        <v>971</v>
      </c>
      <c r="L60" t="s">
        <v>972</v>
      </c>
      <c r="O60" t="s">
        <v>963</v>
      </c>
      <c r="P60" t="s">
        <v>973</v>
      </c>
      <c r="Q60" t="s">
        <v>974</v>
      </c>
      <c r="R60" t="s">
        <v>966</v>
      </c>
      <c r="S60" t="s">
        <v>966</v>
      </c>
      <c r="T60" s="59">
        <v>42075</v>
      </c>
      <c r="U60" s="43">
        <v>47.097516666666664</v>
      </c>
      <c r="V60" s="43">
        <v>-122.95535</v>
      </c>
      <c r="W60" t="str">
        <f>VLOOKUP(B60,[1]Plantings!$A$2:$E$285,4,FALSE)</f>
        <v>point</v>
      </c>
      <c r="X60" s="43" t="str">
        <f>VLOOKUP(B60,[1]Plantings!$A$2:$E$285,5,FALSE)</f>
        <v>retain</v>
      </c>
      <c r="Y60" s="48" t="s">
        <v>9</v>
      </c>
      <c r="Z60" s="44">
        <v>-2.1335999999999999</v>
      </c>
      <c r="AA60" s="70" t="s">
        <v>967</v>
      </c>
      <c r="AB60">
        <v>5</v>
      </c>
      <c r="AC60">
        <v>5</v>
      </c>
      <c r="AD60">
        <f t="shared" si="8"/>
        <v>25</v>
      </c>
      <c r="AE60">
        <v>25</v>
      </c>
      <c r="AF60" s="46">
        <f t="shared" si="10"/>
        <v>0.625</v>
      </c>
      <c r="AG60" s="47">
        <f>AH60/4</f>
        <v>125</v>
      </c>
      <c r="AH60" s="53">
        <v>500</v>
      </c>
      <c r="AI60" s="45">
        <f t="shared" si="3"/>
        <v>20</v>
      </c>
      <c r="AJ60" s="45">
        <f t="shared" si="2"/>
        <v>20</v>
      </c>
      <c r="AK60" t="s">
        <v>1093</v>
      </c>
      <c r="AL60" s="8" t="s">
        <v>1096</v>
      </c>
    </row>
    <row r="61" spans="1:38" x14ac:dyDescent="0.25">
      <c r="A61" t="s">
        <v>269</v>
      </c>
      <c r="B61" t="s">
        <v>1097</v>
      </c>
      <c r="C61" t="str">
        <f>VLOOKUP(B61,[1]Plantings!$A$2:$C$285,2,FALSE)</f>
        <v>ELD</v>
      </c>
      <c r="D61" t="str">
        <f>VLOOKUP(B61,[1]Plantings!$A$2:$C$285,3,FALSE)</f>
        <v>single</v>
      </c>
      <c r="E61" s="18">
        <v>2020</v>
      </c>
      <c r="G61" t="s">
        <v>7</v>
      </c>
      <c r="H61" t="s">
        <v>269</v>
      </c>
      <c r="I61" t="s">
        <v>1092</v>
      </c>
      <c r="J61" s="9" t="s">
        <v>1014</v>
      </c>
      <c r="K61" s="9" t="s">
        <v>978</v>
      </c>
      <c r="L61" s="9" t="s">
        <v>978</v>
      </c>
      <c r="M61" s="18" t="s">
        <v>979</v>
      </c>
      <c r="N61" s="9" t="s">
        <v>980</v>
      </c>
      <c r="O61" s="9" t="s">
        <v>963</v>
      </c>
      <c r="R61" t="s">
        <v>966</v>
      </c>
      <c r="S61" t="s">
        <v>966</v>
      </c>
      <c r="T61" s="59">
        <v>44013</v>
      </c>
      <c r="U61" s="202">
        <v>47.121210165999997</v>
      </c>
      <c r="V61" s="203">
        <v>-122.9437588</v>
      </c>
      <c r="W61" t="str">
        <f>VLOOKUP(B61,[1]Plantings!$A$2:$E$285,4,FALSE)</f>
        <v>point</v>
      </c>
      <c r="X61" s="43" t="str">
        <f>VLOOKUP(B61,[1]Plantings!$A$2:$E$285,5,FALSE)</f>
        <v>retain</v>
      </c>
      <c r="Y61" s="54" t="s">
        <v>9</v>
      </c>
      <c r="Z61" s="44">
        <v>-1.6</v>
      </c>
      <c r="AA61" s="45" t="s">
        <v>982</v>
      </c>
      <c r="AB61">
        <v>3</v>
      </c>
      <c r="AC61">
        <v>2.5</v>
      </c>
      <c r="AD61">
        <f t="shared" si="8"/>
        <v>7.5</v>
      </c>
      <c r="AE61">
        <f>AG61*0.25</f>
        <v>6.25</v>
      </c>
      <c r="AF61" s="46">
        <f t="shared" si="10"/>
        <v>0.625</v>
      </c>
      <c r="AG61">
        <v>25</v>
      </c>
      <c r="AH61" s="71">
        <v>625</v>
      </c>
      <c r="AI61" s="45">
        <f t="shared" si="3"/>
        <v>83.333333333333329</v>
      </c>
      <c r="AJ61" s="45">
        <f t="shared" si="2"/>
        <v>100</v>
      </c>
      <c r="AK61" t="s">
        <v>61</v>
      </c>
      <c r="AL61" s="72" t="s">
        <v>1098</v>
      </c>
    </row>
    <row r="62" spans="1:38" x14ac:dyDescent="0.25">
      <c r="A62" s="9" t="s">
        <v>462</v>
      </c>
      <c r="B62" s="9" t="s">
        <v>1099</v>
      </c>
      <c r="C62" t="str">
        <f>VLOOKUP(B62,[1]Plantings!$A$2:$C$285,2,FALSE)</f>
        <v>ELW_deep_west</v>
      </c>
      <c r="D62" t="str">
        <f>VLOOKUP(B62,[1]Plantings!$A$2:$C$285,3,FALSE)</f>
        <v>single</v>
      </c>
      <c r="E62" s="9">
        <v>2016</v>
      </c>
      <c r="F62" s="9"/>
      <c r="G62" s="9" t="s">
        <v>7</v>
      </c>
      <c r="H62" s="9" t="s">
        <v>462</v>
      </c>
      <c r="I62" t="s">
        <v>1028</v>
      </c>
      <c r="J62" s="9" t="s">
        <v>349</v>
      </c>
      <c r="K62" s="9" t="s">
        <v>978</v>
      </c>
      <c r="L62" s="9" t="s">
        <v>978</v>
      </c>
      <c r="M62" s="18" t="s">
        <v>979</v>
      </c>
      <c r="N62" s="9" t="s">
        <v>980</v>
      </c>
      <c r="O62" s="9" t="s">
        <v>963</v>
      </c>
      <c r="P62" s="9" t="s">
        <v>981</v>
      </c>
      <c r="Q62" s="9"/>
      <c r="R62" s="9" t="s">
        <v>966</v>
      </c>
      <c r="S62" s="9" t="s">
        <v>966</v>
      </c>
      <c r="T62" s="59">
        <v>42593</v>
      </c>
      <c r="U62" s="204">
        <v>48.137500000000003</v>
      </c>
      <c r="V62" s="204">
        <v>-123.587</v>
      </c>
      <c r="W62" t="str">
        <f>VLOOKUP(B62,[1]Plantings!$A$2:$E$285,4,FALSE)</f>
        <v>point</v>
      </c>
      <c r="X62" s="43" t="str">
        <f>VLOOKUP(B62,[1]Plantings!$A$2:$E$285,5,FALSE)</f>
        <v>retain</v>
      </c>
      <c r="Y62" s="48" t="s">
        <v>9</v>
      </c>
      <c r="Z62" s="73">
        <v>-4.7</v>
      </c>
      <c r="AA62" t="s">
        <v>982</v>
      </c>
      <c r="AB62">
        <v>2</v>
      </c>
      <c r="AC62">
        <v>2</v>
      </c>
      <c r="AD62">
        <f t="shared" si="8"/>
        <v>4</v>
      </c>
      <c r="AE62">
        <f>AG62*0.25</f>
        <v>5</v>
      </c>
      <c r="AF62" s="46">
        <f t="shared" si="10"/>
        <v>0.5</v>
      </c>
      <c r="AG62" s="47">
        <v>20</v>
      </c>
      <c r="AH62" s="60">
        <v>500</v>
      </c>
      <c r="AI62" s="45">
        <f t="shared" si="3"/>
        <v>125</v>
      </c>
      <c r="AJ62" s="45">
        <f t="shared" si="2"/>
        <v>100</v>
      </c>
      <c r="AK62" t="s">
        <v>1100</v>
      </c>
      <c r="AL62" s="51"/>
    </row>
    <row r="63" spans="1:38" x14ac:dyDescent="0.25">
      <c r="A63" s="9" t="s">
        <v>462</v>
      </c>
      <c r="B63" s="9" t="s">
        <v>1101</v>
      </c>
      <c r="C63" t="str">
        <f>VLOOKUP(B63,[1]Plantings!$A$2:$C$285,2,FALSE)</f>
        <v>ELW_shallow_west</v>
      </c>
      <c r="D63" t="str">
        <f>VLOOKUP(B63,[1]Plantings!$A$2:$C$285,3,FALSE)</f>
        <v>single</v>
      </c>
      <c r="E63" s="9">
        <v>2016</v>
      </c>
      <c r="F63" s="9"/>
      <c r="G63" s="9" t="s">
        <v>7</v>
      </c>
      <c r="H63" s="9" t="s">
        <v>462</v>
      </c>
      <c r="I63" t="s">
        <v>1028</v>
      </c>
      <c r="J63" s="9" t="s">
        <v>349</v>
      </c>
      <c r="K63" s="9" t="s">
        <v>978</v>
      </c>
      <c r="L63" s="9" t="s">
        <v>978</v>
      </c>
      <c r="M63" s="18" t="s">
        <v>979</v>
      </c>
      <c r="N63" s="9" t="s">
        <v>980</v>
      </c>
      <c r="O63" s="9" t="s">
        <v>963</v>
      </c>
      <c r="P63" s="9" t="s">
        <v>981</v>
      </c>
      <c r="Q63" s="9"/>
      <c r="R63" s="9" t="s">
        <v>966</v>
      </c>
      <c r="S63" s="9" t="s">
        <v>966</v>
      </c>
      <c r="T63" s="59">
        <v>42593</v>
      </c>
      <c r="U63" s="204">
        <v>48.1372</v>
      </c>
      <c r="V63" s="204">
        <v>-123.5869</v>
      </c>
      <c r="W63" t="str">
        <f>VLOOKUP(B63,[1]Plantings!$A$2:$E$285,4,FALSE)</f>
        <v>point</v>
      </c>
      <c r="X63" s="43" t="str">
        <f>VLOOKUP(B63,[1]Plantings!$A$2:$E$285,5,FALSE)</f>
        <v>retain</v>
      </c>
      <c r="Y63" s="48" t="s">
        <v>9</v>
      </c>
      <c r="Z63" s="73">
        <v>-3.9</v>
      </c>
      <c r="AA63" t="s">
        <v>982</v>
      </c>
      <c r="AB63">
        <v>2</v>
      </c>
      <c r="AC63">
        <v>2</v>
      </c>
      <c r="AD63">
        <f t="shared" si="8"/>
        <v>4</v>
      </c>
      <c r="AE63">
        <f>AG63*0.25</f>
        <v>5.5</v>
      </c>
      <c r="AF63" s="46">
        <f t="shared" si="10"/>
        <v>0.55000000000000004</v>
      </c>
      <c r="AG63" s="47">
        <v>22</v>
      </c>
      <c r="AH63" s="60">
        <v>550</v>
      </c>
      <c r="AI63" s="45">
        <f t="shared" si="3"/>
        <v>137.5</v>
      </c>
      <c r="AJ63" s="45">
        <f t="shared" si="2"/>
        <v>100</v>
      </c>
      <c r="AK63" t="s">
        <v>1100</v>
      </c>
      <c r="AL63" s="51"/>
    </row>
    <row r="64" spans="1:38" x14ac:dyDescent="0.25">
      <c r="A64" t="s">
        <v>1102</v>
      </c>
      <c r="B64" s="9" t="s">
        <v>1103</v>
      </c>
      <c r="C64" t="str">
        <f>VLOOKUP(B64,[1]Plantings!$A$2:$C$285,2,FALSE)</f>
        <v>FDG_1</v>
      </c>
      <c r="D64" t="str">
        <f>VLOOKUP(B64,[1]Plantings!$A$2:$C$285,3,FALSE)</f>
        <v>single</v>
      </c>
      <c r="E64" s="9">
        <v>2017</v>
      </c>
      <c r="F64" t="s">
        <v>956</v>
      </c>
      <c r="G64" s="9" t="s">
        <v>7</v>
      </c>
      <c r="H64" s="9" t="s">
        <v>301</v>
      </c>
      <c r="I64" t="s">
        <v>957</v>
      </c>
      <c r="J64" t="s">
        <v>971</v>
      </c>
      <c r="K64" t="s">
        <v>971</v>
      </c>
      <c r="L64" s="9" t="s">
        <v>1065</v>
      </c>
      <c r="Q64" s="9"/>
      <c r="R64" s="9" t="s">
        <v>966</v>
      </c>
      <c r="S64" s="9" t="s">
        <v>966</v>
      </c>
      <c r="T64" s="59">
        <v>42935</v>
      </c>
      <c r="U64" s="201">
        <v>47.237259999999999</v>
      </c>
      <c r="V64" s="201">
        <v>-122.86145</v>
      </c>
      <c r="W64" t="str">
        <f>VLOOKUP(B64,[1]Plantings!$A$2:$E$285,4,FALSE)</f>
        <v>point</v>
      </c>
      <c r="X64" s="43" t="str">
        <f>VLOOKUP(B64,[1]Plantings!$A$2:$E$285,5,FALSE)</f>
        <v>retain</v>
      </c>
      <c r="Y64" s="48" t="s">
        <v>9</v>
      </c>
      <c r="Z64" s="55">
        <v>-1.95</v>
      </c>
      <c r="AA64" t="s">
        <v>982</v>
      </c>
      <c r="AB64" s="9">
        <v>1</v>
      </c>
      <c r="AC64" s="9">
        <v>1</v>
      </c>
      <c r="AD64">
        <f t="shared" si="8"/>
        <v>1</v>
      </c>
      <c r="AE64">
        <f>AG64*0.25</f>
        <v>1.25</v>
      </c>
      <c r="AF64" s="46">
        <f t="shared" si="10"/>
        <v>0.125</v>
      </c>
      <c r="AG64" s="56">
        <v>5</v>
      </c>
      <c r="AH64" s="53">
        <v>250</v>
      </c>
      <c r="AI64" s="45">
        <f t="shared" si="3"/>
        <v>250</v>
      </c>
      <c r="AJ64" s="45">
        <f t="shared" si="2"/>
        <v>200</v>
      </c>
      <c r="AK64" t="s">
        <v>995</v>
      </c>
      <c r="AL64" s="51"/>
    </row>
    <row r="65" spans="1:38" x14ac:dyDescent="0.25">
      <c r="A65" t="s">
        <v>1102</v>
      </c>
      <c r="B65" s="9" t="s">
        <v>1104</v>
      </c>
      <c r="C65" t="str">
        <f>VLOOKUP(B65,[1]Plantings!$A$2:$C$285,2,FALSE)</f>
        <v>FDG_L1</v>
      </c>
      <c r="D65" t="str">
        <f>VLOOKUP(B65,[1]Plantings!$A$2:$C$285,3,FALSE)</f>
        <v>initial</v>
      </c>
      <c r="E65" s="9">
        <v>2017</v>
      </c>
      <c r="F65" t="s">
        <v>956</v>
      </c>
      <c r="G65" s="9" t="s">
        <v>987</v>
      </c>
      <c r="H65" s="9" t="s">
        <v>301</v>
      </c>
      <c r="I65" t="s">
        <v>957</v>
      </c>
      <c r="J65" t="s">
        <v>988</v>
      </c>
      <c r="K65" s="9" t="s">
        <v>959</v>
      </c>
      <c r="L65" t="s">
        <v>960</v>
      </c>
      <c r="M65" t="s">
        <v>989</v>
      </c>
      <c r="N65" t="s">
        <v>990</v>
      </c>
      <c r="O65" t="s">
        <v>991</v>
      </c>
      <c r="P65" t="s">
        <v>992</v>
      </c>
      <c r="Q65" t="s">
        <v>993</v>
      </c>
      <c r="R65" s="9" t="s">
        <v>966</v>
      </c>
      <c r="S65" s="9" t="s">
        <v>966</v>
      </c>
      <c r="T65" s="59">
        <v>42935</v>
      </c>
      <c r="U65" s="201">
        <v>47.237250000000003</v>
      </c>
      <c r="V65" s="201">
        <v>-122.86138</v>
      </c>
      <c r="W65" t="str">
        <f>VLOOKUP(B65,[1]Plantings!$A$2:$E$285,4,FALSE)</f>
        <v>line</v>
      </c>
      <c r="X65" s="43" t="str">
        <f>VLOOKUP(B65,[1]Plantings!$A$2:$E$285,5,FALSE)</f>
        <v>retain</v>
      </c>
      <c r="Y65" s="48" t="s">
        <v>9</v>
      </c>
      <c r="Z65" s="55">
        <v>-1.95</v>
      </c>
      <c r="AA65" t="s">
        <v>994</v>
      </c>
      <c r="AB65" s="9">
        <v>10</v>
      </c>
      <c r="AC65" s="9">
        <v>1</v>
      </c>
      <c r="AD65">
        <f t="shared" si="8"/>
        <v>10</v>
      </c>
      <c r="AE65" s="9">
        <v>6</v>
      </c>
      <c r="AF65" s="46">
        <f t="shared" si="10"/>
        <v>1.06</v>
      </c>
      <c r="AG65" s="56">
        <v>106</v>
      </c>
      <c r="AH65" s="53">
        <v>1056</v>
      </c>
      <c r="AI65" s="45">
        <f t="shared" si="3"/>
        <v>105.6</v>
      </c>
      <c r="AJ65" s="45">
        <f t="shared" si="2"/>
        <v>176</v>
      </c>
      <c r="AK65" t="s">
        <v>995</v>
      </c>
      <c r="AL65" s="51" t="s">
        <v>1105</v>
      </c>
    </row>
    <row r="66" spans="1:38" x14ac:dyDescent="0.25">
      <c r="A66" t="s">
        <v>1102</v>
      </c>
      <c r="B66" s="9" t="s">
        <v>1106</v>
      </c>
      <c r="C66" t="str">
        <f>VLOOKUP(B66,[1]Plantings!$A$2:$C$285,2,FALSE)</f>
        <v>FDG_L1</v>
      </c>
      <c r="D66" t="str">
        <f>VLOOKUP(B66,[1]Plantings!$A$2:$C$285,3,FALSE)</f>
        <v>initial</v>
      </c>
      <c r="E66" s="9">
        <v>2017</v>
      </c>
      <c r="F66" t="s">
        <v>956</v>
      </c>
      <c r="G66" s="9" t="s">
        <v>987</v>
      </c>
      <c r="H66" s="9" t="s">
        <v>301</v>
      </c>
      <c r="I66" t="s">
        <v>957</v>
      </c>
      <c r="J66" t="s">
        <v>988</v>
      </c>
      <c r="K66" s="9" t="s">
        <v>959</v>
      </c>
      <c r="L66" t="s">
        <v>960</v>
      </c>
      <c r="M66" t="s">
        <v>989</v>
      </c>
      <c r="N66" t="s">
        <v>990</v>
      </c>
      <c r="O66" t="s">
        <v>991</v>
      </c>
      <c r="P66" t="s">
        <v>992</v>
      </c>
      <c r="Q66" t="s">
        <v>993</v>
      </c>
      <c r="R66" s="9" t="s">
        <v>966</v>
      </c>
      <c r="S66" s="52" t="s">
        <v>998</v>
      </c>
      <c r="T66" s="59">
        <v>42935</v>
      </c>
      <c r="U66" s="201">
        <v>47.237259999999999</v>
      </c>
      <c r="V66" s="201">
        <v>-122.86145</v>
      </c>
      <c r="W66" t="str">
        <f>VLOOKUP(B66,[1]Plantings!$A$2:$E$285,4,FALSE)</f>
        <v>line</v>
      </c>
      <c r="X66" s="43" t="str">
        <f>VLOOKUP(B66,[1]Plantings!$A$2:$E$285,5,FALSE)</f>
        <v>retain</v>
      </c>
      <c r="Y66" s="48" t="s">
        <v>9</v>
      </c>
      <c r="AF66" s="46" t="str">
        <f t="shared" si="10"/>
        <v/>
      </c>
      <c r="AG66" s="47"/>
      <c r="AH66" s="47"/>
      <c r="AI66" s="45" t="str">
        <f t="shared" ref="AI66:AI84" si="11">IFERROR(AH66/AD66, "")</f>
        <v/>
      </c>
      <c r="AJ66" s="45" t="str">
        <f t="shared" ref="AJ66:AJ84" si="12">IFERROR(AH66/AE66, "")</f>
        <v/>
      </c>
      <c r="AL66" s="51"/>
    </row>
    <row r="67" spans="1:38" x14ac:dyDescent="0.25">
      <c r="A67" t="s">
        <v>1102</v>
      </c>
      <c r="B67" s="9" t="s">
        <v>1107</v>
      </c>
      <c r="C67" t="str">
        <f>VLOOKUP(B67,[1]Plantings!$A$2:$C$285,2,FALSE)</f>
        <v>FDG_L2</v>
      </c>
      <c r="D67" t="str">
        <f>VLOOKUP(B67,[1]Plantings!$A$2:$C$285,3,FALSE)</f>
        <v>initial</v>
      </c>
      <c r="E67" s="9">
        <v>2017</v>
      </c>
      <c r="F67" t="s">
        <v>956</v>
      </c>
      <c r="G67" s="9" t="s">
        <v>987</v>
      </c>
      <c r="H67" s="9" t="s">
        <v>301</v>
      </c>
      <c r="I67" t="s">
        <v>957</v>
      </c>
      <c r="J67" t="s">
        <v>988</v>
      </c>
      <c r="K67" s="9" t="s">
        <v>959</v>
      </c>
      <c r="L67" t="s">
        <v>960</v>
      </c>
      <c r="M67" t="s">
        <v>989</v>
      </c>
      <c r="N67" t="s">
        <v>990</v>
      </c>
      <c r="O67" t="s">
        <v>991</v>
      </c>
      <c r="P67" t="s">
        <v>992</v>
      </c>
      <c r="Q67" t="s">
        <v>993</v>
      </c>
      <c r="R67" s="9" t="s">
        <v>966</v>
      </c>
      <c r="S67" s="9" t="s">
        <v>966</v>
      </c>
      <c r="T67" s="59">
        <v>42935</v>
      </c>
      <c r="U67" s="201">
        <v>47.237659999999998</v>
      </c>
      <c r="V67" s="201">
        <v>-122.86239999999999</v>
      </c>
      <c r="W67" t="str">
        <f>VLOOKUP(B67,[1]Plantings!$A$2:$E$285,4,FALSE)</f>
        <v>line</v>
      </c>
      <c r="X67" s="43" t="str">
        <f>VLOOKUP(B67,[1]Plantings!$A$2:$E$285,5,FALSE)</f>
        <v>retain</v>
      </c>
      <c r="Y67" s="48" t="s">
        <v>9</v>
      </c>
      <c r="Z67" s="55">
        <v>-1.95</v>
      </c>
      <c r="AA67" t="s">
        <v>994</v>
      </c>
      <c r="AB67" s="9">
        <v>10</v>
      </c>
      <c r="AC67" s="9">
        <v>1</v>
      </c>
      <c r="AD67">
        <f>AB67*AC67</f>
        <v>10</v>
      </c>
      <c r="AE67" s="9">
        <v>6</v>
      </c>
      <c r="AF67" s="46">
        <f t="shared" si="10"/>
        <v>1.1599999999999999</v>
      </c>
      <c r="AG67" s="56">
        <v>116</v>
      </c>
      <c r="AH67" s="47">
        <v>1160</v>
      </c>
      <c r="AI67" s="45">
        <f t="shared" si="11"/>
        <v>116</v>
      </c>
      <c r="AJ67" s="45">
        <f t="shared" si="12"/>
        <v>193.33333333333334</v>
      </c>
      <c r="AK67" t="s">
        <v>995</v>
      </c>
      <c r="AL67" s="51" t="s">
        <v>1108</v>
      </c>
    </row>
    <row r="68" spans="1:38" x14ac:dyDescent="0.25">
      <c r="A68" t="s">
        <v>1102</v>
      </c>
      <c r="B68" s="9" t="s">
        <v>1109</v>
      </c>
      <c r="C68" t="str">
        <f>VLOOKUP(B68,[1]Plantings!$A$2:$C$285,2,FALSE)</f>
        <v>FDG_L2</v>
      </c>
      <c r="D68" t="str">
        <f>VLOOKUP(B68,[1]Plantings!$A$2:$C$285,3,FALSE)</f>
        <v>initial</v>
      </c>
      <c r="E68" s="9">
        <v>2017</v>
      </c>
      <c r="F68" t="s">
        <v>956</v>
      </c>
      <c r="G68" s="9" t="s">
        <v>987</v>
      </c>
      <c r="H68" s="9" t="s">
        <v>301</v>
      </c>
      <c r="I68" t="s">
        <v>957</v>
      </c>
      <c r="J68" t="s">
        <v>988</v>
      </c>
      <c r="K68" s="9" t="s">
        <v>959</v>
      </c>
      <c r="L68" t="s">
        <v>960</v>
      </c>
      <c r="M68" t="s">
        <v>989</v>
      </c>
      <c r="N68" t="s">
        <v>990</v>
      </c>
      <c r="O68" t="s">
        <v>991</v>
      </c>
      <c r="P68" t="s">
        <v>992</v>
      </c>
      <c r="Q68" t="s">
        <v>993</v>
      </c>
      <c r="R68" s="9" t="s">
        <v>966</v>
      </c>
      <c r="S68" s="52" t="s">
        <v>998</v>
      </c>
      <c r="T68" s="59">
        <v>42935</v>
      </c>
      <c r="U68" s="201">
        <v>47.237740000000002</v>
      </c>
      <c r="V68" s="201">
        <v>-122.86269</v>
      </c>
      <c r="W68" t="str">
        <f>VLOOKUP(B68,[1]Plantings!$A$2:$E$285,4,FALSE)</f>
        <v>line</v>
      </c>
      <c r="X68" s="43" t="str">
        <f>VLOOKUP(B68,[1]Plantings!$A$2:$E$285,5,FALSE)</f>
        <v>retain</v>
      </c>
      <c r="Y68" s="48" t="s">
        <v>9</v>
      </c>
      <c r="AF68" s="46" t="str">
        <f t="shared" si="10"/>
        <v/>
      </c>
      <c r="AG68" s="47"/>
      <c r="AH68" s="47"/>
      <c r="AI68" s="45" t="str">
        <f t="shared" si="11"/>
        <v/>
      </c>
      <c r="AJ68" s="45" t="str">
        <f t="shared" si="12"/>
        <v/>
      </c>
      <c r="AL68" s="51"/>
    </row>
    <row r="69" spans="1:38" x14ac:dyDescent="0.25">
      <c r="A69" s="62" t="s">
        <v>1102</v>
      </c>
      <c r="B69" s="9" t="s">
        <v>1110</v>
      </c>
      <c r="C69" t="str">
        <f>VLOOKUP(B69,[1]Plantings!$A$2:$C$285,2,FALSE)</f>
        <v>FDG_L1</v>
      </c>
      <c r="D69" t="str">
        <f>VLOOKUP(B69,[1]Plantings!$A$2:$C$285,3,FALSE)</f>
        <v>repeat</v>
      </c>
      <c r="E69" s="18">
        <v>2018</v>
      </c>
      <c r="F69" t="s">
        <v>956</v>
      </c>
      <c r="G69" s="9" t="s">
        <v>987</v>
      </c>
      <c r="H69" s="9" t="s">
        <v>301</v>
      </c>
      <c r="I69" t="s">
        <v>957</v>
      </c>
      <c r="J69" s="9" t="s">
        <v>971</v>
      </c>
      <c r="K69" s="9" t="s">
        <v>971</v>
      </c>
      <c r="L69" s="9" t="s">
        <v>1065</v>
      </c>
      <c r="R69" s="9" t="s">
        <v>966</v>
      </c>
      <c r="S69" s="9" t="s">
        <v>966</v>
      </c>
      <c r="T69" s="59">
        <v>43263</v>
      </c>
      <c r="U69" s="201">
        <v>47.237250000000003</v>
      </c>
      <c r="V69" s="201">
        <v>-122.86138</v>
      </c>
      <c r="W69" t="str">
        <f>VLOOKUP(B69,[1]Plantings!$A$2:$E$285,4,FALSE)</f>
        <v>line</v>
      </c>
      <c r="X69" s="43" t="str">
        <f>VLOOKUP(B69,[1]Plantings!$A$2:$E$285,5,FALSE)</f>
        <v>retain</v>
      </c>
      <c r="Y69" s="48" t="s">
        <v>9</v>
      </c>
      <c r="Z69" s="44">
        <v>-1.95</v>
      </c>
      <c r="AA69" t="s">
        <v>982</v>
      </c>
      <c r="AB69">
        <v>10</v>
      </c>
      <c r="AC69">
        <v>0.5</v>
      </c>
      <c r="AD69">
        <f>AB69*AC69</f>
        <v>5</v>
      </c>
      <c r="AE69">
        <f>AG69*0.25</f>
        <v>2.25</v>
      </c>
      <c r="AF69" s="46">
        <f t="shared" si="10"/>
        <v>0.22500000000000001</v>
      </c>
      <c r="AG69" s="47">
        <v>9</v>
      </c>
      <c r="AH69" s="66">
        <f>AG69*25</f>
        <v>225</v>
      </c>
      <c r="AI69" s="45">
        <f t="shared" si="11"/>
        <v>45</v>
      </c>
      <c r="AJ69" s="45">
        <f t="shared" si="12"/>
        <v>100</v>
      </c>
      <c r="AK69" t="s">
        <v>1021</v>
      </c>
      <c r="AL69" s="8" t="s">
        <v>1111</v>
      </c>
    </row>
    <row r="70" spans="1:38" x14ac:dyDescent="0.25">
      <c r="A70" s="62" t="s">
        <v>1102</v>
      </c>
      <c r="B70" s="9" t="s">
        <v>1112</v>
      </c>
      <c r="C70" t="str">
        <f>VLOOKUP(B70,[1]Plantings!$A$2:$C$285,2,FALSE)</f>
        <v>FDG_L1</v>
      </c>
      <c r="D70" t="str">
        <f>VLOOKUP(B70,[1]Plantings!$A$2:$C$285,3,FALSE)</f>
        <v>repeat</v>
      </c>
      <c r="E70" s="18">
        <v>2018</v>
      </c>
      <c r="F70" t="s">
        <v>956</v>
      </c>
      <c r="G70" s="9" t="s">
        <v>987</v>
      </c>
      <c r="H70" s="9" t="s">
        <v>301</v>
      </c>
      <c r="I70" t="s">
        <v>957</v>
      </c>
      <c r="J70" s="9" t="s">
        <v>971</v>
      </c>
      <c r="K70" s="9" t="s">
        <v>971</v>
      </c>
      <c r="L70" s="9" t="s">
        <v>1065</v>
      </c>
      <c r="R70" s="9" t="s">
        <v>966</v>
      </c>
      <c r="S70" s="52" t="s">
        <v>998</v>
      </c>
      <c r="T70" s="59">
        <v>43263</v>
      </c>
      <c r="U70" s="201">
        <v>47.237259999999999</v>
      </c>
      <c r="V70" s="201">
        <v>-122.86145</v>
      </c>
      <c r="W70" t="str">
        <f>VLOOKUP(B70,[1]Plantings!$A$2:$E$285,4,FALSE)</f>
        <v>line</v>
      </c>
      <c r="X70" s="43" t="str">
        <f>VLOOKUP(B70,[1]Plantings!$A$2:$E$285,5,FALSE)</f>
        <v>retain</v>
      </c>
      <c r="Y70" s="48" t="s">
        <v>9</v>
      </c>
      <c r="Z70" s="44"/>
      <c r="AF70" s="46" t="str">
        <f t="shared" si="10"/>
        <v/>
      </c>
      <c r="AG70" s="47"/>
      <c r="AH70" s="66"/>
      <c r="AI70" s="45" t="str">
        <f t="shared" si="11"/>
        <v/>
      </c>
      <c r="AJ70" s="45" t="str">
        <f t="shared" si="12"/>
        <v/>
      </c>
    </row>
    <row r="71" spans="1:38" x14ac:dyDescent="0.25">
      <c r="A71" s="62" t="s">
        <v>1102</v>
      </c>
      <c r="B71" s="9" t="s">
        <v>1113</v>
      </c>
      <c r="C71" t="str">
        <f>VLOOKUP(B71,[1]Plantings!$A$2:$C$285,2,FALSE)</f>
        <v>FDG_L2</v>
      </c>
      <c r="D71" t="str">
        <f>VLOOKUP(B71,[1]Plantings!$A$2:$C$285,3,FALSE)</f>
        <v>repeat</v>
      </c>
      <c r="E71" s="18">
        <v>2018</v>
      </c>
      <c r="F71" t="s">
        <v>956</v>
      </c>
      <c r="G71" s="9" t="s">
        <v>987</v>
      </c>
      <c r="H71" s="9" t="s">
        <v>301</v>
      </c>
      <c r="I71" t="s">
        <v>957</v>
      </c>
      <c r="J71" s="9" t="s">
        <v>971</v>
      </c>
      <c r="K71" s="9" t="s">
        <v>971</v>
      </c>
      <c r="L71" s="9" t="s">
        <v>1065</v>
      </c>
      <c r="R71" s="9" t="s">
        <v>966</v>
      </c>
      <c r="S71" s="9" t="s">
        <v>966</v>
      </c>
      <c r="T71" s="59">
        <v>43263</v>
      </c>
      <c r="U71" s="201">
        <v>47.237659999999998</v>
      </c>
      <c r="V71" s="201">
        <v>-122.86239999999999</v>
      </c>
      <c r="W71" t="str">
        <f>VLOOKUP(B71,[1]Plantings!$A$2:$E$285,4,FALSE)</f>
        <v>line</v>
      </c>
      <c r="X71" s="43" t="str">
        <f>VLOOKUP(B71,[1]Plantings!$A$2:$E$285,5,FALSE)</f>
        <v>retain</v>
      </c>
      <c r="Y71" s="48" t="s">
        <v>9</v>
      </c>
      <c r="Z71" s="44">
        <v>-1.95</v>
      </c>
      <c r="AA71" t="s">
        <v>982</v>
      </c>
      <c r="AB71">
        <v>10</v>
      </c>
      <c r="AC71">
        <v>0.5</v>
      </c>
      <c r="AD71">
        <f>AB71*AC71</f>
        <v>5</v>
      </c>
      <c r="AE71">
        <f>AG71*0.25</f>
        <v>2.25</v>
      </c>
      <c r="AF71" s="46">
        <f t="shared" si="10"/>
        <v>0.22500000000000001</v>
      </c>
      <c r="AG71" s="47">
        <v>9</v>
      </c>
      <c r="AH71" s="66">
        <f>AG71*25</f>
        <v>225</v>
      </c>
      <c r="AI71" s="45">
        <f t="shared" si="11"/>
        <v>45</v>
      </c>
      <c r="AJ71" s="45">
        <f t="shared" si="12"/>
        <v>100</v>
      </c>
      <c r="AK71" t="s">
        <v>1021</v>
      </c>
      <c r="AL71" s="8" t="s">
        <v>1111</v>
      </c>
    </row>
    <row r="72" spans="1:38" x14ac:dyDescent="0.25">
      <c r="A72" s="62" t="s">
        <v>1102</v>
      </c>
      <c r="B72" s="9" t="s">
        <v>1114</v>
      </c>
      <c r="C72" t="str">
        <f>VLOOKUP(B72,[1]Plantings!$A$2:$C$285,2,FALSE)</f>
        <v>FDG_L2</v>
      </c>
      <c r="D72" t="str">
        <f>VLOOKUP(B72,[1]Plantings!$A$2:$C$285,3,FALSE)</f>
        <v>repeat</v>
      </c>
      <c r="E72" s="18">
        <v>2018</v>
      </c>
      <c r="F72" t="s">
        <v>956</v>
      </c>
      <c r="G72" s="9" t="s">
        <v>987</v>
      </c>
      <c r="H72" s="9" t="s">
        <v>301</v>
      </c>
      <c r="I72" t="s">
        <v>957</v>
      </c>
      <c r="J72" s="9" t="s">
        <v>971</v>
      </c>
      <c r="K72" s="9" t="s">
        <v>971</v>
      </c>
      <c r="L72" s="9" t="s">
        <v>1065</v>
      </c>
      <c r="R72" s="9" t="s">
        <v>966</v>
      </c>
      <c r="S72" s="52" t="s">
        <v>998</v>
      </c>
      <c r="T72" s="59">
        <v>43263</v>
      </c>
      <c r="U72" s="201">
        <v>47.237740000000002</v>
      </c>
      <c r="V72" s="201">
        <v>-122.86269</v>
      </c>
      <c r="W72" t="str">
        <f>VLOOKUP(B72,[1]Plantings!$A$2:$E$285,4,FALSE)</f>
        <v>line</v>
      </c>
      <c r="X72" s="43" t="str">
        <f>VLOOKUP(B72,[1]Plantings!$A$2:$E$285,5,FALSE)</f>
        <v>retain</v>
      </c>
      <c r="Y72" s="48" t="s">
        <v>9</v>
      </c>
      <c r="AF72" s="46" t="str">
        <f t="shared" si="10"/>
        <v/>
      </c>
      <c r="AG72" s="47"/>
      <c r="AH72" s="66"/>
      <c r="AI72" s="45" t="str">
        <f t="shared" si="11"/>
        <v/>
      </c>
      <c r="AJ72" s="45" t="str">
        <f t="shared" si="12"/>
        <v/>
      </c>
    </row>
    <row r="73" spans="1:38" x14ac:dyDescent="0.25">
      <c r="A73" t="s">
        <v>1115</v>
      </c>
      <c r="B73" t="s">
        <v>1116</v>
      </c>
      <c r="C73" t="str">
        <f>VLOOKUP(B73,[1]Plantings!$A$2:$C$285,2,FALSE)</f>
        <v>GRA_1</v>
      </c>
      <c r="D73" t="str">
        <f>VLOOKUP(B73,[1]Plantings!$A$2:$C$285,3,FALSE)</f>
        <v>single</v>
      </c>
      <c r="E73">
        <v>2015</v>
      </c>
      <c r="G73" t="s">
        <v>7</v>
      </c>
      <c r="H73" t="s">
        <v>285</v>
      </c>
      <c r="I73" t="s">
        <v>1092</v>
      </c>
      <c r="J73" t="s">
        <v>123</v>
      </c>
      <c r="K73" t="s">
        <v>971</v>
      </c>
      <c r="L73" t="s">
        <v>972</v>
      </c>
      <c r="O73" t="s">
        <v>963</v>
      </c>
      <c r="P73" t="s">
        <v>973</v>
      </c>
      <c r="Q73" t="s">
        <v>974</v>
      </c>
      <c r="R73" t="s">
        <v>966</v>
      </c>
      <c r="S73" t="s">
        <v>966</v>
      </c>
      <c r="T73" s="59">
        <v>42075</v>
      </c>
      <c r="U73" s="49">
        <v>47.251947999999999</v>
      </c>
      <c r="V73" s="49">
        <v>-122.92783300000001</v>
      </c>
      <c r="W73" t="str">
        <f>VLOOKUP(B73,[1]Plantings!$A$2:$E$285,4,FALSE)</f>
        <v>point</v>
      </c>
      <c r="X73" s="43" t="str">
        <f>VLOOKUP(B73,[1]Plantings!$A$2:$E$285,5,FALSE)</f>
        <v>retain</v>
      </c>
      <c r="Y73" s="48" t="s">
        <v>9</v>
      </c>
      <c r="Z73" s="44">
        <v>-1.2</v>
      </c>
      <c r="AA73" s="45" t="s">
        <v>967</v>
      </c>
      <c r="AB73">
        <v>5</v>
      </c>
      <c r="AC73">
        <v>5</v>
      </c>
      <c r="AD73">
        <f t="shared" ref="AD73:AD80" si="13">AB73*AC73</f>
        <v>25</v>
      </c>
      <c r="AE73" s="45">
        <v>25</v>
      </c>
      <c r="AF73" s="46">
        <f t="shared" si="10"/>
        <v>0.625</v>
      </c>
      <c r="AG73" s="47">
        <f>AH73/4</f>
        <v>125</v>
      </c>
      <c r="AH73" s="47">
        <v>500</v>
      </c>
      <c r="AI73" s="45">
        <f t="shared" si="11"/>
        <v>20</v>
      </c>
      <c r="AJ73" s="45">
        <f t="shared" si="12"/>
        <v>20</v>
      </c>
      <c r="AK73" t="s">
        <v>1093</v>
      </c>
      <c r="AL73" s="51" t="s">
        <v>1117</v>
      </c>
    </row>
    <row r="74" spans="1:38" x14ac:dyDescent="0.25">
      <c r="A74" t="s">
        <v>1115</v>
      </c>
      <c r="B74" t="s">
        <v>1118</v>
      </c>
      <c r="C74" t="str">
        <f>VLOOKUP(B74,[1]Plantings!$A$2:$C$285,2,FALSE)</f>
        <v>GRA_2</v>
      </c>
      <c r="D74" t="str">
        <f>VLOOKUP(B74,[1]Plantings!$A$2:$C$285,3,FALSE)</f>
        <v>single</v>
      </c>
      <c r="E74">
        <v>2016</v>
      </c>
      <c r="G74" t="s">
        <v>7</v>
      </c>
      <c r="H74" t="s">
        <v>285</v>
      </c>
      <c r="I74" t="s">
        <v>1092</v>
      </c>
      <c r="K74" t="s">
        <v>971</v>
      </c>
      <c r="L74" s="9" t="s">
        <v>1065</v>
      </c>
      <c r="R74" t="s">
        <v>966</v>
      </c>
      <c r="S74" t="s">
        <v>966</v>
      </c>
      <c r="T74" s="59">
        <v>42572</v>
      </c>
      <c r="U74" s="49">
        <v>47.251947999999999</v>
      </c>
      <c r="V74" s="49">
        <v>-122.92783300000001</v>
      </c>
      <c r="W74" t="str">
        <f>VLOOKUP(B74,[1]Plantings!$A$2:$E$285,4,FALSE)</f>
        <v>point</v>
      </c>
      <c r="X74" s="43" t="str">
        <f>VLOOKUP(B74,[1]Plantings!$A$2:$E$285,5,FALSE)</f>
        <v>drop</v>
      </c>
      <c r="Y74" s="48" t="s">
        <v>9</v>
      </c>
      <c r="Z74" s="44">
        <v>-0.2</v>
      </c>
      <c r="AA74" s="45" t="s">
        <v>982</v>
      </c>
      <c r="AB74">
        <v>0.25</v>
      </c>
      <c r="AC74">
        <v>9</v>
      </c>
      <c r="AD74">
        <f t="shared" si="13"/>
        <v>2.25</v>
      </c>
      <c r="AE74">
        <f>AG74*0.25</f>
        <v>12.5625</v>
      </c>
      <c r="AF74" s="46">
        <f t="shared" si="10"/>
        <v>1.2562500000000001</v>
      </c>
      <c r="AG74" s="47">
        <f>AH74/4</f>
        <v>50.25</v>
      </c>
      <c r="AH74" s="47">
        <v>201</v>
      </c>
      <c r="AI74" s="45">
        <f t="shared" si="11"/>
        <v>89.333333333333329</v>
      </c>
      <c r="AJ74" s="45">
        <f t="shared" si="12"/>
        <v>16</v>
      </c>
      <c r="AK74" t="s">
        <v>1021</v>
      </c>
      <c r="AL74" s="51" t="s">
        <v>1119</v>
      </c>
    </row>
    <row r="75" spans="1:38" x14ac:dyDescent="0.25">
      <c r="A75" s="9" t="s">
        <v>1120</v>
      </c>
      <c r="B75" s="9" t="s">
        <v>1121</v>
      </c>
      <c r="C75" t="str">
        <f>VLOOKUP(B75,[1]Plantings!$A$2:$C$285,2,FALSE)</f>
        <v>HAR_2</v>
      </c>
      <c r="D75" t="str">
        <f>VLOOKUP(B75,[1]Plantings!$A$2:$C$285,3,FALSE)</f>
        <v>single</v>
      </c>
      <c r="E75" s="9">
        <v>2017</v>
      </c>
      <c r="F75" s="9"/>
      <c r="G75" s="9" t="s">
        <v>7</v>
      </c>
      <c r="H75" s="9" t="s">
        <v>301</v>
      </c>
      <c r="I75" t="s">
        <v>957</v>
      </c>
      <c r="J75" s="9" t="s">
        <v>1014</v>
      </c>
      <c r="K75" s="9" t="s">
        <v>562</v>
      </c>
      <c r="L75" s="9" t="s">
        <v>562</v>
      </c>
      <c r="M75" s="9" t="s">
        <v>1040</v>
      </c>
      <c r="N75" s="9"/>
      <c r="O75" s="9" t="s">
        <v>963</v>
      </c>
      <c r="P75" s="9" t="s">
        <v>1041</v>
      </c>
      <c r="Q75" s="9"/>
      <c r="R75" s="9" t="s">
        <v>966</v>
      </c>
      <c r="S75" s="9" t="s">
        <v>966</v>
      </c>
      <c r="T75" s="59">
        <v>42893</v>
      </c>
      <c r="U75" s="43">
        <v>47.294034213000003</v>
      </c>
      <c r="V75" s="43">
        <v>-122.85419904600001</v>
      </c>
      <c r="W75" t="str">
        <f>VLOOKUP(B75,[1]Plantings!$A$2:$E$285,4,FALSE)</f>
        <v>point</v>
      </c>
      <c r="X75" s="43" t="str">
        <f>VLOOKUP(B75,[1]Plantings!$A$2:$E$285,5,FALSE)</f>
        <v>retain</v>
      </c>
      <c r="Y75" t="s">
        <v>9</v>
      </c>
      <c r="Z75">
        <v>-0.9</v>
      </c>
      <c r="AA75" s="9" t="s">
        <v>982</v>
      </c>
      <c r="AB75" s="9">
        <v>3</v>
      </c>
      <c r="AC75" s="9">
        <v>2</v>
      </c>
      <c r="AD75">
        <f t="shared" si="13"/>
        <v>6</v>
      </c>
      <c r="AE75">
        <f>AG75*0.25</f>
        <v>5</v>
      </c>
      <c r="AF75" s="46">
        <f t="shared" si="10"/>
        <v>0.5</v>
      </c>
      <c r="AG75" s="56">
        <v>20</v>
      </c>
      <c r="AH75" s="56">
        <v>1000</v>
      </c>
      <c r="AI75" s="45">
        <f t="shared" si="11"/>
        <v>166.66666666666666</v>
      </c>
      <c r="AJ75" s="45">
        <f t="shared" si="12"/>
        <v>200</v>
      </c>
      <c r="AK75" s="9" t="s">
        <v>1093</v>
      </c>
      <c r="AL75" s="58" t="s">
        <v>1122</v>
      </c>
    </row>
    <row r="76" spans="1:38" x14ac:dyDescent="0.25">
      <c r="A76" s="9" t="s">
        <v>1120</v>
      </c>
      <c r="B76" s="9" t="s">
        <v>1123</v>
      </c>
      <c r="C76" t="str">
        <f>VLOOKUP(B76,[1]Plantings!$A$2:$C$285,2,FALSE)</f>
        <v>HAR_3</v>
      </c>
      <c r="D76" t="str">
        <f>VLOOKUP(B76,[1]Plantings!$A$2:$C$285,3,FALSE)</f>
        <v>single</v>
      </c>
      <c r="E76" s="9">
        <v>2017</v>
      </c>
      <c r="F76" s="9"/>
      <c r="G76" s="9" t="s">
        <v>7</v>
      </c>
      <c r="H76" s="9" t="s">
        <v>301</v>
      </c>
      <c r="I76" t="s">
        <v>957</v>
      </c>
      <c r="J76" s="9" t="s">
        <v>1014</v>
      </c>
      <c r="K76" s="9" t="s">
        <v>562</v>
      </c>
      <c r="L76" s="9" t="s">
        <v>562</v>
      </c>
      <c r="M76" s="9" t="s">
        <v>1040</v>
      </c>
      <c r="N76" s="9"/>
      <c r="O76" s="9" t="s">
        <v>963</v>
      </c>
      <c r="P76" s="9" t="s">
        <v>1041</v>
      </c>
      <c r="Q76" s="9"/>
      <c r="R76" s="9" t="s">
        <v>966</v>
      </c>
      <c r="S76" s="9" t="s">
        <v>966</v>
      </c>
      <c r="T76" s="59">
        <v>42893</v>
      </c>
      <c r="U76" s="43">
        <v>47.293667186999997</v>
      </c>
      <c r="V76" s="43">
        <v>-122.85460205699999</v>
      </c>
      <c r="W76" t="str">
        <f>VLOOKUP(B76,[1]Plantings!$A$2:$E$285,4,FALSE)</f>
        <v>point</v>
      </c>
      <c r="X76" s="43" t="str">
        <f>VLOOKUP(B76,[1]Plantings!$A$2:$E$285,5,FALSE)</f>
        <v>retain</v>
      </c>
      <c r="Y76" t="s">
        <v>9</v>
      </c>
      <c r="Z76">
        <v>-1</v>
      </c>
      <c r="AA76" s="9" t="s">
        <v>982</v>
      </c>
      <c r="AB76" s="9">
        <v>3</v>
      </c>
      <c r="AC76" s="9">
        <v>2</v>
      </c>
      <c r="AD76">
        <f t="shared" si="13"/>
        <v>6</v>
      </c>
      <c r="AE76">
        <f>AG76*0.25</f>
        <v>5</v>
      </c>
      <c r="AF76" s="46">
        <f t="shared" si="10"/>
        <v>0.5</v>
      </c>
      <c r="AG76" s="56">
        <v>20</v>
      </c>
      <c r="AH76" s="56">
        <v>1000</v>
      </c>
      <c r="AI76" s="45">
        <f t="shared" si="11"/>
        <v>166.66666666666666</v>
      </c>
      <c r="AJ76" s="45">
        <f t="shared" si="12"/>
        <v>200</v>
      </c>
      <c r="AK76" s="9" t="s">
        <v>1093</v>
      </c>
      <c r="AL76" s="58" t="s">
        <v>1122</v>
      </c>
    </row>
    <row r="77" spans="1:38" x14ac:dyDescent="0.25">
      <c r="A77" s="18" t="s">
        <v>1120</v>
      </c>
      <c r="B77" s="18" t="s">
        <v>1124</v>
      </c>
      <c r="C77" t="str">
        <f>VLOOKUP(B77,[1]Plantings!$A$2:$C$285,2,FALSE)</f>
        <v>HAR_4</v>
      </c>
      <c r="D77" t="str">
        <f>VLOOKUP(B77,[1]Plantings!$A$2:$C$285,3,FALSE)</f>
        <v>single</v>
      </c>
      <c r="E77" s="18">
        <v>2017</v>
      </c>
      <c r="F77" s="18"/>
      <c r="G77" s="9" t="s">
        <v>7</v>
      </c>
      <c r="H77" s="18" t="s">
        <v>301</v>
      </c>
      <c r="I77" t="s">
        <v>957</v>
      </c>
      <c r="J77" s="18" t="s">
        <v>1014</v>
      </c>
      <c r="K77" s="18" t="s">
        <v>562</v>
      </c>
      <c r="L77" s="18" t="s">
        <v>562</v>
      </c>
      <c r="M77" s="18" t="s">
        <v>1040</v>
      </c>
      <c r="N77" s="18"/>
      <c r="O77" s="18" t="s">
        <v>963</v>
      </c>
      <c r="P77" s="9" t="s">
        <v>1041</v>
      </c>
      <c r="Q77" s="18"/>
      <c r="R77" s="18" t="s">
        <v>966</v>
      </c>
      <c r="S77" s="18" t="s">
        <v>966</v>
      </c>
      <c r="T77" s="59">
        <v>42893</v>
      </c>
      <c r="U77" s="43">
        <v>47.291899999999998</v>
      </c>
      <c r="V77" s="43">
        <v>-122.85523333333333</v>
      </c>
      <c r="W77" t="str">
        <f>VLOOKUP(B77,[1]Plantings!$A$2:$E$285,4,FALSE)</f>
        <v>point</v>
      </c>
      <c r="X77" s="43" t="str">
        <f>VLOOKUP(B77,[1]Plantings!$A$2:$E$285,5,FALSE)</f>
        <v>retain</v>
      </c>
      <c r="Y77" t="s">
        <v>9</v>
      </c>
      <c r="Z77" s="44">
        <v>-2.9778959999999999</v>
      </c>
      <c r="AA77" s="18" t="s">
        <v>967</v>
      </c>
      <c r="AB77" s="18">
        <v>2.5</v>
      </c>
      <c r="AC77" s="18">
        <v>2</v>
      </c>
      <c r="AD77">
        <f t="shared" si="13"/>
        <v>5</v>
      </c>
      <c r="AE77" s="18">
        <v>5</v>
      </c>
      <c r="AF77" s="46">
        <f t="shared" si="10"/>
        <v>0.5</v>
      </c>
      <c r="AG77" s="74">
        <v>100</v>
      </c>
      <c r="AH77" s="74">
        <v>800</v>
      </c>
      <c r="AI77" s="45">
        <f t="shared" si="11"/>
        <v>160</v>
      </c>
      <c r="AJ77" s="45">
        <f t="shared" si="12"/>
        <v>160</v>
      </c>
      <c r="AK77" s="62" t="s">
        <v>1093</v>
      </c>
      <c r="AL77" s="68" t="s">
        <v>1125</v>
      </c>
    </row>
    <row r="78" spans="1:38" x14ac:dyDescent="0.25">
      <c r="A78" s="18" t="s">
        <v>1120</v>
      </c>
      <c r="B78" s="18" t="s">
        <v>1126</v>
      </c>
      <c r="C78" t="str">
        <f>VLOOKUP(B78,[1]Plantings!$A$2:$C$285,2,FALSE)</f>
        <v>HAR_4</v>
      </c>
      <c r="D78" t="str">
        <f>VLOOKUP(B78,[1]Plantings!$A$2:$C$285,3,FALSE)</f>
        <v>single</v>
      </c>
      <c r="E78" s="18">
        <v>2017</v>
      </c>
      <c r="F78" s="18"/>
      <c r="G78" s="9" t="s">
        <v>7</v>
      </c>
      <c r="H78" s="18" t="s">
        <v>301</v>
      </c>
      <c r="I78" t="s">
        <v>957</v>
      </c>
      <c r="J78" s="18" t="s">
        <v>1014</v>
      </c>
      <c r="K78" s="18" t="s">
        <v>562</v>
      </c>
      <c r="L78" s="18" t="s">
        <v>562</v>
      </c>
      <c r="M78" s="18" t="s">
        <v>1040</v>
      </c>
      <c r="N78" s="18"/>
      <c r="O78" s="18" t="s">
        <v>963</v>
      </c>
      <c r="P78" s="9" t="s">
        <v>1041</v>
      </c>
      <c r="Q78" s="18"/>
      <c r="R78" s="18" t="s">
        <v>966</v>
      </c>
      <c r="S78" s="18" t="s">
        <v>966</v>
      </c>
      <c r="T78" s="59">
        <v>42893</v>
      </c>
      <c r="U78" s="43">
        <v>47.291899999999998</v>
      </c>
      <c r="V78" s="43">
        <v>-122.85523333333333</v>
      </c>
      <c r="W78" t="str">
        <f>VLOOKUP(B78,[1]Plantings!$A$2:$E$285,4,FALSE)</f>
        <v>point</v>
      </c>
      <c r="X78" s="43" t="str">
        <f>VLOOKUP(B78,[1]Plantings!$A$2:$E$285,5,FALSE)</f>
        <v>retain</v>
      </c>
      <c r="Y78" t="s">
        <v>9</v>
      </c>
      <c r="Z78" s="44">
        <v>-2.9778959999999999</v>
      </c>
      <c r="AA78" s="18" t="s">
        <v>982</v>
      </c>
      <c r="AB78" s="18">
        <v>3</v>
      </c>
      <c r="AC78" s="18">
        <v>2</v>
      </c>
      <c r="AD78">
        <f t="shared" si="13"/>
        <v>6</v>
      </c>
      <c r="AE78">
        <f>AG78*0.25</f>
        <v>5</v>
      </c>
      <c r="AF78" s="46">
        <f t="shared" si="10"/>
        <v>0.5</v>
      </c>
      <c r="AG78" s="74">
        <v>20</v>
      </c>
      <c r="AH78" s="74">
        <v>1000</v>
      </c>
      <c r="AI78" s="45">
        <f t="shared" si="11"/>
        <v>166.66666666666666</v>
      </c>
      <c r="AJ78" s="45">
        <f t="shared" si="12"/>
        <v>200</v>
      </c>
      <c r="AK78" s="62" t="s">
        <v>1093</v>
      </c>
      <c r="AL78" s="68" t="s">
        <v>1125</v>
      </c>
    </row>
    <row r="79" spans="1:38" x14ac:dyDescent="0.25">
      <c r="A79" s="9" t="s">
        <v>1120</v>
      </c>
      <c r="B79" s="9" t="s">
        <v>1127</v>
      </c>
      <c r="C79" t="str">
        <f>VLOOKUP(B79,[1]Plantings!$A$2:$C$285,2,FALSE)</f>
        <v>HAR_1</v>
      </c>
      <c r="D79" t="str">
        <f>VLOOKUP(B79,[1]Plantings!$A$2:$C$285,3,FALSE)</f>
        <v>single</v>
      </c>
      <c r="E79" s="9">
        <v>2017</v>
      </c>
      <c r="F79" s="9"/>
      <c r="G79" s="9" t="s">
        <v>7</v>
      </c>
      <c r="H79" s="9" t="s">
        <v>301</v>
      </c>
      <c r="I79" t="s">
        <v>957</v>
      </c>
      <c r="J79" s="9" t="s">
        <v>1014</v>
      </c>
      <c r="K79" s="9" t="s">
        <v>562</v>
      </c>
      <c r="L79" s="9" t="s">
        <v>562</v>
      </c>
      <c r="M79" s="9" t="s">
        <v>1040</v>
      </c>
      <c r="N79" s="9"/>
      <c r="O79" s="9" t="s">
        <v>963</v>
      </c>
      <c r="P79" s="9" t="s">
        <v>1041</v>
      </c>
      <c r="Q79" s="9"/>
      <c r="R79" s="9" t="s">
        <v>966</v>
      </c>
      <c r="S79" s="9" t="s">
        <v>966</v>
      </c>
      <c r="T79" s="59">
        <v>42893</v>
      </c>
      <c r="U79" s="43">
        <v>47.295516666666664</v>
      </c>
      <c r="V79" s="43">
        <v>-122.8494</v>
      </c>
      <c r="W79" t="str">
        <f>VLOOKUP(B79,[1]Plantings!$A$2:$E$285,4,FALSE)</f>
        <v>point</v>
      </c>
      <c r="X79" s="43" t="str">
        <f>VLOOKUP(B79,[1]Plantings!$A$2:$E$285,5,FALSE)</f>
        <v>retain</v>
      </c>
      <c r="Y79" t="s">
        <v>9</v>
      </c>
      <c r="Z79" s="44">
        <v>-2.8041599999999995</v>
      </c>
      <c r="AA79" s="9" t="s">
        <v>982</v>
      </c>
      <c r="AB79" s="9">
        <v>3</v>
      </c>
      <c r="AC79" s="9">
        <v>2</v>
      </c>
      <c r="AD79">
        <f t="shared" si="13"/>
        <v>6</v>
      </c>
      <c r="AE79">
        <f>AG79*0.25</f>
        <v>5</v>
      </c>
      <c r="AF79" s="46">
        <f t="shared" si="10"/>
        <v>0.5</v>
      </c>
      <c r="AG79" s="56">
        <v>20</v>
      </c>
      <c r="AH79" s="56">
        <v>1000</v>
      </c>
      <c r="AI79" s="45">
        <f t="shared" si="11"/>
        <v>166.66666666666666</v>
      </c>
      <c r="AJ79" s="45">
        <f t="shared" si="12"/>
        <v>200</v>
      </c>
      <c r="AK79" s="9" t="s">
        <v>1093</v>
      </c>
      <c r="AL79" s="58"/>
    </row>
    <row r="80" spans="1:38" x14ac:dyDescent="0.25">
      <c r="A80" t="s">
        <v>1120</v>
      </c>
      <c r="B80" s="9" t="s">
        <v>1128</v>
      </c>
      <c r="C80" t="str">
        <f>VLOOKUP(B80,[1]Plantings!$A$2:$C$285,2,FALSE)</f>
        <v>HAR_deep_L1</v>
      </c>
      <c r="D80" t="str">
        <f>VLOOKUP(B80,[1]Plantings!$A$2:$C$285,3,FALSE)</f>
        <v>single</v>
      </c>
      <c r="E80" s="9">
        <v>2018</v>
      </c>
      <c r="F80" s="9"/>
      <c r="G80" s="62" t="s">
        <v>987</v>
      </c>
      <c r="H80" s="9" t="s">
        <v>301</v>
      </c>
      <c r="I80" t="s">
        <v>957</v>
      </c>
      <c r="J80" s="18" t="s">
        <v>1014</v>
      </c>
      <c r="K80" s="18" t="s">
        <v>562</v>
      </c>
      <c r="L80" s="18" t="s">
        <v>562</v>
      </c>
      <c r="M80" s="18" t="s">
        <v>1040</v>
      </c>
      <c r="N80" s="9"/>
      <c r="O80" s="9" t="s">
        <v>963</v>
      </c>
      <c r="P80" s="9" t="s">
        <v>1041</v>
      </c>
      <c r="Q80" s="9"/>
      <c r="R80" s="9" t="s">
        <v>1004</v>
      </c>
      <c r="S80" s="9" t="s">
        <v>1004</v>
      </c>
      <c r="T80" s="59">
        <v>43235</v>
      </c>
      <c r="U80" s="43">
        <v>47.293819999999997</v>
      </c>
      <c r="V80" s="43">
        <v>-122.85419</v>
      </c>
      <c r="W80" t="str">
        <f>VLOOKUP(B80,[1]Plantings!$A$2:$E$285,4,FALSE)</f>
        <v>line</v>
      </c>
      <c r="X80" s="43" t="str">
        <f>VLOOKUP(B80,[1]Plantings!$A$2:$E$285,5,FALSE)</f>
        <v>retain</v>
      </c>
      <c r="Y80" t="s">
        <v>9</v>
      </c>
      <c r="Z80" s="44">
        <v>-1.524</v>
      </c>
      <c r="AA80" s="75" t="s">
        <v>982</v>
      </c>
      <c r="AB80" s="76">
        <v>42</v>
      </c>
      <c r="AC80" s="77">
        <v>5</v>
      </c>
      <c r="AD80">
        <f t="shared" si="13"/>
        <v>210</v>
      </c>
      <c r="AE80">
        <f>AG80*0.25</f>
        <v>138</v>
      </c>
      <c r="AF80" s="46">
        <f t="shared" si="10"/>
        <v>13.8</v>
      </c>
      <c r="AG80" s="78">
        <v>552</v>
      </c>
      <c r="AH80" s="47">
        <v>13800</v>
      </c>
      <c r="AI80" s="45">
        <f t="shared" si="11"/>
        <v>65.714285714285708</v>
      </c>
      <c r="AJ80" s="45">
        <f t="shared" si="12"/>
        <v>100</v>
      </c>
      <c r="AK80" t="s">
        <v>1129</v>
      </c>
      <c r="AL80" s="8" t="s">
        <v>1130</v>
      </c>
    </row>
    <row r="81" spans="1:38" x14ac:dyDescent="0.25">
      <c r="A81" t="s">
        <v>1120</v>
      </c>
      <c r="B81" s="9" t="s">
        <v>1128</v>
      </c>
      <c r="C81" t="str">
        <f>VLOOKUP(B81,[1]Plantings!$A$2:$C$285,2,FALSE)</f>
        <v>HAR_deep_L1</v>
      </c>
      <c r="D81" t="str">
        <f>VLOOKUP(B81,[1]Plantings!$A$2:$C$285,3,FALSE)</f>
        <v>single</v>
      </c>
      <c r="E81" s="9">
        <v>2018</v>
      </c>
      <c r="F81" s="9"/>
      <c r="G81" s="62" t="s">
        <v>987</v>
      </c>
      <c r="H81" s="9" t="s">
        <v>301</v>
      </c>
      <c r="I81" t="s">
        <v>957</v>
      </c>
      <c r="J81" s="18" t="s">
        <v>1014</v>
      </c>
      <c r="K81" s="18" t="s">
        <v>562</v>
      </c>
      <c r="L81" s="18" t="s">
        <v>562</v>
      </c>
      <c r="M81" s="18" t="s">
        <v>1040</v>
      </c>
      <c r="N81" s="9"/>
      <c r="O81" s="9" t="s">
        <v>963</v>
      </c>
      <c r="P81" s="9" t="s">
        <v>1041</v>
      </c>
      <c r="Q81" s="9"/>
      <c r="R81" s="9" t="s">
        <v>1004</v>
      </c>
      <c r="S81" s="79" t="s">
        <v>998</v>
      </c>
      <c r="T81" s="59">
        <v>43235</v>
      </c>
      <c r="U81" s="43">
        <v>47.294110000000003</v>
      </c>
      <c r="V81" s="43">
        <v>-122.85389000000001</v>
      </c>
      <c r="W81" t="str">
        <f>VLOOKUP(B81,[1]Plantings!$A$2:$E$285,4,FALSE)</f>
        <v>line</v>
      </c>
      <c r="X81" s="43" t="str">
        <f>VLOOKUP(B81,[1]Plantings!$A$2:$E$285,5,FALSE)</f>
        <v>retain</v>
      </c>
      <c r="Y81" t="s">
        <v>9</v>
      </c>
      <c r="Z81" s="44"/>
      <c r="AA81" s="75"/>
      <c r="AB81" s="76"/>
      <c r="AC81" s="77"/>
      <c r="AE81" s="18"/>
      <c r="AF81" s="46" t="str">
        <f t="shared" si="10"/>
        <v/>
      </c>
      <c r="AG81" s="78"/>
      <c r="AH81" s="47"/>
      <c r="AI81" s="45" t="str">
        <f t="shared" si="11"/>
        <v/>
      </c>
      <c r="AJ81" s="45" t="str">
        <f t="shared" si="12"/>
        <v/>
      </c>
    </row>
    <row r="82" spans="1:38" x14ac:dyDescent="0.25">
      <c r="A82" s="62" t="s">
        <v>1120</v>
      </c>
      <c r="B82" s="9" t="s">
        <v>1131</v>
      </c>
      <c r="C82" t="str">
        <f>VLOOKUP(B82,[1]Plantings!$A$2:$C$285,2,FALSE)</f>
        <v>HAR_shallow_L1</v>
      </c>
      <c r="D82" t="str">
        <f>VLOOKUP(B82,[1]Plantings!$A$2:$C$285,3,FALSE)</f>
        <v>single</v>
      </c>
      <c r="E82" s="62">
        <v>2018</v>
      </c>
      <c r="G82" s="62" t="s">
        <v>987</v>
      </c>
      <c r="H82" s="62" t="s">
        <v>301</v>
      </c>
      <c r="I82" t="s">
        <v>957</v>
      </c>
      <c r="J82" s="9" t="s">
        <v>349</v>
      </c>
      <c r="K82" s="9" t="s">
        <v>978</v>
      </c>
      <c r="L82" s="9" t="s">
        <v>978</v>
      </c>
      <c r="M82" s="18" t="s">
        <v>979</v>
      </c>
      <c r="N82" s="9" t="s">
        <v>980</v>
      </c>
      <c r="O82" s="62" t="s">
        <v>963</v>
      </c>
      <c r="P82" s="9" t="s">
        <v>981</v>
      </c>
      <c r="R82" s="62" t="s">
        <v>1004</v>
      </c>
      <c r="S82" t="s">
        <v>1004</v>
      </c>
      <c r="T82" s="59">
        <v>43265</v>
      </c>
      <c r="U82" s="43">
        <v>47.293693353000002</v>
      </c>
      <c r="V82" s="43">
        <v>-122.854603497</v>
      </c>
      <c r="W82" t="str">
        <f>VLOOKUP(B82,[1]Plantings!$A$2:$E$285,4,FALSE)</f>
        <v>line</v>
      </c>
      <c r="X82" s="43" t="str">
        <f>VLOOKUP(B82,[1]Plantings!$A$2:$E$285,5,FALSE)</f>
        <v>retain</v>
      </c>
      <c r="Y82" t="s">
        <v>9</v>
      </c>
      <c r="Z82">
        <v>-1</v>
      </c>
      <c r="AA82" t="s">
        <v>982</v>
      </c>
      <c r="AB82">
        <v>31</v>
      </c>
      <c r="AC82">
        <v>5</v>
      </c>
      <c r="AD82">
        <f>AB82*AC82</f>
        <v>155</v>
      </c>
      <c r="AE82">
        <f>AG82*0.25</f>
        <v>97</v>
      </c>
      <c r="AF82" s="46">
        <f t="shared" si="10"/>
        <v>9.7000000000000011</v>
      </c>
      <c r="AG82" s="47">
        <v>388</v>
      </c>
      <c r="AH82" s="47">
        <v>9688</v>
      </c>
      <c r="AI82" s="45">
        <f t="shared" si="11"/>
        <v>62.50322580645161</v>
      </c>
      <c r="AJ82" s="45">
        <f t="shared" si="12"/>
        <v>99.876288659793815</v>
      </c>
      <c r="AK82" t="s">
        <v>1093</v>
      </c>
      <c r="AL82" s="8" t="s">
        <v>1132</v>
      </c>
    </row>
    <row r="83" spans="1:38" x14ac:dyDescent="0.25">
      <c r="A83" s="62" t="s">
        <v>1120</v>
      </c>
      <c r="B83" s="9" t="s">
        <v>1131</v>
      </c>
      <c r="C83" t="str">
        <f>VLOOKUP(B83,[1]Plantings!$A$2:$C$285,2,FALSE)</f>
        <v>HAR_shallow_L1</v>
      </c>
      <c r="D83" t="str">
        <f>VLOOKUP(B83,[1]Plantings!$A$2:$C$285,3,FALSE)</f>
        <v>single</v>
      </c>
      <c r="E83" s="62">
        <v>2018</v>
      </c>
      <c r="G83" s="62" t="s">
        <v>987</v>
      </c>
      <c r="H83" s="62" t="s">
        <v>301</v>
      </c>
      <c r="I83" t="s">
        <v>957</v>
      </c>
      <c r="J83" s="9" t="s">
        <v>349</v>
      </c>
      <c r="K83" s="9" t="s">
        <v>978</v>
      </c>
      <c r="L83" s="9" t="s">
        <v>978</v>
      </c>
      <c r="M83" s="18" t="s">
        <v>979</v>
      </c>
      <c r="N83" s="9" t="s">
        <v>980</v>
      </c>
      <c r="O83" s="62" t="s">
        <v>963</v>
      </c>
      <c r="P83" s="9" t="s">
        <v>981</v>
      </c>
      <c r="R83" s="62" t="s">
        <v>1004</v>
      </c>
      <c r="S83" s="52" t="s">
        <v>998</v>
      </c>
      <c r="T83" s="59">
        <v>43265</v>
      </c>
      <c r="U83" s="43">
        <v>47.293960576000003</v>
      </c>
      <c r="V83" s="43">
        <v>-122.854260041</v>
      </c>
      <c r="W83" t="str">
        <f>VLOOKUP(B83,[1]Plantings!$A$2:$E$285,4,FALSE)</f>
        <v>line</v>
      </c>
      <c r="X83" s="43" t="str">
        <f>VLOOKUP(B83,[1]Plantings!$A$2:$E$285,5,FALSE)</f>
        <v>retain</v>
      </c>
      <c r="Y83" t="s">
        <v>9</v>
      </c>
      <c r="Z83">
        <v>-0.9</v>
      </c>
      <c r="AF83" s="46" t="str">
        <f t="shared" si="10"/>
        <v/>
      </c>
      <c r="AG83" s="47"/>
      <c r="AH83" s="47"/>
      <c r="AI83" s="45" t="str">
        <f t="shared" si="11"/>
        <v/>
      </c>
      <c r="AJ83" s="45" t="str">
        <f t="shared" si="12"/>
        <v/>
      </c>
      <c r="AL83" s="8" t="s">
        <v>1133</v>
      </c>
    </row>
    <row r="84" spans="1:38" x14ac:dyDescent="0.25">
      <c r="A84" t="s">
        <v>1120</v>
      </c>
      <c r="B84" t="s">
        <v>1134</v>
      </c>
      <c r="C84" t="str">
        <f>VLOOKUP(B84,[1]Plantings!$A$2:$C$285,2,FALSE)</f>
        <v>HAR_shallow_L2</v>
      </c>
      <c r="D84" t="str">
        <f>VLOOKUP(B84,[1]Plantings!$A$2:$C$285,3,FALSE)</f>
        <v>single</v>
      </c>
      <c r="E84">
        <v>2019</v>
      </c>
      <c r="G84" t="s">
        <v>987</v>
      </c>
      <c r="H84" t="s">
        <v>301</v>
      </c>
      <c r="I84" t="s">
        <v>957</v>
      </c>
      <c r="J84" s="9" t="s">
        <v>1014</v>
      </c>
      <c r="K84" s="9" t="s">
        <v>562</v>
      </c>
      <c r="L84" s="9" t="s">
        <v>562</v>
      </c>
      <c r="M84" s="9" t="s">
        <v>1040</v>
      </c>
      <c r="N84" s="9"/>
      <c r="O84" s="9" t="s">
        <v>963</v>
      </c>
      <c r="P84" s="9" t="s">
        <v>1041</v>
      </c>
      <c r="R84" t="s">
        <v>1004</v>
      </c>
      <c r="S84" s="52" t="s">
        <v>1004</v>
      </c>
      <c r="T84" s="59">
        <v>43599</v>
      </c>
      <c r="U84" s="43">
        <v>47.294047956</v>
      </c>
      <c r="V84" s="43">
        <v>-122.854168074</v>
      </c>
      <c r="W84" t="str">
        <f>VLOOKUP(B84,[1]Plantings!$A$2:$E$285,4,FALSE)</f>
        <v>line</v>
      </c>
      <c r="X84" s="43" t="str">
        <f>VLOOKUP(B84,[1]Plantings!$A$2:$E$285,5,FALSE)</f>
        <v>retain</v>
      </c>
      <c r="Y84" t="s">
        <v>9</v>
      </c>
      <c r="Z84">
        <v>-0.9</v>
      </c>
      <c r="AA84" s="45" t="s">
        <v>982</v>
      </c>
      <c r="AB84">
        <v>39</v>
      </c>
      <c r="AC84">
        <v>6</v>
      </c>
      <c r="AD84">
        <f>AB84*AC84</f>
        <v>234</v>
      </c>
      <c r="AE84">
        <f>AG84*0.25</f>
        <v>136.75</v>
      </c>
      <c r="AF84" s="46">
        <f t="shared" si="10"/>
        <v>13.675000000000001</v>
      </c>
      <c r="AG84">
        <v>547</v>
      </c>
      <c r="AH84" s="60">
        <v>13320</v>
      </c>
      <c r="AI84" s="45">
        <f t="shared" si="11"/>
        <v>56.92307692307692</v>
      </c>
      <c r="AJ84" s="45">
        <f t="shared" si="12"/>
        <v>97.404021937842785</v>
      </c>
      <c r="AK84" t="s">
        <v>1135</v>
      </c>
      <c r="AL84" s="51" t="s">
        <v>1136</v>
      </c>
    </row>
    <row r="85" spans="1:38" x14ac:dyDescent="0.25">
      <c r="A85" s="9" t="s">
        <v>1120</v>
      </c>
      <c r="B85" t="s">
        <v>1134</v>
      </c>
      <c r="C85" t="str">
        <f>VLOOKUP(B85,[1]Plantings!$A$2:$C$285,2,FALSE)</f>
        <v>HAR_shallow_L2</v>
      </c>
      <c r="D85" t="str">
        <f>VLOOKUP(B85,[1]Plantings!$A$2:$C$285,3,FALSE)</f>
        <v>single</v>
      </c>
      <c r="E85">
        <v>2019</v>
      </c>
      <c r="F85" s="9"/>
      <c r="G85" t="s">
        <v>987</v>
      </c>
      <c r="H85" t="s">
        <v>301</v>
      </c>
      <c r="I85" t="s">
        <v>957</v>
      </c>
      <c r="J85" s="9" t="s">
        <v>1014</v>
      </c>
      <c r="K85" s="9" t="s">
        <v>562</v>
      </c>
      <c r="L85" s="9" t="s">
        <v>562</v>
      </c>
      <c r="M85" s="9" t="s">
        <v>1040</v>
      </c>
      <c r="N85" s="9"/>
      <c r="O85" s="9" t="s">
        <v>963</v>
      </c>
      <c r="P85" s="9" t="s">
        <v>1041</v>
      </c>
      <c r="Q85" s="9"/>
      <c r="R85" t="s">
        <v>1004</v>
      </c>
      <c r="S85" s="52" t="s">
        <v>998</v>
      </c>
      <c r="T85" s="59">
        <v>43599</v>
      </c>
      <c r="U85" s="43">
        <v>47.294176696000001</v>
      </c>
      <c r="V85" s="43">
        <v>-122.85368944299999</v>
      </c>
      <c r="W85" t="str">
        <f>VLOOKUP(B85,[1]Plantings!$A$2:$E$285,4,FALSE)</f>
        <v>line</v>
      </c>
      <c r="X85" s="43" t="str">
        <f>VLOOKUP(B85,[1]Plantings!$A$2:$E$285,5,FALSE)</f>
        <v>retain</v>
      </c>
      <c r="Y85" t="s">
        <v>9</v>
      </c>
      <c r="Z85">
        <v>-1.2</v>
      </c>
      <c r="AA85" s="45"/>
      <c r="AF85" s="46"/>
      <c r="AL85" s="8" t="s">
        <v>1137</v>
      </c>
    </row>
    <row r="86" spans="1:38" x14ac:dyDescent="0.25">
      <c r="A86" s="9" t="s">
        <v>1120</v>
      </c>
      <c r="B86" t="s">
        <v>1138</v>
      </c>
      <c r="C86" t="str">
        <f>VLOOKUP(B86,[1]Plantings!$A$2:$C$285,2,FALSE)</f>
        <v>HAR_shallow_L3</v>
      </c>
      <c r="D86" t="str">
        <f>VLOOKUP(B86,[1]Plantings!$A$2:$C$285,3,FALSE)</f>
        <v>single</v>
      </c>
      <c r="E86" s="18">
        <v>2020</v>
      </c>
      <c r="G86" t="s">
        <v>987</v>
      </c>
      <c r="H86" t="s">
        <v>301</v>
      </c>
      <c r="I86" t="s">
        <v>957</v>
      </c>
      <c r="J86" s="18" t="s">
        <v>1014</v>
      </c>
      <c r="K86" s="18" t="s">
        <v>562</v>
      </c>
      <c r="L86" s="18" t="s">
        <v>562</v>
      </c>
      <c r="M86" s="18" t="s">
        <v>1040</v>
      </c>
      <c r="N86" s="9"/>
      <c r="O86" s="9" t="s">
        <v>963</v>
      </c>
      <c r="R86" t="s">
        <v>1004</v>
      </c>
      <c r="S86" s="52" t="s">
        <v>1004</v>
      </c>
      <c r="T86" s="59">
        <v>43983</v>
      </c>
      <c r="U86" s="43">
        <v>47.293015107999999</v>
      </c>
      <c r="V86" s="43">
        <v>-122.855246839</v>
      </c>
      <c r="W86" t="str">
        <f>VLOOKUP(B86,[1]Plantings!$A$2:$E$285,4,FALSE)</f>
        <v>line</v>
      </c>
      <c r="X86" s="43" t="str">
        <f>VLOOKUP(B86,[1]Plantings!$A$2:$E$285,5,FALSE)</f>
        <v>retain</v>
      </c>
      <c r="Y86" t="s">
        <v>9</v>
      </c>
      <c r="Z86">
        <v>-0.9</v>
      </c>
      <c r="AA86" s="45" t="s">
        <v>982</v>
      </c>
      <c r="AB86">
        <v>32</v>
      </c>
      <c r="AC86">
        <v>6</v>
      </c>
      <c r="AD86">
        <f>AB86*AC86</f>
        <v>192</v>
      </c>
      <c r="AE86">
        <f>AG86*0.25</f>
        <v>118.5</v>
      </c>
      <c r="AF86" s="46">
        <f>IF(AA86="staple",AG86*0.005,IF(AA86="rebar",AG86*0.025,IF(AA86="burlap",AG86*0.0625,IF(AA86="washer",AG86*0.0025,IF(AA86="pucks",AG86*0.00785,IF(AA86="turf",AG86*0.01,IF(AA86="","")))))))</f>
        <v>11.850000000000001</v>
      </c>
      <c r="AG86">
        <v>474</v>
      </c>
      <c r="AH86" s="61">
        <v>11390</v>
      </c>
      <c r="AI86" s="45">
        <f>IFERROR(AH86/AD86, "")</f>
        <v>59.322916666666664</v>
      </c>
      <c r="AJ86" s="45">
        <f>IFERROR(AH86/AE86, "")</f>
        <v>96.118143459915615</v>
      </c>
      <c r="AK86" t="s">
        <v>1135</v>
      </c>
      <c r="AL86" s="8" t="s">
        <v>1139</v>
      </c>
    </row>
    <row r="87" spans="1:38" x14ac:dyDescent="0.25">
      <c r="A87" s="9" t="s">
        <v>1120</v>
      </c>
      <c r="B87" t="s">
        <v>1138</v>
      </c>
      <c r="C87" t="str">
        <f>VLOOKUP(B87,[1]Plantings!$A$2:$C$285,2,FALSE)</f>
        <v>HAR_shallow_L3</v>
      </c>
      <c r="D87" t="str">
        <f>VLOOKUP(B87,[1]Plantings!$A$2:$C$285,3,FALSE)</f>
        <v>single</v>
      </c>
      <c r="E87" s="18">
        <v>2020</v>
      </c>
      <c r="G87" t="s">
        <v>987</v>
      </c>
      <c r="H87" t="s">
        <v>301</v>
      </c>
      <c r="I87" t="s">
        <v>957</v>
      </c>
      <c r="J87" s="18" t="s">
        <v>1014</v>
      </c>
      <c r="K87" s="18" t="s">
        <v>562</v>
      </c>
      <c r="L87" s="18" t="s">
        <v>562</v>
      </c>
      <c r="M87" s="18" t="s">
        <v>1040</v>
      </c>
      <c r="N87" s="9"/>
      <c r="O87" s="9" t="s">
        <v>963</v>
      </c>
      <c r="R87" t="s">
        <v>1004</v>
      </c>
      <c r="S87" s="52" t="s">
        <v>998</v>
      </c>
      <c r="T87" s="59">
        <v>43983</v>
      </c>
      <c r="U87" s="43">
        <v>47.293316236000003</v>
      </c>
      <c r="V87" s="43">
        <v>-122.854970201</v>
      </c>
      <c r="W87" t="str">
        <f>VLOOKUP(B87,[1]Plantings!$A$2:$E$285,4,FALSE)</f>
        <v>line</v>
      </c>
      <c r="X87" s="43" t="str">
        <f>VLOOKUP(B87,[1]Plantings!$A$2:$E$285,5,FALSE)</f>
        <v>retain</v>
      </c>
      <c r="Y87" t="s">
        <v>9</v>
      </c>
      <c r="Z87">
        <v>-1</v>
      </c>
      <c r="AA87" s="45"/>
      <c r="AF87" s="46"/>
      <c r="AH87" s="61"/>
      <c r="AI87" s="45"/>
      <c r="AJ87" s="45"/>
      <c r="AL87" s="8" t="s">
        <v>1140</v>
      </c>
    </row>
    <row r="88" spans="1:38" x14ac:dyDescent="0.25">
      <c r="A88" s="9" t="s">
        <v>1120</v>
      </c>
      <c r="B88" s="9" t="s">
        <v>1141</v>
      </c>
      <c r="C88" t="str">
        <f>VLOOKUP(B88,[1]Plantings!$A$2:$C$285,2,FALSE)</f>
        <v>HAR_5</v>
      </c>
      <c r="D88" t="str">
        <f>VLOOKUP(B88,[1]Plantings!$A$2:$C$285,3,FALSE)</f>
        <v>single</v>
      </c>
      <c r="E88" s="18">
        <v>2020</v>
      </c>
      <c r="G88" t="s">
        <v>7</v>
      </c>
      <c r="H88" t="s">
        <v>301</v>
      </c>
      <c r="I88" t="s">
        <v>957</v>
      </c>
      <c r="J88" s="9" t="s">
        <v>1014</v>
      </c>
      <c r="K88" s="9" t="s">
        <v>978</v>
      </c>
      <c r="L88" s="9" t="s">
        <v>978</v>
      </c>
      <c r="M88" s="18" t="s">
        <v>979</v>
      </c>
      <c r="N88" s="9" t="s">
        <v>980</v>
      </c>
      <c r="O88" s="9" t="s">
        <v>963</v>
      </c>
      <c r="R88" t="s">
        <v>966</v>
      </c>
      <c r="S88" t="s">
        <v>966</v>
      </c>
      <c r="T88" s="59">
        <v>44011</v>
      </c>
      <c r="U88" s="43">
        <v>47.295769999999997</v>
      </c>
      <c r="V88" s="43">
        <v>-122.84945999999999</v>
      </c>
      <c r="W88" t="str">
        <f>VLOOKUP(B88,[1]Plantings!$A$2:$E$285,4,FALSE)</f>
        <v>point</v>
      </c>
      <c r="X88" s="43" t="str">
        <f>VLOOKUP(B88,[1]Plantings!$A$2:$E$285,5,FALSE)</f>
        <v>retain</v>
      </c>
      <c r="Y88" s="48" t="s">
        <v>9</v>
      </c>
      <c r="Z88" s="44">
        <v>-1.2</v>
      </c>
      <c r="AA88" s="45" t="s">
        <v>982</v>
      </c>
      <c r="AB88">
        <v>2.5</v>
      </c>
      <c r="AC88">
        <v>2.5</v>
      </c>
      <c r="AD88">
        <f t="shared" ref="AD88:AD97" si="14">AB88*AC88</f>
        <v>6.25</v>
      </c>
      <c r="AE88">
        <f>AG88*0.25</f>
        <v>5</v>
      </c>
      <c r="AF88" s="46">
        <f t="shared" ref="AF88:AF97" si="15">IF(AA88="staple",AG88*0.005,IF(AA88="rebar",AG88*0.025,IF(AA88="burlap",AG88*0.0625,IF(AA88="washer",AG88*0.0025,IF(AA88="pucks",AG88*0.00785,IF(AA88="turf",AG88*0.01,IF(AA88="","")))))))</f>
        <v>0.5</v>
      </c>
      <c r="AG88">
        <v>20</v>
      </c>
      <c r="AH88">
        <v>500</v>
      </c>
      <c r="AI88" s="45">
        <f t="shared" ref="AI88:AI151" si="16">IFERROR(AH88/AD88, "")</f>
        <v>80</v>
      </c>
      <c r="AJ88" s="45">
        <f t="shared" ref="AJ88:AJ151" si="17">IFERROR(AH88/AE88, "")</f>
        <v>100</v>
      </c>
      <c r="AK88" t="s">
        <v>995</v>
      </c>
      <c r="AL88" s="8" t="s">
        <v>1142</v>
      </c>
    </row>
    <row r="89" spans="1:38" x14ac:dyDescent="0.25">
      <c r="A89" s="9" t="s">
        <v>1120</v>
      </c>
      <c r="B89" s="18" t="s">
        <v>1143</v>
      </c>
      <c r="C89" t="str">
        <f>VLOOKUP(B89,[1]Plantings!$A$2:$C$285,2,FALSE)</f>
        <v>HAR_6</v>
      </c>
      <c r="D89" t="str">
        <f>VLOOKUP(B89,[1]Plantings!$A$2:$C$285,3,FALSE)</f>
        <v>single</v>
      </c>
      <c r="E89" s="18">
        <v>2020</v>
      </c>
      <c r="G89" t="s">
        <v>7</v>
      </c>
      <c r="H89" t="s">
        <v>301</v>
      </c>
      <c r="I89" t="s">
        <v>957</v>
      </c>
      <c r="J89" s="9" t="s">
        <v>1014</v>
      </c>
      <c r="K89" s="9" t="s">
        <v>978</v>
      </c>
      <c r="L89" s="9" t="s">
        <v>978</v>
      </c>
      <c r="M89" s="18" t="s">
        <v>979</v>
      </c>
      <c r="N89" s="9" t="s">
        <v>980</v>
      </c>
      <c r="O89" s="9" t="s">
        <v>963</v>
      </c>
      <c r="R89" t="s">
        <v>966</v>
      </c>
      <c r="S89" t="s">
        <v>966</v>
      </c>
      <c r="T89" s="59">
        <v>44011</v>
      </c>
      <c r="U89" s="43">
        <v>47.292029999999997</v>
      </c>
      <c r="V89" s="43">
        <v>-122.8555666</v>
      </c>
      <c r="W89" t="str">
        <f>VLOOKUP(B89,[1]Plantings!$A$2:$E$285,4,FALSE)</f>
        <v>point</v>
      </c>
      <c r="X89" s="43" t="str">
        <f>VLOOKUP(B89,[1]Plantings!$A$2:$E$285,5,FALSE)</f>
        <v>retain</v>
      </c>
      <c r="Y89" s="48" t="s">
        <v>9</v>
      </c>
      <c r="Z89" s="44">
        <v>-1.1000000000000001</v>
      </c>
      <c r="AA89" s="45" t="s">
        <v>982</v>
      </c>
      <c r="AB89">
        <v>2.5</v>
      </c>
      <c r="AC89">
        <v>2.5</v>
      </c>
      <c r="AD89">
        <f t="shared" si="14"/>
        <v>6.25</v>
      </c>
      <c r="AE89">
        <f>AG89*0.25</f>
        <v>5</v>
      </c>
      <c r="AF89" s="46">
        <f t="shared" si="15"/>
        <v>0.5</v>
      </c>
      <c r="AG89">
        <v>20</v>
      </c>
      <c r="AH89">
        <v>500</v>
      </c>
      <c r="AI89" s="45">
        <f t="shared" si="16"/>
        <v>80</v>
      </c>
      <c r="AJ89" s="45">
        <f t="shared" si="17"/>
        <v>100</v>
      </c>
      <c r="AK89" t="s">
        <v>995</v>
      </c>
      <c r="AL89" s="8" t="s">
        <v>1144</v>
      </c>
    </row>
    <row r="90" spans="1:38" x14ac:dyDescent="0.25">
      <c r="A90" t="s">
        <v>1145</v>
      </c>
      <c r="B90" t="s">
        <v>1146</v>
      </c>
      <c r="C90" t="str">
        <f>VLOOKUP(B90,[1]Plantings!$A$2:$C$285,2,FALSE)</f>
        <v>HRI</v>
      </c>
      <c r="D90" t="str">
        <f>VLOOKUP(B90,[1]Plantings!$A$2:$C$285,3,FALSE)</f>
        <v>single</v>
      </c>
      <c r="E90">
        <v>2015</v>
      </c>
      <c r="G90" t="s">
        <v>7</v>
      </c>
      <c r="H90" t="s">
        <v>301</v>
      </c>
      <c r="I90" t="s">
        <v>957</v>
      </c>
      <c r="J90" t="s">
        <v>123</v>
      </c>
      <c r="K90" t="s">
        <v>971</v>
      </c>
      <c r="L90" t="s">
        <v>972</v>
      </c>
      <c r="O90" t="s">
        <v>963</v>
      </c>
      <c r="P90" t="s">
        <v>973</v>
      </c>
      <c r="Q90" t="s">
        <v>974</v>
      </c>
      <c r="R90" t="s">
        <v>966</v>
      </c>
      <c r="S90" t="s">
        <v>966</v>
      </c>
      <c r="T90" s="59">
        <v>42075</v>
      </c>
      <c r="U90" s="49">
        <v>47.279499000000001</v>
      </c>
      <c r="V90" s="205">
        <v>-122.809296</v>
      </c>
      <c r="W90" t="str">
        <f>VLOOKUP(B90,[1]Plantings!$A$2:$E$285,4,FALSE)</f>
        <v>point</v>
      </c>
      <c r="X90" s="43" t="str">
        <f>VLOOKUP(B90,[1]Plantings!$A$2:$E$285,5,FALSE)</f>
        <v>retain</v>
      </c>
      <c r="Y90" s="48" t="s">
        <v>9</v>
      </c>
      <c r="Z90" s="44">
        <v>-1.2</v>
      </c>
      <c r="AA90" s="45" t="s">
        <v>967</v>
      </c>
      <c r="AB90">
        <v>5</v>
      </c>
      <c r="AC90">
        <v>5</v>
      </c>
      <c r="AD90">
        <f t="shared" si="14"/>
        <v>25</v>
      </c>
      <c r="AE90">
        <v>25</v>
      </c>
      <c r="AF90" s="46">
        <f t="shared" si="15"/>
        <v>0.625</v>
      </c>
      <c r="AG90" s="47">
        <f>AH90/4</f>
        <v>125</v>
      </c>
      <c r="AH90" s="47">
        <v>500</v>
      </c>
      <c r="AI90" s="45">
        <f t="shared" si="16"/>
        <v>20</v>
      </c>
      <c r="AJ90" s="45">
        <f t="shared" si="17"/>
        <v>20</v>
      </c>
      <c r="AK90" t="s">
        <v>1093</v>
      </c>
      <c r="AL90" s="8" t="s">
        <v>1147</v>
      </c>
    </row>
    <row r="91" spans="1:38" x14ac:dyDescent="0.25">
      <c r="A91" t="s">
        <v>1148</v>
      </c>
      <c r="B91" t="s">
        <v>1149</v>
      </c>
      <c r="C91" t="str">
        <f>VLOOKUP(B91,[1]Plantings!$A$2:$C$285,2,FALSE)</f>
        <v>HPT_south_1</v>
      </c>
      <c r="D91" t="str">
        <f>VLOOKUP(B91,[1]Plantings!$A$2:$C$285,3,FALSE)</f>
        <v>single</v>
      </c>
      <c r="E91">
        <v>2015</v>
      </c>
      <c r="G91" t="s">
        <v>7</v>
      </c>
      <c r="H91" t="s">
        <v>269</v>
      </c>
      <c r="I91" t="s">
        <v>1092</v>
      </c>
      <c r="J91" t="s">
        <v>123</v>
      </c>
      <c r="K91" t="s">
        <v>971</v>
      </c>
      <c r="L91" t="s">
        <v>972</v>
      </c>
      <c r="O91" t="s">
        <v>963</v>
      </c>
      <c r="P91" t="s">
        <v>973</v>
      </c>
      <c r="Q91" t="s">
        <v>974</v>
      </c>
      <c r="R91" t="s">
        <v>966</v>
      </c>
      <c r="S91" t="s">
        <v>966</v>
      </c>
      <c r="T91" s="59">
        <v>42142</v>
      </c>
      <c r="U91" s="43">
        <v>47.151866666666663</v>
      </c>
      <c r="V91" s="43">
        <v>-122.92978333333333</v>
      </c>
      <c r="W91" t="str">
        <f>VLOOKUP(B91,[1]Plantings!$A$2:$E$285,4,FALSE)</f>
        <v>point</v>
      </c>
      <c r="X91" s="43" t="str">
        <f>VLOOKUP(B91,[1]Plantings!$A$2:$E$285,5,FALSE)</f>
        <v>retain</v>
      </c>
      <c r="Y91" s="48" t="s">
        <v>9</v>
      </c>
      <c r="Z91" s="44">
        <v>-1.0668</v>
      </c>
      <c r="AA91" s="70" t="s">
        <v>967</v>
      </c>
      <c r="AB91">
        <v>5</v>
      </c>
      <c r="AC91">
        <v>5</v>
      </c>
      <c r="AD91">
        <f t="shared" si="14"/>
        <v>25</v>
      </c>
      <c r="AE91">
        <v>25</v>
      </c>
      <c r="AF91" s="46">
        <f t="shared" si="15"/>
        <v>0.625</v>
      </c>
      <c r="AG91" s="47">
        <f>AH91/4</f>
        <v>125</v>
      </c>
      <c r="AH91" s="47">
        <v>500</v>
      </c>
      <c r="AI91" s="45">
        <f t="shared" si="16"/>
        <v>20</v>
      </c>
      <c r="AJ91" s="45">
        <f t="shared" si="17"/>
        <v>20</v>
      </c>
      <c r="AK91" t="s">
        <v>968</v>
      </c>
      <c r="AL91" s="8" t="s">
        <v>1150</v>
      </c>
    </row>
    <row r="92" spans="1:38" x14ac:dyDescent="0.25">
      <c r="A92" t="s">
        <v>1148</v>
      </c>
      <c r="B92" t="s">
        <v>1151</v>
      </c>
      <c r="C92" t="str">
        <f>VLOOKUP(B92,[1]Plantings!$A$2:$C$285,2,FALSE)</f>
        <v>HPT_north_2</v>
      </c>
      <c r="D92" t="str">
        <f>VLOOKUP(B92,[1]Plantings!$A$2:$C$285,3,FALSE)</f>
        <v>single</v>
      </c>
      <c r="E92">
        <v>2015</v>
      </c>
      <c r="G92" t="s">
        <v>7</v>
      </c>
      <c r="H92" t="s">
        <v>269</v>
      </c>
      <c r="I92" t="s">
        <v>1092</v>
      </c>
      <c r="J92" t="s">
        <v>123</v>
      </c>
      <c r="K92" t="s">
        <v>971</v>
      </c>
      <c r="L92" t="s">
        <v>972</v>
      </c>
      <c r="O92" t="s">
        <v>963</v>
      </c>
      <c r="P92" t="s">
        <v>973</v>
      </c>
      <c r="Q92" t="s">
        <v>974</v>
      </c>
      <c r="R92" t="s">
        <v>966</v>
      </c>
      <c r="S92" t="s">
        <v>966</v>
      </c>
      <c r="T92" s="59">
        <v>42142</v>
      </c>
      <c r="U92" s="43">
        <v>47.155000000000001</v>
      </c>
      <c r="V92" s="43">
        <v>-122.92618333333333</v>
      </c>
      <c r="W92" t="str">
        <f>VLOOKUP(B92,[1]Plantings!$A$2:$E$285,4,FALSE)</f>
        <v>point</v>
      </c>
      <c r="X92" s="43" t="str">
        <f>VLOOKUP(B92,[1]Plantings!$A$2:$E$285,5,FALSE)</f>
        <v>retain</v>
      </c>
      <c r="Y92" s="48" t="s">
        <v>9</v>
      </c>
      <c r="Z92" s="44">
        <v>-1.3715999999999999</v>
      </c>
      <c r="AA92" s="45" t="s">
        <v>967</v>
      </c>
      <c r="AB92">
        <v>5</v>
      </c>
      <c r="AC92">
        <v>5</v>
      </c>
      <c r="AD92">
        <f t="shared" si="14"/>
        <v>25</v>
      </c>
      <c r="AE92">
        <v>25</v>
      </c>
      <c r="AF92" s="46">
        <f t="shared" si="15"/>
        <v>0.625</v>
      </c>
      <c r="AG92" s="47">
        <f>AH92/4</f>
        <v>125</v>
      </c>
      <c r="AH92" s="47">
        <v>500</v>
      </c>
      <c r="AI92" s="45">
        <f t="shared" si="16"/>
        <v>20</v>
      </c>
      <c r="AJ92" s="45">
        <f t="shared" si="17"/>
        <v>20</v>
      </c>
      <c r="AK92" t="s">
        <v>968</v>
      </c>
      <c r="AL92" s="8" t="s">
        <v>1152</v>
      </c>
    </row>
    <row r="93" spans="1:38" x14ac:dyDescent="0.25">
      <c r="A93" t="s">
        <v>1148</v>
      </c>
      <c r="B93" t="s">
        <v>1153</v>
      </c>
      <c r="C93" t="str">
        <f>VLOOKUP(B93,[1]Plantings!$A$2:$C$285,2,FALSE)</f>
        <v>HPT_south_2</v>
      </c>
      <c r="D93" t="str">
        <f>VLOOKUP(B93,[1]Plantings!$A$2:$C$285,3,FALSE)</f>
        <v>single</v>
      </c>
      <c r="E93" s="18">
        <v>2020</v>
      </c>
      <c r="G93" t="s">
        <v>7</v>
      </c>
      <c r="H93" t="s">
        <v>269</v>
      </c>
      <c r="I93" t="s">
        <v>1092</v>
      </c>
      <c r="J93" s="9" t="s">
        <v>1014</v>
      </c>
      <c r="K93" s="9" t="s">
        <v>978</v>
      </c>
      <c r="L93" s="9" t="s">
        <v>978</v>
      </c>
      <c r="M93" s="18" t="s">
        <v>979</v>
      </c>
      <c r="N93" s="9" t="s">
        <v>980</v>
      </c>
      <c r="O93" s="9" t="s">
        <v>963</v>
      </c>
      <c r="R93" t="s">
        <v>966</v>
      </c>
      <c r="S93" t="s">
        <v>966</v>
      </c>
      <c r="T93" s="59">
        <v>44011</v>
      </c>
      <c r="U93" s="43">
        <v>47.151893000000001</v>
      </c>
      <c r="V93" s="43">
        <v>-122.92966</v>
      </c>
      <c r="W93" t="str">
        <f>VLOOKUP(B93,[1]Plantings!$A$2:$E$285,4,FALSE)</f>
        <v>point</v>
      </c>
      <c r="X93" s="43" t="str">
        <f>VLOOKUP(B93,[1]Plantings!$A$2:$E$285,5,FALSE)</f>
        <v>retain</v>
      </c>
      <c r="Y93" s="48" t="s">
        <v>9</v>
      </c>
      <c r="Z93" s="44">
        <v>-1.5</v>
      </c>
      <c r="AA93" s="45" t="s">
        <v>982</v>
      </c>
      <c r="AB93">
        <v>2.5</v>
      </c>
      <c r="AC93">
        <v>2.5</v>
      </c>
      <c r="AD93">
        <f t="shared" si="14"/>
        <v>6.25</v>
      </c>
      <c r="AE93">
        <f>AG93*0.25</f>
        <v>5</v>
      </c>
      <c r="AF93" s="46">
        <f t="shared" si="15"/>
        <v>0.5</v>
      </c>
      <c r="AG93">
        <v>20</v>
      </c>
      <c r="AH93">
        <v>500</v>
      </c>
      <c r="AI93" s="45">
        <f t="shared" si="16"/>
        <v>80</v>
      </c>
      <c r="AJ93" s="45">
        <f t="shared" si="17"/>
        <v>100</v>
      </c>
      <c r="AK93" t="s">
        <v>995</v>
      </c>
      <c r="AL93" s="8" t="s">
        <v>1154</v>
      </c>
    </row>
    <row r="94" spans="1:38" x14ac:dyDescent="0.25">
      <c r="A94" t="s">
        <v>1148</v>
      </c>
      <c r="B94" t="s">
        <v>1155</v>
      </c>
      <c r="C94" t="str">
        <f>VLOOKUP(B94,[1]Plantings!$A$2:$C$285,2,FALSE)</f>
        <v>HPT_north_2</v>
      </c>
      <c r="D94" t="str">
        <f>VLOOKUP(B94,[1]Plantings!$A$2:$C$285,3,FALSE)</f>
        <v>single</v>
      </c>
      <c r="E94" s="18">
        <v>2020</v>
      </c>
      <c r="G94" t="s">
        <v>7</v>
      </c>
      <c r="H94" t="s">
        <v>269</v>
      </c>
      <c r="I94" t="s">
        <v>1092</v>
      </c>
      <c r="J94" s="9" t="s">
        <v>1014</v>
      </c>
      <c r="K94" s="9" t="s">
        <v>978</v>
      </c>
      <c r="L94" s="9" t="s">
        <v>978</v>
      </c>
      <c r="M94" s="18" t="s">
        <v>979</v>
      </c>
      <c r="N94" s="9" t="s">
        <v>980</v>
      </c>
      <c r="O94" s="9" t="s">
        <v>963</v>
      </c>
      <c r="R94" t="s">
        <v>966</v>
      </c>
      <c r="S94" t="s">
        <v>966</v>
      </c>
      <c r="T94" s="59">
        <v>44011</v>
      </c>
      <c r="U94" s="43">
        <v>47.154924999999999</v>
      </c>
      <c r="V94" s="43">
        <v>-122.9261166</v>
      </c>
      <c r="W94" t="str">
        <f>VLOOKUP(B94,[1]Plantings!$A$2:$E$285,4,FALSE)</f>
        <v>point</v>
      </c>
      <c r="X94" s="43" t="str">
        <f>VLOOKUP(B94,[1]Plantings!$A$2:$E$285,5,FALSE)</f>
        <v>retain</v>
      </c>
      <c r="Y94" s="48" t="s">
        <v>9</v>
      </c>
      <c r="Z94" s="44">
        <v>-1.5</v>
      </c>
      <c r="AA94" s="45" t="s">
        <v>982</v>
      </c>
      <c r="AB94">
        <v>3</v>
      </c>
      <c r="AC94">
        <v>2.5</v>
      </c>
      <c r="AD94">
        <f t="shared" si="14"/>
        <v>7.5</v>
      </c>
      <c r="AE94">
        <f>AG94*0.25</f>
        <v>6</v>
      </c>
      <c r="AF94" s="46">
        <f t="shared" si="15"/>
        <v>0.60000000000000009</v>
      </c>
      <c r="AG94">
        <v>24</v>
      </c>
      <c r="AH94">
        <v>600</v>
      </c>
      <c r="AI94" s="45">
        <f t="shared" si="16"/>
        <v>80</v>
      </c>
      <c r="AJ94" s="45">
        <f t="shared" si="17"/>
        <v>100</v>
      </c>
      <c r="AK94" t="s">
        <v>995</v>
      </c>
      <c r="AL94" s="8" t="s">
        <v>1156</v>
      </c>
    </row>
    <row r="95" spans="1:38" x14ac:dyDescent="0.25">
      <c r="A95" t="s">
        <v>1157</v>
      </c>
      <c r="B95" t="s">
        <v>1158</v>
      </c>
      <c r="C95" t="str">
        <f>VLOOKUP(B95,[1]Plantings!$A$2:$C$285,2,FALSE)</f>
        <v>JSP_mid_shallow</v>
      </c>
      <c r="D95" t="str">
        <f>VLOOKUP(B95,[1]Plantings!$A$2:$C$285,3,FALSE)</f>
        <v>single</v>
      </c>
      <c r="E95">
        <v>2013</v>
      </c>
      <c r="G95" t="s">
        <v>7</v>
      </c>
      <c r="H95" t="s">
        <v>301</v>
      </c>
      <c r="I95" t="s">
        <v>957</v>
      </c>
      <c r="J95" t="s">
        <v>958</v>
      </c>
      <c r="K95" t="s">
        <v>959</v>
      </c>
      <c r="L95" t="s">
        <v>960</v>
      </c>
      <c r="M95" t="s">
        <v>961</v>
      </c>
      <c r="N95" t="s">
        <v>962</v>
      </c>
      <c r="O95" t="s">
        <v>963</v>
      </c>
      <c r="P95" t="s">
        <v>964</v>
      </c>
      <c r="Q95" t="s">
        <v>965</v>
      </c>
      <c r="R95" t="s">
        <v>966</v>
      </c>
      <c r="S95" t="s">
        <v>966</v>
      </c>
      <c r="T95" s="59">
        <v>41430</v>
      </c>
      <c r="U95" s="43">
        <v>47.22228333333333</v>
      </c>
      <c r="V95" s="43">
        <v>-122.80965</v>
      </c>
      <c r="W95" t="str">
        <f>VLOOKUP(B95,[1]Plantings!$A$2:$E$285,4,FALSE)</f>
        <v>point</v>
      </c>
      <c r="X95" s="43" t="str">
        <f>VLOOKUP(B95,[1]Plantings!$A$2:$E$285,5,FALSE)</f>
        <v>retain</v>
      </c>
      <c r="Y95" s="48" t="s">
        <v>9</v>
      </c>
      <c r="Z95" s="44">
        <v>-0.91439999999999999</v>
      </c>
      <c r="AA95" s="45" t="s">
        <v>967</v>
      </c>
      <c r="AB95">
        <v>6</v>
      </c>
      <c r="AC95">
        <v>6</v>
      </c>
      <c r="AD95">
        <f t="shared" si="14"/>
        <v>36</v>
      </c>
      <c r="AE95">
        <v>36</v>
      </c>
      <c r="AF95" s="46">
        <f t="shared" si="15"/>
        <v>0.89</v>
      </c>
      <c r="AG95" s="47">
        <f>AH95/4</f>
        <v>178</v>
      </c>
      <c r="AH95" s="47">
        <v>712</v>
      </c>
      <c r="AI95" s="45">
        <f t="shared" si="16"/>
        <v>19.777777777777779</v>
      </c>
      <c r="AJ95" s="45">
        <f t="shared" si="17"/>
        <v>19.777777777777779</v>
      </c>
      <c r="AK95" t="s">
        <v>1159</v>
      </c>
      <c r="AL95" s="8" t="s">
        <v>1160</v>
      </c>
    </row>
    <row r="96" spans="1:38" x14ac:dyDescent="0.25">
      <c r="A96" t="s">
        <v>1157</v>
      </c>
      <c r="B96" t="s">
        <v>1161</v>
      </c>
      <c r="C96" t="str">
        <f>VLOOKUP(B96,[1]Plantings!$A$2:$C$285,2,FALSE)</f>
        <v>JSP_mid_deep</v>
      </c>
      <c r="D96" t="str">
        <f>VLOOKUP(B96,[1]Plantings!$A$2:$C$285,3,FALSE)</f>
        <v>single</v>
      </c>
      <c r="E96">
        <v>2013</v>
      </c>
      <c r="G96" t="s">
        <v>7</v>
      </c>
      <c r="H96" t="s">
        <v>301</v>
      </c>
      <c r="I96" t="s">
        <v>957</v>
      </c>
      <c r="J96" t="s">
        <v>958</v>
      </c>
      <c r="K96" t="s">
        <v>959</v>
      </c>
      <c r="L96" t="s">
        <v>960</v>
      </c>
      <c r="M96" t="s">
        <v>961</v>
      </c>
      <c r="N96" t="s">
        <v>962</v>
      </c>
      <c r="O96" t="s">
        <v>963</v>
      </c>
      <c r="P96" t="s">
        <v>964</v>
      </c>
      <c r="Q96" t="s">
        <v>965</v>
      </c>
      <c r="R96" t="s">
        <v>966</v>
      </c>
      <c r="S96" t="s">
        <v>966</v>
      </c>
      <c r="T96" s="59">
        <v>41430</v>
      </c>
      <c r="U96" s="43">
        <v>47.222016666666669</v>
      </c>
      <c r="V96" s="43">
        <v>-122.81008333333334</v>
      </c>
      <c r="W96" t="str">
        <f>VLOOKUP(B96,[1]Plantings!$A$2:$E$285,4,FALSE)</f>
        <v>point</v>
      </c>
      <c r="X96" s="43" t="str">
        <f>VLOOKUP(B96,[1]Plantings!$A$2:$E$285,5,FALSE)</f>
        <v>retain</v>
      </c>
      <c r="Y96" s="48" t="s">
        <v>9</v>
      </c>
      <c r="Z96" s="44">
        <v>-1.524</v>
      </c>
      <c r="AA96" s="45" t="s">
        <v>967</v>
      </c>
      <c r="AB96">
        <v>6</v>
      </c>
      <c r="AC96">
        <v>6</v>
      </c>
      <c r="AD96">
        <f t="shared" si="14"/>
        <v>36</v>
      </c>
      <c r="AE96">
        <v>36</v>
      </c>
      <c r="AF96" s="46">
        <f t="shared" si="15"/>
        <v>0.89</v>
      </c>
      <c r="AG96" s="47">
        <f>AH96/4</f>
        <v>178</v>
      </c>
      <c r="AH96" s="47">
        <v>712</v>
      </c>
      <c r="AI96" s="45">
        <f t="shared" si="16"/>
        <v>19.777777777777779</v>
      </c>
      <c r="AJ96" s="45">
        <f t="shared" si="17"/>
        <v>19.777777777777779</v>
      </c>
      <c r="AK96" t="s">
        <v>1159</v>
      </c>
      <c r="AL96" s="8" t="s">
        <v>1162</v>
      </c>
    </row>
    <row r="97" spans="1:38" x14ac:dyDescent="0.25">
      <c r="A97" t="s">
        <v>1157</v>
      </c>
      <c r="B97" t="s">
        <v>1163</v>
      </c>
      <c r="C97" t="str">
        <f>VLOOKUP(B97,[1]Plantings!$A$2:$C$285,2,FALSE)</f>
        <v>JSP_mid_south_P1</v>
      </c>
      <c r="D97" t="str">
        <f>VLOOKUP(B97,[1]Plantings!$A$2:$C$285,3,FALSE)</f>
        <v>single</v>
      </c>
      <c r="E97">
        <v>2015</v>
      </c>
      <c r="G97" t="s">
        <v>1003</v>
      </c>
      <c r="H97" t="s">
        <v>301</v>
      </c>
      <c r="I97" t="s">
        <v>957</v>
      </c>
      <c r="J97" t="s">
        <v>123</v>
      </c>
      <c r="K97" t="s">
        <v>971</v>
      </c>
      <c r="L97" t="s">
        <v>972</v>
      </c>
      <c r="O97" t="s">
        <v>963</v>
      </c>
      <c r="P97" t="s">
        <v>973</v>
      </c>
      <c r="Q97" t="s">
        <v>974</v>
      </c>
      <c r="R97" t="s">
        <v>1004</v>
      </c>
      <c r="S97" t="s">
        <v>1004</v>
      </c>
      <c r="T97" s="59">
        <v>42141</v>
      </c>
      <c r="U97" s="43">
        <v>47.222349999999999</v>
      </c>
      <c r="V97" s="43">
        <v>-122.8105</v>
      </c>
      <c r="W97" t="str">
        <f>VLOOKUP(B97,[1]Plantings!$A$2:$E$285,4,FALSE)</f>
        <v>polygon</v>
      </c>
      <c r="X97" s="43" t="str">
        <f>VLOOKUP(B97,[1]Plantings!$A$2:$E$285,5,FALSE)</f>
        <v>retain</v>
      </c>
      <c r="Y97" t="s">
        <v>9</v>
      </c>
      <c r="Z97" s="44"/>
      <c r="AA97" s="61" t="s">
        <v>967</v>
      </c>
      <c r="AB97">
        <v>50</v>
      </c>
      <c r="AC97">
        <v>40</v>
      </c>
      <c r="AD97">
        <f t="shared" si="14"/>
        <v>2000</v>
      </c>
      <c r="AE97" s="61">
        <v>126.25</v>
      </c>
      <c r="AF97" s="46">
        <f t="shared" si="15"/>
        <v>12.75</v>
      </c>
      <c r="AG97" s="47">
        <f>AH97/4</f>
        <v>2550</v>
      </c>
      <c r="AH97" s="60">
        <v>10200</v>
      </c>
      <c r="AI97" s="45">
        <f t="shared" si="16"/>
        <v>5.0999999999999996</v>
      </c>
      <c r="AJ97" s="45">
        <f t="shared" si="17"/>
        <v>80.792079207920793</v>
      </c>
      <c r="AK97" t="s">
        <v>1164</v>
      </c>
      <c r="AL97" s="80" t="s">
        <v>1165</v>
      </c>
    </row>
    <row r="98" spans="1:38" x14ac:dyDescent="0.25">
      <c r="A98" t="s">
        <v>1157</v>
      </c>
      <c r="B98" t="s">
        <v>1166</v>
      </c>
      <c r="C98" t="str">
        <f>VLOOKUP(B98,[1]Plantings!$A$2:$C$285,2,FALSE)</f>
        <v>JSP_mid_south_P1</v>
      </c>
      <c r="D98" t="str">
        <f>VLOOKUP(B98,[1]Plantings!$A$2:$C$285,3,FALSE)</f>
        <v>single</v>
      </c>
      <c r="E98">
        <v>2015</v>
      </c>
      <c r="G98" t="s">
        <v>1003</v>
      </c>
      <c r="H98" t="s">
        <v>301</v>
      </c>
      <c r="I98" t="s">
        <v>957</v>
      </c>
      <c r="J98" t="s">
        <v>123</v>
      </c>
      <c r="K98" t="s">
        <v>971</v>
      </c>
      <c r="L98" t="s">
        <v>972</v>
      </c>
      <c r="O98" t="s">
        <v>963</v>
      </c>
      <c r="P98" t="s">
        <v>973</v>
      </c>
      <c r="Q98" t="s">
        <v>974</v>
      </c>
      <c r="R98" t="s">
        <v>1004</v>
      </c>
      <c r="S98" s="52" t="s">
        <v>998</v>
      </c>
      <c r="T98" s="59">
        <v>42141</v>
      </c>
      <c r="U98" s="43">
        <v>47.222516666666664</v>
      </c>
      <c r="V98" s="43">
        <v>-122.81003333333334</v>
      </c>
      <c r="W98" t="str">
        <f>VLOOKUP(B98,[1]Plantings!$A$2:$E$285,4,FALSE)</f>
        <v>polygon</v>
      </c>
      <c r="X98" s="43" t="str">
        <f>VLOOKUP(B98,[1]Plantings!$A$2:$E$285,5,FALSE)</f>
        <v>retain</v>
      </c>
      <c r="Y98" s="48" t="s">
        <v>9</v>
      </c>
      <c r="Z98" s="44"/>
      <c r="AA98" s="61" t="s">
        <v>967</v>
      </c>
      <c r="AE98" s="45"/>
      <c r="AF98" s="46"/>
      <c r="AG98" s="47"/>
      <c r="AH98" s="47"/>
      <c r="AI98" s="45" t="str">
        <f t="shared" si="16"/>
        <v/>
      </c>
      <c r="AJ98" s="45" t="str">
        <f t="shared" si="17"/>
        <v/>
      </c>
      <c r="AL98" s="51" t="s">
        <v>1167</v>
      </c>
    </row>
    <row r="99" spans="1:38" x14ac:dyDescent="0.25">
      <c r="A99" t="s">
        <v>1157</v>
      </c>
      <c r="B99" t="s">
        <v>1168</v>
      </c>
      <c r="C99" t="str">
        <f>VLOOKUP(B99,[1]Plantings!$A$2:$C$285,2,FALSE)</f>
        <v>JSP_mid_south_P1</v>
      </c>
      <c r="D99" t="str">
        <f>VLOOKUP(B99,[1]Plantings!$A$2:$C$285,3,FALSE)</f>
        <v>single</v>
      </c>
      <c r="E99">
        <v>2015</v>
      </c>
      <c r="G99" t="s">
        <v>1003</v>
      </c>
      <c r="H99" t="s">
        <v>301</v>
      </c>
      <c r="I99" t="s">
        <v>957</v>
      </c>
      <c r="J99" t="s">
        <v>123</v>
      </c>
      <c r="K99" t="s">
        <v>971</v>
      </c>
      <c r="L99" t="s">
        <v>972</v>
      </c>
      <c r="O99" t="s">
        <v>963</v>
      </c>
      <c r="P99" t="s">
        <v>973</v>
      </c>
      <c r="Q99" t="s">
        <v>974</v>
      </c>
      <c r="R99" t="s">
        <v>1004</v>
      </c>
      <c r="S99" s="52" t="s">
        <v>998</v>
      </c>
      <c r="T99" s="59">
        <v>42141</v>
      </c>
      <c r="U99" s="43">
        <v>47.222149999999999</v>
      </c>
      <c r="V99" s="43">
        <v>-122.80966666666667</v>
      </c>
      <c r="W99" t="str">
        <f>VLOOKUP(B99,[1]Plantings!$A$2:$E$285,4,FALSE)</f>
        <v>polygon</v>
      </c>
      <c r="X99" s="43" t="str">
        <f>VLOOKUP(B99,[1]Plantings!$A$2:$E$285,5,FALSE)</f>
        <v>retain</v>
      </c>
      <c r="Y99" s="48" t="s">
        <v>9</v>
      </c>
      <c r="Z99" s="44">
        <v>-0.91439999999999999</v>
      </c>
      <c r="AA99" s="61" t="s">
        <v>967</v>
      </c>
      <c r="AE99" s="45"/>
      <c r="AF99" s="46"/>
      <c r="AG99" s="47"/>
      <c r="AH99" s="47"/>
      <c r="AI99" s="45" t="str">
        <f t="shared" si="16"/>
        <v/>
      </c>
      <c r="AJ99" s="45" t="str">
        <f t="shared" si="17"/>
        <v/>
      </c>
      <c r="AL99" s="51" t="s">
        <v>1169</v>
      </c>
    </row>
    <row r="100" spans="1:38" x14ac:dyDescent="0.25">
      <c r="A100" t="s">
        <v>1157</v>
      </c>
      <c r="B100" t="s">
        <v>1170</v>
      </c>
      <c r="C100" t="str">
        <f>VLOOKUP(B100,[1]Plantings!$A$2:$C$285,2,FALSE)</f>
        <v>JSP_mid_south_P1</v>
      </c>
      <c r="D100" t="str">
        <f>VLOOKUP(B100,[1]Plantings!$A$2:$C$285,3,FALSE)</f>
        <v>single</v>
      </c>
      <c r="E100">
        <v>2015</v>
      </c>
      <c r="G100" t="s">
        <v>1003</v>
      </c>
      <c r="H100" t="s">
        <v>301</v>
      </c>
      <c r="I100" t="s">
        <v>957</v>
      </c>
      <c r="J100" t="s">
        <v>123</v>
      </c>
      <c r="K100" t="s">
        <v>971</v>
      </c>
      <c r="L100" t="s">
        <v>972</v>
      </c>
      <c r="O100" t="s">
        <v>963</v>
      </c>
      <c r="P100" t="s">
        <v>973</v>
      </c>
      <c r="Q100" t="s">
        <v>974</v>
      </c>
      <c r="R100" t="s">
        <v>1004</v>
      </c>
      <c r="S100" s="52" t="s">
        <v>998</v>
      </c>
      <c r="T100" s="59">
        <v>42141</v>
      </c>
      <c r="U100" s="43">
        <v>47.222000000000001</v>
      </c>
      <c r="V100" s="43">
        <v>-122.81008333333334</v>
      </c>
      <c r="W100" t="str">
        <f>VLOOKUP(B100,[1]Plantings!$A$2:$E$285,4,FALSE)</f>
        <v>polygon</v>
      </c>
      <c r="X100" s="43" t="str">
        <f>VLOOKUP(B100,[1]Plantings!$A$2:$E$285,5,FALSE)</f>
        <v>retain</v>
      </c>
      <c r="Y100" s="48" t="s">
        <v>9</v>
      </c>
      <c r="Z100" s="44">
        <v>-1.524</v>
      </c>
      <c r="AA100" s="61" t="s">
        <v>967</v>
      </c>
      <c r="AE100" s="45"/>
      <c r="AF100" s="46"/>
      <c r="AG100" s="47"/>
      <c r="AH100" s="47"/>
      <c r="AI100" s="45" t="str">
        <f t="shared" si="16"/>
        <v/>
      </c>
      <c r="AJ100" s="45" t="str">
        <f t="shared" si="17"/>
        <v/>
      </c>
      <c r="AL100" s="51" t="s">
        <v>1171</v>
      </c>
    </row>
    <row r="101" spans="1:38" x14ac:dyDescent="0.25">
      <c r="A101" t="s">
        <v>1157</v>
      </c>
      <c r="B101" t="s">
        <v>1172</v>
      </c>
      <c r="C101" t="str">
        <f>VLOOKUP(B101,[1]Plantings!$A$2:$C$285,2,FALSE)</f>
        <v>JSP_mid_north_P1</v>
      </c>
      <c r="D101" t="str">
        <f>VLOOKUP(B101,[1]Plantings!$A$2:$C$285,3,FALSE)</f>
        <v>single</v>
      </c>
      <c r="E101">
        <v>2015</v>
      </c>
      <c r="G101" t="s">
        <v>1003</v>
      </c>
      <c r="H101" t="s">
        <v>301</v>
      </c>
      <c r="I101" t="s">
        <v>957</v>
      </c>
      <c r="J101" t="s">
        <v>123</v>
      </c>
      <c r="K101" t="s">
        <v>971</v>
      </c>
      <c r="L101" t="s">
        <v>972</v>
      </c>
      <c r="O101" t="s">
        <v>963</v>
      </c>
      <c r="P101" t="s">
        <v>973</v>
      </c>
      <c r="Q101" t="s">
        <v>1173</v>
      </c>
      <c r="R101" t="s">
        <v>1004</v>
      </c>
      <c r="S101" t="s">
        <v>1004</v>
      </c>
      <c r="T101" s="59">
        <v>42162</v>
      </c>
      <c r="U101" s="43">
        <v>47.223383333333331</v>
      </c>
      <c r="V101" s="43">
        <v>-122.81066666666666</v>
      </c>
      <c r="W101" t="str">
        <f>VLOOKUP(B101,[1]Plantings!$A$2:$E$285,4,FALSE)</f>
        <v>polygon</v>
      </c>
      <c r="X101" s="43" t="str">
        <f>VLOOKUP(B101,[1]Plantings!$A$2:$E$285,5,FALSE)</f>
        <v>retain</v>
      </c>
      <c r="Y101" t="s">
        <v>9</v>
      </c>
      <c r="Z101" s="44">
        <v>-1.28016</v>
      </c>
      <c r="AA101" s="70" t="s">
        <v>967</v>
      </c>
      <c r="AB101" s="81">
        <v>60</v>
      </c>
      <c r="AC101" s="81">
        <v>40</v>
      </c>
      <c r="AD101">
        <f>AB101*AC101</f>
        <v>2400</v>
      </c>
      <c r="AE101" s="61">
        <v>151.25</v>
      </c>
      <c r="AF101" s="46">
        <f>IF(AA101="staple",AG101*0.005,IF(AA101="rebar",AG101*0.025,IF(AA101="burlap",AG101*0.0625,IF(AA101="washer",AG101*0.0025,IF(AA101="pucks",AG101*0.00785,IF(AA101="turf",AG101*0.01,IF(AA101="","")))))))</f>
        <v>15</v>
      </c>
      <c r="AG101" s="47">
        <f>AH101/4</f>
        <v>3000</v>
      </c>
      <c r="AH101" s="53">
        <v>12000</v>
      </c>
      <c r="AI101" s="45">
        <f t="shared" si="16"/>
        <v>5</v>
      </c>
      <c r="AJ101" s="45">
        <f t="shared" si="17"/>
        <v>79.338842975206617</v>
      </c>
      <c r="AK101" t="s">
        <v>1164</v>
      </c>
      <c r="AL101" s="51" t="s">
        <v>1174</v>
      </c>
    </row>
    <row r="102" spans="1:38" x14ac:dyDescent="0.25">
      <c r="A102" t="s">
        <v>1157</v>
      </c>
      <c r="B102" t="s">
        <v>1175</v>
      </c>
      <c r="C102" t="str">
        <f>VLOOKUP(B102,[1]Plantings!$A$2:$C$285,2,FALSE)</f>
        <v>JSP_mid_north_P1</v>
      </c>
      <c r="D102" t="str">
        <f>VLOOKUP(B102,[1]Plantings!$A$2:$C$285,3,FALSE)</f>
        <v>single</v>
      </c>
      <c r="E102">
        <v>2015</v>
      </c>
      <c r="G102" t="s">
        <v>1003</v>
      </c>
      <c r="H102" t="s">
        <v>301</v>
      </c>
      <c r="I102" t="s">
        <v>957</v>
      </c>
      <c r="J102" t="s">
        <v>123</v>
      </c>
      <c r="K102" t="s">
        <v>971</v>
      </c>
      <c r="L102" t="s">
        <v>972</v>
      </c>
      <c r="O102" t="s">
        <v>963</v>
      </c>
      <c r="P102" t="s">
        <v>973</v>
      </c>
      <c r="Q102" t="s">
        <v>1173</v>
      </c>
      <c r="R102" t="s">
        <v>1004</v>
      </c>
      <c r="S102" s="52" t="s">
        <v>998</v>
      </c>
      <c r="T102" s="59">
        <v>42162</v>
      </c>
      <c r="U102" s="43">
        <v>47.223383333333331</v>
      </c>
      <c r="V102" s="43">
        <v>-122.81014999999999</v>
      </c>
      <c r="W102" t="str">
        <f>VLOOKUP(B102,[1]Plantings!$A$2:$E$285,4,FALSE)</f>
        <v>polygon</v>
      </c>
      <c r="X102" s="43" t="str">
        <f>VLOOKUP(B102,[1]Plantings!$A$2:$E$285,5,FALSE)</f>
        <v>retain</v>
      </c>
      <c r="Y102" s="48" t="s">
        <v>9</v>
      </c>
      <c r="Z102" s="44">
        <v>-0.51815999999999995</v>
      </c>
      <c r="AA102" s="70" t="s">
        <v>967</v>
      </c>
      <c r="AB102" s="82"/>
      <c r="AC102" s="82"/>
      <c r="AE102" s="61"/>
      <c r="AF102" s="46"/>
      <c r="AG102" s="53"/>
      <c r="AH102" s="53"/>
      <c r="AI102" s="45" t="str">
        <f t="shared" si="16"/>
        <v/>
      </c>
      <c r="AJ102" s="45" t="str">
        <f t="shared" si="17"/>
        <v/>
      </c>
      <c r="AL102" s="51" t="s">
        <v>1176</v>
      </c>
    </row>
    <row r="103" spans="1:38" x14ac:dyDescent="0.25">
      <c r="A103" t="s">
        <v>1157</v>
      </c>
      <c r="B103" t="s">
        <v>1177</v>
      </c>
      <c r="C103" t="str">
        <f>VLOOKUP(B103,[1]Plantings!$A$2:$C$285,2,FALSE)</f>
        <v>JSP_mid_north_P1</v>
      </c>
      <c r="D103" t="str">
        <f>VLOOKUP(B103,[1]Plantings!$A$2:$C$285,3,FALSE)</f>
        <v>single</v>
      </c>
      <c r="E103">
        <v>2015</v>
      </c>
      <c r="G103" t="s">
        <v>1003</v>
      </c>
      <c r="H103" t="s">
        <v>301</v>
      </c>
      <c r="I103" t="s">
        <v>957</v>
      </c>
      <c r="J103" t="s">
        <v>123</v>
      </c>
      <c r="K103" t="s">
        <v>971</v>
      </c>
      <c r="L103" t="s">
        <v>972</v>
      </c>
      <c r="O103" t="s">
        <v>963</v>
      </c>
      <c r="P103" t="s">
        <v>973</v>
      </c>
      <c r="Q103" t="s">
        <v>1173</v>
      </c>
      <c r="R103" t="s">
        <v>1004</v>
      </c>
      <c r="S103" s="52" t="s">
        <v>998</v>
      </c>
      <c r="T103" s="59">
        <v>42162</v>
      </c>
      <c r="U103" s="43">
        <v>47.222833333333334</v>
      </c>
      <c r="V103" s="43">
        <v>-122.81014999999999</v>
      </c>
      <c r="W103" t="str">
        <f>VLOOKUP(B103,[1]Plantings!$A$2:$E$285,4,FALSE)</f>
        <v>polygon</v>
      </c>
      <c r="X103" s="43" t="str">
        <f>VLOOKUP(B103,[1]Plantings!$A$2:$E$285,5,FALSE)</f>
        <v>retain</v>
      </c>
      <c r="Y103" s="48" t="s">
        <v>9</v>
      </c>
      <c r="Z103" s="44">
        <v>-0.97536</v>
      </c>
      <c r="AA103" s="70" t="s">
        <v>967</v>
      </c>
      <c r="AB103" s="82"/>
      <c r="AC103" s="82"/>
      <c r="AE103" s="61"/>
      <c r="AF103" s="46"/>
      <c r="AG103" s="53"/>
      <c r="AH103" s="53"/>
      <c r="AI103" s="45" t="str">
        <f t="shared" si="16"/>
        <v/>
      </c>
      <c r="AJ103" s="45" t="str">
        <f t="shared" si="17"/>
        <v/>
      </c>
      <c r="AL103" s="51" t="s">
        <v>1178</v>
      </c>
    </row>
    <row r="104" spans="1:38" x14ac:dyDescent="0.25">
      <c r="A104" t="s">
        <v>1157</v>
      </c>
      <c r="B104" t="s">
        <v>1179</v>
      </c>
      <c r="C104" t="str">
        <f>VLOOKUP(B104,[1]Plantings!$A$2:$C$285,2,FALSE)</f>
        <v>JSP_mid_north_P1</v>
      </c>
      <c r="D104" t="str">
        <f>VLOOKUP(B104,[1]Plantings!$A$2:$C$285,3,FALSE)</f>
        <v>single</v>
      </c>
      <c r="E104">
        <v>2015</v>
      </c>
      <c r="G104" t="s">
        <v>1003</v>
      </c>
      <c r="H104" t="s">
        <v>301</v>
      </c>
      <c r="I104" t="s">
        <v>957</v>
      </c>
      <c r="J104" t="s">
        <v>123</v>
      </c>
      <c r="K104" t="s">
        <v>971</v>
      </c>
      <c r="L104" t="s">
        <v>972</v>
      </c>
      <c r="O104" t="s">
        <v>963</v>
      </c>
      <c r="P104" t="s">
        <v>973</v>
      </c>
      <c r="Q104" t="s">
        <v>1173</v>
      </c>
      <c r="R104" t="s">
        <v>1004</v>
      </c>
      <c r="S104" s="52" t="s">
        <v>998</v>
      </c>
      <c r="T104" s="59">
        <v>42162</v>
      </c>
      <c r="U104" s="43">
        <v>47.222833333333334</v>
      </c>
      <c r="V104" s="43">
        <v>-122.81066666666666</v>
      </c>
      <c r="W104" t="str">
        <f>VLOOKUP(B104,[1]Plantings!$A$2:$E$285,4,FALSE)</f>
        <v>polygon</v>
      </c>
      <c r="X104" s="43" t="str">
        <f>VLOOKUP(B104,[1]Plantings!$A$2:$E$285,5,FALSE)</f>
        <v>retain</v>
      </c>
      <c r="Y104" s="48" t="s">
        <v>9</v>
      </c>
      <c r="Z104" s="44">
        <v>-1.7678400000000001</v>
      </c>
      <c r="AA104" s="70" t="s">
        <v>967</v>
      </c>
      <c r="AB104" s="82"/>
      <c r="AC104" s="82"/>
      <c r="AE104" s="61"/>
      <c r="AF104" s="46"/>
      <c r="AG104" s="53"/>
      <c r="AH104" s="53"/>
      <c r="AI104" s="45" t="str">
        <f t="shared" si="16"/>
        <v/>
      </c>
      <c r="AJ104" s="45" t="str">
        <f t="shared" si="17"/>
        <v/>
      </c>
      <c r="AL104" s="51" t="s">
        <v>1180</v>
      </c>
    </row>
    <row r="105" spans="1:38" x14ac:dyDescent="0.25">
      <c r="A105" t="s">
        <v>1157</v>
      </c>
      <c r="B105" t="s">
        <v>1181</v>
      </c>
      <c r="C105" t="str">
        <f>VLOOKUP(B105,[1]Plantings!$A$2:$C$285,2,FALSE)</f>
        <v>JSP_southeast</v>
      </c>
      <c r="D105" t="str">
        <f>VLOOKUP(B105,[1]Plantings!$A$2:$C$285,3,FALSE)</f>
        <v>single</v>
      </c>
      <c r="E105">
        <v>2015</v>
      </c>
      <c r="G105" t="s">
        <v>7</v>
      </c>
      <c r="H105" t="s">
        <v>301</v>
      </c>
      <c r="I105" t="s">
        <v>957</v>
      </c>
      <c r="J105" t="s">
        <v>123</v>
      </c>
      <c r="K105" t="s">
        <v>971</v>
      </c>
      <c r="L105" t="s">
        <v>972</v>
      </c>
      <c r="O105" t="s">
        <v>963</v>
      </c>
      <c r="P105" t="s">
        <v>973</v>
      </c>
      <c r="Q105" t="s">
        <v>974</v>
      </c>
      <c r="R105" t="s">
        <v>966</v>
      </c>
      <c r="S105" t="s">
        <v>966</v>
      </c>
      <c r="T105" s="59">
        <v>42164</v>
      </c>
      <c r="U105" s="43">
        <v>47.210933333333337</v>
      </c>
      <c r="V105" s="43">
        <v>-122.80663333333334</v>
      </c>
      <c r="W105" t="str">
        <f>VLOOKUP(B105,[1]Plantings!$A$2:$E$285,4,FALSE)</f>
        <v>point</v>
      </c>
      <c r="X105" s="43" t="str">
        <f>VLOOKUP(B105,[1]Plantings!$A$2:$E$285,5,FALSE)</f>
        <v>retain</v>
      </c>
      <c r="Y105" s="48" t="s">
        <v>9</v>
      </c>
      <c r="Z105" s="44">
        <v>-1.3715999999999999</v>
      </c>
      <c r="AA105" s="70" t="s">
        <v>967</v>
      </c>
      <c r="AB105">
        <v>5</v>
      </c>
      <c r="AC105">
        <v>5</v>
      </c>
      <c r="AD105">
        <f>AB105*AC105</f>
        <v>25</v>
      </c>
      <c r="AE105">
        <v>25</v>
      </c>
      <c r="AF105" s="46">
        <f t="shared" ref="AF105:AF168" si="18">IF(AA105="staple",AG105*0.005,IF(AA105="rebar",AG105*0.025,IF(AA105="burlap",AG105*0.0625,IF(AA105="washer",AG105*0.0025,IF(AA105="pucks",AG105*0.00785,IF(AA105="turf",AG105*0.01,IF(AA105="","")))))))</f>
        <v>0.625</v>
      </c>
      <c r="AG105" s="47">
        <f>AH105/4</f>
        <v>125</v>
      </c>
      <c r="AH105" s="47">
        <v>500</v>
      </c>
      <c r="AI105" s="45">
        <f t="shared" si="16"/>
        <v>20</v>
      </c>
      <c r="AJ105" s="45">
        <f t="shared" si="17"/>
        <v>20</v>
      </c>
      <c r="AK105" t="s">
        <v>1164</v>
      </c>
      <c r="AL105" s="8" t="s">
        <v>1182</v>
      </c>
    </row>
    <row r="106" spans="1:38" x14ac:dyDescent="0.25">
      <c r="A106" t="s">
        <v>1157</v>
      </c>
      <c r="B106" t="s">
        <v>1183</v>
      </c>
      <c r="C106" t="str">
        <f>VLOOKUP(B106,[1]Plantings!$A$2:$C$285,2,FALSE)</f>
        <v>JSP_north</v>
      </c>
      <c r="D106" t="str">
        <f>VLOOKUP(B106,[1]Plantings!$A$2:$C$285,3,FALSE)</f>
        <v>single</v>
      </c>
      <c r="E106">
        <v>2016</v>
      </c>
      <c r="G106" t="s">
        <v>987</v>
      </c>
      <c r="H106" t="s">
        <v>301</v>
      </c>
      <c r="I106" t="s">
        <v>957</v>
      </c>
      <c r="J106" t="s">
        <v>988</v>
      </c>
      <c r="K106" t="s">
        <v>959</v>
      </c>
      <c r="L106" t="s">
        <v>960</v>
      </c>
      <c r="M106" t="s">
        <v>989</v>
      </c>
      <c r="N106" t="s">
        <v>1051</v>
      </c>
      <c r="O106" t="s">
        <v>991</v>
      </c>
      <c r="P106" t="s">
        <v>992</v>
      </c>
      <c r="Q106" t="s">
        <v>993</v>
      </c>
      <c r="R106" t="s">
        <v>966</v>
      </c>
      <c r="S106" t="s">
        <v>966</v>
      </c>
      <c r="T106" s="59">
        <v>42507</v>
      </c>
      <c r="U106" s="50">
        <v>47.22589385277778</v>
      </c>
      <c r="V106" s="43">
        <v>-122.81332006111111</v>
      </c>
      <c r="W106" t="str">
        <f>VLOOKUP(B106,[1]Plantings!$A$2:$E$285,4,FALSE)</f>
        <v>line</v>
      </c>
      <c r="X106" s="43" t="str">
        <f>VLOOKUP(B106,[1]Plantings!$A$2:$E$285,5,FALSE)</f>
        <v>retain</v>
      </c>
      <c r="Y106" s="48" t="s">
        <v>9</v>
      </c>
      <c r="Z106" s="44">
        <v>-2</v>
      </c>
      <c r="AA106" s="70" t="s">
        <v>1052</v>
      </c>
      <c r="AB106">
        <v>25</v>
      </c>
      <c r="AC106">
        <v>5</v>
      </c>
      <c r="AD106">
        <f>AB106*AC106</f>
        <v>125</v>
      </c>
      <c r="AE106">
        <v>75</v>
      </c>
      <c r="AF106" s="46">
        <f t="shared" si="18"/>
        <v>9.75</v>
      </c>
      <c r="AG106" s="47">
        <v>156</v>
      </c>
      <c r="AH106" s="47">
        <v>780</v>
      </c>
      <c r="AI106" s="45">
        <f t="shared" si="16"/>
        <v>6.24</v>
      </c>
      <c r="AJ106" s="45">
        <f t="shared" si="17"/>
        <v>10.4</v>
      </c>
      <c r="AK106" t="s">
        <v>995</v>
      </c>
      <c r="AL106" s="51" t="s">
        <v>1054</v>
      </c>
    </row>
    <row r="107" spans="1:38" x14ac:dyDescent="0.25">
      <c r="A107" t="s">
        <v>1157</v>
      </c>
      <c r="B107" t="s">
        <v>1183</v>
      </c>
      <c r="C107" t="str">
        <f>VLOOKUP(B107,[1]Plantings!$A$2:$C$285,2,FALSE)</f>
        <v>JSP_north</v>
      </c>
      <c r="D107" t="str">
        <f>VLOOKUP(B107,[1]Plantings!$A$2:$C$285,3,FALSE)</f>
        <v>single</v>
      </c>
      <c r="E107">
        <v>2016</v>
      </c>
      <c r="G107" t="s">
        <v>987</v>
      </c>
      <c r="H107" t="s">
        <v>301</v>
      </c>
      <c r="I107" t="s">
        <v>957</v>
      </c>
      <c r="J107" t="s">
        <v>988</v>
      </c>
      <c r="K107" t="s">
        <v>959</v>
      </c>
      <c r="L107" t="s">
        <v>960</v>
      </c>
      <c r="M107" t="s">
        <v>989</v>
      </c>
      <c r="N107" t="s">
        <v>1051</v>
      </c>
      <c r="O107" t="s">
        <v>991</v>
      </c>
      <c r="P107" t="s">
        <v>992</v>
      </c>
      <c r="Q107" t="s">
        <v>993</v>
      </c>
      <c r="R107" t="s">
        <v>966</v>
      </c>
      <c r="S107" s="52" t="s">
        <v>998</v>
      </c>
      <c r="T107" s="59">
        <v>42507</v>
      </c>
      <c r="U107" s="50">
        <v>47.225797075000003</v>
      </c>
      <c r="V107" s="43">
        <v>-122.81301273611111</v>
      </c>
      <c r="W107" t="str">
        <f>VLOOKUP(B107,[1]Plantings!$A$2:$E$285,4,FALSE)</f>
        <v>line</v>
      </c>
      <c r="X107" s="43" t="str">
        <f>VLOOKUP(B107,[1]Plantings!$A$2:$E$285,5,FALSE)</f>
        <v>retain</v>
      </c>
      <c r="Y107" s="48" t="s">
        <v>9</v>
      </c>
      <c r="Z107" s="44"/>
      <c r="AA107" s="45"/>
      <c r="AF107" s="46" t="str">
        <f t="shared" si="18"/>
        <v/>
      </c>
      <c r="AG107" s="47"/>
      <c r="AH107" s="47"/>
      <c r="AI107" s="45" t="str">
        <f t="shared" si="16"/>
        <v/>
      </c>
      <c r="AJ107" s="45" t="str">
        <f t="shared" si="17"/>
        <v/>
      </c>
      <c r="AL107" s="51"/>
    </row>
    <row r="108" spans="1:38" x14ac:dyDescent="0.25">
      <c r="A108" t="s">
        <v>1157</v>
      </c>
      <c r="B108" t="s">
        <v>1184</v>
      </c>
      <c r="C108" t="str">
        <f>VLOOKUP(B108,[1]Plantings!$A$2:$C$285,2,FALSE)</f>
        <v>JSP_south_P1</v>
      </c>
      <c r="D108" t="str">
        <f>VLOOKUP(B108,[1]Plantings!$A$2:$C$285,3,FALSE)</f>
        <v>single</v>
      </c>
      <c r="E108">
        <v>2016</v>
      </c>
      <c r="G108" t="s">
        <v>1003</v>
      </c>
      <c r="H108" t="s">
        <v>301</v>
      </c>
      <c r="I108" t="s">
        <v>957</v>
      </c>
      <c r="J108" t="s">
        <v>988</v>
      </c>
      <c r="K108" t="s">
        <v>959</v>
      </c>
      <c r="L108" t="s">
        <v>960</v>
      </c>
      <c r="M108" t="s">
        <v>989</v>
      </c>
      <c r="N108" t="s">
        <v>1051</v>
      </c>
      <c r="O108" t="s">
        <v>991</v>
      </c>
      <c r="P108" t="s">
        <v>992</v>
      </c>
      <c r="Q108" t="s">
        <v>993</v>
      </c>
      <c r="R108" t="s">
        <v>1004</v>
      </c>
      <c r="S108" t="s">
        <v>1004</v>
      </c>
      <c r="T108" s="59">
        <v>42576</v>
      </c>
      <c r="U108" s="50">
        <v>47.221797497222219</v>
      </c>
      <c r="V108" s="43">
        <v>-122.80987687222222</v>
      </c>
      <c r="W108" t="str">
        <f>VLOOKUP(B108,[1]Plantings!$A$2:$E$285,4,FALSE)</f>
        <v>polygon</v>
      </c>
      <c r="X108" s="43" t="str">
        <f>VLOOKUP(B108,[1]Plantings!$A$2:$E$285,5,FALSE)</f>
        <v>retain</v>
      </c>
      <c r="Y108" s="48" t="s">
        <v>9</v>
      </c>
      <c r="Z108" s="44">
        <v>-1.5</v>
      </c>
      <c r="AA108" s="70" t="s">
        <v>1052</v>
      </c>
      <c r="AB108" s="47">
        <v>20</v>
      </c>
      <c r="AC108">
        <v>8</v>
      </c>
      <c r="AD108">
        <f>AB108*AC108</f>
        <v>160</v>
      </c>
      <c r="AE108">
        <v>60</v>
      </c>
      <c r="AF108" s="46">
        <f t="shared" si="18"/>
        <v>60</v>
      </c>
      <c r="AG108" s="47">
        <v>960</v>
      </c>
      <c r="AH108" s="53">
        <v>20260</v>
      </c>
      <c r="AI108" s="45">
        <f t="shared" si="16"/>
        <v>126.625</v>
      </c>
      <c r="AJ108" s="45">
        <f t="shared" si="17"/>
        <v>337.66666666666669</v>
      </c>
      <c r="AK108" t="s">
        <v>995</v>
      </c>
      <c r="AL108" s="51"/>
    </row>
    <row r="109" spans="1:38" x14ac:dyDescent="0.25">
      <c r="A109" t="s">
        <v>1157</v>
      </c>
      <c r="B109" t="s">
        <v>1185</v>
      </c>
      <c r="C109" t="str">
        <f>VLOOKUP(B109,[1]Plantings!$A$2:$C$285,2,FALSE)</f>
        <v>JSP_south_P1</v>
      </c>
      <c r="D109" t="str">
        <f>VLOOKUP(B109,[1]Plantings!$A$2:$C$285,3,FALSE)</f>
        <v>single</v>
      </c>
      <c r="E109">
        <v>2016</v>
      </c>
      <c r="G109" t="s">
        <v>1003</v>
      </c>
      <c r="H109" t="s">
        <v>301</v>
      </c>
      <c r="I109" t="s">
        <v>957</v>
      </c>
      <c r="J109" t="s">
        <v>988</v>
      </c>
      <c r="K109" t="s">
        <v>959</v>
      </c>
      <c r="L109" t="s">
        <v>960</v>
      </c>
      <c r="M109" t="s">
        <v>989</v>
      </c>
      <c r="N109" t="s">
        <v>1051</v>
      </c>
      <c r="O109" t="s">
        <v>991</v>
      </c>
      <c r="P109" t="s">
        <v>992</v>
      </c>
      <c r="Q109" t="s">
        <v>993</v>
      </c>
      <c r="R109" t="s">
        <v>1004</v>
      </c>
      <c r="S109" s="52" t="s">
        <v>998</v>
      </c>
      <c r="T109" s="59">
        <v>42576</v>
      </c>
      <c r="U109" s="50">
        <v>47.221742027777779</v>
      </c>
      <c r="V109" s="43">
        <v>-122.80997454166666</v>
      </c>
      <c r="W109" t="str">
        <f>VLOOKUP(B109,[1]Plantings!$A$2:$E$285,4,FALSE)</f>
        <v>polygon</v>
      </c>
      <c r="X109" s="43" t="str">
        <f>VLOOKUP(B109,[1]Plantings!$A$2:$E$285,5,FALSE)</f>
        <v>retain</v>
      </c>
      <c r="Y109" s="48" t="s">
        <v>9</v>
      </c>
      <c r="Z109" s="44"/>
      <c r="AA109" s="45"/>
      <c r="AF109" s="46" t="str">
        <f t="shared" si="18"/>
        <v/>
      </c>
      <c r="AG109" s="47"/>
      <c r="AH109" s="47"/>
      <c r="AI109" s="45" t="str">
        <f t="shared" si="16"/>
        <v/>
      </c>
      <c r="AJ109" s="45" t="str">
        <f t="shared" si="17"/>
        <v/>
      </c>
      <c r="AL109" s="51"/>
    </row>
    <row r="110" spans="1:38" x14ac:dyDescent="0.25">
      <c r="A110" t="s">
        <v>1157</v>
      </c>
      <c r="B110" t="s">
        <v>1186</v>
      </c>
      <c r="C110" t="str">
        <f>VLOOKUP(B110,[1]Plantings!$A$2:$C$285,2,FALSE)</f>
        <v>JSP_south_P1</v>
      </c>
      <c r="D110" t="str">
        <f>VLOOKUP(B110,[1]Plantings!$A$2:$C$285,3,FALSE)</f>
        <v>single</v>
      </c>
      <c r="E110">
        <v>2016</v>
      </c>
      <c r="G110" t="s">
        <v>1003</v>
      </c>
      <c r="H110" t="s">
        <v>301</v>
      </c>
      <c r="I110" t="s">
        <v>957</v>
      </c>
      <c r="J110" t="s">
        <v>988</v>
      </c>
      <c r="K110" t="s">
        <v>959</v>
      </c>
      <c r="L110" t="s">
        <v>960</v>
      </c>
      <c r="M110" t="s">
        <v>989</v>
      </c>
      <c r="N110" t="s">
        <v>1051</v>
      </c>
      <c r="O110" t="s">
        <v>991</v>
      </c>
      <c r="P110" t="s">
        <v>992</v>
      </c>
      <c r="Q110" t="s">
        <v>993</v>
      </c>
      <c r="R110" t="s">
        <v>1004</v>
      </c>
      <c r="S110" s="52" t="s">
        <v>998</v>
      </c>
      <c r="T110" s="59">
        <v>42576</v>
      </c>
      <c r="U110" s="50">
        <v>47.221992</v>
      </c>
      <c r="V110" s="43">
        <v>-122.809929</v>
      </c>
      <c r="W110" t="str">
        <f>VLOOKUP(B110,[1]Plantings!$A$2:$E$285,4,FALSE)</f>
        <v>polygon</v>
      </c>
      <c r="X110" s="43" t="str">
        <f>VLOOKUP(B110,[1]Plantings!$A$2:$E$285,5,FALSE)</f>
        <v>retain</v>
      </c>
      <c r="Y110" s="48" t="s">
        <v>9</v>
      </c>
      <c r="Z110" s="44"/>
      <c r="AA110" s="45"/>
      <c r="AF110" s="46" t="str">
        <f t="shared" si="18"/>
        <v/>
      </c>
      <c r="AG110" s="47"/>
      <c r="AH110" s="47"/>
      <c r="AI110" s="45" t="str">
        <f t="shared" si="16"/>
        <v/>
      </c>
      <c r="AJ110" s="45" t="str">
        <f t="shared" si="17"/>
        <v/>
      </c>
      <c r="AL110" s="51"/>
    </row>
    <row r="111" spans="1:38" x14ac:dyDescent="0.25">
      <c r="A111" t="s">
        <v>1157</v>
      </c>
      <c r="B111" t="s">
        <v>1187</v>
      </c>
      <c r="C111" t="str">
        <f>VLOOKUP(B111,[1]Plantings!$A$2:$C$285,2,FALSE)</f>
        <v>JSP_south_P1</v>
      </c>
      <c r="D111" t="str">
        <f>VLOOKUP(B111,[1]Plantings!$A$2:$C$285,3,FALSE)</f>
        <v>single</v>
      </c>
      <c r="E111">
        <v>2016</v>
      </c>
      <c r="G111" t="s">
        <v>1003</v>
      </c>
      <c r="H111" t="s">
        <v>301</v>
      </c>
      <c r="I111" t="s">
        <v>957</v>
      </c>
      <c r="J111" t="s">
        <v>988</v>
      </c>
      <c r="K111" t="s">
        <v>959</v>
      </c>
      <c r="L111" t="s">
        <v>960</v>
      </c>
      <c r="M111" t="s">
        <v>989</v>
      </c>
      <c r="N111" t="s">
        <v>1051</v>
      </c>
      <c r="O111" t="s">
        <v>991</v>
      </c>
      <c r="P111" t="s">
        <v>992</v>
      </c>
      <c r="Q111" t="s">
        <v>993</v>
      </c>
      <c r="R111" t="s">
        <v>1004</v>
      </c>
      <c r="S111" s="52" t="s">
        <v>998</v>
      </c>
      <c r="T111" s="59">
        <v>42576</v>
      </c>
      <c r="U111" s="50">
        <v>47.221965447222225</v>
      </c>
      <c r="V111" s="43">
        <v>-122.81001890833333</v>
      </c>
      <c r="W111" t="str">
        <f>VLOOKUP(B111,[1]Plantings!$A$2:$E$285,4,FALSE)</f>
        <v>polygon</v>
      </c>
      <c r="X111" s="43" t="str">
        <f>VLOOKUP(B111,[1]Plantings!$A$2:$E$285,5,FALSE)</f>
        <v>retain</v>
      </c>
      <c r="Y111" s="48" t="s">
        <v>9</v>
      </c>
      <c r="Z111" s="44"/>
      <c r="AA111" s="45"/>
      <c r="AF111" s="46" t="str">
        <f t="shared" si="18"/>
        <v/>
      </c>
      <c r="AG111" s="47"/>
      <c r="AH111" s="47"/>
      <c r="AI111" s="45" t="str">
        <f t="shared" si="16"/>
        <v/>
      </c>
      <c r="AJ111" s="45" t="str">
        <f t="shared" si="17"/>
        <v/>
      </c>
      <c r="AL111" s="51"/>
    </row>
    <row r="112" spans="1:38" x14ac:dyDescent="0.25">
      <c r="A112" s="62" t="s">
        <v>1157</v>
      </c>
      <c r="B112" t="s">
        <v>1188</v>
      </c>
      <c r="C112" t="str">
        <f>VLOOKUP(B112,[1]Plantings!$A$2:$C$285,2,FALSE)</f>
        <v>JSP_chia_1</v>
      </c>
      <c r="D112" t="str">
        <f>VLOOKUP(B112,[1]Plantings!$A$2:$C$285,3,FALSE)</f>
        <v>single</v>
      </c>
      <c r="E112" s="9">
        <v>2016</v>
      </c>
      <c r="F112" s="9"/>
      <c r="G112" s="9" t="s">
        <v>7</v>
      </c>
      <c r="H112" s="9" t="s">
        <v>301</v>
      </c>
      <c r="I112" t="s">
        <v>957</v>
      </c>
      <c r="J112" s="9" t="s">
        <v>971</v>
      </c>
      <c r="K112" s="9" t="s">
        <v>971</v>
      </c>
      <c r="L112" s="9" t="s">
        <v>1065</v>
      </c>
      <c r="M112" s="9"/>
      <c r="N112" s="9"/>
      <c r="O112" s="9"/>
      <c r="P112" s="9"/>
      <c r="Q112" s="9"/>
      <c r="R112" s="9" t="s">
        <v>966</v>
      </c>
      <c r="S112" s="52" t="s">
        <v>966</v>
      </c>
      <c r="T112" s="59">
        <v>42514</v>
      </c>
      <c r="U112" s="204"/>
      <c r="V112" s="204"/>
      <c r="W112" t="str">
        <f>VLOOKUP(B112,[1]Plantings!$A$2:$E$285,4,FALSE)</f>
        <v>point</v>
      </c>
      <c r="X112" s="43" t="str">
        <f>VLOOKUP(B112,[1]Plantings!$A$2:$E$285,5,FALSE)</f>
        <v>retain</v>
      </c>
      <c r="Y112" s="48" t="s">
        <v>9</v>
      </c>
      <c r="AA112" t="s">
        <v>982</v>
      </c>
      <c r="AB112">
        <v>9</v>
      </c>
      <c r="AC112">
        <v>0.25</v>
      </c>
      <c r="AD112">
        <f>AB112*AC112</f>
        <v>2.25</v>
      </c>
      <c r="AE112">
        <v>0.56000000000000005</v>
      </c>
      <c r="AF112" s="46">
        <f t="shared" si="18"/>
        <v>0.22500000000000001</v>
      </c>
      <c r="AG112" s="47">
        <v>9</v>
      </c>
      <c r="AH112">
        <v>360</v>
      </c>
      <c r="AI112" s="45">
        <f t="shared" si="16"/>
        <v>160</v>
      </c>
      <c r="AJ112" s="45">
        <f t="shared" si="17"/>
        <v>642.85714285714278</v>
      </c>
      <c r="AK112" t="s">
        <v>1021</v>
      </c>
      <c r="AL112" s="51" t="s">
        <v>1189</v>
      </c>
    </row>
    <row r="113" spans="1:38" x14ac:dyDescent="0.25">
      <c r="A113" t="s">
        <v>1157</v>
      </c>
      <c r="B113" t="s">
        <v>1190</v>
      </c>
      <c r="C113" t="str">
        <f>VLOOKUP(B113,[1]Plantings!$A$2:$C$285,2,FALSE)</f>
        <v>JSP_north_L1</v>
      </c>
      <c r="D113" t="str">
        <f>VLOOKUP(B113,[1]Plantings!$A$2:$C$285,3,FALSE)</f>
        <v>single</v>
      </c>
      <c r="E113">
        <v>2017</v>
      </c>
      <c r="G113" s="9" t="s">
        <v>987</v>
      </c>
      <c r="H113" t="s">
        <v>301</v>
      </c>
      <c r="I113" t="s">
        <v>957</v>
      </c>
      <c r="J113" t="s">
        <v>988</v>
      </c>
      <c r="K113" t="s">
        <v>959</v>
      </c>
      <c r="L113" t="s">
        <v>960</v>
      </c>
      <c r="M113" t="s">
        <v>989</v>
      </c>
      <c r="N113" t="s">
        <v>990</v>
      </c>
      <c r="O113" t="s">
        <v>991</v>
      </c>
      <c r="P113" t="s">
        <v>992</v>
      </c>
      <c r="Q113" t="s">
        <v>993</v>
      </c>
      <c r="R113" t="s">
        <v>966</v>
      </c>
      <c r="S113" t="s">
        <v>966</v>
      </c>
      <c r="T113" s="59">
        <v>42859</v>
      </c>
      <c r="U113" s="201">
        <v>47.226233333333333</v>
      </c>
      <c r="V113" s="50">
        <v>-122.8146</v>
      </c>
      <c r="W113" t="str">
        <f>VLOOKUP(B113,[1]Plantings!$A$2:$E$285,4,FALSE)</f>
        <v>line</v>
      </c>
      <c r="X113" s="43" t="str">
        <f>VLOOKUP(B113,[1]Plantings!$A$2:$E$285,5,FALSE)</f>
        <v>retain</v>
      </c>
      <c r="Y113" s="48" t="s">
        <v>9</v>
      </c>
      <c r="Z113" s="55">
        <v>-1.6</v>
      </c>
      <c r="AA113" t="s">
        <v>994</v>
      </c>
      <c r="AB113">
        <v>5</v>
      </c>
      <c r="AC113">
        <v>5</v>
      </c>
      <c r="AD113">
        <f>AB113*AC113</f>
        <v>25</v>
      </c>
      <c r="AE113">
        <v>39</v>
      </c>
      <c r="AF113" s="46">
        <f t="shared" si="18"/>
        <v>1.04</v>
      </c>
      <c r="AG113" s="56">
        <v>104</v>
      </c>
      <c r="AH113" s="47">
        <v>1042</v>
      </c>
      <c r="AI113" s="45">
        <f t="shared" si="16"/>
        <v>41.68</v>
      </c>
      <c r="AJ113" s="45">
        <f t="shared" si="17"/>
        <v>26.717948717948719</v>
      </c>
      <c r="AK113" t="s">
        <v>995</v>
      </c>
      <c r="AL113" s="51" t="s">
        <v>1191</v>
      </c>
    </row>
    <row r="114" spans="1:38" x14ac:dyDescent="0.25">
      <c r="A114" t="s">
        <v>1157</v>
      </c>
      <c r="B114" t="s">
        <v>1192</v>
      </c>
      <c r="C114" t="str">
        <f>VLOOKUP(B114,[1]Plantings!$A$2:$C$285,2,FALSE)</f>
        <v>JSP_north_L1</v>
      </c>
      <c r="D114" t="str">
        <f>VLOOKUP(B114,[1]Plantings!$A$2:$C$285,3,FALSE)</f>
        <v>single</v>
      </c>
      <c r="E114">
        <v>2017</v>
      </c>
      <c r="G114" s="9" t="s">
        <v>987</v>
      </c>
      <c r="H114" t="s">
        <v>301</v>
      </c>
      <c r="I114" t="s">
        <v>957</v>
      </c>
      <c r="J114" t="s">
        <v>988</v>
      </c>
      <c r="K114" t="s">
        <v>959</v>
      </c>
      <c r="L114" t="s">
        <v>960</v>
      </c>
      <c r="M114" t="s">
        <v>989</v>
      </c>
      <c r="N114" t="s">
        <v>990</v>
      </c>
      <c r="O114" t="s">
        <v>991</v>
      </c>
      <c r="P114" t="s">
        <v>992</v>
      </c>
      <c r="Q114" t="s">
        <v>993</v>
      </c>
      <c r="R114" t="s">
        <v>966</v>
      </c>
      <c r="S114" s="52" t="s">
        <v>998</v>
      </c>
      <c r="T114" s="59">
        <v>42859</v>
      </c>
      <c r="U114" s="201">
        <v>47.226266666666668</v>
      </c>
      <c r="V114" s="50">
        <v>-122.81466666666699</v>
      </c>
      <c r="W114" t="str">
        <f>VLOOKUP(B114,[1]Plantings!$A$2:$E$285,4,FALSE)</f>
        <v>line</v>
      </c>
      <c r="X114" s="43" t="str">
        <f>VLOOKUP(B114,[1]Plantings!$A$2:$E$285,5,FALSE)</f>
        <v>retain</v>
      </c>
      <c r="Y114" s="48" t="s">
        <v>9</v>
      </c>
      <c r="AF114" s="46" t="str">
        <f t="shared" si="18"/>
        <v/>
      </c>
      <c r="AH114" s="47"/>
      <c r="AI114" s="45" t="str">
        <f t="shared" si="16"/>
        <v/>
      </c>
      <c r="AJ114" s="45" t="str">
        <f t="shared" si="17"/>
        <v/>
      </c>
      <c r="AL114" s="51"/>
    </row>
    <row r="115" spans="1:38" x14ac:dyDescent="0.25">
      <c r="A115" t="s">
        <v>1157</v>
      </c>
      <c r="B115" t="s">
        <v>1193</v>
      </c>
      <c r="C115" t="str">
        <f>VLOOKUP(B115,[1]Plantings!$A$2:$C$285,2,FALSE)</f>
        <v>JSP_north_L2</v>
      </c>
      <c r="D115" t="str">
        <f>VLOOKUP(B115,[1]Plantings!$A$2:$C$285,3,FALSE)</f>
        <v>single</v>
      </c>
      <c r="E115">
        <v>2017</v>
      </c>
      <c r="G115" s="9" t="s">
        <v>987</v>
      </c>
      <c r="H115" t="s">
        <v>301</v>
      </c>
      <c r="I115" t="s">
        <v>957</v>
      </c>
      <c r="J115" t="s">
        <v>988</v>
      </c>
      <c r="K115" t="s">
        <v>959</v>
      </c>
      <c r="L115" t="s">
        <v>960</v>
      </c>
      <c r="M115" t="s">
        <v>989</v>
      </c>
      <c r="N115" t="s">
        <v>990</v>
      </c>
      <c r="O115" t="s">
        <v>991</v>
      </c>
      <c r="P115" t="s">
        <v>992</v>
      </c>
      <c r="Q115" t="s">
        <v>993</v>
      </c>
      <c r="R115" t="s">
        <v>966</v>
      </c>
      <c r="S115" t="s">
        <v>966</v>
      </c>
      <c r="T115" s="59">
        <v>42859</v>
      </c>
      <c r="U115" s="201">
        <v>47.226266666666668</v>
      </c>
      <c r="V115" s="50">
        <v>-122.814833333333</v>
      </c>
      <c r="W115" t="str">
        <f>VLOOKUP(B115,[1]Plantings!$A$2:$E$285,4,FALSE)</f>
        <v>line</v>
      </c>
      <c r="X115" s="43" t="str">
        <f>VLOOKUP(B115,[1]Plantings!$A$2:$E$285,5,FALSE)</f>
        <v>retain</v>
      </c>
      <c r="Y115" s="48" t="s">
        <v>9</v>
      </c>
      <c r="Z115" s="55">
        <v>-1.6</v>
      </c>
      <c r="AA115" t="s">
        <v>994</v>
      </c>
      <c r="AB115">
        <v>5</v>
      </c>
      <c r="AC115">
        <v>5</v>
      </c>
      <c r="AD115">
        <f>AB115*AC115</f>
        <v>25</v>
      </c>
      <c r="AE115">
        <v>39</v>
      </c>
      <c r="AF115" s="46">
        <f t="shared" si="18"/>
        <v>1.05</v>
      </c>
      <c r="AG115" s="56">
        <v>105</v>
      </c>
      <c r="AH115" s="47">
        <v>1052</v>
      </c>
      <c r="AI115" s="45">
        <f t="shared" si="16"/>
        <v>42.08</v>
      </c>
      <c r="AJ115" s="45">
        <f t="shared" si="17"/>
        <v>26.974358974358974</v>
      </c>
      <c r="AK115" t="s">
        <v>995</v>
      </c>
      <c r="AL115" s="51" t="s">
        <v>1194</v>
      </c>
    </row>
    <row r="116" spans="1:38" x14ac:dyDescent="0.25">
      <c r="A116" t="s">
        <v>1157</v>
      </c>
      <c r="B116" t="s">
        <v>1195</v>
      </c>
      <c r="C116" t="str">
        <f>VLOOKUP(B116,[1]Plantings!$A$2:$C$285,2,FALSE)</f>
        <v>JSP_north_L2</v>
      </c>
      <c r="D116" t="str">
        <f>VLOOKUP(B116,[1]Plantings!$A$2:$C$285,3,FALSE)</f>
        <v>single</v>
      </c>
      <c r="E116">
        <v>2017</v>
      </c>
      <c r="G116" s="9" t="s">
        <v>987</v>
      </c>
      <c r="H116" t="s">
        <v>301</v>
      </c>
      <c r="I116" t="s">
        <v>957</v>
      </c>
      <c r="J116" t="s">
        <v>988</v>
      </c>
      <c r="K116" t="s">
        <v>959</v>
      </c>
      <c r="L116" t="s">
        <v>960</v>
      </c>
      <c r="M116" t="s">
        <v>989</v>
      </c>
      <c r="N116" t="s">
        <v>990</v>
      </c>
      <c r="O116" t="s">
        <v>991</v>
      </c>
      <c r="P116" t="s">
        <v>992</v>
      </c>
      <c r="Q116" t="s">
        <v>993</v>
      </c>
      <c r="R116" t="s">
        <v>966</v>
      </c>
      <c r="S116" s="52" t="s">
        <v>998</v>
      </c>
      <c r="T116" s="59">
        <v>42859</v>
      </c>
      <c r="U116" s="201">
        <v>47.226316666666669</v>
      </c>
      <c r="V116" s="50">
        <v>-122.814966666667</v>
      </c>
      <c r="W116" t="str">
        <f>VLOOKUP(B116,[1]Plantings!$A$2:$E$285,4,FALSE)</f>
        <v>line</v>
      </c>
      <c r="X116" s="43" t="str">
        <f>VLOOKUP(B116,[1]Plantings!$A$2:$E$285,5,FALSE)</f>
        <v>retain</v>
      </c>
      <c r="Y116" s="48" t="s">
        <v>9</v>
      </c>
      <c r="AF116" s="46" t="str">
        <f t="shared" si="18"/>
        <v/>
      </c>
      <c r="AG116" s="47"/>
      <c r="AH116" s="47"/>
      <c r="AI116" s="45" t="str">
        <f t="shared" si="16"/>
        <v/>
      </c>
      <c r="AJ116" s="45" t="str">
        <f t="shared" si="17"/>
        <v/>
      </c>
      <c r="AL116" s="51"/>
    </row>
    <row r="117" spans="1:38" x14ac:dyDescent="0.25">
      <c r="A117" t="s">
        <v>1157</v>
      </c>
      <c r="B117" t="s">
        <v>1196</v>
      </c>
      <c r="C117" t="str">
        <f>VLOOKUP(B117,[1]Plantings!$A$2:$C$285,2,FALSE)</f>
        <v>JSP_south_P2</v>
      </c>
      <c r="D117" t="str">
        <f>VLOOKUP(B117,[1]Plantings!$A$2:$C$285,3,FALSE)</f>
        <v>single</v>
      </c>
      <c r="E117">
        <v>2017</v>
      </c>
      <c r="G117" t="s">
        <v>1003</v>
      </c>
      <c r="H117" t="s">
        <v>301</v>
      </c>
      <c r="I117" t="s">
        <v>957</v>
      </c>
      <c r="J117" t="s">
        <v>988</v>
      </c>
      <c r="K117" t="s">
        <v>959</v>
      </c>
      <c r="L117" t="s">
        <v>960</v>
      </c>
      <c r="M117" t="s">
        <v>989</v>
      </c>
      <c r="N117" t="s">
        <v>990</v>
      </c>
      <c r="O117" t="s">
        <v>991</v>
      </c>
      <c r="P117" t="s">
        <v>992</v>
      </c>
      <c r="Q117" t="s">
        <v>993</v>
      </c>
      <c r="R117" t="s">
        <v>1004</v>
      </c>
      <c r="S117" t="s">
        <v>1004</v>
      </c>
      <c r="T117" s="59">
        <v>42862</v>
      </c>
      <c r="U117" s="43">
        <v>47.221533333333333</v>
      </c>
      <c r="V117" s="43">
        <v>-122.80978333333333</v>
      </c>
      <c r="W117" t="str">
        <f>VLOOKUP(B117,[1]Plantings!$A$2:$E$285,4,FALSE)</f>
        <v>polygon</v>
      </c>
      <c r="X117" s="43" t="str">
        <f>VLOOKUP(B117,[1]Plantings!$A$2:$E$285,5,FALSE)</f>
        <v>drop</v>
      </c>
      <c r="Y117" s="48" t="s">
        <v>9</v>
      </c>
      <c r="Z117" s="55">
        <v>-1.6</v>
      </c>
      <c r="AA117" t="s">
        <v>994</v>
      </c>
      <c r="AB117">
        <v>20</v>
      </c>
      <c r="AC117">
        <v>8</v>
      </c>
      <c r="AD117">
        <f>AB117*AC117</f>
        <v>160</v>
      </c>
      <c r="AE117">
        <v>80</v>
      </c>
      <c r="AF117" s="46">
        <f t="shared" si="18"/>
        <v>23.67</v>
      </c>
      <c r="AG117" s="56">
        <v>2367</v>
      </c>
      <c r="AH117" s="47">
        <v>16570</v>
      </c>
      <c r="AI117" s="45">
        <f t="shared" si="16"/>
        <v>103.5625</v>
      </c>
      <c r="AJ117" s="45">
        <f t="shared" si="17"/>
        <v>207.125</v>
      </c>
      <c r="AK117" t="s">
        <v>1053</v>
      </c>
      <c r="AL117" s="51" t="s">
        <v>1197</v>
      </c>
    </row>
    <row r="118" spans="1:38" x14ac:dyDescent="0.25">
      <c r="A118" t="s">
        <v>1157</v>
      </c>
      <c r="B118" t="s">
        <v>1198</v>
      </c>
      <c r="C118" t="str">
        <f>VLOOKUP(B118,[1]Plantings!$A$2:$C$285,2,FALSE)</f>
        <v>JSP_south_P2</v>
      </c>
      <c r="D118" t="str">
        <f>VLOOKUP(B118,[1]Plantings!$A$2:$C$285,3,FALSE)</f>
        <v>single</v>
      </c>
      <c r="E118">
        <v>2017</v>
      </c>
      <c r="G118" t="s">
        <v>1003</v>
      </c>
      <c r="H118" t="s">
        <v>301</v>
      </c>
      <c r="I118" t="s">
        <v>957</v>
      </c>
      <c r="J118" t="s">
        <v>988</v>
      </c>
      <c r="K118" t="s">
        <v>959</v>
      </c>
      <c r="L118" t="s">
        <v>960</v>
      </c>
      <c r="M118" t="s">
        <v>989</v>
      </c>
      <c r="N118" t="s">
        <v>990</v>
      </c>
      <c r="O118" t="s">
        <v>991</v>
      </c>
      <c r="P118" t="s">
        <v>992</v>
      </c>
      <c r="Q118" t="s">
        <v>993</v>
      </c>
      <c r="R118" t="s">
        <v>1004</v>
      </c>
      <c r="S118" s="52" t="s">
        <v>998</v>
      </c>
      <c r="T118" s="59">
        <v>42862</v>
      </c>
      <c r="U118" s="50"/>
      <c r="V118" s="50"/>
      <c r="W118" t="str">
        <f>VLOOKUP(B118,[1]Plantings!$A$2:$E$285,4,FALSE)</f>
        <v>polygon</v>
      </c>
      <c r="X118" s="43" t="str">
        <f>VLOOKUP(B118,[1]Plantings!$A$2:$E$285,5,FALSE)</f>
        <v>drop</v>
      </c>
      <c r="Y118" s="48" t="s">
        <v>9</v>
      </c>
      <c r="AA118" s="43"/>
      <c r="AF118" s="46" t="str">
        <f t="shared" si="18"/>
        <v/>
      </c>
      <c r="AG118" s="47"/>
      <c r="AH118" s="47"/>
      <c r="AI118" s="45" t="str">
        <f t="shared" si="16"/>
        <v/>
      </c>
      <c r="AJ118" s="45" t="str">
        <f t="shared" si="17"/>
        <v/>
      </c>
      <c r="AL118" s="51" t="s">
        <v>1199</v>
      </c>
    </row>
    <row r="119" spans="1:38" x14ac:dyDescent="0.25">
      <c r="A119" t="s">
        <v>1157</v>
      </c>
      <c r="B119" t="s">
        <v>1200</v>
      </c>
      <c r="C119" t="str">
        <f>VLOOKUP(B119,[1]Plantings!$A$2:$C$285,2,FALSE)</f>
        <v>JSP_south_P2</v>
      </c>
      <c r="D119" t="str">
        <f>VLOOKUP(B119,[1]Plantings!$A$2:$C$285,3,FALSE)</f>
        <v>single</v>
      </c>
      <c r="E119">
        <v>2017</v>
      </c>
      <c r="G119" t="s">
        <v>1003</v>
      </c>
      <c r="H119" t="s">
        <v>301</v>
      </c>
      <c r="I119" t="s">
        <v>957</v>
      </c>
      <c r="J119" t="s">
        <v>988</v>
      </c>
      <c r="K119" t="s">
        <v>959</v>
      </c>
      <c r="L119" t="s">
        <v>960</v>
      </c>
      <c r="M119" t="s">
        <v>989</v>
      </c>
      <c r="N119" t="s">
        <v>990</v>
      </c>
      <c r="O119" t="s">
        <v>991</v>
      </c>
      <c r="P119" t="s">
        <v>992</v>
      </c>
      <c r="Q119" t="s">
        <v>993</v>
      </c>
      <c r="R119" t="s">
        <v>1004</v>
      </c>
      <c r="S119" s="52" t="s">
        <v>998</v>
      </c>
      <c r="T119" s="59">
        <v>42862</v>
      </c>
      <c r="U119" s="43">
        <v>47.221733333333333</v>
      </c>
      <c r="V119" s="43">
        <v>-122.80993333333333</v>
      </c>
      <c r="W119" t="str">
        <f>VLOOKUP(B119,[1]Plantings!$A$2:$E$285,4,FALSE)</f>
        <v>polygon</v>
      </c>
      <c r="X119" s="43" t="str">
        <f>VLOOKUP(B119,[1]Plantings!$A$2:$E$285,5,FALSE)</f>
        <v>drop</v>
      </c>
      <c r="Y119" s="48" t="s">
        <v>9</v>
      </c>
      <c r="AF119" s="46" t="str">
        <f t="shared" si="18"/>
        <v/>
      </c>
      <c r="AG119" s="47"/>
      <c r="AH119" s="47"/>
      <c r="AI119" s="45" t="str">
        <f t="shared" si="16"/>
        <v/>
      </c>
      <c r="AJ119" s="45" t="str">
        <f t="shared" si="17"/>
        <v/>
      </c>
      <c r="AL119" s="51" t="s">
        <v>1199</v>
      </c>
    </row>
    <row r="120" spans="1:38" x14ac:dyDescent="0.25">
      <c r="A120" t="s">
        <v>1157</v>
      </c>
      <c r="B120" t="s">
        <v>1201</v>
      </c>
      <c r="C120" t="str">
        <f>VLOOKUP(B120,[1]Plantings!$A$2:$C$285,2,FALSE)</f>
        <v>JSP_south_P2</v>
      </c>
      <c r="D120" t="str">
        <f>VLOOKUP(B120,[1]Plantings!$A$2:$C$285,3,FALSE)</f>
        <v>single</v>
      </c>
      <c r="E120">
        <v>2017</v>
      </c>
      <c r="G120" t="s">
        <v>1003</v>
      </c>
      <c r="H120" t="s">
        <v>301</v>
      </c>
      <c r="I120" t="s">
        <v>957</v>
      </c>
      <c r="J120" t="s">
        <v>988</v>
      </c>
      <c r="K120" t="s">
        <v>959</v>
      </c>
      <c r="L120" t="s">
        <v>960</v>
      </c>
      <c r="M120" t="s">
        <v>989</v>
      </c>
      <c r="N120" t="s">
        <v>990</v>
      </c>
      <c r="O120" t="s">
        <v>991</v>
      </c>
      <c r="P120" t="s">
        <v>992</v>
      </c>
      <c r="Q120" t="s">
        <v>993</v>
      </c>
      <c r="R120" t="s">
        <v>1004</v>
      </c>
      <c r="S120" s="52" t="s">
        <v>998</v>
      </c>
      <c r="T120" s="59">
        <v>42862</v>
      </c>
      <c r="U120" s="50"/>
      <c r="V120" s="50"/>
      <c r="W120" t="str">
        <f>VLOOKUP(B120,[1]Plantings!$A$2:$E$285,4,FALSE)</f>
        <v>polygon</v>
      </c>
      <c r="X120" s="43" t="str">
        <f>VLOOKUP(B120,[1]Plantings!$A$2:$E$285,5,FALSE)</f>
        <v>drop</v>
      </c>
      <c r="Y120" s="48" t="s">
        <v>9</v>
      </c>
      <c r="AF120" s="46" t="str">
        <f t="shared" si="18"/>
        <v/>
      </c>
      <c r="AG120" s="47"/>
      <c r="AH120" s="47"/>
      <c r="AI120" s="45" t="str">
        <f t="shared" si="16"/>
        <v/>
      </c>
      <c r="AJ120" s="45" t="str">
        <f t="shared" si="17"/>
        <v/>
      </c>
      <c r="AL120" s="51" t="s">
        <v>1199</v>
      </c>
    </row>
    <row r="121" spans="1:38" x14ac:dyDescent="0.25">
      <c r="A121" t="s">
        <v>1157</v>
      </c>
      <c r="B121" t="s">
        <v>1202</v>
      </c>
      <c r="C121" t="str">
        <f>VLOOKUP(B121,[1]Plantings!$A$2:$C$285,2,FALSE)</f>
        <v>JSP_south_P3</v>
      </c>
      <c r="D121" t="str">
        <f>VLOOKUP(B121,[1]Plantings!$A$2:$C$285,3,FALSE)</f>
        <v>single</v>
      </c>
      <c r="E121">
        <v>2017</v>
      </c>
      <c r="G121" t="s">
        <v>1003</v>
      </c>
      <c r="H121" t="s">
        <v>301</v>
      </c>
      <c r="I121" t="s">
        <v>957</v>
      </c>
      <c r="J121" t="s">
        <v>988</v>
      </c>
      <c r="K121" t="s">
        <v>959</v>
      </c>
      <c r="L121" t="s">
        <v>960</v>
      </c>
      <c r="M121" t="s">
        <v>989</v>
      </c>
      <c r="N121" t="s">
        <v>990</v>
      </c>
      <c r="O121" t="s">
        <v>991</v>
      </c>
      <c r="P121" t="s">
        <v>992</v>
      </c>
      <c r="Q121" t="s">
        <v>993</v>
      </c>
      <c r="R121" t="s">
        <v>1004</v>
      </c>
      <c r="S121" t="s">
        <v>1004</v>
      </c>
      <c r="T121" s="59">
        <v>42874</v>
      </c>
      <c r="U121" s="50">
        <v>47.221559999999997</v>
      </c>
      <c r="V121" s="50">
        <v>-122.80979000000001</v>
      </c>
      <c r="W121" t="str">
        <f>VLOOKUP(B121,[1]Plantings!$A$2:$E$285,4,FALSE)</f>
        <v>polygon</v>
      </c>
      <c r="X121" s="43" t="str">
        <f>VLOOKUP(B121,[1]Plantings!$A$2:$E$285,5,FALSE)</f>
        <v>retain</v>
      </c>
      <c r="Y121" s="48" t="s">
        <v>9</v>
      </c>
      <c r="Z121">
        <v>-1.6</v>
      </c>
      <c r="AA121" t="s">
        <v>994</v>
      </c>
      <c r="AB121">
        <v>20</v>
      </c>
      <c r="AC121">
        <v>8</v>
      </c>
      <c r="AD121">
        <f>AB121*AC121</f>
        <v>160</v>
      </c>
      <c r="AE121">
        <v>77.5</v>
      </c>
      <c r="AF121" s="46">
        <f t="shared" si="18"/>
        <v>29.560000000000002</v>
      </c>
      <c r="AG121" s="47">
        <v>2956</v>
      </c>
      <c r="AH121" s="47">
        <v>24734</v>
      </c>
      <c r="AI121" s="45">
        <f t="shared" si="16"/>
        <v>154.58750000000001</v>
      </c>
      <c r="AJ121" s="45">
        <f t="shared" si="17"/>
        <v>319.14838709677417</v>
      </c>
      <c r="AK121" t="s">
        <v>1021</v>
      </c>
      <c r="AL121" s="51" t="s">
        <v>1203</v>
      </c>
    </row>
    <row r="122" spans="1:38" x14ac:dyDescent="0.25">
      <c r="A122" t="s">
        <v>1157</v>
      </c>
      <c r="B122" t="s">
        <v>1204</v>
      </c>
      <c r="C122" t="str">
        <f>VLOOKUP(B122,[1]Plantings!$A$2:$C$285,2,FALSE)</f>
        <v>JSP_south_P3</v>
      </c>
      <c r="D122" t="str">
        <f>VLOOKUP(B122,[1]Plantings!$A$2:$C$285,3,FALSE)</f>
        <v>single</v>
      </c>
      <c r="E122">
        <v>2017</v>
      </c>
      <c r="G122" t="s">
        <v>1003</v>
      </c>
      <c r="H122" t="s">
        <v>301</v>
      </c>
      <c r="I122" t="s">
        <v>957</v>
      </c>
      <c r="J122" t="s">
        <v>988</v>
      </c>
      <c r="K122" t="s">
        <v>959</v>
      </c>
      <c r="L122" t="s">
        <v>960</v>
      </c>
      <c r="M122" t="s">
        <v>989</v>
      </c>
      <c r="N122" t="s">
        <v>990</v>
      </c>
      <c r="O122" t="s">
        <v>991</v>
      </c>
      <c r="P122" t="s">
        <v>992</v>
      </c>
      <c r="Q122" t="s">
        <v>993</v>
      </c>
      <c r="R122" t="s">
        <v>1004</v>
      </c>
      <c r="S122" s="52" t="s">
        <v>998</v>
      </c>
      <c r="T122" s="59">
        <v>42874</v>
      </c>
      <c r="U122" s="50"/>
      <c r="V122" s="50"/>
      <c r="W122" t="str">
        <f>VLOOKUP(B122,[1]Plantings!$A$2:$E$285,4,FALSE)</f>
        <v>polygon</v>
      </c>
      <c r="X122" s="43" t="str">
        <f>VLOOKUP(B122,[1]Plantings!$A$2:$E$285,5,FALSE)</f>
        <v>drop</v>
      </c>
      <c r="Y122" s="48" t="s">
        <v>9</v>
      </c>
      <c r="AF122" s="46" t="str">
        <f t="shared" si="18"/>
        <v/>
      </c>
      <c r="AG122" s="47"/>
      <c r="AH122" s="47"/>
      <c r="AI122" s="45" t="str">
        <f t="shared" si="16"/>
        <v/>
      </c>
      <c r="AJ122" s="45" t="str">
        <f t="shared" si="17"/>
        <v/>
      </c>
      <c r="AL122" s="51"/>
    </row>
    <row r="123" spans="1:38" x14ac:dyDescent="0.25">
      <c r="A123" t="s">
        <v>1157</v>
      </c>
      <c r="B123" t="s">
        <v>1205</v>
      </c>
      <c r="C123" t="str">
        <f>VLOOKUP(B123,[1]Plantings!$A$2:$C$285,2,FALSE)</f>
        <v>JSP_south_P3</v>
      </c>
      <c r="D123" t="str">
        <f>VLOOKUP(B123,[1]Plantings!$A$2:$C$285,3,FALSE)</f>
        <v>single</v>
      </c>
      <c r="E123">
        <v>2017</v>
      </c>
      <c r="G123" t="s">
        <v>1003</v>
      </c>
      <c r="H123" t="s">
        <v>301</v>
      </c>
      <c r="I123" t="s">
        <v>957</v>
      </c>
      <c r="J123" t="s">
        <v>988</v>
      </c>
      <c r="K123" t="s">
        <v>959</v>
      </c>
      <c r="L123" t="s">
        <v>960</v>
      </c>
      <c r="M123" t="s">
        <v>989</v>
      </c>
      <c r="N123" t="s">
        <v>990</v>
      </c>
      <c r="O123" t="s">
        <v>991</v>
      </c>
      <c r="P123" t="s">
        <v>992</v>
      </c>
      <c r="Q123" t="s">
        <v>993</v>
      </c>
      <c r="R123" t="s">
        <v>1004</v>
      </c>
      <c r="S123" s="52" t="s">
        <v>998</v>
      </c>
      <c r="T123" s="59">
        <v>42874</v>
      </c>
      <c r="U123" s="50">
        <v>47.221760000000003</v>
      </c>
      <c r="V123" s="50">
        <v>-122.80991</v>
      </c>
      <c r="W123" t="str">
        <f>VLOOKUP(B123,[1]Plantings!$A$2:$E$285,4,FALSE)</f>
        <v>polygon</v>
      </c>
      <c r="X123" s="43" t="str">
        <f>VLOOKUP(B123,[1]Plantings!$A$2:$E$285,5,FALSE)</f>
        <v>drop</v>
      </c>
      <c r="Y123" s="48" t="s">
        <v>9</v>
      </c>
      <c r="AF123" s="46" t="str">
        <f t="shared" si="18"/>
        <v/>
      </c>
      <c r="AG123" s="47"/>
      <c r="AH123" s="47"/>
      <c r="AI123" s="45" t="str">
        <f t="shared" si="16"/>
        <v/>
      </c>
      <c r="AJ123" s="45" t="str">
        <f t="shared" si="17"/>
        <v/>
      </c>
      <c r="AL123" s="51"/>
    </row>
    <row r="124" spans="1:38" x14ac:dyDescent="0.25">
      <c r="A124" t="s">
        <v>1157</v>
      </c>
      <c r="B124" t="s">
        <v>1206</v>
      </c>
      <c r="C124" t="str">
        <f>VLOOKUP(B124,[1]Plantings!$A$2:$C$285,2,FALSE)</f>
        <v>JSP_south_P3</v>
      </c>
      <c r="D124" t="str">
        <f>VLOOKUP(B124,[1]Plantings!$A$2:$C$285,3,FALSE)</f>
        <v>single</v>
      </c>
      <c r="E124">
        <v>2017</v>
      </c>
      <c r="G124" t="s">
        <v>1003</v>
      </c>
      <c r="H124" t="s">
        <v>301</v>
      </c>
      <c r="I124" t="s">
        <v>957</v>
      </c>
      <c r="J124" t="s">
        <v>988</v>
      </c>
      <c r="K124" t="s">
        <v>959</v>
      </c>
      <c r="L124" t="s">
        <v>960</v>
      </c>
      <c r="M124" t="s">
        <v>989</v>
      </c>
      <c r="N124" t="s">
        <v>990</v>
      </c>
      <c r="O124" t="s">
        <v>991</v>
      </c>
      <c r="P124" t="s">
        <v>992</v>
      </c>
      <c r="Q124" t="s">
        <v>993</v>
      </c>
      <c r="R124" t="s">
        <v>1004</v>
      </c>
      <c r="S124" s="52" t="s">
        <v>998</v>
      </c>
      <c r="T124" s="59">
        <v>42874</v>
      </c>
      <c r="U124" s="50"/>
      <c r="V124" s="50"/>
      <c r="W124" t="str">
        <f>VLOOKUP(B124,[1]Plantings!$A$2:$E$285,4,FALSE)</f>
        <v>polygon</v>
      </c>
      <c r="X124" s="43" t="str">
        <f>VLOOKUP(B124,[1]Plantings!$A$2:$E$285,5,FALSE)</f>
        <v>drop</v>
      </c>
      <c r="Y124" s="48" t="s">
        <v>9</v>
      </c>
      <c r="AF124" s="46" t="str">
        <f t="shared" si="18"/>
        <v/>
      </c>
      <c r="AG124" s="47"/>
      <c r="AH124" s="47"/>
      <c r="AI124" s="45" t="str">
        <f t="shared" si="16"/>
        <v/>
      </c>
      <c r="AJ124" s="45" t="str">
        <f t="shared" si="17"/>
        <v/>
      </c>
      <c r="AL124" s="51"/>
    </row>
    <row r="125" spans="1:38" x14ac:dyDescent="0.25">
      <c r="A125" t="s">
        <v>1157</v>
      </c>
      <c r="B125" t="s">
        <v>1207</v>
      </c>
      <c r="C125" t="str">
        <f>VLOOKUP(B125,[1]Plantings!$A$2:$C$285,2,FALSE)</f>
        <v>JSP_south_P4</v>
      </c>
      <c r="D125" t="str">
        <f>VLOOKUP(B125,[1]Plantings!$A$2:$C$285,3,FALSE)</f>
        <v>single</v>
      </c>
      <c r="E125">
        <v>2017</v>
      </c>
      <c r="G125" t="s">
        <v>1003</v>
      </c>
      <c r="H125" t="s">
        <v>301</v>
      </c>
      <c r="I125" t="s">
        <v>957</v>
      </c>
      <c r="J125" t="s">
        <v>988</v>
      </c>
      <c r="K125" t="s">
        <v>959</v>
      </c>
      <c r="L125" t="s">
        <v>960</v>
      </c>
      <c r="M125" t="s">
        <v>989</v>
      </c>
      <c r="N125" t="s">
        <v>990</v>
      </c>
      <c r="O125" t="s">
        <v>991</v>
      </c>
      <c r="P125" t="s">
        <v>992</v>
      </c>
      <c r="Q125" t="s">
        <v>993</v>
      </c>
      <c r="R125" t="s">
        <v>1004</v>
      </c>
      <c r="S125" t="s">
        <v>1004</v>
      </c>
      <c r="T125" s="59">
        <v>42877</v>
      </c>
      <c r="U125" s="50">
        <v>47.221207525600001</v>
      </c>
      <c r="V125" s="50">
        <v>-122.80959413390001</v>
      </c>
      <c r="W125" t="str">
        <f>VLOOKUP(B125,[1]Plantings!$A$2:$E$285,4,FALSE)</f>
        <v>polygon</v>
      </c>
      <c r="X125" s="43" t="str">
        <f>VLOOKUP(B125,[1]Plantings!$A$2:$E$285,5,FALSE)</f>
        <v>retain</v>
      </c>
      <c r="Y125" s="48" t="s">
        <v>9</v>
      </c>
      <c r="Z125">
        <v>-1.6</v>
      </c>
      <c r="AA125" t="s">
        <v>994</v>
      </c>
      <c r="AB125">
        <v>20</v>
      </c>
      <c r="AC125">
        <v>8</v>
      </c>
      <c r="AD125">
        <f>AB125*AC125</f>
        <v>160</v>
      </c>
      <c r="AE125">
        <v>80</v>
      </c>
      <c r="AF125" s="46">
        <f t="shared" si="18"/>
        <v>26.150000000000002</v>
      </c>
      <c r="AG125" s="47">
        <v>2615</v>
      </c>
      <c r="AH125" s="47">
        <v>26149</v>
      </c>
      <c r="AI125" s="45">
        <f t="shared" si="16"/>
        <v>163.43125000000001</v>
      </c>
      <c r="AJ125" s="45">
        <f t="shared" si="17"/>
        <v>326.86250000000001</v>
      </c>
      <c r="AK125" t="s">
        <v>995</v>
      </c>
      <c r="AL125" s="51" t="s">
        <v>1208</v>
      </c>
    </row>
    <row r="126" spans="1:38" x14ac:dyDescent="0.25">
      <c r="A126" t="s">
        <v>1157</v>
      </c>
      <c r="B126" t="s">
        <v>1209</v>
      </c>
      <c r="C126" t="str">
        <f>VLOOKUP(B126,[1]Plantings!$A$2:$C$285,2,FALSE)</f>
        <v>JSP_south_P4</v>
      </c>
      <c r="D126" t="str">
        <f>VLOOKUP(B126,[1]Plantings!$A$2:$C$285,3,FALSE)</f>
        <v>single</v>
      </c>
      <c r="E126">
        <v>2017</v>
      </c>
      <c r="G126" t="s">
        <v>1003</v>
      </c>
      <c r="H126" t="s">
        <v>301</v>
      </c>
      <c r="I126" t="s">
        <v>957</v>
      </c>
      <c r="J126" t="s">
        <v>988</v>
      </c>
      <c r="K126" t="s">
        <v>959</v>
      </c>
      <c r="L126" t="s">
        <v>960</v>
      </c>
      <c r="M126" t="s">
        <v>989</v>
      </c>
      <c r="N126" t="s">
        <v>990</v>
      </c>
      <c r="O126" t="s">
        <v>991</v>
      </c>
      <c r="P126" t="s">
        <v>992</v>
      </c>
      <c r="Q126" t="s">
        <v>993</v>
      </c>
      <c r="R126" t="s">
        <v>1004</v>
      </c>
      <c r="S126" s="52" t="s">
        <v>998</v>
      </c>
      <c r="T126" s="59">
        <v>42877</v>
      </c>
      <c r="U126" s="50">
        <v>47.221167879200003</v>
      </c>
      <c r="V126" s="50">
        <v>-122.8096705768</v>
      </c>
      <c r="W126" t="str">
        <f>VLOOKUP(B126,[1]Plantings!$A$2:$E$285,4,FALSE)</f>
        <v>polygon</v>
      </c>
      <c r="X126" s="43" t="str">
        <f>VLOOKUP(B126,[1]Plantings!$A$2:$E$285,5,FALSE)</f>
        <v>drop</v>
      </c>
      <c r="Y126" s="48" t="s">
        <v>9</v>
      </c>
      <c r="AF126" s="46" t="str">
        <f t="shared" si="18"/>
        <v/>
      </c>
      <c r="AG126" s="47"/>
      <c r="AH126" s="47"/>
      <c r="AI126" s="45" t="str">
        <f t="shared" si="16"/>
        <v/>
      </c>
      <c r="AJ126" s="45" t="str">
        <f t="shared" si="17"/>
        <v/>
      </c>
    </row>
    <row r="127" spans="1:38" x14ac:dyDescent="0.25">
      <c r="A127" t="s">
        <v>1157</v>
      </c>
      <c r="B127" t="s">
        <v>1210</v>
      </c>
      <c r="C127" t="str">
        <f>VLOOKUP(B127,[1]Plantings!$A$2:$C$285,2,FALSE)</f>
        <v>JSP_south_P4</v>
      </c>
      <c r="D127" t="str">
        <f>VLOOKUP(B127,[1]Plantings!$A$2:$C$285,3,FALSE)</f>
        <v>single</v>
      </c>
      <c r="E127">
        <v>2017</v>
      </c>
      <c r="G127" t="s">
        <v>1003</v>
      </c>
      <c r="H127" t="s">
        <v>301</v>
      </c>
      <c r="I127" t="s">
        <v>957</v>
      </c>
      <c r="J127" t="s">
        <v>988</v>
      </c>
      <c r="K127" t="s">
        <v>959</v>
      </c>
      <c r="L127" t="s">
        <v>960</v>
      </c>
      <c r="M127" t="s">
        <v>989</v>
      </c>
      <c r="N127" t="s">
        <v>990</v>
      </c>
      <c r="O127" t="s">
        <v>991</v>
      </c>
      <c r="P127" t="s">
        <v>992</v>
      </c>
      <c r="Q127" t="s">
        <v>993</v>
      </c>
      <c r="R127" t="s">
        <v>1004</v>
      </c>
      <c r="S127" s="52" t="s">
        <v>998</v>
      </c>
      <c r="T127" s="59">
        <v>42877</v>
      </c>
      <c r="U127" s="50">
        <v>47.221339999999998</v>
      </c>
      <c r="V127" s="50">
        <v>-122.8096</v>
      </c>
      <c r="W127" t="str">
        <f>VLOOKUP(B127,[1]Plantings!$A$2:$E$285,4,FALSE)</f>
        <v>polygon</v>
      </c>
      <c r="X127" s="43" t="str">
        <f>VLOOKUP(B127,[1]Plantings!$A$2:$E$285,5,FALSE)</f>
        <v>drop</v>
      </c>
      <c r="Y127" s="48" t="s">
        <v>9</v>
      </c>
      <c r="AF127" s="46" t="str">
        <f t="shared" si="18"/>
        <v/>
      </c>
      <c r="AG127" s="47"/>
      <c r="AH127" s="47"/>
      <c r="AI127" s="45" t="str">
        <f t="shared" si="16"/>
        <v/>
      </c>
      <c r="AJ127" s="45" t="str">
        <f t="shared" si="17"/>
        <v/>
      </c>
      <c r="AL127" s="51"/>
    </row>
    <row r="128" spans="1:38" x14ac:dyDescent="0.25">
      <c r="A128" t="s">
        <v>1157</v>
      </c>
      <c r="B128" t="s">
        <v>1211</v>
      </c>
      <c r="C128" t="str">
        <f>VLOOKUP(B128,[1]Plantings!$A$2:$C$285,2,FALSE)</f>
        <v>JSP_south_P4</v>
      </c>
      <c r="D128" t="str">
        <f>VLOOKUP(B128,[1]Plantings!$A$2:$C$285,3,FALSE)</f>
        <v>single</v>
      </c>
      <c r="E128">
        <v>2017</v>
      </c>
      <c r="G128" t="s">
        <v>1003</v>
      </c>
      <c r="H128" t="s">
        <v>301</v>
      </c>
      <c r="I128" t="s">
        <v>957</v>
      </c>
      <c r="J128" t="s">
        <v>988</v>
      </c>
      <c r="K128" t="s">
        <v>959</v>
      </c>
      <c r="L128" t="s">
        <v>960</v>
      </c>
      <c r="M128" t="s">
        <v>989</v>
      </c>
      <c r="N128" t="s">
        <v>990</v>
      </c>
      <c r="O128" t="s">
        <v>991</v>
      </c>
      <c r="P128" t="s">
        <v>992</v>
      </c>
      <c r="Q128" t="s">
        <v>993</v>
      </c>
      <c r="R128" t="s">
        <v>1004</v>
      </c>
      <c r="S128" s="52" t="s">
        <v>998</v>
      </c>
      <c r="T128" s="59">
        <v>42877</v>
      </c>
      <c r="U128" s="50"/>
      <c r="V128" s="50"/>
      <c r="W128" t="str">
        <f>VLOOKUP(B128,[1]Plantings!$A$2:$E$285,4,FALSE)</f>
        <v>polygon</v>
      </c>
      <c r="X128" s="43" t="str">
        <f>VLOOKUP(B128,[1]Plantings!$A$2:$E$285,5,FALSE)</f>
        <v>drop</v>
      </c>
      <c r="Y128" s="48" t="s">
        <v>9</v>
      </c>
      <c r="AF128" s="46" t="str">
        <f t="shared" si="18"/>
        <v/>
      </c>
      <c r="AG128" s="47"/>
      <c r="AH128" s="47"/>
      <c r="AI128" s="45" t="str">
        <f t="shared" si="16"/>
        <v/>
      </c>
      <c r="AJ128" s="45" t="str">
        <f t="shared" si="17"/>
        <v/>
      </c>
      <c r="AL128" s="51"/>
    </row>
    <row r="129" spans="1:38" x14ac:dyDescent="0.25">
      <c r="A129" s="9" t="s">
        <v>1157</v>
      </c>
      <c r="B129" s="9" t="s">
        <v>1212</v>
      </c>
      <c r="C129" t="str">
        <f>VLOOKUP(B129,[1]Plantings!$A$2:$C$285,2,FALSE)</f>
        <v>JSP_mid_AG1</v>
      </c>
      <c r="D129" t="str">
        <f>VLOOKUP(B129,[1]Plantings!$A$2:$C$285,3,FALSE)</f>
        <v>single</v>
      </c>
      <c r="E129" s="9">
        <v>2017</v>
      </c>
      <c r="F129" s="9"/>
      <c r="G129" s="9" t="s">
        <v>7</v>
      </c>
      <c r="H129" s="9" t="s">
        <v>301</v>
      </c>
      <c r="I129" t="s">
        <v>957</v>
      </c>
      <c r="J129" s="9" t="s">
        <v>1213</v>
      </c>
      <c r="K129" s="9" t="s">
        <v>971</v>
      </c>
      <c r="L129" s="9" t="s">
        <v>1065</v>
      </c>
      <c r="M129" s="9"/>
      <c r="N129" s="9"/>
      <c r="O129" s="9"/>
      <c r="P129" s="9"/>
      <c r="Q129" s="9"/>
      <c r="R129" s="9" t="s">
        <v>966</v>
      </c>
      <c r="S129" s="9" t="s">
        <v>966</v>
      </c>
      <c r="T129" s="59">
        <v>42880</v>
      </c>
      <c r="U129" s="43">
        <v>47.222461000000003</v>
      </c>
      <c r="V129" s="43">
        <v>-122.810239</v>
      </c>
      <c r="W129" t="str">
        <f>VLOOKUP(B129,[1]Plantings!$A$2:$E$285,4,FALSE)</f>
        <v>point</v>
      </c>
      <c r="X129" s="43" t="str">
        <f>VLOOKUP(B129,[1]Plantings!$A$2:$E$285,5,FALSE)</f>
        <v>retain</v>
      </c>
      <c r="Y129" s="48" t="s">
        <v>9</v>
      </c>
      <c r="Z129">
        <v>-1.1499999999999999</v>
      </c>
      <c r="AA129" t="s">
        <v>967</v>
      </c>
      <c r="AB129">
        <v>1</v>
      </c>
      <c r="AC129">
        <v>1</v>
      </c>
      <c r="AD129">
        <f t="shared" ref="AD129:AD176" si="19">AB129*AC129</f>
        <v>1</v>
      </c>
      <c r="AE129">
        <v>8.0000000000000002E-3</v>
      </c>
      <c r="AF129" s="46">
        <f t="shared" si="18"/>
        <v>1.4999999999999999E-2</v>
      </c>
      <c r="AG129" s="47">
        <v>3</v>
      </c>
      <c r="AH129" s="47">
        <f t="shared" ref="AH129:AH140" si="20">AG129*4</f>
        <v>12</v>
      </c>
      <c r="AI129" s="45">
        <f t="shared" si="16"/>
        <v>12</v>
      </c>
      <c r="AJ129" s="45">
        <f t="shared" si="17"/>
        <v>1500</v>
      </c>
      <c r="AK129" t="s">
        <v>1021</v>
      </c>
      <c r="AL129" s="51" t="s">
        <v>1214</v>
      </c>
    </row>
    <row r="130" spans="1:38" x14ac:dyDescent="0.25">
      <c r="A130" s="9" t="s">
        <v>1157</v>
      </c>
      <c r="B130" s="9" t="s">
        <v>1215</v>
      </c>
      <c r="C130" t="str">
        <f>VLOOKUP(B130,[1]Plantings!$A$2:$C$285,2,FALSE)</f>
        <v>JSP_mid_BG1</v>
      </c>
      <c r="D130" t="str">
        <f>VLOOKUP(B130,[1]Plantings!$A$2:$C$285,3,FALSE)</f>
        <v>single</v>
      </c>
      <c r="E130" s="9">
        <v>2017</v>
      </c>
      <c r="F130" s="9"/>
      <c r="G130" s="9" t="s">
        <v>7</v>
      </c>
      <c r="H130" s="9" t="s">
        <v>301</v>
      </c>
      <c r="I130" t="s">
        <v>957</v>
      </c>
      <c r="J130" s="9" t="s">
        <v>1213</v>
      </c>
      <c r="K130" s="9" t="s">
        <v>971</v>
      </c>
      <c r="L130" s="9" t="s">
        <v>1065</v>
      </c>
      <c r="M130" s="9"/>
      <c r="N130" s="9"/>
      <c r="O130" s="9"/>
      <c r="P130" s="9"/>
      <c r="Q130" s="9"/>
      <c r="R130" s="9" t="s">
        <v>966</v>
      </c>
      <c r="S130" s="52" t="s">
        <v>998</v>
      </c>
      <c r="T130" s="59">
        <v>42880</v>
      </c>
      <c r="U130" s="43">
        <v>47.222489000000003</v>
      </c>
      <c r="V130" s="43">
        <v>-122.81026199999999</v>
      </c>
      <c r="W130" t="str">
        <f>VLOOKUP(B130,[1]Plantings!$A$2:$E$285,4,FALSE)</f>
        <v>point</v>
      </c>
      <c r="X130" s="43" t="str">
        <f>VLOOKUP(B130,[1]Plantings!$A$2:$E$285,5,FALSE)</f>
        <v>retain</v>
      </c>
      <c r="Y130" s="48" t="s">
        <v>9</v>
      </c>
      <c r="AA130" t="s">
        <v>967</v>
      </c>
      <c r="AB130">
        <v>1</v>
      </c>
      <c r="AC130">
        <v>1</v>
      </c>
      <c r="AD130">
        <f t="shared" si="19"/>
        <v>1</v>
      </c>
      <c r="AE130">
        <v>8.0000000000000002E-3</v>
      </c>
      <c r="AF130" s="46">
        <f t="shared" si="18"/>
        <v>1.4999999999999999E-2</v>
      </c>
      <c r="AG130" s="47">
        <v>3</v>
      </c>
      <c r="AH130" s="47">
        <f t="shared" si="20"/>
        <v>12</v>
      </c>
      <c r="AI130" s="45">
        <f t="shared" si="16"/>
        <v>12</v>
      </c>
      <c r="AJ130" s="45">
        <f t="shared" si="17"/>
        <v>1500</v>
      </c>
      <c r="AK130" t="s">
        <v>1021</v>
      </c>
      <c r="AL130" s="51" t="s">
        <v>1214</v>
      </c>
    </row>
    <row r="131" spans="1:38" x14ac:dyDescent="0.25">
      <c r="A131" s="9" t="s">
        <v>1157</v>
      </c>
      <c r="B131" s="9" t="s">
        <v>1216</v>
      </c>
      <c r="C131" t="str">
        <f>VLOOKUP(B131,[1]Plantings!$A$2:$C$285,2,FALSE)</f>
        <v>JSP_mid_C1</v>
      </c>
      <c r="D131" t="str">
        <f>VLOOKUP(B131,[1]Plantings!$A$2:$C$285,3,FALSE)</f>
        <v>single</v>
      </c>
      <c r="E131" s="9">
        <v>2017</v>
      </c>
      <c r="F131" s="9"/>
      <c r="G131" s="9" t="s">
        <v>7</v>
      </c>
      <c r="H131" s="9" t="s">
        <v>301</v>
      </c>
      <c r="I131" t="s">
        <v>957</v>
      </c>
      <c r="J131" s="9" t="s">
        <v>1213</v>
      </c>
      <c r="K131" s="9" t="s">
        <v>971</v>
      </c>
      <c r="L131" s="9" t="s">
        <v>1065</v>
      </c>
      <c r="M131" s="9"/>
      <c r="N131" s="9"/>
      <c r="O131" s="9"/>
      <c r="P131" s="9"/>
      <c r="Q131" s="9"/>
      <c r="R131" s="9" t="s">
        <v>966</v>
      </c>
      <c r="S131" s="52" t="s">
        <v>998</v>
      </c>
      <c r="T131" s="59">
        <v>42880</v>
      </c>
      <c r="U131" s="43">
        <v>47.222512000000002</v>
      </c>
      <c r="V131" s="43">
        <v>-122.810267</v>
      </c>
      <c r="W131" t="str">
        <f>VLOOKUP(B131,[1]Plantings!$A$2:$E$285,4,FALSE)</f>
        <v>point</v>
      </c>
      <c r="X131" s="43" t="str">
        <f>VLOOKUP(B131,[1]Plantings!$A$2:$E$285,5,FALSE)</f>
        <v>retain</v>
      </c>
      <c r="Y131" s="48" t="s">
        <v>9</v>
      </c>
      <c r="AA131" t="s">
        <v>967</v>
      </c>
      <c r="AB131">
        <v>1</v>
      </c>
      <c r="AC131">
        <v>1</v>
      </c>
      <c r="AD131">
        <f t="shared" si="19"/>
        <v>1</v>
      </c>
      <c r="AE131">
        <v>8.0000000000000002E-3</v>
      </c>
      <c r="AF131" s="46">
        <f t="shared" si="18"/>
        <v>1.4999999999999999E-2</v>
      </c>
      <c r="AG131" s="47">
        <v>3</v>
      </c>
      <c r="AH131" s="47">
        <f t="shared" si="20"/>
        <v>12</v>
      </c>
      <c r="AI131" s="45">
        <f t="shared" si="16"/>
        <v>12</v>
      </c>
      <c r="AJ131" s="45">
        <f t="shared" si="17"/>
        <v>1500</v>
      </c>
      <c r="AK131" t="s">
        <v>1021</v>
      </c>
      <c r="AL131" s="51" t="s">
        <v>1214</v>
      </c>
    </row>
    <row r="132" spans="1:38" x14ac:dyDescent="0.25">
      <c r="A132" s="9" t="s">
        <v>1157</v>
      </c>
      <c r="B132" s="9" t="s">
        <v>1217</v>
      </c>
      <c r="C132" t="str">
        <f>VLOOKUP(B132,[1]Plantings!$A$2:$C$285,2,FALSE)</f>
        <v>JSP_mid_AG2</v>
      </c>
      <c r="D132" t="str">
        <f>VLOOKUP(B132,[1]Plantings!$A$2:$C$285,3,FALSE)</f>
        <v>single</v>
      </c>
      <c r="E132" s="9">
        <v>2017</v>
      </c>
      <c r="F132" s="9"/>
      <c r="G132" s="9" t="s">
        <v>7</v>
      </c>
      <c r="H132" s="9" t="s">
        <v>301</v>
      </c>
      <c r="I132" t="s">
        <v>957</v>
      </c>
      <c r="J132" s="9" t="s">
        <v>1213</v>
      </c>
      <c r="K132" s="9" t="s">
        <v>971</v>
      </c>
      <c r="L132" s="9" t="s">
        <v>1065</v>
      </c>
      <c r="M132" s="9"/>
      <c r="N132" s="9"/>
      <c r="O132" s="9"/>
      <c r="P132" s="9"/>
      <c r="Q132" s="9"/>
      <c r="R132" s="9" t="s">
        <v>966</v>
      </c>
      <c r="S132" s="52" t="s">
        <v>998</v>
      </c>
      <c r="T132" s="59">
        <v>42880</v>
      </c>
      <c r="U132" s="43">
        <v>47.222541999999997</v>
      </c>
      <c r="V132" s="43">
        <v>-122.81027899999999</v>
      </c>
      <c r="W132" t="str">
        <f>VLOOKUP(B132,[1]Plantings!$A$2:$E$285,4,FALSE)</f>
        <v>point</v>
      </c>
      <c r="X132" s="43" t="str">
        <f>VLOOKUP(B132,[1]Plantings!$A$2:$E$285,5,FALSE)</f>
        <v>retain</v>
      </c>
      <c r="Y132" s="48" t="s">
        <v>9</v>
      </c>
      <c r="AA132" t="s">
        <v>967</v>
      </c>
      <c r="AB132">
        <v>1</v>
      </c>
      <c r="AC132">
        <v>1</v>
      </c>
      <c r="AD132">
        <f t="shared" si="19"/>
        <v>1</v>
      </c>
      <c r="AE132">
        <v>8.0000000000000002E-3</v>
      </c>
      <c r="AF132" s="46">
        <f t="shared" si="18"/>
        <v>1.4999999999999999E-2</v>
      </c>
      <c r="AG132" s="47">
        <v>3</v>
      </c>
      <c r="AH132" s="47">
        <f t="shared" si="20"/>
        <v>12</v>
      </c>
      <c r="AI132" s="45">
        <f t="shared" si="16"/>
        <v>12</v>
      </c>
      <c r="AJ132" s="45">
        <f t="shared" si="17"/>
        <v>1500</v>
      </c>
      <c r="AK132" t="s">
        <v>1021</v>
      </c>
      <c r="AL132" s="51" t="s">
        <v>1214</v>
      </c>
    </row>
    <row r="133" spans="1:38" x14ac:dyDescent="0.25">
      <c r="A133" s="9" t="s">
        <v>1157</v>
      </c>
      <c r="B133" s="9" t="s">
        <v>1218</v>
      </c>
      <c r="C133" t="str">
        <f>VLOOKUP(B133,[1]Plantings!$A$2:$C$285,2,FALSE)</f>
        <v>JSP_mid_C2</v>
      </c>
      <c r="D133" t="str">
        <f>VLOOKUP(B133,[1]Plantings!$A$2:$C$285,3,FALSE)</f>
        <v>single</v>
      </c>
      <c r="E133" s="9">
        <v>2017</v>
      </c>
      <c r="F133" s="9"/>
      <c r="G133" s="9" t="s">
        <v>7</v>
      </c>
      <c r="H133" s="9" t="s">
        <v>301</v>
      </c>
      <c r="I133" t="s">
        <v>957</v>
      </c>
      <c r="J133" s="9" t="s">
        <v>1213</v>
      </c>
      <c r="K133" s="9" t="s">
        <v>971</v>
      </c>
      <c r="L133" s="9" t="s">
        <v>1065</v>
      </c>
      <c r="M133" s="9"/>
      <c r="N133" s="9"/>
      <c r="O133" s="9"/>
      <c r="P133" s="9"/>
      <c r="Q133" s="9"/>
      <c r="R133" s="9" t="s">
        <v>966</v>
      </c>
      <c r="S133" s="52" t="s">
        <v>998</v>
      </c>
      <c r="T133" s="59">
        <v>42880</v>
      </c>
      <c r="U133" s="43">
        <v>47.222552</v>
      </c>
      <c r="V133" s="43">
        <v>-122.810293</v>
      </c>
      <c r="W133" t="str">
        <f>VLOOKUP(B133,[1]Plantings!$A$2:$E$285,4,FALSE)</f>
        <v>point</v>
      </c>
      <c r="X133" s="43" t="str">
        <f>VLOOKUP(B133,[1]Plantings!$A$2:$E$285,5,FALSE)</f>
        <v>retain</v>
      </c>
      <c r="Y133" s="48" t="s">
        <v>9</v>
      </c>
      <c r="AA133" t="s">
        <v>967</v>
      </c>
      <c r="AB133">
        <v>1</v>
      </c>
      <c r="AC133">
        <v>1</v>
      </c>
      <c r="AD133">
        <f t="shared" si="19"/>
        <v>1</v>
      </c>
      <c r="AE133">
        <v>8.0000000000000002E-3</v>
      </c>
      <c r="AF133" s="46">
        <f t="shared" si="18"/>
        <v>1.4999999999999999E-2</v>
      </c>
      <c r="AG133" s="47">
        <v>3</v>
      </c>
      <c r="AH133" s="47">
        <f t="shared" si="20"/>
        <v>12</v>
      </c>
      <c r="AI133" s="45">
        <f t="shared" si="16"/>
        <v>12</v>
      </c>
      <c r="AJ133" s="45">
        <f t="shared" si="17"/>
        <v>1500</v>
      </c>
      <c r="AK133" t="s">
        <v>1021</v>
      </c>
      <c r="AL133" s="51" t="s">
        <v>1214</v>
      </c>
    </row>
    <row r="134" spans="1:38" x14ac:dyDescent="0.25">
      <c r="A134" s="9" t="s">
        <v>1157</v>
      </c>
      <c r="B134" s="9" t="s">
        <v>1219</v>
      </c>
      <c r="C134" t="str">
        <f>VLOOKUP(B134,[1]Plantings!$A$2:$C$285,2,FALSE)</f>
        <v>JSP_mid_BG2</v>
      </c>
      <c r="D134" t="str">
        <f>VLOOKUP(B134,[1]Plantings!$A$2:$C$285,3,FALSE)</f>
        <v>single</v>
      </c>
      <c r="E134" s="9">
        <v>2017</v>
      </c>
      <c r="F134" s="9"/>
      <c r="G134" s="9" t="s">
        <v>7</v>
      </c>
      <c r="H134" s="9" t="s">
        <v>301</v>
      </c>
      <c r="I134" t="s">
        <v>957</v>
      </c>
      <c r="J134" s="9" t="s">
        <v>1213</v>
      </c>
      <c r="K134" s="9" t="s">
        <v>971</v>
      </c>
      <c r="L134" s="9" t="s">
        <v>1065</v>
      </c>
      <c r="M134" s="9"/>
      <c r="N134" s="9"/>
      <c r="O134" s="9"/>
      <c r="P134" s="9"/>
      <c r="Q134" s="9"/>
      <c r="R134" s="9" t="s">
        <v>966</v>
      </c>
      <c r="S134" s="52" t="s">
        <v>998</v>
      </c>
      <c r="T134" s="59">
        <v>42880</v>
      </c>
      <c r="U134" s="43">
        <v>47.222596000000003</v>
      </c>
      <c r="V134" s="43">
        <v>-122.810309</v>
      </c>
      <c r="W134" t="str">
        <f>VLOOKUP(B134,[1]Plantings!$A$2:$E$285,4,FALSE)</f>
        <v>point</v>
      </c>
      <c r="X134" s="43" t="str">
        <f>VLOOKUP(B134,[1]Plantings!$A$2:$E$285,5,FALSE)</f>
        <v>retain</v>
      </c>
      <c r="Y134" s="48" t="s">
        <v>9</v>
      </c>
      <c r="AA134" t="s">
        <v>967</v>
      </c>
      <c r="AB134">
        <v>1</v>
      </c>
      <c r="AC134">
        <v>1</v>
      </c>
      <c r="AD134">
        <f t="shared" si="19"/>
        <v>1</v>
      </c>
      <c r="AE134">
        <v>8.0000000000000002E-3</v>
      </c>
      <c r="AF134" s="46">
        <f t="shared" si="18"/>
        <v>1.4999999999999999E-2</v>
      </c>
      <c r="AG134" s="47">
        <v>3</v>
      </c>
      <c r="AH134" s="47">
        <f t="shared" si="20"/>
        <v>12</v>
      </c>
      <c r="AI134" s="45">
        <f t="shared" si="16"/>
        <v>12</v>
      </c>
      <c r="AJ134" s="45">
        <f t="shared" si="17"/>
        <v>1500</v>
      </c>
      <c r="AK134" t="s">
        <v>1021</v>
      </c>
      <c r="AL134" s="51" t="s">
        <v>1214</v>
      </c>
    </row>
    <row r="135" spans="1:38" x14ac:dyDescent="0.25">
      <c r="A135" s="9" t="s">
        <v>1157</v>
      </c>
      <c r="B135" s="9" t="s">
        <v>1220</v>
      </c>
      <c r="C135" t="str">
        <f>VLOOKUP(B135,[1]Plantings!$A$2:$C$285,2,FALSE)</f>
        <v>JSP_mid_C3</v>
      </c>
      <c r="D135" t="str">
        <f>VLOOKUP(B135,[1]Plantings!$A$2:$C$285,3,FALSE)</f>
        <v>single</v>
      </c>
      <c r="E135" s="9">
        <v>2017</v>
      </c>
      <c r="F135" s="9"/>
      <c r="G135" s="9" t="s">
        <v>7</v>
      </c>
      <c r="H135" s="9" t="s">
        <v>301</v>
      </c>
      <c r="I135" t="s">
        <v>957</v>
      </c>
      <c r="J135" s="9" t="s">
        <v>1213</v>
      </c>
      <c r="K135" s="9" t="s">
        <v>971</v>
      </c>
      <c r="L135" s="9" t="s">
        <v>1065</v>
      </c>
      <c r="M135" s="9"/>
      <c r="N135" s="9"/>
      <c r="O135" s="9"/>
      <c r="P135" s="9"/>
      <c r="Q135" s="9"/>
      <c r="R135" s="9" t="s">
        <v>966</v>
      </c>
      <c r="S135" s="52" t="s">
        <v>998</v>
      </c>
      <c r="T135" s="59">
        <v>42880</v>
      </c>
      <c r="U135" s="43">
        <v>47.222611999999998</v>
      </c>
      <c r="V135" s="43">
        <v>-122.810312</v>
      </c>
      <c r="W135" t="str">
        <f>VLOOKUP(B135,[1]Plantings!$A$2:$E$285,4,FALSE)</f>
        <v>point</v>
      </c>
      <c r="X135" s="43" t="str">
        <f>VLOOKUP(B135,[1]Plantings!$A$2:$E$285,5,FALSE)</f>
        <v>retain</v>
      </c>
      <c r="Y135" s="48" t="s">
        <v>9</v>
      </c>
      <c r="AA135" t="s">
        <v>967</v>
      </c>
      <c r="AB135">
        <v>1</v>
      </c>
      <c r="AC135">
        <v>1</v>
      </c>
      <c r="AD135">
        <f t="shared" si="19"/>
        <v>1</v>
      </c>
      <c r="AE135">
        <v>8.0000000000000002E-3</v>
      </c>
      <c r="AF135" s="46">
        <f t="shared" si="18"/>
        <v>1.4999999999999999E-2</v>
      </c>
      <c r="AG135" s="47">
        <v>3</v>
      </c>
      <c r="AH135" s="47">
        <f t="shared" si="20"/>
        <v>12</v>
      </c>
      <c r="AI135" s="45">
        <f t="shared" si="16"/>
        <v>12</v>
      </c>
      <c r="AJ135" s="45">
        <f t="shared" si="17"/>
        <v>1500</v>
      </c>
      <c r="AK135" t="s">
        <v>1021</v>
      </c>
      <c r="AL135" s="51" t="s">
        <v>1214</v>
      </c>
    </row>
    <row r="136" spans="1:38" x14ac:dyDescent="0.25">
      <c r="A136" s="9" t="s">
        <v>1157</v>
      </c>
      <c r="B136" s="9" t="s">
        <v>1221</v>
      </c>
      <c r="C136" t="str">
        <f>VLOOKUP(B136,[1]Plantings!$A$2:$C$285,2,FALSE)</f>
        <v>JSP_mid_BG3</v>
      </c>
      <c r="D136" t="str">
        <f>VLOOKUP(B136,[1]Plantings!$A$2:$C$285,3,FALSE)</f>
        <v>single</v>
      </c>
      <c r="E136" s="9">
        <v>2017</v>
      </c>
      <c r="F136" s="9"/>
      <c r="G136" s="9" t="s">
        <v>7</v>
      </c>
      <c r="H136" s="9" t="s">
        <v>301</v>
      </c>
      <c r="I136" t="s">
        <v>957</v>
      </c>
      <c r="J136" s="9" t="s">
        <v>1213</v>
      </c>
      <c r="K136" s="9" t="s">
        <v>971</v>
      </c>
      <c r="L136" s="9" t="s">
        <v>1065</v>
      </c>
      <c r="M136" s="9"/>
      <c r="N136" s="9"/>
      <c r="O136" s="9"/>
      <c r="P136" s="9"/>
      <c r="Q136" s="9"/>
      <c r="R136" s="9" t="s">
        <v>966</v>
      </c>
      <c r="S136" s="52" t="s">
        <v>998</v>
      </c>
      <c r="T136" s="59">
        <v>42880</v>
      </c>
      <c r="U136" s="43">
        <v>47.222638000000003</v>
      </c>
      <c r="V136" s="43">
        <v>-122.810339</v>
      </c>
      <c r="W136" t="str">
        <f>VLOOKUP(B136,[1]Plantings!$A$2:$E$285,4,FALSE)</f>
        <v>point</v>
      </c>
      <c r="X136" s="43" t="str">
        <f>VLOOKUP(B136,[1]Plantings!$A$2:$E$285,5,FALSE)</f>
        <v>retain</v>
      </c>
      <c r="Y136" s="48" t="s">
        <v>9</v>
      </c>
      <c r="AA136" t="s">
        <v>967</v>
      </c>
      <c r="AB136">
        <v>1</v>
      </c>
      <c r="AC136">
        <v>1</v>
      </c>
      <c r="AD136">
        <f t="shared" si="19"/>
        <v>1</v>
      </c>
      <c r="AE136">
        <v>8.0000000000000002E-3</v>
      </c>
      <c r="AF136" s="46">
        <f t="shared" si="18"/>
        <v>1.4999999999999999E-2</v>
      </c>
      <c r="AG136" s="47">
        <v>3</v>
      </c>
      <c r="AH136" s="47">
        <f t="shared" si="20"/>
        <v>12</v>
      </c>
      <c r="AI136" s="45">
        <f t="shared" si="16"/>
        <v>12</v>
      </c>
      <c r="AJ136" s="45">
        <f t="shared" si="17"/>
        <v>1500</v>
      </c>
      <c r="AK136" t="s">
        <v>1021</v>
      </c>
      <c r="AL136" s="51" t="s">
        <v>1214</v>
      </c>
    </row>
    <row r="137" spans="1:38" x14ac:dyDescent="0.25">
      <c r="A137" s="9" t="s">
        <v>1157</v>
      </c>
      <c r="B137" s="9" t="s">
        <v>1222</v>
      </c>
      <c r="C137" t="str">
        <f>VLOOKUP(B137,[1]Plantings!$A$2:$C$285,2,FALSE)</f>
        <v>JSP_mid_C4</v>
      </c>
      <c r="D137" t="str">
        <f>VLOOKUP(B137,[1]Plantings!$A$2:$C$285,3,FALSE)</f>
        <v>single</v>
      </c>
      <c r="E137" s="9">
        <v>2017</v>
      </c>
      <c r="F137" s="9"/>
      <c r="G137" s="9" t="s">
        <v>7</v>
      </c>
      <c r="H137" s="9" t="s">
        <v>301</v>
      </c>
      <c r="I137" t="s">
        <v>957</v>
      </c>
      <c r="J137" s="9" t="s">
        <v>1213</v>
      </c>
      <c r="K137" s="9" t="s">
        <v>971</v>
      </c>
      <c r="L137" s="9" t="s">
        <v>1065</v>
      </c>
      <c r="M137" s="9"/>
      <c r="N137" s="9"/>
      <c r="O137" s="9"/>
      <c r="P137" s="9"/>
      <c r="Q137" s="9"/>
      <c r="R137" s="9" t="s">
        <v>966</v>
      </c>
      <c r="S137" s="52" t="s">
        <v>998</v>
      </c>
      <c r="T137" s="59">
        <v>42880</v>
      </c>
      <c r="U137" s="43">
        <v>47.222720000000002</v>
      </c>
      <c r="V137" s="43">
        <v>-122.81038599999999</v>
      </c>
      <c r="W137" t="str">
        <f>VLOOKUP(B137,[1]Plantings!$A$2:$E$285,4,FALSE)</f>
        <v>point</v>
      </c>
      <c r="X137" s="43" t="str">
        <f>VLOOKUP(B137,[1]Plantings!$A$2:$E$285,5,FALSE)</f>
        <v>retain</v>
      </c>
      <c r="Y137" s="48" t="s">
        <v>9</v>
      </c>
      <c r="AA137" t="s">
        <v>967</v>
      </c>
      <c r="AB137">
        <v>1</v>
      </c>
      <c r="AC137">
        <v>1</v>
      </c>
      <c r="AD137">
        <f t="shared" si="19"/>
        <v>1</v>
      </c>
      <c r="AE137">
        <v>8.0000000000000002E-3</v>
      </c>
      <c r="AF137" s="46">
        <f t="shared" si="18"/>
        <v>1.4999999999999999E-2</v>
      </c>
      <c r="AG137" s="47">
        <v>3</v>
      </c>
      <c r="AH137" s="47">
        <f t="shared" si="20"/>
        <v>12</v>
      </c>
      <c r="AI137" s="45">
        <f t="shared" si="16"/>
        <v>12</v>
      </c>
      <c r="AJ137" s="45">
        <f t="shared" si="17"/>
        <v>1500</v>
      </c>
      <c r="AK137" t="s">
        <v>1021</v>
      </c>
      <c r="AL137" s="51" t="s">
        <v>1214</v>
      </c>
    </row>
    <row r="138" spans="1:38" x14ac:dyDescent="0.25">
      <c r="A138" s="9" t="s">
        <v>1157</v>
      </c>
      <c r="B138" s="9" t="s">
        <v>1223</v>
      </c>
      <c r="C138" t="str">
        <f>VLOOKUP(B138,[1]Plantings!$A$2:$C$285,2,FALSE)</f>
        <v>JSP_mid_BG4</v>
      </c>
      <c r="D138" t="str">
        <f>VLOOKUP(B138,[1]Plantings!$A$2:$C$285,3,FALSE)</f>
        <v>single</v>
      </c>
      <c r="E138" s="9">
        <v>2017</v>
      </c>
      <c r="F138" s="9"/>
      <c r="G138" s="9" t="s">
        <v>7</v>
      </c>
      <c r="H138" s="9" t="s">
        <v>301</v>
      </c>
      <c r="I138" t="s">
        <v>957</v>
      </c>
      <c r="J138" s="9" t="s">
        <v>1213</v>
      </c>
      <c r="K138" s="9" t="s">
        <v>971</v>
      </c>
      <c r="L138" s="9" t="s">
        <v>1065</v>
      </c>
      <c r="M138" s="9"/>
      <c r="N138" s="9"/>
      <c r="O138" s="9"/>
      <c r="P138" s="9"/>
      <c r="Q138" s="9"/>
      <c r="R138" s="9" t="s">
        <v>966</v>
      </c>
      <c r="S138" s="52" t="s">
        <v>998</v>
      </c>
      <c r="T138" s="59">
        <v>42880</v>
      </c>
      <c r="U138" s="43">
        <v>47.222659</v>
      </c>
      <c r="V138" s="43">
        <v>-122.810361</v>
      </c>
      <c r="W138" t="str">
        <f>VLOOKUP(B138,[1]Plantings!$A$2:$E$285,4,FALSE)</f>
        <v>point</v>
      </c>
      <c r="X138" s="43" t="str">
        <f>VLOOKUP(B138,[1]Plantings!$A$2:$E$285,5,FALSE)</f>
        <v>retain</v>
      </c>
      <c r="Y138" s="48" t="s">
        <v>9</v>
      </c>
      <c r="AA138" t="s">
        <v>967</v>
      </c>
      <c r="AB138">
        <v>1</v>
      </c>
      <c r="AC138">
        <v>1</v>
      </c>
      <c r="AD138">
        <f t="shared" si="19"/>
        <v>1</v>
      </c>
      <c r="AE138">
        <v>8.0000000000000002E-3</v>
      </c>
      <c r="AF138" s="46">
        <f t="shared" si="18"/>
        <v>1.4999999999999999E-2</v>
      </c>
      <c r="AG138" s="47">
        <v>3</v>
      </c>
      <c r="AH138" s="47">
        <f t="shared" si="20"/>
        <v>12</v>
      </c>
      <c r="AI138" s="45">
        <f t="shared" si="16"/>
        <v>12</v>
      </c>
      <c r="AJ138" s="45">
        <f t="shared" si="17"/>
        <v>1500</v>
      </c>
      <c r="AK138" t="s">
        <v>1021</v>
      </c>
      <c r="AL138" s="51" t="s">
        <v>1214</v>
      </c>
    </row>
    <row r="139" spans="1:38" x14ac:dyDescent="0.25">
      <c r="A139" s="9" t="s">
        <v>1157</v>
      </c>
      <c r="B139" s="9" t="s">
        <v>1224</v>
      </c>
      <c r="C139" t="str">
        <f>VLOOKUP(B139,[1]Plantings!$A$2:$C$285,2,FALSE)</f>
        <v>JSP_mid_AG3</v>
      </c>
      <c r="D139" t="str">
        <f>VLOOKUP(B139,[1]Plantings!$A$2:$C$285,3,FALSE)</f>
        <v>single</v>
      </c>
      <c r="E139" s="9">
        <v>2017</v>
      </c>
      <c r="F139" s="9"/>
      <c r="G139" s="9" t="s">
        <v>7</v>
      </c>
      <c r="H139" s="9" t="s">
        <v>301</v>
      </c>
      <c r="I139" t="s">
        <v>957</v>
      </c>
      <c r="J139" s="9" t="s">
        <v>1213</v>
      </c>
      <c r="K139" s="9" t="s">
        <v>971</v>
      </c>
      <c r="L139" s="9" t="s">
        <v>1065</v>
      </c>
      <c r="M139" s="9"/>
      <c r="N139" s="9"/>
      <c r="O139" s="9"/>
      <c r="P139" s="9"/>
      <c r="Q139" s="9"/>
      <c r="R139" s="9" t="s">
        <v>966</v>
      </c>
      <c r="S139" s="52" t="s">
        <v>998</v>
      </c>
      <c r="T139" s="59">
        <v>42880</v>
      </c>
      <c r="U139" s="43">
        <v>47.222687999999998</v>
      </c>
      <c r="V139" s="43">
        <v>-122.810372</v>
      </c>
      <c r="W139" t="str">
        <f>VLOOKUP(B139,[1]Plantings!$A$2:$E$285,4,FALSE)</f>
        <v>point</v>
      </c>
      <c r="X139" s="43" t="str">
        <f>VLOOKUP(B139,[1]Plantings!$A$2:$E$285,5,FALSE)</f>
        <v>retain</v>
      </c>
      <c r="Y139" s="48" t="s">
        <v>9</v>
      </c>
      <c r="AA139" t="s">
        <v>967</v>
      </c>
      <c r="AB139">
        <v>1</v>
      </c>
      <c r="AC139">
        <v>1</v>
      </c>
      <c r="AD139">
        <f t="shared" si="19"/>
        <v>1</v>
      </c>
      <c r="AE139">
        <v>8.0000000000000002E-3</v>
      </c>
      <c r="AF139" s="46">
        <f t="shared" si="18"/>
        <v>1.4999999999999999E-2</v>
      </c>
      <c r="AG139" s="47">
        <v>3</v>
      </c>
      <c r="AH139" s="47">
        <f t="shared" si="20"/>
        <v>12</v>
      </c>
      <c r="AI139" s="45">
        <f t="shared" si="16"/>
        <v>12</v>
      </c>
      <c r="AJ139" s="45">
        <f t="shared" si="17"/>
        <v>1500</v>
      </c>
      <c r="AK139" t="s">
        <v>1021</v>
      </c>
      <c r="AL139" s="51" t="s">
        <v>1214</v>
      </c>
    </row>
    <row r="140" spans="1:38" x14ac:dyDescent="0.25">
      <c r="A140" s="9" t="s">
        <v>1157</v>
      </c>
      <c r="B140" s="9" t="s">
        <v>1225</v>
      </c>
      <c r="C140" t="str">
        <f>VLOOKUP(B140,[1]Plantings!$A$2:$C$285,2,FALSE)</f>
        <v>JSP_mid_AG4</v>
      </c>
      <c r="D140" t="str">
        <f>VLOOKUP(B140,[1]Plantings!$A$2:$C$285,3,FALSE)</f>
        <v>single</v>
      </c>
      <c r="E140" s="9">
        <v>2017</v>
      </c>
      <c r="F140" s="9"/>
      <c r="G140" s="9" t="s">
        <v>7</v>
      </c>
      <c r="H140" s="9" t="s">
        <v>301</v>
      </c>
      <c r="I140" t="s">
        <v>957</v>
      </c>
      <c r="J140" s="9" t="s">
        <v>1213</v>
      </c>
      <c r="K140" s="9" t="s">
        <v>971</v>
      </c>
      <c r="L140" s="9" t="s">
        <v>1065</v>
      </c>
      <c r="M140" s="9"/>
      <c r="N140" s="9"/>
      <c r="O140" s="9"/>
      <c r="P140" s="9"/>
      <c r="Q140" s="9"/>
      <c r="R140" s="9" t="s">
        <v>966</v>
      </c>
      <c r="S140" s="52" t="s">
        <v>998</v>
      </c>
      <c r="T140" s="59">
        <v>42880</v>
      </c>
      <c r="U140" s="204">
        <v>47.222732999999998</v>
      </c>
      <c r="V140" s="204">
        <v>-122.8104</v>
      </c>
      <c r="W140" t="str">
        <f>VLOOKUP(B140,[1]Plantings!$A$2:$E$285,4,FALSE)</f>
        <v>point</v>
      </c>
      <c r="X140" s="43" t="str">
        <f>VLOOKUP(B140,[1]Plantings!$A$2:$E$285,5,FALSE)</f>
        <v>retain</v>
      </c>
      <c r="Y140" s="48" t="s">
        <v>9</v>
      </c>
      <c r="AA140" t="s">
        <v>967</v>
      </c>
      <c r="AB140">
        <v>1</v>
      </c>
      <c r="AC140">
        <v>1</v>
      </c>
      <c r="AD140">
        <f t="shared" si="19"/>
        <v>1</v>
      </c>
      <c r="AE140">
        <v>8.0000000000000002E-3</v>
      </c>
      <c r="AF140" s="46">
        <f t="shared" si="18"/>
        <v>1.4999999999999999E-2</v>
      </c>
      <c r="AG140" s="47">
        <v>3</v>
      </c>
      <c r="AH140" s="47">
        <f t="shared" si="20"/>
        <v>12</v>
      </c>
      <c r="AI140" s="45">
        <f t="shared" si="16"/>
        <v>12</v>
      </c>
      <c r="AJ140" s="45">
        <f t="shared" si="17"/>
        <v>1500</v>
      </c>
      <c r="AK140" t="s">
        <v>1021</v>
      </c>
      <c r="AL140" s="51" t="s">
        <v>1214</v>
      </c>
    </row>
    <row r="141" spans="1:38" x14ac:dyDescent="0.25">
      <c r="A141" s="9" t="s">
        <v>1157</v>
      </c>
      <c r="B141" s="9" t="s">
        <v>1226</v>
      </c>
      <c r="C141" t="str">
        <f>VLOOKUP(B141,[1]Plantings!$A$2:$C$285,2,FALSE)</f>
        <v>JSP_north_P1</v>
      </c>
      <c r="D141" t="str">
        <f>VLOOKUP(B141,[1]Plantings!$A$2:$C$285,3,FALSE)</f>
        <v>single</v>
      </c>
      <c r="E141" s="9">
        <v>2017</v>
      </c>
      <c r="F141" s="9"/>
      <c r="G141" t="s">
        <v>1003</v>
      </c>
      <c r="H141" s="9" t="s">
        <v>301</v>
      </c>
      <c r="I141" t="s">
        <v>957</v>
      </c>
      <c r="J141" s="9" t="s">
        <v>1227</v>
      </c>
      <c r="K141" s="9" t="s">
        <v>971</v>
      </c>
      <c r="L141" s="9" t="s">
        <v>1065</v>
      </c>
      <c r="M141" s="9"/>
      <c r="N141" s="9"/>
      <c r="O141" s="9"/>
      <c r="P141" s="9"/>
      <c r="Q141" s="9"/>
      <c r="R141" s="9" t="s">
        <v>966</v>
      </c>
      <c r="S141" s="9" t="s">
        <v>966</v>
      </c>
      <c r="T141" s="59">
        <v>42881</v>
      </c>
      <c r="U141" s="201">
        <v>47.226010000000002</v>
      </c>
      <c r="V141" s="201">
        <v>-122.81377000000001</v>
      </c>
      <c r="W141" t="str">
        <f>VLOOKUP(B141,[1]Plantings!$A$2:$E$285,4,FALSE)</f>
        <v>polygon</v>
      </c>
      <c r="X141" s="43" t="str">
        <f>VLOOKUP(B141,[1]Plantings!$A$2:$E$285,5,FALSE)</f>
        <v>drop</v>
      </c>
      <c r="Y141" s="48" t="s">
        <v>9</v>
      </c>
      <c r="AA141" t="s">
        <v>1052</v>
      </c>
      <c r="AB141">
        <v>10</v>
      </c>
      <c r="AC141">
        <v>4</v>
      </c>
      <c r="AD141">
        <f t="shared" si="19"/>
        <v>40</v>
      </c>
      <c r="AE141">
        <v>1.25</v>
      </c>
      <c r="AF141" s="46">
        <f t="shared" si="18"/>
        <v>0.1875</v>
      </c>
      <c r="AG141" s="47">
        <v>3</v>
      </c>
      <c r="AH141" s="47">
        <v>90</v>
      </c>
      <c r="AI141" s="45">
        <f t="shared" si="16"/>
        <v>2.25</v>
      </c>
      <c r="AJ141" s="45">
        <f t="shared" si="17"/>
        <v>72</v>
      </c>
      <c r="AK141" t="s">
        <v>1021</v>
      </c>
      <c r="AL141" s="51" t="s">
        <v>1228</v>
      </c>
    </row>
    <row r="142" spans="1:38" x14ac:dyDescent="0.25">
      <c r="A142" s="9" t="s">
        <v>1157</v>
      </c>
      <c r="B142" s="9" t="s">
        <v>1229</v>
      </c>
      <c r="C142" t="str">
        <f>VLOOKUP(B142,[1]Plantings!$A$2:$C$285,2,FALSE)</f>
        <v>JSP_north_P1</v>
      </c>
      <c r="D142" t="str">
        <f>VLOOKUP(B142,[1]Plantings!$A$2:$C$285,3,FALSE)</f>
        <v>single</v>
      </c>
      <c r="E142" s="9">
        <v>2017</v>
      </c>
      <c r="F142" s="9"/>
      <c r="G142" t="s">
        <v>1003</v>
      </c>
      <c r="H142" s="9" t="s">
        <v>301</v>
      </c>
      <c r="I142" t="s">
        <v>957</v>
      </c>
      <c r="J142" s="9" t="s">
        <v>1227</v>
      </c>
      <c r="K142" s="9" t="s">
        <v>971</v>
      </c>
      <c r="L142" s="9" t="s">
        <v>1065</v>
      </c>
      <c r="M142" s="9"/>
      <c r="N142" s="9"/>
      <c r="O142" s="9"/>
      <c r="P142" s="9"/>
      <c r="Q142" s="9"/>
      <c r="R142" s="9" t="s">
        <v>966</v>
      </c>
      <c r="S142" s="52" t="s">
        <v>998</v>
      </c>
      <c r="T142" s="59">
        <v>42881</v>
      </c>
      <c r="U142" s="201"/>
      <c r="V142" s="201"/>
      <c r="W142" t="str">
        <f>VLOOKUP(B142,[1]Plantings!$A$2:$E$285,4,FALSE)</f>
        <v>polygon</v>
      </c>
      <c r="X142" s="43" t="str">
        <f>VLOOKUP(B142,[1]Plantings!$A$2:$E$285,5,FALSE)</f>
        <v>drop</v>
      </c>
      <c r="Y142" s="48" t="s">
        <v>9</v>
      </c>
      <c r="AA142" t="s">
        <v>1230</v>
      </c>
      <c r="AB142">
        <v>10</v>
      </c>
      <c r="AC142">
        <v>4</v>
      </c>
      <c r="AD142">
        <f t="shared" si="19"/>
        <v>40</v>
      </c>
      <c r="AE142">
        <v>1.25</v>
      </c>
      <c r="AF142" s="46">
        <f t="shared" si="18"/>
        <v>2.2499999999999999E-2</v>
      </c>
      <c r="AG142" s="47">
        <v>9</v>
      </c>
      <c r="AH142" s="47">
        <v>90</v>
      </c>
      <c r="AI142" s="45">
        <f t="shared" si="16"/>
        <v>2.25</v>
      </c>
      <c r="AJ142" s="45">
        <f t="shared" si="17"/>
        <v>72</v>
      </c>
      <c r="AK142" t="s">
        <v>1021</v>
      </c>
      <c r="AL142" s="51"/>
    </row>
    <row r="143" spans="1:38" x14ac:dyDescent="0.25">
      <c r="A143" s="9" t="s">
        <v>1157</v>
      </c>
      <c r="B143" s="9" t="s">
        <v>1231</v>
      </c>
      <c r="C143" t="str">
        <f>VLOOKUP(B143,[1]Plantings!$A$2:$C$285,2,FALSE)</f>
        <v>JSP_north_P1</v>
      </c>
      <c r="D143" t="str">
        <f>VLOOKUP(B143,[1]Plantings!$A$2:$C$285,3,FALSE)</f>
        <v>single</v>
      </c>
      <c r="E143" s="9">
        <v>2017</v>
      </c>
      <c r="F143" s="9"/>
      <c r="G143" t="s">
        <v>1003</v>
      </c>
      <c r="H143" s="9" t="s">
        <v>301</v>
      </c>
      <c r="I143" t="s">
        <v>957</v>
      </c>
      <c r="J143" s="9" t="s">
        <v>1227</v>
      </c>
      <c r="K143" s="9" t="s">
        <v>971</v>
      </c>
      <c r="L143" s="9" t="s">
        <v>1065</v>
      </c>
      <c r="M143" s="9"/>
      <c r="N143" s="9"/>
      <c r="O143" s="9"/>
      <c r="P143" s="9"/>
      <c r="Q143" s="9"/>
      <c r="R143" s="9" t="s">
        <v>966</v>
      </c>
      <c r="S143" s="52" t="s">
        <v>998</v>
      </c>
      <c r="T143" s="59">
        <v>42881</v>
      </c>
      <c r="U143" s="201">
        <v>47.225969999999997</v>
      </c>
      <c r="V143" s="201">
        <v>-122.81366</v>
      </c>
      <c r="W143" t="str">
        <f>VLOOKUP(B143,[1]Plantings!$A$2:$E$285,4,FALSE)</f>
        <v>polygon</v>
      </c>
      <c r="X143" s="43" t="str">
        <f>VLOOKUP(B143,[1]Plantings!$A$2:$E$285,5,FALSE)</f>
        <v>drop</v>
      </c>
      <c r="Y143" s="48" t="s">
        <v>9</v>
      </c>
      <c r="AA143" t="s">
        <v>967</v>
      </c>
      <c r="AB143">
        <v>10</v>
      </c>
      <c r="AC143">
        <v>4</v>
      </c>
      <c r="AD143">
        <f t="shared" si="19"/>
        <v>40</v>
      </c>
      <c r="AE143">
        <v>1.25</v>
      </c>
      <c r="AF143" s="46">
        <f t="shared" si="18"/>
        <v>4.4999999999999998E-2</v>
      </c>
      <c r="AG143" s="47">
        <v>9</v>
      </c>
      <c r="AH143" s="47">
        <v>90</v>
      </c>
      <c r="AI143" s="45">
        <f t="shared" si="16"/>
        <v>2.25</v>
      </c>
      <c r="AJ143" s="45">
        <f t="shared" si="17"/>
        <v>72</v>
      </c>
      <c r="AK143" t="s">
        <v>1021</v>
      </c>
      <c r="AL143" s="51"/>
    </row>
    <row r="144" spans="1:38" x14ac:dyDescent="0.25">
      <c r="A144" s="9" t="s">
        <v>1157</v>
      </c>
      <c r="B144" s="9" t="s">
        <v>1232</v>
      </c>
      <c r="C144" t="str">
        <f>VLOOKUP(B144,[1]Plantings!$A$2:$C$285,2,FALSE)</f>
        <v>JSP_north_P1</v>
      </c>
      <c r="D144" t="str">
        <f>VLOOKUP(B144,[1]Plantings!$A$2:$C$285,3,FALSE)</f>
        <v>single</v>
      </c>
      <c r="E144" s="9">
        <v>2017</v>
      </c>
      <c r="F144" s="9"/>
      <c r="G144" t="s">
        <v>1003</v>
      </c>
      <c r="H144" s="9" t="s">
        <v>301</v>
      </c>
      <c r="I144" t="s">
        <v>957</v>
      </c>
      <c r="J144" s="9" t="s">
        <v>1227</v>
      </c>
      <c r="K144" s="9" t="s">
        <v>971</v>
      </c>
      <c r="L144" s="9" t="s">
        <v>1065</v>
      </c>
      <c r="M144" s="9"/>
      <c r="N144" s="9"/>
      <c r="O144" s="9"/>
      <c r="P144" s="9"/>
      <c r="Q144" s="9"/>
      <c r="R144" s="9" t="s">
        <v>966</v>
      </c>
      <c r="S144" s="52" t="s">
        <v>998</v>
      </c>
      <c r="T144" s="59">
        <v>42881</v>
      </c>
      <c r="U144" s="201"/>
      <c r="V144" s="201"/>
      <c r="W144" t="str">
        <f>VLOOKUP(B144,[1]Plantings!$A$2:$E$285,4,FALSE)</f>
        <v>polygon</v>
      </c>
      <c r="X144" s="43" t="str">
        <f>VLOOKUP(B144,[1]Plantings!$A$2:$E$285,5,FALSE)</f>
        <v>drop</v>
      </c>
      <c r="Y144" s="48" t="s">
        <v>9</v>
      </c>
      <c r="AA144" t="s">
        <v>982</v>
      </c>
      <c r="AB144">
        <v>10</v>
      </c>
      <c r="AC144">
        <v>4</v>
      </c>
      <c r="AD144">
        <f t="shared" si="19"/>
        <v>40</v>
      </c>
      <c r="AE144">
        <v>1.25</v>
      </c>
      <c r="AF144" s="46">
        <f t="shared" si="18"/>
        <v>7.5000000000000011E-2</v>
      </c>
      <c r="AG144" s="47">
        <v>3</v>
      </c>
      <c r="AH144" s="47">
        <v>90</v>
      </c>
      <c r="AI144" s="45">
        <f t="shared" si="16"/>
        <v>2.25</v>
      </c>
      <c r="AJ144" s="45">
        <f t="shared" si="17"/>
        <v>72</v>
      </c>
      <c r="AK144" t="s">
        <v>1021</v>
      </c>
      <c r="AL144" s="51"/>
    </row>
    <row r="145" spans="1:38" x14ac:dyDescent="0.25">
      <c r="A145" s="9" t="s">
        <v>1157</v>
      </c>
      <c r="B145" s="9" t="s">
        <v>1233</v>
      </c>
      <c r="C145" t="str">
        <f>VLOOKUP(B145,[1]Plantings!$A$2:$C$285,2,FALSE)</f>
        <v>JSP_mid_P1</v>
      </c>
      <c r="D145" t="str">
        <f>VLOOKUP(B145,[1]Plantings!$A$2:$C$285,3,FALSE)</f>
        <v>single</v>
      </c>
      <c r="E145" s="9">
        <v>2017</v>
      </c>
      <c r="F145" s="9"/>
      <c r="G145" t="s">
        <v>1003</v>
      </c>
      <c r="H145" s="9" t="s">
        <v>301</v>
      </c>
      <c r="I145" t="s">
        <v>957</v>
      </c>
      <c r="J145" s="9" t="s">
        <v>1227</v>
      </c>
      <c r="K145" s="9" t="s">
        <v>971</v>
      </c>
      <c r="L145" s="9" t="s">
        <v>1065</v>
      </c>
      <c r="M145" s="9"/>
      <c r="N145" s="9"/>
      <c r="O145" s="9"/>
      <c r="P145" s="9"/>
      <c r="Q145" s="9"/>
      <c r="R145" s="9" t="s">
        <v>966</v>
      </c>
      <c r="S145" s="9" t="s">
        <v>966</v>
      </c>
      <c r="T145" s="59">
        <v>42881</v>
      </c>
      <c r="U145" s="201">
        <v>47.222769999999997</v>
      </c>
      <c r="V145" s="201">
        <v>-122.81052</v>
      </c>
      <c r="W145" t="str">
        <f>VLOOKUP(B145,[1]Plantings!$A$2:$E$285,4,FALSE)</f>
        <v>polygon</v>
      </c>
      <c r="X145" s="43" t="str">
        <f>VLOOKUP(B145,[1]Plantings!$A$2:$E$285,5,FALSE)</f>
        <v>drop</v>
      </c>
      <c r="Y145" s="48" t="s">
        <v>9</v>
      </c>
      <c r="AA145" t="s">
        <v>1052</v>
      </c>
      <c r="AB145">
        <v>10</v>
      </c>
      <c r="AC145">
        <v>4</v>
      </c>
      <c r="AD145">
        <f t="shared" si="19"/>
        <v>40</v>
      </c>
      <c r="AE145">
        <v>1.25</v>
      </c>
      <c r="AF145" s="46">
        <f t="shared" si="18"/>
        <v>0.1875</v>
      </c>
      <c r="AG145" s="47">
        <v>3</v>
      </c>
      <c r="AH145" s="47">
        <v>90</v>
      </c>
      <c r="AI145" s="45">
        <f t="shared" si="16"/>
        <v>2.25</v>
      </c>
      <c r="AJ145" s="45">
        <f t="shared" si="17"/>
        <v>72</v>
      </c>
      <c r="AK145" t="s">
        <v>1021</v>
      </c>
      <c r="AL145" s="51" t="s">
        <v>1228</v>
      </c>
    </row>
    <row r="146" spans="1:38" x14ac:dyDescent="0.25">
      <c r="A146" s="9" t="s">
        <v>1157</v>
      </c>
      <c r="B146" s="9" t="s">
        <v>1234</v>
      </c>
      <c r="C146" t="str">
        <f>VLOOKUP(B146,[1]Plantings!$A$2:$C$285,2,FALSE)</f>
        <v>JSP_mid_P1</v>
      </c>
      <c r="D146" t="str">
        <f>VLOOKUP(B146,[1]Plantings!$A$2:$C$285,3,FALSE)</f>
        <v>single</v>
      </c>
      <c r="E146" s="9">
        <v>2017</v>
      </c>
      <c r="F146" s="9"/>
      <c r="G146" t="s">
        <v>1003</v>
      </c>
      <c r="H146" s="9" t="s">
        <v>301</v>
      </c>
      <c r="I146" t="s">
        <v>957</v>
      </c>
      <c r="J146" s="9" t="s">
        <v>1227</v>
      </c>
      <c r="K146" s="9" t="s">
        <v>971</v>
      </c>
      <c r="L146" s="9" t="s">
        <v>1065</v>
      </c>
      <c r="M146" s="9"/>
      <c r="N146" s="9"/>
      <c r="O146" s="9"/>
      <c r="P146" s="9"/>
      <c r="Q146" s="9"/>
      <c r="R146" s="9" t="s">
        <v>966</v>
      </c>
      <c r="S146" s="52" t="s">
        <v>998</v>
      </c>
      <c r="T146" s="59">
        <v>42881</v>
      </c>
      <c r="U146" s="201"/>
      <c r="V146" s="201"/>
      <c r="W146" t="str">
        <f>VLOOKUP(B146,[1]Plantings!$A$2:$E$285,4,FALSE)</f>
        <v>polygon</v>
      </c>
      <c r="X146" s="43" t="str">
        <f>VLOOKUP(B146,[1]Plantings!$A$2:$E$285,5,FALSE)</f>
        <v>drop</v>
      </c>
      <c r="Y146" s="48" t="s">
        <v>9</v>
      </c>
      <c r="AA146" t="s">
        <v>1230</v>
      </c>
      <c r="AB146">
        <v>10</v>
      </c>
      <c r="AC146">
        <v>4</v>
      </c>
      <c r="AD146">
        <f t="shared" si="19"/>
        <v>40</v>
      </c>
      <c r="AE146">
        <v>1.25</v>
      </c>
      <c r="AF146" s="46">
        <f t="shared" si="18"/>
        <v>2.2499999999999999E-2</v>
      </c>
      <c r="AG146" s="47">
        <v>9</v>
      </c>
      <c r="AH146" s="47">
        <v>90</v>
      </c>
      <c r="AI146" s="45">
        <f t="shared" si="16"/>
        <v>2.25</v>
      </c>
      <c r="AJ146" s="45">
        <f t="shared" si="17"/>
        <v>72</v>
      </c>
      <c r="AK146" t="s">
        <v>1021</v>
      </c>
      <c r="AL146" s="51"/>
    </row>
    <row r="147" spans="1:38" x14ac:dyDescent="0.25">
      <c r="A147" s="9" t="s">
        <v>1157</v>
      </c>
      <c r="B147" s="9" t="s">
        <v>1235</v>
      </c>
      <c r="C147" t="str">
        <f>VLOOKUP(B147,[1]Plantings!$A$2:$C$285,2,FALSE)</f>
        <v>JSP_mid_P1</v>
      </c>
      <c r="D147" t="str">
        <f>VLOOKUP(B147,[1]Plantings!$A$2:$C$285,3,FALSE)</f>
        <v>single</v>
      </c>
      <c r="E147" s="9">
        <v>2017</v>
      </c>
      <c r="F147" s="9"/>
      <c r="G147" t="s">
        <v>1003</v>
      </c>
      <c r="H147" s="9" t="s">
        <v>301</v>
      </c>
      <c r="I147" t="s">
        <v>957</v>
      </c>
      <c r="J147" s="9" t="s">
        <v>1227</v>
      </c>
      <c r="K147" s="9" t="s">
        <v>971</v>
      </c>
      <c r="L147" s="9" t="s">
        <v>1065</v>
      </c>
      <c r="M147" s="9"/>
      <c r="N147" s="9"/>
      <c r="O147" s="9"/>
      <c r="P147" s="9"/>
      <c r="Q147" s="9"/>
      <c r="R147" s="9" t="s">
        <v>966</v>
      </c>
      <c r="S147" s="52" t="s">
        <v>998</v>
      </c>
      <c r="T147" s="59">
        <v>42881</v>
      </c>
      <c r="U147" s="201">
        <v>47.222839999999998</v>
      </c>
      <c r="V147" s="201">
        <v>-122.81056</v>
      </c>
      <c r="W147" t="str">
        <f>VLOOKUP(B147,[1]Plantings!$A$2:$E$285,4,FALSE)</f>
        <v>polygon</v>
      </c>
      <c r="X147" s="43" t="str">
        <f>VLOOKUP(B147,[1]Plantings!$A$2:$E$285,5,FALSE)</f>
        <v>drop</v>
      </c>
      <c r="Y147" s="48" t="s">
        <v>9</v>
      </c>
      <c r="AA147" t="s">
        <v>967</v>
      </c>
      <c r="AB147">
        <v>10</v>
      </c>
      <c r="AC147">
        <v>4</v>
      </c>
      <c r="AD147">
        <f t="shared" si="19"/>
        <v>40</v>
      </c>
      <c r="AE147">
        <v>1.25</v>
      </c>
      <c r="AF147" s="46">
        <f t="shared" si="18"/>
        <v>4.4999999999999998E-2</v>
      </c>
      <c r="AG147" s="47">
        <v>9</v>
      </c>
      <c r="AH147" s="47">
        <v>90</v>
      </c>
      <c r="AI147" s="45">
        <f t="shared" si="16"/>
        <v>2.25</v>
      </c>
      <c r="AJ147" s="45">
        <f t="shared" si="17"/>
        <v>72</v>
      </c>
      <c r="AK147" t="s">
        <v>1021</v>
      </c>
      <c r="AL147" s="51"/>
    </row>
    <row r="148" spans="1:38" x14ac:dyDescent="0.25">
      <c r="A148" s="9" t="s">
        <v>1157</v>
      </c>
      <c r="B148" s="9" t="s">
        <v>1236</v>
      </c>
      <c r="C148" t="str">
        <f>VLOOKUP(B148,[1]Plantings!$A$2:$C$285,2,FALSE)</f>
        <v>JSP_mid_P1</v>
      </c>
      <c r="D148" t="str">
        <f>VLOOKUP(B148,[1]Plantings!$A$2:$C$285,3,FALSE)</f>
        <v>single</v>
      </c>
      <c r="E148" s="9">
        <v>2017</v>
      </c>
      <c r="F148" s="9"/>
      <c r="G148" t="s">
        <v>1003</v>
      </c>
      <c r="H148" s="9" t="s">
        <v>301</v>
      </c>
      <c r="I148" t="s">
        <v>957</v>
      </c>
      <c r="J148" s="9" t="s">
        <v>1227</v>
      </c>
      <c r="K148" s="9" t="s">
        <v>971</v>
      </c>
      <c r="L148" s="9" t="s">
        <v>1065</v>
      </c>
      <c r="M148" s="9"/>
      <c r="N148" s="9"/>
      <c r="O148" s="9"/>
      <c r="P148" s="9"/>
      <c r="Q148" s="9"/>
      <c r="R148" s="9" t="s">
        <v>966</v>
      </c>
      <c r="S148" s="52" t="s">
        <v>998</v>
      </c>
      <c r="T148" s="59">
        <v>42881</v>
      </c>
      <c r="U148" s="201"/>
      <c r="V148" s="201"/>
      <c r="W148" t="str">
        <f>VLOOKUP(B148,[1]Plantings!$A$2:$E$285,4,FALSE)</f>
        <v>polygon</v>
      </c>
      <c r="X148" s="43" t="str">
        <f>VLOOKUP(B148,[1]Plantings!$A$2:$E$285,5,FALSE)</f>
        <v>drop</v>
      </c>
      <c r="Y148" s="48" t="s">
        <v>9</v>
      </c>
      <c r="AA148" t="s">
        <v>982</v>
      </c>
      <c r="AB148">
        <v>10</v>
      </c>
      <c r="AC148">
        <v>4</v>
      </c>
      <c r="AD148">
        <f t="shared" si="19"/>
        <v>40</v>
      </c>
      <c r="AE148">
        <v>1.25</v>
      </c>
      <c r="AF148" s="46">
        <f t="shared" si="18"/>
        <v>7.5000000000000011E-2</v>
      </c>
      <c r="AG148" s="47">
        <v>3</v>
      </c>
      <c r="AH148" s="47">
        <v>90</v>
      </c>
      <c r="AI148" s="45">
        <f t="shared" si="16"/>
        <v>2.25</v>
      </c>
      <c r="AJ148" s="45">
        <f t="shared" si="17"/>
        <v>72</v>
      </c>
      <c r="AK148" t="s">
        <v>1021</v>
      </c>
      <c r="AL148" s="51"/>
    </row>
    <row r="149" spans="1:38" x14ac:dyDescent="0.25">
      <c r="A149" s="9" t="s">
        <v>1157</v>
      </c>
      <c r="B149" s="9" t="s">
        <v>1237</v>
      </c>
      <c r="C149" t="str">
        <f>VLOOKUP(B149,[1]Plantings!$A$2:$C$285,2,FALSE)</f>
        <v>JSP_south_P5</v>
      </c>
      <c r="D149" t="str">
        <f>VLOOKUP(B149,[1]Plantings!$A$2:$C$285,3,FALSE)</f>
        <v>single</v>
      </c>
      <c r="E149" s="9">
        <v>2017</v>
      </c>
      <c r="F149" s="9"/>
      <c r="G149" t="s">
        <v>1003</v>
      </c>
      <c r="H149" s="9" t="s">
        <v>301</v>
      </c>
      <c r="I149" t="s">
        <v>957</v>
      </c>
      <c r="J149" s="9" t="s">
        <v>1227</v>
      </c>
      <c r="K149" s="9" t="s">
        <v>971</v>
      </c>
      <c r="L149" s="9" t="s">
        <v>1065</v>
      </c>
      <c r="M149" s="9"/>
      <c r="N149" s="9"/>
      <c r="O149" s="9"/>
      <c r="P149" s="9"/>
      <c r="Q149" s="9"/>
      <c r="R149" s="9" t="s">
        <v>966</v>
      </c>
      <c r="S149" s="9" t="s">
        <v>966</v>
      </c>
      <c r="T149" s="59">
        <v>42881</v>
      </c>
      <c r="U149" s="201">
        <v>47.221080000000001</v>
      </c>
      <c r="V149" s="201">
        <v>-122.80929</v>
      </c>
      <c r="W149" t="str">
        <f>VLOOKUP(B149,[1]Plantings!$A$2:$E$285,4,FALSE)</f>
        <v>point</v>
      </c>
      <c r="X149" s="43" t="str">
        <f>VLOOKUP(B149,[1]Plantings!$A$2:$E$285,5,FALSE)</f>
        <v>retain</v>
      </c>
      <c r="Y149" s="48" t="s">
        <v>9</v>
      </c>
      <c r="AA149" t="s">
        <v>1052</v>
      </c>
      <c r="AB149">
        <v>10</v>
      </c>
      <c r="AC149">
        <v>4</v>
      </c>
      <c r="AD149">
        <f t="shared" si="19"/>
        <v>40</v>
      </c>
      <c r="AE149">
        <v>1.25</v>
      </c>
      <c r="AF149" s="46">
        <f t="shared" si="18"/>
        <v>0.1875</v>
      </c>
      <c r="AG149" s="47">
        <v>3</v>
      </c>
      <c r="AH149" s="47">
        <v>90</v>
      </c>
      <c r="AI149" s="45">
        <f t="shared" si="16"/>
        <v>2.25</v>
      </c>
      <c r="AJ149" s="45">
        <f t="shared" si="17"/>
        <v>72</v>
      </c>
      <c r="AK149" t="s">
        <v>1021</v>
      </c>
      <c r="AL149" s="51" t="s">
        <v>1228</v>
      </c>
    </row>
    <row r="150" spans="1:38" x14ac:dyDescent="0.25">
      <c r="A150" s="9" t="s">
        <v>1157</v>
      </c>
      <c r="B150" s="9" t="s">
        <v>1238</v>
      </c>
      <c r="C150" t="str">
        <f>VLOOKUP(B150,[1]Plantings!$A$2:$C$285,2,FALSE)</f>
        <v>JSP_south_P5</v>
      </c>
      <c r="D150" t="str">
        <f>VLOOKUP(B150,[1]Plantings!$A$2:$C$285,3,FALSE)</f>
        <v>single</v>
      </c>
      <c r="E150" s="9">
        <v>2017</v>
      </c>
      <c r="F150" s="9"/>
      <c r="G150" t="s">
        <v>1003</v>
      </c>
      <c r="H150" s="9" t="s">
        <v>301</v>
      </c>
      <c r="I150" t="s">
        <v>957</v>
      </c>
      <c r="J150" s="9" t="s">
        <v>1227</v>
      </c>
      <c r="K150" s="9" t="s">
        <v>971</v>
      </c>
      <c r="L150" s="9" t="s">
        <v>1065</v>
      </c>
      <c r="M150" s="9"/>
      <c r="N150" s="9"/>
      <c r="O150" s="9"/>
      <c r="P150" s="9"/>
      <c r="Q150" s="9"/>
      <c r="R150" s="9" t="s">
        <v>966</v>
      </c>
      <c r="S150" s="52" t="s">
        <v>998</v>
      </c>
      <c r="T150" s="59">
        <v>42881</v>
      </c>
      <c r="U150" s="201">
        <v>47.221069999999997</v>
      </c>
      <c r="V150" s="201">
        <v>-122.80933</v>
      </c>
      <c r="W150" t="str">
        <f>VLOOKUP(B150,[1]Plantings!$A$2:$E$285,4,FALSE)</f>
        <v>point</v>
      </c>
      <c r="X150" s="43" t="str">
        <f>VLOOKUP(B150,[1]Plantings!$A$2:$E$285,5,FALSE)</f>
        <v>retain</v>
      </c>
      <c r="Y150" s="48" t="s">
        <v>9</v>
      </c>
      <c r="AA150" t="s">
        <v>1230</v>
      </c>
      <c r="AB150">
        <v>10</v>
      </c>
      <c r="AC150">
        <v>4</v>
      </c>
      <c r="AD150">
        <f t="shared" si="19"/>
        <v>40</v>
      </c>
      <c r="AE150">
        <v>1.25</v>
      </c>
      <c r="AF150" s="46">
        <f t="shared" si="18"/>
        <v>2.2499999999999999E-2</v>
      </c>
      <c r="AG150" s="47">
        <v>9</v>
      </c>
      <c r="AH150" s="47">
        <v>90</v>
      </c>
      <c r="AI150" s="45">
        <f t="shared" si="16"/>
        <v>2.25</v>
      </c>
      <c r="AJ150" s="45">
        <f t="shared" si="17"/>
        <v>72</v>
      </c>
      <c r="AK150" t="s">
        <v>1021</v>
      </c>
      <c r="AL150" s="51"/>
    </row>
    <row r="151" spans="1:38" x14ac:dyDescent="0.25">
      <c r="A151" s="9" t="s">
        <v>1157</v>
      </c>
      <c r="B151" s="9" t="s">
        <v>1239</v>
      </c>
      <c r="C151" t="str">
        <f>VLOOKUP(B151,[1]Plantings!$A$2:$C$285,2,FALSE)</f>
        <v>JSP_south_P5</v>
      </c>
      <c r="D151" t="str">
        <f>VLOOKUP(B151,[1]Plantings!$A$2:$C$285,3,FALSE)</f>
        <v>single</v>
      </c>
      <c r="E151" s="9">
        <v>2017</v>
      </c>
      <c r="F151" s="9"/>
      <c r="G151" t="s">
        <v>1003</v>
      </c>
      <c r="H151" s="9" t="s">
        <v>301</v>
      </c>
      <c r="I151" t="s">
        <v>957</v>
      </c>
      <c r="J151" s="9" t="s">
        <v>1227</v>
      </c>
      <c r="K151" s="9" t="s">
        <v>971</v>
      </c>
      <c r="L151" s="9" t="s">
        <v>1065</v>
      </c>
      <c r="M151" s="9"/>
      <c r="N151" s="9"/>
      <c r="O151" s="9"/>
      <c r="P151" s="9"/>
      <c r="Q151" s="9"/>
      <c r="R151" s="9" t="s">
        <v>966</v>
      </c>
      <c r="S151" s="52" t="s">
        <v>998</v>
      </c>
      <c r="T151" s="59">
        <v>42881</v>
      </c>
      <c r="U151" s="201">
        <v>47.221179999999997</v>
      </c>
      <c r="V151" s="201">
        <v>-122.80933</v>
      </c>
      <c r="W151" t="str">
        <f>VLOOKUP(B151,[1]Plantings!$A$2:$E$285,4,FALSE)</f>
        <v>point</v>
      </c>
      <c r="X151" s="43" t="str">
        <f>VLOOKUP(B151,[1]Plantings!$A$2:$E$285,5,FALSE)</f>
        <v>retain</v>
      </c>
      <c r="Y151" s="48" t="s">
        <v>9</v>
      </c>
      <c r="AA151" t="s">
        <v>967</v>
      </c>
      <c r="AB151">
        <v>10</v>
      </c>
      <c r="AC151">
        <v>4</v>
      </c>
      <c r="AD151">
        <f t="shared" si="19"/>
        <v>40</v>
      </c>
      <c r="AE151">
        <v>1.25</v>
      </c>
      <c r="AF151" s="46">
        <f t="shared" si="18"/>
        <v>4.4999999999999998E-2</v>
      </c>
      <c r="AG151" s="47">
        <v>9</v>
      </c>
      <c r="AH151" s="47">
        <v>90</v>
      </c>
      <c r="AI151" s="45">
        <f t="shared" si="16"/>
        <v>2.25</v>
      </c>
      <c r="AJ151" s="45">
        <f t="shared" si="17"/>
        <v>72</v>
      </c>
      <c r="AK151" t="s">
        <v>1021</v>
      </c>
      <c r="AL151" s="51"/>
    </row>
    <row r="152" spans="1:38" x14ac:dyDescent="0.25">
      <c r="A152" s="9" t="s">
        <v>1157</v>
      </c>
      <c r="B152" s="9" t="s">
        <v>1240</v>
      </c>
      <c r="C152" t="str">
        <f>VLOOKUP(B152,[1]Plantings!$A$2:$C$285,2,FALSE)</f>
        <v>JSP_south_P5</v>
      </c>
      <c r="D152" t="str">
        <f>VLOOKUP(B152,[1]Plantings!$A$2:$C$285,3,FALSE)</f>
        <v>single</v>
      </c>
      <c r="E152" s="9">
        <v>2017</v>
      </c>
      <c r="F152" s="9"/>
      <c r="G152" t="s">
        <v>1003</v>
      </c>
      <c r="H152" s="9" t="s">
        <v>301</v>
      </c>
      <c r="I152" t="s">
        <v>957</v>
      </c>
      <c r="J152" s="9" t="s">
        <v>1227</v>
      </c>
      <c r="K152" s="9" t="s">
        <v>971</v>
      </c>
      <c r="L152" s="9" t="s">
        <v>1065</v>
      </c>
      <c r="M152" s="9"/>
      <c r="N152" s="9"/>
      <c r="O152" s="9"/>
      <c r="P152" s="9"/>
      <c r="Q152" s="9"/>
      <c r="R152" s="9" t="s">
        <v>966</v>
      </c>
      <c r="S152" s="52" t="s">
        <v>998</v>
      </c>
      <c r="T152" s="59">
        <v>42881</v>
      </c>
      <c r="U152" s="201">
        <v>47.221110000000003</v>
      </c>
      <c r="V152" s="201">
        <v>-122.80936</v>
      </c>
      <c r="W152" t="str">
        <f>VLOOKUP(B152,[1]Plantings!$A$2:$E$285,4,FALSE)</f>
        <v>point</v>
      </c>
      <c r="X152" s="43" t="str">
        <f>VLOOKUP(B152,[1]Plantings!$A$2:$E$285,5,FALSE)</f>
        <v>retain</v>
      </c>
      <c r="Y152" s="48" t="s">
        <v>9</v>
      </c>
      <c r="AA152" t="s">
        <v>982</v>
      </c>
      <c r="AB152">
        <v>10</v>
      </c>
      <c r="AC152">
        <v>4</v>
      </c>
      <c r="AD152">
        <f t="shared" si="19"/>
        <v>40</v>
      </c>
      <c r="AE152">
        <v>1.25</v>
      </c>
      <c r="AF152" s="46">
        <f t="shared" si="18"/>
        <v>7.5000000000000011E-2</v>
      </c>
      <c r="AG152" s="47">
        <v>3</v>
      </c>
      <c r="AH152" s="47">
        <v>90</v>
      </c>
      <c r="AI152" s="45">
        <f t="shared" ref="AI152:AI215" si="21">IFERROR(AH152/AD152, "")</f>
        <v>2.25</v>
      </c>
      <c r="AJ152" s="45">
        <f t="shared" ref="AJ152:AJ215" si="22">IFERROR(AH152/AE152, "")</f>
        <v>72</v>
      </c>
      <c r="AK152" t="s">
        <v>1021</v>
      </c>
      <c r="AL152" s="51"/>
    </row>
    <row r="153" spans="1:38" x14ac:dyDescent="0.25">
      <c r="A153" s="62" t="s">
        <v>1157</v>
      </c>
      <c r="B153" t="s">
        <v>1241</v>
      </c>
      <c r="C153" t="str">
        <f>VLOOKUP(B153,[1]Plantings!$A$2:$C$285,2,FALSE)</f>
        <v>JSP_mid_south_2</v>
      </c>
      <c r="D153" t="str">
        <f>VLOOKUP(B153,[1]Plantings!$A$2:$C$285,3,FALSE)</f>
        <v>single</v>
      </c>
      <c r="E153" s="9">
        <v>2017</v>
      </c>
      <c r="F153" s="9"/>
      <c r="G153" t="s">
        <v>7</v>
      </c>
      <c r="H153" s="9" t="s">
        <v>301</v>
      </c>
      <c r="I153" t="s">
        <v>957</v>
      </c>
      <c r="J153" s="9" t="s">
        <v>971</v>
      </c>
      <c r="K153" s="9" t="s">
        <v>971</v>
      </c>
      <c r="L153" s="9" t="s">
        <v>1065</v>
      </c>
      <c r="M153" s="9"/>
      <c r="N153" s="9"/>
      <c r="O153" s="9"/>
      <c r="P153" s="9"/>
      <c r="Q153" s="9"/>
      <c r="R153" s="9" t="s">
        <v>966</v>
      </c>
      <c r="S153" s="52" t="s">
        <v>966</v>
      </c>
      <c r="T153" s="59">
        <v>42883</v>
      </c>
      <c r="U153" s="201"/>
      <c r="V153" s="201"/>
      <c r="W153" t="str">
        <f>VLOOKUP(B153,[1]Plantings!$A$2:$E$285,4,FALSE)</f>
        <v>point</v>
      </c>
      <c r="X153" s="43" t="str">
        <f>VLOOKUP(B153,[1]Plantings!$A$2:$E$285,5,FALSE)</f>
        <v>drop</v>
      </c>
      <c r="Y153" s="48" t="s">
        <v>9</v>
      </c>
      <c r="AA153" t="s">
        <v>982</v>
      </c>
      <c r="AB153">
        <v>4</v>
      </c>
      <c r="AC153">
        <v>0.25</v>
      </c>
      <c r="AD153">
        <f t="shared" si="19"/>
        <v>1</v>
      </c>
      <c r="AE153">
        <f>AG153*0.25</f>
        <v>1</v>
      </c>
      <c r="AF153" s="46">
        <f t="shared" si="18"/>
        <v>0.1</v>
      </c>
      <c r="AG153" s="47">
        <v>4</v>
      </c>
      <c r="AH153" s="47">
        <v>80</v>
      </c>
      <c r="AI153" s="45">
        <f t="shared" si="21"/>
        <v>80</v>
      </c>
      <c r="AJ153" s="45">
        <f t="shared" si="22"/>
        <v>80</v>
      </c>
      <c r="AK153" t="s">
        <v>1021</v>
      </c>
      <c r="AL153" s="51" t="s">
        <v>1242</v>
      </c>
    </row>
    <row r="154" spans="1:38" x14ac:dyDescent="0.25">
      <c r="A154" s="62" t="s">
        <v>1157</v>
      </c>
      <c r="B154" t="s">
        <v>1241</v>
      </c>
      <c r="C154" t="str">
        <f>VLOOKUP(B154,[1]Plantings!$A$2:$C$285,2,FALSE)</f>
        <v>JSP_mid_south_2</v>
      </c>
      <c r="D154" t="str">
        <f>VLOOKUP(B154,[1]Plantings!$A$2:$C$285,3,FALSE)</f>
        <v>single</v>
      </c>
      <c r="E154" s="18">
        <v>2017</v>
      </c>
      <c r="G154" s="9" t="s">
        <v>7</v>
      </c>
      <c r="H154" s="9" t="s">
        <v>301</v>
      </c>
      <c r="I154" t="s">
        <v>957</v>
      </c>
      <c r="J154" s="9" t="s">
        <v>971</v>
      </c>
      <c r="K154" s="9" t="s">
        <v>971</v>
      </c>
      <c r="L154" s="9" t="s">
        <v>1065</v>
      </c>
      <c r="R154" s="9" t="s">
        <v>966</v>
      </c>
      <c r="S154" t="s">
        <v>966</v>
      </c>
      <c r="T154" s="59">
        <v>42883</v>
      </c>
      <c r="W154" t="str">
        <f>VLOOKUP(B154,[1]Plantings!$A$2:$E$285,4,FALSE)</f>
        <v>point</v>
      </c>
      <c r="X154" s="43" t="str">
        <f>VLOOKUP(B154,[1]Plantings!$A$2:$E$285,5,FALSE)</f>
        <v>drop</v>
      </c>
      <c r="Y154" s="48" t="s">
        <v>9</v>
      </c>
      <c r="AA154" t="s">
        <v>982</v>
      </c>
      <c r="AB154">
        <v>4</v>
      </c>
      <c r="AC154">
        <v>0.25</v>
      </c>
      <c r="AD154">
        <f t="shared" si="19"/>
        <v>1</v>
      </c>
      <c r="AE154">
        <f>AG154*0.25</f>
        <v>1</v>
      </c>
      <c r="AF154" s="46">
        <f t="shared" si="18"/>
        <v>0.1</v>
      </c>
      <c r="AG154" s="47">
        <v>4</v>
      </c>
      <c r="AH154" s="66">
        <f>AG154*25</f>
        <v>100</v>
      </c>
      <c r="AI154" s="45">
        <f t="shared" si="21"/>
        <v>100</v>
      </c>
      <c r="AJ154" s="45">
        <f t="shared" si="22"/>
        <v>100</v>
      </c>
      <c r="AK154" t="s">
        <v>1021</v>
      </c>
      <c r="AL154" s="8" t="s">
        <v>1243</v>
      </c>
    </row>
    <row r="155" spans="1:38" x14ac:dyDescent="0.25">
      <c r="A155" s="62" t="s">
        <v>1157</v>
      </c>
      <c r="B155" t="s">
        <v>1241</v>
      </c>
      <c r="C155" t="str">
        <f>VLOOKUP(B155,[1]Plantings!$A$2:$C$285,2,FALSE)</f>
        <v>JSP_mid_south_2</v>
      </c>
      <c r="D155" t="str">
        <f>VLOOKUP(B155,[1]Plantings!$A$2:$C$285,3,FALSE)</f>
        <v>single</v>
      </c>
      <c r="E155" s="18">
        <v>2017</v>
      </c>
      <c r="G155" s="9" t="s">
        <v>7</v>
      </c>
      <c r="H155" s="9" t="s">
        <v>301</v>
      </c>
      <c r="I155" t="s">
        <v>957</v>
      </c>
      <c r="J155" s="9" t="s">
        <v>971</v>
      </c>
      <c r="K155" s="9" t="s">
        <v>971</v>
      </c>
      <c r="L155" s="9" t="s">
        <v>1065</v>
      </c>
      <c r="R155" s="9" t="s">
        <v>966</v>
      </c>
      <c r="S155" t="s">
        <v>966</v>
      </c>
      <c r="T155" s="59">
        <v>42883</v>
      </c>
      <c r="W155" t="str">
        <f>VLOOKUP(B155,[1]Plantings!$A$2:$E$285,4,FALSE)</f>
        <v>point</v>
      </c>
      <c r="X155" s="43" t="str">
        <f>VLOOKUP(B155,[1]Plantings!$A$2:$E$285,5,FALSE)</f>
        <v>drop</v>
      </c>
      <c r="Y155" s="48" t="s">
        <v>9</v>
      </c>
      <c r="AA155" t="s">
        <v>982</v>
      </c>
      <c r="AB155">
        <v>2</v>
      </c>
      <c r="AC155">
        <v>0.25</v>
      </c>
      <c r="AD155">
        <f t="shared" si="19"/>
        <v>0.5</v>
      </c>
      <c r="AE155">
        <f>AG155*0.25</f>
        <v>0.5</v>
      </c>
      <c r="AF155" s="46">
        <f t="shared" si="18"/>
        <v>0.05</v>
      </c>
      <c r="AG155" s="47">
        <v>2</v>
      </c>
      <c r="AH155" s="66">
        <f>AG155*25</f>
        <v>50</v>
      </c>
      <c r="AI155" s="45">
        <f t="shared" si="21"/>
        <v>100</v>
      </c>
      <c r="AJ155" s="45">
        <f t="shared" si="22"/>
        <v>100</v>
      </c>
      <c r="AK155" t="s">
        <v>1021</v>
      </c>
      <c r="AL155" s="8" t="s">
        <v>1244</v>
      </c>
    </row>
    <row r="156" spans="1:38" x14ac:dyDescent="0.25">
      <c r="A156" s="62" t="s">
        <v>1157</v>
      </c>
      <c r="B156" t="s">
        <v>1241</v>
      </c>
      <c r="C156" t="str">
        <f>VLOOKUP(B156,[1]Plantings!$A$2:$C$285,2,FALSE)</f>
        <v>JSP_mid_south_2</v>
      </c>
      <c r="D156" t="str">
        <f>VLOOKUP(B156,[1]Plantings!$A$2:$C$285,3,FALSE)</f>
        <v>single</v>
      </c>
      <c r="E156" s="18">
        <v>2017</v>
      </c>
      <c r="G156" s="9" t="s">
        <v>7</v>
      </c>
      <c r="H156" s="9" t="s">
        <v>301</v>
      </c>
      <c r="I156" t="s">
        <v>957</v>
      </c>
      <c r="J156" s="9" t="s">
        <v>971</v>
      </c>
      <c r="K156" s="9" t="s">
        <v>971</v>
      </c>
      <c r="L156" s="9" t="s">
        <v>1065</v>
      </c>
      <c r="R156" s="9" t="s">
        <v>966</v>
      </c>
      <c r="S156" t="s">
        <v>966</v>
      </c>
      <c r="T156" s="59">
        <v>42883</v>
      </c>
      <c r="W156" t="str">
        <f>VLOOKUP(B156,[1]Plantings!$A$2:$E$285,4,FALSE)</f>
        <v>point</v>
      </c>
      <c r="X156" s="43" t="str">
        <f>VLOOKUP(B156,[1]Plantings!$A$2:$E$285,5,FALSE)</f>
        <v>drop</v>
      </c>
      <c r="Y156" s="48" t="s">
        <v>9</v>
      </c>
      <c r="AA156" t="s">
        <v>1052</v>
      </c>
      <c r="AB156">
        <v>2</v>
      </c>
      <c r="AC156">
        <v>0.25</v>
      </c>
      <c r="AD156">
        <f t="shared" si="19"/>
        <v>0.5</v>
      </c>
      <c r="AE156">
        <v>0.5</v>
      </c>
      <c r="AF156" s="46">
        <f t="shared" si="18"/>
        <v>0.125</v>
      </c>
      <c r="AG156" s="47">
        <v>2</v>
      </c>
      <c r="AH156" s="66">
        <f>AG156*25</f>
        <v>50</v>
      </c>
      <c r="AI156" s="45">
        <f t="shared" si="21"/>
        <v>100</v>
      </c>
      <c r="AJ156" s="45">
        <f t="shared" si="22"/>
        <v>100</v>
      </c>
      <c r="AK156" t="s">
        <v>1021</v>
      </c>
      <c r="AL156" s="8" t="s">
        <v>1245</v>
      </c>
    </row>
    <row r="157" spans="1:38" x14ac:dyDescent="0.25">
      <c r="A157" s="62" t="s">
        <v>1157</v>
      </c>
      <c r="B157" t="s">
        <v>1246</v>
      </c>
      <c r="C157" t="e">
        <f>VLOOKUP(B157,[1]Plantings!$A$2:$C$285,2,FALSE)</f>
        <v>#N/A</v>
      </c>
      <c r="D157" t="e">
        <f>VLOOKUP(B157,[1]Plantings!$A$2:$C$285,3,FALSE)</f>
        <v>#N/A</v>
      </c>
      <c r="E157" s="18">
        <v>2017</v>
      </c>
      <c r="G157" s="9" t="s">
        <v>7</v>
      </c>
      <c r="H157" s="9" t="s">
        <v>301</v>
      </c>
      <c r="I157" t="s">
        <v>957</v>
      </c>
      <c r="J157" s="9" t="s">
        <v>971</v>
      </c>
      <c r="K157" s="9" t="s">
        <v>971</v>
      </c>
      <c r="L157" s="9" t="s">
        <v>1065</v>
      </c>
      <c r="R157" s="9" t="s">
        <v>966</v>
      </c>
      <c r="S157" s="9" t="s">
        <v>966</v>
      </c>
      <c r="T157" s="59">
        <v>42854</v>
      </c>
      <c r="U157">
        <v>47.222461000000003</v>
      </c>
      <c r="V157">
        <v>-122.810239</v>
      </c>
      <c r="W157" t="e">
        <f>VLOOKUP(B157,[1]Plantings!$A$2:$E$285,4,FALSE)</f>
        <v>#N/A</v>
      </c>
      <c r="X157" s="43" t="e">
        <f>VLOOKUP(B157,[1]Plantings!$A$2:$E$285,5,FALSE)</f>
        <v>#N/A</v>
      </c>
      <c r="Y157" s="48" t="s">
        <v>9</v>
      </c>
      <c r="Z157">
        <v>-1.1000000000000001</v>
      </c>
      <c r="AA157" t="s">
        <v>967</v>
      </c>
      <c r="AB157">
        <v>1</v>
      </c>
      <c r="AC157">
        <v>1</v>
      </c>
      <c r="AD157">
        <f t="shared" si="19"/>
        <v>1</v>
      </c>
      <c r="AE157">
        <v>8.0000000000000002E-3</v>
      </c>
      <c r="AF157" s="46">
        <f t="shared" si="18"/>
        <v>1.4999999999999999E-2</v>
      </c>
      <c r="AG157" s="47">
        <v>3</v>
      </c>
      <c r="AH157" s="66">
        <f t="shared" ref="AH157:AH168" si="23">AG157*4</f>
        <v>12</v>
      </c>
      <c r="AI157" s="45">
        <f t="shared" si="21"/>
        <v>12</v>
      </c>
      <c r="AJ157" s="45">
        <f t="shared" si="22"/>
        <v>1500</v>
      </c>
      <c r="AK157" t="s">
        <v>942</v>
      </c>
      <c r="AL157" s="8" t="s">
        <v>1247</v>
      </c>
    </row>
    <row r="158" spans="1:38" x14ac:dyDescent="0.25">
      <c r="A158" s="62" t="s">
        <v>1157</v>
      </c>
      <c r="B158" t="s">
        <v>1248</v>
      </c>
      <c r="C158" t="e">
        <f>VLOOKUP(B158,[1]Plantings!$A$2:$C$285,2,FALSE)</f>
        <v>#N/A</v>
      </c>
      <c r="D158" t="e">
        <f>VLOOKUP(B158,[1]Plantings!$A$2:$C$285,3,FALSE)</f>
        <v>#N/A</v>
      </c>
      <c r="E158" s="18">
        <v>2017</v>
      </c>
      <c r="G158" s="9" t="s">
        <v>7</v>
      </c>
      <c r="H158" s="9" t="s">
        <v>301</v>
      </c>
      <c r="I158" t="s">
        <v>957</v>
      </c>
      <c r="J158" s="9" t="s">
        <v>971</v>
      </c>
      <c r="K158" s="9" t="s">
        <v>971</v>
      </c>
      <c r="L158" s="9" t="s">
        <v>1065</v>
      </c>
      <c r="R158" s="9" t="s">
        <v>966</v>
      </c>
      <c r="S158" s="52" t="s">
        <v>998</v>
      </c>
      <c r="T158" s="59">
        <v>42854</v>
      </c>
      <c r="U158">
        <v>47.222489000000003</v>
      </c>
      <c r="V158">
        <v>-122.81026199999999</v>
      </c>
      <c r="W158" t="e">
        <f>VLOOKUP(B158,[1]Plantings!$A$2:$E$285,4,FALSE)</f>
        <v>#N/A</v>
      </c>
      <c r="X158" s="43" t="e">
        <f>VLOOKUP(B158,[1]Plantings!$A$2:$E$285,5,FALSE)</f>
        <v>#N/A</v>
      </c>
      <c r="Y158" s="48" t="s">
        <v>9</v>
      </c>
      <c r="AA158" t="s">
        <v>967</v>
      </c>
      <c r="AB158">
        <v>1</v>
      </c>
      <c r="AC158">
        <v>1</v>
      </c>
      <c r="AD158">
        <f t="shared" si="19"/>
        <v>1</v>
      </c>
      <c r="AE158">
        <v>8.0000000000000002E-3</v>
      </c>
      <c r="AF158" s="46">
        <f t="shared" si="18"/>
        <v>1.4999999999999999E-2</v>
      </c>
      <c r="AG158" s="47">
        <v>3</v>
      </c>
      <c r="AH158" s="66">
        <f t="shared" si="23"/>
        <v>12</v>
      </c>
      <c r="AI158" s="45">
        <f t="shared" si="21"/>
        <v>12</v>
      </c>
      <c r="AJ158" s="45">
        <f t="shared" si="22"/>
        <v>1500</v>
      </c>
      <c r="AK158" t="s">
        <v>942</v>
      </c>
      <c r="AL158" s="8" t="s">
        <v>1247</v>
      </c>
    </row>
    <row r="159" spans="1:38" x14ac:dyDescent="0.25">
      <c r="A159" s="62" t="s">
        <v>1157</v>
      </c>
      <c r="B159" t="s">
        <v>1249</v>
      </c>
      <c r="C159" t="e">
        <f>VLOOKUP(B159,[1]Plantings!$A$2:$C$285,2,FALSE)</f>
        <v>#N/A</v>
      </c>
      <c r="D159" t="e">
        <f>VLOOKUP(B159,[1]Plantings!$A$2:$C$285,3,FALSE)</f>
        <v>#N/A</v>
      </c>
      <c r="E159" s="18">
        <v>2017</v>
      </c>
      <c r="G159" s="9" t="s">
        <v>7</v>
      </c>
      <c r="H159" s="9" t="s">
        <v>301</v>
      </c>
      <c r="I159" t="s">
        <v>957</v>
      </c>
      <c r="J159" s="9" t="s">
        <v>971</v>
      </c>
      <c r="K159" s="9" t="s">
        <v>971</v>
      </c>
      <c r="L159" s="9" t="s">
        <v>1065</v>
      </c>
      <c r="R159" s="9" t="s">
        <v>966</v>
      </c>
      <c r="S159" s="52" t="s">
        <v>998</v>
      </c>
      <c r="T159" s="59">
        <v>42854</v>
      </c>
      <c r="U159">
        <v>47.222512000000002</v>
      </c>
      <c r="V159">
        <v>-122.810267</v>
      </c>
      <c r="W159" t="e">
        <f>VLOOKUP(B159,[1]Plantings!$A$2:$E$285,4,FALSE)</f>
        <v>#N/A</v>
      </c>
      <c r="X159" s="43" t="e">
        <f>VLOOKUP(B159,[1]Plantings!$A$2:$E$285,5,FALSE)</f>
        <v>#N/A</v>
      </c>
      <c r="Y159" s="48" t="s">
        <v>9</v>
      </c>
      <c r="AA159" t="s">
        <v>967</v>
      </c>
      <c r="AB159">
        <v>1</v>
      </c>
      <c r="AC159">
        <v>1</v>
      </c>
      <c r="AD159">
        <f t="shared" si="19"/>
        <v>1</v>
      </c>
      <c r="AE159">
        <v>8.0000000000000002E-3</v>
      </c>
      <c r="AF159" s="46">
        <f t="shared" si="18"/>
        <v>1.4999999999999999E-2</v>
      </c>
      <c r="AG159" s="47">
        <v>3</v>
      </c>
      <c r="AH159" s="66">
        <f t="shared" si="23"/>
        <v>12</v>
      </c>
      <c r="AI159" s="45">
        <f t="shared" si="21"/>
        <v>12</v>
      </c>
      <c r="AJ159" s="45">
        <f t="shared" si="22"/>
        <v>1500</v>
      </c>
      <c r="AK159" t="s">
        <v>942</v>
      </c>
      <c r="AL159" s="8" t="s">
        <v>1247</v>
      </c>
    </row>
    <row r="160" spans="1:38" x14ac:dyDescent="0.25">
      <c r="A160" s="62" t="s">
        <v>1157</v>
      </c>
      <c r="B160" t="s">
        <v>1250</v>
      </c>
      <c r="C160" t="e">
        <f>VLOOKUP(B160,[1]Plantings!$A$2:$C$285,2,FALSE)</f>
        <v>#N/A</v>
      </c>
      <c r="D160" t="e">
        <f>VLOOKUP(B160,[1]Plantings!$A$2:$C$285,3,FALSE)</f>
        <v>#N/A</v>
      </c>
      <c r="E160" s="18">
        <v>2017</v>
      </c>
      <c r="G160" s="9" t="s">
        <v>7</v>
      </c>
      <c r="H160" s="9" t="s">
        <v>301</v>
      </c>
      <c r="I160" t="s">
        <v>957</v>
      </c>
      <c r="J160" s="9" t="s">
        <v>971</v>
      </c>
      <c r="K160" s="9" t="s">
        <v>971</v>
      </c>
      <c r="L160" s="9" t="s">
        <v>1065</v>
      </c>
      <c r="R160" s="9" t="s">
        <v>966</v>
      </c>
      <c r="S160" s="52" t="s">
        <v>998</v>
      </c>
      <c r="T160" s="59">
        <v>42854</v>
      </c>
      <c r="U160">
        <v>47.222541999999997</v>
      </c>
      <c r="V160">
        <v>-122.81027899999999</v>
      </c>
      <c r="W160" t="e">
        <f>VLOOKUP(B160,[1]Plantings!$A$2:$E$285,4,FALSE)</f>
        <v>#N/A</v>
      </c>
      <c r="X160" s="43" t="e">
        <f>VLOOKUP(B160,[1]Plantings!$A$2:$E$285,5,FALSE)</f>
        <v>#N/A</v>
      </c>
      <c r="Y160" s="48" t="s">
        <v>9</v>
      </c>
      <c r="AA160" t="s">
        <v>967</v>
      </c>
      <c r="AB160">
        <v>1</v>
      </c>
      <c r="AC160">
        <v>1</v>
      </c>
      <c r="AD160">
        <f t="shared" si="19"/>
        <v>1</v>
      </c>
      <c r="AE160">
        <v>8.0000000000000002E-3</v>
      </c>
      <c r="AF160" s="46">
        <f t="shared" si="18"/>
        <v>1.4999999999999999E-2</v>
      </c>
      <c r="AG160" s="47">
        <v>3</v>
      </c>
      <c r="AH160" s="66">
        <f t="shared" si="23"/>
        <v>12</v>
      </c>
      <c r="AI160" s="45">
        <f t="shared" si="21"/>
        <v>12</v>
      </c>
      <c r="AJ160" s="45">
        <f t="shared" si="22"/>
        <v>1500</v>
      </c>
      <c r="AK160" t="s">
        <v>942</v>
      </c>
      <c r="AL160" s="8" t="s">
        <v>1247</v>
      </c>
    </row>
    <row r="161" spans="1:38" x14ac:dyDescent="0.25">
      <c r="A161" s="62" t="s">
        <v>1157</v>
      </c>
      <c r="B161" t="s">
        <v>1251</v>
      </c>
      <c r="C161" t="e">
        <f>VLOOKUP(B161,[1]Plantings!$A$2:$C$285,2,FALSE)</f>
        <v>#N/A</v>
      </c>
      <c r="D161" t="e">
        <f>VLOOKUP(B161,[1]Plantings!$A$2:$C$285,3,FALSE)</f>
        <v>#N/A</v>
      </c>
      <c r="E161" s="18">
        <v>2017</v>
      </c>
      <c r="G161" s="9" t="s">
        <v>7</v>
      </c>
      <c r="H161" s="9" t="s">
        <v>301</v>
      </c>
      <c r="I161" t="s">
        <v>957</v>
      </c>
      <c r="J161" s="9" t="s">
        <v>971</v>
      </c>
      <c r="K161" s="9" t="s">
        <v>971</v>
      </c>
      <c r="L161" s="9" t="s">
        <v>1065</v>
      </c>
      <c r="R161" s="9" t="s">
        <v>966</v>
      </c>
      <c r="S161" s="52" t="s">
        <v>998</v>
      </c>
      <c r="T161" s="59">
        <v>42854</v>
      </c>
      <c r="U161">
        <v>47.222552</v>
      </c>
      <c r="V161">
        <v>-122.810293</v>
      </c>
      <c r="W161" t="e">
        <f>VLOOKUP(B161,[1]Plantings!$A$2:$E$285,4,FALSE)</f>
        <v>#N/A</v>
      </c>
      <c r="X161" s="43" t="e">
        <f>VLOOKUP(B161,[1]Plantings!$A$2:$E$285,5,FALSE)</f>
        <v>#N/A</v>
      </c>
      <c r="Y161" s="48" t="s">
        <v>9</v>
      </c>
      <c r="AA161" t="s">
        <v>967</v>
      </c>
      <c r="AB161">
        <v>1</v>
      </c>
      <c r="AC161">
        <v>1</v>
      </c>
      <c r="AD161">
        <f t="shared" si="19"/>
        <v>1</v>
      </c>
      <c r="AE161">
        <v>8.0000000000000002E-3</v>
      </c>
      <c r="AF161" s="46">
        <f t="shared" si="18"/>
        <v>1.4999999999999999E-2</v>
      </c>
      <c r="AG161" s="47">
        <v>3</v>
      </c>
      <c r="AH161" s="66">
        <f t="shared" si="23"/>
        <v>12</v>
      </c>
      <c r="AI161" s="45">
        <f t="shared" si="21"/>
        <v>12</v>
      </c>
      <c r="AJ161" s="45">
        <f t="shared" si="22"/>
        <v>1500</v>
      </c>
      <c r="AK161" t="s">
        <v>942</v>
      </c>
      <c r="AL161" s="8" t="s">
        <v>1247</v>
      </c>
    </row>
    <row r="162" spans="1:38" x14ac:dyDescent="0.25">
      <c r="A162" s="62" t="s">
        <v>1157</v>
      </c>
      <c r="B162" t="s">
        <v>1252</v>
      </c>
      <c r="C162" t="e">
        <f>VLOOKUP(B162,[1]Plantings!$A$2:$C$285,2,FALSE)</f>
        <v>#N/A</v>
      </c>
      <c r="D162" t="e">
        <f>VLOOKUP(B162,[1]Plantings!$A$2:$C$285,3,FALSE)</f>
        <v>#N/A</v>
      </c>
      <c r="E162" s="18">
        <v>2017</v>
      </c>
      <c r="G162" s="9" t="s">
        <v>7</v>
      </c>
      <c r="H162" s="9" t="s">
        <v>301</v>
      </c>
      <c r="I162" t="s">
        <v>957</v>
      </c>
      <c r="J162" s="9" t="s">
        <v>971</v>
      </c>
      <c r="K162" s="9" t="s">
        <v>971</v>
      </c>
      <c r="L162" s="9" t="s">
        <v>1065</v>
      </c>
      <c r="R162" s="9" t="s">
        <v>966</v>
      </c>
      <c r="S162" s="52" t="s">
        <v>998</v>
      </c>
      <c r="T162" s="59">
        <v>42854</v>
      </c>
      <c r="U162">
        <v>47.222596000000003</v>
      </c>
      <c r="V162">
        <v>-122.810309</v>
      </c>
      <c r="W162" t="e">
        <f>VLOOKUP(B162,[1]Plantings!$A$2:$E$285,4,FALSE)</f>
        <v>#N/A</v>
      </c>
      <c r="X162" s="43" t="e">
        <f>VLOOKUP(B162,[1]Plantings!$A$2:$E$285,5,FALSE)</f>
        <v>#N/A</v>
      </c>
      <c r="Y162" s="48" t="s">
        <v>9</v>
      </c>
      <c r="AA162" t="s">
        <v>967</v>
      </c>
      <c r="AB162">
        <v>1</v>
      </c>
      <c r="AC162">
        <v>1</v>
      </c>
      <c r="AD162">
        <f t="shared" si="19"/>
        <v>1</v>
      </c>
      <c r="AE162">
        <v>8.0000000000000002E-3</v>
      </c>
      <c r="AF162" s="46">
        <f t="shared" si="18"/>
        <v>1.4999999999999999E-2</v>
      </c>
      <c r="AG162" s="47">
        <v>3</v>
      </c>
      <c r="AH162" s="66">
        <f t="shared" si="23"/>
        <v>12</v>
      </c>
      <c r="AI162" s="45">
        <f t="shared" si="21"/>
        <v>12</v>
      </c>
      <c r="AJ162" s="45">
        <f t="shared" si="22"/>
        <v>1500</v>
      </c>
      <c r="AK162" t="s">
        <v>942</v>
      </c>
      <c r="AL162" s="8" t="s">
        <v>1247</v>
      </c>
    </row>
    <row r="163" spans="1:38" x14ac:dyDescent="0.25">
      <c r="A163" s="62" t="s">
        <v>1157</v>
      </c>
      <c r="B163" t="s">
        <v>1253</v>
      </c>
      <c r="C163" t="e">
        <f>VLOOKUP(B163,[1]Plantings!$A$2:$C$285,2,FALSE)</f>
        <v>#N/A</v>
      </c>
      <c r="D163" t="e">
        <f>VLOOKUP(B163,[1]Plantings!$A$2:$C$285,3,FALSE)</f>
        <v>#N/A</v>
      </c>
      <c r="E163" s="18">
        <v>2017</v>
      </c>
      <c r="G163" s="9" t="s">
        <v>7</v>
      </c>
      <c r="H163" s="9" t="s">
        <v>301</v>
      </c>
      <c r="I163" t="s">
        <v>957</v>
      </c>
      <c r="J163" s="9" t="s">
        <v>971</v>
      </c>
      <c r="K163" s="9" t="s">
        <v>971</v>
      </c>
      <c r="L163" s="9" t="s">
        <v>1065</v>
      </c>
      <c r="R163" s="9" t="s">
        <v>966</v>
      </c>
      <c r="S163" s="52" t="s">
        <v>998</v>
      </c>
      <c r="T163" s="59">
        <v>42854</v>
      </c>
      <c r="U163">
        <v>47.222611999999998</v>
      </c>
      <c r="V163">
        <v>-122.810312</v>
      </c>
      <c r="W163" t="e">
        <f>VLOOKUP(B163,[1]Plantings!$A$2:$E$285,4,FALSE)</f>
        <v>#N/A</v>
      </c>
      <c r="X163" s="43" t="e">
        <f>VLOOKUP(B163,[1]Plantings!$A$2:$E$285,5,FALSE)</f>
        <v>#N/A</v>
      </c>
      <c r="Y163" s="48" t="s">
        <v>9</v>
      </c>
      <c r="AA163" t="s">
        <v>967</v>
      </c>
      <c r="AB163">
        <v>1</v>
      </c>
      <c r="AC163">
        <v>1</v>
      </c>
      <c r="AD163">
        <f t="shared" si="19"/>
        <v>1</v>
      </c>
      <c r="AE163">
        <v>8.0000000000000002E-3</v>
      </c>
      <c r="AF163" s="46">
        <f t="shared" si="18"/>
        <v>1.4999999999999999E-2</v>
      </c>
      <c r="AG163" s="47">
        <v>3</v>
      </c>
      <c r="AH163" s="66">
        <f t="shared" si="23"/>
        <v>12</v>
      </c>
      <c r="AI163" s="45">
        <f t="shared" si="21"/>
        <v>12</v>
      </c>
      <c r="AJ163" s="45">
        <f t="shared" si="22"/>
        <v>1500</v>
      </c>
      <c r="AK163" t="s">
        <v>942</v>
      </c>
      <c r="AL163" s="8" t="s">
        <v>1247</v>
      </c>
    </row>
    <row r="164" spans="1:38" x14ac:dyDescent="0.25">
      <c r="A164" s="62" t="s">
        <v>1157</v>
      </c>
      <c r="B164" t="s">
        <v>1254</v>
      </c>
      <c r="C164" t="e">
        <f>VLOOKUP(B164,[1]Plantings!$A$2:$C$285,2,FALSE)</f>
        <v>#N/A</v>
      </c>
      <c r="D164" t="e">
        <f>VLOOKUP(B164,[1]Plantings!$A$2:$C$285,3,FALSE)</f>
        <v>#N/A</v>
      </c>
      <c r="E164" s="18">
        <v>2017</v>
      </c>
      <c r="G164" s="9" t="s">
        <v>7</v>
      </c>
      <c r="H164" s="9" t="s">
        <v>301</v>
      </c>
      <c r="I164" t="s">
        <v>957</v>
      </c>
      <c r="J164" s="9" t="s">
        <v>971</v>
      </c>
      <c r="K164" s="9" t="s">
        <v>971</v>
      </c>
      <c r="L164" s="9" t="s">
        <v>1065</v>
      </c>
      <c r="R164" s="9" t="s">
        <v>966</v>
      </c>
      <c r="S164" s="52" t="s">
        <v>998</v>
      </c>
      <c r="T164" s="59">
        <v>42854</v>
      </c>
      <c r="U164">
        <v>47.222638000000003</v>
      </c>
      <c r="V164">
        <v>-122.810339</v>
      </c>
      <c r="W164" t="e">
        <f>VLOOKUP(B164,[1]Plantings!$A$2:$E$285,4,FALSE)</f>
        <v>#N/A</v>
      </c>
      <c r="X164" s="43" t="e">
        <f>VLOOKUP(B164,[1]Plantings!$A$2:$E$285,5,FALSE)</f>
        <v>#N/A</v>
      </c>
      <c r="Y164" s="48" t="s">
        <v>9</v>
      </c>
      <c r="AA164" t="s">
        <v>967</v>
      </c>
      <c r="AB164">
        <v>1</v>
      </c>
      <c r="AC164">
        <v>1</v>
      </c>
      <c r="AD164">
        <f t="shared" si="19"/>
        <v>1</v>
      </c>
      <c r="AE164">
        <v>8.0000000000000002E-3</v>
      </c>
      <c r="AF164" s="46">
        <f t="shared" si="18"/>
        <v>1.4999999999999999E-2</v>
      </c>
      <c r="AG164" s="47">
        <v>3</v>
      </c>
      <c r="AH164" s="66">
        <f t="shared" si="23"/>
        <v>12</v>
      </c>
      <c r="AI164" s="45">
        <f t="shared" si="21"/>
        <v>12</v>
      </c>
      <c r="AJ164" s="45">
        <f t="shared" si="22"/>
        <v>1500</v>
      </c>
      <c r="AK164" t="s">
        <v>942</v>
      </c>
      <c r="AL164" s="8" t="s">
        <v>1247</v>
      </c>
    </row>
    <row r="165" spans="1:38" x14ac:dyDescent="0.25">
      <c r="A165" s="62" t="s">
        <v>1157</v>
      </c>
      <c r="B165" t="s">
        <v>1255</v>
      </c>
      <c r="C165" t="e">
        <f>VLOOKUP(B165,[1]Plantings!$A$2:$C$285,2,FALSE)</f>
        <v>#N/A</v>
      </c>
      <c r="D165" t="e">
        <f>VLOOKUP(B165,[1]Plantings!$A$2:$C$285,3,FALSE)</f>
        <v>#N/A</v>
      </c>
      <c r="E165" s="18">
        <v>2017</v>
      </c>
      <c r="G165" s="9" t="s">
        <v>7</v>
      </c>
      <c r="H165" s="9" t="s">
        <v>301</v>
      </c>
      <c r="I165" t="s">
        <v>957</v>
      </c>
      <c r="J165" s="9" t="s">
        <v>971</v>
      </c>
      <c r="K165" s="9" t="s">
        <v>971</v>
      </c>
      <c r="L165" s="9" t="s">
        <v>1065</v>
      </c>
      <c r="R165" s="9" t="s">
        <v>966</v>
      </c>
      <c r="S165" s="52" t="s">
        <v>998</v>
      </c>
      <c r="T165" s="59">
        <v>42854</v>
      </c>
      <c r="U165">
        <v>47.222659</v>
      </c>
      <c r="V165">
        <v>-122.810361</v>
      </c>
      <c r="W165" t="e">
        <f>VLOOKUP(B165,[1]Plantings!$A$2:$E$285,4,FALSE)</f>
        <v>#N/A</v>
      </c>
      <c r="X165" s="43" t="e">
        <f>VLOOKUP(B165,[1]Plantings!$A$2:$E$285,5,FALSE)</f>
        <v>#N/A</v>
      </c>
      <c r="Y165" s="48" t="s">
        <v>9</v>
      </c>
      <c r="AA165" t="s">
        <v>967</v>
      </c>
      <c r="AB165">
        <v>1</v>
      </c>
      <c r="AC165">
        <v>1</v>
      </c>
      <c r="AD165">
        <f t="shared" si="19"/>
        <v>1</v>
      </c>
      <c r="AE165">
        <v>8.0000000000000002E-3</v>
      </c>
      <c r="AF165" s="46">
        <f t="shared" si="18"/>
        <v>1.4999999999999999E-2</v>
      </c>
      <c r="AG165" s="47">
        <v>3</v>
      </c>
      <c r="AH165" s="66">
        <f t="shared" si="23"/>
        <v>12</v>
      </c>
      <c r="AI165" s="45">
        <f t="shared" si="21"/>
        <v>12</v>
      </c>
      <c r="AJ165" s="45">
        <f t="shared" si="22"/>
        <v>1500</v>
      </c>
      <c r="AK165" t="s">
        <v>942</v>
      </c>
      <c r="AL165" s="8" t="s">
        <v>1247</v>
      </c>
    </row>
    <row r="166" spans="1:38" x14ac:dyDescent="0.25">
      <c r="A166" s="62" t="s">
        <v>1157</v>
      </c>
      <c r="B166" t="s">
        <v>1256</v>
      </c>
      <c r="C166" t="e">
        <f>VLOOKUP(B166,[1]Plantings!$A$2:$C$285,2,FALSE)</f>
        <v>#N/A</v>
      </c>
      <c r="D166" t="e">
        <f>VLOOKUP(B166,[1]Plantings!$A$2:$C$285,3,FALSE)</f>
        <v>#N/A</v>
      </c>
      <c r="E166" s="18">
        <v>2017</v>
      </c>
      <c r="G166" s="9" t="s">
        <v>7</v>
      </c>
      <c r="H166" s="9" t="s">
        <v>301</v>
      </c>
      <c r="I166" t="s">
        <v>957</v>
      </c>
      <c r="J166" s="9" t="s">
        <v>971</v>
      </c>
      <c r="K166" s="9" t="s">
        <v>971</v>
      </c>
      <c r="L166" s="9" t="s">
        <v>1065</v>
      </c>
      <c r="R166" s="9" t="s">
        <v>966</v>
      </c>
      <c r="S166" s="52" t="s">
        <v>998</v>
      </c>
      <c r="T166" s="59">
        <v>42854</v>
      </c>
      <c r="U166">
        <v>47.222687999999998</v>
      </c>
      <c r="V166">
        <v>-122.810372</v>
      </c>
      <c r="W166" t="e">
        <f>VLOOKUP(B166,[1]Plantings!$A$2:$E$285,4,FALSE)</f>
        <v>#N/A</v>
      </c>
      <c r="X166" s="43" t="e">
        <f>VLOOKUP(B166,[1]Plantings!$A$2:$E$285,5,FALSE)</f>
        <v>#N/A</v>
      </c>
      <c r="Y166" s="48" t="s">
        <v>9</v>
      </c>
      <c r="AA166" t="s">
        <v>967</v>
      </c>
      <c r="AB166">
        <v>1</v>
      </c>
      <c r="AC166">
        <v>1</v>
      </c>
      <c r="AD166">
        <f t="shared" si="19"/>
        <v>1</v>
      </c>
      <c r="AE166">
        <v>8.0000000000000002E-3</v>
      </c>
      <c r="AF166" s="46">
        <f t="shared" si="18"/>
        <v>1.4999999999999999E-2</v>
      </c>
      <c r="AG166" s="47">
        <v>3</v>
      </c>
      <c r="AH166" s="66">
        <f t="shared" si="23"/>
        <v>12</v>
      </c>
      <c r="AI166" s="45">
        <f t="shared" si="21"/>
        <v>12</v>
      </c>
      <c r="AJ166" s="45">
        <f t="shared" si="22"/>
        <v>1500</v>
      </c>
      <c r="AK166" t="s">
        <v>942</v>
      </c>
      <c r="AL166" s="8" t="s">
        <v>1247</v>
      </c>
    </row>
    <row r="167" spans="1:38" x14ac:dyDescent="0.25">
      <c r="A167" s="62" t="s">
        <v>1157</v>
      </c>
      <c r="B167" t="s">
        <v>1257</v>
      </c>
      <c r="C167" t="e">
        <f>VLOOKUP(B167,[1]Plantings!$A$2:$C$285,2,FALSE)</f>
        <v>#N/A</v>
      </c>
      <c r="D167" t="e">
        <f>VLOOKUP(B167,[1]Plantings!$A$2:$C$285,3,FALSE)</f>
        <v>#N/A</v>
      </c>
      <c r="E167" s="18">
        <v>2017</v>
      </c>
      <c r="G167" s="9" t="s">
        <v>7</v>
      </c>
      <c r="H167" s="9" t="s">
        <v>301</v>
      </c>
      <c r="I167" t="s">
        <v>957</v>
      </c>
      <c r="J167" s="9" t="s">
        <v>971</v>
      </c>
      <c r="K167" s="9" t="s">
        <v>971</v>
      </c>
      <c r="L167" s="9" t="s">
        <v>1065</v>
      </c>
      <c r="R167" s="9" t="s">
        <v>966</v>
      </c>
      <c r="S167" s="52" t="s">
        <v>998</v>
      </c>
      <c r="T167" s="59">
        <v>42854</v>
      </c>
      <c r="U167" s="206">
        <v>47.222720000000002</v>
      </c>
      <c r="V167">
        <v>-122.81038599999999</v>
      </c>
      <c r="W167" t="e">
        <f>VLOOKUP(B167,[1]Plantings!$A$2:$E$285,4,FALSE)</f>
        <v>#N/A</v>
      </c>
      <c r="X167" s="43" t="e">
        <f>VLOOKUP(B167,[1]Plantings!$A$2:$E$285,5,FALSE)</f>
        <v>#N/A</v>
      </c>
      <c r="Y167" s="48" t="s">
        <v>9</v>
      </c>
      <c r="AA167" t="s">
        <v>967</v>
      </c>
      <c r="AB167">
        <v>1</v>
      </c>
      <c r="AC167">
        <v>1</v>
      </c>
      <c r="AD167">
        <f t="shared" si="19"/>
        <v>1</v>
      </c>
      <c r="AE167">
        <v>8.0000000000000002E-3</v>
      </c>
      <c r="AF167" s="46">
        <f t="shared" si="18"/>
        <v>1.4999999999999999E-2</v>
      </c>
      <c r="AG167" s="47">
        <v>3</v>
      </c>
      <c r="AH167" s="66">
        <f t="shared" si="23"/>
        <v>12</v>
      </c>
      <c r="AI167" s="45">
        <f t="shared" si="21"/>
        <v>12</v>
      </c>
      <c r="AJ167" s="45">
        <f t="shared" si="22"/>
        <v>1500</v>
      </c>
      <c r="AK167" t="s">
        <v>942</v>
      </c>
      <c r="AL167" s="8" t="s">
        <v>1247</v>
      </c>
    </row>
    <row r="168" spans="1:38" x14ac:dyDescent="0.25">
      <c r="A168" s="62" t="s">
        <v>1157</v>
      </c>
      <c r="B168" t="s">
        <v>1258</v>
      </c>
      <c r="C168" t="e">
        <f>VLOOKUP(B168,[1]Plantings!$A$2:$C$285,2,FALSE)</f>
        <v>#N/A</v>
      </c>
      <c r="D168" t="e">
        <f>VLOOKUP(B168,[1]Plantings!$A$2:$C$285,3,FALSE)</f>
        <v>#N/A</v>
      </c>
      <c r="E168" s="18">
        <v>2017</v>
      </c>
      <c r="G168" s="9" t="s">
        <v>7</v>
      </c>
      <c r="H168" s="9" t="s">
        <v>301</v>
      </c>
      <c r="I168" t="s">
        <v>957</v>
      </c>
      <c r="J168" s="9" t="s">
        <v>971</v>
      </c>
      <c r="K168" s="9" t="s">
        <v>971</v>
      </c>
      <c r="L168" s="9" t="s">
        <v>1065</v>
      </c>
      <c r="R168" s="9" t="s">
        <v>966</v>
      </c>
      <c r="S168" s="52" t="s">
        <v>998</v>
      </c>
      <c r="T168" s="59">
        <v>42854</v>
      </c>
      <c r="U168">
        <v>47.222732999999998</v>
      </c>
      <c r="V168" s="206">
        <v>-122.8104</v>
      </c>
      <c r="W168" t="e">
        <f>VLOOKUP(B168,[1]Plantings!$A$2:$E$285,4,FALSE)</f>
        <v>#N/A</v>
      </c>
      <c r="X168" s="43" t="e">
        <f>VLOOKUP(B168,[1]Plantings!$A$2:$E$285,5,FALSE)</f>
        <v>#N/A</v>
      </c>
      <c r="Y168" s="48" t="s">
        <v>9</v>
      </c>
      <c r="AA168" t="s">
        <v>967</v>
      </c>
      <c r="AB168">
        <v>1</v>
      </c>
      <c r="AC168">
        <v>1</v>
      </c>
      <c r="AD168">
        <f t="shared" si="19"/>
        <v>1</v>
      </c>
      <c r="AE168">
        <v>8.0000000000000002E-3</v>
      </c>
      <c r="AF168" s="46">
        <f t="shared" si="18"/>
        <v>1.4999999999999999E-2</v>
      </c>
      <c r="AG168" s="47">
        <v>3</v>
      </c>
      <c r="AH168" s="66">
        <f t="shared" si="23"/>
        <v>12</v>
      </c>
      <c r="AI168" s="45">
        <f t="shared" si="21"/>
        <v>12</v>
      </c>
      <c r="AJ168" s="45">
        <f t="shared" si="22"/>
        <v>1500</v>
      </c>
      <c r="AK168" t="s">
        <v>942</v>
      </c>
      <c r="AL168" s="8" t="s">
        <v>1247</v>
      </c>
    </row>
    <row r="169" spans="1:38" x14ac:dyDescent="0.25">
      <c r="A169" s="62" t="s">
        <v>1157</v>
      </c>
      <c r="B169" t="s">
        <v>1241</v>
      </c>
      <c r="C169" t="str">
        <f>VLOOKUP(B169,[1]Plantings!$A$2:$C$285,2,FALSE)</f>
        <v>JSP_mid_south_2</v>
      </c>
      <c r="D169" t="str">
        <f>VLOOKUP(B169,[1]Plantings!$A$2:$C$285,3,FALSE)</f>
        <v>single</v>
      </c>
      <c r="E169" s="18">
        <v>2018</v>
      </c>
      <c r="G169" s="9" t="s">
        <v>7</v>
      </c>
      <c r="H169" s="9" t="s">
        <v>301</v>
      </c>
      <c r="I169" t="s">
        <v>957</v>
      </c>
      <c r="J169" s="9" t="s">
        <v>971</v>
      </c>
      <c r="K169" s="9" t="s">
        <v>971</v>
      </c>
      <c r="L169" s="9" t="s">
        <v>1065</v>
      </c>
      <c r="R169" s="9" t="s">
        <v>966</v>
      </c>
      <c r="S169" t="s">
        <v>966</v>
      </c>
      <c r="T169" s="59">
        <v>43264</v>
      </c>
      <c r="W169" t="str">
        <f>VLOOKUP(B169,[1]Plantings!$A$2:$E$285,4,FALSE)</f>
        <v>point</v>
      </c>
      <c r="X169" s="43" t="str">
        <f>VLOOKUP(B169,[1]Plantings!$A$2:$E$285,5,FALSE)</f>
        <v>drop</v>
      </c>
      <c r="Y169" s="48" t="s">
        <v>9</v>
      </c>
      <c r="AA169" t="s">
        <v>982</v>
      </c>
      <c r="AB169">
        <v>4</v>
      </c>
      <c r="AC169">
        <v>0.25</v>
      </c>
      <c r="AD169">
        <f t="shared" si="19"/>
        <v>1</v>
      </c>
      <c r="AE169">
        <v>0.25</v>
      </c>
      <c r="AF169" s="46">
        <f t="shared" ref="AF169:AF182" si="24">IF(AA169="staple",AG169*0.005,IF(AA169="rebar",AG169*0.025,IF(AA169="burlap",AG169*0.0625,IF(AA169="washer",AG169*0.0025,IF(AA169="pucks",AG169*0.00785,IF(AA169="turf",AG169*0.01,IF(AA169="","")))))))</f>
        <v>0.1</v>
      </c>
      <c r="AG169" s="47">
        <v>4</v>
      </c>
      <c r="AH169" s="66">
        <f>AG169*25</f>
        <v>100</v>
      </c>
      <c r="AI169" s="45">
        <f t="shared" si="21"/>
        <v>100</v>
      </c>
      <c r="AJ169" s="45">
        <f t="shared" si="22"/>
        <v>400</v>
      </c>
      <c r="AK169" t="s">
        <v>1021</v>
      </c>
      <c r="AL169" s="8" t="s">
        <v>1259</v>
      </c>
    </row>
    <row r="170" spans="1:38" x14ac:dyDescent="0.25">
      <c r="A170" s="62" t="s">
        <v>1157</v>
      </c>
      <c r="B170" t="s">
        <v>1260</v>
      </c>
      <c r="C170" t="str">
        <f>VLOOKUP(B170,[1]Plantings!$A$2:$C$285,2,FALSE)</f>
        <v>JSP_mid_south_1</v>
      </c>
      <c r="D170" t="str">
        <f>VLOOKUP(B170,[1]Plantings!$A$2:$C$285,3,FALSE)</f>
        <v>single</v>
      </c>
      <c r="E170" s="18">
        <v>2018</v>
      </c>
      <c r="G170" s="9" t="s">
        <v>7</v>
      </c>
      <c r="H170" s="9" t="s">
        <v>301</v>
      </c>
      <c r="I170" t="s">
        <v>957</v>
      </c>
      <c r="J170" s="9" t="s">
        <v>971</v>
      </c>
      <c r="K170" s="9" t="s">
        <v>971</v>
      </c>
      <c r="L170" s="9" t="s">
        <v>1065</v>
      </c>
      <c r="R170" s="9" t="s">
        <v>966</v>
      </c>
      <c r="S170" t="s">
        <v>966</v>
      </c>
      <c r="T170" s="59">
        <v>43264</v>
      </c>
      <c r="W170" t="str">
        <f>VLOOKUP(B170,[1]Plantings!$A$2:$E$285,4,FALSE)</f>
        <v>point</v>
      </c>
      <c r="X170" s="43" t="str">
        <f>VLOOKUP(B170,[1]Plantings!$A$2:$E$285,5,FALSE)</f>
        <v>drop</v>
      </c>
      <c r="Y170" s="48" t="s">
        <v>9</v>
      </c>
      <c r="AA170" t="s">
        <v>982</v>
      </c>
      <c r="AB170">
        <v>3</v>
      </c>
      <c r="AC170">
        <v>0.25</v>
      </c>
      <c r="AD170">
        <f t="shared" si="19"/>
        <v>0.75</v>
      </c>
      <c r="AE170">
        <v>0.25</v>
      </c>
      <c r="AF170" s="46">
        <f t="shared" si="24"/>
        <v>7.5000000000000011E-2</v>
      </c>
      <c r="AG170" s="47">
        <v>3</v>
      </c>
      <c r="AH170" s="66">
        <f>AG170*25</f>
        <v>75</v>
      </c>
      <c r="AI170" s="45">
        <f t="shared" si="21"/>
        <v>100</v>
      </c>
      <c r="AJ170" s="45">
        <f t="shared" si="22"/>
        <v>300</v>
      </c>
      <c r="AK170" t="s">
        <v>1021</v>
      </c>
      <c r="AL170" s="8" t="s">
        <v>1261</v>
      </c>
    </row>
    <row r="171" spans="1:38" x14ac:dyDescent="0.25">
      <c r="A171" s="62" t="s">
        <v>1157</v>
      </c>
      <c r="B171" t="s">
        <v>1262</v>
      </c>
      <c r="C171" t="str">
        <f>VLOOKUP(B171,[1]Plantings!$A$2:$C$285,2,FALSE)</f>
        <v>JSP_mid_1</v>
      </c>
      <c r="D171" t="str">
        <f>VLOOKUP(B171,[1]Plantings!$A$2:$C$285,3,FALSE)</f>
        <v>colocated</v>
      </c>
      <c r="E171" s="18">
        <v>2018</v>
      </c>
      <c r="G171" s="9" t="s">
        <v>7</v>
      </c>
      <c r="H171" s="9" t="s">
        <v>301</v>
      </c>
      <c r="I171" t="s">
        <v>957</v>
      </c>
      <c r="J171" s="9" t="s">
        <v>971</v>
      </c>
      <c r="K171" s="9" t="s">
        <v>971</v>
      </c>
      <c r="L171" s="9" t="s">
        <v>1065</v>
      </c>
      <c r="R171" s="9" t="s">
        <v>966</v>
      </c>
      <c r="S171" t="s">
        <v>966</v>
      </c>
      <c r="T171" s="59">
        <v>43295</v>
      </c>
      <c r="U171">
        <v>47.222470000000001</v>
      </c>
      <c r="V171">
        <v>-122.81049</v>
      </c>
      <c r="W171" t="str">
        <f>VLOOKUP(B171,[1]Plantings!$A$2:$E$285,4,FALSE)</f>
        <v>point</v>
      </c>
      <c r="X171" s="43" t="str">
        <f>VLOOKUP(B171,[1]Plantings!$A$2:$E$285,5,FALSE)</f>
        <v>retain</v>
      </c>
      <c r="Y171" s="48" t="s">
        <v>9</v>
      </c>
      <c r="AA171" t="s">
        <v>982</v>
      </c>
      <c r="AB171">
        <v>0.5</v>
      </c>
      <c r="AC171">
        <v>0.5</v>
      </c>
      <c r="AD171">
        <f t="shared" si="19"/>
        <v>0.25</v>
      </c>
      <c r="AE171">
        <v>0.25</v>
      </c>
      <c r="AF171" s="46">
        <f t="shared" si="24"/>
        <v>7.5000000000000011E-2</v>
      </c>
      <c r="AG171" s="47">
        <v>3</v>
      </c>
      <c r="AH171" s="66">
        <f>AG171*21</f>
        <v>63</v>
      </c>
      <c r="AI171" s="45">
        <f t="shared" si="21"/>
        <v>252</v>
      </c>
      <c r="AJ171" s="45">
        <f t="shared" si="22"/>
        <v>252</v>
      </c>
      <c r="AK171" t="s">
        <v>1021</v>
      </c>
      <c r="AL171" s="8" t="s">
        <v>1263</v>
      </c>
    </row>
    <row r="172" spans="1:38" x14ac:dyDescent="0.25">
      <c r="A172" s="62" t="s">
        <v>1157</v>
      </c>
      <c r="B172" t="s">
        <v>1264</v>
      </c>
      <c r="C172" t="str">
        <f>VLOOKUP(B172,[1]Plantings!$A$2:$C$285,2,FALSE)</f>
        <v>JSP_mid_1</v>
      </c>
      <c r="D172" t="str">
        <f>VLOOKUP(B172,[1]Plantings!$A$2:$C$285,3,FALSE)</f>
        <v>colocated</v>
      </c>
      <c r="E172" s="18">
        <v>2018</v>
      </c>
      <c r="G172" s="9" t="s">
        <v>7</v>
      </c>
      <c r="H172" s="9" t="s">
        <v>301</v>
      </c>
      <c r="I172" t="s">
        <v>957</v>
      </c>
      <c r="J172" s="9" t="s">
        <v>971</v>
      </c>
      <c r="K172" s="9" t="s">
        <v>971</v>
      </c>
      <c r="L172" s="9" t="s">
        <v>1065</v>
      </c>
      <c r="R172" s="9" t="s">
        <v>966</v>
      </c>
      <c r="S172" t="s">
        <v>966</v>
      </c>
      <c r="T172" s="59">
        <v>43295</v>
      </c>
      <c r="U172">
        <v>47.222470000000001</v>
      </c>
      <c r="V172">
        <v>-122.81049</v>
      </c>
      <c r="W172" t="str">
        <f>VLOOKUP(B172,[1]Plantings!$A$2:$E$285,4,FALSE)</f>
        <v>point</v>
      </c>
      <c r="X172" s="43" t="str">
        <f>VLOOKUP(B172,[1]Plantings!$A$2:$E$285,5,FALSE)</f>
        <v>retain</v>
      </c>
      <c r="Y172" s="48" t="s">
        <v>9</v>
      </c>
      <c r="AA172" t="s">
        <v>1265</v>
      </c>
      <c r="AB172">
        <v>0.5</v>
      </c>
      <c r="AC172">
        <v>0.5</v>
      </c>
      <c r="AD172">
        <f t="shared" si="19"/>
        <v>0.25</v>
      </c>
      <c r="AE172">
        <v>0.25</v>
      </c>
      <c r="AF172" s="46">
        <f t="shared" si="24"/>
        <v>7.0649999999999991E-2</v>
      </c>
      <c r="AG172" s="47">
        <v>9</v>
      </c>
      <c r="AH172" s="66">
        <f>AG172*7</f>
        <v>63</v>
      </c>
      <c r="AI172" s="45">
        <f t="shared" si="21"/>
        <v>252</v>
      </c>
      <c r="AJ172" s="45">
        <f t="shared" si="22"/>
        <v>252</v>
      </c>
      <c r="AK172" t="s">
        <v>1021</v>
      </c>
      <c r="AL172" s="8" t="s">
        <v>1266</v>
      </c>
    </row>
    <row r="173" spans="1:38" x14ac:dyDescent="0.25">
      <c r="A173" s="62" t="s">
        <v>1157</v>
      </c>
      <c r="B173" t="s">
        <v>1267</v>
      </c>
      <c r="C173" t="str">
        <f>VLOOKUP(B173,[1]Plantings!$A$2:$C$285,2,FALSE)</f>
        <v>JSP_mid_2</v>
      </c>
      <c r="D173" t="str">
        <f>VLOOKUP(B173,[1]Plantings!$A$2:$C$285,3,FALSE)</f>
        <v>single</v>
      </c>
      <c r="E173" s="18">
        <v>2018</v>
      </c>
      <c r="G173" s="9" t="s">
        <v>7</v>
      </c>
      <c r="H173" s="9" t="s">
        <v>301</v>
      </c>
      <c r="I173" t="s">
        <v>957</v>
      </c>
      <c r="J173" s="9" t="s">
        <v>971</v>
      </c>
      <c r="K173" s="9" t="s">
        <v>971</v>
      </c>
      <c r="L173" s="9" t="s">
        <v>1065</v>
      </c>
      <c r="R173" s="9" t="s">
        <v>966</v>
      </c>
      <c r="S173" t="s">
        <v>966</v>
      </c>
      <c r="T173" s="59">
        <v>43295</v>
      </c>
      <c r="W173" t="str">
        <f>VLOOKUP(B173,[1]Plantings!$A$2:$E$285,4,FALSE)</f>
        <v>point</v>
      </c>
      <c r="X173" s="43" t="str">
        <f>VLOOKUP(B173,[1]Plantings!$A$2:$E$285,5,FALSE)</f>
        <v>drop</v>
      </c>
      <c r="Y173" s="48" t="s">
        <v>9</v>
      </c>
      <c r="AA173" t="s">
        <v>1265</v>
      </c>
      <c r="AB173">
        <v>0.5</v>
      </c>
      <c r="AC173">
        <v>0.5</v>
      </c>
      <c r="AD173">
        <f t="shared" si="19"/>
        <v>0.25</v>
      </c>
      <c r="AE173">
        <v>0.25</v>
      </c>
      <c r="AF173" s="46">
        <f t="shared" si="24"/>
        <v>7.0649999999999991E-2</v>
      </c>
      <c r="AG173" s="47">
        <v>9</v>
      </c>
      <c r="AH173" s="66">
        <f>AG173*7</f>
        <v>63</v>
      </c>
      <c r="AI173" s="45">
        <f t="shared" si="21"/>
        <v>252</v>
      </c>
      <c r="AJ173" s="45">
        <f t="shared" si="22"/>
        <v>252</v>
      </c>
      <c r="AK173" t="s">
        <v>1021</v>
      </c>
      <c r="AL173" s="8" t="s">
        <v>1266</v>
      </c>
    </row>
    <row r="174" spans="1:38" x14ac:dyDescent="0.25">
      <c r="A174" s="62" t="s">
        <v>1157</v>
      </c>
      <c r="B174" t="s">
        <v>1268</v>
      </c>
      <c r="C174" t="str">
        <f>VLOOKUP(B174,[1]Plantings!$A$2:$C$285,2,FALSE)</f>
        <v>JSP_mid_2</v>
      </c>
      <c r="D174" t="str">
        <f>VLOOKUP(B174,[1]Plantings!$A$2:$C$285,3,FALSE)</f>
        <v>single</v>
      </c>
      <c r="E174" s="18">
        <v>2018</v>
      </c>
      <c r="G174" s="9" t="s">
        <v>7</v>
      </c>
      <c r="H174" s="9" t="s">
        <v>301</v>
      </c>
      <c r="I174" t="s">
        <v>957</v>
      </c>
      <c r="J174" s="9" t="s">
        <v>971</v>
      </c>
      <c r="K174" s="9" t="s">
        <v>971</v>
      </c>
      <c r="L174" s="9" t="s">
        <v>1065</v>
      </c>
      <c r="R174" s="9" t="s">
        <v>966</v>
      </c>
      <c r="S174" t="s">
        <v>966</v>
      </c>
      <c r="T174" s="59">
        <v>43295</v>
      </c>
      <c r="W174" t="str">
        <f>VLOOKUP(B174,[1]Plantings!$A$2:$E$285,4,FALSE)</f>
        <v>point</v>
      </c>
      <c r="X174" s="43" t="str">
        <f>VLOOKUP(B174,[1]Plantings!$A$2:$E$285,5,FALSE)</f>
        <v>drop</v>
      </c>
      <c r="Y174" s="48" t="s">
        <v>9</v>
      </c>
      <c r="AA174" t="s">
        <v>982</v>
      </c>
      <c r="AB174">
        <v>0.5</v>
      </c>
      <c r="AC174">
        <v>0.5</v>
      </c>
      <c r="AD174">
        <f t="shared" si="19"/>
        <v>0.25</v>
      </c>
      <c r="AE174">
        <v>0.25</v>
      </c>
      <c r="AF174" s="46">
        <f t="shared" si="24"/>
        <v>7.5000000000000011E-2</v>
      </c>
      <c r="AG174" s="47">
        <v>3</v>
      </c>
      <c r="AH174" s="66">
        <f>AG174*21</f>
        <v>63</v>
      </c>
      <c r="AI174" s="45">
        <f t="shared" si="21"/>
        <v>252</v>
      </c>
      <c r="AJ174" s="45">
        <f t="shared" si="22"/>
        <v>252</v>
      </c>
      <c r="AK174" t="s">
        <v>1021</v>
      </c>
      <c r="AL174" s="8" t="s">
        <v>1269</v>
      </c>
    </row>
    <row r="175" spans="1:38" x14ac:dyDescent="0.25">
      <c r="A175" s="62" t="s">
        <v>1157</v>
      </c>
      <c r="B175" t="s">
        <v>1270</v>
      </c>
      <c r="C175" t="str">
        <f>VLOOKUP(B175,[1]Plantings!$A$2:$C$285,2,FALSE)</f>
        <v>JSP_mid_3</v>
      </c>
      <c r="D175" t="str">
        <f>VLOOKUP(B175,[1]Plantings!$A$2:$C$285,3,FALSE)</f>
        <v>colocated</v>
      </c>
      <c r="E175" s="18">
        <v>2018</v>
      </c>
      <c r="G175" s="9" t="s">
        <v>7</v>
      </c>
      <c r="H175" s="9" t="s">
        <v>301</v>
      </c>
      <c r="I175" t="s">
        <v>957</v>
      </c>
      <c r="J175" s="9" t="s">
        <v>971</v>
      </c>
      <c r="K175" s="9" t="s">
        <v>971</v>
      </c>
      <c r="L175" s="9" t="s">
        <v>1065</v>
      </c>
      <c r="R175" s="9" t="s">
        <v>966</v>
      </c>
      <c r="S175" t="s">
        <v>966</v>
      </c>
      <c r="T175" s="59">
        <v>43295</v>
      </c>
      <c r="U175">
        <v>47.222619999999999</v>
      </c>
      <c r="V175">
        <v>-122.81053</v>
      </c>
      <c r="W175" t="str">
        <f>VLOOKUP(B175,[1]Plantings!$A$2:$E$285,4,FALSE)</f>
        <v>point</v>
      </c>
      <c r="X175" s="43" t="str">
        <f>VLOOKUP(B175,[1]Plantings!$A$2:$E$285,5,FALSE)</f>
        <v>retain</v>
      </c>
      <c r="Y175" s="48" t="s">
        <v>9</v>
      </c>
      <c r="AA175" t="s">
        <v>982</v>
      </c>
      <c r="AB175">
        <v>0.5</v>
      </c>
      <c r="AC175">
        <v>0.5</v>
      </c>
      <c r="AD175">
        <f t="shared" si="19"/>
        <v>0.25</v>
      </c>
      <c r="AE175">
        <v>0.25</v>
      </c>
      <c r="AF175" s="46">
        <f t="shared" si="24"/>
        <v>7.5000000000000011E-2</v>
      </c>
      <c r="AG175" s="47">
        <v>3</v>
      </c>
      <c r="AH175" s="66">
        <f>AG175*21</f>
        <v>63</v>
      </c>
      <c r="AI175" s="45">
        <f t="shared" si="21"/>
        <v>252</v>
      </c>
      <c r="AJ175" s="45">
        <f t="shared" si="22"/>
        <v>252</v>
      </c>
      <c r="AK175" t="s">
        <v>1021</v>
      </c>
      <c r="AL175" s="8" t="s">
        <v>1271</v>
      </c>
    </row>
    <row r="176" spans="1:38" x14ac:dyDescent="0.25">
      <c r="A176" s="62" t="s">
        <v>1157</v>
      </c>
      <c r="B176" t="s">
        <v>1272</v>
      </c>
      <c r="C176" t="str">
        <f>VLOOKUP(B176,[1]Plantings!$A$2:$C$285,2,FALSE)</f>
        <v>JSP_mid_3</v>
      </c>
      <c r="D176" t="str">
        <f>VLOOKUP(B176,[1]Plantings!$A$2:$C$285,3,FALSE)</f>
        <v>single</v>
      </c>
      <c r="E176" s="18">
        <v>2018</v>
      </c>
      <c r="G176" s="9" t="s">
        <v>7</v>
      </c>
      <c r="H176" s="9" t="s">
        <v>301</v>
      </c>
      <c r="I176" t="s">
        <v>957</v>
      </c>
      <c r="J176" s="9" t="s">
        <v>971</v>
      </c>
      <c r="K176" s="9" t="s">
        <v>971</v>
      </c>
      <c r="L176" s="9" t="s">
        <v>1065</v>
      </c>
      <c r="R176" s="9" t="s">
        <v>966</v>
      </c>
      <c r="S176" t="s">
        <v>966</v>
      </c>
      <c r="T176" s="59">
        <v>43295</v>
      </c>
      <c r="U176">
        <v>47.222619999999999</v>
      </c>
      <c r="V176">
        <v>-122.81053</v>
      </c>
      <c r="W176" t="str">
        <f>VLOOKUP(B176,[1]Plantings!$A$2:$E$285,4,FALSE)</f>
        <v>point</v>
      </c>
      <c r="X176" s="43" t="str">
        <f>VLOOKUP(B176,[1]Plantings!$A$2:$E$285,5,FALSE)</f>
        <v>retain</v>
      </c>
      <c r="Y176" s="48" t="s">
        <v>9</v>
      </c>
      <c r="AA176" t="s">
        <v>1265</v>
      </c>
      <c r="AB176">
        <v>0.5</v>
      </c>
      <c r="AC176">
        <v>0.5</v>
      </c>
      <c r="AD176">
        <f t="shared" si="19"/>
        <v>0.25</v>
      </c>
      <c r="AE176">
        <v>0.25</v>
      </c>
      <c r="AF176" s="46">
        <f t="shared" si="24"/>
        <v>7.0649999999999991E-2</v>
      </c>
      <c r="AG176" s="47">
        <v>9</v>
      </c>
      <c r="AH176" s="66">
        <f>AG176*7</f>
        <v>63</v>
      </c>
      <c r="AI176" s="45">
        <f t="shared" si="21"/>
        <v>252</v>
      </c>
      <c r="AJ176" s="45">
        <f t="shared" si="22"/>
        <v>252</v>
      </c>
      <c r="AK176" t="s">
        <v>1021</v>
      </c>
      <c r="AL176" s="8" t="s">
        <v>1273</v>
      </c>
    </row>
    <row r="177" spans="1:38" x14ac:dyDescent="0.25">
      <c r="A177" s="62" t="s">
        <v>1157</v>
      </c>
      <c r="B177" t="s">
        <v>1274</v>
      </c>
      <c r="C177" t="str">
        <f>VLOOKUP(B177,[1]Plantings!$A$2:$C$285,2,FALSE)</f>
        <v>JSP_mid_4</v>
      </c>
      <c r="D177" t="str">
        <f>VLOOKUP(B177,[1]Plantings!$A$2:$C$285,3,FALSE)</f>
        <v>single</v>
      </c>
      <c r="E177" s="18">
        <v>2020</v>
      </c>
      <c r="G177" s="9" t="s">
        <v>7</v>
      </c>
      <c r="H177" s="9" t="s">
        <v>301</v>
      </c>
      <c r="I177" t="s">
        <v>957</v>
      </c>
      <c r="J177" s="9" t="s">
        <v>971</v>
      </c>
      <c r="K177" s="9" t="s">
        <v>971</v>
      </c>
      <c r="L177" s="9" t="s">
        <v>1065</v>
      </c>
      <c r="R177" s="9" t="s">
        <v>966</v>
      </c>
      <c r="S177" t="s">
        <v>966</v>
      </c>
      <c r="T177" s="59">
        <v>44018</v>
      </c>
      <c r="U177">
        <v>47.222589999999997</v>
      </c>
      <c r="V177">
        <v>-122.81049</v>
      </c>
      <c r="W177" t="str">
        <f>VLOOKUP(B177,[1]Plantings!$A$2:$E$285,4,FALSE)</f>
        <v>point</v>
      </c>
      <c r="X177" s="43" t="str">
        <f>VLOOKUP(B177,[1]Plantings!$A$2:$E$285,5,FALSE)</f>
        <v>retain</v>
      </c>
      <c r="Y177" s="48" t="s">
        <v>9</v>
      </c>
      <c r="Z177" s="44">
        <v>-1.3</v>
      </c>
      <c r="AA177" s="45" t="s">
        <v>982</v>
      </c>
      <c r="AB177">
        <v>8</v>
      </c>
      <c r="AC177">
        <v>0.5</v>
      </c>
      <c r="AD177" s="9">
        <v>4</v>
      </c>
      <c r="AE177">
        <v>1</v>
      </c>
      <c r="AF177" s="46">
        <f t="shared" si="24"/>
        <v>0.30000000000000004</v>
      </c>
      <c r="AG177">
        <v>12</v>
      </c>
      <c r="AH177" s="83">
        <v>240</v>
      </c>
      <c r="AI177" s="45">
        <f t="shared" si="21"/>
        <v>60</v>
      </c>
      <c r="AJ177" s="45">
        <f t="shared" si="22"/>
        <v>240</v>
      </c>
      <c r="AK177" t="s">
        <v>942</v>
      </c>
      <c r="AL177" s="8" t="s">
        <v>1275</v>
      </c>
    </row>
    <row r="178" spans="1:38" x14ac:dyDescent="0.25">
      <c r="A178" t="s">
        <v>1157</v>
      </c>
      <c r="B178" t="s">
        <v>1276</v>
      </c>
      <c r="C178" t="str">
        <f>VLOOKUP(B178,[1]Plantings!$A$2:$C$285,2,FALSE)</f>
        <v>WHB_test_1</v>
      </c>
      <c r="D178" t="str">
        <f>VLOOKUP(B178,[1]Plantings!$A$2:$C$285,3,FALSE)</f>
        <v>single</v>
      </c>
      <c r="E178" s="18">
        <v>2020</v>
      </c>
      <c r="G178" t="s">
        <v>7</v>
      </c>
      <c r="H178" s="9" t="s">
        <v>301</v>
      </c>
      <c r="I178" t="s">
        <v>957</v>
      </c>
      <c r="J178" s="9" t="s">
        <v>1014</v>
      </c>
      <c r="K178" s="9" t="s">
        <v>978</v>
      </c>
      <c r="L178" s="9" t="s">
        <v>978</v>
      </c>
      <c r="M178" s="18" t="s">
        <v>979</v>
      </c>
      <c r="N178" s="9" t="s">
        <v>980</v>
      </c>
      <c r="O178" s="9" t="s">
        <v>963</v>
      </c>
      <c r="R178" s="9" t="s">
        <v>966</v>
      </c>
      <c r="S178" t="s">
        <v>966</v>
      </c>
      <c r="T178" s="59">
        <v>44011</v>
      </c>
      <c r="U178" s="43">
        <v>47.207729999999998</v>
      </c>
      <c r="V178" s="43">
        <v>-122.80525</v>
      </c>
      <c r="W178" t="str">
        <f>VLOOKUP(B178,[1]Plantings!$A$2:$E$285,4,FALSE)</f>
        <v>point</v>
      </c>
      <c r="X178" s="43" t="str">
        <f>VLOOKUP(B178,[1]Plantings!$A$2:$E$285,5,FALSE)</f>
        <v>retain</v>
      </c>
      <c r="Y178" s="48" t="s">
        <v>9</v>
      </c>
      <c r="Z178" s="44">
        <v>-1.9</v>
      </c>
      <c r="AA178" s="45" t="s">
        <v>982</v>
      </c>
      <c r="AB178">
        <v>2.5</v>
      </c>
      <c r="AC178">
        <v>2.5</v>
      </c>
      <c r="AD178">
        <f t="shared" ref="AD178:AD186" si="25">AB178*AC178</f>
        <v>6.25</v>
      </c>
      <c r="AE178">
        <f>AG178*0.25</f>
        <v>5</v>
      </c>
      <c r="AF178" s="46">
        <f t="shared" si="24"/>
        <v>0.5</v>
      </c>
      <c r="AG178">
        <v>20</v>
      </c>
      <c r="AH178">
        <v>500</v>
      </c>
      <c r="AI178" s="45">
        <f t="shared" si="21"/>
        <v>80</v>
      </c>
      <c r="AJ178" s="45">
        <f t="shared" si="22"/>
        <v>100</v>
      </c>
      <c r="AK178" t="s">
        <v>995</v>
      </c>
      <c r="AL178" s="8" t="s">
        <v>1277</v>
      </c>
    </row>
    <row r="179" spans="1:38" x14ac:dyDescent="0.25">
      <c r="A179" t="s">
        <v>1157</v>
      </c>
      <c r="B179" t="s">
        <v>1278</v>
      </c>
      <c r="C179" t="str">
        <f>VLOOKUP(B179,[1]Plantings!$A$2:$C$285,2,FALSE)</f>
        <v>JSP_south_test</v>
      </c>
      <c r="D179" t="str">
        <f>VLOOKUP(B179,[1]Plantings!$A$2:$C$285,3,FALSE)</f>
        <v>single</v>
      </c>
      <c r="E179" s="18">
        <v>2021</v>
      </c>
      <c r="G179" s="9" t="s">
        <v>7</v>
      </c>
      <c r="H179" s="9" t="s">
        <v>301</v>
      </c>
      <c r="I179" s="9" t="s">
        <v>957</v>
      </c>
      <c r="J179" s="9" t="s">
        <v>971</v>
      </c>
      <c r="K179" s="9" t="s">
        <v>971</v>
      </c>
      <c r="L179" s="9"/>
      <c r="M179" s="18"/>
      <c r="N179" s="9"/>
      <c r="O179" s="9"/>
      <c r="R179" s="9" t="s">
        <v>966</v>
      </c>
      <c r="S179" t="s">
        <v>966</v>
      </c>
      <c r="T179" s="59">
        <v>44372</v>
      </c>
      <c r="U179" s="43"/>
      <c r="V179" s="43"/>
      <c r="W179" t="str">
        <f>VLOOKUP(B179,[1]Plantings!$A$2:$E$285,4,FALSE)</f>
        <v>point</v>
      </c>
      <c r="X179" s="43" t="str">
        <f>VLOOKUP(B179,[1]Plantings!$A$2:$E$285,5,FALSE)</f>
        <v>retain</v>
      </c>
      <c r="Y179" s="48" t="s">
        <v>9</v>
      </c>
      <c r="Z179" s="44">
        <v>-1.5</v>
      </c>
      <c r="AA179" s="45" t="s">
        <v>982</v>
      </c>
      <c r="AB179">
        <v>3.5</v>
      </c>
      <c r="AC179">
        <v>0.5</v>
      </c>
      <c r="AD179">
        <f t="shared" si="25"/>
        <v>1.75</v>
      </c>
      <c r="AE179">
        <f>AG179*0.25</f>
        <v>2.25</v>
      </c>
      <c r="AF179" s="46">
        <f t="shared" si="24"/>
        <v>0.22500000000000001</v>
      </c>
      <c r="AG179" s="47">
        <v>9</v>
      </c>
      <c r="AH179">
        <v>135</v>
      </c>
      <c r="AI179" s="45">
        <f t="shared" si="21"/>
        <v>77.142857142857139</v>
      </c>
      <c r="AJ179" s="45">
        <f t="shared" si="22"/>
        <v>60</v>
      </c>
      <c r="AK179" t="s">
        <v>1021</v>
      </c>
      <c r="AL179" s="8" t="s">
        <v>1279</v>
      </c>
    </row>
    <row r="180" spans="1:38" x14ac:dyDescent="0.25">
      <c r="A180" t="s">
        <v>1157</v>
      </c>
      <c r="B180" t="s">
        <v>1280</v>
      </c>
      <c r="C180" t="str">
        <f>VLOOKUP(B180,[1]Plantings!$A$2:$C$285,2,FALSE)</f>
        <v>JSP_mid_connect</v>
      </c>
      <c r="D180" t="str">
        <f>VLOOKUP(B180,[1]Plantings!$A$2:$C$285,3,FALSE)</f>
        <v>single</v>
      </c>
      <c r="E180" s="18">
        <v>2022</v>
      </c>
      <c r="G180" s="9" t="s">
        <v>7</v>
      </c>
      <c r="H180" s="9" t="s">
        <v>301</v>
      </c>
      <c r="I180" s="9" t="s">
        <v>957</v>
      </c>
      <c r="J180" s="9" t="s">
        <v>971</v>
      </c>
      <c r="K180" s="9" t="s">
        <v>971</v>
      </c>
      <c r="L180" s="9"/>
      <c r="M180" s="18"/>
      <c r="N180" s="9"/>
      <c r="O180" s="9"/>
      <c r="R180" s="9" t="s">
        <v>966</v>
      </c>
      <c r="S180" t="s">
        <v>966</v>
      </c>
      <c r="T180" s="59">
        <v>44729</v>
      </c>
      <c r="U180" s="43"/>
      <c r="V180" s="43"/>
      <c r="W180" t="str">
        <f>VLOOKUP(B180,[1]Plantings!$A$2:$E$285,4,FALSE)</f>
        <v>point</v>
      </c>
      <c r="X180" s="43" t="str">
        <f>VLOOKUP(B180,[1]Plantings!$A$2:$E$285,5,FALSE)</f>
        <v>retain</v>
      </c>
      <c r="Y180" s="48" t="s">
        <v>9</v>
      </c>
      <c r="Z180" s="44">
        <v>-1.5</v>
      </c>
      <c r="AA180" s="45" t="s">
        <v>982</v>
      </c>
      <c r="AB180">
        <v>2.5</v>
      </c>
      <c r="AC180">
        <v>0.5</v>
      </c>
      <c r="AD180">
        <f t="shared" si="25"/>
        <v>1.25</v>
      </c>
      <c r="AE180">
        <v>1.75</v>
      </c>
      <c r="AF180" s="46">
        <f t="shared" si="24"/>
        <v>0.375</v>
      </c>
      <c r="AG180" s="47">
        <v>15</v>
      </c>
      <c r="AH180">
        <v>180</v>
      </c>
      <c r="AI180" s="45">
        <f t="shared" si="21"/>
        <v>144</v>
      </c>
      <c r="AJ180" s="45">
        <f t="shared" si="22"/>
        <v>102.85714285714286</v>
      </c>
      <c r="AK180" t="s">
        <v>1021</v>
      </c>
      <c r="AL180" s="8" t="s">
        <v>1281</v>
      </c>
    </row>
    <row r="181" spans="1:38" x14ac:dyDescent="0.25">
      <c r="A181" t="s">
        <v>1157</v>
      </c>
      <c r="B181" t="s">
        <v>1282</v>
      </c>
      <c r="C181" t="str">
        <f>VLOOKUP(B181,[1]Plantings!$A$2:$C$285,2,FALSE)</f>
        <v>HC_off_1</v>
      </c>
      <c r="D181" t="str">
        <f>VLOOKUP(B181,[1]Plantings!$A$2:$C$285,3,FALSE)</f>
        <v>single</v>
      </c>
      <c r="E181" s="18">
        <v>2022</v>
      </c>
      <c r="G181" s="9" t="s">
        <v>7</v>
      </c>
      <c r="H181" s="9" t="s">
        <v>301</v>
      </c>
      <c r="I181" s="9" t="s">
        <v>957</v>
      </c>
      <c r="J181" s="9" t="s">
        <v>971</v>
      </c>
      <c r="K181" s="9" t="s">
        <v>971</v>
      </c>
      <c r="L181" s="9"/>
      <c r="M181" s="18"/>
      <c r="N181" s="9"/>
      <c r="O181" s="9"/>
      <c r="R181" s="9" t="s">
        <v>966</v>
      </c>
      <c r="S181" t="s">
        <v>966</v>
      </c>
      <c r="T181" s="59">
        <v>44729</v>
      </c>
      <c r="U181" s="43"/>
      <c r="V181" s="43"/>
      <c r="W181" t="str">
        <f>VLOOKUP(B181,[1]Plantings!$A$2:$E$285,4,FALSE)</f>
        <v>point</v>
      </c>
      <c r="X181" s="43" t="str">
        <f>VLOOKUP(B181,[1]Plantings!$A$2:$E$285,5,FALSE)</f>
        <v>retain</v>
      </c>
      <c r="Y181" s="48" t="s">
        <v>9</v>
      </c>
      <c r="Z181" s="44">
        <v>-1.5</v>
      </c>
      <c r="AA181" s="45" t="s">
        <v>982</v>
      </c>
      <c r="AB181">
        <v>1</v>
      </c>
      <c r="AC181">
        <v>0.5</v>
      </c>
      <c r="AD181">
        <f t="shared" si="25"/>
        <v>0.5</v>
      </c>
      <c r="AE181">
        <v>0.25</v>
      </c>
      <c r="AF181" s="46">
        <f t="shared" si="24"/>
        <v>0.15000000000000002</v>
      </c>
      <c r="AG181" s="47">
        <v>6</v>
      </c>
      <c r="AH181">
        <v>48</v>
      </c>
      <c r="AI181" s="45">
        <f t="shared" si="21"/>
        <v>96</v>
      </c>
      <c r="AJ181" s="45">
        <f t="shared" si="22"/>
        <v>192</v>
      </c>
      <c r="AK181" t="s">
        <v>1021</v>
      </c>
      <c r="AL181" s="8" t="s">
        <v>1283</v>
      </c>
    </row>
    <row r="182" spans="1:38" x14ac:dyDescent="0.25">
      <c r="A182" t="s">
        <v>1157</v>
      </c>
      <c r="B182" t="s">
        <v>1284</v>
      </c>
      <c r="C182" t="str">
        <f>VLOOKUP(B182,[1]Plantings!$A$2:$C$285,2,FALSE)</f>
        <v>HC_off_2</v>
      </c>
      <c r="D182" t="str">
        <f>VLOOKUP(B182,[1]Plantings!$A$2:$C$285,3,FALSE)</f>
        <v>single</v>
      </c>
      <c r="E182" s="18">
        <v>2025</v>
      </c>
      <c r="G182" s="9" t="s">
        <v>7</v>
      </c>
      <c r="H182" s="9" t="s">
        <v>301</v>
      </c>
      <c r="I182" s="9" t="s">
        <v>957</v>
      </c>
      <c r="J182" s="9" t="s">
        <v>971</v>
      </c>
      <c r="K182" s="9" t="s">
        <v>971</v>
      </c>
      <c r="L182" s="9"/>
      <c r="M182" s="18"/>
      <c r="N182" s="9"/>
      <c r="O182" s="9"/>
      <c r="R182" s="9" t="s">
        <v>966</v>
      </c>
      <c r="S182" t="s">
        <v>966</v>
      </c>
      <c r="T182" s="59">
        <v>45848</v>
      </c>
      <c r="U182" s="43"/>
      <c r="V182" s="43"/>
      <c r="W182" t="str">
        <f>VLOOKUP(B182,[1]Plantings!$A$2:$E$285,4,FALSE)</f>
        <v>point</v>
      </c>
      <c r="X182" s="43" t="str">
        <f>VLOOKUP(B182,[1]Plantings!$A$2:$E$285,5,FALSE)</f>
        <v>retain</v>
      </c>
      <c r="Y182" s="48" t="s">
        <v>9</v>
      </c>
      <c r="Z182" s="44">
        <v>-1.5</v>
      </c>
      <c r="AA182" s="45" t="s">
        <v>982</v>
      </c>
      <c r="AB182">
        <v>32</v>
      </c>
      <c r="AC182">
        <v>0.5</v>
      </c>
      <c r="AD182">
        <f t="shared" si="25"/>
        <v>16</v>
      </c>
      <c r="AE182">
        <v>16</v>
      </c>
      <c r="AF182" s="46">
        <f t="shared" si="24"/>
        <v>0.8</v>
      </c>
      <c r="AG182" s="47">
        <v>32</v>
      </c>
      <c r="AH182">
        <v>700</v>
      </c>
      <c r="AI182" s="45">
        <f t="shared" si="21"/>
        <v>43.75</v>
      </c>
      <c r="AJ182" s="45">
        <f t="shared" si="22"/>
        <v>43.75</v>
      </c>
      <c r="AK182" t="s">
        <v>1021</v>
      </c>
      <c r="AL182" s="8" t="s">
        <v>1285</v>
      </c>
    </row>
    <row r="183" spans="1:38" x14ac:dyDescent="0.25">
      <c r="A183" t="s">
        <v>1286</v>
      </c>
      <c r="B183" t="s">
        <v>1287</v>
      </c>
      <c r="C183" t="str">
        <f>VLOOKUP(B183,[1]Plantings!$A$2:$C$285,2,FALSE)</f>
        <v>KYP_dog1</v>
      </c>
      <c r="D183" t="str">
        <f>VLOOKUP(B183,[1]Plantings!$A$2:$C$285,3,FALSE)</f>
        <v>single</v>
      </c>
      <c r="E183" s="18">
        <v>2020</v>
      </c>
      <c r="G183" t="s">
        <v>7</v>
      </c>
      <c r="H183" t="s">
        <v>670</v>
      </c>
      <c r="I183" t="s">
        <v>957</v>
      </c>
      <c r="J183" s="9" t="s">
        <v>1014</v>
      </c>
      <c r="K183" s="9" t="s">
        <v>978</v>
      </c>
      <c r="L183" s="9" t="s">
        <v>978</v>
      </c>
      <c r="M183" s="18" t="s">
        <v>979</v>
      </c>
      <c r="N183" s="9" t="s">
        <v>980</v>
      </c>
      <c r="O183" s="9" t="s">
        <v>963</v>
      </c>
      <c r="R183" s="9" t="s">
        <v>966</v>
      </c>
      <c r="S183" t="s">
        <v>966</v>
      </c>
      <c r="T183" s="59">
        <v>44012</v>
      </c>
      <c r="U183" s="43">
        <v>47.177030000000002</v>
      </c>
      <c r="V183" s="43">
        <v>-122.7462833</v>
      </c>
      <c r="W183" t="str">
        <f>VLOOKUP(B183,[1]Plantings!$A$2:$E$285,4,FALSE)</f>
        <v>point</v>
      </c>
      <c r="X183" s="43" t="str">
        <f>VLOOKUP(B183,[1]Plantings!$A$2:$E$285,5,FALSE)</f>
        <v>retain</v>
      </c>
      <c r="Y183" s="48" t="s">
        <v>9</v>
      </c>
      <c r="Z183" s="44">
        <v>-1.7</v>
      </c>
      <c r="AA183" s="45" t="s">
        <v>982</v>
      </c>
      <c r="AB183">
        <v>2.5</v>
      </c>
      <c r="AC183">
        <v>2.5</v>
      </c>
      <c r="AD183">
        <f t="shared" si="25"/>
        <v>6.25</v>
      </c>
      <c r="AE183">
        <f>AG183*0.25</f>
        <v>4.75</v>
      </c>
      <c r="AF183" s="46">
        <v>0.15</v>
      </c>
      <c r="AG183">
        <v>19</v>
      </c>
      <c r="AH183">
        <v>475</v>
      </c>
      <c r="AI183" s="45">
        <f t="shared" si="21"/>
        <v>76</v>
      </c>
      <c r="AJ183" s="45">
        <f t="shared" si="22"/>
        <v>100</v>
      </c>
      <c r="AK183" t="s">
        <v>61</v>
      </c>
      <c r="AL183" s="8" t="s">
        <v>1288</v>
      </c>
    </row>
    <row r="184" spans="1:38" x14ac:dyDescent="0.25">
      <c r="A184" t="s">
        <v>44</v>
      </c>
      <c r="B184" t="s">
        <v>1289</v>
      </c>
      <c r="C184" t="str">
        <f>VLOOKUP(B184,[1]Plantings!$A$2:$C$285,2,FALSE)</f>
        <v>LBT_east</v>
      </c>
      <c r="D184" t="str">
        <f>VLOOKUP(B184,[1]Plantings!$A$2:$C$285,3,FALSE)</f>
        <v>single</v>
      </c>
      <c r="E184">
        <v>2013</v>
      </c>
      <c r="F184" t="s">
        <v>956</v>
      </c>
      <c r="G184" t="s">
        <v>7</v>
      </c>
      <c r="H184" t="s">
        <v>44</v>
      </c>
      <c r="I184" t="s">
        <v>957</v>
      </c>
      <c r="J184" t="s">
        <v>958</v>
      </c>
      <c r="K184" t="s">
        <v>959</v>
      </c>
      <c r="L184" t="s">
        <v>960</v>
      </c>
      <c r="M184" t="s">
        <v>961</v>
      </c>
      <c r="N184" t="s">
        <v>962</v>
      </c>
      <c r="O184" t="s">
        <v>963</v>
      </c>
      <c r="P184" t="s">
        <v>964</v>
      </c>
      <c r="Q184" t="s">
        <v>965</v>
      </c>
      <c r="R184" t="s">
        <v>966</v>
      </c>
      <c r="S184" t="s">
        <v>966</v>
      </c>
      <c r="T184" s="59">
        <v>41432</v>
      </c>
      <c r="U184" s="43">
        <v>47.703783333333334</v>
      </c>
      <c r="V184" s="43">
        <v>-122.60514999999999</v>
      </c>
      <c r="W184" t="str">
        <f>VLOOKUP(B184,[1]Plantings!$A$2:$E$285,4,FALSE)</f>
        <v>point</v>
      </c>
      <c r="X184" s="43" t="str">
        <f>VLOOKUP(B184,[1]Plantings!$A$2:$E$285,5,FALSE)</f>
        <v>retain</v>
      </c>
      <c r="Y184" s="48" t="s">
        <v>9</v>
      </c>
      <c r="Z184" s="44">
        <v>-1.524</v>
      </c>
      <c r="AA184" s="45" t="s">
        <v>967</v>
      </c>
      <c r="AB184">
        <v>6</v>
      </c>
      <c r="AC184">
        <v>6</v>
      </c>
      <c r="AD184">
        <f t="shared" si="25"/>
        <v>36</v>
      </c>
      <c r="AE184">
        <v>36</v>
      </c>
      <c r="AF184" s="46">
        <f t="shared" ref="AF184:AF189" si="26">IF(AA184="staple",AG184*0.005,IF(AA184="rebar",AG184*0.025,IF(AA184="burlap",AG184*0.0625,IF(AA184="washer",AG184*0.0025,IF(AA184="pucks",AG184*0.00785,IF(AA184="turf",AG184*0.01,IF(AA184="","")))))))</f>
        <v>0.9</v>
      </c>
      <c r="AG184" s="47">
        <f>AH184/4</f>
        <v>180</v>
      </c>
      <c r="AH184" s="47">
        <v>720</v>
      </c>
      <c r="AI184" s="45">
        <f t="shared" si="21"/>
        <v>20</v>
      </c>
      <c r="AJ184" s="45">
        <f t="shared" si="22"/>
        <v>20</v>
      </c>
      <c r="AK184" t="s">
        <v>1290</v>
      </c>
    </row>
    <row r="185" spans="1:38" x14ac:dyDescent="0.25">
      <c r="A185" t="s">
        <v>44</v>
      </c>
      <c r="B185" t="s">
        <v>1291</v>
      </c>
      <c r="C185" t="str">
        <f>VLOOKUP(B185,[1]Plantings!$A$2:$C$285,2,FALSE)</f>
        <v>LBT_west</v>
      </c>
      <c r="D185" t="str">
        <f>VLOOKUP(B185,[1]Plantings!$A$2:$C$285,3,FALSE)</f>
        <v>single</v>
      </c>
      <c r="E185">
        <v>2013</v>
      </c>
      <c r="F185" t="s">
        <v>956</v>
      </c>
      <c r="G185" t="s">
        <v>7</v>
      </c>
      <c r="H185" t="s">
        <v>44</v>
      </c>
      <c r="I185" t="s">
        <v>957</v>
      </c>
      <c r="J185" t="s">
        <v>958</v>
      </c>
      <c r="K185" t="s">
        <v>959</v>
      </c>
      <c r="L185" t="s">
        <v>960</v>
      </c>
      <c r="M185" t="s">
        <v>961</v>
      </c>
      <c r="N185" t="s">
        <v>962</v>
      </c>
      <c r="O185" t="s">
        <v>963</v>
      </c>
      <c r="P185" t="s">
        <v>964</v>
      </c>
      <c r="Q185" t="s">
        <v>965</v>
      </c>
      <c r="R185" t="s">
        <v>966</v>
      </c>
      <c r="S185" t="s">
        <v>966</v>
      </c>
      <c r="T185" s="59">
        <v>41432</v>
      </c>
      <c r="U185" s="43">
        <v>47.71</v>
      </c>
      <c r="V185" s="43">
        <v>-122.61401666666667</v>
      </c>
      <c r="W185" t="str">
        <f>VLOOKUP(B185,[1]Plantings!$A$2:$E$285,4,FALSE)</f>
        <v>point</v>
      </c>
      <c r="X185" s="43" t="str">
        <f>VLOOKUP(B185,[1]Plantings!$A$2:$E$285,5,FALSE)</f>
        <v>retain</v>
      </c>
      <c r="Y185" s="48" t="s">
        <v>9</v>
      </c>
      <c r="Z185" s="44">
        <v>-1.6763999999999999</v>
      </c>
      <c r="AA185" s="45" t="s">
        <v>967</v>
      </c>
      <c r="AB185">
        <v>5</v>
      </c>
      <c r="AC185">
        <v>6</v>
      </c>
      <c r="AD185">
        <f t="shared" si="25"/>
        <v>30</v>
      </c>
      <c r="AE185">
        <v>30</v>
      </c>
      <c r="AF185" s="46">
        <f t="shared" si="26"/>
        <v>0.75</v>
      </c>
      <c r="AG185" s="47">
        <f>AH185/4</f>
        <v>150</v>
      </c>
      <c r="AH185" s="47">
        <v>600</v>
      </c>
      <c r="AI185" s="45">
        <f t="shared" si="21"/>
        <v>20</v>
      </c>
      <c r="AJ185" s="45">
        <f t="shared" si="22"/>
        <v>20</v>
      </c>
      <c r="AK185" t="s">
        <v>1290</v>
      </c>
    </row>
    <row r="186" spans="1:38" x14ac:dyDescent="0.25">
      <c r="A186" t="s">
        <v>1292</v>
      </c>
      <c r="B186" t="s">
        <v>1293</v>
      </c>
      <c r="C186" t="str">
        <f>VLOOKUP(B186,[1]Plantings!$A$2:$C$285,2,FALSE)</f>
        <v>MCD_south_L1</v>
      </c>
      <c r="D186" t="str">
        <f>VLOOKUP(B186,[1]Plantings!$A$2:$C$285,3,FALSE)</f>
        <v>single</v>
      </c>
      <c r="E186">
        <v>2017</v>
      </c>
      <c r="F186" t="s">
        <v>956</v>
      </c>
      <c r="G186" s="9" t="s">
        <v>987</v>
      </c>
      <c r="H186" t="s">
        <v>670</v>
      </c>
      <c r="I186" t="s">
        <v>957</v>
      </c>
      <c r="J186" t="s">
        <v>988</v>
      </c>
      <c r="K186" t="s">
        <v>959</v>
      </c>
      <c r="L186" t="s">
        <v>960</v>
      </c>
      <c r="M186" t="s">
        <v>989</v>
      </c>
      <c r="N186" t="s">
        <v>990</v>
      </c>
      <c r="O186" t="s">
        <v>991</v>
      </c>
      <c r="P186" t="s">
        <v>992</v>
      </c>
      <c r="Q186" t="s">
        <v>993</v>
      </c>
      <c r="R186" t="s">
        <v>966</v>
      </c>
      <c r="S186" t="s">
        <v>966</v>
      </c>
      <c r="T186" s="59">
        <v>42859</v>
      </c>
      <c r="U186" s="50">
        <v>47.198616700000002</v>
      </c>
      <c r="V186" s="50">
        <v>-122.7392667</v>
      </c>
      <c r="W186" t="str">
        <f>VLOOKUP(B186,[1]Plantings!$A$2:$E$285,4,FALSE)</f>
        <v>line</v>
      </c>
      <c r="X186" s="43" t="str">
        <f>VLOOKUP(B186,[1]Plantings!$A$2:$E$285,5,FALSE)</f>
        <v>retain</v>
      </c>
      <c r="Y186" s="48" t="s">
        <v>9</v>
      </c>
      <c r="Z186">
        <v>-1.6</v>
      </c>
      <c r="AA186" t="s">
        <v>994</v>
      </c>
      <c r="AB186">
        <v>5</v>
      </c>
      <c r="AC186">
        <v>5</v>
      </c>
      <c r="AD186">
        <f t="shared" si="25"/>
        <v>25</v>
      </c>
      <c r="AE186">
        <v>39</v>
      </c>
      <c r="AF186" s="46">
        <f t="shared" si="26"/>
        <v>0.99</v>
      </c>
      <c r="AG186" s="47">
        <v>99</v>
      </c>
      <c r="AH186" s="66">
        <v>998</v>
      </c>
      <c r="AI186" s="45">
        <f t="shared" si="21"/>
        <v>39.92</v>
      </c>
      <c r="AJ186" s="45">
        <f t="shared" si="22"/>
        <v>25.589743589743591</v>
      </c>
      <c r="AK186" t="s">
        <v>995</v>
      </c>
      <c r="AL186" s="51" t="s">
        <v>1294</v>
      </c>
    </row>
    <row r="187" spans="1:38" x14ac:dyDescent="0.25">
      <c r="A187" t="s">
        <v>1292</v>
      </c>
      <c r="B187" t="s">
        <v>1295</v>
      </c>
      <c r="C187" t="str">
        <f>VLOOKUP(B187,[1]Plantings!$A$2:$C$285,2,FALSE)</f>
        <v>MCD_south_L1</v>
      </c>
      <c r="D187" t="str">
        <f>VLOOKUP(B187,[1]Plantings!$A$2:$C$285,3,FALSE)</f>
        <v>single</v>
      </c>
      <c r="E187">
        <v>2017</v>
      </c>
      <c r="F187" t="s">
        <v>956</v>
      </c>
      <c r="G187" s="9" t="s">
        <v>987</v>
      </c>
      <c r="H187" t="s">
        <v>670</v>
      </c>
      <c r="I187" t="s">
        <v>957</v>
      </c>
      <c r="J187" t="s">
        <v>988</v>
      </c>
      <c r="K187" t="s">
        <v>959</v>
      </c>
      <c r="L187" t="s">
        <v>960</v>
      </c>
      <c r="M187" t="s">
        <v>989</v>
      </c>
      <c r="N187" t="s">
        <v>990</v>
      </c>
      <c r="O187" t="s">
        <v>991</v>
      </c>
      <c r="P187" t="s">
        <v>992</v>
      </c>
      <c r="Q187" t="s">
        <v>993</v>
      </c>
      <c r="R187" t="s">
        <v>966</v>
      </c>
      <c r="S187" s="52" t="s">
        <v>998</v>
      </c>
      <c r="T187" s="59">
        <v>42859</v>
      </c>
      <c r="U187" s="50">
        <v>47.198683299999999</v>
      </c>
      <c r="V187" s="50">
        <v>-122.7392333</v>
      </c>
      <c r="W187" t="str">
        <f>VLOOKUP(B187,[1]Plantings!$A$2:$E$285,4,FALSE)</f>
        <v>line</v>
      </c>
      <c r="X187" s="43" t="str">
        <f>VLOOKUP(B187,[1]Plantings!$A$2:$E$285,5,FALSE)</f>
        <v>retain</v>
      </c>
      <c r="Y187" s="48" t="s">
        <v>9</v>
      </c>
      <c r="AF187" s="46" t="str">
        <f t="shared" si="26"/>
        <v/>
      </c>
      <c r="AG187" s="47"/>
      <c r="AH187" s="66"/>
      <c r="AI187" s="45" t="str">
        <f t="shared" si="21"/>
        <v/>
      </c>
      <c r="AJ187" s="45" t="str">
        <f t="shared" si="22"/>
        <v/>
      </c>
      <c r="AL187" s="51"/>
    </row>
    <row r="188" spans="1:38" x14ac:dyDescent="0.25">
      <c r="A188" t="s">
        <v>1292</v>
      </c>
      <c r="B188" t="s">
        <v>1296</v>
      </c>
      <c r="C188" t="str">
        <f>VLOOKUP(B188,[1]Plantings!$A$2:$C$285,2,FALSE)</f>
        <v>MCD_north_L1</v>
      </c>
      <c r="D188" t="str">
        <f>VLOOKUP(B188,[1]Plantings!$A$2:$C$285,3,FALSE)</f>
        <v>single</v>
      </c>
      <c r="E188">
        <v>2017</v>
      </c>
      <c r="F188" t="s">
        <v>956</v>
      </c>
      <c r="G188" s="9" t="s">
        <v>987</v>
      </c>
      <c r="H188" t="s">
        <v>670</v>
      </c>
      <c r="I188" t="s">
        <v>957</v>
      </c>
      <c r="J188" t="s">
        <v>988</v>
      </c>
      <c r="K188" t="s">
        <v>959</v>
      </c>
      <c r="L188" t="s">
        <v>960</v>
      </c>
      <c r="M188" t="s">
        <v>989</v>
      </c>
      <c r="N188" t="s">
        <v>990</v>
      </c>
      <c r="O188" t="s">
        <v>991</v>
      </c>
      <c r="P188" t="s">
        <v>992</v>
      </c>
      <c r="Q188" t="s">
        <v>993</v>
      </c>
      <c r="R188" t="s">
        <v>966</v>
      </c>
      <c r="S188" t="s">
        <v>966</v>
      </c>
      <c r="T188" s="59">
        <v>42859</v>
      </c>
      <c r="U188" s="50">
        <v>47.198983300000002</v>
      </c>
      <c r="V188" s="50">
        <v>-122.7391667</v>
      </c>
      <c r="W188" t="str">
        <f>VLOOKUP(B188,[1]Plantings!$A$2:$E$285,4,FALSE)</f>
        <v>line</v>
      </c>
      <c r="X188" s="43" t="str">
        <f>VLOOKUP(B188,[1]Plantings!$A$2:$E$285,5,FALSE)</f>
        <v>retain</v>
      </c>
      <c r="Y188" s="48" t="s">
        <v>9</v>
      </c>
      <c r="Z188">
        <v>-1.6</v>
      </c>
      <c r="AA188" t="s">
        <v>994</v>
      </c>
      <c r="AB188">
        <v>5</v>
      </c>
      <c r="AC188">
        <v>5</v>
      </c>
      <c r="AD188">
        <f>AB188*AC188</f>
        <v>25</v>
      </c>
      <c r="AE188">
        <v>39</v>
      </c>
      <c r="AF188" s="46">
        <f t="shared" si="26"/>
        <v>0.99</v>
      </c>
      <c r="AG188" s="47">
        <v>99</v>
      </c>
      <c r="AH188" s="66">
        <v>994</v>
      </c>
      <c r="AI188" s="45">
        <f t="shared" si="21"/>
        <v>39.76</v>
      </c>
      <c r="AJ188" s="45">
        <f t="shared" si="22"/>
        <v>25.487179487179485</v>
      </c>
      <c r="AK188" t="s">
        <v>995</v>
      </c>
      <c r="AL188" s="51" t="s">
        <v>1297</v>
      </c>
    </row>
    <row r="189" spans="1:38" x14ac:dyDescent="0.25">
      <c r="A189" t="s">
        <v>1292</v>
      </c>
      <c r="B189" t="s">
        <v>1298</v>
      </c>
      <c r="C189" t="str">
        <f>VLOOKUP(B189,[1]Plantings!$A$2:$C$285,2,FALSE)</f>
        <v>MCD_north_L1</v>
      </c>
      <c r="D189" t="str">
        <f>VLOOKUP(B189,[1]Plantings!$A$2:$C$285,3,FALSE)</f>
        <v>single</v>
      </c>
      <c r="E189">
        <v>2017</v>
      </c>
      <c r="F189" t="s">
        <v>956</v>
      </c>
      <c r="G189" s="9" t="s">
        <v>987</v>
      </c>
      <c r="H189" t="s">
        <v>670</v>
      </c>
      <c r="I189" t="s">
        <v>957</v>
      </c>
      <c r="J189" t="s">
        <v>988</v>
      </c>
      <c r="K189" t="s">
        <v>959</v>
      </c>
      <c r="L189" t="s">
        <v>960</v>
      </c>
      <c r="M189" t="s">
        <v>989</v>
      </c>
      <c r="N189" t="s">
        <v>990</v>
      </c>
      <c r="O189" t="s">
        <v>991</v>
      </c>
      <c r="P189" t="s">
        <v>992</v>
      </c>
      <c r="Q189" t="s">
        <v>993</v>
      </c>
      <c r="R189" t="s">
        <v>966</v>
      </c>
      <c r="S189" s="52" t="s">
        <v>998</v>
      </c>
      <c r="T189" s="59">
        <v>42859</v>
      </c>
      <c r="U189" s="50">
        <v>47.199033300000004</v>
      </c>
      <c r="V189" s="50">
        <v>-122.73913330000001</v>
      </c>
      <c r="W189" t="str">
        <f>VLOOKUP(B189,[1]Plantings!$A$2:$E$285,4,FALSE)</f>
        <v>line</v>
      </c>
      <c r="X189" s="43" t="str">
        <f>VLOOKUP(B189,[1]Plantings!$A$2:$E$285,5,FALSE)</f>
        <v>retain</v>
      </c>
      <c r="Y189" s="48" t="s">
        <v>9</v>
      </c>
      <c r="AF189" s="46" t="str">
        <f t="shared" si="26"/>
        <v/>
      </c>
      <c r="AG189" s="47"/>
      <c r="AH189" s="47"/>
      <c r="AI189" s="45" t="str">
        <f t="shared" si="21"/>
        <v/>
      </c>
      <c r="AJ189" s="45" t="str">
        <f t="shared" si="22"/>
        <v/>
      </c>
      <c r="AL189" s="51"/>
    </row>
    <row r="190" spans="1:38" x14ac:dyDescent="0.25">
      <c r="A190" t="s">
        <v>1292</v>
      </c>
      <c r="B190" t="s">
        <v>1299</v>
      </c>
      <c r="C190" t="str">
        <f>VLOOKUP(B190,[1]Plantings!$A$2:$C$285,2,FALSE)</f>
        <v>MCD_1</v>
      </c>
      <c r="D190" t="str">
        <f>VLOOKUP(B190,[1]Plantings!$A$2:$C$285,3,FALSE)</f>
        <v>single</v>
      </c>
      <c r="E190" s="18">
        <v>2020</v>
      </c>
      <c r="F190" t="s">
        <v>956</v>
      </c>
      <c r="G190" t="s">
        <v>7</v>
      </c>
      <c r="H190" t="s">
        <v>670</v>
      </c>
      <c r="I190" t="s">
        <v>957</v>
      </c>
      <c r="J190" s="9" t="s">
        <v>1014</v>
      </c>
      <c r="K190" s="9" t="s">
        <v>978</v>
      </c>
      <c r="L190" s="9" t="s">
        <v>978</v>
      </c>
      <c r="M190" s="18" t="s">
        <v>979</v>
      </c>
      <c r="N190" s="9" t="s">
        <v>980</v>
      </c>
      <c r="O190" s="9" t="s">
        <v>963</v>
      </c>
      <c r="R190" s="9" t="s">
        <v>966</v>
      </c>
      <c r="S190" t="s">
        <v>966</v>
      </c>
      <c r="T190" s="59">
        <v>44012</v>
      </c>
      <c r="U190" s="43">
        <v>47.198129999999999</v>
      </c>
      <c r="V190" s="43">
        <v>-122.7396</v>
      </c>
      <c r="W190" t="str">
        <f>VLOOKUP(B190,[1]Plantings!$A$2:$E$285,4,FALSE)</f>
        <v>point</v>
      </c>
      <c r="X190" s="43" t="str">
        <f>VLOOKUP(B190,[1]Plantings!$A$2:$E$285,5,FALSE)</f>
        <v>retain</v>
      </c>
      <c r="Y190" s="48" t="s">
        <v>9</v>
      </c>
      <c r="Z190" s="44">
        <v>-1.7</v>
      </c>
      <c r="AA190" s="45" t="s">
        <v>982</v>
      </c>
      <c r="AB190">
        <v>2.5</v>
      </c>
      <c r="AC190">
        <v>2.5</v>
      </c>
      <c r="AD190">
        <f t="shared" ref="AD190:AD200" si="27">AB190*AC190</f>
        <v>6.25</v>
      </c>
      <c r="AE190">
        <f>AG190*0.25</f>
        <v>5</v>
      </c>
      <c r="AF190" s="46">
        <v>0.15</v>
      </c>
      <c r="AG190">
        <v>20</v>
      </c>
      <c r="AH190">
        <v>500</v>
      </c>
      <c r="AI190" s="45">
        <f t="shared" si="21"/>
        <v>80</v>
      </c>
      <c r="AJ190" s="45">
        <f t="shared" si="22"/>
        <v>100</v>
      </c>
      <c r="AK190" t="s">
        <v>61</v>
      </c>
      <c r="AL190" s="8" t="s">
        <v>1300</v>
      </c>
    </row>
    <row r="191" spans="1:38" x14ac:dyDescent="0.25">
      <c r="A191" t="s">
        <v>160</v>
      </c>
      <c r="B191" t="s">
        <v>1301</v>
      </c>
      <c r="C191" t="str">
        <f>VLOOKUP(B191,[1]Plantings!$A$2:$C$285,2,FALSE)</f>
        <v>MCN_north</v>
      </c>
      <c r="D191" t="str">
        <f>VLOOKUP(B191,[1]Plantings!$A$2:$C$285,3,FALSE)</f>
        <v>single</v>
      </c>
      <c r="E191">
        <v>2015</v>
      </c>
      <c r="G191" t="s">
        <v>7</v>
      </c>
      <c r="H191" t="s">
        <v>604</v>
      </c>
      <c r="I191" t="s">
        <v>957</v>
      </c>
      <c r="J191" t="s">
        <v>123</v>
      </c>
      <c r="K191" t="s">
        <v>971</v>
      </c>
      <c r="L191" t="s">
        <v>972</v>
      </c>
      <c r="O191" t="s">
        <v>963</v>
      </c>
      <c r="P191" t="s">
        <v>973</v>
      </c>
      <c r="Q191" t="s">
        <v>974</v>
      </c>
      <c r="R191" t="s">
        <v>966</v>
      </c>
      <c r="S191" t="s">
        <v>966</v>
      </c>
      <c r="T191" s="42">
        <v>42061</v>
      </c>
      <c r="U191" s="43">
        <v>47.224733333333333</v>
      </c>
      <c r="V191" s="43">
        <v>-122.67310000000001</v>
      </c>
      <c r="W191" t="str">
        <f>VLOOKUP(B191,[1]Plantings!$A$2:$E$285,4,FALSE)</f>
        <v>point</v>
      </c>
      <c r="X191" s="43" t="str">
        <f>VLOOKUP(B191,[1]Plantings!$A$2:$E$285,5,FALSE)</f>
        <v>retain</v>
      </c>
      <c r="Y191" s="48" t="s">
        <v>9</v>
      </c>
      <c r="Z191" s="44">
        <v>-0.76200000000000001</v>
      </c>
      <c r="AA191" s="45" t="s">
        <v>967</v>
      </c>
      <c r="AB191">
        <v>5</v>
      </c>
      <c r="AC191">
        <v>5</v>
      </c>
      <c r="AD191">
        <f t="shared" si="27"/>
        <v>25</v>
      </c>
      <c r="AE191">
        <v>25</v>
      </c>
      <c r="AF191" s="46">
        <f>IF(AA191="staple",AG191*0.005,IF(AA191="rebar",AG191*0.025,IF(AA191="burlap",AG191*0.0625,IF(AA191="washer",AG191*0.0025,IF(AA191="pucks",AG191*0.00785,IF(AA191="turf",AG191*0.01,IF(AA191="","")))))))</f>
        <v>0.625</v>
      </c>
      <c r="AG191" s="47">
        <f>AH191/4</f>
        <v>125</v>
      </c>
      <c r="AH191" s="47">
        <v>500</v>
      </c>
      <c r="AI191" s="45">
        <f t="shared" si="21"/>
        <v>20</v>
      </c>
      <c r="AJ191" s="45">
        <f t="shared" si="22"/>
        <v>20</v>
      </c>
      <c r="AK191" t="s">
        <v>975</v>
      </c>
    </row>
    <row r="192" spans="1:38" x14ac:dyDescent="0.25">
      <c r="A192" t="s">
        <v>160</v>
      </c>
      <c r="B192" t="s">
        <v>1302</v>
      </c>
      <c r="C192" t="str">
        <f>VLOOKUP(B192,[1]Plantings!$A$2:$C$285,2,FALSE)</f>
        <v>MCN_south_1</v>
      </c>
      <c r="D192" t="str">
        <f>VLOOKUP(B192,[1]Plantings!$A$2:$C$285,3,FALSE)</f>
        <v>single</v>
      </c>
      <c r="E192">
        <v>2016</v>
      </c>
      <c r="G192" s="9" t="s">
        <v>7</v>
      </c>
      <c r="H192" s="9" t="s">
        <v>604</v>
      </c>
      <c r="I192" t="s">
        <v>957</v>
      </c>
      <c r="J192" s="9" t="s">
        <v>1014</v>
      </c>
      <c r="K192" s="9" t="s">
        <v>562</v>
      </c>
      <c r="L192" s="9" t="s">
        <v>562</v>
      </c>
      <c r="M192" s="9" t="s">
        <v>1040</v>
      </c>
      <c r="N192" s="9"/>
      <c r="O192" s="9" t="s">
        <v>963</v>
      </c>
      <c r="P192" s="9" t="s">
        <v>1041</v>
      </c>
      <c r="R192" s="9" t="s">
        <v>966</v>
      </c>
      <c r="S192" s="9" t="s">
        <v>966</v>
      </c>
      <c r="T192" s="42">
        <v>42634</v>
      </c>
      <c r="U192" s="204">
        <v>47.191533333333332</v>
      </c>
      <c r="V192" s="204">
        <v>-122.67189999999999</v>
      </c>
      <c r="W192" t="str">
        <f>VLOOKUP(B192,[1]Plantings!$A$2:$E$285,4,FALSE)</f>
        <v>point</v>
      </c>
      <c r="X192" s="43" t="str">
        <f>VLOOKUP(B192,[1]Plantings!$A$2:$E$285,5,FALSE)</f>
        <v>retain</v>
      </c>
      <c r="Y192" s="48" t="s">
        <v>9</v>
      </c>
      <c r="Z192" s="44">
        <v>-1.5849599999999999</v>
      </c>
      <c r="AA192" t="s">
        <v>982</v>
      </c>
      <c r="AB192">
        <v>2.5</v>
      </c>
      <c r="AC192">
        <v>2.5</v>
      </c>
      <c r="AD192">
        <f t="shared" si="27"/>
        <v>6.25</v>
      </c>
      <c r="AE192">
        <f>AG192*0.25</f>
        <v>5</v>
      </c>
      <c r="AF192" s="46">
        <v>0.15</v>
      </c>
      <c r="AG192" s="47">
        <v>20</v>
      </c>
      <c r="AH192" s="47">
        <v>500</v>
      </c>
      <c r="AI192" s="45">
        <f t="shared" si="21"/>
        <v>80</v>
      </c>
      <c r="AJ192" s="45">
        <f t="shared" si="22"/>
        <v>100</v>
      </c>
      <c r="AK192" t="s">
        <v>983</v>
      </c>
    </row>
    <row r="193" spans="1:38" x14ac:dyDescent="0.25">
      <c r="A193" t="s">
        <v>160</v>
      </c>
      <c r="B193" t="s">
        <v>1303</v>
      </c>
      <c r="C193" t="str">
        <f>VLOOKUP(B193,[1]Plantings!$A$2:$C$285,2,FALSE)</f>
        <v>MCN_south_2</v>
      </c>
      <c r="D193" t="str">
        <f>VLOOKUP(B193,[1]Plantings!$A$2:$C$285,3,FALSE)</f>
        <v>single</v>
      </c>
      <c r="E193">
        <v>2016</v>
      </c>
      <c r="G193" s="9" t="s">
        <v>7</v>
      </c>
      <c r="H193" s="9" t="s">
        <v>604</v>
      </c>
      <c r="I193" t="s">
        <v>957</v>
      </c>
      <c r="J193" s="9" t="s">
        <v>1014</v>
      </c>
      <c r="K193" s="9" t="s">
        <v>562</v>
      </c>
      <c r="L193" s="9" t="s">
        <v>562</v>
      </c>
      <c r="M193" s="9" t="s">
        <v>1040</v>
      </c>
      <c r="N193" s="9"/>
      <c r="O193" s="9" t="s">
        <v>963</v>
      </c>
      <c r="P193" s="9" t="s">
        <v>1041</v>
      </c>
      <c r="R193" s="9" t="s">
        <v>966</v>
      </c>
      <c r="S193" t="s">
        <v>966</v>
      </c>
      <c r="T193" s="42">
        <v>42634</v>
      </c>
      <c r="U193" s="204">
        <v>47.191600000000001</v>
      </c>
      <c r="V193" s="204">
        <v>-122.67108333333333</v>
      </c>
      <c r="W193" t="str">
        <f>VLOOKUP(B193,[1]Plantings!$A$2:$E$285,4,FALSE)</f>
        <v>point</v>
      </c>
      <c r="X193" s="43" t="str">
        <f>VLOOKUP(B193,[1]Plantings!$A$2:$E$285,5,FALSE)</f>
        <v>retain</v>
      </c>
      <c r="Y193" s="48" t="s">
        <v>9</v>
      </c>
      <c r="Z193" s="44">
        <v>-1.7678400000000001</v>
      </c>
      <c r="AA193" t="s">
        <v>982</v>
      </c>
      <c r="AB193">
        <v>2.5</v>
      </c>
      <c r="AC193">
        <v>2.5</v>
      </c>
      <c r="AD193">
        <f t="shared" si="27"/>
        <v>6.25</v>
      </c>
      <c r="AE193">
        <f>AG193*0.25</f>
        <v>5</v>
      </c>
      <c r="AF193" s="46">
        <f t="shared" ref="AF193:AF204" si="28">IF(AA193="staple",AG193*0.005,IF(AA193="rebar",AG193*0.025,IF(AA193="burlap",AG193*0.0625,IF(AA193="washer",AG193*0.0025,IF(AA193="pucks",AG193*0.00785,IF(AA193="turf",AG193*0.01,IF(AA193="","")))))))</f>
        <v>0.5</v>
      </c>
      <c r="AG193" s="47">
        <v>20</v>
      </c>
      <c r="AH193" s="47">
        <v>500</v>
      </c>
      <c r="AI193" s="45">
        <f t="shared" si="21"/>
        <v>80</v>
      </c>
      <c r="AJ193" s="45">
        <f t="shared" si="22"/>
        <v>100</v>
      </c>
      <c r="AK193" t="s">
        <v>983</v>
      </c>
    </row>
    <row r="194" spans="1:38" x14ac:dyDescent="0.25">
      <c r="A194" t="s">
        <v>160</v>
      </c>
      <c r="B194" t="s">
        <v>1304</v>
      </c>
      <c r="C194" t="str">
        <f>VLOOKUP(B194,[1]Plantings!$A$2:$C$285,2,FALSE)</f>
        <v>MCN_south_3</v>
      </c>
      <c r="D194" t="str">
        <f>VLOOKUP(B194,[1]Plantings!$A$2:$C$285,3,FALSE)</f>
        <v>single</v>
      </c>
      <c r="E194">
        <v>2016</v>
      </c>
      <c r="G194" s="9" t="s">
        <v>7</v>
      </c>
      <c r="H194" s="9" t="s">
        <v>604</v>
      </c>
      <c r="I194" t="s">
        <v>957</v>
      </c>
      <c r="J194" s="9" t="s">
        <v>1014</v>
      </c>
      <c r="K194" s="9" t="s">
        <v>562</v>
      </c>
      <c r="L194" s="9" t="s">
        <v>562</v>
      </c>
      <c r="M194" s="9" t="s">
        <v>1040</v>
      </c>
      <c r="N194" s="9"/>
      <c r="O194" s="9" t="s">
        <v>963</v>
      </c>
      <c r="P194" s="9" t="s">
        <v>1041</v>
      </c>
      <c r="R194" s="9" t="s">
        <v>966</v>
      </c>
      <c r="S194" t="s">
        <v>966</v>
      </c>
      <c r="T194" s="42">
        <v>42634</v>
      </c>
      <c r="U194" s="204">
        <v>47.192450000000001</v>
      </c>
      <c r="V194" s="204">
        <v>-122.66495</v>
      </c>
      <c r="W194" t="str">
        <f>VLOOKUP(B194,[1]Plantings!$A$2:$E$285,4,FALSE)</f>
        <v>point</v>
      </c>
      <c r="X194" s="43" t="str">
        <f>VLOOKUP(B194,[1]Plantings!$A$2:$E$285,5,FALSE)</f>
        <v>retain</v>
      </c>
      <c r="Y194" s="48" t="s">
        <v>9</v>
      </c>
      <c r="Z194" s="44">
        <v>-1.7068799999999997</v>
      </c>
      <c r="AA194" t="s">
        <v>982</v>
      </c>
      <c r="AB194">
        <v>2.5</v>
      </c>
      <c r="AC194">
        <v>2.5</v>
      </c>
      <c r="AD194">
        <f t="shared" si="27"/>
        <v>6.25</v>
      </c>
      <c r="AE194">
        <f>AG194*0.25</f>
        <v>5</v>
      </c>
      <c r="AF194" s="46">
        <f t="shared" si="28"/>
        <v>0.5</v>
      </c>
      <c r="AG194" s="47">
        <v>20</v>
      </c>
      <c r="AH194" s="47">
        <v>500</v>
      </c>
      <c r="AI194" s="45">
        <f t="shared" si="21"/>
        <v>80</v>
      </c>
      <c r="AJ194" s="45">
        <f t="shared" si="22"/>
        <v>100</v>
      </c>
      <c r="AK194" t="s">
        <v>983</v>
      </c>
    </row>
    <row r="195" spans="1:38" x14ac:dyDescent="0.25">
      <c r="A195" s="9" t="s">
        <v>160</v>
      </c>
      <c r="B195" s="9" t="s">
        <v>1305</v>
      </c>
      <c r="C195" t="str">
        <f>VLOOKUP(B195,[1]Plantings!$A$2:$C$285,2,FALSE)</f>
        <v>MCN_still_1</v>
      </c>
      <c r="D195" t="str">
        <f>VLOOKUP(B195,[1]Plantings!$A$2:$C$285,3,FALSE)</f>
        <v>single</v>
      </c>
      <c r="E195" s="9">
        <v>2016</v>
      </c>
      <c r="F195" s="9"/>
      <c r="G195" s="9" t="s">
        <v>7</v>
      </c>
      <c r="H195" s="9" t="s">
        <v>604</v>
      </c>
      <c r="I195" t="s">
        <v>957</v>
      </c>
      <c r="J195" s="9" t="s">
        <v>1014</v>
      </c>
      <c r="K195" s="9" t="s">
        <v>562</v>
      </c>
      <c r="L195" s="9" t="s">
        <v>562</v>
      </c>
      <c r="M195" s="9" t="s">
        <v>1040</v>
      </c>
      <c r="N195" s="9"/>
      <c r="O195" s="9" t="s">
        <v>963</v>
      </c>
      <c r="P195" s="9" t="s">
        <v>1041</v>
      </c>
      <c r="R195" s="9" t="s">
        <v>966</v>
      </c>
      <c r="S195" t="s">
        <v>966</v>
      </c>
      <c r="T195" s="42">
        <v>42634</v>
      </c>
      <c r="U195" s="43">
        <v>47.218483333333332</v>
      </c>
      <c r="V195" s="43">
        <v>-122.66786666666667</v>
      </c>
      <c r="W195" t="str">
        <f>VLOOKUP(B195,[1]Plantings!$A$2:$E$285,4,FALSE)</f>
        <v>point</v>
      </c>
      <c r="X195" s="43" t="str">
        <f>VLOOKUP(B195,[1]Plantings!$A$2:$E$285,5,FALSE)</f>
        <v>retain</v>
      </c>
      <c r="Y195" s="48" t="s">
        <v>9</v>
      </c>
      <c r="Z195" s="44">
        <v>-1.8288</v>
      </c>
      <c r="AA195" t="s">
        <v>982</v>
      </c>
      <c r="AB195">
        <v>2.5</v>
      </c>
      <c r="AC195">
        <v>2.5</v>
      </c>
      <c r="AD195">
        <f t="shared" si="27"/>
        <v>6.25</v>
      </c>
      <c r="AE195">
        <f>AG195*0.25</f>
        <v>5</v>
      </c>
      <c r="AF195" s="46">
        <f t="shared" si="28"/>
        <v>0.5</v>
      </c>
      <c r="AG195" s="47">
        <v>20</v>
      </c>
      <c r="AH195" s="47">
        <v>500</v>
      </c>
      <c r="AI195" s="45">
        <f t="shared" si="21"/>
        <v>80</v>
      </c>
      <c r="AJ195" s="45">
        <f t="shared" si="22"/>
        <v>100</v>
      </c>
      <c r="AK195" t="s">
        <v>983</v>
      </c>
    </row>
    <row r="196" spans="1:38" x14ac:dyDescent="0.25">
      <c r="A196" s="9" t="s">
        <v>160</v>
      </c>
      <c r="B196" s="9" t="s">
        <v>1306</v>
      </c>
      <c r="C196" t="str">
        <f>VLOOKUP(B196,[1]Plantings!$A$2:$C$285,2,FALSE)</f>
        <v>MCN_still_2</v>
      </c>
      <c r="D196" t="str">
        <f>VLOOKUP(B196,[1]Plantings!$A$2:$C$285,3,FALSE)</f>
        <v>colocated</v>
      </c>
      <c r="E196" s="9">
        <v>2016</v>
      </c>
      <c r="F196" s="9"/>
      <c r="G196" s="9" t="s">
        <v>7</v>
      </c>
      <c r="H196" s="9" t="s">
        <v>604</v>
      </c>
      <c r="I196" t="s">
        <v>957</v>
      </c>
      <c r="J196" s="9" t="s">
        <v>1014</v>
      </c>
      <c r="K196" s="9" t="s">
        <v>562</v>
      </c>
      <c r="L196" s="9" t="s">
        <v>562</v>
      </c>
      <c r="M196" s="9" t="s">
        <v>1040</v>
      </c>
      <c r="N196" s="9"/>
      <c r="O196" s="9" t="s">
        <v>963</v>
      </c>
      <c r="P196" s="9" t="s">
        <v>1041</v>
      </c>
      <c r="Q196" s="9"/>
      <c r="R196" s="9" t="s">
        <v>966</v>
      </c>
      <c r="S196" s="9" t="s">
        <v>966</v>
      </c>
      <c r="T196" s="3">
        <v>42634</v>
      </c>
      <c r="U196" s="49">
        <v>47.220333333333336</v>
      </c>
      <c r="V196" s="49">
        <v>-122.66726666666666</v>
      </c>
      <c r="W196" t="str">
        <f>VLOOKUP(B196,[1]Plantings!$A$2:$E$285,4,FALSE)</f>
        <v>point</v>
      </c>
      <c r="X196" s="43" t="str">
        <f>VLOOKUP(B196,[1]Plantings!$A$2:$E$285,5,FALSE)</f>
        <v>retain</v>
      </c>
      <c r="Y196" s="9" t="s">
        <v>9</v>
      </c>
      <c r="Z196" s="55">
        <v>-1.7678400000000001</v>
      </c>
      <c r="AA196" s="9" t="s">
        <v>982</v>
      </c>
      <c r="AB196" s="9">
        <v>2.5</v>
      </c>
      <c r="AC196" s="9">
        <v>2</v>
      </c>
      <c r="AD196">
        <f t="shared" si="27"/>
        <v>5</v>
      </c>
      <c r="AE196">
        <f>AG196*0.25</f>
        <v>5</v>
      </c>
      <c r="AF196" s="46">
        <f t="shared" si="28"/>
        <v>0.5</v>
      </c>
      <c r="AG196" s="56">
        <v>20</v>
      </c>
      <c r="AH196" s="56">
        <v>500</v>
      </c>
      <c r="AI196" s="45">
        <f t="shared" si="21"/>
        <v>100</v>
      </c>
      <c r="AJ196" s="45">
        <f t="shared" si="22"/>
        <v>100</v>
      </c>
      <c r="AK196" s="62" t="s">
        <v>983</v>
      </c>
      <c r="AL196" s="68" t="s">
        <v>1307</v>
      </c>
    </row>
    <row r="197" spans="1:38" x14ac:dyDescent="0.25">
      <c r="A197" s="9" t="s">
        <v>160</v>
      </c>
      <c r="B197" s="9" t="s">
        <v>1308</v>
      </c>
      <c r="C197" t="str">
        <f>VLOOKUP(B197,[1]Plantings!$A$2:$C$285,2,FALSE)</f>
        <v>MCN_still_2</v>
      </c>
      <c r="D197" t="str">
        <f>VLOOKUP(B197,[1]Plantings!$A$2:$C$285,3,FALSE)</f>
        <v>colocated</v>
      </c>
      <c r="E197" s="9">
        <v>2016</v>
      </c>
      <c r="F197" s="9"/>
      <c r="G197" s="9" t="s">
        <v>7</v>
      </c>
      <c r="H197" s="9" t="s">
        <v>604</v>
      </c>
      <c r="I197" t="s">
        <v>957</v>
      </c>
      <c r="J197" s="9" t="s">
        <v>1014</v>
      </c>
      <c r="K197" s="9" t="s">
        <v>562</v>
      </c>
      <c r="L197" s="9" t="s">
        <v>562</v>
      </c>
      <c r="M197" s="9" t="s">
        <v>1040</v>
      </c>
      <c r="N197" s="9"/>
      <c r="O197" s="9" t="s">
        <v>963</v>
      </c>
      <c r="P197" s="9" t="s">
        <v>1041</v>
      </c>
      <c r="Q197" s="9"/>
      <c r="R197" s="9" t="s">
        <v>966</v>
      </c>
      <c r="S197" s="9" t="s">
        <v>966</v>
      </c>
      <c r="T197" s="3">
        <v>42634</v>
      </c>
      <c r="U197" s="49">
        <v>47.220333333333336</v>
      </c>
      <c r="V197" s="49">
        <v>-122.66726666666666</v>
      </c>
      <c r="W197" t="str">
        <f>VLOOKUP(B197,[1]Plantings!$A$2:$E$285,4,FALSE)</f>
        <v>point</v>
      </c>
      <c r="X197" s="43" t="str">
        <f>VLOOKUP(B197,[1]Plantings!$A$2:$E$285,5,FALSE)</f>
        <v>retain</v>
      </c>
      <c r="Y197" s="9" t="s">
        <v>9</v>
      </c>
      <c r="Z197" s="55">
        <v>-1.7678400000000001</v>
      </c>
      <c r="AA197" s="9" t="s">
        <v>967</v>
      </c>
      <c r="AB197" s="9">
        <v>2.5</v>
      </c>
      <c r="AC197" s="9">
        <v>2</v>
      </c>
      <c r="AD197">
        <f t="shared" si="27"/>
        <v>5</v>
      </c>
      <c r="AE197" s="62">
        <v>5</v>
      </c>
      <c r="AF197" s="46">
        <f t="shared" si="28"/>
        <v>0.625</v>
      </c>
      <c r="AG197" s="56">
        <v>125</v>
      </c>
      <c r="AH197" s="56">
        <v>500</v>
      </c>
      <c r="AI197" s="45">
        <f t="shared" si="21"/>
        <v>100</v>
      </c>
      <c r="AJ197" s="45">
        <f t="shared" si="22"/>
        <v>100</v>
      </c>
      <c r="AK197" s="62" t="s">
        <v>983</v>
      </c>
      <c r="AL197" s="68" t="s">
        <v>1307</v>
      </c>
    </row>
    <row r="198" spans="1:38" x14ac:dyDescent="0.25">
      <c r="A198" s="9" t="s">
        <v>160</v>
      </c>
      <c r="B198" s="9" t="s">
        <v>1309</v>
      </c>
      <c r="C198" t="str">
        <f>VLOOKUP(B198,[1]Plantings!$A$2:$C$285,2,FALSE)</f>
        <v>MCN_north_2</v>
      </c>
      <c r="D198" t="str">
        <f>VLOOKUP(B198,[1]Plantings!$A$2:$C$285,3,FALSE)</f>
        <v>single</v>
      </c>
      <c r="E198" s="9">
        <v>2017</v>
      </c>
      <c r="F198" s="9"/>
      <c r="G198" s="9" t="s">
        <v>7</v>
      </c>
      <c r="H198" s="9" t="s">
        <v>604</v>
      </c>
      <c r="I198" t="s">
        <v>957</v>
      </c>
      <c r="J198" s="9" t="s">
        <v>1014</v>
      </c>
      <c r="K198" s="9" t="s">
        <v>562</v>
      </c>
      <c r="L198" s="9" t="s">
        <v>562</v>
      </c>
      <c r="M198" s="9" t="s">
        <v>1040</v>
      </c>
      <c r="N198" s="9"/>
      <c r="O198" s="9" t="s">
        <v>963</v>
      </c>
      <c r="P198" s="9" t="s">
        <v>1041</v>
      </c>
      <c r="Q198" s="9"/>
      <c r="R198" s="9" t="s">
        <v>966</v>
      </c>
      <c r="S198" s="9" t="s">
        <v>966</v>
      </c>
      <c r="T198" s="3">
        <v>42893</v>
      </c>
      <c r="U198" s="49">
        <v>47.232016666666667</v>
      </c>
      <c r="V198" s="49">
        <v>-122.69750000000001</v>
      </c>
      <c r="W198" t="str">
        <f>VLOOKUP(B198,[1]Plantings!$A$2:$E$285,4,FALSE)</f>
        <v>point</v>
      </c>
      <c r="X198" s="43" t="str">
        <f>VLOOKUP(B198,[1]Plantings!$A$2:$E$285,5,FALSE)</f>
        <v>retain</v>
      </c>
      <c r="Y198" s="54" t="s">
        <v>9</v>
      </c>
      <c r="Z198" s="55">
        <v>-1.2</v>
      </c>
      <c r="AA198" s="9" t="s">
        <v>982</v>
      </c>
      <c r="AB198" s="9">
        <v>2.5</v>
      </c>
      <c r="AC198" s="9">
        <v>2</v>
      </c>
      <c r="AD198">
        <f t="shared" si="27"/>
        <v>5</v>
      </c>
      <c r="AE198">
        <f>AG198*0.25</f>
        <v>5</v>
      </c>
      <c r="AF198" s="46">
        <f t="shared" si="28"/>
        <v>0.5</v>
      </c>
      <c r="AG198" s="56">
        <v>20</v>
      </c>
      <c r="AH198" s="56">
        <v>500</v>
      </c>
      <c r="AI198" s="45">
        <f t="shared" si="21"/>
        <v>100</v>
      </c>
      <c r="AJ198" s="45">
        <f t="shared" si="22"/>
        <v>100</v>
      </c>
      <c r="AK198" s="9" t="s">
        <v>968</v>
      </c>
      <c r="AL198" s="11"/>
    </row>
    <row r="199" spans="1:38" x14ac:dyDescent="0.25">
      <c r="A199" s="9" t="s">
        <v>160</v>
      </c>
      <c r="B199" s="9" t="s">
        <v>1310</v>
      </c>
      <c r="C199" t="str">
        <f>VLOOKUP(B199,[1]Plantings!$A$2:$C$285,2,FALSE)</f>
        <v>MCN_North_3</v>
      </c>
      <c r="D199" t="str">
        <f>VLOOKUP(B199,[1]Plantings!$A$2:$C$285,3,FALSE)</f>
        <v>single</v>
      </c>
      <c r="E199" s="9">
        <v>2017</v>
      </c>
      <c r="F199" s="9"/>
      <c r="G199" s="9" t="s">
        <v>7</v>
      </c>
      <c r="H199" s="9" t="s">
        <v>604</v>
      </c>
      <c r="I199" t="s">
        <v>957</v>
      </c>
      <c r="J199" s="9" t="s">
        <v>1014</v>
      </c>
      <c r="K199" s="9" t="s">
        <v>562</v>
      </c>
      <c r="L199" s="9" t="s">
        <v>562</v>
      </c>
      <c r="M199" s="9" t="s">
        <v>1040</v>
      </c>
      <c r="N199" s="9"/>
      <c r="O199" s="9" t="s">
        <v>963</v>
      </c>
      <c r="P199" s="9" t="s">
        <v>1041</v>
      </c>
      <c r="Q199" s="9"/>
      <c r="R199" s="9" t="s">
        <v>966</v>
      </c>
      <c r="S199" s="9" t="s">
        <v>966</v>
      </c>
      <c r="T199" s="3">
        <v>42893</v>
      </c>
      <c r="U199" s="49">
        <v>47.232149999999997</v>
      </c>
      <c r="V199" s="49">
        <v>-122.69753333333334</v>
      </c>
      <c r="W199" t="str">
        <f>VLOOKUP(B199,[1]Plantings!$A$2:$E$285,4,FALSE)</f>
        <v>point</v>
      </c>
      <c r="X199" s="43" t="str">
        <f>VLOOKUP(B199,[1]Plantings!$A$2:$E$285,5,FALSE)</f>
        <v>retain</v>
      </c>
      <c r="Y199" s="54" t="s">
        <v>9</v>
      </c>
      <c r="Z199" s="55">
        <v>-1.7</v>
      </c>
      <c r="AA199" s="9" t="s">
        <v>982</v>
      </c>
      <c r="AB199" s="9">
        <v>2.5</v>
      </c>
      <c r="AC199" s="9">
        <v>2</v>
      </c>
      <c r="AD199">
        <f t="shared" si="27"/>
        <v>5</v>
      </c>
      <c r="AE199">
        <f>AG199*0.25</f>
        <v>5</v>
      </c>
      <c r="AF199" s="46">
        <f t="shared" si="28"/>
        <v>0.5</v>
      </c>
      <c r="AG199" s="56">
        <v>20</v>
      </c>
      <c r="AH199" s="56">
        <v>500</v>
      </c>
      <c r="AI199" s="45">
        <f t="shared" si="21"/>
        <v>100</v>
      </c>
      <c r="AJ199" s="45">
        <f t="shared" si="22"/>
        <v>100</v>
      </c>
      <c r="AK199" s="9" t="s">
        <v>968</v>
      </c>
      <c r="AL199" s="11"/>
    </row>
    <row r="200" spans="1:38" x14ac:dyDescent="0.25">
      <c r="A200" s="62" t="s">
        <v>160</v>
      </c>
      <c r="B200" s="18" t="s">
        <v>1311</v>
      </c>
      <c r="C200" t="str">
        <f>VLOOKUP(B200,[1]Plantings!$A$2:$C$285,2,FALSE)</f>
        <v>MCN_south_L2</v>
      </c>
      <c r="D200" t="str">
        <f>VLOOKUP(B200,[1]Plantings!$A$2:$C$285,3,FALSE)</f>
        <v>single</v>
      </c>
      <c r="E200" s="62">
        <v>2017</v>
      </c>
      <c r="F200" s="62"/>
      <c r="G200" s="62" t="s">
        <v>987</v>
      </c>
      <c r="H200" s="62" t="s">
        <v>604</v>
      </c>
      <c r="I200" s="62" t="s">
        <v>957</v>
      </c>
      <c r="J200" s="18" t="s">
        <v>1014</v>
      </c>
      <c r="K200" s="18" t="s">
        <v>562</v>
      </c>
      <c r="L200" s="18" t="s">
        <v>562</v>
      </c>
      <c r="M200" s="18" t="s">
        <v>1040</v>
      </c>
      <c r="N200" s="62"/>
      <c r="O200" s="62" t="s">
        <v>963</v>
      </c>
      <c r="P200" s="9" t="s">
        <v>1041</v>
      </c>
      <c r="Q200" s="62"/>
      <c r="R200" s="62" t="s">
        <v>1004</v>
      </c>
      <c r="S200" s="62" t="s">
        <v>1004</v>
      </c>
      <c r="T200" s="59">
        <v>42922</v>
      </c>
      <c r="U200" s="64">
        <v>47.191600000000001</v>
      </c>
      <c r="V200" s="64">
        <v>-122.6711</v>
      </c>
      <c r="W200" t="str">
        <f>VLOOKUP(B200,[1]Plantings!$A$2:$E$285,4,FALSE)</f>
        <v>line</v>
      </c>
      <c r="X200" s="43" t="str">
        <f>VLOOKUP(B200,[1]Plantings!$A$2:$E$285,5,FALSE)</f>
        <v>retain</v>
      </c>
      <c r="Y200" s="62" t="s">
        <v>9</v>
      </c>
      <c r="Z200" s="62">
        <v>-2.4</v>
      </c>
      <c r="AA200" s="62" t="s">
        <v>982</v>
      </c>
      <c r="AB200" s="62">
        <v>24</v>
      </c>
      <c r="AC200" s="18">
        <v>5</v>
      </c>
      <c r="AD200">
        <f t="shared" si="27"/>
        <v>120</v>
      </c>
      <c r="AE200">
        <f>AG200*0.25</f>
        <v>58.25</v>
      </c>
      <c r="AF200" s="46">
        <f t="shared" si="28"/>
        <v>5.8250000000000002</v>
      </c>
      <c r="AG200" s="66">
        <v>233</v>
      </c>
      <c r="AH200" s="66">
        <f>AG200*25</f>
        <v>5825</v>
      </c>
      <c r="AI200" s="45">
        <f t="shared" si="21"/>
        <v>48.541666666666664</v>
      </c>
      <c r="AJ200" s="45">
        <f t="shared" si="22"/>
        <v>100</v>
      </c>
      <c r="AK200" s="62" t="s">
        <v>968</v>
      </c>
      <c r="AL200" s="68"/>
    </row>
    <row r="201" spans="1:38" x14ac:dyDescent="0.25">
      <c r="A201" s="62" t="s">
        <v>160</v>
      </c>
      <c r="B201" s="18" t="s">
        <v>1311</v>
      </c>
      <c r="C201" t="str">
        <f>VLOOKUP(B201,[1]Plantings!$A$2:$C$285,2,FALSE)</f>
        <v>MCN_south_L2</v>
      </c>
      <c r="D201" t="str">
        <f>VLOOKUP(B201,[1]Plantings!$A$2:$C$285,3,FALSE)</f>
        <v>single</v>
      </c>
      <c r="E201" s="62">
        <v>2017</v>
      </c>
      <c r="F201" s="62"/>
      <c r="G201" s="62" t="s">
        <v>987</v>
      </c>
      <c r="H201" s="62" t="s">
        <v>604</v>
      </c>
      <c r="I201" s="62" t="s">
        <v>957</v>
      </c>
      <c r="J201" s="18" t="s">
        <v>1014</v>
      </c>
      <c r="K201" s="18" t="s">
        <v>562</v>
      </c>
      <c r="L201" s="18" t="s">
        <v>562</v>
      </c>
      <c r="M201" s="18" t="s">
        <v>1040</v>
      </c>
      <c r="N201" s="62"/>
      <c r="O201" s="62" t="s">
        <v>963</v>
      </c>
      <c r="P201" s="9" t="s">
        <v>1041</v>
      </c>
      <c r="Q201" s="62"/>
      <c r="R201" s="62" t="s">
        <v>1004</v>
      </c>
      <c r="S201" s="69" t="s">
        <v>998</v>
      </c>
      <c r="T201" s="59">
        <v>42922</v>
      </c>
      <c r="U201" s="64">
        <v>47.191659999999999</v>
      </c>
      <c r="V201" s="64">
        <v>-122.67077999999999</v>
      </c>
      <c r="W201" t="str">
        <f>VLOOKUP(B201,[1]Plantings!$A$2:$E$285,4,FALSE)</f>
        <v>line</v>
      </c>
      <c r="X201" s="43" t="str">
        <f>VLOOKUP(B201,[1]Plantings!$A$2:$E$285,5,FALSE)</f>
        <v>retain</v>
      </c>
      <c r="Y201" s="62" t="s">
        <v>9</v>
      </c>
      <c r="Z201" s="62"/>
      <c r="AA201" s="62"/>
      <c r="AB201" s="62"/>
      <c r="AC201" s="18"/>
      <c r="AE201" s="62"/>
      <c r="AF201" s="46" t="str">
        <f t="shared" si="28"/>
        <v/>
      </c>
      <c r="AG201" s="66"/>
      <c r="AH201" s="66"/>
      <c r="AI201" s="45" t="str">
        <f t="shared" si="21"/>
        <v/>
      </c>
      <c r="AJ201" s="45" t="str">
        <f t="shared" si="22"/>
        <v/>
      </c>
      <c r="AK201" s="62"/>
      <c r="AL201" s="68"/>
    </row>
    <row r="202" spans="1:38" x14ac:dyDescent="0.25">
      <c r="A202" s="62" t="s">
        <v>160</v>
      </c>
      <c r="B202" s="18" t="s">
        <v>1312</v>
      </c>
      <c r="C202" t="str">
        <f>VLOOKUP(B202,[1]Plantings!$A$2:$C$285,2,FALSE)</f>
        <v>MCN_south_L1</v>
      </c>
      <c r="D202" t="str">
        <f>VLOOKUP(B202,[1]Plantings!$A$2:$C$285,3,FALSE)</f>
        <v>single</v>
      </c>
      <c r="E202" s="62">
        <v>2017</v>
      </c>
      <c r="F202" s="9"/>
      <c r="G202" s="62" t="s">
        <v>987</v>
      </c>
      <c r="H202" s="62" t="s">
        <v>604</v>
      </c>
      <c r="I202" s="62" t="s">
        <v>957</v>
      </c>
      <c r="J202" s="18" t="s">
        <v>1014</v>
      </c>
      <c r="K202" s="18" t="s">
        <v>562</v>
      </c>
      <c r="L202" s="18" t="s">
        <v>562</v>
      </c>
      <c r="M202" s="18" t="s">
        <v>1040</v>
      </c>
      <c r="N202" s="9"/>
      <c r="O202" s="62" t="s">
        <v>963</v>
      </c>
      <c r="P202" s="9" t="s">
        <v>1041</v>
      </c>
      <c r="Q202" s="9"/>
      <c r="R202" s="62" t="s">
        <v>1004</v>
      </c>
      <c r="S202" s="9" t="s">
        <v>1004</v>
      </c>
      <c r="T202" s="3">
        <v>42923</v>
      </c>
      <c r="U202" s="64">
        <v>47.192450000000001</v>
      </c>
      <c r="V202" s="64">
        <v>-122.66495</v>
      </c>
      <c r="W202" t="str">
        <f>VLOOKUP(B202,[1]Plantings!$A$2:$E$285,4,FALSE)</f>
        <v>line</v>
      </c>
      <c r="X202" s="43" t="str">
        <f>VLOOKUP(B202,[1]Plantings!$A$2:$E$285,5,FALSE)</f>
        <v>retain</v>
      </c>
      <c r="Y202" s="55" t="s">
        <v>9</v>
      </c>
      <c r="Z202" s="55">
        <v>-0.6</v>
      </c>
      <c r="AA202" s="62" t="s">
        <v>982</v>
      </c>
      <c r="AB202" s="9">
        <v>8</v>
      </c>
      <c r="AC202" s="9">
        <v>5</v>
      </c>
      <c r="AD202">
        <f>AB202*AC202</f>
        <v>40</v>
      </c>
      <c r="AE202">
        <f>AG202*0.25</f>
        <v>20</v>
      </c>
      <c r="AF202" s="46">
        <f t="shared" si="28"/>
        <v>2</v>
      </c>
      <c r="AG202" s="56">
        <v>80</v>
      </c>
      <c r="AH202" s="56">
        <v>2000</v>
      </c>
      <c r="AI202" s="45">
        <f t="shared" si="21"/>
        <v>50</v>
      </c>
      <c r="AJ202" s="45">
        <f t="shared" si="22"/>
        <v>100</v>
      </c>
      <c r="AK202" s="9" t="s">
        <v>968</v>
      </c>
      <c r="AL202" s="11" t="s">
        <v>1313</v>
      </c>
    </row>
    <row r="203" spans="1:38" x14ac:dyDescent="0.25">
      <c r="A203" s="62" t="s">
        <v>160</v>
      </c>
      <c r="B203" s="18" t="s">
        <v>1312</v>
      </c>
      <c r="C203" t="str">
        <f>VLOOKUP(B203,[1]Plantings!$A$2:$C$285,2,FALSE)</f>
        <v>MCN_south_L1</v>
      </c>
      <c r="D203" t="str">
        <f>VLOOKUP(B203,[1]Plantings!$A$2:$C$285,3,FALSE)</f>
        <v>single</v>
      </c>
      <c r="E203" s="62">
        <v>2017</v>
      </c>
      <c r="F203" s="9"/>
      <c r="G203" s="62" t="s">
        <v>987</v>
      </c>
      <c r="H203" s="62" t="s">
        <v>604</v>
      </c>
      <c r="I203" s="62" t="s">
        <v>957</v>
      </c>
      <c r="J203" s="18" t="s">
        <v>1014</v>
      </c>
      <c r="K203" s="18" t="s">
        <v>562</v>
      </c>
      <c r="L203" s="18" t="s">
        <v>562</v>
      </c>
      <c r="M203" s="18" t="s">
        <v>1040</v>
      </c>
      <c r="N203" s="9"/>
      <c r="O203" s="62" t="s">
        <v>963</v>
      </c>
      <c r="P203" s="9" t="s">
        <v>1041</v>
      </c>
      <c r="Q203" s="9"/>
      <c r="R203" s="62" t="s">
        <v>1004</v>
      </c>
      <c r="S203" s="69" t="s">
        <v>998</v>
      </c>
      <c r="T203" s="3">
        <v>42923</v>
      </c>
      <c r="U203" s="64">
        <v>47.192480000000003</v>
      </c>
      <c r="V203" s="64">
        <v>-122.66473999999999</v>
      </c>
      <c r="W203" t="str">
        <f>VLOOKUP(B203,[1]Plantings!$A$2:$E$285,4,FALSE)</f>
        <v>line</v>
      </c>
      <c r="X203" s="43" t="str">
        <f>VLOOKUP(B203,[1]Plantings!$A$2:$E$285,5,FALSE)</f>
        <v>retain</v>
      </c>
      <c r="Y203" s="55" t="s">
        <v>9</v>
      </c>
      <c r="Z203" s="49"/>
      <c r="AA203" s="9"/>
      <c r="AB203" s="9"/>
      <c r="AC203" s="9"/>
      <c r="AE203" s="62"/>
      <c r="AF203" s="46" t="str">
        <f t="shared" si="28"/>
        <v/>
      </c>
      <c r="AG203" s="56"/>
      <c r="AH203" s="56"/>
      <c r="AI203" s="45" t="str">
        <f t="shared" si="21"/>
        <v/>
      </c>
      <c r="AJ203" s="45" t="str">
        <f t="shared" si="22"/>
        <v/>
      </c>
      <c r="AK203" s="9"/>
      <c r="AL203" s="11"/>
    </row>
    <row r="204" spans="1:38" x14ac:dyDescent="0.25">
      <c r="A204" s="62" t="s">
        <v>160</v>
      </c>
      <c r="B204" s="18" t="s">
        <v>1314</v>
      </c>
      <c r="C204" t="str">
        <f>VLOOKUP(B204,[1]Plantings!$A$2:$C$285,2,FALSE)</f>
        <v>MCN_south_L3</v>
      </c>
      <c r="D204" t="str">
        <f>VLOOKUP(B204,[1]Plantings!$A$2:$C$285,3,FALSE)</f>
        <v>single</v>
      </c>
      <c r="E204" s="62">
        <v>2017</v>
      </c>
      <c r="F204" s="62"/>
      <c r="G204" s="62" t="s">
        <v>987</v>
      </c>
      <c r="H204" s="62" t="s">
        <v>604</v>
      </c>
      <c r="I204" s="62" t="s">
        <v>957</v>
      </c>
      <c r="J204" s="18" t="s">
        <v>1014</v>
      </c>
      <c r="K204" s="18" t="s">
        <v>562</v>
      </c>
      <c r="L204" s="18" t="s">
        <v>562</v>
      </c>
      <c r="M204" s="18" t="s">
        <v>1040</v>
      </c>
      <c r="N204" s="62"/>
      <c r="O204" s="62" t="s">
        <v>963</v>
      </c>
      <c r="P204" s="9" t="s">
        <v>1041</v>
      </c>
      <c r="Q204" s="62"/>
      <c r="R204" s="62" t="s">
        <v>1004</v>
      </c>
      <c r="S204" s="62" t="s">
        <v>1004</v>
      </c>
      <c r="T204" s="59">
        <v>42924</v>
      </c>
      <c r="U204" s="64">
        <v>47.19153</v>
      </c>
      <c r="V204" s="64">
        <v>-122.67189999999999</v>
      </c>
      <c r="W204" t="str">
        <f>VLOOKUP(B204,[1]Plantings!$A$2:$E$285,4,FALSE)</f>
        <v>line</v>
      </c>
      <c r="X204" s="43" t="str">
        <f>VLOOKUP(B204,[1]Plantings!$A$2:$E$285,5,FALSE)</f>
        <v>retain</v>
      </c>
      <c r="Y204" s="62" t="s">
        <v>9</v>
      </c>
      <c r="Z204" s="62">
        <v>-1.6</v>
      </c>
      <c r="AA204" s="62" t="s">
        <v>982</v>
      </c>
      <c r="AB204" s="62">
        <v>16</v>
      </c>
      <c r="AC204" s="18">
        <v>5</v>
      </c>
      <c r="AD204">
        <f>AB204*AC204</f>
        <v>80</v>
      </c>
      <c r="AE204">
        <f>AG204*0.25</f>
        <v>40</v>
      </c>
      <c r="AF204" s="46">
        <f t="shared" si="28"/>
        <v>4</v>
      </c>
      <c r="AG204" s="66">
        <v>160</v>
      </c>
      <c r="AH204" s="66">
        <f>AG204*25</f>
        <v>4000</v>
      </c>
      <c r="AI204" s="45">
        <f t="shared" si="21"/>
        <v>50</v>
      </c>
      <c r="AJ204" s="45">
        <f t="shared" si="22"/>
        <v>100</v>
      </c>
      <c r="AK204" s="62" t="s">
        <v>968</v>
      </c>
      <c r="AL204" s="68" t="s">
        <v>1315</v>
      </c>
    </row>
    <row r="205" spans="1:38" x14ac:dyDescent="0.25">
      <c r="A205" s="62" t="s">
        <v>160</v>
      </c>
      <c r="B205" s="18" t="s">
        <v>1314</v>
      </c>
      <c r="C205" t="str">
        <f>VLOOKUP(B205,[1]Plantings!$A$2:$C$285,2,FALSE)</f>
        <v>MCN_south_L3</v>
      </c>
      <c r="D205" t="str">
        <f>VLOOKUP(B205,[1]Plantings!$A$2:$C$285,3,FALSE)</f>
        <v>single</v>
      </c>
      <c r="E205" s="62">
        <v>2017</v>
      </c>
      <c r="F205" s="62"/>
      <c r="G205" s="62" t="s">
        <v>987</v>
      </c>
      <c r="H205" s="62" t="s">
        <v>604</v>
      </c>
      <c r="I205" s="62" t="s">
        <v>957</v>
      </c>
      <c r="J205" s="18" t="s">
        <v>1014</v>
      </c>
      <c r="K205" s="18" t="s">
        <v>562</v>
      </c>
      <c r="L205" s="18" t="s">
        <v>562</v>
      </c>
      <c r="M205" s="18" t="s">
        <v>1040</v>
      </c>
      <c r="N205" s="62"/>
      <c r="O205" s="62" t="s">
        <v>963</v>
      </c>
      <c r="P205" s="9" t="s">
        <v>1041</v>
      </c>
      <c r="Q205" s="62"/>
      <c r="R205" s="62" t="s">
        <v>1004</v>
      </c>
      <c r="S205" s="69" t="s">
        <v>998</v>
      </c>
      <c r="T205" s="59">
        <v>42924</v>
      </c>
      <c r="U205" s="64">
        <v>47.191470000000002</v>
      </c>
      <c r="V205" s="64">
        <v>-122.67221000000001</v>
      </c>
      <c r="W205" t="str">
        <f>VLOOKUP(B205,[1]Plantings!$A$2:$E$285,4,FALSE)</f>
        <v>line</v>
      </c>
      <c r="X205" s="43" t="str">
        <f>VLOOKUP(B205,[1]Plantings!$A$2:$E$285,5,FALSE)</f>
        <v>retain</v>
      </c>
      <c r="Y205" s="62" t="s">
        <v>9</v>
      </c>
      <c r="Z205" s="62"/>
      <c r="AA205" s="62"/>
      <c r="AB205" s="62"/>
      <c r="AC205" s="18"/>
      <c r="AE205" s="62"/>
      <c r="AF205" s="46"/>
      <c r="AG205" s="66"/>
      <c r="AH205" s="66"/>
      <c r="AI205" s="45" t="str">
        <f t="shared" si="21"/>
        <v/>
      </c>
      <c r="AJ205" s="45" t="str">
        <f t="shared" si="22"/>
        <v/>
      </c>
      <c r="AK205" s="62"/>
      <c r="AL205" s="68"/>
    </row>
    <row r="206" spans="1:38" x14ac:dyDescent="0.25">
      <c r="A206" s="18" t="s">
        <v>1316</v>
      </c>
      <c r="B206" s="18" t="s">
        <v>1317</v>
      </c>
      <c r="C206" t="str">
        <f>VLOOKUP(B206,[1]Plantings!$A$2:$C$285,2,FALSE)</f>
        <v>MIL_1</v>
      </c>
      <c r="D206" t="str">
        <f>VLOOKUP(B206,[1]Plantings!$A$2:$C$285,3,FALSE)</f>
        <v>single</v>
      </c>
      <c r="E206" s="18">
        <v>2017</v>
      </c>
      <c r="F206" s="18"/>
      <c r="G206" s="9" t="s">
        <v>7</v>
      </c>
      <c r="H206" s="18" t="s">
        <v>1318</v>
      </c>
      <c r="I206" s="18" t="s">
        <v>957</v>
      </c>
      <c r="J206" s="18" t="s">
        <v>1014</v>
      </c>
      <c r="K206" s="18" t="s">
        <v>562</v>
      </c>
      <c r="L206" s="18" t="s">
        <v>562</v>
      </c>
      <c r="M206" s="18" t="s">
        <v>1040</v>
      </c>
      <c r="N206" s="18"/>
      <c r="O206" s="18" t="s">
        <v>963</v>
      </c>
      <c r="P206" s="9" t="s">
        <v>1041</v>
      </c>
      <c r="Q206" s="18"/>
      <c r="R206" s="18" t="s">
        <v>966</v>
      </c>
      <c r="S206" s="18" t="s">
        <v>966</v>
      </c>
      <c r="T206" s="84">
        <v>42978</v>
      </c>
      <c r="U206" s="85">
        <v>47.616869999999999</v>
      </c>
      <c r="V206" s="85">
        <v>-122.49728</v>
      </c>
      <c r="W206" t="str">
        <f>VLOOKUP(B206,[1]Plantings!$A$2:$E$285,4,FALSE)</f>
        <v>point</v>
      </c>
      <c r="X206" s="43" t="str">
        <f>VLOOKUP(B206,[1]Plantings!$A$2:$E$285,5,FALSE)</f>
        <v>retain</v>
      </c>
      <c r="Y206" s="86" t="s">
        <v>9</v>
      </c>
      <c r="Z206" s="87">
        <v>-2.4</v>
      </c>
      <c r="AA206" s="18" t="s">
        <v>982</v>
      </c>
      <c r="AB206" s="18">
        <v>2.5</v>
      </c>
      <c r="AC206" s="18">
        <v>2.5</v>
      </c>
      <c r="AD206">
        <f t="shared" ref="AD206:AD221" si="29">AB206*AC206</f>
        <v>6.25</v>
      </c>
      <c r="AE206">
        <f t="shared" ref="AE206:AE211" si="30">AG206*0.25</f>
        <v>4.5</v>
      </c>
      <c r="AF206" s="46">
        <f t="shared" ref="AF206:AF212" si="31">IF(AA206="staple",AG206*0.005,IF(AA206="rebar",AG206*0.025,IF(AA206="burlap",AG206*0.0625,IF(AA206="washer",AG206*0.0025,IF(AA206="pucks",AG206*0.00785,IF(AA206="turf",AG206*0.01,IF(AA206="","")))))))</f>
        <v>0.45</v>
      </c>
      <c r="AG206" s="74">
        <v>18</v>
      </c>
      <c r="AH206" s="74">
        <f>AG206*25</f>
        <v>450</v>
      </c>
      <c r="AI206" s="45">
        <f t="shared" si="21"/>
        <v>72</v>
      </c>
      <c r="AJ206" s="45">
        <f t="shared" si="22"/>
        <v>100</v>
      </c>
      <c r="AK206" s="62" t="s">
        <v>1038</v>
      </c>
      <c r="AL206" s="88" t="s">
        <v>1319</v>
      </c>
    </row>
    <row r="207" spans="1:38" x14ac:dyDescent="0.25">
      <c r="A207" s="18" t="s">
        <v>1316</v>
      </c>
      <c r="B207" s="18" t="s">
        <v>1320</v>
      </c>
      <c r="C207" t="str">
        <f>VLOOKUP(B207,[1]Plantings!$A$2:$C$285,2,FALSE)</f>
        <v>MIL_3</v>
      </c>
      <c r="D207" t="str">
        <f>VLOOKUP(B207,[1]Plantings!$A$2:$C$285,3,FALSE)</f>
        <v>single</v>
      </c>
      <c r="E207" s="18">
        <v>2017</v>
      </c>
      <c r="F207" s="18"/>
      <c r="G207" s="9" t="s">
        <v>7</v>
      </c>
      <c r="H207" s="18" t="s">
        <v>1318</v>
      </c>
      <c r="I207" s="18" t="s">
        <v>957</v>
      </c>
      <c r="J207" s="18" t="s">
        <v>1014</v>
      </c>
      <c r="K207" s="18" t="s">
        <v>562</v>
      </c>
      <c r="L207" s="18" t="s">
        <v>562</v>
      </c>
      <c r="M207" s="18" t="s">
        <v>1040</v>
      </c>
      <c r="N207" s="18"/>
      <c r="O207" s="18" t="s">
        <v>963</v>
      </c>
      <c r="P207" s="9" t="s">
        <v>1041</v>
      </c>
      <c r="Q207" s="18"/>
      <c r="R207" s="18" t="s">
        <v>966</v>
      </c>
      <c r="S207" s="89" t="s">
        <v>966</v>
      </c>
      <c r="T207" s="84">
        <v>42978</v>
      </c>
      <c r="U207" s="85">
        <v>47.61683</v>
      </c>
      <c r="V207" s="85">
        <v>-122.49723</v>
      </c>
      <c r="W207" t="str">
        <f>VLOOKUP(B207,[1]Plantings!$A$2:$E$285,4,FALSE)</f>
        <v>point</v>
      </c>
      <c r="X207" s="43" t="str">
        <f>VLOOKUP(B207,[1]Plantings!$A$2:$E$285,5,FALSE)</f>
        <v>retain</v>
      </c>
      <c r="Y207" s="86" t="s">
        <v>9</v>
      </c>
      <c r="Z207" s="87">
        <v>-2.4</v>
      </c>
      <c r="AA207" s="18" t="s">
        <v>982</v>
      </c>
      <c r="AB207" s="18">
        <v>2.5</v>
      </c>
      <c r="AC207" s="18">
        <v>2.5</v>
      </c>
      <c r="AD207">
        <f t="shared" si="29"/>
        <v>6.25</v>
      </c>
      <c r="AE207">
        <f t="shared" si="30"/>
        <v>5</v>
      </c>
      <c r="AF207" s="46">
        <f t="shared" si="31"/>
        <v>0.5</v>
      </c>
      <c r="AG207" s="74">
        <f>AH207/25</f>
        <v>20</v>
      </c>
      <c r="AH207" s="74">
        <v>500</v>
      </c>
      <c r="AI207" s="45">
        <f t="shared" si="21"/>
        <v>80</v>
      </c>
      <c r="AJ207" s="45">
        <f t="shared" si="22"/>
        <v>100</v>
      </c>
      <c r="AK207" s="62" t="s">
        <v>1038</v>
      </c>
      <c r="AL207" s="88" t="s">
        <v>1319</v>
      </c>
    </row>
    <row r="208" spans="1:38" x14ac:dyDescent="0.25">
      <c r="A208" t="s">
        <v>1321</v>
      </c>
      <c r="B208" t="s">
        <v>1322</v>
      </c>
      <c r="C208" t="str">
        <f>VLOOKUP(B208,[1]Plantings!$A$2:$C$285,2,FALSE)</f>
        <v>MRE_1</v>
      </c>
      <c r="D208" t="str">
        <f>VLOOKUP(B208,[1]Plantings!$A$2:$C$285,3,FALSE)</f>
        <v>single</v>
      </c>
      <c r="E208">
        <v>2021</v>
      </c>
      <c r="G208" t="s">
        <v>7</v>
      </c>
      <c r="H208" t="s">
        <v>330</v>
      </c>
      <c r="I208" t="s">
        <v>957</v>
      </c>
      <c r="J208" t="s">
        <v>938</v>
      </c>
      <c r="K208" t="s">
        <v>938</v>
      </c>
      <c r="L208" s="9" t="s">
        <v>1079</v>
      </c>
      <c r="N208" t="s">
        <v>1080</v>
      </c>
      <c r="R208" t="s">
        <v>966</v>
      </c>
      <c r="S208" t="s">
        <v>966</v>
      </c>
      <c r="T208" s="42">
        <v>44344</v>
      </c>
      <c r="U208">
        <v>47.620460000000001</v>
      </c>
      <c r="V208">
        <v>-122.36398</v>
      </c>
      <c r="W208" t="str">
        <f>VLOOKUP(B208,[1]Plantings!$A$2:$E$285,4,FALSE)</f>
        <v>point</v>
      </c>
      <c r="X208" s="43" t="str">
        <f>VLOOKUP(B208,[1]Plantings!$A$2:$E$285,5,FALSE)</f>
        <v>retain</v>
      </c>
      <c r="Y208" s="48" t="s">
        <v>9</v>
      </c>
      <c r="Z208" s="44">
        <v>-1.5</v>
      </c>
      <c r="AA208" s="45" t="s">
        <v>982</v>
      </c>
      <c r="AB208">
        <v>1.5</v>
      </c>
      <c r="AC208">
        <v>1</v>
      </c>
      <c r="AD208">
        <f t="shared" si="29"/>
        <v>1.5</v>
      </c>
      <c r="AE208">
        <f t="shared" si="30"/>
        <v>3.75</v>
      </c>
      <c r="AF208" s="46">
        <f t="shared" si="31"/>
        <v>0.375</v>
      </c>
      <c r="AG208">
        <v>15</v>
      </c>
      <c r="AH208" s="60">
        <v>300</v>
      </c>
      <c r="AI208" s="45">
        <f t="shared" si="21"/>
        <v>200</v>
      </c>
      <c r="AJ208" s="45">
        <f t="shared" si="22"/>
        <v>80</v>
      </c>
      <c r="AK208" t="s">
        <v>1021</v>
      </c>
      <c r="AL208" s="8" t="s">
        <v>1323</v>
      </c>
    </row>
    <row r="209" spans="1:38" x14ac:dyDescent="0.25">
      <c r="A209" t="s">
        <v>1321</v>
      </c>
      <c r="B209" t="s">
        <v>1324</v>
      </c>
      <c r="C209" t="str">
        <f>VLOOKUP(B209,[1]Plantings!$A$2:$C$285,2,FALSE)</f>
        <v>MRE_1</v>
      </c>
      <c r="D209" t="str">
        <f>VLOOKUP(B209,[1]Plantings!$A$2:$C$285,3,FALSE)</f>
        <v>single</v>
      </c>
      <c r="E209">
        <v>2021</v>
      </c>
      <c r="G209" t="s">
        <v>7</v>
      </c>
      <c r="H209" t="s">
        <v>330</v>
      </c>
      <c r="I209" t="s">
        <v>957</v>
      </c>
      <c r="J209" t="s">
        <v>938</v>
      </c>
      <c r="K209" t="s">
        <v>938</v>
      </c>
      <c r="L209" s="9" t="s">
        <v>1079</v>
      </c>
      <c r="N209" t="s">
        <v>1080</v>
      </c>
      <c r="R209" t="s">
        <v>966</v>
      </c>
      <c r="S209" t="s">
        <v>966</v>
      </c>
      <c r="T209" s="42">
        <v>44344</v>
      </c>
      <c r="U209">
        <v>47.620460000000001</v>
      </c>
      <c r="V209">
        <v>-122.36398</v>
      </c>
      <c r="W209" t="str">
        <f>VLOOKUP(B209,[1]Plantings!$A$2:$E$285,4,FALSE)</f>
        <v>point</v>
      </c>
      <c r="X209" s="43" t="str">
        <f>VLOOKUP(B209,[1]Plantings!$A$2:$E$285,5,FALSE)</f>
        <v>retain</v>
      </c>
      <c r="Y209" s="48" t="s">
        <v>9</v>
      </c>
      <c r="Z209" s="44">
        <v>-1.5</v>
      </c>
      <c r="AA209" s="45" t="s">
        <v>982</v>
      </c>
      <c r="AB209">
        <v>1</v>
      </c>
      <c r="AC209">
        <v>1</v>
      </c>
      <c r="AD209">
        <f t="shared" si="29"/>
        <v>1</v>
      </c>
      <c r="AE209">
        <f t="shared" si="30"/>
        <v>3</v>
      </c>
      <c r="AF209" s="46">
        <f t="shared" si="31"/>
        <v>0.30000000000000004</v>
      </c>
      <c r="AG209" s="47">
        <v>12</v>
      </c>
      <c r="AH209" s="60">
        <v>240</v>
      </c>
      <c r="AI209" s="45">
        <f t="shared" si="21"/>
        <v>240</v>
      </c>
      <c r="AJ209" s="45">
        <f t="shared" si="22"/>
        <v>80</v>
      </c>
      <c r="AK209" t="s">
        <v>942</v>
      </c>
      <c r="AL209" s="8" t="s">
        <v>1325</v>
      </c>
    </row>
    <row r="210" spans="1:38" x14ac:dyDescent="0.25">
      <c r="A210" t="s">
        <v>1321</v>
      </c>
      <c r="B210" t="s">
        <v>1326</v>
      </c>
      <c r="C210" t="str">
        <f>VLOOKUP(B210,[1]Plantings!$A$2:$C$285,2,FALSE)</f>
        <v>MRE_2</v>
      </c>
      <c r="D210" t="str">
        <f>VLOOKUP(B210,[1]Plantings!$A$2:$C$285,3,FALSE)</f>
        <v>single</v>
      </c>
      <c r="E210">
        <v>2022</v>
      </c>
      <c r="G210" t="s">
        <v>7</v>
      </c>
      <c r="H210" t="s">
        <v>330</v>
      </c>
      <c r="I210" t="s">
        <v>957</v>
      </c>
      <c r="J210" t="s">
        <v>938</v>
      </c>
      <c r="K210" t="s">
        <v>938</v>
      </c>
      <c r="L210" t="s">
        <v>1079</v>
      </c>
      <c r="N210" t="s">
        <v>1080</v>
      </c>
      <c r="R210" t="s">
        <v>966</v>
      </c>
      <c r="S210" t="s">
        <v>966</v>
      </c>
      <c r="T210" s="42">
        <v>44698</v>
      </c>
      <c r="U210">
        <v>47.620460000000001</v>
      </c>
      <c r="V210">
        <v>-122.36398</v>
      </c>
      <c r="W210" t="str">
        <f>VLOOKUP(B210,[1]Plantings!$A$2:$E$285,4,FALSE)</f>
        <v>point</v>
      </c>
      <c r="X210" s="43" t="str">
        <f>VLOOKUP(B210,[1]Plantings!$A$2:$E$285,5,FALSE)</f>
        <v>retain</v>
      </c>
      <c r="Y210" s="48" t="s">
        <v>9</v>
      </c>
      <c r="Z210" s="44">
        <v>-1.5</v>
      </c>
      <c r="AA210" s="45" t="s">
        <v>982</v>
      </c>
      <c r="AB210">
        <v>1</v>
      </c>
      <c r="AC210">
        <v>0.5</v>
      </c>
      <c r="AD210">
        <f t="shared" si="29"/>
        <v>0.5</v>
      </c>
      <c r="AE210">
        <f t="shared" si="30"/>
        <v>1.5</v>
      </c>
      <c r="AF210" s="46">
        <f t="shared" si="31"/>
        <v>0.15000000000000002</v>
      </c>
      <c r="AG210" s="47">
        <v>6</v>
      </c>
      <c r="AH210" s="60">
        <v>120</v>
      </c>
      <c r="AI210" s="45">
        <f t="shared" si="21"/>
        <v>240</v>
      </c>
      <c r="AJ210" s="45">
        <f t="shared" si="22"/>
        <v>80</v>
      </c>
      <c r="AK210" t="s">
        <v>1021</v>
      </c>
      <c r="AL210" s="8" t="s">
        <v>1327</v>
      </c>
    </row>
    <row r="211" spans="1:38" x14ac:dyDescent="0.25">
      <c r="A211" t="s">
        <v>1321</v>
      </c>
      <c r="B211" t="s">
        <v>1328</v>
      </c>
      <c r="C211" t="str">
        <f>VLOOKUP(B211,[1]Plantings!$A$2:$C$285,2,FALSE)</f>
        <v>MRE_2</v>
      </c>
      <c r="D211" t="str">
        <f>VLOOKUP(B211,[1]Plantings!$A$2:$C$285,3,FALSE)</f>
        <v>single</v>
      </c>
      <c r="E211">
        <v>2022</v>
      </c>
      <c r="G211" t="s">
        <v>7</v>
      </c>
      <c r="H211" t="s">
        <v>330</v>
      </c>
      <c r="I211" t="s">
        <v>957</v>
      </c>
      <c r="J211" t="s">
        <v>938</v>
      </c>
      <c r="K211" t="s">
        <v>938</v>
      </c>
      <c r="L211" t="s">
        <v>1079</v>
      </c>
      <c r="N211" t="s">
        <v>1080</v>
      </c>
      <c r="R211" t="s">
        <v>966</v>
      </c>
      <c r="S211" t="s">
        <v>966</v>
      </c>
      <c r="T211" s="42">
        <v>44698</v>
      </c>
      <c r="W211" t="str">
        <f>VLOOKUP(B211,[1]Plantings!$A$2:$E$285,4,FALSE)</f>
        <v>point</v>
      </c>
      <c r="X211" s="43" t="str">
        <f>VLOOKUP(B211,[1]Plantings!$A$2:$E$285,5,FALSE)</f>
        <v>retain</v>
      </c>
      <c r="Y211" s="48" t="s">
        <v>9</v>
      </c>
      <c r="Z211" s="44">
        <v>-1.6</v>
      </c>
      <c r="AA211" s="45" t="s">
        <v>982</v>
      </c>
      <c r="AB211">
        <v>2.5</v>
      </c>
      <c r="AC211">
        <v>1</v>
      </c>
      <c r="AD211">
        <f t="shared" si="29"/>
        <v>2.5</v>
      </c>
      <c r="AE211">
        <f t="shared" si="30"/>
        <v>7.75</v>
      </c>
      <c r="AF211" s="46">
        <f t="shared" si="31"/>
        <v>0.77500000000000002</v>
      </c>
      <c r="AG211" s="47">
        <v>31</v>
      </c>
      <c r="AH211" s="60">
        <v>620</v>
      </c>
      <c r="AI211" s="45">
        <f t="shared" si="21"/>
        <v>248</v>
      </c>
      <c r="AJ211" s="45">
        <f t="shared" si="22"/>
        <v>80</v>
      </c>
      <c r="AK211" t="s">
        <v>1021</v>
      </c>
      <c r="AL211" s="8" t="s">
        <v>1329</v>
      </c>
    </row>
    <row r="212" spans="1:38" x14ac:dyDescent="0.25">
      <c r="A212" t="s">
        <v>1330</v>
      </c>
      <c r="B212" t="s">
        <v>1331</v>
      </c>
      <c r="C212" t="str">
        <f>VLOOKUP(B212,[1]Plantings!$A$2:$C$285,2,FALSE)</f>
        <v>OST</v>
      </c>
      <c r="D212" t="str">
        <f>VLOOKUP(B212,[1]Plantings!$A$2:$C$285,3,FALSE)</f>
        <v>single</v>
      </c>
      <c r="E212">
        <v>2015</v>
      </c>
      <c r="G212" t="s">
        <v>7</v>
      </c>
      <c r="H212" t="s">
        <v>224</v>
      </c>
      <c r="I212" t="s">
        <v>957</v>
      </c>
      <c r="J212" t="s">
        <v>123</v>
      </c>
      <c r="K212" t="s">
        <v>971</v>
      </c>
      <c r="L212" t="s">
        <v>972</v>
      </c>
      <c r="O212" t="s">
        <v>963</v>
      </c>
      <c r="P212" t="s">
        <v>973</v>
      </c>
      <c r="Q212" t="s">
        <v>974</v>
      </c>
      <c r="R212" t="s">
        <v>966</v>
      </c>
      <c r="S212" t="s">
        <v>966</v>
      </c>
      <c r="T212" s="42">
        <v>42053</v>
      </c>
      <c r="U212" s="43">
        <v>47.592083333333335</v>
      </c>
      <c r="V212" s="43">
        <v>-122.67906666666667</v>
      </c>
      <c r="W212" t="str">
        <f>VLOOKUP(B212,[1]Plantings!$A$2:$E$285,4,FALSE)</f>
        <v>point</v>
      </c>
      <c r="X212" s="43" t="str">
        <f>VLOOKUP(B212,[1]Plantings!$A$2:$E$285,5,FALSE)</f>
        <v>retain</v>
      </c>
      <c r="Y212" s="48" t="s">
        <v>9</v>
      </c>
      <c r="Z212" s="44">
        <v>-1.4325600000000001</v>
      </c>
      <c r="AA212" s="45" t="s">
        <v>967</v>
      </c>
      <c r="AB212">
        <v>5</v>
      </c>
      <c r="AC212">
        <v>5</v>
      </c>
      <c r="AD212">
        <f t="shared" si="29"/>
        <v>25</v>
      </c>
      <c r="AE212">
        <v>25</v>
      </c>
      <c r="AF212" s="46">
        <f t="shared" si="31"/>
        <v>0.625</v>
      </c>
      <c r="AG212" s="47">
        <f>AH212/4</f>
        <v>125</v>
      </c>
      <c r="AH212" s="47">
        <v>500</v>
      </c>
      <c r="AI212" s="45">
        <f t="shared" si="21"/>
        <v>20</v>
      </c>
      <c r="AJ212" s="45">
        <f t="shared" si="22"/>
        <v>20</v>
      </c>
      <c r="AK212" t="s">
        <v>1038</v>
      </c>
    </row>
    <row r="213" spans="1:38" x14ac:dyDescent="0.25">
      <c r="A213" t="s">
        <v>1332</v>
      </c>
      <c r="B213" t="s">
        <v>1333</v>
      </c>
      <c r="C213" t="str">
        <f>VLOOKUP(B213,[1]Plantings!$A$2:$C$285,2,FALSE)</f>
        <v>OTB_1</v>
      </c>
      <c r="D213" t="str">
        <f>VLOOKUP(B213,[1]Plantings!$A$2:$C$285,3,FALSE)</f>
        <v>single</v>
      </c>
      <c r="E213">
        <v>2023</v>
      </c>
      <c r="G213" t="s">
        <v>7</v>
      </c>
      <c r="H213" t="s">
        <v>1334</v>
      </c>
      <c r="I213" t="s">
        <v>1092</v>
      </c>
      <c r="R213" t="s">
        <v>966</v>
      </c>
      <c r="S213" t="s">
        <v>966</v>
      </c>
      <c r="T213" s="59">
        <v>45053</v>
      </c>
      <c r="U213">
        <v>47.163100800000002</v>
      </c>
      <c r="V213">
        <v>-122.828051</v>
      </c>
      <c r="W213" t="str">
        <f>VLOOKUP(B213,[1]Plantings!$A$2:$E$285,4,FALSE)</f>
        <v>point</v>
      </c>
      <c r="X213" s="43" t="str">
        <f>VLOOKUP(B213,[1]Plantings!$A$2:$E$285,5,FALSE)</f>
        <v>retain</v>
      </c>
      <c r="Y213" s="48" t="s">
        <v>9</v>
      </c>
      <c r="Z213" s="44">
        <v>-1</v>
      </c>
      <c r="AA213" s="45" t="s">
        <v>982</v>
      </c>
      <c r="AB213">
        <v>1.5</v>
      </c>
      <c r="AC213">
        <v>0.5</v>
      </c>
      <c r="AD213">
        <f t="shared" si="29"/>
        <v>0.75</v>
      </c>
      <c r="AE213">
        <f>AG213*0.25</f>
        <v>2.75</v>
      </c>
      <c r="AF213" s="46">
        <f>IF(AA213="staple",AG213*0.005,IF(AA213="rebar",AG213*0.025,IF(AA213="burlap",AG213*0.0625,IF(AA213="washer",AG213*0.0025,IF(AA213="pucks",AG213*0.00785,IF(AA213="turf",AG213*0.01,IF(AA213="TERFS",AG213*0.25,IF(AA213="",""))))))))</f>
        <v>0.27500000000000002</v>
      </c>
      <c r="AG213" s="47">
        <v>11</v>
      </c>
      <c r="AH213" s="60">
        <v>150</v>
      </c>
      <c r="AI213" s="45">
        <f t="shared" si="21"/>
        <v>200</v>
      </c>
      <c r="AJ213" s="45">
        <f t="shared" si="22"/>
        <v>54.545454545454547</v>
      </c>
      <c r="AK213" t="s">
        <v>1021</v>
      </c>
      <c r="AL213" s="8" t="s">
        <v>1335</v>
      </c>
    </row>
    <row r="214" spans="1:38" x14ac:dyDescent="0.25">
      <c r="A214" t="s">
        <v>1336</v>
      </c>
      <c r="B214" t="s">
        <v>1337</v>
      </c>
      <c r="C214" t="str">
        <f>VLOOKUP(B214,[1]Plantings!$A$2:$C$285,2,FALSE)</f>
        <v>PEN_L1</v>
      </c>
      <c r="D214" t="str">
        <f>VLOOKUP(B214,[1]Plantings!$A$2:$C$285,3,FALSE)</f>
        <v>single</v>
      </c>
      <c r="E214">
        <v>2016</v>
      </c>
      <c r="F214" t="s">
        <v>956</v>
      </c>
      <c r="G214" t="s">
        <v>7</v>
      </c>
      <c r="H214" t="s">
        <v>604</v>
      </c>
      <c r="I214" t="s">
        <v>957</v>
      </c>
      <c r="J214" t="s">
        <v>988</v>
      </c>
      <c r="K214" t="s">
        <v>959</v>
      </c>
      <c r="L214" t="s">
        <v>960</v>
      </c>
      <c r="M214" t="s">
        <v>989</v>
      </c>
      <c r="N214" t="s">
        <v>1051</v>
      </c>
      <c r="O214" t="s">
        <v>991</v>
      </c>
      <c r="P214" t="s">
        <v>992</v>
      </c>
      <c r="Q214" t="s">
        <v>993</v>
      </c>
      <c r="R214" t="s">
        <v>966</v>
      </c>
      <c r="S214" t="s">
        <v>966</v>
      </c>
      <c r="T214" s="42">
        <v>42510</v>
      </c>
      <c r="U214" s="50">
        <v>47.264066961111112</v>
      </c>
      <c r="V214" s="43">
        <v>-122.73925913055555</v>
      </c>
      <c r="W214" t="str">
        <f>VLOOKUP(B214,[1]Plantings!$A$2:$E$285,4,FALSE)</f>
        <v>point</v>
      </c>
      <c r="X214" s="43" t="str">
        <f>VLOOKUP(B214,[1]Plantings!$A$2:$E$285,5,FALSE)</f>
        <v>retain</v>
      </c>
      <c r="Y214" s="48" t="s">
        <v>9</v>
      </c>
      <c r="Z214" s="44">
        <v>-2</v>
      </c>
      <c r="AA214" s="45" t="s">
        <v>1052</v>
      </c>
      <c r="AB214">
        <v>5</v>
      </c>
      <c r="AC214">
        <v>5</v>
      </c>
      <c r="AD214">
        <f t="shared" si="29"/>
        <v>25</v>
      </c>
      <c r="AE214">
        <v>39</v>
      </c>
      <c r="AF214" s="46">
        <f t="shared" ref="AF214:AF221" si="32">IF(AA214="staple",AG214*0.005,IF(AA214="rebar",AG214*0.025,IF(AA214="burlap",AG214*0.0625,IF(AA214="washer",AG214*0.0025,IF(AA214="pucks",AG214*0.00785,IF(AA214="turf",AG214*0.01,IF(AA214="","")))))))</f>
        <v>9.75</v>
      </c>
      <c r="AG214" s="47">
        <v>156</v>
      </c>
      <c r="AH214" s="47">
        <v>780</v>
      </c>
      <c r="AI214" s="45">
        <f t="shared" si="21"/>
        <v>31.2</v>
      </c>
      <c r="AJ214" s="45">
        <f t="shared" si="22"/>
        <v>20</v>
      </c>
      <c r="AK214" t="s">
        <v>995</v>
      </c>
      <c r="AL214" s="51" t="s">
        <v>1054</v>
      </c>
    </row>
    <row r="215" spans="1:38" x14ac:dyDescent="0.25">
      <c r="A215" t="s">
        <v>1338</v>
      </c>
      <c r="B215" t="s">
        <v>1339</v>
      </c>
      <c r="C215" t="str">
        <f>VLOOKUP(B215,[1]Plantings!$A$2:$C$285,2,FALSE)</f>
        <v>PTG_5</v>
      </c>
      <c r="D215" t="str">
        <f>VLOOKUP(B215,[1]Plantings!$A$2:$C$285,3,FALSE)</f>
        <v>single</v>
      </c>
      <c r="E215">
        <v>2014</v>
      </c>
      <c r="F215" t="s">
        <v>1340</v>
      </c>
      <c r="G215" t="s">
        <v>7</v>
      </c>
      <c r="H215" t="s">
        <v>1338</v>
      </c>
      <c r="I215" t="s">
        <v>1341</v>
      </c>
      <c r="J215" t="s">
        <v>1342</v>
      </c>
      <c r="K215" t="s">
        <v>1343</v>
      </c>
      <c r="L215" t="s">
        <v>1344</v>
      </c>
      <c r="M215" t="s">
        <v>1345</v>
      </c>
      <c r="N215" t="s">
        <v>1346</v>
      </c>
      <c r="O215" t="s">
        <v>963</v>
      </c>
      <c r="P215" t="s">
        <v>1347</v>
      </c>
      <c r="Q215" t="s">
        <v>1348</v>
      </c>
      <c r="R215" t="s">
        <v>966</v>
      </c>
      <c r="S215" t="s">
        <v>966</v>
      </c>
      <c r="T215" s="42">
        <v>41961</v>
      </c>
      <c r="U215" s="43">
        <v>47.820416666666667</v>
      </c>
      <c r="V215" s="43">
        <v>-122.57201666666667</v>
      </c>
      <c r="W215" t="str">
        <f>VLOOKUP(B215,[1]Plantings!$A$2:$E$285,4,FALSE)</f>
        <v>point</v>
      </c>
      <c r="X215" s="43" t="str">
        <f>VLOOKUP(B215,[1]Plantings!$A$2:$E$285,5,FALSE)</f>
        <v>retain</v>
      </c>
      <c r="Y215" s="48" t="s">
        <v>9</v>
      </c>
      <c r="Z215" s="44">
        <v>-1.8288</v>
      </c>
      <c r="AA215" s="45" t="s">
        <v>967</v>
      </c>
      <c r="AB215">
        <v>5</v>
      </c>
      <c r="AC215">
        <v>5</v>
      </c>
      <c r="AD215">
        <f t="shared" si="29"/>
        <v>25</v>
      </c>
      <c r="AE215">
        <v>25</v>
      </c>
      <c r="AF215" s="46">
        <f t="shared" si="32"/>
        <v>0.625</v>
      </c>
      <c r="AG215" s="47">
        <f t="shared" ref="AG215:AG221" si="33">AH215/4</f>
        <v>125</v>
      </c>
      <c r="AH215" s="47">
        <v>500</v>
      </c>
      <c r="AI215" s="45">
        <f t="shared" si="21"/>
        <v>20</v>
      </c>
      <c r="AJ215" s="45">
        <f t="shared" si="22"/>
        <v>20</v>
      </c>
      <c r="AK215" t="s">
        <v>1349</v>
      </c>
    </row>
    <row r="216" spans="1:38" x14ac:dyDescent="0.25">
      <c r="A216" t="s">
        <v>1338</v>
      </c>
      <c r="B216" t="s">
        <v>1350</v>
      </c>
      <c r="C216" t="str">
        <f>VLOOKUP(B216,[1]Plantings!$A$2:$C$285,2,FALSE)</f>
        <v>PTG_2</v>
      </c>
      <c r="D216" t="str">
        <f>VLOOKUP(B216,[1]Plantings!$A$2:$C$285,3,FALSE)</f>
        <v>single</v>
      </c>
      <c r="E216">
        <v>2014</v>
      </c>
      <c r="F216" t="s">
        <v>1340</v>
      </c>
      <c r="G216" t="s">
        <v>7</v>
      </c>
      <c r="H216" t="s">
        <v>1338</v>
      </c>
      <c r="I216" t="s">
        <v>1341</v>
      </c>
      <c r="J216" t="s">
        <v>1342</v>
      </c>
      <c r="K216" t="s">
        <v>1343</v>
      </c>
      <c r="L216" t="s">
        <v>1344</v>
      </c>
      <c r="M216" t="s">
        <v>1345</v>
      </c>
      <c r="N216" t="s">
        <v>1346</v>
      </c>
      <c r="O216" t="s">
        <v>963</v>
      </c>
      <c r="P216" t="s">
        <v>1347</v>
      </c>
      <c r="Q216" t="s">
        <v>1348</v>
      </c>
      <c r="R216" t="s">
        <v>966</v>
      </c>
      <c r="S216" t="s">
        <v>966</v>
      </c>
      <c r="T216" s="42">
        <v>41962</v>
      </c>
      <c r="U216" s="43">
        <v>47.821100000000001</v>
      </c>
      <c r="V216" s="43">
        <v>-122.57796666666667</v>
      </c>
      <c r="W216" t="str">
        <f>VLOOKUP(B216,[1]Plantings!$A$2:$E$285,4,FALSE)</f>
        <v>point</v>
      </c>
      <c r="X216" s="43" t="str">
        <f>VLOOKUP(B216,[1]Plantings!$A$2:$E$285,5,FALSE)</f>
        <v>retain</v>
      </c>
      <c r="Y216" s="48" t="s">
        <v>9</v>
      </c>
      <c r="Z216" s="44">
        <v>-1.8288</v>
      </c>
      <c r="AA216" s="45" t="s">
        <v>967</v>
      </c>
      <c r="AB216">
        <v>5</v>
      </c>
      <c r="AC216">
        <v>5</v>
      </c>
      <c r="AD216">
        <f t="shared" si="29"/>
        <v>25</v>
      </c>
      <c r="AE216">
        <v>25</v>
      </c>
      <c r="AF216" s="46">
        <f t="shared" si="32"/>
        <v>0.625</v>
      </c>
      <c r="AG216" s="47">
        <f t="shared" si="33"/>
        <v>125</v>
      </c>
      <c r="AH216" s="47">
        <v>500</v>
      </c>
      <c r="AI216" s="45">
        <f t="shared" ref="AI216:AI279" si="34">IFERROR(AH216/AD216, "")</f>
        <v>20</v>
      </c>
      <c r="AJ216" s="45">
        <f t="shared" ref="AJ216:AJ279" si="35">IFERROR(AH216/AE216, "")</f>
        <v>20</v>
      </c>
      <c r="AK216" t="s">
        <v>1349</v>
      </c>
    </row>
    <row r="217" spans="1:38" x14ac:dyDescent="0.25">
      <c r="A217" t="s">
        <v>1338</v>
      </c>
      <c r="B217" t="s">
        <v>1351</v>
      </c>
      <c r="C217" t="str">
        <f>VLOOKUP(B217,[1]Plantings!$A$2:$C$285,2,FALSE)</f>
        <v>PTG_3</v>
      </c>
      <c r="D217" t="str">
        <f>VLOOKUP(B217,[1]Plantings!$A$2:$C$285,3,FALSE)</f>
        <v>single</v>
      </c>
      <c r="E217">
        <v>2014</v>
      </c>
      <c r="F217" t="s">
        <v>1340</v>
      </c>
      <c r="G217" t="s">
        <v>7</v>
      </c>
      <c r="H217" t="s">
        <v>1338</v>
      </c>
      <c r="I217" t="s">
        <v>1341</v>
      </c>
      <c r="J217" t="s">
        <v>1342</v>
      </c>
      <c r="K217" t="s">
        <v>1343</v>
      </c>
      <c r="L217" t="s">
        <v>1344</v>
      </c>
      <c r="M217" t="s">
        <v>1345</v>
      </c>
      <c r="N217" t="s">
        <v>1346</v>
      </c>
      <c r="O217" t="s">
        <v>963</v>
      </c>
      <c r="P217" t="s">
        <v>1347</v>
      </c>
      <c r="Q217" t="s">
        <v>1348</v>
      </c>
      <c r="R217" t="s">
        <v>966</v>
      </c>
      <c r="S217" t="s">
        <v>966</v>
      </c>
      <c r="T217" s="42">
        <v>41962</v>
      </c>
      <c r="U217" s="43">
        <v>47.821566666666669</v>
      </c>
      <c r="V217" s="43">
        <v>-122.57531666666667</v>
      </c>
      <c r="W217" t="str">
        <f>VLOOKUP(B217,[1]Plantings!$A$2:$E$285,4,FALSE)</f>
        <v>point</v>
      </c>
      <c r="X217" s="43" t="str">
        <f>VLOOKUP(B217,[1]Plantings!$A$2:$E$285,5,FALSE)</f>
        <v>retain</v>
      </c>
      <c r="Y217" s="48" t="s">
        <v>9</v>
      </c>
      <c r="Z217" s="44">
        <v>-2.7431999999999999</v>
      </c>
      <c r="AA217" s="45" t="s">
        <v>967</v>
      </c>
      <c r="AB217">
        <v>5</v>
      </c>
      <c r="AC217">
        <v>5</v>
      </c>
      <c r="AD217">
        <f t="shared" si="29"/>
        <v>25</v>
      </c>
      <c r="AE217">
        <v>25</v>
      </c>
      <c r="AF217" s="46">
        <f t="shared" si="32"/>
        <v>0.625</v>
      </c>
      <c r="AG217" s="47">
        <f t="shared" si="33"/>
        <v>125</v>
      </c>
      <c r="AH217" s="47">
        <v>500</v>
      </c>
      <c r="AI217" s="45">
        <f t="shared" si="34"/>
        <v>20</v>
      </c>
      <c r="AJ217" s="45">
        <f t="shared" si="35"/>
        <v>20</v>
      </c>
      <c r="AK217" t="s">
        <v>1349</v>
      </c>
    </row>
    <row r="218" spans="1:38" x14ac:dyDescent="0.25">
      <c r="A218" t="s">
        <v>1338</v>
      </c>
      <c r="B218" t="s">
        <v>1352</v>
      </c>
      <c r="C218" t="str">
        <f>VLOOKUP(B218,[1]Plantings!$A$2:$C$285,2,FALSE)</f>
        <v>PTG_4</v>
      </c>
      <c r="D218" t="str">
        <f>VLOOKUP(B218,[1]Plantings!$A$2:$C$285,3,FALSE)</f>
        <v>single</v>
      </c>
      <c r="E218">
        <v>2014</v>
      </c>
      <c r="F218" t="s">
        <v>1340</v>
      </c>
      <c r="G218" t="s">
        <v>7</v>
      </c>
      <c r="H218" t="s">
        <v>1338</v>
      </c>
      <c r="I218" t="s">
        <v>1341</v>
      </c>
      <c r="J218" t="s">
        <v>1342</v>
      </c>
      <c r="K218" t="s">
        <v>1343</v>
      </c>
      <c r="L218" t="s">
        <v>1344</v>
      </c>
      <c r="M218" t="s">
        <v>1345</v>
      </c>
      <c r="N218" t="s">
        <v>1346</v>
      </c>
      <c r="O218" t="s">
        <v>963</v>
      </c>
      <c r="P218" t="s">
        <v>1347</v>
      </c>
      <c r="Q218" t="s">
        <v>1348</v>
      </c>
      <c r="R218" t="s">
        <v>966</v>
      </c>
      <c r="S218" t="s">
        <v>966</v>
      </c>
      <c r="T218" s="42">
        <v>41962</v>
      </c>
      <c r="U218" s="43">
        <v>47.820300000000003</v>
      </c>
      <c r="V218" s="43">
        <v>-122.5757</v>
      </c>
      <c r="W218" t="str">
        <f>VLOOKUP(B218,[1]Plantings!$A$2:$E$285,4,FALSE)</f>
        <v>point</v>
      </c>
      <c r="X218" s="43" t="str">
        <f>VLOOKUP(B218,[1]Plantings!$A$2:$E$285,5,FALSE)</f>
        <v>retain</v>
      </c>
      <c r="Y218" s="48" t="s">
        <v>9</v>
      </c>
      <c r="Z218" s="44">
        <v>-1.2192000000000001</v>
      </c>
      <c r="AA218" s="45" t="s">
        <v>967</v>
      </c>
      <c r="AB218">
        <v>5</v>
      </c>
      <c r="AC218">
        <v>5</v>
      </c>
      <c r="AD218">
        <f t="shared" si="29"/>
        <v>25</v>
      </c>
      <c r="AE218">
        <v>25</v>
      </c>
      <c r="AF218" s="46">
        <f t="shared" si="32"/>
        <v>0.625</v>
      </c>
      <c r="AG218" s="47">
        <f t="shared" si="33"/>
        <v>125</v>
      </c>
      <c r="AH218" s="47">
        <v>500</v>
      </c>
      <c r="AI218" s="45">
        <f t="shared" si="34"/>
        <v>20</v>
      </c>
      <c r="AJ218" s="45">
        <f t="shared" si="35"/>
        <v>20</v>
      </c>
      <c r="AK218" t="s">
        <v>1349</v>
      </c>
    </row>
    <row r="219" spans="1:38" x14ac:dyDescent="0.25">
      <c r="A219" t="s">
        <v>1338</v>
      </c>
      <c r="B219" t="s">
        <v>1353</v>
      </c>
      <c r="C219" t="str">
        <f>VLOOKUP(B219,[1]Plantings!$A$2:$C$285,2,FALSE)</f>
        <v>PTG_1</v>
      </c>
      <c r="D219" t="str">
        <f>VLOOKUP(B219,[1]Plantings!$A$2:$C$285,3,FALSE)</f>
        <v>single</v>
      </c>
      <c r="E219">
        <v>2014</v>
      </c>
      <c r="F219" t="s">
        <v>1340</v>
      </c>
      <c r="G219" t="s">
        <v>7</v>
      </c>
      <c r="H219" t="s">
        <v>1338</v>
      </c>
      <c r="I219" t="s">
        <v>1341</v>
      </c>
      <c r="J219" t="s">
        <v>1342</v>
      </c>
      <c r="K219" t="s">
        <v>1343</v>
      </c>
      <c r="L219" t="s">
        <v>1344</v>
      </c>
      <c r="M219" t="s">
        <v>1345</v>
      </c>
      <c r="N219" t="s">
        <v>1346</v>
      </c>
      <c r="O219" t="s">
        <v>963</v>
      </c>
      <c r="P219" t="s">
        <v>1347</v>
      </c>
      <c r="Q219" t="s">
        <v>1348</v>
      </c>
      <c r="R219" t="s">
        <v>966</v>
      </c>
      <c r="S219" t="s">
        <v>966</v>
      </c>
      <c r="T219" s="42">
        <v>41963</v>
      </c>
      <c r="U219" s="43">
        <v>47.823266666666669</v>
      </c>
      <c r="V219" s="43">
        <v>-122.5821</v>
      </c>
      <c r="W219" t="str">
        <f>VLOOKUP(B219,[1]Plantings!$A$2:$E$285,4,FALSE)</f>
        <v>point</v>
      </c>
      <c r="X219" s="43" t="str">
        <f>VLOOKUP(B219,[1]Plantings!$A$2:$E$285,5,FALSE)</f>
        <v>retain</v>
      </c>
      <c r="Y219" s="48" t="s">
        <v>9</v>
      </c>
      <c r="Z219" s="44">
        <v>-1.8288</v>
      </c>
      <c r="AA219" s="45" t="s">
        <v>967</v>
      </c>
      <c r="AB219">
        <v>5</v>
      </c>
      <c r="AC219">
        <v>5</v>
      </c>
      <c r="AD219">
        <f t="shared" si="29"/>
        <v>25</v>
      </c>
      <c r="AE219">
        <v>25</v>
      </c>
      <c r="AF219" s="46">
        <f t="shared" si="32"/>
        <v>0.625</v>
      </c>
      <c r="AG219" s="47">
        <f t="shared" si="33"/>
        <v>125</v>
      </c>
      <c r="AH219" s="47">
        <v>500</v>
      </c>
      <c r="AI219" s="45">
        <f t="shared" si="34"/>
        <v>20</v>
      </c>
      <c r="AJ219" s="45">
        <f t="shared" si="35"/>
        <v>20</v>
      </c>
      <c r="AK219" t="s">
        <v>1349</v>
      </c>
    </row>
    <row r="220" spans="1:38" x14ac:dyDescent="0.25">
      <c r="A220" t="s">
        <v>1338</v>
      </c>
      <c r="B220" t="s">
        <v>1354</v>
      </c>
      <c r="C220" t="str">
        <f>VLOOKUP(B220,[1]Plantings!$A$2:$C$285,2,FALSE)</f>
        <v>PTG_6</v>
      </c>
      <c r="D220" t="str">
        <f>VLOOKUP(B220,[1]Plantings!$A$2:$C$285,3,FALSE)</f>
        <v>single</v>
      </c>
      <c r="E220">
        <v>2014</v>
      </c>
      <c r="F220" t="s">
        <v>1340</v>
      </c>
      <c r="G220" t="s">
        <v>7</v>
      </c>
      <c r="H220" t="s">
        <v>1338</v>
      </c>
      <c r="I220" t="s">
        <v>1341</v>
      </c>
      <c r="J220" t="s">
        <v>1342</v>
      </c>
      <c r="K220" t="s">
        <v>1343</v>
      </c>
      <c r="L220" t="s">
        <v>1344</v>
      </c>
      <c r="M220" t="s">
        <v>1345</v>
      </c>
      <c r="N220" t="s">
        <v>1346</v>
      </c>
      <c r="O220" t="s">
        <v>963</v>
      </c>
      <c r="P220" t="s">
        <v>1347</v>
      </c>
      <c r="Q220" t="s">
        <v>1348</v>
      </c>
      <c r="R220" t="s">
        <v>966</v>
      </c>
      <c r="S220" t="s">
        <v>966</v>
      </c>
      <c r="T220" s="42">
        <v>41963</v>
      </c>
      <c r="U220" s="43">
        <v>47.821066666666667</v>
      </c>
      <c r="V220" s="43">
        <v>-122.56726666666667</v>
      </c>
      <c r="W220" t="str">
        <f>VLOOKUP(B220,[1]Plantings!$A$2:$E$285,4,FALSE)</f>
        <v>point</v>
      </c>
      <c r="X220" s="43" t="str">
        <f>VLOOKUP(B220,[1]Plantings!$A$2:$E$285,5,FALSE)</f>
        <v>retain</v>
      </c>
      <c r="Y220" s="48" t="s">
        <v>9</v>
      </c>
      <c r="Z220" s="44">
        <v>-1.8288</v>
      </c>
      <c r="AA220" s="45" t="s">
        <v>967</v>
      </c>
      <c r="AB220">
        <v>5</v>
      </c>
      <c r="AC220">
        <v>5</v>
      </c>
      <c r="AD220">
        <f t="shared" si="29"/>
        <v>25</v>
      </c>
      <c r="AE220">
        <v>25</v>
      </c>
      <c r="AF220" s="46">
        <f t="shared" si="32"/>
        <v>0.625</v>
      </c>
      <c r="AG220" s="47">
        <f t="shared" si="33"/>
        <v>125</v>
      </c>
      <c r="AH220" s="47">
        <v>500</v>
      </c>
      <c r="AI220" s="45">
        <f t="shared" si="34"/>
        <v>20</v>
      </c>
      <c r="AJ220" s="45">
        <f t="shared" si="35"/>
        <v>20</v>
      </c>
      <c r="AK220" t="s">
        <v>1349</v>
      </c>
    </row>
    <row r="221" spans="1:38" x14ac:dyDescent="0.25">
      <c r="A221" t="s">
        <v>1338</v>
      </c>
      <c r="B221" t="s">
        <v>1355</v>
      </c>
      <c r="C221" t="str">
        <f>VLOOKUP(B221,[1]Plantings!$A$2:$C$285,2,FALSE)</f>
        <v>PTG_P1</v>
      </c>
      <c r="D221" t="str">
        <f>VLOOKUP(B221,[1]Plantings!$A$2:$C$285,3,FALSE)</f>
        <v>single</v>
      </c>
      <c r="E221">
        <v>2015</v>
      </c>
      <c r="F221" t="s">
        <v>1340</v>
      </c>
      <c r="G221" t="s">
        <v>1003</v>
      </c>
      <c r="H221" t="s">
        <v>1338</v>
      </c>
      <c r="I221" t="s">
        <v>1341</v>
      </c>
      <c r="J221" t="s">
        <v>1342</v>
      </c>
      <c r="K221" t="s">
        <v>1343</v>
      </c>
      <c r="L221" t="s">
        <v>1344</v>
      </c>
      <c r="M221" t="s">
        <v>1345</v>
      </c>
      <c r="N221" t="s">
        <v>1346</v>
      </c>
      <c r="O221" t="s">
        <v>963</v>
      </c>
      <c r="P221" t="s">
        <v>1347</v>
      </c>
      <c r="Q221" t="s">
        <v>1348</v>
      </c>
      <c r="R221" t="s">
        <v>1004</v>
      </c>
      <c r="S221" t="s">
        <v>1004</v>
      </c>
      <c r="T221" s="42">
        <v>42095</v>
      </c>
      <c r="U221" s="43">
        <v>47.823466666666668</v>
      </c>
      <c r="V221" s="43">
        <v>-122.58203333333333</v>
      </c>
      <c r="W221" t="str">
        <f>VLOOKUP(B221,[1]Plantings!$A$2:$E$285,4,FALSE)</f>
        <v>polygon</v>
      </c>
      <c r="X221" s="43" t="str">
        <f>VLOOKUP(B221,[1]Plantings!$A$2:$E$285,5,FALSE)</f>
        <v>retain</v>
      </c>
      <c r="Y221" s="48" t="s">
        <v>9</v>
      </c>
      <c r="Z221" s="44"/>
      <c r="AA221" s="70" t="s">
        <v>967</v>
      </c>
      <c r="AB221" s="82">
        <v>48</v>
      </c>
      <c r="AC221" s="82">
        <v>36</v>
      </c>
      <c r="AD221">
        <f t="shared" si="29"/>
        <v>1728</v>
      </c>
      <c r="AE221" s="70">
        <v>240</v>
      </c>
      <c r="AF221" s="46">
        <f t="shared" si="32"/>
        <v>6</v>
      </c>
      <c r="AG221" s="47">
        <f t="shared" si="33"/>
        <v>1200</v>
      </c>
      <c r="AH221" s="53">
        <v>4800</v>
      </c>
      <c r="AI221" s="45">
        <f t="shared" si="34"/>
        <v>2.7777777777777777</v>
      </c>
      <c r="AJ221" s="45">
        <f t="shared" si="35"/>
        <v>20</v>
      </c>
      <c r="AK221" t="s">
        <v>1349</v>
      </c>
      <c r="AL221" s="51"/>
    </row>
    <row r="222" spans="1:38" x14ac:dyDescent="0.25">
      <c r="A222" t="s">
        <v>1338</v>
      </c>
      <c r="B222" t="s">
        <v>1356</v>
      </c>
      <c r="C222" t="str">
        <f>VLOOKUP(B222,[1]Plantings!$A$2:$C$285,2,FALSE)</f>
        <v>PTG_P1</v>
      </c>
      <c r="D222" t="str">
        <f>VLOOKUP(B222,[1]Plantings!$A$2:$C$285,3,FALSE)</f>
        <v>single</v>
      </c>
      <c r="E222">
        <v>2015</v>
      </c>
      <c r="F222" t="s">
        <v>1340</v>
      </c>
      <c r="G222" t="s">
        <v>1003</v>
      </c>
      <c r="H222" t="s">
        <v>1338</v>
      </c>
      <c r="I222" t="s">
        <v>1341</v>
      </c>
      <c r="J222" t="s">
        <v>1342</v>
      </c>
      <c r="K222" t="s">
        <v>1343</v>
      </c>
      <c r="L222" t="s">
        <v>1344</v>
      </c>
      <c r="M222" t="s">
        <v>1345</v>
      </c>
      <c r="N222" t="s">
        <v>1346</v>
      </c>
      <c r="O222" t="s">
        <v>963</v>
      </c>
      <c r="P222" t="s">
        <v>1347</v>
      </c>
      <c r="Q222" t="s">
        <v>1348</v>
      </c>
      <c r="R222" t="s">
        <v>1004</v>
      </c>
      <c r="S222" s="52" t="s">
        <v>998</v>
      </c>
      <c r="T222" s="42">
        <v>42095</v>
      </c>
      <c r="U222" s="43">
        <v>47.8232</v>
      </c>
      <c r="V222" s="43">
        <v>-122.58154999999999</v>
      </c>
      <c r="W222" t="str">
        <f>VLOOKUP(B222,[1]Plantings!$A$2:$E$285,4,FALSE)</f>
        <v>polygon</v>
      </c>
      <c r="X222" s="43" t="str">
        <f>VLOOKUP(B222,[1]Plantings!$A$2:$E$285,5,FALSE)</f>
        <v>retain</v>
      </c>
      <c r="Y222" s="48" t="s">
        <v>9</v>
      </c>
      <c r="Z222" s="44"/>
      <c r="AA222" s="70" t="s">
        <v>967</v>
      </c>
      <c r="AB222" s="82"/>
      <c r="AC222" s="82"/>
      <c r="AE222" s="70"/>
      <c r="AF222" s="46"/>
      <c r="AG222" s="53"/>
      <c r="AH222" s="53"/>
      <c r="AI222" s="45" t="str">
        <f t="shared" si="34"/>
        <v/>
      </c>
      <c r="AJ222" s="45" t="str">
        <f t="shared" si="35"/>
        <v/>
      </c>
      <c r="AL222" s="51"/>
    </row>
    <row r="223" spans="1:38" x14ac:dyDescent="0.25">
      <c r="A223" t="s">
        <v>1338</v>
      </c>
      <c r="B223" t="s">
        <v>1357</v>
      </c>
      <c r="C223" t="str">
        <f>VLOOKUP(B223,[1]Plantings!$A$2:$C$285,2,FALSE)</f>
        <v>PTG_P1</v>
      </c>
      <c r="D223" t="str">
        <f>VLOOKUP(B223,[1]Plantings!$A$2:$C$285,3,FALSE)</f>
        <v>single</v>
      </c>
      <c r="E223">
        <v>2015</v>
      </c>
      <c r="F223" t="s">
        <v>1340</v>
      </c>
      <c r="G223" t="s">
        <v>1003</v>
      </c>
      <c r="H223" t="s">
        <v>1338</v>
      </c>
      <c r="I223" t="s">
        <v>1341</v>
      </c>
      <c r="J223" t="s">
        <v>1342</v>
      </c>
      <c r="K223" t="s">
        <v>1343</v>
      </c>
      <c r="L223" t="s">
        <v>1344</v>
      </c>
      <c r="M223" t="s">
        <v>1345</v>
      </c>
      <c r="N223" t="s">
        <v>1346</v>
      </c>
      <c r="O223" t="s">
        <v>963</v>
      </c>
      <c r="P223" t="s">
        <v>1347</v>
      </c>
      <c r="Q223" t="s">
        <v>1348</v>
      </c>
      <c r="R223" t="s">
        <v>1004</v>
      </c>
      <c r="S223" s="52" t="s">
        <v>998</v>
      </c>
      <c r="T223" s="42">
        <v>42095</v>
      </c>
      <c r="U223" s="43">
        <v>47.823050000000002</v>
      </c>
      <c r="V223" s="43">
        <v>-122.58188333333334</v>
      </c>
      <c r="W223" t="str">
        <f>VLOOKUP(B223,[1]Plantings!$A$2:$E$285,4,FALSE)</f>
        <v>polygon</v>
      </c>
      <c r="X223" s="43" t="str">
        <f>VLOOKUP(B223,[1]Plantings!$A$2:$E$285,5,FALSE)</f>
        <v>retain</v>
      </c>
      <c r="Y223" s="48" t="s">
        <v>9</v>
      </c>
      <c r="Z223" s="44"/>
      <c r="AA223" s="70" t="s">
        <v>967</v>
      </c>
      <c r="AB223" s="82"/>
      <c r="AC223" s="82"/>
      <c r="AE223" s="70"/>
      <c r="AF223" s="46"/>
      <c r="AG223" s="53"/>
      <c r="AH223" s="53"/>
      <c r="AI223" s="45" t="str">
        <f t="shared" si="34"/>
        <v/>
      </c>
      <c r="AJ223" s="45" t="str">
        <f t="shared" si="35"/>
        <v/>
      </c>
      <c r="AL223" s="51"/>
    </row>
    <row r="224" spans="1:38" x14ac:dyDescent="0.25">
      <c r="A224" t="s">
        <v>1338</v>
      </c>
      <c r="B224" t="s">
        <v>1358</v>
      </c>
      <c r="C224" t="str">
        <f>VLOOKUP(B224,[1]Plantings!$A$2:$C$285,2,FALSE)</f>
        <v>PTG_P1</v>
      </c>
      <c r="D224" t="str">
        <f>VLOOKUP(B224,[1]Plantings!$A$2:$C$285,3,FALSE)</f>
        <v>single</v>
      </c>
      <c r="E224">
        <v>2015</v>
      </c>
      <c r="F224" t="s">
        <v>1340</v>
      </c>
      <c r="G224" t="s">
        <v>1003</v>
      </c>
      <c r="H224" t="s">
        <v>1338</v>
      </c>
      <c r="I224" t="s">
        <v>1341</v>
      </c>
      <c r="J224" t="s">
        <v>1342</v>
      </c>
      <c r="K224" t="s">
        <v>1343</v>
      </c>
      <c r="L224" t="s">
        <v>1344</v>
      </c>
      <c r="M224" t="s">
        <v>1345</v>
      </c>
      <c r="N224" t="s">
        <v>1346</v>
      </c>
      <c r="O224" t="s">
        <v>963</v>
      </c>
      <c r="P224" t="s">
        <v>1347</v>
      </c>
      <c r="Q224" t="s">
        <v>1348</v>
      </c>
      <c r="R224" t="s">
        <v>1004</v>
      </c>
      <c r="S224" s="52" t="s">
        <v>998</v>
      </c>
      <c r="T224" s="42">
        <v>42095</v>
      </c>
      <c r="U224" s="43">
        <v>47.823283333333336</v>
      </c>
      <c r="V224" s="43">
        <v>-122.58235000000001</v>
      </c>
      <c r="W224" t="str">
        <f>VLOOKUP(B224,[1]Plantings!$A$2:$E$285,4,FALSE)</f>
        <v>polygon</v>
      </c>
      <c r="X224" s="43" t="str">
        <f>VLOOKUP(B224,[1]Plantings!$A$2:$E$285,5,FALSE)</f>
        <v>retain</v>
      </c>
      <c r="Y224" s="48" t="s">
        <v>9</v>
      </c>
      <c r="Z224" s="44">
        <v>-1.8288</v>
      </c>
      <c r="AA224" s="70" t="s">
        <v>967</v>
      </c>
      <c r="AB224" s="82"/>
      <c r="AC224" s="82"/>
      <c r="AE224" s="70"/>
      <c r="AF224" s="46"/>
      <c r="AG224" s="53"/>
      <c r="AH224" s="53"/>
      <c r="AI224" s="45" t="str">
        <f t="shared" si="34"/>
        <v/>
      </c>
      <c r="AJ224" s="45" t="str">
        <f t="shared" si="35"/>
        <v/>
      </c>
      <c r="AL224" s="51"/>
    </row>
    <row r="225" spans="1:38" x14ac:dyDescent="0.25">
      <c r="A225" t="s">
        <v>1338</v>
      </c>
      <c r="B225" t="s">
        <v>1359</v>
      </c>
      <c r="C225" t="str">
        <f>VLOOKUP(B225,[1]Plantings!$A$2:$C$285,2,FALSE)</f>
        <v>PTG_P2</v>
      </c>
      <c r="D225" t="str">
        <f>VLOOKUP(B225,[1]Plantings!$A$2:$C$285,3,FALSE)</f>
        <v>single</v>
      </c>
      <c r="E225">
        <v>2015</v>
      </c>
      <c r="F225" t="s">
        <v>1340</v>
      </c>
      <c r="G225" t="s">
        <v>1003</v>
      </c>
      <c r="H225" t="s">
        <v>1338</v>
      </c>
      <c r="I225" t="s">
        <v>1341</v>
      </c>
      <c r="J225" t="s">
        <v>1342</v>
      </c>
      <c r="K225" t="s">
        <v>1343</v>
      </c>
      <c r="L225" t="s">
        <v>1344</v>
      </c>
      <c r="M225" t="s">
        <v>1345</v>
      </c>
      <c r="N225" t="s">
        <v>1346</v>
      </c>
      <c r="O225" t="s">
        <v>963</v>
      </c>
      <c r="P225" t="s">
        <v>1347</v>
      </c>
      <c r="Q225" t="s">
        <v>1348</v>
      </c>
      <c r="R225" t="s">
        <v>1004</v>
      </c>
      <c r="S225" t="s">
        <v>1004</v>
      </c>
      <c r="T225" s="42">
        <v>42095</v>
      </c>
      <c r="U225" s="43">
        <v>47.822049999999997</v>
      </c>
      <c r="V225" s="43">
        <v>-122.5805</v>
      </c>
      <c r="W225" t="str">
        <f>VLOOKUP(B225,[1]Plantings!$A$2:$E$285,4,FALSE)</f>
        <v>polygon</v>
      </c>
      <c r="X225" s="43" t="str">
        <f>VLOOKUP(B225,[1]Plantings!$A$2:$E$285,5,FALSE)</f>
        <v>retain</v>
      </c>
      <c r="Y225" s="48" t="s">
        <v>9</v>
      </c>
      <c r="Z225" s="44"/>
      <c r="AA225" s="70" t="s">
        <v>967</v>
      </c>
      <c r="AB225" s="82">
        <v>60</v>
      </c>
      <c r="AC225" s="82">
        <v>36</v>
      </c>
      <c r="AD225">
        <f>AB225*AC225</f>
        <v>2160</v>
      </c>
      <c r="AE225" s="70">
        <v>320</v>
      </c>
      <c r="AF225" s="46">
        <f>IF(AA225="staple",AG225*0.005,IF(AA225="rebar",AG225*0.025,IF(AA225="burlap",AG225*0.0625,IF(AA225="washer",AG225*0.0025,IF(AA225="pucks",AG225*0.00785,IF(AA225="turf",AG225*0.01,IF(AA225="","")))))))</f>
        <v>7.9125000000000005</v>
      </c>
      <c r="AG225" s="47">
        <f>AH225/4</f>
        <v>1582.5</v>
      </c>
      <c r="AH225" s="53">
        <v>6330</v>
      </c>
      <c r="AI225" s="45">
        <f t="shared" si="34"/>
        <v>2.9305555555555554</v>
      </c>
      <c r="AJ225" s="45">
        <f t="shared" si="35"/>
        <v>19.78125</v>
      </c>
      <c r="AK225" t="s">
        <v>1349</v>
      </c>
      <c r="AL225" s="51"/>
    </row>
    <row r="226" spans="1:38" x14ac:dyDescent="0.25">
      <c r="A226" t="s">
        <v>1338</v>
      </c>
      <c r="B226" t="s">
        <v>1360</v>
      </c>
      <c r="C226" t="str">
        <f>VLOOKUP(B226,[1]Plantings!$A$2:$C$285,2,FALSE)</f>
        <v>PTG_P2</v>
      </c>
      <c r="D226" t="str">
        <f>VLOOKUP(B226,[1]Plantings!$A$2:$C$285,3,FALSE)</f>
        <v>single</v>
      </c>
      <c r="E226">
        <v>2015</v>
      </c>
      <c r="F226" t="s">
        <v>1340</v>
      </c>
      <c r="G226" t="s">
        <v>1003</v>
      </c>
      <c r="H226" t="s">
        <v>1338</v>
      </c>
      <c r="I226" t="s">
        <v>1341</v>
      </c>
      <c r="J226" t="s">
        <v>1342</v>
      </c>
      <c r="K226" t="s">
        <v>1343</v>
      </c>
      <c r="L226" t="s">
        <v>1344</v>
      </c>
      <c r="M226" t="s">
        <v>1345</v>
      </c>
      <c r="N226" t="s">
        <v>1346</v>
      </c>
      <c r="O226" t="s">
        <v>963</v>
      </c>
      <c r="P226" t="s">
        <v>1347</v>
      </c>
      <c r="Q226" t="s">
        <v>1348</v>
      </c>
      <c r="R226" t="s">
        <v>1004</v>
      </c>
      <c r="S226" s="52" t="s">
        <v>998</v>
      </c>
      <c r="T226" s="42">
        <v>42095</v>
      </c>
      <c r="U226" s="43">
        <v>47.821750000000002</v>
      </c>
      <c r="V226" s="43">
        <v>-122.57996666666666</v>
      </c>
      <c r="W226" t="str">
        <f>VLOOKUP(B226,[1]Plantings!$A$2:$E$285,4,FALSE)</f>
        <v>polygon</v>
      </c>
      <c r="X226" s="43" t="str">
        <f>VLOOKUP(B226,[1]Plantings!$A$2:$E$285,5,FALSE)</f>
        <v>retain</v>
      </c>
      <c r="Y226" s="48" t="s">
        <v>9</v>
      </c>
      <c r="Z226" s="44"/>
      <c r="AA226" s="70" t="s">
        <v>967</v>
      </c>
      <c r="AB226" s="82"/>
      <c r="AC226" s="82"/>
      <c r="AE226" s="70"/>
      <c r="AF226" s="46"/>
      <c r="AG226" s="53"/>
      <c r="AH226" s="53"/>
      <c r="AI226" s="45" t="str">
        <f t="shared" si="34"/>
        <v/>
      </c>
      <c r="AJ226" s="45" t="str">
        <f t="shared" si="35"/>
        <v/>
      </c>
      <c r="AL226" s="51"/>
    </row>
    <row r="227" spans="1:38" x14ac:dyDescent="0.25">
      <c r="A227" t="s">
        <v>1338</v>
      </c>
      <c r="B227" t="s">
        <v>1361</v>
      </c>
      <c r="C227" t="str">
        <f>VLOOKUP(B227,[1]Plantings!$A$2:$C$285,2,FALSE)</f>
        <v>PTG_P2</v>
      </c>
      <c r="D227" t="str">
        <f>VLOOKUP(B227,[1]Plantings!$A$2:$C$285,3,FALSE)</f>
        <v>single</v>
      </c>
      <c r="E227">
        <v>2015</v>
      </c>
      <c r="F227" t="s">
        <v>1340</v>
      </c>
      <c r="G227" t="s">
        <v>1003</v>
      </c>
      <c r="H227" t="s">
        <v>1338</v>
      </c>
      <c r="I227" t="s">
        <v>1341</v>
      </c>
      <c r="J227" t="s">
        <v>1342</v>
      </c>
      <c r="K227" t="s">
        <v>1343</v>
      </c>
      <c r="L227" t="s">
        <v>1344</v>
      </c>
      <c r="M227" t="s">
        <v>1345</v>
      </c>
      <c r="N227" t="s">
        <v>1346</v>
      </c>
      <c r="O227" t="s">
        <v>963</v>
      </c>
      <c r="P227" t="s">
        <v>1347</v>
      </c>
      <c r="Q227" t="s">
        <v>1348</v>
      </c>
      <c r="R227" t="s">
        <v>1004</v>
      </c>
      <c r="S227" s="52" t="s">
        <v>998</v>
      </c>
      <c r="T227" s="42">
        <v>42095</v>
      </c>
      <c r="U227" s="43">
        <v>47.821516666666668</v>
      </c>
      <c r="V227" s="43">
        <v>-122.58021666666667</v>
      </c>
      <c r="W227" t="str">
        <f>VLOOKUP(B227,[1]Plantings!$A$2:$E$285,4,FALSE)</f>
        <v>polygon</v>
      </c>
      <c r="X227" s="43" t="str">
        <f>VLOOKUP(B227,[1]Plantings!$A$2:$E$285,5,FALSE)</f>
        <v>retain</v>
      </c>
      <c r="Y227" s="48" t="s">
        <v>9</v>
      </c>
      <c r="Z227" s="44"/>
      <c r="AA227" s="70" t="s">
        <v>967</v>
      </c>
      <c r="AB227" s="82"/>
      <c r="AC227" s="82"/>
      <c r="AE227" s="70"/>
      <c r="AF227" s="46"/>
      <c r="AG227" s="53"/>
      <c r="AH227" s="53"/>
      <c r="AI227" s="45" t="str">
        <f t="shared" si="34"/>
        <v/>
      </c>
      <c r="AJ227" s="45" t="str">
        <f t="shared" si="35"/>
        <v/>
      </c>
      <c r="AL227" s="51"/>
    </row>
    <row r="228" spans="1:38" x14ac:dyDescent="0.25">
      <c r="A228" t="s">
        <v>1338</v>
      </c>
      <c r="B228" t="s">
        <v>1362</v>
      </c>
      <c r="C228" t="str">
        <f>VLOOKUP(B228,[1]Plantings!$A$2:$C$285,2,FALSE)</f>
        <v>PTG_P2</v>
      </c>
      <c r="D228" t="str">
        <f>VLOOKUP(B228,[1]Plantings!$A$2:$C$285,3,FALSE)</f>
        <v>single</v>
      </c>
      <c r="E228">
        <v>2015</v>
      </c>
      <c r="F228" t="s">
        <v>1340</v>
      </c>
      <c r="G228" t="s">
        <v>1003</v>
      </c>
      <c r="H228" t="s">
        <v>1338</v>
      </c>
      <c r="I228" t="s">
        <v>1341</v>
      </c>
      <c r="J228" t="s">
        <v>1342</v>
      </c>
      <c r="K228" t="s">
        <v>1343</v>
      </c>
      <c r="L228" t="s">
        <v>1344</v>
      </c>
      <c r="M228" t="s">
        <v>1345</v>
      </c>
      <c r="N228" t="s">
        <v>1346</v>
      </c>
      <c r="O228" t="s">
        <v>963</v>
      </c>
      <c r="P228" t="s">
        <v>1347</v>
      </c>
      <c r="Q228" t="s">
        <v>1348</v>
      </c>
      <c r="R228" t="s">
        <v>1004</v>
      </c>
      <c r="S228" s="52" t="s">
        <v>998</v>
      </c>
      <c r="T228" s="42">
        <v>42095</v>
      </c>
      <c r="U228" s="43">
        <v>47.821783333333336</v>
      </c>
      <c r="V228" s="43">
        <v>-122.58091666666667</v>
      </c>
      <c r="W228" t="str">
        <f>VLOOKUP(B228,[1]Plantings!$A$2:$E$285,4,FALSE)</f>
        <v>polygon</v>
      </c>
      <c r="X228" s="43" t="str">
        <f>VLOOKUP(B228,[1]Plantings!$A$2:$E$285,5,FALSE)</f>
        <v>retain</v>
      </c>
      <c r="Y228" s="48" t="s">
        <v>9</v>
      </c>
      <c r="Z228" s="44"/>
      <c r="AA228" s="70" t="s">
        <v>967</v>
      </c>
      <c r="AB228" s="82"/>
      <c r="AC228" s="82"/>
      <c r="AE228" s="70"/>
      <c r="AF228" s="46"/>
      <c r="AG228" s="53"/>
      <c r="AH228" s="53"/>
      <c r="AI228" s="45" t="str">
        <f t="shared" si="34"/>
        <v/>
      </c>
      <c r="AJ228" s="45" t="str">
        <f t="shared" si="35"/>
        <v/>
      </c>
      <c r="AL228" s="51"/>
    </row>
    <row r="229" spans="1:38" x14ac:dyDescent="0.25">
      <c r="A229" t="s">
        <v>1338</v>
      </c>
      <c r="B229" t="s">
        <v>1363</v>
      </c>
      <c r="C229" t="str">
        <f>VLOOKUP(B229,[1]Plantings!$A$2:$C$285,2,FALSE)</f>
        <v>PTG_P3</v>
      </c>
      <c r="D229" t="str">
        <f>VLOOKUP(B229,[1]Plantings!$A$2:$C$285,3,FALSE)</f>
        <v>single</v>
      </c>
      <c r="E229">
        <v>2015</v>
      </c>
      <c r="F229" t="s">
        <v>1340</v>
      </c>
      <c r="G229" t="s">
        <v>1003</v>
      </c>
      <c r="H229" t="s">
        <v>1338</v>
      </c>
      <c r="I229" t="s">
        <v>1341</v>
      </c>
      <c r="J229" t="s">
        <v>1342</v>
      </c>
      <c r="K229" t="s">
        <v>1343</v>
      </c>
      <c r="L229" t="s">
        <v>1344</v>
      </c>
      <c r="M229" t="s">
        <v>1345</v>
      </c>
      <c r="N229" t="s">
        <v>1346</v>
      </c>
      <c r="O229" t="s">
        <v>963</v>
      </c>
      <c r="P229" t="s">
        <v>1347</v>
      </c>
      <c r="Q229" t="s">
        <v>1348</v>
      </c>
      <c r="R229" t="s">
        <v>1004</v>
      </c>
      <c r="S229" t="s">
        <v>1004</v>
      </c>
      <c r="T229" s="42">
        <v>42095</v>
      </c>
      <c r="U229" s="43">
        <v>47.821566666666669</v>
      </c>
      <c r="V229" s="43">
        <v>-122.57801666666667</v>
      </c>
      <c r="W229" t="str">
        <f>VLOOKUP(B229,[1]Plantings!$A$2:$E$285,4,FALSE)</f>
        <v>polygon</v>
      </c>
      <c r="X229" s="43" t="str">
        <f>VLOOKUP(B229,[1]Plantings!$A$2:$E$285,5,FALSE)</f>
        <v>retain</v>
      </c>
      <c r="Y229" s="48" t="s">
        <v>9</v>
      </c>
      <c r="Z229" s="44"/>
      <c r="AA229" s="70" t="s">
        <v>967</v>
      </c>
      <c r="AB229" s="82">
        <v>60</v>
      </c>
      <c r="AC229" s="82">
        <v>36</v>
      </c>
      <c r="AD229">
        <f>AB229*AC229</f>
        <v>2160</v>
      </c>
      <c r="AE229" s="70">
        <v>320</v>
      </c>
      <c r="AF229" s="46">
        <f>IF(AA229="staple",AG229*0.005,IF(AA229="rebar",AG229*0.025,IF(AA229="burlap",AG229*0.0625,IF(AA229="washer",AG229*0.0025,IF(AA229="pucks",AG229*0.00785,IF(AA229="turf",AG229*0.01,IF(AA229="","")))))))</f>
        <v>8</v>
      </c>
      <c r="AG229" s="47">
        <f>AH229/4</f>
        <v>1600</v>
      </c>
      <c r="AH229" s="53">
        <v>6400</v>
      </c>
      <c r="AI229" s="45">
        <f t="shared" si="34"/>
        <v>2.9629629629629628</v>
      </c>
      <c r="AJ229" s="45">
        <f t="shared" si="35"/>
        <v>20</v>
      </c>
      <c r="AK229" t="s">
        <v>1349</v>
      </c>
      <c r="AL229" s="51"/>
    </row>
    <row r="230" spans="1:38" x14ac:dyDescent="0.25">
      <c r="A230" t="s">
        <v>1338</v>
      </c>
      <c r="B230" t="s">
        <v>1364</v>
      </c>
      <c r="C230" t="str">
        <f>VLOOKUP(B230,[1]Plantings!$A$2:$C$285,2,FALSE)</f>
        <v>PTG_P3</v>
      </c>
      <c r="D230" t="str">
        <f>VLOOKUP(B230,[1]Plantings!$A$2:$C$285,3,FALSE)</f>
        <v>single</v>
      </c>
      <c r="E230">
        <v>2015</v>
      </c>
      <c r="F230" t="s">
        <v>1340</v>
      </c>
      <c r="G230" t="s">
        <v>1003</v>
      </c>
      <c r="H230" t="s">
        <v>1338</v>
      </c>
      <c r="I230" t="s">
        <v>1341</v>
      </c>
      <c r="J230" t="s">
        <v>1342</v>
      </c>
      <c r="K230" t="s">
        <v>1343</v>
      </c>
      <c r="L230" t="s">
        <v>1344</v>
      </c>
      <c r="M230" t="s">
        <v>1345</v>
      </c>
      <c r="N230" t="s">
        <v>1346</v>
      </c>
      <c r="O230" t="s">
        <v>963</v>
      </c>
      <c r="P230" t="s">
        <v>1347</v>
      </c>
      <c r="Q230" t="s">
        <v>1348</v>
      </c>
      <c r="R230" t="s">
        <v>1004</v>
      </c>
      <c r="S230" s="52" t="s">
        <v>998</v>
      </c>
      <c r="T230" s="42">
        <v>42095</v>
      </c>
      <c r="U230" s="43">
        <v>47.821516666666668</v>
      </c>
      <c r="V230" s="43">
        <v>-122.57721666666667</v>
      </c>
      <c r="W230" t="str">
        <f>VLOOKUP(B230,[1]Plantings!$A$2:$E$285,4,FALSE)</f>
        <v>polygon</v>
      </c>
      <c r="X230" s="43" t="str">
        <f>VLOOKUP(B230,[1]Plantings!$A$2:$E$285,5,FALSE)</f>
        <v>retain</v>
      </c>
      <c r="Y230" s="48" t="s">
        <v>9</v>
      </c>
      <c r="Z230" s="44"/>
      <c r="AA230" s="70" t="s">
        <v>967</v>
      </c>
      <c r="AB230" s="82"/>
      <c r="AC230" s="82"/>
      <c r="AE230" s="70"/>
      <c r="AF230" s="46"/>
      <c r="AG230" s="53"/>
      <c r="AH230" s="53"/>
      <c r="AI230" s="45" t="str">
        <f t="shared" si="34"/>
        <v/>
      </c>
      <c r="AJ230" s="45" t="str">
        <f t="shared" si="35"/>
        <v/>
      </c>
      <c r="AL230" s="51"/>
    </row>
    <row r="231" spans="1:38" x14ac:dyDescent="0.25">
      <c r="A231" t="s">
        <v>1338</v>
      </c>
      <c r="B231" t="s">
        <v>1365</v>
      </c>
      <c r="C231" t="str">
        <f>VLOOKUP(B231,[1]Plantings!$A$2:$C$285,2,FALSE)</f>
        <v>PTG_P3</v>
      </c>
      <c r="D231" t="str">
        <f>VLOOKUP(B231,[1]Plantings!$A$2:$C$285,3,FALSE)</f>
        <v>single</v>
      </c>
      <c r="E231">
        <v>2015</v>
      </c>
      <c r="F231" t="s">
        <v>1340</v>
      </c>
      <c r="G231" t="s">
        <v>1003</v>
      </c>
      <c r="H231" t="s">
        <v>1338</v>
      </c>
      <c r="I231" t="s">
        <v>1341</v>
      </c>
      <c r="J231" t="s">
        <v>1342</v>
      </c>
      <c r="K231" t="s">
        <v>1343</v>
      </c>
      <c r="L231" t="s">
        <v>1344</v>
      </c>
      <c r="M231" t="s">
        <v>1345</v>
      </c>
      <c r="N231" t="s">
        <v>1346</v>
      </c>
      <c r="O231" t="s">
        <v>963</v>
      </c>
      <c r="P231" t="s">
        <v>1347</v>
      </c>
      <c r="Q231" t="s">
        <v>1348</v>
      </c>
      <c r="R231" t="s">
        <v>1004</v>
      </c>
      <c r="S231" s="52" t="s">
        <v>998</v>
      </c>
      <c r="T231" s="42">
        <v>42095</v>
      </c>
      <c r="U231" s="43">
        <v>47.82118333333333</v>
      </c>
      <c r="V231" s="43">
        <v>-122.57711666666667</v>
      </c>
      <c r="W231" t="str">
        <f>VLOOKUP(B231,[1]Plantings!$A$2:$E$285,4,FALSE)</f>
        <v>polygon</v>
      </c>
      <c r="X231" s="43" t="str">
        <f>VLOOKUP(B231,[1]Plantings!$A$2:$E$285,5,FALSE)</f>
        <v>retain</v>
      </c>
      <c r="Y231" s="48" t="s">
        <v>9</v>
      </c>
      <c r="Z231" s="44"/>
      <c r="AA231" s="70" t="s">
        <v>967</v>
      </c>
      <c r="AB231" s="82"/>
      <c r="AC231" s="82"/>
      <c r="AE231" s="70"/>
      <c r="AF231" s="46"/>
      <c r="AG231" s="53"/>
      <c r="AH231" s="53"/>
      <c r="AI231" s="45" t="str">
        <f t="shared" si="34"/>
        <v/>
      </c>
      <c r="AJ231" s="45" t="str">
        <f t="shared" si="35"/>
        <v/>
      </c>
      <c r="AL231" s="51"/>
    </row>
    <row r="232" spans="1:38" x14ac:dyDescent="0.25">
      <c r="A232" t="s">
        <v>1338</v>
      </c>
      <c r="B232" t="s">
        <v>1366</v>
      </c>
      <c r="C232" t="str">
        <f>VLOOKUP(B232,[1]Plantings!$A$2:$C$285,2,FALSE)</f>
        <v>PTG_P3</v>
      </c>
      <c r="D232" t="str">
        <f>VLOOKUP(B232,[1]Plantings!$A$2:$C$285,3,FALSE)</f>
        <v>single</v>
      </c>
      <c r="E232">
        <v>2015</v>
      </c>
      <c r="F232" t="s">
        <v>1340</v>
      </c>
      <c r="G232" t="s">
        <v>1003</v>
      </c>
      <c r="H232" t="s">
        <v>1338</v>
      </c>
      <c r="I232" t="s">
        <v>1341</v>
      </c>
      <c r="J232" t="s">
        <v>1342</v>
      </c>
      <c r="K232" t="s">
        <v>1343</v>
      </c>
      <c r="L232" t="s">
        <v>1344</v>
      </c>
      <c r="M232" t="s">
        <v>1345</v>
      </c>
      <c r="N232" t="s">
        <v>1346</v>
      </c>
      <c r="O232" t="s">
        <v>963</v>
      </c>
      <c r="P232" t="s">
        <v>1347</v>
      </c>
      <c r="Q232" t="s">
        <v>1348</v>
      </c>
      <c r="R232" t="s">
        <v>1004</v>
      </c>
      <c r="S232" s="52" t="s">
        <v>998</v>
      </c>
      <c r="T232" s="42">
        <v>42095</v>
      </c>
      <c r="U232" s="43">
        <v>47.821216666666665</v>
      </c>
      <c r="V232" s="43">
        <v>-122.57791666666667</v>
      </c>
      <c r="W232" t="str">
        <f>VLOOKUP(B232,[1]Plantings!$A$2:$E$285,4,FALSE)</f>
        <v>polygon</v>
      </c>
      <c r="X232" s="43" t="str">
        <f>VLOOKUP(B232,[1]Plantings!$A$2:$E$285,5,FALSE)</f>
        <v>retain</v>
      </c>
      <c r="Y232" s="48" t="s">
        <v>9</v>
      </c>
      <c r="Z232" s="44">
        <v>-1.8288</v>
      </c>
      <c r="AA232" s="70" t="s">
        <v>967</v>
      </c>
      <c r="AB232" s="82"/>
      <c r="AC232" s="82"/>
      <c r="AE232" s="70"/>
      <c r="AF232" s="46"/>
      <c r="AG232" s="53"/>
      <c r="AH232" s="53"/>
      <c r="AI232" s="45" t="str">
        <f t="shared" si="34"/>
        <v/>
      </c>
      <c r="AJ232" s="45" t="str">
        <f t="shared" si="35"/>
        <v/>
      </c>
      <c r="AL232" s="51"/>
    </row>
    <row r="233" spans="1:38" x14ac:dyDescent="0.25">
      <c r="A233" t="s">
        <v>1338</v>
      </c>
      <c r="B233" t="s">
        <v>1367</v>
      </c>
      <c r="C233" t="str">
        <f>VLOOKUP(B233,[1]Plantings!$A$2:$C$285,2,FALSE)</f>
        <v>PTG_P4</v>
      </c>
      <c r="D233" t="str">
        <f>VLOOKUP(B233,[1]Plantings!$A$2:$C$285,3,FALSE)</f>
        <v>single</v>
      </c>
      <c r="E233">
        <v>2015</v>
      </c>
      <c r="F233" t="s">
        <v>1340</v>
      </c>
      <c r="G233" t="s">
        <v>1003</v>
      </c>
      <c r="H233" t="s">
        <v>1338</v>
      </c>
      <c r="I233" t="s">
        <v>1341</v>
      </c>
      <c r="J233" t="s">
        <v>1342</v>
      </c>
      <c r="K233" t="s">
        <v>1343</v>
      </c>
      <c r="L233" t="s">
        <v>1344</v>
      </c>
      <c r="M233" t="s">
        <v>1345</v>
      </c>
      <c r="N233" t="s">
        <v>1346</v>
      </c>
      <c r="O233" t="s">
        <v>963</v>
      </c>
      <c r="P233" t="s">
        <v>1347</v>
      </c>
      <c r="Q233" t="s">
        <v>1348</v>
      </c>
      <c r="R233" t="s">
        <v>1004</v>
      </c>
      <c r="S233" t="s">
        <v>1004</v>
      </c>
      <c r="T233" s="42">
        <v>42095</v>
      </c>
      <c r="U233" s="43">
        <v>47.821666666666665</v>
      </c>
      <c r="V233" s="43">
        <v>-122.57623333333333</v>
      </c>
      <c r="W233" t="str">
        <f>VLOOKUP(B233,[1]Plantings!$A$2:$E$285,4,FALSE)</f>
        <v>polygon</v>
      </c>
      <c r="X233" s="43" t="str">
        <f>VLOOKUP(B233,[1]Plantings!$A$2:$E$285,5,FALSE)</f>
        <v>retain</v>
      </c>
      <c r="Y233" s="48" t="s">
        <v>9</v>
      </c>
      <c r="Z233" s="44"/>
      <c r="AA233" s="70" t="s">
        <v>967</v>
      </c>
      <c r="AB233" s="82">
        <v>60</v>
      </c>
      <c r="AC233" s="82">
        <v>36</v>
      </c>
      <c r="AD233">
        <f>AB233*AC233</f>
        <v>2160</v>
      </c>
      <c r="AE233" s="70">
        <v>320</v>
      </c>
      <c r="AF233" s="46">
        <f>IF(AA233="staple",AG233*0.005,IF(AA233="rebar",AG233*0.025,IF(AA233="burlap",AG233*0.0625,IF(AA233="washer",AG233*0.0025,IF(AA233="pucks",AG233*0.00785,IF(AA233="turf",AG233*0.01,IF(AA233="","")))))))</f>
        <v>7.9649999999999999</v>
      </c>
      <c r="AG233" s="47">
        <f>AH233/4</f>
        <v>1593</v>
      </c>
      <c r="AH233" s="53">
        <v>6372</v>
      </c>
      <c r="AI233" s="45">
        <f t="shared" si="34"/>
        <v>2.95</v>
      </c>
      <c r="AJ233" s="45">
        <f t="shared" si="35"/>
        <v>19.912500000000001</v>
      </c>
      <c r="AK233" t="s">
        <v>1349</v>
      </c>
      <c r="AL233" s="51"/>
    </row>
    <row r="234" spans="1:38" x14ac:dyDescent="0.25">
      <c r="A234" t="s">
        <v>1338</v>
      </c>
      <c r="B234" t="s">
        <v>1368</v>
      </c>
      <c r="C234" t="str">
        <f>VLOOKUP(B234,[1]Plantings!$A$2:$C$285,2,FALSE)</f>
        <v>PTG_P4</v>
      </c>
      <c r="D234" t="str">
        <f>VLOOKUP(B234,[1]Plantings!$A$2:$C$285,3,FALSE)</f>
        <v>single</v>
      </c>
      <c r="E234">
        <v>2015</v>
      </c>
      <c r="F234" t="s">
        <v>1340</v>
      </c>
      <c r="G234" t="s">
        <v>1003</v>
      </c>
      <c r="H234" t="s">
        <v>1338</v>
      </c>
      <c r="I234" t="s">
        <v>1341</v>
      </c>
      <c r="J234" t="s">
        <v>1342</v>
      </c>
      <c r="K234" t="s">
        <v>1343</v>
      </c>
      <c r="L234" t="s">
        <v>1344</v>
      </c>
      <c r="M234" t="s">
        <v>1345</v>
      </c>
      <c r="N234" t="s">
        <v>1346</v>
      </c>
      <c r="O234" t="s">
        <v>963</v>
      </c>
      <c r="P234" t="s">
        <v>1347</v>
      </c>
      <c r="Q234" t="s">
        <v>1348</v>
      </c>
      <c r="R234" t="s">
        <v>1004</v>
      </c>
      <c r="S234" s="52" t="s">
        <v>998</v>
      </c>
      <c r="T234" s="42">
        <v>42095</v>
      </c>
      <c r="U234" s="43">
        <v>47.821533333333335</v>
      </c>
      <c r="V234" s="43">
        <v>-122.57538333333333</v>
      </c>
      <c r="W234" t="str">
        <f>VLOOKUP(B234,[1]Plantings!$A$2:$E$285,4,FALSE)</f>
        <v>polygon</v>
      </c>
      <c r="X234" s="43" t="str">
        <f>VLOOKUP(B234,[1]Plantings!$A$2:$E$285,5,FALSE)</f>
        <v>retain</v>
      </c>
      <c r="Y234" s="48" t="s">
        <v>9</v>
      </c>
      <c r="Z234" s="44">
        <v>-2.7431999999999999</v>
      </c>
      <c r="AA234" s="70" t="s">
        <v>967</v>
      </c>
      <c r="AF234" s="46"/>
      <c r="AG234" s="47"/>
      <c r="AH234" s="47"/>
      <c r="AI234" s="45" t="str">
        <f t="shared" si="34"/>
        <v/>
      </c>
      <c r="AJ234" s="45" t="str">
        <f t="shared" si="35"/>
        <v/>
      </c>
      <c r="AL234" s="51"/>
    </row>
    <row r="235" spans="1:38" x14ac:dyDescent="0.25">
      <c r="A235" t="s">
        <v>1338</v>
      </c>
      <c r="B235" t="s">
        <v>1369</v>
      </c>
      <c r="C235" t="str">
        <f>VLOOKUP(B235,[1]Plantings!$A$2:$C$285,2,FALSE)</f>
        <v>PTG_P4</v>
      </c>
      <c r="D235" t="str">
        <f>VLOOKUP(B235,[1]Plantings!$A$2:$C$285,3,FALSE)</f>
        <v>single</v>
      </c>
      <c r="E235">
        <v>2015</v>
      </c>
      <c r="F235" t="s">
        <v>1340</v>
      </c>
      <c r="G235" t="s">
        <v>1003</v>
      </c>
      <c r="H235" t="s">
        <v>1338</v>
      </c>
      <c r="I235" t="s">
        <v>1341</v>
      </c>
      <c r="J235" t="s">
        <v>1342</v>
      </c>
      <c r="K235" t="s">
        <v>1343</v>
      </c>
      <c r="L235" t="s">
        <v>1344</v>
      </c>
      <c r="M235" t="s">
        <v>1345</v>
      </c>
      <c r="N235" t="s">
        <v>1346</v>
      </c>
      <c r="O235" t="s">
        <v>963</v>
      </c>
      <c r="P235" t="s">
        <v>1347</v>
      </c>
      <c r="Q235" t="s">
        <v>1348</v>
      </c>
      <c r="R235" t="s">
        <v>1004</v>
      </c>
      <c r="S235" s="52" t="s">
        <v>998</v>
      </c>
      <c r="T235" s="42">
        <v>42095</v>
      </c>
      <c r="U235" s="43">
        <v>47.821216666666665</v>
      </c>
      <c r="V235" s="43">
        <v>-122.57528333333333</v>
      </c>
      <c r="W235" t="str">
        <f>VLOOKUP(B235,[1]Plantings!$A$2:$E$285,4,FALSE)</f>
        <v>polygon</v>
      </c>
      <c r="X235" s="43" t="str">
        <f>VLOOKUP(B235,[1]Plantings!$A$2:$E$285,5,FALSE)</f>
        <v>retain</v>
      </c>
      <c r="Y235" s="48" t="s">
        <v>9</v>
      </c>
      <c r="Z235" s="44"/>
      <c r="AA235" s="70" t="s">
        <v>967</v>
      </c>
      <c r="AF235" s="46"/>
      <c r="AG235" s="47"/>
      <c r="AH235" s="47"/>
      <c r="AI235" s="45" t="str">
        <f t="shared" si="34"/>
        <v/>
      </c>
      <c r="AJ235" s="45" t="str">
        <f t="shared" si="35"/>
        <v/>
      </c>
      <c r="AL235" s="51"/>
    </row>
    <row r="236" spans="1:38" x14ac:dyDescent="0.25">
      <c r="A236" t="s">
        <v>1338</v>
      </c>
      <c r="B236" t="s">
        <v>1370</v>
      </c>
      <c r="C236" t="str">
        <f>VLOOKUP(B236,[1]Plantings!$A$2:$C$285,2,FALSE)</f>
        <v>PTG_P4</v>
      </c>
      <c r="D236" t="str">
        <f>VLOOKUP(B236,[1]Plantings!$A$2:$C$285,3,FALSE)</f>
        <v>single</v>
      </c>
      <c r="E236">
        <v>2015</v>
      </c>
      <c r="F236" t="s">
        <v>1340</v>
      </c>
      <c r="G236" t="s">
        <v>1003</v>
      </c>
      <c r="H236" t="s">
        <v>1338</v>
      </c>
      <c r="I236" t="s">
        <v>1341</v>
      </c>
      <c r="J236" t="s">
        <v>1342</v>
      </c>
      <c r="K236" t="s">
        <v>1343</v>
      </c>
      <c r="L236" t="s">
        <v>1344</v>
      </c>
      <c r="M236" t="s">
        <v>1345</v>
      </c>
      <c r="N236" t="s">
        <v>1346</v>
      </c>
      <c r="O236" t="s">
        <v>963</v>
      </c>
      <c r="P236" t="s">
        <v>1347</v>
      </c>
      <c r="Q236" t="s">
        <v>1348</v>
      </c>
      <c r="R236" t="s">
        <v>1004</v>
      </c>
      <c r="S236" s="52" t="s">
        <v>998</v>
      </c>
      <c r="T236" s="42">
        <v>42095</v>
      </c>
      <c r="U236" s="43">
        <v>47.821283333333334</v>
      </c>
      <c r="V236" s="43">
        <v>-122.57618333333333</v>
      </c>
      <c r="W236" t="str">
        <f>VLOOKUP(B236,[1]Plantings!$A$2:$E$285,4,FALSE)</f>
        <v>polygon</v>
      </c>
      <c r="X236" s="43" t="str">
        <f>VLOOKUP(B236,[1]Plantings!$A$2:$E$285,5,FALSE)</f>
        <v>retain</v>
      </c>
      <c r="Y236" s="48" t="s">
        <v>9</v>
      </c>
      <c r="Z236" s="44"/>
      <c r="AA236" s="70" t="s">
        <v>967</v>
      </c>
      <c r="AF236" s="46"/>
      <c r="AG236" s="47"/>
      <c r="AH236" s="47"/>
      <c r="AI236" s="45" t="str">
        <f t="shared" si="34"/>
        <v/>
      </c>
      <c r="AJ236" s="45" t="str">
        <f t="shared" si="35"/>
        <v/>
      </c>
      <c r="AL236" s="51"/>
    </row>
    <row r="237" spans="1:38" x14ac:dyDescent="0.25">
      <c r="A237" t="s">
        <v>860</v>
      </c>
      <c r="B237" s="9" t="s">
        <v>1371</v>
      </c>
      <c r="C237" t="str">
        <f>VLOOKUP(B237,[1]Plantings!$A$2:$C$285,2,FALSE)</f>
        <v>QMH_1S</v>
      </c>
      <c r="D237" t="str">
        <f>VLOOKUP(B237,[1]Plantings!$A$2:$C$285,3,FALSE)</f>
        <v>single</v>
      </c>
      <c r="E237" s="9">
        <v>2018</v>
      </c>
      <c r="G237" s="9" t="s">
        <v>7</v>
      </c>
      <c r="H237" s="9" t="s">
        <v>860</v>
      </c>
      <c r="I237" s="9" t="s">
        <v>957</v>
      </c>
      <c r="J237" s="18" t="s">
        <v>1014</v>
      </c>
      <c r="K237" s="18" t="s">
        <v>562</v>
      </c>
      <c r="L237" s="18" t="s">
        <v>562</v>
      </c>
      <c r="M237" s="18" t="s">
        <v>1040</v>
      </c>
      <c r="O237" s="9" t="s">
        <v>963</v>
      </c>
      <c r="P237" s="9" t="s">
        <v>1041</v>
      </c>
      <c r="R237" t="s">
        <v>966</v>
      </c>
      <c r="S237" t="s">
        <v>966</v>
      </c>
      <c r="T237" s="42">
        <v>43250</v>
      </c>
      <c r="U237" s="43">
        <v>47.383499999999998</v>
      </c>
      <c r="V237" s="43">
        <v>-122.45133</v>
      </c>
      <c r="W237" t="str">
        <f>VLOOKUP(B237,[1]Plantings!$A$2:$E$285,4,FALSE)</f>
        <v>point</v>
      </c>
      <c r="X237" s="43" t="str">
        <f>VLOOKUP(B237,[1]Plantings!$A$2:$E$285,5,FALSE)</f>
        <v>retain</v>
      </c>
      <c r="Y237" s="54" t="s">
        <v>9</v>
      </c>
      <c r="Z237" s="44">
        <v>-1.0363199999999999</v>
      </c>
      <c r="AA237" s="75" t="s">
        <v>982</v>
      </c>
      <c r="AB237">
        <v>12</v>
      </c>
      <c r="AC237">
        <v>1</v>
      </c>
      <c r="AD237">
        <f t="shared" ref="AD237:AD269" si="36">AB237*AC237</f>
        <v>12</v>
      </c>
      <c r="AE237">
        <f t="shared" ref="AE237:AE245" si="37">AG237*0.25</f>
        <v>7.5</v>
      </c>
      <c r="AF237" s="46">
        <f t="shared" ref="AF237:AF251" si="38">IF(AA237="staple",AG237*0.005,IF(AA237="rebar",AG237*0.025,IF(AA237="burlap",AG237*0.0625,IF(AA237="washer",AG237*0.0025,IF(AA237="pucks",AG237*0.00785,IF(AA237="turf",AG237*0.01,IF(AA237="","")))))))</f>
        <v>0.75</v>
      </c>
      <c r="AG237" s="47">
        <v>30</v>
      </c>
      <c r="AH237" s="47">
        <v>600</v>
      </c>
      <c r="AI237" s="45">
        <f t="shared" si="34"/>
        <v>50</v>
      </c>
      <c r="AJ237" s="45">
        <f t="shared" si="35"/>
        <v>80</v>
      </c>
      <c r="AK237" t="s">
        <v>942</v>
      </c>
      <c r="AL237" s="8" t="s">
        <v>1372</v>
      </c>
    </row>
    <row r="238" spans="1:38" x14ac:dyDescent="0.25">
      <c r="A238" t="s">
        <v>860</v>
      </c>
      <c r="B238" s="9" t="s">
        <v>1373</v>
      </c>
      <c r="C238" t="str">
        <f>VLOOKUP(B238,[1]Plantings!$A$2:$C$285,2,FALSE)</f>
        <v>QMH_1D</v>
      </c>
      <c r="D238" t="str">
        <f>VLOOKUP(B238,[1]Plantings!$A$2:$C$285,3,FALSE)</f>
        <v>single</v>
      </c>
      <c r="E238" s="9">
        <v>2018</v>
      </c>
      <c r="G238" s="9" t="s">
        <v>7</v>
      </c>
      <c r="H238" s="9" t="s">
        <v>860</v>
      </c>
      <c r="I238" s="9" t="s">
        <v>957</v>
      </c>
      <c r="J238" s="18" t="s">
        <v>1014</v>
      </c>
      <c r="K238" s="18" t="s">
        <v>562</v>
      </c>
      <c r="L238" s="18" t="s">
        <v>562</v>
      </c>
      <c r="M238" s="18" t="s">
        <v>1040</v>
      </c>
      <c r="O238" s="9" t="s">
        <v>963</v>
      </c>
      <c r="P238" s="9" t="s">
        <v>1041</v>
      </c>
      <c r="R238" t="s">
        <v>966</v>
      </c>
      <c r="S238" t="s">
        <v>966</v>
      </c>
      <c r="T238" s="42">
        <v>43250</v>
      </c>
      <c r="U238" s="43">
        <v>47.383339999999997</v>
      </c>
      <c r="V238" s="43">
        <v>-122.4513</v>
      </c>
      <c r="W238" t="str">
        <f>VLOOKUP(B238,[1]Plantings!$A$2:$E$285,4,FALSE)</f>
        <v>point</v>
      </c>
      <c r="X238" s="43" t="str">
        <f>VLOOKUP(B238,[1]Plantings!$A$2:$E$285,5,FALSE)</f>
        <v>retain</v>
      </c>
      <c r="Y238" s="54" t="s">
        <v>9</v>
      </c>
      <c r="Z238" s="44">
        <v>-1.8897600000000001</v>
      </c>
      <c r="AA238" s="75" t="s">
        <v>982</v>
      </c>
      <c r="AB238">
        <v>12</v>
      </c>
      <c r="AC238">
        <v>1</v>
      </c>
      <c r="AD238">
        <f t="shared" si="36"/>
        <v>12</v>
      </c>
      <c r="AE238">
        <f t="shared" si="37"/>
        <v>7.5</v>
      </c>
      <c r="AF238" s="46">
        <f t="shared" si="38"/>
        <v>0.75</v>
      </c>
      <c r="AG238" s="47">
        <v>30</v>
      </c>
      <c r="AH238" s="47">
        <v>600</v>
      </c>
      <c r="AI238" s="45">
        <f t="shared" si="34"/>
        <v>50</v>
      </c>
      <c r="AJ238" s="45">
        <f t="shared" si="35"/>
        <v>80</v>
      </c>
      <c r="AK238" t="s">
        <v>942</v>
      </c>
      <c r="AL238" s="8" t="s">
        <v>1374</v>
      </c>
    </row>
    <row r="239" spans="1:38" x14ac:dyDescent="0.25">
      <c r="A239" t="s">
        <v>860</v>
      </c>
      <c r="B239" s="9" t="s">
        <v>1375</v>
      </c>
      <c r="C239" t="str">
        <f>VLOOKUP(B239,[1]Plantings!$A$2:$C$285,2,FALSE)</f>
        <v>QMH_4S</v>
      </c>
      <c r="D239" t="str">
        <f>VLOOKUP(B239,[1]Plantings!$A$2:$C$285,3,FALSE)</f>
        <v>single</v>
      </c>
      <c r="E239" s="9">
        <v>2018</v>
      </c>
      <c r="G239" s="9" t="s">
        <v>7</v>
      </c>
      <c r="H239" s="9" t="s">
        <v>860</v>
      </c>
      <c r="I239" s="9" t="s">
        <v>957</v>
      </c>
      <c r="J239" s="18" t="s">
        <v>1014</v>
      </c>
      <c r="K239" s="18" t="s">
        <v>562</v>
      </c>
      <c r="L239" s="18" t="s">
        <v>562</v>
      </c>
      <c r="M239" s="18" t="s">
        <v>1040</v>
      </c>
      <c r="O239" s="9" t="s">
        <v>963</v>
      </c>
      <c r="P239" s="9" t="s">
        <v>1041</v>
      </c>
      <c r="R239" t="s">
        <v>966</v>
      </c>
      <c r="S239" t="s">
        <v>966</v>
      </c>
      <c r="T239" s="42">
        <v>43250</v>
      </c>
      <c r="U239" s="43">
        <v>47.390659999999997</v>
      </c>
      <c r="V239" s="43">
        <v>-122.43606</v>
      </c>
      <c r="W239" t="str">
        <f>VLOOKUP(B239,[1]Plantings!$A$2:$E$285,4,FALSE)</f>
        <v>point</v>
      </c>
      <c r="X239" s="43" t="str">
        <f>VLOOKUP(B239,[1]Plantings!$A$2:$E$285,5,FALSE)</f>
        <v>retain</v>
      </c>
      <c r="Y239" s="54" t="s">
        <v>9</v>
      </c>
      <c r="Z239" s="44">
        <v>-1.2192000000000001</v>
      </c>
      <c r="AA239" s="75" t="s">
        <v>982</v>
      </c>
      <c r="AB239">
        <v>12</v>
      </c>
      <c r="AC239">
        <v>1</v>
      </c>
      <c r="AD239">
        <f t="shared" si="36"/>
        <v>12</v>
      </c>
      <c r="AE239">
        <f t="shared" si="37"/>
        <v>7.5</v>
      </c>
      <c r="AF239" s="46">
        <f t="shared" si="38"/>
        <v>0.75</v>
      </c>
      <c r="AG239" s="47">
        <v>30</v>
      </c>
      <c r="AH239" s="47">
        <v>600</v>
      </c>
      <c r="AI239" s="45">
        <f t="shared" si="34"/>
        <v>50</v>
      </c>
      <c r="AJ239" s="45">
        <f t="shared" si="35"/>
        <v>80</v>
      </c>
      <c r="AK239" t="s">
        <v>942</v>
      </c>
      <c r="AL239" s="8" t="s">
        <v>1376</v>
      </c>
    </row>
    <row r="240" spans="1:38" x14ac:dyDescent="0.25">
      <c r="A240" t="s">
        <v>860</v>
      </c>
      <c r="B240" s="9" t="s">
        <v>1377</v>
      </c>
      <c r="C240" t="str">
        <f>VLOOKUP(B240,[1]Plantings!$A$2:$C$285,2,FALSE)</f>
        <v>QMH_4D</v>
      </c>
      <c r="D240" t="str">
        <f>VLOOKUP(B240,[1]Plantings!$A$2:$C$285,3,FALSE)</f>
        <v>single</v>
      </c>
      <c r="E240" s="9">
        <v>2018</v>
      </c>
      <c r="G240" s="9" t="s">
        <v>7</v>
      </c>
      <c r="H240" s="9" t="s">
        <v>860</v>
      </c>
      <c r="I240" s="9" t="s">
        <v>957</v>
      </c>
      <c r="J240" s="18" t="s">
        <v>1014</v>
      </c>
      <c r="K240" s="18" t="s">
        <v>562</v>
      </c>
      <c r="L240" s="18" t="s">
        <v>562</v>
      </c>
      <c r="M240" s="18" t="s">
        <v>1040</v>
      </c>
      <c r="O240" s="9" t="s">
        <v>963</v>
      </c>
      <c r="P240" s="9" t="s">
        <v>1041</v>
      </c>
      <c r="R240" t="s">
        <v>966</v>
      </c>
      <c r="S240" t="s">
        <v>966</v>
      </c>
      <c r="T240" s="42">
        <v>43250</v>
      </c>
      <c r="U240" s="43">
        <v>47.390219999999999</v>
      </c>
      <c r="V240" s="43">
        <v>-122.43597</v>
      </c>
      <c r="W240" t="str">
        <f>VLOOKUP(B240,[1]Plantings!$A$2:$E$285,4,FALSE)</f>
        <v>point</v>
      </c>
      <c r="X240" s="43" t="str">
        <f>VLOOKUP(B240,[1]Plantings!$A$2:$E$285,5,FALSE)</f>
        <v>retain</v>
      </c>
      <c r="Y240" s="54" t="s">
        <v>9</v>
      </c>
      <c r="Z240" s="44">
        <v>-1.61544</v>
      </c>
      <c r="AA240" s="75" t="s">
        <v>982</v>
      </c>
      <c r="AB240">
        <v>12</v>
      </c>
      <c r="AC240">
        <v>1</v>
      </c>
      <c r="AD240">
        <f t="shared" si="36"/>
        <v>12</v>
      </c>
      <c r="AE240">
        <f t="shared" si="37"/>
        <v>7.5</v>
      </c>
      <c r="AF240" s="46">
        <f t="shared" si="38"/>
        <v>0.75</v>
      </c>
      <c r="AG240" s="47">
        <v>30</v>
      </c>
      <c r="AH240" s="47">
        <v>600</v>
      </c>
      <c r="AI240" s="45">
        <f t="shared" si="34"/>
        <v>50</v>
      </c>
      <c r="AJ240" s="45">
        <f t="shared" si="35"/>
        <v>80</v>
      </c>
      <c r="AK240" t="s">
        <v>942</v>
      </c>
      <c r="AL240" s="8" t="s">
        <v>1376</v>
      </c>
    </row>
    <row r="241" spans="1:38" x14ac:dyDescent="0.25">
      <c r="A241" t="s">
        <v>860</v>
      </c>
      <c r="B241" s="9" t="s">
        <v>1378</v>
      </c>
      <c r="C241" t="str">
        <f>VLOOKUP(B241,[1]Plantings!$A$2:$C$285,2,FALSE)</f>
        <v>QMH_5S</v>
      </c>
      <c r="D241" t="str">
        <f>VLOOKUP(B241,[1]Plantings!$A$2:$C$285,3,FALSE)</f>
        <v>single</v>
      </c>
      <c r="E241" s="9">
        <v>2018</v>
      </c>
      <c r="G241" s="9" t="s">
        <v>7</v>
      </c>
      <c r="H241" s="9" t="s">
        <v>860</v>
      </c>
      <c r="I241" s="9" t="s">
        <v>957</v>
      </c>
      <c r="J241" s="18" t="s">
        <v>1014</v>
      </c>
      <c r="K241" s="18" t="s">
        <v>562</v>
      </c>
      <c r="L241" s="18" t="s">
        <v>562</v>
      </c>
      <c r="M241" s="18" t="s">
        <v>1040</v>
      </c>
      <c r="O241" s="9" t="s">
        <v>963</v>
      </c>
      <c r="P241" s="9" t="s">
        <v>1041</v>
      </c>
      <c r="R241" t="s">
        <v>966</v>
      </c>
      <c r="S241" t="s">
        <v>966</v>
      </c>
      <c r="T241" s="42">
        <v>43251</v>
      </c>
      <c r="U241" s="43">
        <v>47.385919999999999</v>
      </c>
      <c r="V241" s="43">
        <v>-122.43792999999999</v>
      </c>
      <c r="W241" t="str">
        <f>VLOOKUP(B241,[1]Plantings!$A$2:$E$285,4,FALSE)</f>
        <v>point</v>
      </c>
      <c r="X241" s="43" t="str">
        <f>VLOOKUP(B241,[1]Plantings!$A$2:$E$285,5,FALSE)</f>
        <v>retain</v>
      </c>
      <c r="Y241" s="54" t="s">
        <v>9</v>
      </c>
      <c r="Z241" s="44">
        <v>-1.18872</v>
      </c>
      <c r="AA241" s="75" t="s">
        <v>982</v>
      </c>
      <c r="AB241">
        <v>12</v>
      </c>
      <c r="AC241">
        <v>1</v>
      </c>
      <c r="AD241">
        <f t="shared" si="36"/>
        <v>12</v>
      </c>
      <c r="AE241">
        <f t="shared" si="37"/>
        <v>7.5</v>
      </c>
      <c r="AF241" s="46">
        <f t="shared" si="38"/>
        <v>0.75</v>
      </c>
      <c r="AG241" s="47">
        <v>30</v>
      </c>
      <c r="AH241" s="47">
        <v>600</v>
      </c>
      <c r="AI241" s="45">
        <f t="shared" si="34"/>
        <v>50</v>
      </c>
      <c r="AJ241" s="45">
        <f t="shared" si="35"/>
        <v>80</v>
      </c>
      <c r="AK241" t="s">
        <v>942</v>
      </c>
      <c r="AL241" s="8" t="s">
        <v>1374</v>
      </c>
    </row>
    <row r="242" spans="1:38" x14ac:dyDescent="0.25">
      <c r="A242" t="s">
        <v>860</v>
      </c>
      <c r="B242" s="9" t="s">
        <v>1379</v>
      </c>
      <c r="C242" t="str">
        <f>VLOOKUP(B242,[1]Plantings!$A$2:$C$285,2,FALSE)</f>
        <v>QMH_5D</v>
      </c>
      <c r="D242" t="str">
        <f>VLOOKUP(B242,[1]Plantings!$A$2:$C$285,3,FALSE)</f>
        <v>single</v>
      </c>
      <c r="E242" s="9">
        <v>2018</v>
      </c>
      <c r="G242" s="9" t="s">
        <v>7</v>
      </c>
      <c r="H242" s="9" t="s">
        <v>860</v>
      </c>
      <c r="I242" s="9" t="s">
        <v>957</v>
      </c>
      <c r="J242" s="18" t="s">
        <v>1014</v>
      </c>
      <c r="K242" s="18" t="s">
        <v>562</v>
      </c>
      <c r="L242" s="18" t="s">
        <v>562</v>
      </c>
      <c r="M242" s="18" t="s">
        <v>1040</v>
      </c>
      <c r="O242" s="9" t="s">
        <v>963</v>
      </c>
      <c r="P242" s="9" t="s">
        <v>1041</v>
      </c>
      <c r="R242" t="s">
        <v>966</v>
      </c>
      <c r="S242" t="s">
        <v>966</v>
      </c>
      <c r="T242" s="42">
        <v>43251</v>
      </c>
      <c r="U242" s="43">
        <v>47.38597</v>
      </c>
      <c r="V242" s="43">
        <v>-122.43799</v>
      </c>
      <c r="W242" t="str">
        <f>VLOOKUP(B242,[1]Plantings!$A$2:$E$285,4,FALSE)</f>
        <v>point</v>
      </c>
      <c r="X242" s="43" t="str">
        <f>VLOOKUP(B242,[1]Plantings!$A$2:$E$285,5,FALSE)</f>
        <v>retain</v>
      </c>
      <c r="Y242" s="54" t="s">
        <v>9</v>
      </c>
      <c r="Z242" s="44">
        <v>-1.73736</v>
      </c>
      <c r="AA242" s="75" t="s">
        <v>982</v>
      </c>
      <c r="AB242">
        <v>12</v>
      </c>
      <c r="AC242">
        <v>1</v>
      </c>
      <c r="AD242">
        <f t="shared" si="36"/>
        <v>12</v>
      </c>
      <c r="AE242">
        <f t="shared" si="37"/>
        <v>7.5</v>
      </c>
      <c r="AF242" s="46">
        <f t="shared" si="38"/>
        <v>0.75</v>
      </c>
      <c r="AG242" s="47">
        <v>30</v>
      </c>
      <c r="AH242" s="47">
        <v>600</v>
      </c>
      <c r="AI242" s="45">
        <f t="shared" si="34"/>
        <v>50</v>
      </c>
      <c r="AJ242" s="45">
        <f t="shared" si="35"/>
        <v>80</v>
      </c>
      <c r="AK242" t="s">
        <v>942</v>
      </c>
      <c r="AL242" s="8" t="s">
        <v>1372</v>
      </c>
    </row>
    <row r="243" spans="1:38" x14ac:dyDescent="0.25">
      <c r="A243" t="s">
        <v>860</v>
      </c>
      <c r="B243" s="9" t="s">
        <v>1380</v>
      </c>
      <c r="C243" t="str">
        <f>VLOOKUP(B243,[1]Plantings!$A$2:$C$285,2,FALSE)</f>
        <v>QMH_2D</v>
      </c>
      <c r="D243" t="str">
        <f>VLOOKUP(B243,[1]Plantings!$A$2:$C$285,3,FALSE)</f>
        <v>single</v>
      </c>
      <c r="E243" s="9">
        <v>2018</v>
      </c>
      <c r="G243" s="9" t="s">
        <v>7</v>
      </c>
      <c r="H243" s="9" t="s">
        <v>860</v>
      </c>
      <c r="I243" s="9" t="s">
        <v>957</v>
      </c>
      <c r="J243" s="18" t="s">
        <v>1014</v>
      </c>
      <c r="K243" s="18" t="s">
        <v>562</v>
      </c>
      <c r="L243" s="18" t="s">
        <v>562</v>
      </c>
      <c r="M243" s="18" t="s">
        <v>1040</v>
      </c>
      <c r="O243" s="9" t="s">
        <v>963</v>
      </c>
      <c r="P243" s="9" t="s">
        <v>1041</v>
      </c>
      <c r="R243" t="s">
        <v>966</v>
      </c>
      <c r="S243" t="s">
        <v>966</v>
      </c>
      <c r="T243" s="42">
        <v>43252</v>
      </c>
      <c r="U243" s="43">
        <v>47.394410000000001</v>
      </c>
      <c r="V243" s="43">
        <v>-122.44898000000001</v>
      </c>
      <c r="W243" t="str">
        <f>VLOOKUP(B243,[1]Plantings!$A$2:$E$285,4,FALSE)</f>
        <v>point</v>
      </c>
      <c r="X243" s="43" t="str">
        <f>VLOOKUP(B243,[1]Plantings!$A$2:$E$285,5,FALSE)</f>
        <v>retain</v>
      </c>
      <c r="Y243" s="54" t="s">
        <v>9</v>
      </c>
      <c r="Z243" s="44">
        <v>-1.7983199999999999</v>
      </c>
      <c r="AA243" s="75" t="s">
        <v>982</v>
      </c>
      <c r="AB243">
        <v>12</v>
      </c>
      <c r="AC243">
        <v>1</v>
      </c>
      <c r="AD243">
        <f t="shared" si="36"/>
        <v>12</v>
      </c>
      <c r="AE243">
        <f t="shared" si="37"/>
        <v>7.5</v>
      </c>
      <c r="AF243" s="46">
        <f t="shared" si="38"/>
        <v>0.75</v>
      </c>
      <c r="AG243" s="47">
        <v>30</v>
      </c>
      <c r="AH243" s="47">
        <v>600</v>
      </c>
      <c r="AI243" s="45">
        <f t="shared" si="34"/>
        <v>50</v>
      </c>
      <c r="AJ243" s="45">
        <f t="shared" si="35"/>
        <v>80</v>
      </c>
      <c r="AK243" t="s">
        <v>942</v>
      </c>
      <c r="AL243" s="8" t="s">
        <v>1381</v>
      </c>
    </row>
    <row r="244" spans="1:38" x14ac:dyDescent="0.25">
      <c r="A244" t="s">
        <v>860</v>
      </c>
      <c r="B244" s="9" t="s">
        <v>1382</v>
      </c>
      <c r="C244" t="str">
        <f>VLOOKUP(B244,[1]Plantings!$A$2:$C$285,2,FALSE)</f>
        <v>QMH_3S</v>
      </c>
      <c r="D244" t="str">
        <f>VLOOKUP(B244,[1]Plantings!$A$2:$C$285,3,FALSE)</f>
        <v>single</v>
      </c>
      <c r="E244" s="9">
        <v>2018</v>
      </c>
      <c r="G244" s="9" t="s">
        <v>7</v>
      </c>
      <c r="H244" s="9" t="s">
        <v>860</v>
      </c>
      <c r="I244" s="9" t="s">
        <v>957</v>
      </c>
      <c r="J244" s="18" t="s">
        <v>1014</v>
      </c>
      <c r="K244" s="18" t="s">
        <v>562</v>
      </c>
      <c r="L244" s="18" t="s">
        <v>562</v>
      </c>
      <c r="M244" s="18" t="s">
        <v>1040</v>
      </c>
      <c r="O244" s="9" t="s">
        <v>963</v>
      </c>
      <c r="P244" s="9" t="s">
        <v>1041</v>
      </c>
      <c r="R244" t="s">
        <v>966</v>
      </c>
      <c r="S244" t="s">
        <v>966</v>
      </c>
      <c r="T244" s="42">
        <v>43252</v>
      </c>
      <c r="U244" s="43">
        <v>47.403919999999999</v>
      </c>
      <c r="V244" s="43">
        <v>-122.44499</v>
      </c>
      <c r="W244" t="str">
        <f>VLOOKUP(B244,[1]Plantings!$A$2:$E$285,4,FALSE)</f>
        <v>point</v>
      </c>
      <c r="X244" s="43" t="str">
        <f>VLOOKUP(B244,[1]Plantings!$A$2:$E$285,5,FALSE)</f>
        <v>retain</v>
      </c>
      <c r="Y244" s="54" t="s">
        <v>9</v>
      </c>
      <c r="Z244" s="44">
        <v>-1.2192000000000001</v>
      </c>
      <c r="AA244" s="75" t="s">
        <v>982</v>
      </c>
      <c r="AB244">
        <v>12</v>
      </c>
      <c r="AC244">
        <v>1</v>
      </c>
      <c r="AD244">
        <f t="shared" si="36"/>
        <v>12</v>
      </c>
      <c r="AE244">
        <f t="shared" si="37"/>
        <v>7.5</v>
      </c>
      <c r="AF244" s="46">
        <f t="shared" si="38"/>
        <v>0.75</v>
      </c>
      <c r="AG244" s="47">
        <v>30</v>
      </c>
      <c r="AH244" s="47">
        <v>600</v>
      </c>
      <c r="AI244" s="45">
        <f t="shared" si="34"/>
        <v>50</v>
      </c>
      <c r="AJ244" s="45">
        <f t="shared" si="35"/>
        <v>80</v>
      </c>
      <c r="AK244" t="s">
        <v>942</v>
      </c>
      <c r="AL244" s="8" t="s">
        <v>1383</v>
      </c>
    </row>
    <row r="245" spans="1:38" x14ac:dyDescent="0.25">
      <c r="A245" t="s">
        <v>860</v>
      </c>
      <c r="B245" s="9" t="s">
        <v>1384</v>
      </c>
      <c r="C245" t="str">
        <f>VLOOKUP(B245,[1]Plantings!$A$2:$C$285,2,FALSE)</f>
        <v>QMH_3D</v>
      </c>
      <c r="D245" t="str">
        <f>VLOOKUP(B245,[1]Plantings!$A$2:$C$285,3,FALSE)</f>
        <v>single</v>
      </c>
      <c r="E245" s="9">
        <v>2018</v>
      </c>
      <c r="G245" s="9" t="s">
        <v>7</v>
      </c>
      <c r="H245" s="9" t="s">
        <v>860</v>
      </c>
      <c r="I245" s="9" t="s">
        <v>957</v>
      </c>
      <c r="J245" s="18" t="s">
        <v>1014</v>
      </c>
      <c r="K245" s="18" t="s">
        <v>562</v>
      </c>
      <c r="L245" s="18" t="s">
        <v>562</v>
      </c>
      <c r="M245" s="18" t="s">
        <v>1040</v>
      </c>
      <c r="O245" s="9" t="s">
        <v>963</v>
      </c>
      <c r="P245" s="9" t="s">
        <v>1041</v>
      </c>
      <c r="R245" t="s">
        <v>966</v>
      </c>
      <c r="S245" t="s">
        <v>966</v>
      </c>
      <c r="T245" s="42">
        <v>43252</v>
      </c>
      <c r="U245" s="43">
        <v>47.403860000000002</v>
      </c>
      <c r="V245" s="43">
        <v>-122.44484</v>
      </c>
      <c r="W245" t="str">
        <f>VLOOKUP(B245,[1]Plantings!$A$2:$E$285,4,FALSE)</f>
        <v>point</v>
      </c>
      <c r="X245" s="43" t="str">
        <f>VLOOKUP(B245,[1]Plantings!$A$2:$E$285,5,FALSE)</f>
        <v>retain</v>
      </c>
      <c r="Y245" s="54" t="s">
        <v>9</v>
      </c>
      <c r="Z245" s="44">
        <v>-1.85928</v>
      </c>
      <c r="AA245" s="75" t="s">
        <v>982</v>
      </c>
      <c r="AB245">
        <v>12</v>
      </c>
      <c r="AC245">
        <v>1</v>
      </c>
      <c r="AD245">
        <f t="shared" si="36"/>
        <v>12</v>
      </c>
      <c r="AE245">
        <f t="shared" si="37"/>
        <v>7.5</v>
      </c>
      <c r="AF245" s="46">
        <f t="shared" si="38"/>
        <v>0.75</v>
      </c>
      <c r="AG245" s="47">
        <v>30</v>
      </c>
      <c r="AH245" s="47">
        <v>600</v>
      </c>
      <c r="AI245" s="45">
        <f t="shared" si="34"/>
        <v>50</v>
      </c>
      <c r="AJ245" s="45">
        <f t="shared" si="35"/>
        <v>80</v>
      </c>
      <c r="AK245" t="s">
        <v>942</v>
      </c>
      <c r="AL245" s="8" t="s">
        <v>1385</v>
      </c>
    </row>
    <row r="246" spans="1:38" x14ac:dyDescent="0.25">
      <c r="A246" t="s">
        <v>860</v>
      </c>
      <c r="B246" s="9" t="s">
        <v>1386</v>
      </c>
      <c r="C246" t="e">
        <f>VLOOKUP(B246,[1]Plantings!$A$2:$C$285,2,FALSE)</f>
        <v>#N/A</v>
      </c>
      <c r="D246" t="e">
        <f>VLOOKUP(B246,[1]Plantings!$A$2:$C$285,3,FALSE)</f>
        <v>#N/A</v>
      </c>
      <c r="E246" s="9">
        <v>2021</v>
      </c>
      <c r="G246" s="9" t="s">
        <v>7</v>
      </c>
      <c r="H246" s="9" t="s">
        <v>860</v>
      </c>
      <c r="I246" s="9" t="s">
        <v>957</v>
      </c>
      <c r="J246" s="18" t="s">
        <v>938</v>
      </c>
      <c r="K246" s="9" t="s">
        <v>938</v>
      </c>
      <c r="L246" s="9" t="s">
        <v>1079</v>
      </c>
      <c r="N246" t="s">
        <v>1080</v>
      </c>
      <c r="O246" s="9"/>
      <c r="P246" s="9"/>
      <c r="R246" t="s">
        <v>966</v>
      </c>
      <c r="S246" t="s">
        <v>966</v>
      </c>
      <c r="T246" s="42">
        <v>44329</v>
      </c>
      <c r="U246" s="43">
        <v>47.390659999999997</v>
      </c>
      <c r="V246" s="43">
        <v>-122.43606</v>
      </c>
      <c r="W246" t="e">
        <f>VLOOKUP(B246,[1]Plantings!$A$2:$E$285,4,FALSE)</f>
        <v>#N/A</v>
      </c>
      <c r="X246" s="43" t="e">
        <f>VLOOKUP(B246,[1]Plantings!$A$2:$E$285,5,FALSE)</f>
        <v>#N/A</v>
      </c>
      <c r="Y246" s="54" t="s">
        <v>9</v>
      </c>
      <c r="Z246" s="44">
        <v>-1.5</v>
      </c>
      <c r="AA246" s="75" t="s">
        <v>982</v>
      </c>
      <c r="AB246">
        <v>3.5</v>
      </c>
      <c r="AC246">
        <v>0.5</v>
      </c>
      <c r="AD246">
        <f t="shared" si="36"/>
        <v>1.75</v>
      </c>
      <c r="AE246">
        <v>1</v>
      </c>
      <c r="AF246" s="46">
        <f t="shared" si="38"/>
        <v>0.30000000000000004</v>
      </c>
      <c r="AG246" s="47">
        <v>12</v>
      </c>
      <c r="AH246" s="47">
        <v>240</v>
      </c>
      <c r="AI246" s="45">
        <f t="shared" si="34"/>
        <v>137.14285714285714</v>
      </c>
      <c r="AJ246" s="45">
        <f t="shared" si="35"/>
        <v>240</v>
      </c>
      <c r="AK246" t="s">
        <v>1021</v>
      </c>
      <c r="AL246" s="8" t="s">
        <v>1387</v>
      </c>
    </row>
    <row r="247" spans="1:38" x14ac:dyDescent="0.25">
      <c r="A247" t="s">
        <v>860</v>
      </c>
      <c r="B247" s="9" t="s">
        <v>1386</v>
      </c>
      <c r="C247" t="e">
        <f>VLOOKUP(B247,[1]Plantings!$A$2:$C$285,2,FALSE)</f>
        <v>#N/A</v>
      </c>
      <c r="D247" t="e">
        <f>VLOOKUP(B247,[1]Plantings!$A$2:$C$285,3,FALSE)</f>
        <v>#N/A</v>
      </c>
      <c r="E247" s="9">
        <v>2021</v>
      </c>
      <c r="G247" s="9" t="s">
        <v>7</v>
      </c>
      <c r="H247" s="9" t="s">
        <v>860</v>
      </c>
      <c r="I247" s="9" t="s">
        <v>957</v>
      </c>
      <c r="J247" s="18" t="s">
        <v>938</v>
      </c>
      <c r="K247" s="9" t="s">
        <v>938</v>
      </c>
      <c r="L247" s="9" t="s">
        <v>1079</v>
      </c>
      <c r="N247" t="s">
        <v>1080</v>
      </c>
      <c r="O247" s="9"/>
      <c r="P247" s="9"/>
      <c r="R247" t="s">
        <v>966</v>
      </c>
      <c r="S247" t="s">
        <v>966</v>
      </c>
      <c r="T247" s="42">
        <v>44330</v>
      </c>
      <c r="U247" s="43">
        <v>47.390659999999997</v>
      </c>
      <c r="V247" s="43">
        <v>-122.43606</v>
      </c>
      <c r="W247" t="e">
        <f>VLOOKUP(B247,[1]Plantings!$A$2:$E$285,4,FALSE)</f>
        <v>#N/A</v>
      </c>
      <c r="X247" s="43" t="e">
        <f>VLOOKUP(B247,[1]Plantings!$A$2:$E$285,5,FALSE)</f>
        <v>#N/A</v>
      </c>
      <c r="Y247" s="54" t="s">
        <v>9</v>
      </c>
      <c r="Z247" s="44">
        <v>-1.5</v>
      </c>
      <c r="AA247" s="75" t="s">
        <v>982</v>
      </c>
      <c r="AB247">
        <v>4.5</v>
      </c>
      <c r="AC247">
        <v>0.5</v>
      </c>
      <c r="AD247">
        <f t="shared" si="36"/>
        <v>2.25</v>
      </c>
      <c r="AE247">
        <v>1.25</v>
      </c>
      <c r="AF247" s="46">
        <f t="shared" si="38"/>
        <v>0.375</v>
      </c>
      <c r="AG247" s="47">
        <v>15</v>
      </c>
      <c r="AH247" s="47">
        <v>375</v>
      </c>
      <c r="AI247" s="45">
        <f t="shared" si="34"/>
        <v>166.66666666666666</v>
      </c>
      <c r="AJ247" s="45">
        <f t="shared" si="35"/>
        <v>300</v>
      </c>
      <c r="AK247" t="s">
        <v>942</v>
      </c>
      <c r="AL247" s="8" t="s">
        <v>1388</v>
      </c>
    </row>
    <row r="248" spans="1:38" x14ac:dyDescent="0.25">
      <c r="A248" t="s">
        <v>860</v>
      </c>
      <c r="B248" s="9" t="s">
        <v>1386</v>
      </c>
      <c r="C248" t="e">
        <f>VLOOKUP(B248,[1]Plantings!$A$2:$C$285,2,FALSE)</f>
        <v>#N/A</v>
      </c>
      <c r="D248" t="e">
        <f>VLOOKUP(B248,[1]Plantings!$A$2:$C$285,3,FALSE)</f>
        <v>#N/A</v>
      </c>
      <c r="E248" s="9">
        <v>2021</v>
      </c>
      <c r="G248" s="9" t="s">
        <v>7</v>
      </c>
      <c r="H248" s="9" t="s">
        <v>860</v>
      </c>
      <c r="I248" s="9" t="s">
        <v>957</v>
      </c>
      <c r="J248" s="18" t="s">
        <v>938</v>
      </c>
      <c r="K248" s="9" t="s">
        <v>938</v>
      </c>
      <c r="L248" s="9" t="s">
        <v>1079</v>
      </c>
      <c r="N248" t="s">
        <v>1080</v>
      </c>
      <c r="O248" s="9"/>
      <c r="P248" s="9"/>
      <c r="R248" t="s">
        <v>966</v>
      </c>
      <c r="S248" t="s">
        <v>966</v>
      </c>
      <c r="T248" s="42">
        <v>44342</v>
      </c>
      <c r="U248" s="43">
        <v>47.390659999999997</v>
      </c>
      <c r="V248" s="43">
        <v>-122.43606</v>
      </c>
      <c r="W248" t="e">
        <f>VLOOKUP(B248,[1]Plantings!$A$2:$E$285,4,FALSE)</f>
        <v>#N/A</v>
      </c>
      <c r="X248" s="43" t="e">
        <f>VLOOKUP(B248,[1]Plantings!$A$2:$E$285,5,FALSE)</f>
        <v>#N/A</v>
      </c>
      <c r="Y248" s="54" t="s">
        <v>9</v>
      </c>
      <c r="Z248" s="44">
        <v>-1.5</v>
      </c>
      <c r="AA248" s="75" t="s">
        <v>982</v>
      </c>
      <c r="AB248">
        <v>2.5</v>
      </c>
      <c r="AC248">
        <v>1</v>
      </c>
      <c r="AD248">
        <f t="shared" si="36"/>
        <v>2.5</v>
      </c>
      <c r="AE248">
        <v>1.5</v>
      </c>
      <c r="AF248" s="46">
        <f t="shared" si="38"/>
        <v>0.45</v>
      </c>
      <c r="AG248" s="47">
        <v>18</v>
      </c>
      <c r="AH248" s="47">
        <v>270</v>
      </c>
      <c r="AI248" s="45">
        <f t="shared" si="34"/>
        <v>108</v>
      </c>
      <c r="AJ248" s="45">
        <f t="shared" si="35"/>
        <v>180</v>
      </c>
      <c r="AK248" t="s">
        <v>1021</v>
      </c>
      <c r="AL248" s="8" t="s">
        <v>1389</v>
      </c>
    </row>
    <row r="249" spans="1:38" x14ac:dyDescent="0.25">
      <c r="A249" t="s">
        <v>860</v>
      </c>
      <c r="B249" s="9" t="s">
        <v>1390</v>
      </c>
      <c r="C249" t="e">
        <f>VLOOKUP(B249,[1]Plantings!$A$2:$C$285,2,FALSE)</f>
        <v>#N/A</v>
      </c>
      <c r="D249" t="e">
        <f>VLOOKUP(B249,[1]Plantings!$A$2:$C$285,3,FALSE)</f>
        <v>#N/A</v>
      </c>
      <c r="E249" s="9">
        <v>2021</v>
      </c>
      <c r="G249" s="9" t="s">
        <v>7</v>
      </c>
      <c r="H249" s="9" t="s">
        <v>860</v>
      </c>
      <c r="I249" s="9" t="s">
        <v>957</v>
      </c>
      <c r="J249" s="18" t="s">
        <v>938</v>
      </c>
      <c r="K249" s="9" t="s">
        <v>938</v>
      </c>
      <c r="L249" s="9" t="s">
        <v>1079</v>
      </c>
      <c r="N249" t="s">
        <v>1080</v>
      </c>
      <c r="O249" s="9"/>
      <c r="P249" s="9"/>
      <c r="R249" t="s">
        <v>966</v>
      </c>
      <c r="S249" t="s">
        <v>966</v>
      </c>
      <c r="T249" s="42">
        <v>44329</v>
      </c>
      <c r="U249" s="43">
        <v>47.385899999999999</v>
      </c>
      <c r="V249" s="43">
        <v>-122.4379</v>
      </c>
      <c r="W249" t="e">
        <f>VLOOKUP(B249,[1]Plantings!$A$2:$E$285,4,FALSE)</f>
        <v>#N/A</v>
      </c>
      <c r="X249" s="43" t="e">
        <f>VLOOKUP(B249,[1]Plantings!$A$2:$E$285,5,FALSE)</f>
        <v>#N/A</v>
      </c>
      <c r="Y249" s="54" t="s">
        <v>9</v>
      </c>
      <c r="Z249" s="44">
        <v>-1.5</v>
      </c>
      <c r="AA249" s="75" t="s">
        <v>982</v>
      </c>
      <c r="AB249">
        <v>2.5</v>
      </c>
      <c r="AC249">
        <v>0.5</v>
      </c>
      <c r="AD249">
        <f t="shared" si="36"/>
        <v>1.25</v>
      </c>
      <c r="AE249">
        <v>0.75</v>
      </c>
      <c r="AF249" s="46">
        <f t="shared" si="38"/>
        <v>0.22500000000000001</v>
      </c>
      <c r="AG249" s="47">
        <v>9</v>
      </c>
      <c r="AH249" s="47">
        <v>180</v>
      </c>
      <c r="AI249" s="45">
        <f t="shared" si="34"/>
        <v>144</v>
      </c>
      <c r="AJ249" s="45">
        <f t="shared" si="35"/>
        <v>240</v>
      </c>
      <c r="AK249" t="s">
        <v>1021</v>
      </c>
      <c r="AL249" s="8" t="s">
        <v>1391</v>
      </c>
    </row>
    <row r="250" spans="1:38" x14ac:dyDescent="0.25">
      <c r="A250" t="s">
        <v>860</v>
      </c>
      <c r="B250" s="9" t="s">
        <v>1390</v>
      </c>
      <c r="C250" t="e">
        <f>VLOOKUP(B250,[1]Plantings!$A$2:$C$285,2,FALSE)</f>
        <v>#N/A</v>
      </c>
      <c r="D250" t="e">
        <f>VLOOKUP(B250,[1]Plantings!$A$2:$C$285,3,FALSE)</f>
        <v>#N/A</v>
      </c>
      <c r="E250" s="9">
        <v>2021</v>
      </c>
      <c r="G250" s="9" t="s">
        <v>7</v>
      </c>
      <c r="H250" s="9" t="s">
        <v>860</v>
      </c>
      <c r="I250" s="9" t="s">
        <v>957</v>
      </c>
      <c r="J250" s="18" t="s">
        <v>938</v>
      </c>
      <c r="K250" s="9" t="s">
        <v>938</v>
      </c>
      <c r="L250" s="9" t="s">
        <v>1079</v>
      </c>
      <c r="N250" t="s">
        <v>1080</v>
      </c>
      <c r="O250" s="9"/>
      <c r="P250" s="9"/>
      <c r="R250" t="s">
        <v>966</v>
      </c>
      <c r="S250" t="s">
        <v>966</v>
      </c>
      <c r="T250" s="42">
        <v>44330</v>
      </c>
      <c r="U250" s="43">
        <v>47.385899999999999</v>
      </c>
      <c r="V250" s="43">
        <v>-122.4379</v>
      </c>
      <c r="W250" t="e">
        <f>VLOOKUP(B250,[1]Plantings!$A$2:$E$285,4,FALSE)</f>
        <v>#N/A</v>
      </c>
      <c r="X250" s="43" t="e">
        <f>VLOOKUP(B250,[1]Plantings!$A$2:$E$285,5,FALSE)</f>
        <v>#N/A</v>
      </c>
      <c r="Y250" s="54" t="s">
        <v>9</v>
      </c>
      <c r="Z250" s="44">
        <v>-1.5</v>
      </c>
      <c r="AA250" s="75" t="s">
        <v>982</v>
      </c>
      <c r="AB250">
        <v>2.5</v>
      </c>
      <c r="AC250">
        <v>0.5</v>
      </c>
      <c r="AD250">
        <f t="shared" si="36"/>
        <v>1.25</v>
      </c>
      <c r="AE250">
        <v>0.75</v>
      </c>
      <c r="AF250" s="46">
        <f t="shared" si="38"/>
        <v>0.22500000000000001</v>
      </c>
      <c r="AG250" s="47">
        <v>9</v>
      </c>
      <c r="AH250" s="47">
        <v>180</v>
      </c>
      <c r="AI250" s="45">
        <f t="shared" si="34"/>
        <v>144</v>
      </c>
      <c r="AJ250" s="45">
        <f t="shared" si="35"/>
        <v>240</v>
      </c>
      <c r="AK250" t="s">
        <v>942</v>
      </c>
      <c r="AL250" s="8" t="s">
        <v>1392</v>
      </c>
    </row>
    <row r="251" spans="1:38" x14ac:dyDescent="0.25">
      <c r="A251" t="s">
        <v>860</v>
      </c>
      <c r="B251" s="9" t="s">
        <v>1386</v>
      </c>
      <c r="C251" t="e">
        <f>VLOOKUP(B251,[1]Plantings!$A$2:$C$285,2,FALSE)</f>
        <v>#N/A</v>
      </c>
      <c r="D251" t="e">
        <f>VLOOKUP(B251,[1]Plantings!$A$2:$C$285,3,FALSE)</f>
        <v>#N/A</v>
      </c>
      <c r="E251" s="9">
        <v>2021</v>
      </c>
      <c r="G251" s="9" t="s">
        <v>7</v>
      </c>
      <c r="H251" s="9" t="s">
        <v>860</v>
      </c>
      <c r="I251" s="9" t="s">
        <v>957</v>
      </c>
      <c r="J251" s="18" t="s">
        <v>938</v>
      </c>
      <c r="K251" s="9" t="s">
        <v>938</v>
      </c>
      <c r="L251" s="9" t="s">
        <v>1079</v>
      </c>
      <c r="N251" t="s">
        <v>1080</v>
      </c>
      <c r="O251" s="9"/>
      <c r="P251" s="9"/>
      <c r="R251" t="s">
        <v>966</v>
      </c>
      <c r="S251" t="s">
        <v>966</v>
      </c>
      <c r="T251" s="42">
        <v>44342</v>
      </c>
      <c r="U251" s="43">
        <v>47.390659999999997</v>
      </c>
      <c r="V251" s="43">
        <v>-122.43606</v>
      </c>
      <c r="W251" t="e">
        <f>VLOOKUP(B251,[1]Plantings!$A$2:$E$285,4,FALSE)</f>
        <v>#N/A</v>
      </c>
      <c r="X251" s="43" t="e">
        <f>VLOOKUP(B251,[1]Plantings!$A$2:$E$285,5,FALSE)</f>
        <v>#N/A</v>
      </c>
      <c r="Y251" s="54" t="s">
        <v>9</v>
      </c>
      <c r="Z251" s="44">
        <v>-1.5</v>
      </c>
      <c r="AA251" s="75" t="s">
        <v>982</v>
      </c>
      <c r="AB251">
        <v>2.5</v>
      </c>
      <c r="AC251">
        <v>1</v>
      </c>
      <c r="AD251">
        <f t="shared" si="36"/>
        <v>2.5</v>
      </c>
      <c r="AE251">
        <f>AG251*0.25</f>
        <v>4.5</v>
      </c>
      <c r="AF251" s="46">
        <f t="shared" si="38"/>
        <v>0.45</v>
      </c>
      <c r="AG251" s="47">
        <v>18</v>
      </c>
      <c r="AH251" s="47">
        <v>360</v>
      </c>
      <c r="AI251" s="45">
        <f t="shared" si="34"/>
        <v>144</v>
      </c>
      <c r="AJ251" s="45">
        <f t="shared" si="35"/>
        <v>80</v>
      </c>
      <c r="AK251" t="s">
        <v>1021</v>
      </c>
      <c r="AL251" s="8" t="s">
        <v>1393</v>
      </c>
    </row>
    <row r="252" spans="1:38" x14ac:dyDescent="0.25">
      <c r="A252" t="s">
        <v>860</v>
      </c>
      <c r="B252" s="9" t="s">
        <v>1394</v>
      </c>
      <c r="C252" t="e">
        <f>VLOOKUP(B252,[1]Plantings!$A$2:$C$285,2,FALSE)</f>
        <v>#N/A</v>
      </c>
      <c r="D252" t="e">
        <f>VLOOKUP(B252,[1]Plantings!$A$2:$C$285,3,FALSE)</f>
        <v>#N/A</v>
      </c>
      <c r="E252" s="9">
        <v>2022</v>
      </c>
      <c r="G252" s="9" t="s">
        <v>7</v>
      </c>
      <c r="H252" s="9" t="s">
        <v>860</v>
      </c>
      <c r="I252" s="9" t="s">
        <v>957</v>
      </c>
      <c r="J252" s="18" t="s">
        <v>938</v>
      </c>
      <c r="K252" s="9" t="s">
        <v>938</v>
      </c>
      <c r="L252" s="9" t="s">
        <v>1079</v>
      </c>
      <c r="N252" t="s">
        <v>1080</v>
      </c>
      <c r="R252" t="s">
        <v>966</v>
      </c>
      <c r="S252" t="s">
        <v>966</v>
      </c>
      <c r="T252" s="59">
        <v>44700</v>
      </c>
      <c r="U252" s="43">
        <v>47.390659999999997</v>
      </c>
      <c r="V252" s="43">
        <v>-122.43606</v>
      </c>
      <c r="W252" t="e">
        <f>VLOOKUP(B252,[1]Plantings!$A$2:$E$285,4,FALSE)</f>
        <v>#N/A</v>
      </c>
      <c r="X252" s="43" t="e">
        <f>VLOOKUP(B252,[1]Plantings!$A$2:$E$285,5,FALSE)</f>
        <v>#N/A</v>
      </c>
      <c r="Y252" s="48" t="s">
        <v>9</v>
      </c>
      <c r="Z252" s="44">
        <v>-1.5</v>
      </c>
      <c r="AA252" s="75" t="s">
        <v>1395</v>
      </c>
      <c r="AB252">
        <v>1.5</v>
      </c>
      <c r="AC252">
        <v>0.5</v>
      </c>
      <c r="AD252">
        <f t="shared" si="36"/>
        <v>0.75</v>
      </c>
      <c r="AE252">
        <f>AG252*0.25</f>
        <v>0.75</v>
      </c>
      <c r="AF252" s="46">
        <f>IF(AA252="staple",AG252*0.005,IF(AA252="rebar",AG252*0.025,IF(AA252="burlap",AG252*0.0625,IF(AA252="washer",AG252*0.0025,IF(AA252="pucks",AG252*0.00785,IF(AA252="turf",AG252*0.01,IF(AA252="TERFS",AG252*0.25,IF(AA252="",""))))))))</f>
        <v>0.75</v>
      </c>
      <c r="AG252" s="47">
        <v>3</v>
      </c>
      <c r="AH252" s="60">
        <v>75</v>
      </c>
      <c r="AI252" s="45">
        <f t="shared" si="34"/>
        <v>100</v>
      </c>
      <c r="AJ252" s="45">
        <f t="shared" si="35"/>
        <v>100</v>
      </c>
      <c r="AK252" t="s">
        <v>1021</v>
      </c>
      <c r="AL252" s="8" t="s">
        <v>1396</v>
      </c>
    </row>
    <row r="253" spans="1:38" x14ac:dyDescent="0.25">
      <c r="A253" t="s">
        <v>1397</v>
      </c>
      <c r="B253" t="s">
        <v>1398</v>
      </c>
      <c r="C253" t="str">
        <f>VLOOKUP(B253,[1]Plantings!$A$2:$C$285,2,FALSE)</f>
        <v>QLC01</v>
      </c>
      <c r="D253" t="str">
        <f>VLOOKUP(B253,[1]Plantings!$A$2:$C$285,3,FALSE)</f>
        <v>single</v>
      </c>
      <c r="E253">
        <v>2014</v>
      </c>
      <c r="F253" t="s">
        <v>956</v>
      </c>
      <c r="G253" t="s">
        <v>7</v>
      </c>
      <c r="H253" t="s">
        <v>1397</v>
      </c>
      <c r="I253" t="s">
        <v>1341</v>
      </c>
      <c r="J253" t="s">
        <v>123</v>
      </c>
      <c r="K253" t="s">
        <v>971</v>
      </c>
      <c r="L253" t="s">
        <v>972</v>
      </c>
      <c r="O253" t="s">
        <v>963</v>
      </c>
      <c r="P253" t="s">
        <v>973</v>
      </c>
      <c r="Q253" t="s">
        <v>974</v>
      </c>
      <c r="R253" t="s">
        <v>966</v>
      </c>
      <c r="S253" t="s">
        <v>966</v>
      </c>
      <c r="T253" s="42">
        <v>41967</v>
      </c>
      <c r="U253" s="49">
        <v>47.797766666666668</v>
      </c>
      <c r="V253" s="49">
        <v>-122.84966666666666</v>
      </c>
      <c r="W253" t="str">
        <f>VLOOKUP(B253,[1]Plantings!$A$2:$E$285,4,FALSE)</f>
        <v>point</v>
      </c>
      <c r="X253" s="43" t="str">
        <f>VLOOKUP(B253,[1]Plantings!$A$2:$E$285,5,FALSE)</f>
        <v>retain</v>
      </c>
      <c r="Y253" s="48" t="s">
        <v>9</v>
      </c>
      <c r="Z253" s="44">
        <v>-0.4</v>
      </c>
      <c r="AA253" s="45" t="s">
        <v>967</v>
      </c>
      <c r="AB253">
        <v>5</v>
      </c>
      <c r="AC253">
        <v>5</v>
      </c>
      <c r="AD253">
        <f t="shared" si="36"/>
        <v>25</v>
      </c>
      <c r="AE253">
        <v>25</v>
      </c>
      <c r="AF253" s="46">
        <f t="shared" ref="AF253:AF262" si="39">IF(AA253="staple",AG253*0.005,IF(AA253="rebar",AG253*0.025,IF(AA253="burlap",AG253*0.0625,IF(AA253="washer",AG253*0.0025,IF(AA253="pucks",AG253*0.00785,IF(AA253="turf",AG253*0.01,IF(AA253="","")))))))</f>
        <v>0.625</v>
      </c>
      <c r="AG253" s="47">
        <f>AH253/4</f>
        <v>125</v>
      </c>
      <c r="AH253" s="47">
        <v>500</v>
      </c>
      <c r="AI253" s="45">
        <f t="shared" si="34"/>
        <v>20</v>
      </c>
      <c r="AJ253" s="45">
        <f t="shared" si="35"/>
        <v>20</v>
      </c>
      <c r="AK253" t="s">
        <v>1397</v>
      </c>
    </row>
    <row r="254" spans="1:38" x14ac:dyDescent="0.25">
      <c r="A254" s="9" t="s">
        <v>540</v>
      </c>
      <c r="B254" s="9" t="s">
        <v>1399</v>
      </c>
      <c r="C254" t="str">
        <f>VLOOKUP(B254,[1]Plantings!$A$2:$C$285,2,FALSE)</f>
        <v>QLC_north1</v>
      </c>
      <c r="D254" t="str">
        <f>VLOOKUP(B254,[1]Plantings!$A$2:$C$285,3,FALSE)</f>
        <v>single</v>
      </c>
      <c r="E254" s="9">
        <v>2016</v>
      </c>
      <c r="F254" t="s">
        <v>956</v>
      </c>
      <c r="G254" s="9" t="s">
        <v>7</v>
      </c>
      <c r="H254" s="9" t="s">
        <v>1397</v>
      </c>
      <c r="I254" s="9" t="s">
        <v>1341</v>
      </c>
      <c r="J254" s="9" t="s">
        <v>349</v>
      </c>
      <c r="K254" s="9" t="s">
        <v>978</v>
      </c>
      <c r="L254" s="9" t="s">
        <v>978</v>
      </c>
      <c r="M254" s="18" t="s">
        <v>979</v>
      </c>
      <c r="N254" s="9" t="s">
        <v>980</v>
      </c>
      <c r="O254" s="9" t="s">
        <v>963</v>
      </c>
      <c r="P254" s="9" t="s">
        <v>981</v>
      </c>
      <c r="Q254" s="9"/>
      <c r="R254" s="9" t="s">
        <v>966</v>
      </c>
      <c r="S254" s="9" t="s">
        <v>966</v>
      </c>
      <c r="T254" s="3">
        <v>42551</v>
      </c>
      <c r="U254" s="49">
        <v>47.799083333333336</v>
      </c>
      <c r="V254" s="49">
        <v>-122.84871666666666</v>
      </c>
      <c r="W254" t="str">
        <f>VLOOKUP(B254,[1]Plantings!$A$2:$E$285,4,FALSE)</f>
        <v>point?</v>
      </c>
      <c r="X254" s="43" t="str">
        <f>VLOOKUP(B254,[1]Plantings!$A$2:$E$285,5,FALSE)</f>
        <v>retain</v>
      </c>
      <c r="Y254" s="54" t="s">
        <v>9</v>
      </c>
      <c r="Z254" s="55">
        <v>-1.6459200000000003</v>
      </c>
      <c r="AA254" s="9" t="s">
        <v>967</v>
      </c>
      <c r="AB254" s="47">
        <v>2</v>
      </c>
      <c r="AC254">
        <v>2</v>
      </c>
      <c r="AD254">
        <f t="shared" si="36"/>
        <v>4</v>
      </c>
      <c r="AE254">
        <v>4</v>
      </c>
      <c r="AF254" s="46">
        <f t="shared" si="39"/>
        <v>0.3</v>
      </c>
      <c r="AG254" s="47">
        <v>60</v>
      </c>
      <c r="AH254" s="47">
        <v>240</v>
      </c>
      <c r="AI254" s="45">
        <f t="shared" si="34"/>
        <v>60</v>
      </c>
      <c r="AJ254" s="45">
        <f t="shared" si="35"/>
        <v>60</v>
      </c>
      <c r="AK254" s="9" t="s">
        <v>1397</v>
      </c>
    </row>
    <row r="255" spans="1:38" x14ac:dyDescent="0.25">
      <c r="A255" s="9" t="s">
        <v>540</v>
      </c>
      <c r="B255" s="9" t="s">
        <v>1400</v>
      </c>
      <c r="C255" t="str">
        <f>VLOOKUP(B255,[1]Plantings!$A$2:$C$285,2,FALSE)</f>
        <v>QLC_north2</v>
      </c>
      <c r="D255" t="str">
        <f>VLOOKUP(B255,[1]Plantings!$A$2:$C$285,3,FALSE)</f>
        <v>single</v>
      </c>
      <c r="E255" s="9">
        <v>2016</v>
      </c>
      <c r="F255" t="s">
        <v>956</v>
      </c>
      <c r="G255" s="9" t="s">
        <v>7</v>
      </c>
      <c r="H255" s="9" t="s">
        <v>1397</v>
      </c>
      <c r="I255" s="9" t="s">
        <v>1341</v>
      </c>
      <c r="J255" s="9" t="s">
        <v>349</v>
      </c>
      <c r="K255" s="9" t="s">
        <v>978</v>
      </c>
      <c r="L255" s="9" t="s">
        <v>978</v>
      </c>
      <c r="M255" s="18" t="s">
        <v>979</v>
      </c>
      <c r="N255" s="9" t="s">
        <v>980</v>
      </c>
      <c r="O255" s="9" t="s">
        <v>963</v>
      </c>
      <c r="P255" s="9" t="s">
        <v>981</v>
      </c>
      <c r="Q255" s="9"/>
      <c r="R255" s="9" t="s">
        <v>966</v>
      </c>
      <c r="S255" s="9" t="s">
        <v>966</v>
      </c>
      <c r="T255" s="3">
        <v>42551</v>
      </c>
      <c r="U255" s="49">
        <v>47.799149999999997</v>
      </c>
      <c r="V255" s="49">
        <v>-122.84875</v>
      </c>
      <c r="W255" t="str">
        <f>VLOOKUP(B255,[1]Plantings!$A$2:$E$285,4,FALSE)</f>
        <v>point?</v>
      </c>
      <c r="X255" s="43" t="str">
        <f>VLOOKUP(B255,[1]Plantings!$A$2:$E$285,5,FALSE)</f>
        <v>retain</v>
      </c>
      <c r="Y255" s="54" t="s">
        <v>9</v>
      </c>
      <c r="Z255" s="55">
        <v>-1.7068799999999997</v>
      </c>
      <c r="AA255" s="9" t="s">
        <v>967</v>
      </c>
      <c r="AB255" s="47">
        <v>2</v>
      </c>
      <c r="AC255">
        <v>2</v>
      </c>
      <c r="AD255">
        <f t="shared" si="36"/>
        <v>4</v>
      </c>
      <c r="AE255">
        <v>4</v>
      </c>
      <c r="AF255" s="46">
        <f t="shared" si="39"/>
        <v>0.3</v>
      </c>
      <c r="AG255" s="47">
        <v>60</v>
      </c>
      <c r="AH255" s="47">
        <v>240</v>
      </c>
      <c r="AI255" s="45">
        <f t="shared" si="34"/>
        <v>60</v>
      </c>
      <c r="AJ255" s="45">
        <f t="shared" si="35"/>
        <v>60</v>
      </c>
      <c r="AK255" s="9" t="s">
        <v>1397</v>
      </c>
    </row>
    <row r="256" spans="1:38" x14ac:dyDescent="0.25">
      <c r="A256" s="9" t="s">
        <v>540</v>
      </c>
      <c r="B256" s="9" t="s">
        <v>1401</v>
      </c>
      <c r="C256" t="str">
        <f>VLOOKUP(B256,[1]Plantings!$A$2:$C$285,2,FALSE)</f>
        <v>QLC_north3</v>
      </c>
      <c r="D256" t="str">
        <f>VLOOKUP(B256,[1]Plantings!$A$2:$C$285,3,FALSE)</f>
        <v>single</v>
      </c>
      <c r="E256" s="9">
        <v>2016</v>
      </c>
      <c r="F256" t="s">
        <v>956</v>
      </c>
      <c r="G256" s="9" t="s">
        <v>7</v>
      </c>
      <c r="H256" s="9" t="s">
        <v>1397</v>
      </c>
      <c r="I256" s="9" t="s">
        <v>1341</v>
      </c>
      <c r="J256" s="9" t="s">
        <v>349</v>
      </c>
      <c r="K256" s="9" t="s">
        <v>978</v>
      </c>
      <c r="L256" s="9" t="s">
        <v>978</v>
      </c>
      <c r="M256" s="18" t="s">
        <v>979</v>
      </c>
      <c r="N256" s="9" t="s">
        <v>980</v>
      </c>
      <c r="O256" s="9" t="s">
        <v>963</v>
      </c>
      <c r="P256" s="9" t="s">
        <v>981</v>
      </c>
      <c r="Q256" s="9"/>
      <c r="R256" s="9" t="s">
        <v>966</v>
      </c>
      <c r="S256" s="9" t="s">
        <v>966</v>
      </c>
      <c r="T256" s="3">
        <v>42551</v>
      </c>
      <c r="U256" s="49">
        <v>47.799166666666665</v>
      </c>
      <c r="V256" s="49">
        <v>-122.8488</v>
      </c>
      <c r="W256" t="str">
        <f>VLOOKUP(B256,[1]Plantings!$A$2:$E$285,4,FALSE)</f>
        <v>point?</v>
      </c>
      <c r="X256" s="43" t="str">
        <f>VLOOKUP(B256,[1]Plantings!$A$2:$E$285,5,FALSE)</f>
        <v>retain</v>
      </c>
      <c r="Y256" s="54" t="s">
        <v>9</v>
      </c>
      <c r="Z256" s="55"/>
      <c r="AA256" s="9" t="s">
        <v>967</v>
      </c>
      <c r="AB256" s="47">
        <v>2</v>
      </c>
      <c r="AC256">
        <v>2</v>
      </c>
      <c r="AD256">
        <f t="shared" si="36"/>
        <v>4</v>
      </c>
      <c r="AE256">
        <v>4</v>
      </c>
      <c r="AF256" s="46">
        <f t="shared" si="39"/>
        <v>0.3</v>
      </c>
      <c r="AG256" s="47">
        <v>60</v>
      </c>
      <c r="AH256" s="47">
        <v>240</v>
      </c>
      <c r="AI256" s="45">
        <f t="shared" si="34"/>
        <v>60</v>
      </c>
      <c r="AJ256" s="45">
        <f t="shared" si="35"/>
        <v>60</v>
      </c>
      <c r="AK256" s="9" t="s">
        <v>1397</v>
      </c>
    </row>
    <row r="257" spans="1:38" x14ac:dyDescent="0.25">
      <c r="A257" s="9" t="s">
        <v>540</v>
      </c>
      <c r="B257" s="9" t="s">
        <v>1402</v>
      </c>
      <c r="C257" t="str">
        <f>VLOOKUP(B257,[1]Plantings!$A$2:$C$285,2,FALSE)</f>
        <v>QLC_mid1</v>
      </c>
      <c r="D257" t="str">
        <f>VLOOKUP(B257,[1]Plantings!$A$2:$C$285,3,FALSE)</f>
        <v>single</v>
      </c>
      <c r="E257" s="9">
        <v>2016</v>
      </c>
      <c r="F257" t="s">
        <v>956</v>
      </c>
      <c r="G257" s="9" t="s">
        <v>7</v>
      </c>
      <c r="H257" s="9" t="s">
        <v>1397</v>
      </c>
      <c r="I257" s="9" t="s">
        <v>1341</v>
      </c>
      <c r="J257" s="9" t="s">
        <v>349</v>
      </c>
      <c r="K257" s="9" t="s">
        <v>978</v>
      </c>
      <c r="L257" s="9" t="s">
        <v>978</v>
      </c>
      <c r="M257" s="18" t="s">
        <v>979</v>
      </c>
      <c r="N257" s="9" t="s">
        <v>980</v>
      </c>
      <c r="O257" s="9" t="s">
        <v>963</v>
      </c>
      <c r="P257" s="9" t="s">
        <v>981</v>
      </c>
      <c r="Q257" s="9"/>
      <c r="R257" s="9" t="s">
        <v>966</v>
      </c>
      <c r="S257" s="9" t="s">
        <v>966</v>
      </c>
      <c r="T257" s="3">
        <v>42551</v>
      </c>
      <c r="U257" s="49">
        <v>47.798033333333336</v>
      </c>
      <c r="V257" s="49">
        <v>-122.84951666666667</v>
      </c>
      <c r="W257" t="str">
        <f>VLOOKUP(B257,[1]Plantings!$A$2:$E$285,4,FALSE)</f>
        <v>point?</v>
      </c>
      <c r="X257" s="43" t="str">
        <f>VLOOKUP(B257,[1]Plantings!$A$2:$E$285,5,FALSE)</f>
        <v>retain</v>
      </c>
      <c r="Y257" s="54" t="s">
        <v>9</v>
      </c>
      <c r="Z257" s="55">
        <v>-1.4325600000000001</v>
      </c>
      <c r="AA257" s="9" t="s">
        <v>967</v>
      </c>
      <c r="AB257" s="47">
        <v>2</v>
      </c>
      <c r="AC257">
        <v>2</v>
      </c>
      <c r="AD257">
        <f t="shared" si="36"/>
        <v>4</v>
      </c>
      <c r="AE257">
        <v>4</v>
      </c>
      <c r="AF257" s="46">
        <f t="shared" si="39"/>
        <v>0.3</v>
      </c>
      <c r="AG257" s="47">
        <v>60</v>
      </c>
      <c r="AH257" s="47">
        <v>240</v>
      </c>
      <c r="AI257" s="45">
        <f t="shared" si="34"/>
        <v>60</v>
      </c>
      <c r="AJ257" s="45">
        <f t="shared" si="35"/>
        <v>60</v>
      </c>
      <c r="AK257" s="9" t="s">
        <v>1397</v>
      </c>
    </row>
    <row r="258" spans="1:38" x14ac:dyDescent="0.25">
      <c r="A258" s="9" t="s">
        <v>540</v>
      </c>
      <c r="B258" s="9" t="s">
        <v>1403</v>
      </c>
      <c r="C258" t="str">
        <f>VLOOKUP(B258,[1]Plantings!$A$2:$C$285,2,FALSE)</f>
        <v>QLC_mid2</v>
      </c>
      <c r="D258" t="str">
        <f>VLOOKUP(B258,[1]Plantings!$A$2:$C$285,3,FALSE)</f>
        <v>single</v>
      </c>
      <c r="E258" s="9">
        <v>2016</v>
      </c>
      <c r="F258" t="s">
        <v>956</v>
      </c>
      <c r="G258" s="9" t="s">
        <v>7</v>
      </c>
      <c r="H258" s="9" t="s">
        <v>1397</v>
      </c>
      <c r="I258" s="9" t="s">
        <v>1341</v>
      </c>
      <c r="J258" s="9" t="s">
        <v>349</v>
      </c>
      <c r="K258" s="9" t="s">
        <v>978</v>
      </c>
      <c r="L258" s="9" t="s">
        <v>978</v>
      </c>
      <c r="M258" s="18" t="s">
        <v>979</v>
      </c>
      <c r="N258" s="9" t="s">
        <v>980</v>
      </c>
      <c r="O258" s="9" t="s">
        <v>963</v>
      </c>
      <c r="P258" s="9" t="s">
        <v>981</v>
      </c>
      <c r="Q258" s="9"/>
      <c r="R258" s="9" t="s">
        <v>966</v>
      </c>
      <c r="S258" s="9" t="s">
        <v>966</v>
      </c>
      <c r="T258" s="3">
        <v>42551</v>
      </c>
      <c r="U258" s="49">
        <v>47.798083333333331</v>
      </c>
      <c r="V258" s="49">
        <v>-122.84958333333333</v>
      </c>
      <c r="W258" t="str">
        <f>VLOOKUP(B258,[1]Plantings!$A$2:$E$285,4,FALSE)</f>
        <v>point?</v>
      </c>
      <c r="X258" s="43" t="str">
        <f>VLOOKUP(B258,[1]Plantings!$A$2:$E$285,5,FALSE)</f>
        <v>retain</v>
      </c>
      <c r="Y258" s="54" t="s">
        <v>9</v>
      </c>
      <c r="Z258" s="55">
        <v>-1.7983199999999999</v>
      </c>
      <c r="AA258" s="9" t="s">
        <v>967</v>
      </c>
      <c r="AB258" s="47">
        <v>2</v>
      </c>
      <c r="AC258">
        <v>2</v>
      </c>
      <c r="AD258">
        <f t="shared" si="36"/>
        <v>4</v>
      </c>
      <c r="AE258">
        <v>4</v>
      </c>
      <c r="AF258" s="46">
        <f t="shared" si="39"/>
        <v>0.3</v>
      </c>
      <c r="AG258" s="47">
        <v>60</v>
      </c>
      <c r="AH258" s="47">
        <v>240</v>
      </c>
      <c r="AI258" s="45">
        <f t="shared" si="34"/>
        <v>60</v>
      </c>
      <c r="AJ258" s="45">
        <f t="shared" si="35"/>
        <v>60</v>
      </c>
      <c r="AK258" s="9" t="s">
        <v>1397</v>
      </c>
    </row>
    <row r="259" spans="1:38" x14ac:dyDescent="0.25">
      <c r="A259" s="9" t="s">
        <v>540</v>
      </c>
      <c r="B259" s="9" t="s">
        <v>1404</v>
      </c>
      <c r="C259" t="str">
        <f>VLOOKUP(B259,[1]Plantings!$A$2:$C$285,2,FALSE)</f>
        <v>QLC_mid3</v>
      </c>
      <c r="D259" t="str">
        <f>VLOOKUP(B259,[1]Plantings!$A$2:$C$285,3,FALSE)</f>
        <v>single</v>
      </c>
      <c r="E259" s="9">
        <v>2016</v>
      </c>
      <c r="F259" t="s">
        <v>956</v>
      </c>
      <c r="G259" s="9" t="s">
        <v>7</v>
      </c>
      <c r="H259" s="9" t="s">
        <v>1397</v>
      </c>
      <c r="I259" s="9" t="s">
        <v>1341</v>
      </c>
      <c r="J259" s="9" t="s">
        <v>349</v>
      </c>
      <c r="K259" s="9" t="s">
        <v>978</v>
      </c>
      <c r="L259" s="9" t="s">
        <v>978</v>
      </c>
      <c r="M259" s="18" t="s">
        <v>979</v>
      </c>
      <c r="N259" s="9" t="s">
        <v>980</v>
      </c>
      <c r="O259" s="9" t="s">
        <v>963</v>
      </c>
      <c r="P259" s="9" t="s">
        <v>981</v>
      </c>
      <c r="Q259" s="9"/>
      <c r="R259" s="9" t="s">
        <v>966</v>
      </c>
      <c r="S259" s="9" t="s">
        <v>966</v>
      </c>
      <c r="T259" s="3">
        <v>42551</v>
      </c>
      <c r="U259" s="49">
        <v>47.798116666666665</v>
      </c>
      <c r="V259" s="49">
        <v>-122.8496</v>
      </c>
      <c r="W259" t="str">
        <f>VLOOKUP(B259,[1]Plantings!$A$2:$E$285,4,FALSE)</f>
        <v>point?</v>
      </c>
      <c r="X259" s="43" t="str">
        <f>VLOOKUP(B259,[1]Plantings!$A$2:$E$285,5,FALSE)</f>
        <v>retain</v>
      </c>
      <c r="Y259" s="54" t="s">
        <v>9</v>
      </c>
      <c r="Z259" s="55">
        <v>-2.1335999999999999</v>
      </c>
      <c r="AA259" s="9" t="s">
        <v>967</v>
      </c>
      <c r="AB259" s="47">
        <v>2</v>
      </c>
      <c r="AC259">
        <v>2</v>
      </c>
      <c r="AD259">
        <f t="shared" si="36"/>
        <v>4</v>
      </c>
      <c r="AE259">
        <v>4</v>
      </c>
      <c r="AF259" s="46">
        <f t="shared" si="39"/>
        <v>0.3</v>
      </c>
      <c r="AG259" s="47">
        <v>60</v>
      </c>
      <c r="AH259" s="47">
        <v>240</v>
      </c>
      <c r="AI259" s="45">
        <f t="shared" si="34"/>
        <v>60</v>
      </c>
      <c r="AJ259" s="45">
        <f t="shared" si="35"/>
        <v>60</v>
      </c>
      <c r="AK259" s="9" t="s">
        <v>1397</v>
      </c>
    </row>
    <row r="260" spans="1:38" x14ac:dyDescent="0.25">
      <c r="A260" s="9" t="s">
        <v>540</v>
      </c>
      <c r="B260" s="9" t="s">
        <v>1405</v>
      </c>
      <c r="C260" t="str">
        <f>VLOOKUP(B260,[1]Plantings!$A$2:$C$285,2,FALSE)</f>
        <v>QLC_south1</v>
      </c>
      <c r="D260" t="str">
        <f>VLOOKUP(B260,[1]Plantings!$A$2:$C$285,3,FALSE)</f>
        <v>single</v>
      </c>
      <c r="E260" s="9">
        <v>2016</v>
      </c>
      <c r="F260" t="s">
        <v>956</v>
      </c>
      <c r="G260" s="9" t="s">
        <v>7</v>
      </c>
      <c r="H260" s="9" t="s">
        <v>1397</v>
      </c>
      <c r="I260" s="9" t="s">
        <v>1341</v>
      </c>
      <c r="J260" s="9" t="s">
        <v>349</v>
      </c>
      <c r="K260" s="9" t="s">
        <v>978</v>
      </c>
      <c r="L260" s="9" t="s">
        <v>978</v>
      </c>
      <c r="M260" s="18" t="s">
        <v>979</v>
      </c>
      <c r="N260" s="9" t="s">
        <v>980</v>
      </c>
      <c r="O260" s="9" t="s">
        <v>963</v>
      </c>
      <c r="P260" s="9" t="s">
        <v>981</v>
      </c>
      <c r="Q260" s="9"/>
      <c r="R260" s="9" t="s">
        <v>966</v>
      </c>
      <c r="S260" s="9" t="s">
        <v>966</v>
      </c>
      <c r="T260" s="3">
        <v>42551</v>
      </c>
      <c r="U260" s="201">
        <v>47.79665</v>
      </c>
      <c r="V260" s="201">
        <v>-122.8501333</v>
      </c>
      <c r="W260" t="str">
        <f>VLOOKUP(B260,[1]Plantings!$A$2:$E$285,4,FALSE)</f>
        <v>point?</v>
      </c>
      <c r="X260" s="43" t="str">
        <f>VLOOKUP(B260,[1]Plantings!$A$2:$E$285,5,FALSE)</f>
        <v>retain</v>
      </c>
      <c r="Y260" s="54" t="s">
        <v>9</v>
      </c>
      <c r="Z260" s="55">
        <v>-1.1582399999999999</v>
      </c>
      <c r="AA260" s="9" t="s">
        <v>967</v>
      </c>
      <c r="AB260" s="47">
        <v>2</v>
      </c>
      <c r="AC260">
        <v>2</v>
      </c>
      <c r="AD260">
        <f t="shared" si="36"/>
        <v>4</v>
      </c>
      <c r="AE260">
        <v>4</v>
      </c>
      <c r="AF260" s="46">
        <f t="shared" si="39"/>
        <v>0.3</v>
      </c>
      <c r="AG260" s="47">
        <v>60</v>
      </c>
      <c r="AH260" s="47">
        <v>240</v>
      </c>
      <c r="AI260" s="45">
        <f t="shared" si="34"/>
        <v>60</v>
      </c>
      <c r="AJ260" s="45">
        <f t="shared" si="35"/>
        <v>60</v>
      </c>
      <c r="AK260" s="9" t="s">
        <v>1397</v>
      </c>
    </row>
    <row r="261" spans="1:38" x14ac:dyDescent="0.25">
      <c r="A261" s="9" t="s">
        <v>540</v>
      </c>
      <c r="B261" s="9" t="s">
        <v>1406</v>
      </c>
      <c r="C261" t="str">
        <f>VLOOKUP(B261,[1]Plantings!$A$2:$C$285,2,FALSE)</f>
        <v>QLC_south2</v>
      </c>
      <c r="D261" t="str">
        <f>VLOOKUP(B261,[1]Plantings!$A$2:$C$285,3,FALSE)</f>
        <v>single</v>
      </c>
      <c r="E261" s="9">
        <v>2016</v>
      </c>
      <c r="F261" t="s">
        <v>956</v>
      </c>
      <c r="G261" s="9" t="s">
        <v>7</v>
      </c>
      <c r="H261" s="9" t="s">
        <v>1397</v>
      </c>
      <c r="I261" s="9" t="s">
        <v>1341</v>
      </c>
      <c r="J261" s="9" t="s">
        <v>349</v>
      </c>
      <c r="K261" s="9" t="s">
        <v>978</v>
      </c>
      <c r="L261" s="9" t="s">
        <v>978</v>
      </c>
      <c r="M261" s="18" t="s">
        <v>979</v>
      </c>
      <c r="N261" s="9" t="s">
        <v>980</v>
      </c>
      <c r="O261" s="9" t="s">
        <v>963</v>
      </c>
      <c r="P261" s="9" t="s">
        <v>981</v>
      </c>
      <c r="Q261" s="9"/>
      <c r="R261" s="9" t="s">
        <v>966</v>
      </c>
      <c r="S261" s="9" t="s">
        <v>966</v>
      </c>
      <c r="T261" s="3">
        <v>42551</v>
      </c>
      <c r="U261" s="201">
        <v>47.79668333</v>
      </c>
      <c r="V261" s="201">
        <v>-122.8502</v>
      </c>
      <c r="W261" t="str">
        <f>VLOOKUP(B261,[1]Plantings!$A$2:$E$285,4,FALSE)</f>
        <v>point?</v>
      </c>
      <c r="X261" s="43" t="str">
        <f>VLOOKUP(B261,[1]Plantings!$A$2:$E$285,5,FALSE)</f>
        <v>retain</v>
      </c>
      <c r="Y261" s="54" t="s">
        <v>9</v>
      </c>
      <c r="Z261" s="55">
        <v>-1.4630399999999999</v>
      </c>
      <c r="AA261" s="9" t="s">
        <v>967</v>
      </c>
      <c r="AB261" s="47">
        <v>2</v>
      </c>
      <c r="AC261">
        <v>2</v>
      </c>
      <c r="AD261">
        <f t="shared" si="36"/>
        <v>4</v>
      </c>
      <c r="AE261">
        <v>4</v>
      </c>
      <c r="AF261" s="46">
        <f t="shared" si="39"/>
        <v>0.3</v>
      </c>
      <c r="AG261" s="47">
        <v>60</v>
      </c>
      <c r="AH261" s="47">
        <v>240</v>
      </c>
      <c r="AI261" s="45">
        <f t="shared" si="34"/>
        <v>60</v>
      </c>
      <c r="AJ261" s="45">
        <f t="shared" si="35"/>
        <v>60</v>
      </c>
      <c r="AK261" s="9" t="s">
        <v>1397</v>
      </c>
    </row>
    <row r="262" spans="1:38" x14ac:dyDescent="0.25">
      <c r="A262" s="9" t="s">
        <v>540</v>
      </c>
      <c r="B262" s="9" t="s">
        <v>1407</v>
      </c>
      <c r="C262" t="str">
        <f>VLOOKUP(B262,[1]Plantings!$A$2:$C$285,2,FALSE)</f>
        <v>QLC_south3</v>
      </c>
      <c r="D262" t="str">
        <f>VLOOKUP(B262,[1]Plantings!$A$2:$C$285,3,FALSE)</f>
        <v>single</v>
      </c>
      <c r="E262" s="9">
        <v>2016</v>
      </c>
      <c r="F262" t="s">
        <v>956</v>
      </c>
      <c r="G262" s="9" t="s">
        <v>7</v>
      </c>
      <c r="H262" s="9" t="s">
        <v>1397</v>
      </c>
      <c r="I262" s="9" t="s">
        <v>1341</v>
      </c>
      <c r="J262" s="9" t="s">
        <v>349</v>
      </c>
      <c r="K262" s="9" t="s">
        <v>978</v>
      </c>
      <c r="L262" s="9" t="s">
        <v>978</v>
      </c>
      <c r="M262" s="18" t="s">
        <v>979</v>
      </c>
      <c r="N262" s="9" t="s">
        <v>980</v>
      </c>
      <c r="O262" s="9" t="s">
        <v>963</v>
      </c>
      <c r="P262" s="9" t="s">
        <v>981</v>
      </c>
      <c r="Q262" s="9"/>
      <c r="R262" s="9" t="s">
        <v>966</v>
      </c>
      <c r="S262" s="9" t="s">
        <v>966</v>
      </c>
      <c r="T262" s="3">
        <v>42551</v>
      </c>
      <c r="U262" s="201">
        <v>47.79668333</v>
      </c>
      <c r="V262" s="201">
        <v>-122.8502333</v>
      </c>
      <c r="W262" t="str">
        <f>VLOOKUP(B262,[1]Plantings!$A$2:$E$285,4,FALSE)</f>
        <v>point?</v>
      </c>
      <c r="X262" s="43" t="str">
        <f>VLOOKUP(B262,[1]Plantings!$A$2:$E$285,5,FALSE)</f>
        <v>retain</v>
      </c>
      <c r="Y262" s="54" t="s">
        <v>9</v>
      </c>
      <c r="Z262" s="55">
        <v>-2.0726399999999998</v>
      </c>
      <c r="AA262" s="9" t="s">
        <v>967</v>
      </c>
      <c r="AB262" s="47">
        <v>2</v>
      </c>
      <c r="AC262">
        <v>2</v>
      </c>
      <c r="AD262">
        <f t="shared" si="36"/>
        <v>4</v>
      </c>
      <c r="AE262">
        <v>4</v>
      </c>
      <c r="AF262" s="46">
        <f t="shared" si="39"/>
        <v>0.3</v>
      </c>
      <c r="AG262" s="47">
        <v>60</v>
      </c>
      <c r="AH262" s="47">
        <v>240</v>
      </c>
      <c r="AI262" s="45">
        <f t="shared" si="34"/>
        <v>60</v>
      </c>
      <c r="AJ262" s="45">
        <f t="shared" si="35"/>
        <v>60</v>
      </c>
      <c r="AK262" s="9" t="s">
        <v>1397</v>
      </c>
    </row>
    <row r="263" spans="1:38" x14ac:dyDescent="0.25">
      <c r="A263" t="s">
        <v>1408</v>
      </c>
      <c r="B263" t="s">
        <v>1409</v>
      </c>
      <c r="C263" t="str">
        <f>VLOOKUP(B263,[1]Plantings!$A$2:$C$285,2,FALSE)</f>
        <v>SHB_1</v>
      </c>
      <c r="D263" t="str">
        <f>VLOOKUP(B263,[1]Plantings!$A$2:$C$285,3,FALSE)</f>
        <v>single</v>
      </c>
      <c r="E263">
        <v>2023</v>
      </c>
      <c r="G263" t="s">
        <v>7</v>
      </c>
      <c r="H263" t="s">
        <v>1410</v>
      </c>
      <c r="I263" t="s">
        <v>1341</v>
      </c>
      <c r="R263" t="s">
        <v>966</v>
      </c>
      <c r="S263" t="s">
        <v>966</v>
      </c>
      <c r="T263" s="59">
        <v>45081</v>
      </c>
      <c r="U263" s="201">
        <v>47.866653999999997</v>
      </c>
      <c r="V263" s="201">
        <v>-122.67272</v>
      </c>
      <c r="W263" t="str">
        <f>VLOOKUP(B263,[1]Plantings!$A$2:$E$285,4,FALSE)</f>
        <v>point</v>
      </c>
      <c r="X263" s="43" t="str">
        <f>VLOOKUP(B263,[1]Plantings!$A$2:$E$285,5,FALSE)</f>
        <v>retain</v>
      </c>
      <c r="Y263" s="48" t="s">
        <v>9</v>
      </c>
      <c r="Z263" s="55">
        <v>-0.5</v>
      </c>
      <c r="AA263" s="45" t="s">
        <v>982</v>
      </c>
      <c r="AD263">
        <f t="shared" si="36"/>
        <v>0</v>
      </c>
      <c r="AE263">
        <f>AG263*0.25</f>
        <v>2.25</v>
      </c>
      <c r="AF263" s="46">
        <f>IF(AA263="staple",AG263*0.005,IF(AA263="rebar",AG263*0.025,IF(AA263="burlap",AG263*0.0625,IF(AA263="washer",AG263*0.0025,IF(AA263="pucks",AG263*0.00785,IF(AA263="turf",AG263*0.01,IF(AA263="TERFS",AG263*0.25,IF(AA263="",""))))))))</f>
        <v>0.22500000000000001</v>
      </c>
      <c r="AG263" s="47">
        <v>9</v>
      </c>
      <c r="AI263" s="45" t="str">
        <f t="shared" si="34"/>
        <v/>
      </c>
      <c r="AJ263" s="45">
        <f t="shared" si="35"/>
        <v>0</v>
      </c>
      <c r="AK263" t="s">
        <v>1411</v>
      </c>
    </row>
    <row r="264" spans="1:38" x14ac:dyDescent="0.25">
      <c r="A264" t="s">
        <v>497</v>
      </c>
      <c r="B264" s="9" t="s">
        <v>1412</v>
      </c>
      <c r="C264" t="str">
        <f>VLOOKUP(B264,[1]Plantings!$A$2:$C$285,2,FALSE)</f>
        <v>SKG_1</v>
      </c>
      <c r="D264" t="str">
        <f>VLOOKUP(B264,[1]Plantings!$A$2:$C$285,3,FALSE)</f>
        <v>single</v>
      </c>
      <c r="E264" s="9">
        <v>2016</v>
      </c>
      <c r="F264" t="s">
        <v>1413</v>
      </c>
      <c r="G264" s="9" t="s">
        <v>7</v>
      </c>
      <c r="H264" s="9" t="s">
        <v>1414</v>
      </c>
      <c r="I264" s="9" t="s">
        <v>1415</v>
      </c>
      <c r="J264" s="9" t="s">
        <v>349</v>
      </c>
      <c r="K264" s="9" t="s">
        <v>978</v>
      </c>
      <c r="L264" s="9" t="s">
        <v>978</v>
      </c>
      <c r="M264" s="18" t="s">
        <v>979</v>
      </c>
      <c r="N264" s="9" t="s">
        <v>980</v>
      </c>
      <c r="O264" s="9" t="s">
        <v>963</v>
      </c>
      <c r="P264" s="9" t="s">
        <v>981</v>
      </c>
      <c r="Q264" s="9"/>
      <c r="R264" s="9" t="s">
        <v>966</v>
      </c>
      <c r="S264" s="9" t="s">
        <v>966</v>
      </c>
      <c r="T264" s="42">
        <v>42621</v>
      </c>
      <c r="U264" s="207">
        <v>48.347106666666669</v>
      </c>
      <c r="V264" s="207">
        <v>-122.54136666666666</v>
      </c>
      <c r="W264" t="str">
        <f>VLOOKUP(B264,[1]Plantings!$A$2:$E$285,4,FALSE)</f>
        <v>point</v>
      </c>
      <c r="X264" s="43" t="str">
        <f>VLOOKUP(B264,[1]Plantings!$A$2:$E$285,5,FALSE)</f>
        <v>retain</v>
      </c>
      <c r="Y264" s="48" t="s">
        <v>9</v>
      </c>
      <c r="Z264" s="44">
        <v>-0.70104000000000022</v>
      </c>
      <c r="AA264" t="s">
        <v>982</v>
      </c>
      <c r="AB264">
        <v>2</v>
      </c>
      <c r="AC264">
        <v>2</v>
      </c>
      <c r="AD264">
        <f t="shared" si="36"/>
        <v>4</v>
      </c>
      <c r="AE264">
        <f>AG264*0.25</f>
        <v>5</v>
      </c>
      <c r="AF264" s="46">
        <f t="shared" ref="AF264:AF276" si="40">IF(AA264="staple",AG264*0.005,IF(AA264="rebar",AG264*0.025,IF(AA264="burlap",AG264*0.0625,IF(AA264="washer",AG264*0.0025,IF(AA264="pucks",AG264*0.00785,IF(AA264="turf",AG264*0.01,IF(AA264="","")))))))</f>
        <v>0.5</v>
      </c>
      <c r="AG264" s="47">
        <v>20</v>
      </c>
      <c r="AH264" s="47">
        <v>500</v>
      </c>
      <c r="AI264" s="45">
        <f t="shared" si="34"/>
        <v>125</v>
      </c>
      <c r="AJ264" s="45">
        <f t="shared" si="35"/>
        <v>100</v>
      </c>
      <c r="AK264" t="s">
        <v>1416</v>
      </c>
      <c r="AL264" s="90" t="s">
        <v>1417</v>
      </c>
    </row>
    <row r="265" spans="1:38" x14ac:dyDescent="0.25">
      <c r="A265" t="s">
        <v>497</v>
      </c>
      <c r="B265" s="9" t="s">
        <v>1418</v>
      </c>
      <c r="C265" t="str">
        <f>VLOOKUP(B265,[1]Plantings!$A$2:$C$285,2,FALSE)</f>
        <v>SKG_2</v>
      </c>
      <c r="D265" t="str">
        <f>VLOOKUP(B265,[1]Plantings!$A$2:$C$285,3,FALSE)</f>
        <v>single</v>
      </c>
      <c r="E265" s="9">
        <v>2016</v>
      </c>
      <c r="F265" t="s">
        <v>1413</v>
      </c>
      <c r="G265" s="9" t="s">
        <v>7</v>
      </c>
      <c r="H265" s="9" t="s">
        <v>1414</v>
      </c>
      <c r="I265" s="9" t="s">
        <v>1415</v>
      </c>
      <c r="J265" s="9" t="s">
        <v>349</v>
      </c>
      <c r="K265" s="9" t="s">
        <v>978</v>
      </c>
      <c r="L265" s="9" t="s">
        <v>978</v>
      </c>
      <c r="M265" s="18" t="s">
        <v>979</v>
      </c>
      <c r="N265" s="9" t="s">
        <v>980</v>
      </c>
      <c r="O265" s="9" t="s">
        <v>963</v>
      </c>
      <c r="P265" s="9" t="s">
        <v>981</v>
      </c>
      <c r="Q265" s="9"/>
      <c r="R265" s="9" t="s">
        <v>966</v>
      </c>
      <c r="S265" s="9" t="s">
        <v>966</v>
      </c>
      <c r="T265" s="42">
        <v>42621</v>
      </c>
      <c r="U265" s="204">
        <v>48.347566666666665</v>
      </c>
      <c r="V265" s="207">
        <v>-122.54205</v>
      </c>
      <c r="W265" t="str">
        <f>VLOOKUP(B265,[1]Plantings!$A$2:$E$285,4,FALSE)</f>
        <v>point</v>
      </c>
      <c r="X265" s="43" t="str">
        <f>VLOOKUP(B265,[1]Plantings!$A$2:$E$285,5,FALSE)</f>
        <v>retain</v>
      </c>
      <c r="Y265" s="48" t="s">
        <v>9</v>
      </c>
      <c r="Z265" s="44">
        <v>-0.70104000000000022</v>
      </c>
      <c r="AA265" t="s">
        <v>982</v>
      </c>
      <c r="AB265">
        <v>2</v>
      </c>
      <c r="AC265">
        <v>2</v>
      </c>
      <c r="AD265">
        <f t="shared" si="36"/>
        <v>4</v>
      </c>
      <c r="AE265">
        <f>AG265*0.25</f>
        <v>5</v>
      </c>
      <c r="AF265" s="46">
        <f t="shared" si="40"/>
        <v>0.5</v>
      </c>
      <c r="AG265" s="47">
        <v>20</v>
      </c>
      <c r="AH265" s="47">
        <v>500</v>
      </c>
      <c r="AI265" s="45">
        <f t="shared" si="34"/>
        <v>125</v>
      </c>
      <c r="AJ265" s="45">
        <f t="shared" si="35"/>
        <v>100</v>
      </c>
      <c r="AK265" t="s">
        <v>1416</v>
      </c>
      <c r="AL265" s="90" t="s">
        <v>1419</v>
      </c>
    </row>
    <row r="266" spans="1:38" x14ac:dyDescent="0.25">
      <c r="A266" t="s">
        <v>497</v>
      </c>
      <c r="B266" s="9" t="s">
        <v>1420</v>
      </c>
      <c r="C266" t="str">
        <f>VLOOKUP(B266,[1]Plantings!$A$2:$C$285,2,FALSE)</f>
        <v>SKG_5</v>
      </c>
      <c r="D266" t="str">
        <f>VLOOKUP(B266,[1]Plantings!$A$2:$C$285,3,FALSE)</f>
        <v>single</v>
      </c>
      <c r="E266" s="9">
        <v>2016</v>
      </c>
      <c r="F266" t="s">
        <v>1413</v>
      </c>
      <c r="G266" s="9" t="s">
        <v>7</v>
      </c>
      <c r="H266" s="9" t="s">
        <v>1414</v>
      </c>
      <c r="I266" s="9" t="s">
        <v>1415</v>
      </c>
      <c r="J266" s="9" t="s">
        <v>349</v>
      </c>
      <c r="K266" s="9" t="s">
        <v>978</v>
      </c>
      <c r="L266" s="9" t="s">
        <v>978</v>
      </c>
      <c r="M266" s="18" t="s">
        <v>979</v>
      </c>
      <c r="N266" s="9" t="s">
        <v>980</v>
      </c>
      <c r="O266" s="9" t="s">
        <v>963</v>
      </c>
      <c r="P266" s="9" t="s">
        <v>981</v>
      </c>
      <c r="Q266" s="9"/>
      <c r="R266" s="9" t="s">
        <v>966</v>
      </c>
      <c r="S266" s="9" t="s">
        <v>966</v>
      </c>
      <c r="T266" s="42">
        <v>42622</v>
      </c>
      <c r="U266" s="204">
        <v>48.348199999999999</v>
      </c>
      <c r="V266" s="207">
        <v>-122.54325</v>
      </c>
      <c r="W266" t="str">
        <f>VLOOKUP(B266,[1]Plantings!$A$2:$E$285,4,FALSE)</f>
        <v>point</v>
      </c>
      <c r="X266" s="43" t="str">
        <f>VLOOKUP(B266,[1]Plantings!$A$2:$E$285,5,FALSE)</f>
        <v>retain</v>
      </c>
      <c r="Y266" s="48" t="s">
        <v>9</v>
      </c>
      <c r="Z266" s="44">
        <v>-0.4267200000000001</v>
      </c>
      <c r="AA266" t="s">
        <v>982</v>
      </c>
      <c r="AB266">
        <v>1.5</v>
      </c>
      <c r="AC266">
        <v>2</v>
      </c>
      <c r="AD266">
        <f t="shared" si="36"/>
        <v>3</v>
      </c>
      <c r="AE266">
        <f>AG266*0.25</f>
        <v>4</v>
      </c>
      <c r="AF266" s="46">
        <f t="shared" si="40"/>
        <v>0.4</v>
      </c>
      <c r="AG266" s="47">
        <v>16</v>
      </c>
      <c r="AH266" s="47">
        <v>400</v>
      </c>
      <c r="AI266" s="45">
        <f t="shared" si="34"/>
        <v>133.33333333333334</v>
      </c>
      <c r="AJ266" s="45">
        <f t="shared" si="35"/>
        <v>100</v>
      </c>
      <c r="AK266" t="s">
        <v>1416</v>
      </c>
      <c r="AL266" s="90" t="s">
        <v>1421</v>
      </c>
    </row>
    <row r="267" spans="1:38" x14ac:dyDescent="0.25">
      <c r="A267" t="s">
        <v>497</v>
      </c>
      <c r="B267" s="9" t="s">
        <v>1422</v>
      </c>
      <c r="C267" t="str">
        <f>VLOOKUP(B267,[1]Plantings!$A$2:$C$285,2,FALSE)</f>
        <v>SKG_6</v>
      </c>
      <c r="D267" t="str">
        <f>VLOOKUP(B267,[1]Plantings!$A$2:$C$285,3,FALSE)</f>
        <v>single</v>
      </c>
      <c r="E267" s="9">
        <v>2016</v>
      </c>
      <c r="F267" t="s">
        <v>1413</v>
      </c>
      <c r="G267" s="9" t="s">
        <v>7</v>
      </c>
      <c r="H267" s="9" t="s">
        <v>1414</v>
      </c>
      <c r="I267" s="9" t="s">
        <v>1415</v>
      </c>
      <c r="J267" s="9" t="s">
        <v>349</v>
      </c>
      <c r="K267" s="9" t="s">
        <v>978</v>
      </c>
      <c r="L267" s="9" t="s">
        <v>978</v>
      </c>
      <c r="M267" s="18" t="s">
        <v>979</v>
      </c>
      <c r="N267" s="9" t="s">
        <v>980</v>
      </c>
      <c r="O267" s="9" t="s">
        <v>963</v>
      </c>
      <c r="P267" s="9" t="s">
        <v>981</v>
      </c>
      <c r="Q267" s="9"/>
      <c r="R267" s="9" t="s">
        <v>966</v>
      </c>
      <c r="S267" s="9" t="s">
        <v>966</v>
      </c>
      <c r="T267" s="42">
        <v>42622</v>
      </c>
      <c r="U267" s="204">
        <v>48.348199999999999</v>
      </c>
      <c r="V267" s="207">
        <v>-122.54381666666667</v>
      </c>
      <c r="W267" t="str">
        <f>VLOOKUP(B267,[1]Plantings!$A$2:$E$285,4,FALSE)</f>
        <v>point</v>
      </c>
      <c r="X267" s="43" t="str">
        <f>VLOOKUP(B267,[1]Plantings!$A$2:$E$285,5,FALSE)</f>
        <v>retain</v>
      </c>
      <c r="Y267" s="48" t="s">
        <v>9</v>
      </c>
      <c r="Z267" s="44">
        <v>-0.51816000000000006</v>
      </c>
      <c r="AA267" t="s">
        <v>982</v>
      </c>
      <c r="AB267">
        <v>1.5</v>
      </c>
      <c r="AC267">
        <v>2</v>
      </c>
      <c r="AD267">
        <f t="shared" si="36"/>
        <v>3</v>
      </c>
      <c r="AE267">
        <f>AG267*0.25</f>
        <v>4</v>
      </c>
      <c r="AF267" s="46">
        <f t="shared" si="40"/>
        <v>0.4</v>
      </c>
      <c r="AG267" s="47">
        <v>16</v>
      </c>
      <c r="AH267" s="47">
        <v>400</v>
      </c>
      <c r="AI267" s="45">
        <f t="shared" si="34"/>
        <v>133.33333333333334</v>
      </c>
      <c r="AJ267" s="45">
        <f t="shared" si="35"/>
        <v>100</v>
      </c>
      <c r="AK267" t="s">
        <v>1416</v>
      </c>
      <c r="AL267" s="90" t="s">
        <v>1421</v>
      </c>
    </row>
    <row r="268" spans="1:38" x14ac:dyDescent="0.25">
      <c r="A268" t="s">
        <v>1423</v>
      </c>
      <c r="B268" t="s">
        <v>1424</v>
      </c>
      <c r="C268" t="str">
        <f>VLOOKUP(B268,[1]Plantings!$A$2:$C$285,2,FALSE)</f>
        <v>STI</v>
      </c>
      <c r="D268" t="str">
        <f>VLOOKUP(B268,[1]Plantings!$A$2:$C$285,3,FALSE)</f>
        <v>single</v>
      </c>
      <c r="E268">
        <v>2015</v>
      </c>
      <c r="G268" t="s">
        <v>7</v>
      </c>
      <c r="H268" t="s">
        <v>301</v>
      </c>
      <c r="I268" t="s">
        <v>957</v>
      </c>
      <c r="J268" t="s">
        <v>123</v>
      </c>
      <c r="K268" t="s">
        <v>971</v>
      </c>
      <c r="L268" t="s">
        <v>972</v>
      </c>
      <c r="O268" t="s">
        <v>963</v>
      </c>
      <c r="P268" t="s">
        <v>973</v>
      </c>
      <c r="Q268" t="s">
        <v>974</v>
      </c>
      <c r="R268" t="s">
        <v>966</v>
      </c>
      <c r="S268" t="s">
        <v>966</v>
      </c>
      <c r="T268" s="42">
        <v>42075</v>
      </c>
      <c r="U268" s="49">
        <v>47.320098000000002</v>
      </c>
      <c r="V268" s="205">
        <v>-122.831565</v>
      </c>
      <c r="W268" t="str">
        <f>VLOOKUP(B268,[1]Plantings!$A$2:$E$285,4,FALSE)</f>
        <v>point</v>
      </c>
      <c r="X268" s="43" t="str">
        <f>VLOOKUP(B268,[1]Plantings!$A$2:$E$285,5,FALSE)</f>
        <v>retain</v>
      </c>
      <c r="Y268" s="48" t="s">
        <v>9</v>
      </c>
      <c r="Z268" s="44">
        <v>-1.0668</v>
      </c>
      <c r="AA268" s="70" t="s">
        <v>967</v>
      </c>
      <c r="AB268">
        <v>5</v>
      </c>
      <c r="AC268">
        <v>5</v>
      </c>
      <c r="AD268">
        <f t="shared" si="36"/>
        <v>25</v>
      </c>
      <c r="AE268">
        <v>25</v>
      </c>
      <c r="AF268" s="46">
        <f t="shared" si="40"/>
        <v>0.625</v>
      </c>
      <c r="AG268" s="47">
        <f>AH268/4</f>
        <v>125</v>
      </c>
      <c r="AH268" s="47">
        <v>500</v>
      </c>
      <c r="AI268" s="45">
        <f t="shared" si="34"/>
        <v>20</v>
      </c>
      <c r="AJ268" s="45">
        <f t="shared" si="35"/>
        <v>20</v>
      </c>
      <c r="AK268" t="s">
        <v>1093</v>
      </c>
      <c r="AL268" s="8" t="s">
        <v>1425</v>
      </c>
    </row>
    <row r="269" spans="1:38" x14ac:dyDescent="0.25">
      <c r="A269" t="s">
        <v>1426</v>
      </c>
      <c r="B269" t="s">
        <v>1427</v>
      </c>
      <c r="C269" t="str">
        <f>VLOOKUP(B269,[1]Plantings!$A$2:$C$285,2,FALSE)</f>
        <v>TAY_L1</v>
      </c>
      <c r="D269" t="str">
        <f>VLOOKUP(B269,[1]Plantings!$A$2:$C$285,3,FALSE)</f>
        <v>single</v>
      </c>
      <c r="E269">
        <v>2016</v>
      </c>
      <c r="G269" t="s">
        <v>987</v>
      </c>
      <c r="H269" t="s">
        <v>301</v>
      </c>
      <c r="I269" t="s">
        <v>957</v>
      </c>
      <c r="J269" t="s">
        <v>988</v>
      </c>
      <c r="K269" t="s">
        <v>959</v>
      </c>
      <c r="L269" t="s">
        <v>960</v>
      </c>
      <c r="M269" t="s">
        <v>989</v>
      </c>
      <c r="N269" t="s">
        <v>1051</v>
      </c>
      <c r="O269" t="s">
        <v>991</v>
      </c>
      <c r="P269" t="s">
        <v>992</v>
      </c>
      <c r="Q269" t="s">
        <v>993</v>
      </c>
      <c r="R269" t="s">
        <v>966</v>
      </c>
      <c r="S269" t="s">
        <v>966</v>
      </c>
      <c r="T269" s="42">
        <v>42509</v>
      </c>
      <c r="U269" s="43">
        <v>47.183090558333333</v>
      </c>
      <c r="V269" s="43">
        <v>-122.77779399444445</v>
      </c>
      <c r="W269" t="str">
        <f>VLOOKUP(B269,[1]Plantings!$A$2:$E$285,4,FALSE)</f>
        <v>line?</v>
      </c>
      <c r="X269" s="43" t="str">
        <f>VLOOKUP(B269,[1]Plantings!$A$2:$E$285,5,FALSE)</f>
        <v>retain</v>
      </c>
      <c r="Y269" s="48" t="s">
        <v>9</v>
      </c>
      <c r="Z269" s="44">
        <v>-2</v>
      </c>
      <c r="AA269" s="45" t="s">
        <v>1052</v>
      </c>
      <c r="AB269">
        <v>25</v>
      </c>
      <c r="AC269">
        <v>5</v>
      </c>
      <c r="AD269">
        <f t="shared" si="36"/>
        <v>125</v>
      </c>
      <c r="AE269">
        <v>75</v>
      </c>
      <c r="AF269" s="46">
        <f t="shared" si="40"/>
        <v>9.75</v>
      </c>
      <c r="AG269" s="47">
        <v>156</v>
      </c>
      <c r="AH269" s="47">
        <v>780</v>
      </c>
      <c r="AI269" s="45">
        <f t="shared" si="34"/>
        <v>6.24</v>
      </c>
      <c r="AJ269" s="45">
        <f t="shared" si="35"/>
        <v>10.4</v>
      </c>
      <c r="AK269" t="s">
        <v>995</v>
      </c>
      <c r="AL269" s="51" t="s">
        <v>1054</v>
      </c>
    </row>
    <row r="270" spans="1:38" x14ac:dyDescent="0.25">
      <c r="A270" t="s">
        <v>1426</v>
      </c>
      <c r="B270" t="s">
        <v>1428</v>
      </c>
      <c r="C270" t="str">
        <f>VLOOKUP(B270,[1]Plantings!$A$2:$C$285,2,FALSE)</f>
        <v>TAY_L1</v>
      </c>
      <c r="D270" t="str">
        <f>VLOOKUP(B270,[1]Plantings!$A$2:$C$285,3,FALSE)</f>
        <v>single</v>
      </c>
      <c r="E270">
        <v>2016</v>
      </c>
      <c r="G270" t="s">
        <v>987</v>
      </c>
      <c r="H270" t="s">
        <v>301</v>
      </c>
      <c r="I270" t="s">
        <v>957</v>
      </c>
      <c r="J270" t="s">
        <v>988</v>
      </c>
      <c r="K270" t="s">
        <v>959</v>
      </c>
      <c r="L270" t="s">
        <v>960</v>
      </c>
      <c r="M270" t="s">
        <v>989</v>
      </c>
      <c r="N270" t="s">
        <v>1051</v>
      </c>
      <c r="O270" t="s">
        <v>991</v>
      </c>
      <c r="P270" t="s">
        <v>992</v>
      </c>
      <c r="Q270" t="s">
        <v>993</v>
      </c>
      <c r="R270" t="s">
        <v>966</v>
      </c>
      <c r="S270" s="52" t="s">
        <v>998</v>
      </c>
      <c r="T270" s="42">
        <v>42509</v>
      </c>
      <c r="U270" s="50">
        <v>47.182860077777775</v>
      </c>
      <c r="V270" s="43">
        <v>-122.77778232222222</v>
      </c>
      <c r="W270" t="str">
        <f>VLOOKUP(B270,[1]Plantings!$A$2:$E$285,4,FALSE)</f>
        <v>line?</v>
      </c>
      <c r="X270" s="43" t="str">
        <f>VLOOKUP(B270,[1]Plantings!$A$2:$E$285,5,FALSE)</f>
        <v>retain</v>
      </c>
      <c r="Y270" s="48" t="s">
        <v>9</v>
      </c>
      <c r="Z270" s="44"/>
      <c r="AA270" s="45"/>
      <c r="AF270" s="46" t="str">
        <f t="shared" si="40"/>
        <v/>
      </c>
      <c r="AG270" s="47"/>
      <c r="AH270" s="47"/>
      <c r="AI270" s="45" t="str">
        <f t="shared" si="34"/>
        <v/>
      </c>
      <c r="AJ270" s="45" t="str">
        <f t="shared" si="35"/>
        <v/>
      </c>
      <c r="AL270" s="51"/>
    </row>
    <row r="271" spans="1:38" x14ac:dyDescent="0.25">
      <c r="A271" t="s">
        <v>762</v>
      </c>
      <c r="B271" t="s">
        <v>1429</v>
      </c>
      <c r="C271" t="str">
        <f>VLOOKUP(B271,[1]Plantings!$A$2:$C$285,2,FALSE)</f>
        <v>WES_east</v>
      </c>
      <c r="D271" t="str">
        <f>VLOOKUP(B271,[1]Plantings!$A$2:$C$285,3,FALSE)</f>
        <v>single</v>
      </c>
      <c r="E271">
        <v>2013</v>
      </c>
      <c r="F271" t="s">
        <v>956</v>
      </c>
      <c r="G271" t="s">
        <v>7</v>
      </c>
      <c r="H271" t="s">
        <v>762</v>
      </c>
      <c r="I271" t="s">
        <v>1028</v>
      </c>
      <c r="J271" t="s">
        <v>958</v>
      </c>
      <c r="K271" t="s">
        <v>959</v>
      </c>
      <c r="L271" t="s">
        <v>960</v>
      </c>
      <c r="M271" t="s">
        <v>961</v>
      </c>
      <c r="N271" t="s">
        <v>962</v>
      </c>
      <c r="O271" t="s">
        <v>963</v>
      </c>
      <c r="P271" t="s">
        <v>964</v>
      </c>
      <c r="Q271" t="s">
        <v>965</v>
      </c>
      <c r="R271" t="s">
        <v>966</v>
      </c>
      <c r="S271" t="s">
        <v>966</v>
      </c>
      <c r="T271" s="42">
        <v>41439</v>
      </c>
      <c r="U271" s="43">
        <v>48.60178333333333</v>
      </c>
      <c r="V271" s="43">
        <v>-123.13939999999999</v>
      </c>
      <c r="W271" t="str">
        <f>VLOOKUP(B271,[1]Plantings!$A$2:$E$285,4,FALSE)</f>
        <v>point</v>
      </c>
      <c r="X271" s="43" t="str">
        <f>VLOOKUP(B271,[1]Plantings!$A$2:$E$285,5,FALSE)</f>
        <v>retain</v>
      </c>
      <c r="Y271" s="48" t="s">
        <v>9</v>
      </c>
      <c r="Z271" s="44">
        <v>-1.2192000000000001</v>
      </c>
      <c r="AA271" s="45" t="s">
        <v>967</v>
      </c>
      <c r="AB271">
        <v>5</v>
      </c>
      <c r="AC271">
        <v>95</v>
      </c>
      <c r="AD271">
        <f t="shared" ref="AD271:AD283" si="41">AB271*AC271</f>
        <v>475</v>
      </c>
      <c r="AE271">
        <v>25</v>
      </c>
      <c r="AF271" s="46">
        <f t="shared" si="40"/>
        <v>0.56000000000000005</v>
      </c>
      <c r="AG271" s="47">
        <f>AH271/4</f>
        <v>112</v>
      </c>
      <c r="AH271" s="47">
        <v>448</v>
      </c>
      <c r="AI271" s="45">
        <f t="shared" si="34"/>
        <v>0.94315789473684208</v>
      </c>
      <c r="AJ271" s="45">
        <f t="shared" si="35"/>
        <v>17.920000000000002</v>
      </c>
      <c r="AK271" t="s">
        <v>1430</v>
      </c>
      <c r="AL271" s="8" t="s">
        <v>1431</v>
      </c>
    </row>
    <row r="272" spans="1:38" x14ac:dyDescent="0.25">
      <c r="A272" t="s">
        <v>762</v>
      </c>
      <c r="B272" t="s">
        <v>1432</v>
      </c>
      <c r="C272" t="str">
        <f>VLOOKUP(B272,[1]Plantings!$A$2:$C$285,2,FALSE)</f>
        <v>WES_west</v>
      </c>
      <c r="D272" t="str">
        <f>VLOOKUP(B272,[1]Plantings!$A$2:$C$285,3,FALSE)</f>
        <v>single</v>
      </c>
      <c r="E272">
        <v>2013</v>
      </c>
      <c r="F272" t="s">
        <v>956</v>
      </c>
      <c r="G272" t="s">
        <v>7</v>
      </c>
      <c r="H272" t="s">
        <v>762</v>
      </c>
      <c r="I272" t="s">
        <v>1028</v>
      </c>
      <c r="J272" t="s">
        <v>958</v>
      </c>
      <c r="K272" t="s">
        <v>959</v>
      </c>
      <c r="L272" t="s">
        <v>960</v>
      </c>
      <c r="M272" t="s">
        <v>961</v>
      </c>
      <c r="N272" t="s">
        <v>962</v>
      </c>
      <c r="O272" t="s">
        <v>963</v>
      </c>
      <c r="P272" t="s">
        <v>964</v>
      </c>
      <c r="Q272" t="s">
        <v>965</v>
      </c>
      <c r="R272" t="s">
        <v>966</v>
      </c>
      <c r="S272" t="s">
        <v>966</v>
      </c>
      <c r="T272" s="42">
        <v>41439</v>
      </c>
      <c r="U272" s="43">
        <v>48.596449999999997</v>
      </c>
      <c r="V272" s="43">
        <v>-123.16086666666666</v>
      </c>
      <c r="W272" t="str">
        <f>VLOOKUP(B272,[1]Plantings!$A$2:$E$285,4,FALSE)</f>
        <v>point</v>
      </c>
      <c r="X272" s="43" t="str">
        <f>VLOOKUP(B272,[1]Plantings!$A$2:$E$285,5,FALSE)</f>
        <v>retain</v>
      </c>
      <c r="Y272" s="48" t="s">
        <v>9</v>
      </c>
      <c r="Z272" s="44">
        <v>-1.524</v>
      </c>
      <c r="AA272" s="45" t="s">
        <v>967</v>
      </c>
      <c r="AB272">
        <v>5</v>
      </c>
      <c r="AC272">
        <v>57</v>
      </c>
      <c r="AD272">
        <f t="shared" si="41"/>
        <v>285</v>
      </c>
      <c r="AE272">
        <v>25</v>
      </c>
      <c r="AF272" s="46">
        <f t="shared" si="40"/>
        <v>0.59</v>
      </c>
      <c r="AG272" s="47">
        <f>AH272/4</f>
        <v>118</v>
      </c>
      <c r="AH272" s="47">
        <v>472</v>
      </c>
      <c r="AI272" s="45">
        <f t="shared" si="34"/>
        <v>1.656140350877193</v>
      </c>
      <c r="AJ272" s="45">
        <f t="shared" si="35"/>
        <v>18.88</v>
      </c>
      <c r="AK272" t="s">
        <v>1430</v>
      </c>
      <c r="AL272" s="8" t="s">
        <v>1433</v>
      </c>
    </row>
    <row r="273" spans="1:38" x14ac:dyDescent="0.25">
      <c r="A273" t="s">
        <v>762</v>
      </c>
      <c r="B273" s="9" t="s">
        <v>1434</v>
      </c>
      <c r="C273" t="str">
        <f>VLOOKUP(B273,[1]Plantings!$A$2:$C$285,2,FALSE)</f>
        <v>WES_A</v>
      </c>
      <c r="D273" t="str">
        <f>VLOOKUP(B273,[1]Plantings!$A$2:$C$285,3,FALSE)</f>
        <v>single</v>
      </c>
      <c r="E273" s="9">
        <v>2017</v>
      </c>
      <c r="F273" t="s">
        <v>956</v>
      </c>
      <c r="G273" s="9" t="s">
        <v>7</v>
      </c>
      <c r="H273" s="9" t="s">
        <v>762</v>
      </c>
      <c r="I273" s="9" t="s">
        <v>1028</v>
      </c>
      <c r="J273" s="9" t="s">
        <v>1014</v>
      </c>
      <c r="K273" s="9" t="s">
        <v>562</v>
      </c>
      <c r="L273" s="9" t="s">
        <v>562</v>
      </c>
      <c r="M273" s="9" t="s">
        <v>1040</v>
      </c>
      <c r="N273" s="9"/>
      <c r="O273" s="9" t="s">
        <v>963</v>
      </c>
      <c r="P273" s="9" t="s">
        <v>1041</v>
      </c>
      <c r="Q273" s="9"/>
      <c r="R273" s="9" t="s">
        <v>966</v>
      </c>
      <c r="S273" s="9" t="s">
        <v>966</v>
      </c>
      <c r="T273" s="42">
        <v>42887</v>
      </c>
      <c r="U273" s="204">
        <v>48.595866666666666</v>
      </c>
      <c r="V273" s="204">
        <v>-123.16155000000001</v>
      </c>
      <c r="W273" t="str">
        <f>VLOOKUP(B273,[1]Plantings!$A$2:$E$285,4,FALSE)</f>
        <v>point</v>
      </c>
      <c r="X273" s="43" t="str">
        <f>VLOOKUP(B273,[1]Plantings!$A$2:$E$285,5,FALSE)</f>
        <v>retain</v>
      </c>
      <c r="Y273" s="48" t="s">
        <v>9</v>
      </c>
      <c r="Z273" s="44">
        <v>-1.4020799999999998</v>
      </c>
      <c r="AA273" t="s">
        <v>982</v>
      </c>
      <c r="AB273">
        <v>2.5</v>
      </c>
      <c r="AC273">
        <v>2.5</v>
      </c>
      <c r="AD273">
        <f t="shared" si="41"/>
        <v>6.25</v>
      </c>
      <c r="AE273">
        <f t="shared" ref="AE273:AE281" si="42">AG273*0.25</f>
        <v>5</v>
      </c>
      <c r="AF273" s="46">
        <f t="shared" si="40"/>
        <v>0.5</v>
      </c>
      <c r="AG273" s="47">
        <f>AH273/25</f>
        <v>20</v>
      </c>
      <c r="AH273" s="47">
        <v>500</v>
      </c>
      <c r="AI273" s="45">
        <f t="shared" si="34"/>
        <v>80</v>
      </c>
      <c r="AJ273" s="45">
        <f t="shared" si="35"/>
        <v>100</v>
      </c>
      <c r="AK273" t="s">
        <v>1435</v>
      </c>
      <c r="AL273" s="51"/>
    </row>
    <row r="274" spans="1:38" x14ac:dyDescent="0.25">
      <c r="A274" t="s">
        <v>762</v>
      </c>
      <c r="B274" s="9" t="s">
        <v>1436</v>
      </c>
      <c r="C274" t="str">
        <f>VLOOKUP(B274,[1]Plantings!$A$2:$C$285,2,FALSE)</f>
        <v>WES_B</v>
      </c>
      <c r="D274" t="str">
        <f>VLOOKUP(B274,[1]Plantings!$A$2:$C$285,3,FALSE)</f>
        <v>single</v>
      </c>
      <c r="E274" s="9">
        <v>2017</v>
      </c>
      <c r="F274" t="s">
        <v>956</v>
      </c>
      <c r="G274" s="9" t="s">
        <v>7</v>
      </c>
      <c r="H274" s="9" t="s">
        <v>762</v>
      </c>
      <c r="I274" s="9" t="s">
        <v>1028</v>
      </c>
      <c r="J274" s="9" t="s">
        <v>1014</v>
      </c>
      <c r="K274" s="9" t="s">
        <v>562</v>
      </c>
      <c r="L274" s="9" t="s">
        <v>562</v>
      </c>
      <c r="M274" s="9" t="s">
        <v>1040</v>
      </c>
      <c r="N274" s="9"/>
      <c r="O274" s="9" t="s">
        <v>963</v>
      </c>
      <c r="P274" s="9" t="s">
        <v>1041</v>
      </c>
      <c r="Q274" s="9"/>
      <c r="R274" s="9" t="s">
        <v>966</v>
      </c>
      <c r="S274" s="9" t="s">
        <v>966</v>
      </c>
      <c r="T274" s="42">
        <v>42887</v>
      </c>
      <c r="U274" s="204">
        <v>48.596449999999997</v>
      </c>
      <c r="V274" s="204">
        <v>-123.16128333333333</v>
      </c>
      <c r="W274" t="str">
        <f>VLOOKUP(B274,[1]Plantings!$A$2:$E$285,4,FALSE)</f>
        <v>point</v>
      </c>
      <c r="X274" s="43" t="str">
        <f>VLOOKUP(B274,[1]Plantings!$A$2:$E$285,5,FALSE)</f>
        <v>retain</v>
      </c>
      <c r="Y274" s="48" t="s">
        <v>9</v>
      </c>
      <c r="Z274" s="44">
        <v>-1.4630399999999999</v>
      </c>
      <c r="AA274" t="s">
        <v>982</v>
      </c>
      <c r="AB274">
        <v>2.5</v>
      </c>
      <c r="AC274">
        <v>2.5</v>
      </c>
      <c r="AD274">
        <f t="shared" si="41"/>
        <v>6.25</v>
      </c>
      <c r="AE274">
        <f t="shared" si="42"/>
        <v>5</v>
      </c>
      <c r="AF274" s="46">
        <f t="shared" si="40"/>
        <v>0.5</v>
      </c>
      <c r="AG274" s="47">
        <f>AH274/25</f>
        <v>20</v>
      </c>
      <c r="AH274" s="47">
        <v>500</v>
      </c>
      <c r="AI274" s="45">
        <f t="shared" si="34"/>
        <v>80</v>
      </c>
      <c r="AJ274" s="45">
        <f t="shared" si="35"/>
        <v>100</v>
      </c>
      <c r="AK274" t="s">
        <v>1437</v>
      </c>
      <c r="AL274" s="51"/>
    </row>
    <row r="275" spans="1:38" x14ac:dyDescent="0.25">
      <c r="A275" t="s">
        <v>762</v>
      </c>
      <c r="B275" s="9" t="s">
        <v>1438</v>
      </c>
      <c r="C275" t="str">
        <f>VLOOKUP(B275,[1]Plantings!$A$2:$C$285,2,FALSE)</f>
        <v>WES_C</v>
      </c>
      <c r="D275" t="str">
        <f>VLOOKUP(B275,[1]Plantings!$A$2:$C$285,3,FALSE)</f>
        <v>single</v>
      </c>
      <c r="E275" s="9">
        <v>2017</v>
      </c>
      <c r="F275" t="s">
        <v>956</v>
      </c>
      <c r="G275" s="9" t="s">
        <v>7</v>
      </c>
      <c r="H275" s="9" t="s">
        <v>762</v>
      </c>
      <c r="I275" s="9" t="s">
        <v>1028</v>
      </c>
      <c r="J275" s="9" t="s">
        <v>1014</v>
      </c>
      <c r="K275" s="9" t="s">
        <v>562</v>
      </c>
      <c r="L275" s="9" t="s">
        <v>562</v>
      </c>
      <c r="M275" s="9" t="s">
        <v>1040</v>
      </c>
      <c r="N275" s="9"/>
      <c r="O275" s="9" t="s">
        <v>963</v>
      </c>
      <c r="P275" s="9" t="s">
        <v>1041</v>
      </c>
      <c r="Q275" s="9"/>
      <c r="R275" s="9" t="s">
        <v>966</v>
      </c>
      <c r="S275" s="9" t="s">
        <v>966</v>
      </c>
      <c r="T275" s="42">
        <v>42888</v>
      </c>
      <c r="U275" s="204">
        <v>48.597716666666663</v>
      </c>
      <c r="V275" s="204">
        <v>-123.15998333333333</v>
      </c>
      <c r="W275" t="str">
        <f>VLOOKUP(B275,[1]Plantings!$A$2:$E$285,4,FALSE)</f>
        <v>point</v>
      </c>
      <c r="X275" s="43" t="str">
        <f>VLOOKUP(B275,[1]Plantings!$A$2:$E$285,5,FALSE)</f>
        <v>retain</v>
      </c>
      <c r="Y275" s="48" t="s">
        <v>9</v>
      </c>
      <c r="Z275" s="44">
        <v>-1.4935200000000002</v>
      </c>
      <c r="AA275" t="s">
        <v>982</v>
      </c>
      <c r="AB275">
        <v>2.5</v>
      </c>
      <c r="AC275">
        <v>2.5</v>
      </c>
      <c r="AD275">
        <f t="shared" si="41"/>
        <v>6.25</v>
      </c>
      <c r="AE275">
        <f t="shared" si="42"/>
        <v>4.75</v>
      </c>
      <c r="AF275" s="46">
        <f t="shared" si="40"/>
        <v>0.47500000000000003</v>
      </c>
      <c r="AG275" s="47">
        <f>AH275/25</f>
        <v>19</v>
      </c>
      <c r="AH275" s="47">
        <v>475</v>
      </c>
      <c r="AI275" s="45">
        <f t="shared" si="34"/>
        <v>76</v>
      </c>
      <c r="AJ275" s="45">
        <f t="shared" si="35"/>
        <v>100</v>
      </c>
      <c r="AK275" t="s">
        <v>1439</v>
      </c>
      <c r="AL275" s="51"/>
    </row>
    <row r="276" spans="1:38" x14ac:dyDescent="0.25">
      <c r="A276" t="s">
        <v>762</v>
      </c>
      <c r="B276" s="9" t="s">
        <v>1440</v>
      </c>
      <c r="C276" t="str">
        <f>VLOOKUP(B276,[1]Plantings!$A$2:$C$285,2,FALSE)</f>
        <v>WES_D</v>
      </c>
      <c r="D276" t="str">
        <f>VLOOKUP(B276,[1]Plantings!$A$2:$C$285,3,FALSE)</f>
        <v>single</v>
      </c>
      <c r="E276" s="9">
        <v>2017</v>
      </c>
      <c r="F276" t="s">
        <v>956</v>
      </c>
      <c r="G276" s="9" t="s">
        <v>7</v>
      </c>
      <c r="H276" s="9" t="s">
        <v>762</v>
      </c>
      <c r="I276" s="9" t="s">
        <v>1028</v>
      </c>
      <c r="J276" s="9" t="s">
        <v>1014</v>
      </c>
      <c r="K276" s="9" t="s">
        <v>562</v>
      </c>
      <c r="L276" s="9" t="s">
        <v>562</v>
      </c>
      <c r="M276" s="9" t="s">
        <v>1040</v>
      </c>
      <c r="N276" s="9"/>
      <c r="O276" s="9" t="s">
        <v>963</v>
      </c>
      <c r="P276" s="9" t="s">
        <v>1041</v>
      </c>
      <c r="R276" s="9" t="s">
        <v>966</v>
      </c>
      <c r="S276" s="9" t="s">
        <v>966</v>
      </c>
      <c r="T276" s="42">
        <v>42888</v>
      </c>
      <c r="U276" s="204">
        <v>48.598483333333334</v>
      </c>
      <c r="V276" s="204">
        <v>-123.15683333333334</v>
      </c>
      <c r="W276" t="str">
        <f>VLOOKUP(B276,[1]Plantings!$A$2:$E$285,4,FALSE)</f>
        <v>point</v>
      </c>
      <c r="X276" s="43" t="str">
        <f>VLOOKUP(B276,[1]Plantings!$A$2:$E$285,5,FALSE)</f>
        <v>retain</v>
      </c>
      <c r="Y276" s="48" t="s">
        <v>9</v>
      </c>
      <c r="Z276" s="44">
        <v>-1.524</v>
      </c>
      <c r="AA276" t="s">
        <v>982</v>
      </c>
      <c r="AB276">
        <v>3</v>
      </c>
      <c r="AC276">
        <v>2.5</v>
      </c>
      <c r="AD276">
        <f t="shared" si="41"/>
        <v>7.5</v>
      </c>
      <c r="AE276">
        <f t="shared" si="42"/>
        <v>6.18</v>
      </c>
      <c r="AF276" s="46">
        <f t="shared" si="40"/>
        <v>0.61799999999999999</v>
      </c>
      <c r="AG276" s="47">
        <f>AH276/25</f>
        <v>24.72</v>
      </c>
      <c r="AH276" s="47">
        <v>618</v>
      </c>
      <c r="AI276" s="45">
        <f t="shared" si="34"/>
        <v>82.4</v>
      </c>
      <c r="AJ276" s="45">
        <f t="shared" si="35"/>
        <v>100</v>
      </c>
      <c r="AK276" t="s">
        <v>1033</v>
      </c>
    </row>
    <row r="277" spans="1:38" x14ac:dyDescent="0.25">
      <c r="A277" t="s">
        <v>762</v>
      </c>
      <c r="B277" t="s">
        <v>1441</v>
      </c>
      <c r="C277" t="str">
        <f>VLOOKUP(B277,[1]Plantings!$A$2:$C$285,2,FALSE)</f>
        <v>WES_test_1</v>
      </c>
      <c r="D277" t="str">
        <f>VLOOKUP(B277,[1]Plantings!$A$2:$C$285,3,FALSE)</f>
        <v>single</v>
      </c>
      <c r="E277" s="18">
        <v>2020</v>
      </c>
      <c r="F277" t="s">
        <v>1027</v>
      </c>
      <c r="G277" s="9" t="s">
        <v>987</v>
      </c>
      <c r="H277" s="9" t="s">
        <v>762</v>
      </c>
      <c r="I277" s="9" t="s">
        <v>1028</v>
      </c>
      <c r="J277" s="9" t="s">
        <v>1029</v>
      </c>
      <c r="K277" s="9" t="s">
        <v>971</v>
      </c>
      <c r="L277" s="9" t="s">
        <v>1030</v>
      </c>
      <c r="R277" s="9" t="s">
        <v>966</v>
      </c>
      <c r="S277" s="9" t="s">
        <v>966</v>
      </c>
      <c r="T277" s="59">
        <v>44044</v>
      </c>
      <c r="U277" s="49">
        <v>48.593940000000003</v>
      </c>
      <c r="V277" s="49">
        <v>-123.15505</v>
      </c>
      <c r="W277" t="str">
        <f>VLOOKUP(B277,[1]Plantings!$A$2:$E$285,4,FALSE)</f>
        <v>line</v>
      </c>
      <c r="X277" s="43" t="str">
        <f>VLOOKUP(B277,[1]Plantings!$A$2:$E$285,5,FALSE)</f>
        <v>retain</v>
      </c>
      <c r="Y277" s="48" t="s">
        <v>9</v>
      </c>
      <c r="Z277">
        <v>-1.7</v>
      </c>
      <c r="AA277" s="45" t="s">
        <v>982</v>
      </c>
      <c r="AB277">
        <v>14</v>
      </c>
      <c r="AC277">
        <v>1</v>
      </c>
      <c r="AD277">
        <f t="shared" si="41"/>
        <v>14</v>
      </c>
      <c r="AE277">
        <f t="shared" si="42"/>
        <v>6</v>
      </c>
      <c r="AF277" s="46">
        <v>0.6</v>
      </c>
      <c r="AG277">
        <v>24</v>
      </c>
      <c r="AH277" s="62">
        <v>640</v>
      </c>
      <c r="AI277" s="45">
        <f t="shared" si="34"/>
        <v>45.714285714285715</v>
      </c>
      <c r="AJ277" s="45">
        <f t="shared" si="35"/>
        <v>106.66666666666667</v>
      </c>
      <c r="AK277" t="s">
        <v>942</v>
      </c>
      <c r="AL277" s="8" t="s">
        <v>1442</v>
      </c>
    </row>
    <row r="278" spans="1:38" x14ac:dyDescent="0.25">
      <c r="A278" t="s">
        <v>762</v>
      </c>
      <c r="B278" t="s">
        <v>1443</v>
      </c>
      <c r="C278" t="str">
        <f>VLOOKUP(B278,[1]Plantings!$A$2:$C$285,2,FALSE)</f>
        <v>WES_test_1</v>
      </c>
      <c r="D278" t="str">
        <f>VLOOKUP(B278,[1]Plantings!$A$2:$C$285,3,FALSE)</f>
        <v>single</v>
      </c>
      <c r="E278" s="18">
        <v>2020</v>
      </c>
      <c r="F278" t="s">
        <v>1027</v>
      </c>
      <c r="G278" s="9" t="s">
        <v>987</v>
      </c>
      <c r="H278" s="9" t="s">
        <v>762</v>
      </c>
      <c r="I278" s="9" t="s">
        <v>1028</v>
      </c>
      <c r="J278" s="9" t="s">
        <v>1029</v>
      </c>
      <c r="K278" s="9" t="s">
        <v>971</v>
      </c>
      <c r="L278" s="9" t="s">
        <v>1030</v>
      </c>
      <c r="R278" s="9" t="s">
        <v>966</v>
      </c>
      <c r="S278" s="9" t="s">
        <v>966</v>
      </c>
      <c r="T278" s="59">
        <v>44044</v>
      </c>
      <c r="U278" s="49">
        <v>48.593940000000003</v>
      </c>
      <c r="V278" s="49">
        <v>-123.15505</v>
      </c>
      <c r="W278" t="str">
        <f>VLOOKUP(B278,[1]Plantings!$A$2:$E$285,4,FALSE)</f>
        <v>line</v>
      </c>
      <c r="X278" s="43" t="str">
        <f>VLOOKUP(B278,[1]Plantings!$A$2:$E$285,5,FALSE)</f>
        <v>retain</v>
      </c>
      <c r="Y278" s="48" t="s">
        <v>9</v>
      </c>
      <c r="Z278">
        <v>-1.7</v>
      </c>
      <c r="AA278" s="45" t="s">
        <v>982</v>
      </c>
      <c r="AB278">
        <v>14</v>
      </c>
      <c r="AC278">
        <v>1</v>
      </c>
      <c r="AD278">
        <f t="shared" si="41"/>
        <v>14</v>
      </c>
      <c r="AE278">
        <f t="shared" si="42"/>
        <v>0.75</v>
      </c>
      <c r="AF278">
        <v>7.4999999999999997E-2</v>
      </c>
      <c r="AG278">
        <v>3</v>
      </c>
      <c r="AH278">
        <v>60</v>
      </c>
      <c r="AI278" s="45">
        <f t="shared" si="34"/>
        <v>4.2857142857142856</v>
      </c>
      <c r="AJ278" s="45">
        <f t="shared" si="35"/>
        <v>80</v>
      </c>
      <c r="AK278" t="s">
        <v>1032</v>
      </c>
      <c r="AL278" s="8" t="s">
        <v>1442</v>
      </c>
    </row>
    <row r="279" spans="1:38" x14ac:dyDescent="0.25">
      <c r="A279" t="s">
        <v>762</v>
      </c>
      <c r="B279" t="s">
        <v>1444</v>
      </c>
      <c r="C279" t="str">
        <f>VLOOKUP(B279,[1]Plantings!$A$2:$C$285,2,FALSE)</f>
        <v>WES_test_1</v>
      </c>
      <c r="D279" t="str">
        <f>VLOOKUP(B279,[1]Plantings!$A$2:$C$285,3,FALSE)</f>
        <v>single</v>
      </c>
      <c r="E279" s="18">
        <v>2020</v>
      </c>
      <c r="F279" t="s">
        <v>1027</v>
      </c>
      <c r="G279" s="9" t="s">
        <v>987</v>
      </c>
      <c r="H279" s="9" t="s">
        <v>762</v>
      </c>
      <c r="I279" s="9" t="s">
        <v>1028</v>
      </c>
      <c r="J279" s="9" t="s">
        <v>1029</v>
      </c>
      <c r="K279" s="9" t="s">
        <v>971</v>
      </c>
      <c r="L279" s="9" t="s">
        <v>1030</v>
      </c>
      <c r="R279" s="9" t="s">
        <v>966</v>
      </c>
      <c r="S279" s="9" t="s">
        <v>966</v>
      </c>
      <c r="T279" s="59">
        <v>44044</v>
      </c>
      <c r="U279" s="49">
        <v>48.593940000000003</v>
      </c>
      <c r="V279" s="49">
        <v>-123.15505</v>
      </c>
      <c r="W279" t="str">
        <f>VLOOKUP(B279,[1]Plantings!$A$2:$E$285,4,FALSE)</f>
        <v>line</v>
      </c>
      <c r="X279" s="43" t="str">
        <f>VLOOKUP(B279,[1]Plantings!$A$2:$E$285,5,FALSE)</f>
        <v>retain</v>
      </c>
      <c r="Y279" s="48" t="s">
        <v>9</v>
      </c>
      <c r="Z279">
        <v>-1.7</v>
      </c>
      <c r="AA279" s="45" t="s">
        <v>982</v>
      </c>
      <c r="AB279">
        <v>14</v>
      </c>
      <c r="AC279">
        <v>1</v>
      </c>
      <c r="AD279">
        <f t="shared" si="41"/>
        <v>14</v>
      </c>
      <c r="AE279">
        <f t="shared" si="42"/>
        <v>2.25</v>
      </c>
      <c r="AF279">
        <v>0.22500000000000001</v>
      </c>
      <c r="AG279">
        <v>9</v>
      </c>
      <c r="AH279">
        <v>135</v>
      </c>
      <c r="AI279" s="45">
        <f t="shared" si="34"/>
        <v>9.6428571428571423</v>
      </c>
      <c r="AJ279" s="45">
        <f t="shared" si="35"/>
        <v>60</v>
      </c>
      <c r="AK279" t="s">
        <v>1033</v>
      </c>
      <c r="AL279" s="8" t="s">
        <v>1445</v>
      </c>
    </row>
    <row r="280" spans="1:38" x14ac:dyDescent="0.25">
      <c r="A280" t="s">
        <v>762</v>
      </c>
      <c r="B280" t="s">
        <v>1446</v>
      </c>
      <c r="C280" t="str">
        <f>VLOOKUP(B280,[1]Plantings!$A$2:$C$285,2,FALSE)</f>
        <v>WES_test_1</v>
      </c>
      <c r="D280" t="str">
        <f>VLOOKUP(B280,[1]Plantings!$A$2:$C$285,3,FALSE)</f>
        <v>single</v>
      </c>
      <c r="E280" s="18">
        <v>2020</v>
      </c>
      <c r="F280" t="s">
        <v>1027</v>
      </c>
      <c r="G280" s="9" t="s">
        <v>987</v>
      </c>
      <c r="H280" s="9" t="s">
        <v>762</v>
      </c>
      <c r="I280" s="9" t="s">
        <v>1028</v>
      </c>
      <c r="J280" s="9" t="s">
        <v>1029</v>
      </c>
      <c r="K280" s="9" t="s">
        <v>971</v>
      </c>
      <c r="L280" s="9" t="s">
        <v>1030</v>
      </c>
      <c r="R280" s="9" t="s">
        <v>966</v>
      </c>
      <c r="S280" s="9" t="s">
        <v>966</v>
      </c>
      <c r="T280" s="59">
        <v>44044</v>
      </c>
      <c r="U280" s="49">
        <v>48.593940000000003</v>
      </c>
      <c r="V280" s="49">
        <v>-123.15505</v>
      </c>
      <c r="W280" t="str">
        <f>VLOOKUP(B280,[1]Plantings!$A$2:$E$285,4,FALSE)</f>
        <v>line</v>
      </c>
      <c r="X280" s="43" t="str">
        <f>VLOOKUP(B280,[1]Plantings!$A$2:$E$285,5,FALSE)</f>
        <v>retain</v>
      </c>
      <c r="Y280" s="48" t="s">
        <v>9</v>
      </c>
      <c r="Z280">
        <v>-1.7</v>
      </c>
      <c r="AA280" s="45" t="s">
        <v>982</v>
      </c>
      <c r="AB280">
        <v>14</v>
      </c>
      <c r="AC280">
        <v>1</v>
      </c>
      <c r="AD280">
        <f t="shared" si="41"/>
        <v>14</v>
      </c>
      <c r="AE280">
        <f t="shared" si="42"/>
        <v>3.75</v>
      </c>
      <c r="AF280">
        <v>0.375</v>
      </c>
      <c r="AG280">
        <v>15</v>
      </c>
      <c r="AH280">
        <v>210</v>
      </c>
      <c r="AI280" s="45">
        <f t="shared" ref="AI280:AI289" si="43">IFERROR(AH280/AD280, "")</f>
        <v>15</v>
      </c>
      <c r="AJ280" s="45">
        <f t="shared" ref="AJ280:AJ289" si="44">IFERROR(AH280/AE280, "")</f>
        <v>56</v>
      </c>
      <c r="AK280" t="s">
        <v>1035</v>
      </c>
      <c r="AL280" s="8" t="s">
        <v>1442</v>
      </c>
    </row>
    <row r="281" spans="1:38" x14ac:dyDescent="0.25">
      <c r="A281" t="s">
        <v>762</v>
      </c>
      <c r="B281" t="s">
        <v>1447</v>
      </c>
      <c r="C281" t="str">
        <f>VLOOKUP(B281,[1]Plantings!$A$2:$C$285,2,FALSE)</f>
        <v>WES_test_1</v>
      </c>
      <c r="D281" t="str">
        <f>VLOOKUP(B281,[1]Plantings!$A$2:$C$285,3,FALSE)</f>
        <v>single</v>
      </c>
      <c r="E281" s="18">
        <v>2020</v>
      </c>
      <c r="F281" t="s">
        <v>1027</v>
      </c>
      <c r="G281" s="9" t="s">
        <v>987</v>
      </c>
      <c r="H281" s="9" t="s">
        <v>762</v>
      </c>
      <c r="I281" s="9" t="s">
        <v>1028</v>
      </c>
      <c r="J281" s="9" t="s">
        <v>1029</v>
      </c>
      <c r="K281" s="9" t="s">
        <v>971</v>
      </c>
      <c r="L281" s="9" t="s">
        <v>1030</v>
      </c>
      <c r="R281" s="9" t="s">
        <v>966</v>
      </c>
      <c r="S281" s="9" t="s">
        <v>966</v>
      </c>
      <c r="T281" s="59">
        <v>44044</v>
      </c>
      <c r="U281" s="49">
        <v>48.593940000000003</v>
      </c>
      <c r="V281" s="49">
        <v>-123.15505</v>
      </c>
      <c r="W281" t="str">
        <f>VLOOKUP(B281,[1]Plantings!$A$2:$E$285,4,FALSE)</f>
        <v>line</v>
      </c>
      <c r="X281" s="43" t="str">
        <f>VLOOKUP(B281,[1]Plantings!$A$2:$E$285,5,FALSE)</f>
        <v>retain</v>
      </c>
      <c r="Y281" s="48" t="s">
        <v>9</v>
      </c>
      <c r="Z281">
        <v>-1.7</v>
      </c>
      <c r="AA281" s="45" t="s">
        <v>982</v>
      </c>
      <c r="AB281">
        <v>14</v>
      </c>
      <c r="AC281">
        <v>1</v>
      </c>
      <c r="AD281">
        <f t="shared" si="41"/>
        <v>14</v>
      </c>
      <c r="AE281">
        <f t="shared" si="42"/>
        <v>2.25</v>
      </c>
      <c r="AF281">
        <v>0.22500000000000001</v>
      </c>
      <c r="AG281">
        <v>9</v>
      </c>
      <c r="AH281">
        <v>275</v>
      </c>
      <c r="AI281" s="45">
        <f t="shared" si="43"/>
        <v>19.642857142857142</v>
      </c>
      <c r="AJ281" s="45">
        <f t="shared" si="44"/>
        <v>122.22222222222223</v>
      </c>
      <c r="AK281" t="s">
        <v>1036</v>
      </c>
      <c r="AL281" s="8" t="s">
        <v>1442</v>
      </c>
    </row>
    <row r="282" spans="1:38" x14ac:dyDescent="0.25">
      <c r="A282" t="s">
        <v>1448</v>
      </c>
      <c r="B282" t="s">
        <v>1449</v>
      </c>
      <c r="C282" t="str">
        <f>VLOOKUP(B282,[1]Plantings!$A$2:$C$285,2,FALSE)</f>
        <v>ZAN_1</v>
      </c>
      <c r="D282" t="str">
        <f>VLOOKUP(B282,[1]Plantings!$A$2:$C$285,3,FALSE)</f>
        <v>single</v>
      </c>
      <c r="E282">
        <v>2013</v>
      </c>
      <c r="F282" t="s">
        <v>1450</v>
      </c>
      <c r="G282" t="s">
        <v>7</v>
      </c>
      <c r="H282" t="s">
        <v>1451</v>
      </c>
      <c r="I282" t="s">
        <v>1092</v>
      </c>
      <c r="J282" t="s">
        <v>958</v>
      </c>
      <c r="K282" t="s">
        <v>959</v>
      </c>
      <c r="L282" t="s">
        <v>960</v>
      </c>
      <c r="M282" t="s">
        <v>961</v>
      </c>
      <c r="N282" t="s">
        <v>962</v>
      </c>
      <c r="O282" t="s">
        <v>963</v>
      </c>
      <c r="P282" t="s">
        <v>964</v>
      </c>
      <c r="Q282" t="s">
        <v>965</v>
      </c>
      <c r="R282" t="s">
        <v>966</v>
      </c>
      <c r="S282" t="s">
        <v>966</v>
      </c>
      <c r="T282" s="42">
        <v>41431</v>
      </c>
      <c r="U282" s="43">
        <v>47.14555</v>
      </c>
      <c r="V282" s="43">
        <v>-122.89323333333333</v>
      </c>
      <c r="W282" t="str">
        <f>VLOOKUP(B282,[1]Plantings!$A$2:$E$285,4,FALSE)</f>
        <v>point</v>
      </c>
      <c r="X282" s="43" t="str">
        <f>VLOOKUP(B282,[1]Plantings!$A$2:$E$285,5,FALSE)</f>
        <v>retain</v>
      </c>
      <c r="Y282" s="48" t="s">
        <v>9</v>
      </c>
      <c r="Z282" s="44">
        <v>-1.2192000000000001</v>
      </c>
      <c r="AA282" s="45" t="s">
        <v>967</v>
      </c>
      <c r="AB282">
        <v>5</v>
      </c>
      <c r="AC282">
        <v>9</v>
      </c>
      <c r="AD282">
        <f t="shared" si="41"/>
        <v>45</v>
      </c>
      <c r="AE282">
        <v>45</v>
      </c>
      <c r="AF282" s="46">
        <f>IF(AA282="staple",AG282*0.005,IF(AA282="rebar",AG282*0.025,IF(AA282="burlap",AG282*0.0625,IF(AA282="washer",AG282*0.0025,IF(AA282="pucks",AG282*0.00785,IF(AA282="turf",AG282*0.01,IF(AA282="","")))))))</f>
        <v>1.0900000000000001</v>
      </c>
      <c r="AG282" s="47">
        <f>AH282/4</f>
        <v>218</v>
      </c>
      <c r="AH282" s="47">
        <v>872</v>
      </c>
      <c r="AI282" s="45">
        <f t="shared" si="43"/>
        <v>19.377777777777776</v>
      </c>
      <c r="AJ282" s="45">
        <f t="shared" si="44"/>
        <v>19.377777777777776</v>
      </c>
      <c r="AK282" t="s">
        <v>968</v>
      </c>
    </row>
    <row r="283" spans="1:38" x14ac:dyDescent="0.25">
      <c r="A283" t="s">
        <v>1448</v>
      </c>
      <c r="B283" t="s">
        <v>1452</v>
      </c>
      <c r="C283" t="str">
        <f>VLOOKUP(B283,[1]Plantings!$A$2:$C$285,2,FALSE)</f>
        <v>ZAN_P1</v>
      </c>
      <c r="D283" t="str">
        <f>VLOOKUP(B283,[1]Plantings!$A$2:$C$285,3,FALSE)</f>
        <v>single</v>
      </c>
      <c r="E283">
        <v>2015</v>
      </c>
      <c r="F283" t="s">
        <v>1450</v>
      </c>
      <c r="G283" t="s">
        <v>1003</v>
      </c>
      <c r="H283" t="s">
        <v>1451</v>
      </c>
      <c r="I283" t="s">
        <v>1092</v>
      </c>
      <c r="J283" t="s">
        <v>123</v>
      </c>
      <c r="K283" t="s">
        <v>971</v>
      </c>
      <c r="L283" t="s">
        <v>972</v>
      </c>
      <c r="O283" t="s">
        <v>963</v>
      </c>
      <c r="P283" t="s">
        <v>973</v>
      </c>
      <c r="Q283" t="s">
        <v>974</v>
      </c>
      <c r="R283" t="s">
        <v>1004</v>
      </c>
      <c r="S283" t="s">
        <v>1004</v>
      </c>
      <c r="T283" s="42">
        <v>42128</v>
      </c>
      <c r="U283" s="43">
        <v>47.145733333333332</v>
      </c>
      <c r="V283" s="43">
        <v>-122.89318333333334</v>
      </c>
      <c r="W283" t="str">
        <f>VLOOKUP(B283,[1]Plantings!$A$2:$E$285,4,FALSE)</f>
        <v>polygon</v>
      </c>
      <c r="X283" s="43" t="str">
        <f>VLOOKUP(B283,[1]Plantings!$A$2:$E$285,5,FALSE)</f>
        <v>retain</v>
      </c>
      <c r="Y283" s="48" t="s">
        <v>9</v>
      </c>
      <c r="Z283" s="44">
        <v>-2.286</v>
      </c>
      <c r="AA283" s="70" t="s">
        <v>967</v>
      </c>
      <c r="AB283">
        <v>55</v>
      </c>
      <c r="AC283">
        <v>30</v>
      </c>
      <c r="AD283">
        <f t="shared" si="41"/>
        <v>1650</v>
      </c>
      <c r="AE283" s="70">
        <v>220</v>
      </c>
      <c r="AF283" s="46">
        <f>IF(AA283="staple",AG283*0.005,IF(AA283="rebar",AG283*0.025,IF(AA283="burlap",AG283*0.0625,IF(AA283="washer",AG283*0.0025,IF(AA283="pucks",AG283*0.00785,IF(AA283="turf",AG283*0.01,IF(AA283="","")))))))</f>
        <v>11.225</v>
      </c>
      <c r="AG283" s="47">
        <f>AH283/4</f>
        <v>2245</v>
      </c>
      <c r="AH283" s="53">
        <v>8980</v>
      </c>
      <c r="AI283" s="45">
        <f t="shared" si="43"/>
        <v>5.4424242424242424</v>
      </c>
      <c r="AJ283" s="45">
        <f t="shared" si="44"/>
        <v>40.81818181818182</v>
      </c>
      <c r="AK283" t="s">
        <v>968</v>
      </c>
      <c r="AL283" s="51" t="s">
        <v>1453</v>
      </c>
    </row>
    <row r="284" spans="1:38" x14ac:dyDescent="0.25">
      <c r="A284" t="s">
        <v>1448</v>
      </c>
      <c r="B284" t="s">
        <v>1454</v>
      </c>
      <c r="C284" t="str">
        <f>VLOOKUP(B284,[1]Plantings!$A$2:$C$285,2,FALSE)</f>
        <v>ZAN_P1</v>
      </c>
      <c r="D284" t="str">
        <f>VLOOKUP(B284,[1]Plantings!$A$2:$C$285,3,FALSE)</f>
        <v>single</v>
      </c>
      <c r="E284">
        <v>2015</v>
      </c>
      <c r="F284" t="s">
        <v>1450</v>
      </c>
      <c r="G284" t="s">
        <v>1003</v>
      </c>
      <c r="H284" t="s">
        <v>1451</v>
      </c>
      <c r="I284" t="s">
        <v>1092</v>
      </c>
      <c r="J284" t="s">
        <v>123</v>
      </c>
      <c r="K284" t="s">
        <v>971</v>
      </c>
      <c r="L284" t="s">
        <v>972</v>
      </c>
      <c r="O284" t="s">
        <v>963</v>
      </c>
      <c r="P284" t="s">
        <v>973</v>
      </c>
      <c r="Q284" t="s">
        <v>974</v>
      </c>
      <c r="R284" t="s">
        <v>1004</v>
      </c>
      <c r="S284" s="52" t="s">
        <v>998</v>
      </c>
      <c r="T284" s="42">
        <v>42128</v>
      </c>
      <c r="U284" s="43">
        <v>47.145633333333336</v>
      </c>
      <c r="V284" s="43">
        <v>-122.89246666666666</v>
      </c>
      <c r="W284" t="str">
        <f>VLOOKUP(B284,[1]Plantings!$A$2:$E$285,4,FALSE)</f>
        <v>polygon</v>
      </c>
      <c r="X284" s="43" t="str">
        <f>VLOOKUP(B284,[1]Plantings!$A$2:$E$285,5,FALSE)</f>
        <v>retain</v>
      </c>
      <c r="Y284" s="48" t="s">
        <v>9</v>
      </c>
      <c r="Z284" s="44"/>
      <c r="AA284" s="70" t="s">
        <v>967</v>
      </c>
      <c r="AE284" s="82"/>
      <c r="AF284" s="46"/>
      <c r="AG284" s="53"/>
      <c r="AH284" s="53"/>
      <c r="AI284" s="45" t="str">
        <f t="shared" si="43"/>
        <v/>
      </c>
      <c r="AJ284" s="45" t="str">
        <f t="shared" si="44"/>
        <v/>
      </c>
    </row>
    <row r="285" spans="1:38" x14ac:dyDescent="0.25">
      <c r="A285" t="s">
        <v>1448</v>
      </c>
      <c r="B285" t="s">
        <v>1455</v>
      </c>
      <c r="C285" t="str">
        <f>VLOOKUP(B285,[1]Plantings!$A$2:$C$285,2,FALSE)</f>
        <v>ZAN_P1</v>
      </c>
      <c r="D285" t="str">
        <f>VLOOKUP(B285,[1]Plantings!$A$2:$C$285,3,FALSE)</f>
        <v>single</v>
      </c>
      <c r="E285">
        <v>2015</v>
      </c>
      <c r="F285" t="s">
        <v>1450</v>
      </c>
      <c r="G285" t="s">
        <v>1003</v>
      </c>
      <c r="H285" t="s">
        <v>1451</v>
      </c>
      <c r="I285" t="s">
        <v>1092</v>
      </c>
      <c r="J285" t="s">
        <v>123</v>
      </c>
      <c r="K285" t="s">
        <v>971</v>
      </c>
      <c r="L285" t="s">
        <v>972</v>
      </c>
      <c r="O285" t="s">
        <v>963</v>
      </c>
      <c r="P285" t="s">
        <v>973</v>
      </c>
      <c r="Q285" t="s">
        <v>974</v>
      </c>
      <c r="R285" t="s">
        <v>1004</v>
      </c>
      <c r="S285" s="52" t="s">
        <v>998</v>
      </c>
      <c r="T285" s="42">
        <v>42128</v>
      </c>
      <c r="U285" s="43">
        <v>47.145400000000002</v>
      </c>
      <c r="V285" s="43">
        <v>-122.89255</v>
      </c>
      <c r="W285" t="str">
        <f>VLOOKUP(B285,[1]Plantings!$A$2:$E$285,4,FALSE)</f>
        <v>polygon</v>
      </c>
      <c r="X285" s="43" t="str">
        <f>VLOOKUP(B285,[1]Plantings!$A$2:$E$285,5,FALSE)</f>
        <v>retain</v>
      </c>
      <c r="Y285" s="48" t="s">
        <v>9</v>
      </c>
      <c r="Z285" s="44"/>
      <c r="AA285" s="70" t="s">
        <v>967</v>
      </c>
      <c r="AE285" s="82"/>
      <c r="AF285" s="46"/>
      <c r="AG285" s="53"/>
      <c r="AH285" s="53"/>
      <c r="AI285" s="45" t="str">
        <f t="shared" si="43"/>
        <v/>
      </c>
      <c r="AJ285" s="45" t="str">
        <f t="shared" si="44"/>
        <v/>
      </c>
    </row>
    <row r="286" spans="1:38" x14ac:dyDescent="0.25">
      <c r="A286" t="s">
        <v>1448</v>
      </c>
      <c r="B286" t="s">
        <v>1456</v>
      </c>
      <c r="C286" t="str">
        <f>VLOOKUP(B286,[1]Plantings!$A$2:$C$285,2,FALSE)</f>
        <v>ZAN_P1</v>
      </c>
      <c r="D286" t="str">
        <f>VLOOKUP(B286,[1]Plantings!$A$2:$C$285,3,FALSE)</f>
        <v>single</v>
      </c>
      <c r="E286">
        <v>2015</v>
      </c>
      <c r="F286" t="s">
        <v>1450</v>
      </c>
      <c r="G286" t="s">
        <v>1003</v>
      </c>
      <c r="H286" t="s">
        <v>1451</v>
      </c>
      <c r="I286" t="s">
        <v>1092</v>
      </c>
      <c r="J286" t="s">
        <v>123</v>
      </c>
      <c r="K286" t="s">
        <v>971</v>
      </c>
      <c r="L286" t="s">
        <v>972</v>
      </c>
      <c r="O286" t="s">
        <v>963</v>
      </c>
      <c r="P286" t="s">
        <v>973</v>
      </c>
      <c r="Q286" t="s">
        <v>974</v>
      </c>
      <c r="R286" t="s">
        <v>1004</v>
      </c>
      <c r="S286" s="52" t="s">
        <v>998</v>
      </c>
      <c r="T286" s="42">
        <v>42128</v>
      </c>
      <c r="U286" s="43">
        <v>47.14555</v>
      </c>
      <c r="V286" s="43">
        <v>-122.89323333333333</v>
      </c>
      <c r="W286" t="str">
        <f>VLOOKUP(B286,[1]Plantings!$A$2:$E$285,4,FALSE)</f>
        <v>polygon</v>
      </c>
      <c r="X286" s="43" t="str">
        <f>VLOOKUP(B286,[1]Plantings!$A$2:$E$285,5,FALSE)</f>
        <v>retain</v>
      </c>
      <c r="Y286" s="48" t="s">
        <v>9</v>
      </c>
      <c r="Z286" s="44">
        <v>-1.1277600000000001</v>
      </c>
      <c r="AA286" s="70" t="s">
        <v>967</v>
      </c>
      <c r="AE286" s="82"/>
      <c r="AF286" s="46"/>
      <c r="AG286" s="53"/>
      <c r="AH286" s="53"/>
      <c r="AI286" s="45" t="str">
        <f t="shared" si="43"/>
        <v/>
      </c>
      <c r="AJ286" s="45" t="str">
        <f t="shared" si="44"/>
        <v/>
      </c>
    </row>
    <row r="287" spans="1:38" x14ac:dyDescent="0.25">
      <c r="A287" t="s">
        <v>1448</v>
      </c>
      <c r="B287" t="s">
        <v>1457</v>
      </c>
      <c r="C287" t="str">
        <f>VLOOKUP(B287,[1]Plantings!$A$2:$C$285,2,FALSE)</f>
        <v>ZAN_2</v>
      </c>
      <c r="D287" t="str">
        <f>VLOOKUP(B287,[1]Plantings!$A$2:$C$285,3,FALSE)</f>
        <v>single</v>
      </c>
      <c r="E287">
        <v>2015</v>
      </c>
      <c r="F287" t="s">
        <v>1450</v>
      </c>
      <c r="G287" t="s">
        <v>7</v>
      </c>
      <c r="H287" t="s">
        <v>1451</v>
      </c>
      <c r="I287" t="s">
        <v>1092</v>
      </c>
      <c r="J287" t="s">
        <v>123</v>
      </c>
      <c r="K287" t="s">
        <v>971</v>
      </c>
      <c r="L287" t="s">
        <v>972</v>
      </c>
      <c r="O287" t="s">
        <v>963</v>
      </c>
      <c r="P287" t="s">
        <v>973</v>
      </c>
      <c r="Q287" t="s">
        <v>974</v>
      </c>
      <c r="R287" t="s">
        <v>966</v>
      </c>
      <c r="S287" t="s">
        <v>966</v>
      </c>
      <c r="T287" s="42">
        <v>42130</v>
      </c>
      <c r="U287" s="43">
        <v>47.145699999999998</v>
      </c>
      <c r="V287" s="43">
        <v>-122.89225</v>
      </c>
      <c r="W287" t="str">
        <f>VLOOKUP(B287,[1]Plantings!$A$2:$E$285,4,FALSE)</f>
        <v>point</v>
      </c>
      <c r="X287" s="43" t="str">
        <f>VLOOKUP(B287,[1]Plantings!$A$2:$E$285,5,FALSE)</f>
        <v>retain</v>
      </c>
      <c r="Y287" s="48" t="s">
        <v>9</v>
      </c>
      <c r="Z287" s="44">
        <v>-2.3469600000000002</v>
      </c>
      <c r="AA287" s="45" t="s">
        <v>967</v>
      </c>
      <c r="AB287">
        <v>5</v>
      </c>
      <c r="AC287">
        <v>5</v>
      </c>
      <c r="AD287">
        <f>AB287*AC287</f>
        <v>25</v>
      </c>
      <c r="AE287">
        <v>25</v>
      </c>
      <c r="AF287" s="46">
        <f>IF(AA287="staple",AG287*0.005,IF(AA287="rebar",AG287*0.025,IF(AA287="burlap",AG287*0.0625,IF(AA287="washer",AG287*0.0025,IF(AA287="pucks",AG287*0.00785,IF(AA287="turf",AG287*0.01,IF(AA287="","")))))))</f>
        <v>0.625</v>
      </c>
      <c r="AG287" s="47">
        <f>AH287/4</f>
        <v>125</v>
      </c>
      <c r="AH287" s="60">
        <v>500</v>
      </c>
      <c r="AI287" s="45">
        <f t="shared" si="43"/>
        <v>20</v>
      </c>
      <c r="AJ287" s="45">
        <f t="shared" si="44"/>
        <v>20</v>
      </c>
      <c r="AK287" t="s">
        <v>968</v>
      </c>
    </row>
    <row r="288" spans="1:38" x14ac:dyDescent="0.25">
      <c r="A288" t="s">
        <v>1448</v>
      </c>
      <c r="B288" t="s">
        <v>1458</v>
      </c>
      <c r="C288" t="str">
        <f>VLOOKUP(B288,[1]Plantings!$A$2:$C$285,2,FALSE)</f>
        <v>ZAN_3</v>
      </c>
      <c r="D288" t="str">
        <f>VLOOKUP(B288,[1]Plantings!$A$2:$C$285,3,FALSE)</f>
        <v>single</v>
      </c>
      <c r="E288">
        <v>2016</v>
      </c>
      <c r="F288" t="s">
        <v>1450</v>
      </c>
      <c r="G288" t="s">
        <v>7</v>
      </c>
      <c r="H288" t="s">
        <v>1451</v>
      </c>
      <c r="I288" t="s">
        <v>1092</v>
      </c>
      <c r="J288" t="s">
        <v>971</v>
      </c>
      <c r="K288" t="s">
        <v>971</v>
      </c>
      <c r="L288" t="s">
        <v>972</v>
      </c>
      <c r="R288" t="s">
        <v>966</v>
      </c>
      <c r="S288" t="s">
        <v>966</v>
      </c>
      <c r="T288" s="42">
        <v>42527</v>
      </c>
      <c r="U288" s="43">
        <v>47.145636789500003</v>
      </c>
      <c r="V288" s="43">
        <v>-122.8932577651</v>
      </c>
      <c r="W288" t="str">
        <f>VLOOKUP(B288,[1]Plantings!$A$2:$E$285,4,FALSE)</f>
        <v>point</v>
      </c>
      <c r="X288" s="43" t="str">
        <f>VLOOKUP(B288,[1]Plantings!$A$2:$E$285,5,FALSE)</f>
        <v>retain</v>
      </c>
      <c r="Y288" s="48" t="s">
        <v>9</v>
      </c>
      <c r="Z288" s="44"/>
      <c r="AA288" s="45" t="s">
        <v>982</v>
      </c>
      <c r="AB288">
        <v>0.25</v>
      </c>
      <c r="AC288">
        <v>0.25</v>
      </c>
      <c r="AD288">
        <f>AB288*AC288</f>
        <v>6.25E-2</v>
      </c>
      <c r="AE288">
        <f>AG288*0.25</f>
        <v>0.25</v>
      </c>
      <c r="AF288" s="46">
        <f>IF(AA288="staple",AG288*0.005,IF(AA288="rebar",AG288*0.025,IF(AA288="burlap",AG288*0.0625,IF(AA288="washer",AG288*0.0025,IF(AA288="pucks",AG288*0.00785,IF(AA288="turf",AG288*0.01,IF(AA288="","")))))))</f>
        <v>2.5000000000000001E-2</v>
      </c>
      <c r="AG288" s="47">
        <v>1</v>
      </c>
      <c r="AH288" s="60">
        <v>40</v>
      </c>
      <c r="AI288" s="45">
        <f t="shared" si="43"/>
        <v>640</v>
      </c>
      <c r="AJ288" s="45">
        <f t="shared" si="44"/>
        <v>160</v>
      </c>
      <c r="AK288" t="s">
        <v>1021</v>
      </c>
      <c r="AL288" s="8" t="s">
        <v>1459</v>
      </c>
    </row>
    <row r="289" spans="1:38" x14ac:dyDescent="0.25">
      <c r="A289" t="s">
        <v>1448</v>
      </c>
      <c r="B289" t="s">
        <v>1460</v>
      </c>
      <c r="C289" t="str">
        <f>VLOOKUP(B289,[1]Plantings!$A$2:$C$285,2,FALSE)</f>
        <v>ZAN_4</v>
      </c>
      <c r="D289" t="str">
        <f>VLOOKUP(B289,[1]Plantings!$A$2:$C$285,3,FALSE)</f>
        <v>single</v>
      </c>
      <c r="E289">
        <v>2016</v>
      </c>
      <c r="F289" t="s">
        <v>1450</v>
      </c>
      <c r="G289" t="s">
        <v>7</v>
      </c>
      <c r="H289" t="s">
        <v>1451</v>
      </c>
      <c r="I289" t="s">
        <v>1092</v>
      </c>
      <c r="J289" t="s">
        <v>971</v>
      </c>
      <c r="K289" t="s">
        <v>971</v>
      </c>
      <c r="L289" t="s">
        <v>972</v>
      </c>
      <c r="R289" t="s">
        <v>966</v>
      </c>
      <c r="S289" t="s">
        <v>966</v>
      </c>
      <c r="T289" s="42">
        <v>42572</v>
      </c>
      <c r="U289" s="43">
        <v>47.145493289999997</v>
      </c>
      <c r="V289" s="43">
        <v>-122.8937296</v>
      </c>
      <c r="W289" t="str">
        <f>VLOOKUP(B289,[1]Plantings!$A$2:$E$285,4,FALSE)</f>
        <v>point</v>
      </c>
      <c r="X289" s="43" t="str">
        <f>VLOOKUP(B289,[1]Plantings!$A$2:$E$285,5,FALSE)</f>
        <v>retain</v>
      </c>
      <c r="Y289" s="48" t="s">
        <v>9</v>
      </c>
      <c r="Z289" s="44">
        <v>-0.5</v>
      </c>
      <c r="AA289" s="45" t="s">
        <v>982</v>
      </c>
      <c r="AB289">
        <v>4</v>
      </c>
      <c r="AC289">
        <v>0.25</v>
      </c>
      <c r="AD289">
        <f>AB289*AC289</f>
        <v>1</v>
      </c>
      <c r="AE289">
        <f>AG289*0.25</f>
        <v>1</v>
      </c>
      <c r="AF289" s="46">
        <f>IF(AA289="staple",AG289*0.005,IF(AA289="rebar",AG289*0.025,IF(AA289="burlap",AG289*0.0625,IF(AA289="washer",AG289*0.0025,IF(AA289="pucks",AG289*0.00785,IF(AA289="turf",AG289*0.01,IF(AA289="","")))))))</f>
        <v>0.1</v>
      </c>
      <c r="AG289" s="47">
        <v>4</v>
      </c>
      <c r="AH289" s="60">
        <v>200</v>
      </c>
      <c r="AI289" s="45">
        <f t="shared" si="43"/>
        <v>200</v>
      </c>
      <c r="AJ289" s="45">
        <f t="shared" si="44"/>
        <v>200</v>
      </c>
      <c r="AK289" t="s">
        <v>1021</v>
      </c>
      <c r="AL289" s="8" t="s">
        <v>1461</v>
      </c>
    </row>
    <row r="290" spans="1:38" x14ac:dyDescent="0.25">
      <c r="X290" s="43"/>
    </row>
    <row r="291" spans="1:38" x14ac:dyDescent="0.25">
      <c r="X291" s="43"/>
    </row>
    <row r="292" spans="1:38" x14ac:dyDescent="0.25">
      <c r="AD292" s="91">
        <f>SUM(AD2:AD289)</f>
        <v>20577.8125</v>
      </c>
      <c r="AE292" s="91">
        <f>SUM(AE2:AE289)</f>
        <v>5257.6444999999958</v>
      </c>
      <c r="AF292" s="91">
        <f>SUM(AF2:AF289)</f>
        <v>566.41869999999949</v>
      </c>
      <c r="AG292" t="s">
        <v>1462</v>
      </c>
      <c r="AH292" s="47">
        <f>SUM(AH3:AH289)</f>
        <v>393716</v>
      </c>
    </row>
    <row r="296" spans="1:38" x14ac:dyDescent="0.25">
      <c r="S296" t="s">
        <v>491</v>
      </c>
    </row>
    <row r="306" spans="21:24" x14ac:dyDescent="0.25">
      <c r="U306" s="43"/>
      <c r="V306" s="43"/>
      <c r="W306" s="43"/>
      <c r="X306" s="43"/>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4EC91-52CE-4402-8753-F97FCFD1FA71}">
  <dimension ref="A1:H310"/>
  <sheetViews>
    <sheetView workbookViewId="0">
      <pane ySplit="1" topLeftCell="A2" activePane="bottomLeft" state="frozen"/>
      <selection pane="bottomLeft" activeCell="F16" sqref="F16"/>
    </sheetView>
  </sheetViews>
  <sheetFormatPr defaultRowHeight="15" x14ac:dyDescent="0.25"/>
  <cols>
    <col min="1" max="1" width="69.7109375" bestFit="1" customWidth="1"/>
    <col min="2" max="2" width="22" bestFit="1" customWidth="1"/>
    <col min="3" max="3" width="21.140625" bestFit="1" customWidth="1"/>
    <col min="4" max="4" width="17.42578125" bestFit="1" customWidth="1"/>
    <col min="5" max="5" width="18" bestFit="1" customWidth="1"/>
    <col min="8" max="8" width="214.5703125" bestFit="1" customWidth="1"/>
  </cols>
  <sheetData>
    <row r="1" spans="1:5" x14ac:dyDescent="0.25">
      <c r="A1" t="s">
        <v>2022</v>
      </c>
      <c r="B1" t="s">
        <v>947</v>
      </c>
      <c r="C1" t="s">
        <v>948</v>
      </c>
      <c r="D1" t="s">
        <v>2088</v>
      </c>
      <c r="E1" t="s">
        <v>2101</v>
      </c>
    </row>
    <row r="2" spans="1:5" x14ac:dyDescent="0.25">
      <c r="A2" t="s">
        <v>955</v>
      </c>
      <c r="B2" t="s">
        <v>1463</v>
      </c>
      <c r="C2" t="s">
        <v>1464</v>
      </c>
      <c r="D2" t="s">
        <v>7</v>
      </c>
      <c r="E2" t="s">
        <v>1465</v>
      </c>
    </row>
    <row r="3" spans="1:5" x14ac:dyDescent="0.25">
      <c r="A3" t="s">
        <v>969</v>
      </c>
      <c r="B3" t="s">
        <v>1466</v>
      </c>
      <c r="C3" t="s">
        <v>1464</v>
      </c>
      <c r="D3" t="s">
        <v>7</v>
      </c>
      <c r="E3" t="s">
        <v>1465</v>
      </c>
    </row>
    <row r="4" spans="1:5" x14ac:dyDescent="0.25">
      <c r="A4" t="s">
        <v>1158</v>
      </c>
      <c r="B4" t="s">
        <v>1467</v>
      </c>
      <c r="C4" t="s">
        <v>1464</v>
      </c>
      <c r="D4" t="s">
        <v>7</v>
      </c>
      <c r="E4" t="s">
        <v>1465</v>
      </c>
    </row>
    <row r="5" spans="1:5" x14ac:dyDescent="0.25">
      <c r="A5" t="s">
        <v>1161</v>
      </c>
      <c r="B5" t="s">
        <v>1468</v>
      </c>
      <c r="C5" t="s">
        <v>1464</v>
      </c>
      <c r="D5" t="s">
        <v>7</v>
      </c>
      <c r="E5" t="s">
        <v>1465</v>
      </c>
    </row>
    <row r="6" spans="1:5" x14ac:dyDescent="0.25">
      <c r="A6" t="s">
        <v>1289</v>
      </c>
      <c r="B6" t="s">
        <v>1469</v>
      </c>
      <c r="C6" t="s">
        <v>1464</v>
      </c>
      <c r="D6" t="s">
        <v>7</v>
      </c>
      <c r="E6" t="s">
        <v>1465</v>
      </c>
    </row>
    <row r="7" spans="1:5" x14ac:dyDescent="0.25">
      <c r="A7" t="s">
        <v>1291</v>
      </c>
      <c r="B7" t="s">
        <v>1470</v>
      </c>
      <c r="C7" t="s">
        <v>1464</v>
      </c>
      <c r="D7" t="s">
        <v>7</v>
      </c>
      <c r="E7" t="s">
        <v>1465</v>
      </c>
    </row>
    <row r="8" spans="1:5" x14ac:dyDescent="0.25">
      <c r="A8" t="s">
        <v>1429</v>
      </c>
      <c r="B8" t="s">
        <v>1471</v>
      </c>
      <c r="C8" t="s">
        <v>1464</v>
      </c>
      <c r="D8" t="s">
        <v>7</v>
      </c>
      <c r="E8" t="s">
        <v>1465</v>
      </c>
    </row>
    <row r="9" spans="1:5" x14ac:dyDescent="0.25">
      <c r="A9" t="s">
        <v>1432</v>
      </c>
      <c r="B9" t="s">
        <v>1472</v>
      </c>
      <c r="C9" t="s">
        <v>1464</v>
      </c>
      <c r="D9" t="s">
        <v>7</v>
      </c>
      <c r="E9" t="s">
        <v>1465</v>
      </c>
    </row>
    <row r="10" spans="1:5" x14ac:dyDescent="0.25">
      <c r="A10" t="s">
        <v>1449</v>
      </c>
      <c r="B10" t="s">
        <v>1473</v>
      </c>
      <c r="C10" t="s">
        <v>1464</v>
      </c>
      <c r="D10" t="s">
        <v>7</v>
      </c>
      <c r="E10" t="s">
        <v>1465</v>
      </c>
    </row>
    <row r="11" spans="1:5" x14ac:dyDescent="0.25">
      <c r="A11" t="s">
        <v>1339</v>
      </c>
      <c r="B11" t="s">
        <v>1474</v>
      </c>
      <c r="C11" t="s">
        <v>1464</v>
      </c>
      <c r="D11" t="s">
        <v>7</v>
      </c>
      <c r="E11" t="s">
        <v>1465</v>
      </c>
    </row>
    <row r="12" spans="1:5" x14ac:dyDescent="0.25">
      <c r="A12" t="s">
        <v>1350</v>
      </c>
      <c r="B12" t="s">
        <v>1475</v>
      </c>
      <c r="C12" t="s">
        <v>1464</v>
      </c>
      <c r="D12" t="s">
        <v>7</v>
      </c>
      <c r="E12" t="s">
        <v>1465</v>
      </c>
    </row>
    <row r="13" spans="1:5" x14ac:dyDescent="0.25">
      <c r="A13" t="s">
        <v>1351</v>
      </c>
      <c r="B13" t="s">
        <v>1476</v>
      </c>
      <c r="C13" t="s">
        <v>1464</v>
      </c>
      <c r="D13" t="s">
        <v>7</v>
      </c>
      <c r="E13" t="s">
        <v>1465</v>
      </c>
    </row>
    <row r="14" spans="1:5" x14ac:dyDescent="0.25">
      <c r="A14" t="s">
        <v>1352</v>
      </c>
      <c r="B14" t="s">
        <v>1477</v>
      </c>
      <c r="C14" t="s">
        <v>1464</v>
      </c>
      <c r="D14" t="s">
        <v>7</v>
      </c>
      <c r="E14" t="s">
        <v>1465</v>
      </c>
    </row>
    <row r="15" spans="1:5" x14ac:dyDescent="0.25">
      <c r="A15" t="s">
        <v>1353</v>
      </c>
      <c r="B15" t="s">
        <v>1478</v>
      </c>
      <c r="C15" t="s">
        <v>1464</v>
      </c>
      <c r="D15" t="s">
        <v>7</v>
      </c>
      <c r="E15" t="s">
        <v>1465</v>
      </c>
    </row>
    <row r="16" spans="1:5" x14ac:dyDescent="0.25">
      <c r="A16" t="s">
        <v>1354</v>
      </c>
      <c r="B16" t="s">
        <v>1479</v>
      </c>
      <c r="C16" t="s">
        <v>1464</v>
      </c>
      <c r="D16" t="s">
        <v>7</v>
      </c>
      <c r="E16" t="s">
        <v>1465</v>
      </c>
    </row>
    <row r="17" spans="1:8" x14ac:dyDescent="0.25">
      <c r="A17" t="s">
        <v>1398</v>
      </c>
      <c r="B17" t="s">
        <v>1480</v>
      </c>
      <c r="C17" t="s">
        <v>1464</v>
      </c>
      <c r="D17" t="s">
        <v>7</v>
      </c>
      <c r="E17" t="s">
        <v>1465</v>
      </c>
    </row>
    <row r="18" spans="1:8" x14ac:dyDescent="0.25">
      <c r="A18" t="s">
        <v>970</v>
      </c>
      <c r="B18" t="s">
        <v>1481</v>
      </c>
      <c r="C18" t="s">
        <v>1464</v>
      </c>
      <c r="D18" t="s">
        <v>7</v>
      </c>
      <c r="E18" t="s">
        <v>1465</v>
      </c>
    </row>
    <row r="19" spans="1:8" x14ac:dyDescent="0.25">
      <c r="A19" t="s">
        <v>1037</v>
      </c>
      <c r="B19" t="s">
        <v>1482</v>
      </c>
      <c r="C19" t="s">
        <v>1464</v>
      </c>
      <c r="D19" t="s">
        <v>7</v>
      </c>
      <c r="E19" t="s">
        <v>1465</v>
      </c>
    </row>
    <row r="20" spans="1:8" x14ac:dyDescent="0.25">
      <c r="A20" t="s">
        <v>1048</v>
      </c>
      <c r="B20" t="s">
        <v>1483</v>
      </c>
      <c r="C20" t="s">
        <v>1484</v>
      </c>
      <c r="D20" t="s">
        <v>7</v>
      </c>
      <c r="E20" t="s">
        <v>1465</v>
      </c>
    </row>
    <row r="21" spans="1:8" x14ac:dyDescent="0.25">
      <c r="A21" t="s">
        <v>1091</v>
      </c>
      <c r="B21" t="s">
        <v>1485</v>
      </c>
      <c r="C21" t="s">
        <v>1464</v>
      </c>
      <c r="D21" t="s">
        <v>7</v>
      </c>
      <c r="E21" t="s">
        <v>1465</v>
      </c>
    </row>
    <row r="22" spans="1:8" x14ac:dyDescent="0.25">
      <c r="A22" t="s">
        <v>1095</v>
      </c>
      <c r="B22" t="s">
        <v>1486</v>
      </c>
      <c r="C22" t="s">
        <v>1464</v>
      </c>
      <c r="D22" t="s">
        <v>7</v>
      </c>
      <c r="E22" t="s">
        <v>1465</v>
      </c>
    </row>
    <row r="23" spans="1:8" x14ac:dyDescent="0.25">
      <c r="A23" t="s">
        <v>1116</v>
      </c>
      <c r="B23" t="s">
        <v>1487</v>
      </c>
      <c r="C23" t="s">
        <v>1464</v>
      </c>
      <c r="D23" t="s">
        <v>7</v>
      </c>
      <c r="E23" t="s">
        <v>1465</v>
      </c>
    </row>
    <row r="24" spans="1:8" x14ac:dyDescent="0.25">
      <c r="A24" t="s">
        <v>1146</v>
      </c>
      <c r="B24" t="s">
        <v>1488</v>
      </c>
      <c r="C24" t="s">
        <v>1464</v>
      </c>
      <c r="D24" t="s">
        <v>7</v>
      </c>
      <c r="E24" t="s">
        <v>1465</v>
      </c>
    </row>
    <row r="25" spans="1:8" x14ac:dyDescent="0.25">
      <c r="A25" t="s">
        <v>1149</v>
      </c>
      <c r="B25" t="s">
        <v>1489</v>
      </c>
      <c r="C25" t="s">
        <v>1464</v>
      </c>
      <c r="D25" t="s">
        <v>7</v>
      </c>
      <c r="E25" t="s">
        <v>1465</v>
      </c>
      <c r="H25" t="s">
        <v>1490</v>
      </c>
    </row>
    <row r="26" spans="1:8" x14ac:dyDescent="0.25">
      <c r="A26" t="s">
        <v>1151</v>
      </c>
      <c r="B26" t="s">
        <v>1491</v>
      </c>
      <c r="C26" t="s">
        <v>1464</v>
      </c>
      <c r="D26" t="s">
        <v>7</v>
      </c>
      <c r="E26" t="s">
        <v>1465</v>
      </c>
      <c r="H26" t="s">
        <v>1492</v>
      </c>
    </row>
    <row r="27" spans="1:8" x14ac:dyDescent="0.25">
      <c r="A27" t="s">
        <v>1163</v>
      </c>
      <c r="B27" t="s">
        <v>1493</v>
      </c>
      <c r="C27" t="s">
        <v>1464</v>
      </c>
      <c r="D27" t="s">
        <v>1003</v>
      </c>
      <c r="E27" t="s">
        <v>1465</v>
      </c>
    </row>
    <row r="28" spans="1:8" x14ac:dyDescent="0.25">
      <c r="A28" t="s">
        <v>1166</v>
      </c>
      <c r="B28" t="s">
        <v>1493</v>
      </c>
      <c r="C28" t="s">
        <v>1464</v>
      </c>
      <c r="D28" t="s">
        <v>1003</v>
      </c>
      <c r="E28" t="s">
        <v>1465</v>
      </c>
    </row>
    <row r="29" spans="1:8" x14ac:dyDescent="0.25">
      <c r="A29" t="s">
        <v>1168</v>
      </c>
      <c r="B29" t="s">
        <v>1493</v>
      </c>
      <c r="C29" t="s">
        <v>1464</v>
      </c>
      <c r="D29" t="s">
        <v>1003</v>
      </c>
      <c r="E29" t="s">
        <v>1465</v>
      </c>
    </row>
    <row r="30" spans="1:8" x14ac:dyDescent="0.25">
      <c r="A30" t="s">
        <v>1170</v>
      </c>
      <c r="B30" t="s">
        <v>1493</v>
      </c>
      <c r="C30" t="s">
        <v>1464</v>
      </c>
      <c r="D30" t="s">
        <v>1003</v>
      </c>
      <c r="E30" t="s">
        <v>1465</v>
      </c>
    </row>
    <row r="31" spans="1:8" x14ac:dyDescent="0.25">
      <c r="A31" t="s">
        <v>1172</v>
      </c>
      <c r="B31" t="s">
        <v>1494</v>
      </c>
      <c r="C31" t="s">
        <v>1464</v>
      </c>
      <c r="D31" t="s">
        <v>1003</v>
      </c>
      <c r="E31" t="s">
        <v>1465</v>
      </c>
    </row>
    <row r="32" spans="1:8" x14ac:dyDescent="0.25">
      <c r="A32" t="s">
        <v>1175</v>
      </c>
      <c r="B32" t="s">
        <v>1494</v>
      </c>
      <c r="C32" t="s">
        <v>1464</v>
      </c>
      <c r="D32" t="s">
        <v>1003</v>
      </c>
      <c r="E32" t="s">
        <v>1465</v>
      </c>
    </row>
    <row r="33" spans="1:5" x14ac:dyDescent="0.25">
      <c r="A33" t="s">
        <v>1177</v>
      </c>
      <c r="B33" t="s">
        <v>1494</v>
      </c>
      <c r="C33" t="s">
        <v>1464</v>
      </c>
      <c r="D33" t="s">
        <v>1003</v>
      </c>
      <c r="E33" t="s">
        <v>1465</v>
      </c>
    </row>
    <row r="34" spans="1:5" x14ac:dyDescent="0.25">
      <c r="A34" t="s">
        <v>1179</v>
      </c>
      <c r="B34" t="s">
        <v>1494</v>
      </c>
      <c r="C34" t="s">
        <v>1464</v>
      </c>
      <c r="D34" t="s">
        <v>1003</v>
      </c>
      <c r="E34" t="s">
        <v>1465</v>
      </c>
    </row>
    <row r="35" spans="1:5" x14ac:dyDescent="0.25">
      <c r="A35" t="s">
        <v>1181</v>
      </c>
      <c r="B35" t="s">
        <v>1495</v>
      </c>
      <c r="C35" t="s">
        <v>1464</v>
      </c>
      <c r="D35" t="s">
        <v>7</v>
      </c>
      <c r="E35" t="s">
        <v>1465</v>
      </c>
    </row>
    <row r="36" spans="1:5" x14ac:dyDescent="0.25">
      <c r="A36" t="s">
        <v>1301</v>
      </c>
      <c r="B36" t="s">
        <v>1496</v>
      </c>
      <c r="C36" t="s">
        <v>1464</v>
      </c>
      <c r="D36" t="s">
        <v>7</v>
      </c>
      <c r="E36" t="s">
        <v>1465</v>
      </c>
    </row>
    <row r="37" spans="1:5" x14ac:dyDescent="0.25">
      <c r="A37" t="s">
        <v>1331</v>
      </c>
      <c r="B37" t="s">
        <v>1497</v>
      </c>
      <c r="C37" t="s">
        <v>1464</v>
      </c>
      <c r="D37" t="s">
        <v>7</v>
      </c>
      <c r="E37" t="s">
        <v>1465</v>
      </c>
    </row>
    <row r="38" spans="1:5" x14ac:dyDescent="0.25">
      <c r="A38" t="s">
        <v>1355</v>
      </c>
      <c r="B38" t="s">
        <v>1498</v>
      </c>
      <c r="C38" t="s">
        <v>1464</v>
      </c>
      <c r="D38" t="s">
        <v>1003</v>
      </c>
      <c r="E38" t="s">
        <v>1465</v>
      </c>
    </row>
    <row r="39" spans="1:5" x14ac:dyDescent="0.25">
      <c r="A39" t="s">
        <v>1356</v>
      </c>
      <c r="B39" t="s">
        <v>1498</v>
      </c>
      <c r="C39" t="s">
        <v>1464</v>
      </c>
      <c r="D39" t="s">
        <v>1003</v>
      </c>
      <c r="E39" t="s">
        <v>1465</v>
      </c>
    </row>
    <row r="40" spans="1:5" x14ac:dyDescent="0.25">
      <c r="A40" t="s">
        <v>1357</v>
      </c>
      <c r="B40" t="s">
        <v>1498</v>
      </c>
      <c r="C40" t="s">
        <v>1464</v>
      </c>
      <c r="D40" t="s">
        <v>1003</v>
      </c>
      <c r="E40" t="s">
        <v>1465</v>
      </c>
    </row>
    <row r="41" spans="1:5" x14ac:dyDescent="0.25">
      <c r="A41" t="s">
        <v>1358</v>
      </c>
      <c r="B41" t="s">
        <v>1498</v>
      </c>
      <c r="C41" t="s">
        <v>1464</v>
      </c>
      <c r="D41" t="s">
        <v>1003</v>
      </c>
      <c r="E41" t="s">
        <v>1465</v>
      </c>
    </row>
    <row r="42" spans="1:5" x14ac:dyDescent="0.25">
      <c r="A42" t="s">
        <v>1359</v>
      </c>
      <c r="B42" t="s">
        <v>1499</v>
      </c>
      <c r="C42" t="s">
        <v>1464</v>
      </c>
      <c r="D42" t="s">
        <v>1003</v>
      </c>
      <c r="E42" t="s">
        <v>1465</v>
      </c>
    </row>
    <row r="43" spans="1:5" x14ac:dyDescent="0.25">
      <c r="A43" t="s">
        <v>1360</v>
      </c>
      <c r="B43" t="s">
        <v>1499</v>
      </c>
      <c r="C43" t="s">
        <v>1464</v>
      </c>
      <c r="D43" t="s">
        <v>1003</v>
      </c>
      <c r="E43" t="s">
        <v>1465</v>
      </c>
    </row>
    <row r="44" spans="1:5" x14ac:dyDescent="0.25">
      <c r="A44" t="s">
        <v>1361</v>
      </c>
      <c r="B44" t="s">
        <v>1499</v>
      </c>
      <c r="C44" t="s">
        <v>1464</v>
      </c>
      <c r="D44" t="s">
        <v>1003</v>
      </c>
      <c r="E44" t="s">
        <v>1465</v>
      </c>
    </row>
    <row r="45" spans="1:5" x14ac:dyDescent="0.25">
      <c r="A45" t="s">
        <v>1362</v>
      </c>
      <c r="B45" t="s">
        <v>1499</v>
      </c>
      <c r="C45" t="s">
        <v>1464</v>
      </c>
      <c r="D45" t="s">
        <v>1003</v>
      </c>
      <c r="E45" t="s">
        <v>1465</v>
      </c>
    </row>
    <row r="46" spans="1:5" x14ac:dyDescent="0.25">
      <c r="A46" t="s">
        <v>1363</v>
      </c>
      <c r="B46" t="s">
        <v>1500</v>
      </c>
      <c r="C46" t="s">
        <v>1464</v>
      </c>
      <c r="D46" t="s">
        <v>1003</v>
      </c>
      <c r="E46" t="s">
        <v>1465</v>
      </c>
    </row>
    <row r="47" spans="1:5" x14ac:dyDescent="0.25">
      <c r="A47" t="s">
        <v>1364</v>
      </c>
      <c r="B47" t="s">
        <v>1500</v>
      </c>
      <c r="C47" t="s">
        <v>1464</v>
      </c>
      <c r="D47" t="s">
        <v>1003</v>
      </c>
      <c r="E47" t="s">
        <v>1465</v>
      </c>
    </row>
    <row r="48" spans="1:5" x14ac:dyDescent="0.25">
      <c r="A48" t="s">
        <v>1365</v>
      </c>
      <c r="B48" t="s">
        <v>1500</v>
      </c>
      <c r="C48" t="s">
        <v>1464</v>
      </c>
      <c r="D48" t="s">
        <v>1003</v>
      </c>
      <c r="E48" t="s">
        <v>1465</v>
      </c>
    </row>
    <row r="49" spans="1:5" x14ac:dyDescent="0.25">
      <c r="A49" t="s">
        <v>1366</v>
      </c>
      <c r="B49" t="s">
        <v>1500</v>
      </c>
      <c r="C49" t="s">
        <v>1464</v>
      </c>
      <c r="D49" t="s">
        <v>1003</v>
      </c>
      <c r="E49" t="s">
        <v>1465</v>
      </c>
    </row>
    <row r="50" spans="1:5" x14ac:dyDescent="0.25">
      <c r="A50" t="s">
        <v>1367</v>
      </c>
      <c r="B50" t="s">
        <v>1501</v>
      </c>
      <c r="C50" t="s">
        <v>1464</v>
      </c>
      <c r="D50" t="s">
        <v>1003</v>
      </c>
      <c r="E50" t="s">
        <v>1465</v>
      </c>
    </row>
    <row r="51" spans="1:5" x14ac:dyDescent="0.25">
      <c r="A51" t="s">
        <v>1368</v>
      </c>
      <c r="B51" t="s">
        <v>1501</v>
      </c>
      <c r="C51" t="s">
        <v>1464</v>
      </c>
      <c r="D51" t="s">
        <v>1003</v>
      </c>
      <c r="E51" t="s">
        <v>1465</v>
      </c>
    </row>
    <row r="52" spans="1:5" x14ac:dyDescent="0.25">
      <c r="A52" t="s">
        <v>1369</v>
      </c>
      <c r="B52" t="s">
        <v>1501</v>
      </c>
      <c r="C52" t="s">
        <v>1464</v>
      </c>
      <c r="D52" t="s">
        <v>1003</v>
      </c>
      <c r="E52" t="s">
        <v>1465</v>
      </c>
    </row>
    <row r="53" spans="1:5" x14ac:dyDescent="0.25">
      <c r="A53" t="s">
        <v>1370</v>
      </c>
      <c r="B53" t="s">
        <v>1501</v>
      </c>
      <c r="C53" t="s">
        <v>1464</v>
      </c>
      <c r="D53" t="s">
        <v>1003</v>
      </c>
      <c r="E53" t="s">
        <v>1465</v>
      </c>
    </row>
    <row r="54" spans="1:5" x14ac:dyDescent="0.25">
      <c r="A54" t="s">
        <v>1424</v>
      </c>
      <c r="B54" t="s">
        <v>1502</v>
      </c>
      <c r="C54" t="s">
        <v>1464</v>
      </c>
      <c r="D54" t="s">
        <v>7</v>
      </c>
      <c r="E54" t="s">
        <v>1465</v>
      </c>
    </row>
    <row r="55" spans="1:5" x14ac:dyDescent="0.25">
      <c r="A55" t="s">
        <v>1452</v>
      </c>
      <c r="B55" t="s">
        <v>1503</v>
      </c>
      <c r="C55" t="s">
        <v>1464</v>
      </c>
      <c r="D55" t="s">
        <v>1003</v>
      </c>
      <c r="E55" t="s">
        <v>1465</v>
      </c>
    </row>
    <row r="56" spans="1:5" x14ac:dyDescent="0.25">
      <c r="A56" t="s">
        <v>1454</v>
      </c>
      <c r="B56" t="s">
        <v>1503</v>
      </c>
      <c r="C56" t="s">
        <v>1464</v>
      </c>
      <c r="D56" t="s">
        <v>1003</v>
      </c>
      <c r="E56" t="s">
        <v>1465</v>
      </c>
    </row>
    <row r="57" spans="1:5" x14ac:dyDescent="0.25">
      <c r="A57" t="s">
        <v>1455</v>
      </c>
      <c r="B57" t="s">
        <v>1503</v>
      </c>
      <c r="C57" t="s">
        <v>1464</v>
      </c>
      <c r="D57" t="s">
        <v>1003</v>
      </c>
      <c r="E57" t="s">
        <v>1465</v>
      </c>
    </row>
    <row r="58" spans="1:5" x14ac:dyDescent="0.25">
      <c r="A58" t="s">
        <v>1456</v>
      </c>
      <c r="B58" t="s">
        <v>1503</v>
      </c>
      <c r="C58" t="s">
        <v>1464</v>
      </c>
      <c r="D58" t="s">
        <v>1003</v>
      </c>
      <c r="E58" t="s">
        <v>1465</v>
      </c>
    </row>
    <row r="59" spans="1:5" x14ac:dyDescent="0.25">
      <c r="A59" t="s">
        <v>1457</v>
      </c>
      <c r="B59" t="s">
        <v>1504</v>
      </c>
      <c r="C59" t="s">
        <v>1464</v>
      </c>
      <c r="D59" t="s">
        <v>7</v>
      </c>
      <c r="E59" t="s">
        <v>1465</v>
      </c>
    </row>
    <row r="60" spans="1:5" x14ac:dyDescent="0.25">
      <c r="A60" t="s">
        <v>976</v>
      </c>
      <c r="B60" t="s">
        <v>1505</v>
      </c>
      <c r="C60" t="s">
        <v>1464</v>
      </c>
      <c r="D60" t="s">
        <v>7</v>
      </c>
      <c r="E60" t="s">
        <v>1465</v>
      </c>
    </row>
    <row r="61" spans="1:5" x14ac:dyDescent="0.25">
      <c r="A61" t="s">
        <v>984</v>
      </c>
      <c r="B61" t="s">
        <v>1506</v>
      </c>
      <c r="C61" t="s">
        <v>1464</v>
      </c>
      <c r="D61" t="s">
        <v>7</v>
      </c>
      <c r="E61" t="s">
        <v>1465</v>
      </c>
    </row>
    <row r="62" spans="1:5" x14ac:dyDescent="0.25">
      <c r="A62" t="s">
        <v>1050</v>
      </c>
      <c r="B62" t="s">
        <v>1507</v>
      </c>
      <c r="C62" t="s">
        <v>1464</v>
      </c>
      <c r="D62" t="s">
        <v>987</v>
      </c>
      <c r="E62" t="s">
        <v>1465</v>
      </c>
    </row>
    <row r="63" spans="1:5" x14ac:dyDescent="0.25">
      <c r="A63" t="s">
        <v>1055</v>
      </c>
      <c r="B63" t="s">
        <v>1507</v>
      </c>
      <c r="C63" t="s">
        <v>1464</v>
      </c>
      <c r="D63" t="s">
        <v>987</v>
      </c>
      <c r="E63" t="s">
        <v>1465</v>
      </c>
    </row>
    <row r="64" spans="1:5" x14ac:dyDescent="0.25">
      <c r="A64" t="s">
        <v>1056</v>
      </c>
      <c r="B64" t="s">
        <v>1508</v>
      </c>
      <c r="C64" t="s">
        <v>1464</v>
      </c>
      <c r="D64" t="s">
        <v>1003</v>
      </c>
      <c r="E64" t="s">
        <v>1465</v>
      </c>
    </row>
    <row r="65" spans="1:5" x14ac:dyDescent="0.25">
      <c r="A65" t="s">
        <v>1057</v>
      </c>
      <c r="B65" t="s">
        <v>1508</v>
      </c>
      <c r="C65" t="s">
        <v>1464</v>
      </c>
      <c r="D65" t="s">
        <v>1003</v>
      </c>
      <c r="E65" t="s">
        <v>1465</v>
      </c>
    </row>
    <row r="66" spans="1:5" x14ac:dyDescent="0.25">
      <c r="A66" t="s">
        <v>1058</v>
      </c>
      <c r="B66" t="s">
        <v>1508</v>
      </c>
      <c r="C66" t="s">
        <v>1464</v>
      </c>
      <c r="D66" t="s">
        <v>1003</v>
      </c>
      <c r="E66" t="s">
        <v>1465</v>
      </c>
    </row>
    <row r="67" spans="1:5" x14ac:dyDescent="0.25">
      <c r="A67" t="s">
        <v>1059</v>
      </c>
      <c r="B67" t="s">
        <v>1508</v>
      </c>
      <c r="C67" t="s">
        <v>1464</v>
      </c>
      <c r="D67" t="s">
        <v>1003</v>
      </c>
      <c r="E67" t="s">
        <v>1465</v>
      </c>
    </row>
    <row r="68" spans="1:5" x14ac:dyDescent="0.25">
      <c r="A68" t="s">
        <v>1509</v>
      </c>
      <c r="B68" t="s">
        <v>1510</v>
      </c>
      <c r="C68" t="s">
        <v>1464</v>
      </c>
      <c r="D68" t="s">
        <v>7</v>
      </c>
      <c r="E68" t="s">
        <v>1465</v>
      </c>
    </row>
    <row r="69" spans="1:5" x14ac:dyDescent="0.25">
      <c r="A69" t="s">
        <v>1099</v>
      </c>
      <c r="B69" t="s">
        <v>1511</v>
      </c>
      <c r="C69" t="s">
        <v>1464</v>
      </c>
      <c r="D69" t="s">
        <v>7</v>
      </c>
      <c r="E69" t="s">
        <v>1465</v>
      </c>
    </row>
    <row r="70" spans="1:5" x14ac:dyDescent="0.25">
      <c r="A70" t="s">
        <v>1512</v>
      </c>
      <c r="B70" t="s">
        <v>1513</v>
      </c>
      <c r="C70" t="s">
        <v>1464</v>
      </c>
      <c r="D70" t="s">
        <v>7</v>
      </c>
      <c r="E70" t="s">
        <v>1465</v>
      </c>
    </row>
    <row r="71" spans="1:5" x14ac:dyDescent="0.25">
      <c r="A71" t="s">
        <v>1118</v>
      </c>
      <c r="B71" t="s">
        <v>1514</v>
      </c>
      <c r="C71" t="s">
        <v>1464</v>
      </c>
      <c r="D71" t="s">
        <v>7</v>
      </c>
      <c r="E71" t="s">
        <v>1515</v>
      </c>
    </row>
    <row r="72" spans="1:5" x14ac:dyDescent="0.25">
      <c r="A72" t="s">
        <v>1183</v>
      </c>
      <c r="B72" t="s">
        <v>1516</v>
      </c>
      <c r="C72" t="s">
        <v>1464</v>
      </c>
      <c r="D72" t="s">
        <v>987</v>
      </c>
      <c r="E72" t="s">
        <v>1465</v>
      </c>
    </row>
    <row r="73" spans="1:5" x14ac:dyDescent="0.25">
      <c r="A73" t="s">
        <v>1183</v>
      </c>
      <c r="B73" t="s">
        <v>1516</v>
      </c>
      <c r="C73" t="s">
        <v>1464</v>
      </c>
      <c r="D73" t="s">
        <v>987</v>
      </c>
      <c r="E73" t="s">
        <v>1465</v>
      </c>
    </row>
    <row r="74" spans="1:5" x14ac:dyDescent="0.25">
      <c r="A74" t="s">
        <v>1184</v>
      </c>
      <c r="B74" t="s">
        <v>1517</v>
      </c>
      <c r="C74" t="s">
        <v>1464</v>
      </c>
      <c r="D74" t="s">
        <v>1003</v>
      </c>
      <c r="E74" t="s">
        <v>1465</v>
      </c>
    </row>
    <row r="75" spans="1:5" x14ac:dyDescent="0.25">
      <c r="A75" t="s">
        <v>1185</v>
      </c>
      <c r="B75" t="s">
        <v>1517</v>
      </c>
      <c r="C75" t="s">
        <v>1464</v>
      </c>
      <c r="D75" t="s">
        <v>1003</v>
      </c>
      <c r="E75" t="s">
        <v>1465</v>
      </c>
    </row>
    <row r="76" spans="1:5" x14ac:dyDescent="0.25">
      <c r="A76" t="s">
        <v>1186</v>
      </c>
      <c r="B76" t="s">
        <v>1517</v>
      </c>
      <c r="C76" t="s">
        <v>1464</v>
      </c>
      <c r="D76" t="s">
        <v>1003</v>
      </c>
      <c r="E76" t="s">
        <v>1465</v>
      </c>
    </row>
    <row r="77" spans="1:5" x14ac:dyDescent="0.25">
      <c r="A77" t="s">
        <v>1187</v>
      </c>
      <c r="B77" t="s">
        <v>1517</v>
      </c>
      <c r="C77" t="s">
        <v>1464</v>
      </c>
      <c r="D77" t="s">
        <v>1003</v>
      </c>
      <c r="E77" t="s">
        <v>1465</v>
      </c>
    </row>
    <row r="78" spans="1:5" x14ac:dyDescent="0.25">
      <c r="A78" t="s">
        <v>1302</v>
      </c>
      <c r="B78" t="s">
        <v>1518</v>
      </c>
      <c r="C78" t="s">
        <v>1464</v>
      </c>
      <c r="D78" t="s">
        <v>7</v>
      </c>
      <c r="E78" t="s">
        <v>1465</v>
      </c>
    </row>
    <row r="79" spans="1:5" x14ac:dyDescent="0.25">
      <c r="A79" t="s">
        <v>1303</v>
      </c>
      <c r="B79" t="s">
        <v>1519</v>
      </c>
      <c r="C79" t="s">
        <v>1464</v>
      </c>
      <c r="D79" t="s">
        <v>7</v>
      </c>
      <c r="E79" t="s">
        <v>1465</v>
      </c>
    </row>
    <row r="80" spans="1:5" x14ac:dyDescent="0.25">
      <c r="A80" t="s">
        <v>1304</v>
      </c>
      <c r="B80" t="s">
        <v>1520</v>
      </c>
      <c r="C80" t="s">
        <v>1464</v>
      </c>
      <c r="D80" t="s">
        <v>7</v>
      </c>
      <c r="E80" t="s">
        <v>1465</v>
      </c>
    </row>
    <row r="81" spans="1:5" x14ac:dyDescent="0.25">
      <c r="A81" t="s">
        <v>1305</v>
      </c>
      <c r="B81" t="s">
        <v>1521</v>
      </c>
      <c r="C81" t="s">
        <v>1464</v>
      </c>
      <c r="D81" t="s">
        <v>7</v>
      </c>
      <c r="E81" t="s">
        <v>1465</v>
      </c>
    </row>
    <row r="82" spans="1:5" x14ac:dyDescent="0.25">
      <c r="A82" t="s">
        <v>1306</v>
      </c>
      <c r="B82" t="s">
        <v>1522</v>
      </c>
      <c r="C82" t="s">
        <v>1523</v>
      </c>
      <c r="D82" t="s">
        <v>7</v>
      </c>
      <c r="E82" t="s">
        <v>1465</v>
      </c>
    </row>
    <row r="83" spans="1:5" x14ac:dyDescent="0.25">
      <c r="A83" t="s">
        <v>1308</v>
      </c>
      <c r="B83" t="s">
        <v>1522</v>
      </c>
      <c r="C83" t="s">
        <v>1523</v>
      </c>
      <c r="D83" t="s">
        <v>7</v>
      </c>
      <c r="E83" t="s">
        <v>1465</v>
      </c>
    </row>
    <row r="84" spans="1:5" x14ac:dyDescent="0.25">
      <c r="A84" t="s">
        <v>1337</v>
      </c>
      <c r="B84" t="s">
        <v>1524</v>
      </c>
      <c r="C84" t="s">
        <v>1464</v>
      </c>
      <c r="D84" t="s">
        <v>7</v>
      </c>
      <c r="E84" t="s">
        <v>1465</v>
      </c>
    </row>
    <row r="85" spans="1:5" x14ac:dyDescent="0.25">
      <c r="A85" t="s">
        <v>1399</v>
      </c>
      <c r="B85" t="s">
        <v>1525</v>
      </c>
      <c r="C85" t="s">
        <v>1464</v>
      </c>
      <c r="D85" t="s">
        <v>1526</v>
      </c>
      <c r="E85" t="s">
        <v>1465</v>
      </c>
    </row>
    <row r="86" spans="1:5" x14ac:dyDescent="0.25">
      <c r="A86" t="s">
        <v>1400</v>
      </c>
      <c r="B86" t="s">
        <v>1527</v>
      </c>
      <c r="C86" t="s">
        <v>1464</v>
      </c>
      <c r="D86" t="s">
        <v>1526</v>
      </c>
      <c r="E86" t="s">
        <v>1465</v>
      </c>
    </row>
    <row r="87" spans="1:5" x14ac:dyDescent="0.25">
      <c r="A87" t="s">
        <v>1401</v>
      </c>
      <c r="B87" t="s">
        <v>1528</v>
      </c>
      <c r="C87" t="s">
        <v>1464</v>
      </c>
      <c r="D87" t="s">
        <v>1526</v>
      </c>
      <c r="E87" t="s">
        <v>1465</v>
      </c>
    </row>
    <row r="88" spans="1:5" x14ac:dyDescent="0.25">
      <c r="A88" t="s">
        <v>1402</v>
      </c>
      <c r="B88" t="s">
        <v>1529</v>
      </c>
      <c r="C88" t="s">
        <v>1464</v>
      </c>
      <c r="D88" t="s">
        <v>1526</v>
      </c>
      <c r="E88" t="s">
        <v>1465</v>
      </c>
    </row>
    <row r="89" spans="1:5" x14ac:dyDescent="0.25">
      <c r="A89" t="s">
        <v>1403</v>
      </c>
      <c r="B89" t="s">
        <v>1530</v>
      </c>
      <c r="C89" t="s">
        <v>1464</v>
      </c>
      <c r="D89" t="s">
        <v>1526</v>
      </c>
      <c r="E89" t="s">
        <v>1465</v>
      </c>
    </row>
    <row r="90" spans="1:5" x14ac:dyDescent="0.25">
      <c r="A90" t="s">
        <v>1404</v>
      </c>
      <c r="B90" t="s">
        <v>1531</v>
      </c>
      <c r="C90" t="s">
        <v>1464</v>
      </c>
      <c r="D90" t="s">
        <v>1526</v>
      </c>
      <c r="E90" t="s">
        <v>1465</v>
      </c>
    </row>
    <row r="91" spans="1:5" x14ac:dyDescent="0.25">
      <c r="A91" t="s">
        <v>1405</v>
      </c>
      <c r="B91" t="s">
        <v>1532</v>
      </c>
      <c r="C91" t="s">
        <v>1464</v>
      </c>
      <c r="D91" t="s">
        <v>1526</v>
      </c>
      <c r="E91" t="s">
        <v>1465</v>
      </c>
    </row>
    <row r="92" spans="1:5" x14ac:dyDescent="0.25">
      <c r="A92" t="s">
        <v>1406</v>
      </c>
      <c r="B92" t="s">
        <v>1533</v>
      </c>
      <c r="C92" t="s">
        <v>1464</v>
      </c>
      <c r="D92" t="s">
        <v>1526</v>
      </c>
      <c r="E92" t="s">
        <v>1465</v>
      </c>
    </row>
    <row r="93" spans="1:5" x14ac:dyDescent="0.25">
      <c r="A93" t="s">
        <v>1407</v>
      </c>
      <c r="B93" t="s">
        <v>1534</v>
      </c>
      <c r="C93" t="s">
        <v>1464</v>
      </c>
      <c r="D93" t="s">
        <v>1526</v>
      </c>
      <c r="E93" t="s">
        <v>1465</v>
      </c>
    </row>
    <row r="94" spans="1:5" x14ac:dyDescent="0.25">
      <c r="A94" t="s">
        <v>1412</v>
      </c>
      <c r="B94" t="s">
        <v>1535</v>
      </c>
      <c r="C94" t="s">
        <v>1464</v>
      </c>
      <c r="D94" t="s">
        <v>7</v>
      </c>
      <c r="E94" t="s">
        <v>1465</v>
      </c>
    </row>
    <row r="95" spans="1:5" x14ac:dyDescent="0.25">
      <c r="A95" t="s">
        <v>1418</v>
      </c>
      <c r="B95" t="s">
        <v>1536</v>
      </c>
      <c r="C95" t="s">
        <v>1464</v>
      </c>
      <c r="D95" t="s">
        <v>7</v>
      </c>
      <c r="E95" t="s">
        <v>1465</v>
      </c>
    </row>
    <row r="96" spans="1:5" x14ac:dyDescent="0.25">
      <c r="A96" t="s">
        <v>1420</v>
      </c>
      <c r="B96" t="s">
        <v>1537</v>
      </c>
      <c r="C96" t="s">
        <v>1464</v>
      </c>
      <c r="D96" t="s">
        <v>7</v>
      </c>
      <c r="E96" t="s">
        <v>1465</v>
      </c>
    </row>
    <row r="97" spans="1:5" x14ac:dyDescent="0.25">
      <c r="A97" t="s">
        <v>1422</v>
      </c>
      <c r="B97" t="s">
        <v>1538</v>
      </c>
      <c r="C97" t="s">
        <v>1464</v>
      </c>
      <c r="D97" t="s">
        <v>7</v>
      </c>
      <c r="E97" t="s">
        <v>1465</v>
      </c>
    </row>
    <row r="98" spans="1:5" x14ac:dyDescent="0.25">
      <c r="A98" t="s">
        <v>1427</v>
      </c>
      <c r="B98" t="s">
        <v>1539</v>
      </c>
      <c r="C98" t="s">
        <v>1464</v>
      </c>
      <c r="D98" t="s">
        <v>1540</v>
      </c>
      <c r="E98" t="s">
        <v>1465</v>
      </c>
    </row>
    <row r="99" spans="1:5" x14ac:dyDescent="0.25">
      <c r="A99" t="s">
        <v>1428</v>
      </c>
      <c r="B99" t="s">
        <v>1539</v>
      </c>
      <c r="C99" t="s">
        <v>1464</v>
      </c>
      <c r="D99" t="s">
        <v>1540</v>
      </c>
      <c r="E99" t="s">
        <v>1465</v>
      </c>
    </row>
    <row r="100" spans="1:5" x14ac:dyDescent="0.25">
      <c r="A100" t="s">
        <v>1458</v>
      </c>
      <c r="B100" t="s">
        <v>1541</v>
      </c>
      <c r="C100" t="s">
        <v>1464</v>
      </c>
      <c r="D100" t="s">
        <v>7</v>
      </c>
      <c r="E100" t="s">
        <v>1465</v>
      </c>
    </row>
    <row r="101" spans="1:5" x14ac:dyDescent="0.25">
      <c r="A101" t="s">
        <v>1460</v>
      </c>
      <c r="B101" t="s">
        <v>1542</v>
      </c>
      <c r="C101" t="s">
        <v>1464</v>
      </c>
      <c r="D101" t="s">
        <v>7</v>
      </c>
      <c r="E101" t="s">
        <v>1465</v>
      </c>
    </row>
    <row r="102" spans="1:5" x14ac:dyDescent="0.25">
      <c r="A102" t="s">
        <v>986</v>
      </c>
      <c r="B102" t="s">
        <v>1543</v>
      </c>
      <c r="C102" t="s">
        <v>1464</v>
      </c>
      <c r="D102" t="s">
        <v>987</v>
      </c>
      <c r="E102" t="s">
        <v>1465</v>
      </c>
    </row>
    <row r="103" spans="1:5" x14ac:dyDescent="0.25">
      <c r="A103" t="s">
        <v>997</v>
      </c>
      <c r="B103" t="s">
        <v>1543</v>
      </c>
      <c r="C103" t="s">
        <v>1464</v>
      </c>
      <c r="D103" t="s">
        <v>987</v>
      </c>
      <c r="E103" t="s">
        <v>1465</v>
      </c>
    </row>
    <row r="104" spans="1:5" x14ac:dyDescent="0.25">
      <c r="A104" t="s">
        <v>999</v>
      </c>
      <c r="B104" t="s">
        <v>1544</v>
      </c>
      <c r="C104" t="s">
        <v>1464</v>
      </c>
      <c r="D104" t="s">
        <v>987</v>
      </c>
      <c r="E104" t="s">
        <v>1465</v>
      </c>
    </row>
    <row r="105" spans="1:5" x14ac:dyDescent="0.25">
      <c r="A105" t="s">
        <v>1001</v>
      </c>
      <c r="B105" t="s">
        <v>1544</v>
      </c>
      <c r="C105" t="s">
        <v>1464</v>
      </c>
      <c r="D105" t="s">
        <v>987</v>
      </c>
      <c r="E105" t="s">
        <v>1465</v>
      </c>
    </row>
    <row r="106" spans="1:5" x14ac:dyDescent="0.25">
      <c r="A106" t="s">
        <v>1002</v>
      </c>
      <c r="B106" t="s">
        <v>1545</v>
      </c>
      <c r="C106" t="s">
        <v>1464</v>
      </c>
      <c r="D106" t="s">
        <v>987</v>
      </c>
      <c r="E106" t="s">
        <v>1465</v>
      </c>
    </row>
    <row r="107" spans="1:5" x14ac:dyDescent="0.25">
      <c r="A107" t="s">
        <v>1006</v>
      </c>
      <c r="B107" t="s">
        <v>1545</v>
      </c>
      <c r="C107" t="s">
        <v>1464</v>
      </c>
      <c r="D107" t="s">
        <v>987</v>
      </c>
      <c r="E107" t="s">
        <v>1465</v>
      </c>
    </row>
    <row r="108" spans="1:5" x14ac:dyDescent="0.25">
      <c r="A108" t="s">
        <v>1007</v>
      </c>
      <c r="B108" t="s">
        <v>1546</v>
      </c>
      <c r="C108" t="s">
        <v>1464</v>
      </c>
      <c r="D108" t="s">
        <v>987</v>
      </c>
      <c r="E108" t="s">
        <v>1465</v>
      </c>
    </row>
    <row r="109" spans="1:5" x14ac:dyDescent="0.25">
      <c r="A109" t="s">
        <v>1009</v>
      </c>
      <c r="B109" t="s">
        <v>1546</v>
      </c>
      <c r="C109" t="s">
        <v>1464</v>
      </c>
      <c r="D109" t="s">
        <v>987</v>
      </c>
      <c r="E109" t="s">
        <v>1465</v>
      </c>
    </row>
    <row r="110" spans="1:5" x14ac:dyDescent="0.25">
      <c r="A110" t="s">
        <v>1010</v>
      </c>
      <c r="B110" t="s">
        <v>1547</v>
      </c>
      <c r="C110" t="s">
        <v>1464</v>
      </c>
      <c r="D110" t="s">
        <v>987</v>
      </c>
      <c r="E110" t="s">
        <v>1465</v>
      </c>
    </row>
    <row r="111" spans="1:5" x14ac:dyDescent="0.25">
      <c r="A111" t="s">
        <v>1010</v>
      </c>
      <c r="B111" t="s">
        <v>1547</v>
      </c>
      <c r="C111" t="s">
        <v>1464</v>
      </c>
      <c r="D111" t="s">
        <v>987</v>
      </c>
      <c r="E111" t="s">
        <v>1465</v>
      </c>
    </row>
    <row r="112" spans="1:5" x14ac:dyDescent="0.25">
      <c r="A112" t="s">
        <v>1039</v>
      </c>
      <c r="B112" t="s">
        <v>1548</v>
      </c>
      <c r="C112" t="s">
        <v>1464</v>
      </c>
      <c r="D112" t="s">
        <v>7</v>
      </c>
      <c r="E112" t="s">
        <v>1465</v>
      </c>
    </row>
    <row r="113" spans="1:5" x14ac:dyDescent="0.25">
      <c r="A113" t="s">
        <v>1042</v>
      </c>
      <c r="B113" t="s">
        <v>1549</v>
      </c>
      <c r="C113" t="s">
        <v>1464</v>
      </c>
      <c r="D113" t="s">
        <v>7</v>
      </c>
      <c r="E113" t="s">
        <v>1465</v>
      </c>
    </row>
    <row r="114" spans="1:5" x14ac:dyDescent="0.25">
      <c r="A114" t="s">
        <v>1060</v>
      </c>
      <c r="B114" t="s">
        <v>1550</v>
      </c>
      <c r="C114" t="s">
        <v>1484</v>
      </c>
      <c r="D114" t="s">
        <v>7</v>
      </c>
      <c r="E114" t="s">
        <v>1465</v>
      </c>
    </row>
    <row r="115" spans="1:5" x14ac:dyDescent="0.25">
      <c r="A115" t="s">
        <v>1062</v>
      </c>
      <c r="B115" t="s">
        <v>1551</v>
      </c>
      <c r="C115" t="s">
        <v>1464</v>
      </c>
      <c r="D115" t="s">
        <v>7</v>
      </c>
      <c r="E115" t="s">
        <v>1465</v>
      </c>
    </row>
    <row r="116" spans="1:5" x14ac:dyDescent="0.25">
      <c r="A116" t="s">
        <v>1103</v>
      </c>
      <c r="B116" t="s">
        <v>1552</v>
      </c>
      <c r="C116" t="s">
        <v>1464</v>
      </c>
      <c r="D116" t="s">
        <v>7</v>
      </c>
      <c r="E116" t="s">
        <v>1465</v>
      </c>
    </row>
    <row r="117" spans="1:5" x14ac:dyDescent="0.25">
      <c r="A117" t="s">
        <v>1104</v>
      </c>
      <c r="B117" t="s">
        <v>1553</v>
      </c>
      <c r="C117" t="s">
        <v>1484</v>
      </c>
      <c r="D117" t="s">
        <v>987</v>
      </c>
      <c r="E117" t="s">
        <v>1465</v>
      </c>
    </row>
    <row r="118" spans="1:5" x14ac:dyDescent="0.25">
      <c r="A118" t="s">
        <v>1106</v>
      </c>
      <c r="B118" t="s">
        <v>1553</v>
      </c>
      <c r="C118" t="s">
        <v>1484</v>
      </c>
      <c r="D118" t="s">
        <v>987</v>
      </c>
      <c r="E118" t="s">
        <v>1465</v>
      </c>
    </row>
    <row r="119" spans="1:5" x14ac:dyDescent="0.25">
      <c r="A119" t="s">
        <v>1107</v>
      </c>
      <c r="B119" t="s">
        <v>1554</v>
      </c>
      <c r="C119" t="s">
        <v>1484</v>
      </c>
      <c r="D119" t="s">
        <v>987</v>
      </c>
      <c r="E119" t="s">
        <v>1465</v>
      </c>
    </row>
    <row r="120" spans="1:5" x14ac:dyDescent="0.25">
      <c r="A120" t="s">
        <v>1109</v>
      </c>
      <c r="B120" t="s">
        <v>1554</v>
      </c>
      <c r="C120" t="s">
        <v>1484</v>
      </c>
      <c r="D120" t="s">
        <v>987</v>
      </c>
      <c r="E120" t="s">
        <v>1465</v>
      </c>
    </row>
    <row r="121" spans="1:5" x14ac:dyDescent="0.25">
      <c r="A121" t="s">
        <v>1121</v>
      </c>
      <c r="B121" t="s">
        <v>1555</v>
      </c>
      <c r="C121" t="s">
        <v>1464</v>
      </c>
      <c r="D121" t="s">
        <v>7</v>
      </c>
      <c r="E121" t="s">
        <v>1465</v>
      </c>
    </row>
    <row r="122" spans="1:5" x14ac:dyDescent="0.25">
      <c r="A122" t="s">
        <v>1123</v>
      </c>
      <c r="B122" t="s">
        <v>1556</v>
      </c>
      <c r="C122" t="s">
        <v>1464</v>
      </c>
      <c r="D122" t="s">
        <v>7</v>
      </c>
      <c r="E122" t="s">
        <v>1465</v>
      </c>
    </row>
    <row r="123" spans="1:5" x14ac:dyDescent="0.25">
      <c r="A123" t="s">
        <v>1557</v>
      </c>
      <c r="B123" t="s">
        <v>1558</v>
      </c>
      <c r="C123" t="s">
        <v>1523</v>
      </c>
      <c r="D123" t="s">
        <v>7</v>
      </c>
      <c r="E123" t="s">
        <v>1465</v>
      </c>
    </row>
    <row r="124" spans="1:5" x14ac:dyDescent="0.25">
      <c r="A124" t="s">
        <v>1559</v>
      </c>
      <c r="B124" t="s">
        <v>1558</v>
      </c>
      <c r="C124" t="s">
        <v>1523</v>
      </c>
      <c r="D124" t="s">
        <v>7</v>
      </c>
      <c r="E124" t="s">
        <v>1465</v>
      </c>
    </row>
    <row r="125" spans="1:5" x14ac:dyDescent="0.25">
      <c r="A125" t="s">
        <v>1127</v>
      </c>
      <c r="B125" t="s">
        <v>1560</v>
      </c>
      <c r="C125" t="s">
        <v>1464</v>
      </c>
      <c r="D125" t="s">
        <v>7</v>
      </c>
      <c r="E125" t="s">
        <v>1465</v>
      </c>
    </row>
    <row r="126" spans="1:5" x14ac:dyDescent="0.25">
      <c r="A126" t="s">
        <v>1190</v>
      </c>
      <c r="B126" t="s">
        <v>1561</v>
      </c>
      <c r="C126" t="s">
        <v>1464</v>
      </c>
      <c r="D126" t="s">
        <v>987</v>
      </c>
      <c r="E126" t="s">
        <v>1465</v>
      </c>
    </row>
    <row r="127" spans="1:5" x14ac:dyDescent="0.25">
      <c r="A127" t="s">
        <v>1192</v>
      </c>
      <c r="B127" t="s">
        <v>1561</v>
      </c>
      <c r="C127" t="s">
        <v>1464</v>
      </c>
      <c r="D127" t="s">
        <v>987</v>
      </c>
      <c r="E127" t="s">
        <v>1465</v>
      </c>
    </row>
    <row r="128" spans="1:5" x14ac:dyDescent="0.25">
      <c r="A128" t="s">
        <v>1193</v>
      </c>
      <c r="B128" t="s">
        <v>1562</v>
      </c>
      <c r="C128" t="s">
        <v>1464</v>
      </c>
      <c r="D128" t="s">
        <v>987</v>
      </c>
      <c r="E128" t="s">
        <v>1465</v>
      </c>
    </row>
    <row r="129" spans="1:5" x14ac:dyDescent="0.25">
      <c r="A129" t="s">
        <v>1195</v>
      </c>
      <c r="B129" t="s">
        <v>1562</v>
      </c>
      <c r="C129" t="s">
        <v>1464</v>
      </c>
      <c r="D129" t="s">
        <v>987</v>
      </c>
      <c r="E129" t="s">
        <v>1465</v>
      </c>
    </row>
    <row r="130" spans="1:5" x14ac:dyDescent="0.25">
      <c r="A130" t="s">
        <v>1196</v>
      </c>
      <c r="B130" t="s">
        <v>1563</v>
      </c>
      <c r="C130" t="s">
        <v>1464</v>
      </c>
      <c r="D130" t="s">
        <v>1003</v>
      </c>
      <c r="E130" t="s">
        <v>1515</v>
      </c>
    </row>
    <row r="131" spans="1:5" x14ac:dyDescent="0.25">
      <c r="A131" t="s">
        <v>1198</v>
      </c>
      <c r="B131" t="s">
        <v>1563</v>
      </c>
      <c r="C131" t="s">
        <v>1464</v>
      </c>
      <c r="D131" t="s">
        <v>1003</v>
      </c>
      <c r="E131" t="s">
        <v>1515</v>
      </c>
    </row>
    <row r="132" spans="1:5" x14ac:dyDescent="0.25">
      <c r="A132" t="s">
        <v>1200</v>
      </c>
      <c r="B132" t="s">
        <v>1563</v>
      </c>
      <c r="C132" t="s">
        <v>1464</v>
      </c>
      <c r="D132" t="s">
        <v>1003</v>
      </c>
      <c r="E132" t="s">
        <v>1515</v>
      </c>
    </row>
    <row r="133" spans="1:5" x14ac:dyDescent="0.25">
      <c r="A133" t="s">
        <v>1201</v>
      </c>
      <c r="B133" t="s">
        <v>1563</v>
      </c>
      <c r="C133" t="s">
        <v>1464</v>
      </c>
      <c r="D133" t="s">
        <v>1003</v>
      </c>
      <c r="E133" t="s">
        <v>1515</v>
      </c>
    </row>
    <row r="134" spans="1:5" x14ac:dyDescent="0.25">
      <c r="A134" t="s">
        <v>1564</v>
      </c>
      <c r="B134" t="s">
        <v>1565</v>
      </c>
      <c r="C134" t="s">
        <v>1464</v>
      </c>
      <c r="D134" t="s">
        <v>1003</v>
      </c>
      <c r="E134" t="s">
        <v>1515</v>
      </c>
    </row>
    <row r="135" spans="1:5" x14ac:dyDescent="0.25">
      <c r="A135" t="s">
        <v>1204</v>
      </c>
      <c r="B135" t="s">
        <v>1565</v>
      </c>
      <c r="C135" t="s">
        <v>1464</v>
      </c>
      <c r="D135" t="s">
        <v>1003</v>
      </c>
      <c r="E135" t="s">
        <v>1515</v>
      </c>
    </row>
    <row r="136" spans="1:5" x14ac:dyDescent="0.25">
      <c r="A136" t="s">
        <v>1205</v>
      </c>
      <c r="B136" t="s">
        <v>1565</v>
      </c>
      <c r="C136" t="s">
        <v>1464</v>
      </c>
      <c r="D136" t="s">
        <v>1003</v>
      </c>
      <c r="E136" t="s">
        <v>1515</v>
      </c>
    </row>
    <row r="137" spans="1:5" x14ac:dyDescent="0.25">
      <c r="A137" t="s">
        <v>1206</v>
      </c>
      <c r="B137" t="s">
        <v>1565</v>
      </c>
      <c r="C137" t="s">
        <v>1464</v>
      </c>
      <c r="D137" t="s">
        <v>1003</v>
      </c>
      <c r="E137" t="s">
        <v>1515</v>
      </c>
    </row>
    <row r="138" spans="1:5" x14ac:dyDescent="0.25">
      <c r="A138" t="s">
        <v>1566</v>
      </c>
      <c r="B138" t="s">
        <v>1567</v>
      </c>
      <c r="C138" t="s">
        <v>1464</v>
      </c>
      <c r="D138" t="s">
        <v>1003</v>
      </c>
      <c r="E138" t="s">
        <v>1515</v>
      </c>
    </row>
    <row r="139" spans="1:5" x14ac:dyDescent="0.25">
      <c r="A139" t="s">
        <v>1209</v>
      </c>
      <c r="B139" t="s">
        <v>1567</v>
      </c>
      <c r="C139" t="s">
        <v>1464</v>
      </c>
      <c r="D139" t="s">
        <v>1003</v>
      </c>
      <c r="E139" t="s">
        <v>1515</v>
      </c>
    </row>
    <row r="140" spans="1:5" x14ac:dyDescent="0.25">
      <c r="A140" t="s">
        <v>1210</v>
      </c>
      <c r="B140" t="s">
        <v>1567</v>
      </c>
      <c r="C140" t="s">
        <v>1464</v>
      </c>
      <c r="D140" t="s">
        <v>1003</v>
      </c>
      <c r="E140" t="s">
        <v>1515</v>
      </c>
    </row>
    <row r="141" spans="1:5" x14ac:dyDescent="0.25">
      <c r="A141" t="s">
        <v>1211</v>
      </c>
      <c r="B141" t="s">
        <v>1567</v>
      </c>
      <c r="C141" t="s">
        <v>1464</v>
      </c>
      <c r="D141" t="s">
        <v>1003</v>
      </c>
      <c r="E141" t="s">
        <v>1515</v>
      </c>
    </row>
    <row r="142" spans="1:5" x14ac:dyDescent="0.25">
      <c r="A142" t="s">
        <v>1212</v>
      </c>
      <c r="B142" t="s">
        <v>1568</v>
      </c>
      <c r="C142" t="s">
        <v>1464</v>
      </c>
      <c r="D142" t="s">
        <v>7</v>
      </c>
      <c r="E142" t="s">
        <v>1465</v>
      </c>
    </row>
    <row r="143" spans="1:5" x14ac:dyDescent="0.25">
      <c r="A143" t="s">
        <v>1215</v>
      </c>
      <c r="B143" t="s">
        <v>1569</v>
      </c>
      <c r="C143" t="s">
        <v>1464</v>
      </c>
      <c r="D143" t="s">
        <v>7</v>
      </c>
      <c r="E143" t="s">
        <v>1465</v>
      </c>
    </row>
    <row r="144" spans="1:5" x14ac:dyDescent="0.25">
      <c r="A144" t="s">
        <v>1216</v>
      </c>
      <c r="B144" t="s">
        <v>1570</v>
      </c>
      <c r="C144" t="s">
        <v>1464</v>
      </c>
      <c r="D144" t="s">
        <v>7</v>
      </c>
      <c r="E144" t="s">
        <v>1465</v>
      </c>
    </row>
    <row r="145" spans="1:5" x14ac:dyDescent="0.25">
      <c r="A145" t="s">
        <v>1217</v>
      </c>
      <c r="B145" t="s">
        <v>1571</v>
      </c>
      <c r="C145" t="s">
        <v>1464</v>
      </c>
      <c r="D145" t="s">
        <v>7</v>
      </c>
      <c r="E145" t="s">
        <v>1465</v>
      </c>
    </row>
    <row r="146" spans="1:5" x14ac:dyDescent="0.25">
      <c r="A146" t="s">
        <v>1218</v>
      </c>
      <c r="B146" t="s">
        <v>1572</v>
      </c>
      <c r="C146" t="s">
        <v>1464</v>
      </c>
      <c r="D146" t="s">
        <v>7</v>
      </c>
      <c r="E146" t="s">
        <v>1465</v>
      </c>
    </row>
    <row r="147" spans="1:5" x14ac:dyDescent="0.25">
      <c r="A147" t="s">
        <v>1219</v>
      </c>
      <c r="B147" t="s">
        <v>1573</v>
      </c>
      <c r="C147" t="s">
        <v>1464</v>
      </c>
      <c r="D147" t="s">
        <v>7</v>
      </c>
      <c r="E147" t="s">
        <v>1465</v>
      </c>
    </row>
    <row r="148" spans="1:5" x14ac:dyDescent="0.25">
      <c r="A148" t="s">
        <v>1220</v>
      </c>
      <c r="B148" t="s">
        <v>1574</v>
      </c>
      <c r="C148" t="s">
        <v>1464</v>
      </c>
      <c r="D148" t="s">
        <v>7</v>
      </c>
      <c r="E148" t="s">
        <v>1465</v>
      </c>
    </row>
    <row r="149" spans="1:5" x14ac:dyDescent="0.25">
      <c r="A149" t="s">
        <v>1221</v>
      </c>
      <c r="B149" t="s">
        <v>1575</v>
      </c>
      <c r="C149" t="s">
        <v>1464</v>
      </c>
      <c r="D149" t="s">
        <v>7</v>
      </c>
      <c r="E149" t="s">
        <v>1465</v>
      </c>
    </row>
    <row r="150" spans="1:5" x14ac:dyDescent="0.25">
      <c r="A150" t="s">
        <v>1222</v>
      </c>
      <c r="B150" t="s">
        <v>1576</v>
      </c>
      <c r="C150" t="s">
        <v>1464</v>
      </c>
      <c r="D150" t="s">
        <v>7</v>
      </c>
      <c r="E150" t="s">
        <v>1465</v>
      </c>
    </row>
    <row r="151" spans="1:5" x14ac:dyDescent="0.25">
      <c r="A151" t="s">
        <v>1223</v>
      </c>
      <c r="B151" t="s">
        <v>1577</v>
      </c>
      <c r="C151" t="s">
        <v>1464</v>
      </c>
      <c r="D151" t="s">
        <v>7</v>
      </c>
      <c r="E151" t="s">
        <v>1465</v>
      </c>
    </row>
    <row r="152" spans="1:5" x14ac:dyDescent="0.25">
      <c r="A152" t="s">
        <v>1224</v>
      </c>
      <c r="B152" t="s">
        <v>1578</v>
      </c>
      <c r="C152" t="s">
        <v>1464</v>
      </c>
      <c r="D152" t="s">
        <v>7</v>
      </c>
      <c r="E152" t="s">
        <v>1465</v>
      </c>
    </row>
    <row r="153" spans="1:5" x14ac:dyDescent="0.25">
      <c r="A153" t="s">
        <v>1225</v>
      </c>
      <c r="B153" t="s">
        <v>1579</v>
      </c>
      <c r="C153" t="s">
        <v>1464</v>
      </c>
      <c r="D153" t="s">
        <v>7</v>
      </c>
      <c r="E153" t="s">
        <v>1465</v>
      </c>
    </row>
    <row r="154" spans="1:5" x14ac:dyDescent="0.25">
      <c r="A154" t="s">
        <v>1226</v>
      </c>
      <c r="B154" t="s">
        <v>1580</v>
      </c>
      <c r="C154" t="s">
        <v>1464</v>
      </c>
      <c r="D154" t="s">
        <v>1003</v>
      </c>
      <c r="E154" t="s">
        <v>1515</v>
      </c>
    </row>
    <row r="155" spans="1:5" x14ac:dyDescent="0.25">
      <c r="A155" t="s">
        <v>1229</v>
      </c>
      <c r="B155" t="s">
        <v>1580</v>
      </c>
      <c r="C155" t="s">
        <v>1464</v>
      </c>
      <c r="D155" t="s">
        <v>1003</v>
      </c>
      <c r="E155" t="s">
        <v>1515</v>
      </c>
    </row>
    <row r="156" spans="1:5" x14ac:dyDescent="0.25">
      <c r="A156" t="s">
        <v>1231</v>
      </c>
      <c r="B156" t="s">
        <v>1580</v>
      </c>
      <c r="C156" t="s">
        <v>1464</v>
      </c>
      <c r="D156" t="s">
        <v>1003</v>
      </c>
      <c r="E156" t="s">
        <v>1515</v>
      </c>
    </row>
    <row r="157" spans="1:5" x14ac:dyDescent="0.25">
      <c r="A157" t="s">
        <v>1232</v>
      </c>
      <c r="B157" t="s">
        <v>1580</v>
      </c>
      <c r="C157" t="s">
        <v>1464</v>
      </c>
      <c r="D157" t="s">
        <v>1003</v>
      </c>
      <c r="E157" t="s">
        <v>1515</v>
      </c>
    </row>
    <row r="158" spans="1:5" x14ac:dyDescent="0.25">
      <c r="A158" t="s">
        <v>1233</v>
      </c>
      <c r="B158" t="s">
        <v>1581</v>
      </c>
      <c r="C158" t="s">
        <v>1464</v>
      </c>
      <c r="D158" t="s">
        <v>1003</v>
      </c>
      <c r="E158" t="s">
        <v>1515</v>
      </c>
    </row>
    <row r="159" spans="1:5" x14ac:dyDescent="0.25">
      <c r="A159" t="s">
        <v>1234</v>
      </c>
      <c r="B159" t="s">
        <v>1581</v>
      </c>
      <c r="C159" t="s">
        <v>1464</v>
      </c>
      <c r="D159" t="s">
        <v>1003</v>
      </c>
      <c r="E159" t="s">
        <v>1515</v>
      </c>
    </row>
    <row r="160" spans="1:5" x14ac:dyDescent="0.25">
      <c r="A160" t="s">
        <v>1235</v>
      </c>
      <c r="B160" t="s">
        <v>1581</v>
      </c>
      <c r="C160" t="s">
        <v>1464</v>
      </c>
      <c r="D160" t="s">
        <v>1003</v>
      </c>
      <c r="E160" t="s">
        <v>1515</v>
      </c>
    </row>
    <row r="161" spans="1:5" x14ac:dyDescent="0.25">
      <c r="A161" t="s">
        <v>1236</v>
      </c>
      <c r="B161" t="s">
        <v>1581</v>
      </c>
      <c r="C161" t="s">
        <v>1464</v>
      </c>
      <c r="D161" t="s">
        <v>1003</v>
      </c>
      <c r="E161" t="s">
        <v>1515</v>
      </c>
    </row>
    <row r="162" spans="1:5" x14ac:dyDescent="0.25">
      <c r="A162" t="s">
        <v>1237</v>
      </c>
      <c r="B162" t="s">
        <v>1582</v>
      </c>
      <c r="C162" t="s">
        <v>1464</v>
      </c>
      <c r="D162" t="s">
        <v>7</v>
      </c>
      <c r="E162" t="s">
        <v>1465</v>
      </c>
    </row>
    <row r="163" spans="1:5" x14ac:dyDescent="0.25">
      <c r="A163" t="s">
        <v>1238</v>
      </c>
      <c r="B163" t="s">
        <v>1582</v>
      </c>
      <c r="C163" t="s">
        <v>1464</v>
      </c>
      <c r="D163" t="s">
        <v>7</v>
      </c>
      <c r="E163" t="s">
        <v>1465</v>
      </c>
    </row>
    <row r="164" spans="1:5" x14ac:dyDescent="0.25">
      <c r="A164" t="s">
        <v>1239</v>
      </c>
      <c r="B164" t="s">
        <v>1582</v>
      </c>
      <c r="C164" t="s">
        <v>1464</v>
      </c>
      <c r="D164" t="s">
        <v>7</v>
      </c>
      <c r="E164" t="s">
        <v>1465</v>
      </c>
    </row>
    <row r="165" spans="1:5" x14ac:dyDescent="0.25">
      <c r="A165" t="s">
        <v>1240</v>
      </c>
      <c r="B165" t="s">
        <v>1582</v>
      </c>
      <c r="C165" t="s">
        <v>1464</v>
      </c>
      <c r="D165" t="s">
        <v>7</v>
      </c>
      <c r="E165" t="s">
        <v>1465</v>
      </c>
    </row>
    <row r="166" spans="1:5" x14ac:dyDescent="0.25">
      <c r="A166" t="s">
        <v>1241</v>
      </c>
      <c r="B166" t="s">
        <v>1583</v>
      </c>
      <c r="C166" t="s">
        <v>1464</v>
      </c>
      <c r="D166" t="s">
        <v>7</v>
      </c>
      <c r="E166" t="s">
        <v>1515</v>
      </c>
    </row>
    <row r="167" spans="1:5" x14ac:dyDescent="0.25">
      <c r="A167" t="s">
        <v>1241</v>
      </c>
      <c r="B167" t="s">
        <v>1584</v>
      </c>
      <c r="C167" t="s">
        <v>1464</v>
      </c>
      <c r="D167" t="s">
        <v>7</v>
      </c>
      <c r="E167" t="s">
        <v>1515</v>
      </c>
    </row>
    <row r="168" spans="1:5" x14ac:dyDescent="0.25">
      <c r="A168" t="s">
        <v>1241</v>
      </c>
      <c r="B168" t="s">
        <v>1585</v>
      </c>
      <c r="C168" t="s">
        <v>1464</v>
      </c>
      <c r="D168" t="s">
        <v>7</v>
      </c>
      <c r="E168" t="s">
        <v>1515</v>
      </c>
    </row>
    <row r="169" spans="1:5" x14ac:dyDescent="0.25">
      <c r="A169" t="s">
        <v>1241</v>
      </c>
      <c r="B169" t="s">
        <v>1586</v>
      </c>
      <c r="C169" t="s">
        <v>1464</v>
      </c>
      <c r="D169" t="s">
        <v>7</v>
      </c>
      <c r="E169" t="s">
        <v>1515</v>
      </c>
    </row>
    <row r="170" spans="1:5" x14ac:dyDescent="0.25">
      <c r="A170" t="s">
        <v>1587</v>
      </c>
      <c r="B170" t="s">
        <v>1588</v>
      </c>
      <c r="C170" t="s">
        <v>1464</v>
      </c>
      <c r="D170" t="s">
        <v>7</v>
      </c>
      <c r="E170" t="s">
        <v>1465</v>
      </c>
    </row>
    <row r="171" spans="1:5" x14ac:dyDescent="0.25">
      <c r="A171" t="s">
        <v>1589</v>
      </c>
      <c r="B171" t="s">
        <v>1590</v>
      </c>
      <c r="C171" t="s">
        <v>1464</v>
      </c>
      <c r="D171" t="s">
        <v>7</v>
      </c>
      <c r="E171" t="s">
        <v>1465</v>
      </c>
    </row>
    <row r="172" spans="1:5" x14ac:dyDescent="0.25">
      <c r="A172" t="s">
        <v>1591</v>
      </c>
      <c r="B172" t="s">
        <v>1592</v>
      </c>
      <c r="C172" t="s">
        <v>1464</v>
      </c>
      <c r="D172" t="s">
        <v>7</v>
      </c>
      <c r="E172" t="s">
        <v>1465</v>
      </c>
    </row>
    <row r="173" spans="1:5" x14ac:dyDescent="0.25">
      <c r="A173" t="s">
        <v>1593</v>
      </c>
      <c r="B173" t="s">
        <v>1594</v>
      </c>
      <c r="C173" t="s">
        <v>1464</v>
      </c>
      <c r="D173" t="s">
        <v>7</v>
      </c>
      <c r="E173" t="s">
        <v>1465</v>
      </c>
    </row>
    <row r="174" spans="1:5" x14ac:dyDescent="0.25">
      <c r="A174" t="s">
        <v>1595</v>
      </c>
      <c r="B174" t="s">
        <v>1596</v>
      </c>
      <c r="C174" t="s">
        <v>1464</v>
      </c>
      <c r="D174" t="s">
        <v>7</v>
      </c>
      <c r="E174" t="s">
        <v>1465</v>
      </c>
    </row>
    <row r="175" spans="1:5" x14ac:dyDescent="0.25">
      <c r="A175" t="s">
        <v>1597</v>
      </c>
      <c r="B175" t="s">
        <v>1598</v>
      </c>
      <c r="C175" t="s">
        <v>1464</v>
      </c>
      <c r="D175" t="s">
        <v>7</v>
      </c>
      <c r="E175" t="s">
        <v>1465</v>
      </c>
    </row>
    <row r="176" spans="1:5" x14ac:dyDescent="0.25">
      <c r="A176" t="s">
        <v>1599</v>
      </c>
      <c r="B176" t="s">
        <v>1600</v>
      </c>
      <c r="C176" t="s">
        <v>1464</v>
      </c>
      <c r="D176" t="s">
        <v>7</v>
      </c>
      <c r="E176" t="s">
        <v>1465</v>
      </c>
    </row>
    <row r="177" spans="1:5" x14ac:dyDescent="0.25">
      <c r="A177" t="s">
        <v>1601</v>
      </c>
      <c r="B177" t="s">
        <v>1602</v>
      </c>
      <c r="C177" t="s">
        <v>1464</v>
      </c>
      <c r="D177" t="s">
        <v>7</v>
      </c>
      <c r="E177" t="s">
        <v>1465</v>
      </c>
    </row>
    <row r="178" spans="1:5" x14ac:dyDescent="0.25">
      <c r="A178" t="s">
        <v>1603</v>
      </c>
      <c r="B178" t="s">
        <v>1604</v>
      </c>
      <c r="C178" t="s">
        <v>1464</v>
      </c>
      <c r="D178" t="s">
        <v>7</v>
      </c>
      <c r="E178" t="s">
        <v>1465</v>
      </c>
    </row>
    <row r="179" spans="1:5" x14ac:dyDescent="0.25">
      <c r="A179" t="s">
        <v>1605</v>
      </c>
      <c r="B179" t="s">
        <v>1606</v>
      </c>
      <c r="C179" t="s">
        <v>1464</v>
      </c>
      <c r="D179" t="s">
        <v>7</v>
      </c>
      <c r="E179" t="s">
        <v>1465</v>
      </c>
    </row>
    <row r="180" spans="1:5" x14ac:dyDescent="0.25">
      <c r="A180" t="s">
        <v>1607</v>
      </c>
      <c r="B180" t="s">
        <v>1608</v>
      </c>
      <c r="C180" t="s">
        <v>1464</v>
      </c>
      <c r="D180" t="s">
        <v>7</v>
      </c>
      <c r="E180" t="s">
        <v>1465</v>
      </c>
    </row>
    <row r="181" spans="1:5" x14ac:dyDescent="0.25">
      <c r="A181" t="s">
        <v>1609</v>
      </c>
      <c r="B181" t="s">
        <v>1610</v>
      </c>
      <c r="C181" t="s">
        <v>1464</v>
      </c>
      <c r="D181" t="s">
        <v>7</v>
      </c>
      <c r="E181" t="s">
        <v>1465</v>
      </c>
    </row>
    <row r="182" spans="1:5" x14ac:dyDescent="0.25">
      <c r="A182" t="s">
        <v>1293</v>
      </c>
      <c r="B182" t="s">
        <v>1611</v>
      </c>
      <c r="C182" t="s">
        <v>1464</v>
      </c>
      <c r="D182" t="s">
        <v>987</v>
      </c>
      <c r="E182" t="s">
        <v>1465</v>
      </c>
    </row>
    <row r="183" spans="1:5" x14ac:dyDescent="0.25">
      <c r="A183" t="s">
        <v>1295</v>
      </c>
      <c r="B183" t="s">
        <v>1611</v>
      </c>
      <c r="C183" t="s">
        <v>1464</v>
      </c>
      <c r="D183" t="s">
        <v>987</v>
      </c>
      <c r="E183" t="s">
        <v>1465</v>
      </c>
    </row>
    <row r="184" spans="1:5" x14ac:dyDescent="0.25">
      <c r="A184" t="s">
        <v>1296</v>
      </c>
      <c r="B184" t="s">
        <v>1612</v>
      </c>
      <c r="C184" t="s">
        <v>1464</v>
      </c>
      <c r="D184" t="s">
        <v>987</v>
      </c>
      <c r="E184" t="s">
        <v>1465</v>
      </c>
    </row>
    <row r="185" spans="1:5" x14ac:dyDescent="0.25">
      <c r="A185" t="s">
        <v>1298</v>
      </c>
      <c r="B185" t="s">
        <v>1612</v>
      </c>
      <c r="C185" t="s">
        <v>1464</v>
      </c>
      <c r="D185" t="s">
        <v>987</v>
      </c>
      <c r="E185" t="s">
        <v>1465</v>
      </c>
    </row>
    <row r="186" spans="1:5" x14ac:dyDescent="0.25">
      <c r="A186" t="s">
        <v>1309</v>
      </c>
      <c r="B186" t="s">
        <v>1613</v>
      </c>
      <c r="C186" t="s">
        <v>1464</v>
      </c>
      <c r="D186" t="s">
        <v>7</v>
      </c>
      <c r="E186" t="s">
        <v>1465</v>
      </c>
    </row>
    <row r="187" spans="1:5" x14ac:dyDescent="0.25">
      <c r="A187" t="s">
        <v>1310</v>
      </c>
      <c r="B187" t="s">
        <v>1614</v>
      </c>
      <c r="C187" t="s">
        <v>1464</v>
      </c>
      <c r="D187" t="s">
        <v>7</v>
      </c>
      <c r="E187" t="s">
        <v>1465</v>
      </c>
    </row>
    <row r="188" spans="1:5" x14ac:dyDescent="0.25">
      <c r="A188" t="s">
        <v>1311</v>
      </c>
      <c r="B188" t="s">
        <v>1615</v>
      </c>
      <c r="C188" t="s">
        <v>1464</v>
      </c>
      <c r="D188" t="s">
        <v>987</v>
      </c>
      <c r="E188" t="s">
        <v>1465</v>
      </c>
    </row>
    <row r="189" spans="1:5" x14ac:dyDescent="0.25">
      <c r="A189" t="s">
        <v>1311</v>
      </c>
      <c r="B189" t="s">
        <v>1615</v>
      </c>
      <c r="C189" t="s">
        <v>1464</v>
      </c>
      <c r="D189" t="s">
        <v>987</v>
      </c>
      <c r="E189" t="s">
        <v>1465</v>
      </c>
    </row>
    <row r="190" spans="1:5" x14ac:dyDescent="0.25">
      <c r="A190" t="s">
        <v>1312</v>
      </c>
      <c r="B190" t="s">
        <v>1616</v>
      </c>
      <c r="C190" t="s">
        <v>1464</v>
      </c>
      <c r="D190" t="s">
        <v>987</v>
      </c>
      <c r="E190" t="s">
        <v>1465</v>
      </c>
    </row>
    <row r="191" spans="1:5" x14ac:dyDescent="0.25">
      <c r="A191" t="s">
        <v>1312</v>
      </c>
      <c r="B191" t="s">
        <v>1616</v>
      </c>
      <c r="C191" t="s">
        <v>1464</v>
      </c>
      <c r="D191" t="s">
        <v>987</v>
      </c>
      <c r="E191" t="s">
        <v>1465</v>
      </c>
    </row>
    <row r="192" spans="1:5" x14ac:dyDescent="0.25">
      <c r="A192" t="s">
        <v>1314</v>
      </c>
      <c r="B192" t="s">
        <v>1617</v>
      </c>
      <c r="C192" t="s">
        <v>1464</v>
      </c>
      <c r="D192" t="s">
        <v>987</v>
      </c>
      <c r="E192" t="s">
        <v>1465</v>
      </c>
    </row>
    <row r="193" spans="1:5" x14ac:dyDescent="0.25">
      <c r="A193" t="s">
        <v>1314</v>
      </c>
      <c r="B193" t="s">
        <v>1617</v>
      </c>
      <c r="C193" t="s">
        <v>1464</v>
      </c>
      <c r="D193" t="s">
        <v>987</v>
      </c>
      <c r="E193" t="s">
        <v>1465</v>
      </c>
    </row>
    <row r="194" spans="1:5" x14ac:dyDescent="0.25">
      <c r="A194" t="s">
        <v>1317</v>
      </c>
      <c r="B194" t="s">
        <v>1618</v>
      </c>
      <c r="C194" t="s">
        <v>1464</v>
      </c>
      <c r="D194" t="s">
        <v>7</v>
      </c>
      <c r="E194" t="s">
        <v>1465</v>
      </c>
    </row>
    <row r="195" spans="1:5" x14ac:dyDescent="0.25">
      <c r="A195" t="s">
        <v>1320</v>
      </c>
      <c r="B195" t="s">
        <v>1619</v>
      </c>
      <c r="C195" t="s">
        <v>1464</v>
      </c>
      <c r="D195" t="s">
        <v>7</v>
      </c>
      <c r="E195" t="s">
        <v>1465</v>
      </c>
    </row>
    <row r="196" spans="1:5" x14ac:dyDescent="0.25">
      <c r="A196" t="s">
        <v>1434</v>
      </c>
      <c r="B196" t="s">
        <v>1620</v>
      </c>
      <c r="C196" t="s">
        <v>1464</v>
      </c>
      <c r="D196" t="s">
        <v>7</v>
      </c>
      <c r="E196" t="s">
        <v>1465</v>
      </c>
    </row>
    <row r="197" spans="1:5" x14ac:dyDescent="0.25">
      <c r="A197" t="s">
        <v>1436</v>
      </c>
      <c r="B197" t="s">
        <v>1621</v>
      </c>
      <c r="C197" t="s">
        <v>1464</v>
      </c>
      <c r="D197" t="s">
        <v>7</v>
      </c>
      <c r="E197" t="s">
        <v>1465</v>
      </c>
    </row>
    <row r="198" spans="1:5" x14ac:dyDescent="0.25">
      <c r="A198" t="s">
        <v>1438</v>
      </c>
      <c r="B198" t="s">
        <v>1622</v>
      </c>
      <c r="C198" t="s">
        <v>1464</v>
      </c>
      <c r="D198" t="s">
        <v>7</v>
      </c>
      <c r="E198" t="s">
        <v>1465</v>
      </c>
    </row>
    <row r="199" spans="1:5" x14ac:dyDescent="0.25">
      <c r="A199" t="s">
        <v>1440</v>
      </c>
      <c r="B199" t="s">
        <v>1623</v>
      </c>
      <c r="C199" t="s">
        <v>1464</v>
      </c>
      <c r="D199" t="s">
        <v>7</v>
      </c>
      <c r="E199" t="s">
        <v>1465</v>
      </c>
    </row>
    <row r="200" spans="1:5" x14ac:dyDescent="0.25">
      <c r="A200" t="s">
        <v>1043</v>
      </c>
      <c r="B200" t="s">
        <v>1624</v>
      </c>
      <c r="C200" t="s">
        <v>1464</v>
      </c>
      <c r="D200" t="s">
        <v>987</v>
      </c>
      <c r="E200" t="s">
        <v>1465</v>
      </c>
    </row>
    <row r="201" spans="1:5" x14ac:dyDescent="0.25">
      <c r="A201" t="s">
        <v>1043</v>
      </c>
      <c r="B201" t="s">
        <v>1624</v>
      </c>
      <c r="C201" t="s">
        <v>1464</v>
      </c>
      <c r="D201" t="s">
        <v>987</v>
      </c>
      <c r="E201" t="s">
        <v>1465</v>
      </c>
    </row>
    <row r="202" spans="1:5" x14ac:dyDescent="0.25">
      <c r="A202" t="s">
        <v>1064</v>
      </c>
      <c r="B202" t="s">
        <v>1483</v>
      </c>
      <c r="C202" t="s">
        <v>1625</v>
      </c>
      <c r="D202" t="s">
        <v>7</v>
      </c>
      <c r="E202" t="s">
        <v>1465</v>
      </c>
    </row>
    <row r="203" spans="1:5" x14ac:dyDescent="0.25">
      <c r="A203" t="s">
        <v>1067</v>
      </c>
      <c r="B203" t="s">
        <v>1550</v>
      </c>
      <c r="C203" t="s">
        <v>1625</v>
      </c>
      <c r="D203" t="s">
        <v>7</v>
      </c>
      <c r="E203" t="s">
        <v>1465</v>
      </c>
    </row>
    <row r="204" spans="1:5" x14ac:dyDescent="0.25">
      <c r="A204" t="s">
        <v>1110</v>
      </c>
      <c r="B204" t="s">
        <v>1553</v>
      </c>
      <c r="C204" t="s">
        <v>1625</v>
      </c>
      <c r="D204" t="s">
        <v>987</v>
      </c>
      <c r="E204" t="s">
        <v>1465</v>
      </c>
    </row>
    <row r="205" spans="1:5" x14ac:dyDescent="0.25">
      <c r="A205" t="s">
        <v>1112</v>
      </c>
      <c r="B205" t="s">
        <v>1553</v>
      </c>
      <c r="C205" t="s">
        <v>1625</v>
      </c>
      <c r="D205" t="s">
        <v>987</v>
      </c>
      <c r="E205" t="s">
        <v>1465</v>
      </c>
    </row>
    <row r="206" spans="1:5" x14ac:dyDescent="0.25">
      <c r="A206" t="s">
        <v>1113</v>
      </c>
      <c r="B206" t="s">
        <v>1554</v>
      </c>
      <c r="C206" t="s">
        <v>1625</v>
      </c>
      <c r="D206" t="s">
        <v>987</v>
      </c>
      <c r="E206" t="s">
        <v>1465</v>
      </c>
    </row>
    <row r="207" spans="1:5" x14ac:dyDescent="0.25">
      <c r="A207" t="s">
        <v>1114</v>
      </c>
      <c r="B207" t="s">
        <v>1554</v>
      </c>
      <c r="C207" t="s">
        <v>1625</v>
      </c>
      <c r="D207" t="s">
        <v>987</v>
      </c>
      <c r="E207" t="s">
        <v>1465</v>
      </c>
    </row>
    <row r="208" spans="1:5" x14ac:dyDescent="0.25">
      <c r="A208" t="s">
        <v>1626</v>
      </c>
      <c r="B208" t="s">
        <v>1627</v>
      </c>
      <c r="C208" t="s">
        <v>1464</v>
      </c>
      <c r="D208" t="s">
        <v>987</v>
      </c>
      <c r="E208" t="s">
        <v>1465</v>
      </c>
    </row>
    <row r="209" spans="1:5" x14ac:dyDescent="0.25">
      <c r="A209" t="s">
        <v>1626</v>
      </c>
      <c r="B209" t="s">
        <v>1627</v>
      </c>
      <c r="C209" t="s">
        <v>1464</v>
      </c>
      <c r="D209" t="s">
        <v>987</v>
      </c>
      <c r="E209" t="s">
        <v>1465</v>
      </c>
    </row>
    <row r="210" spans="1:5" x14ac:dyDescent="0.25">
      <c r="A210" t="s">
        <v>1628</v>
      </c>
      <c r="B210" t="s">
        <v>1629</v>
      </c>
      <c r="C210" t="s">
        <v>1464</v>
      </c>
      <c r="D210" t="s">
        <v>987</v>
      </c>
      <c r="E210" t="s">
        <v>1465</v>
      </c>
    </row>
    <row r="211" spans="1:5" x14ac:dyDescent="0.25">
      <c r="A211" t="s">
        <v>1628</v>
      </c>
      <c r="B211" t="s">
        <v>1629</v>
      </c>
      <c r="C211" t="s">
        <v>1464</v>
      </c>
      <c r="D211" t="s">
        <v>987</v>
      </c>
      <c r="E211" t="s">
        <v>1465</v>
      </c>
    </row>
    <row r="212" spans="1:5" x14ac:dyDescent="0.25">
      <c r="A212" t="s">
        <v>1241</v>
      </c>
      <c r="B212" t="s">
        <v>1630</v>
      </c>
      <c r="C212" t="s">
        <v>1464</v>
      </c>
      <c r="D212" t="s">
        <v>7</v>
      </c>
      <c r="E212" t="s">
        <v>1515</v>
      </c>
    </row>
    <row r="213" spans="1:5" x14ac:dyDescent="0.25">
      <c r="A213" t="s">
        <v>1260</v>
      </c>
      <c r="B213" t="s">
        <v>1631</v>
      </c>
      <c r="C213" t="s">
        <v>1464</v>
      </c>
      <c r="D213" t="s">
        <v>7</v>
      </c>
      <c r="E213" t="s">
        <v>1515</v>
      </c>
    </row>
    <row r="214" spans="1:5" x14ac:dyDescent="0.25">
      <c r="A214" t="s">
        <v>1371</v>
      </c>
      <c r="B214" t="s">
        <v>1632</v>
      </c>
      <c r="C214" t="s">
        <v>1464</v>
      </c>
      <c r="D214" t="s">
        <v>7</v>
      </c>
      <c r="E214" t="s">
        <v>1465</v>
      </c>
    </row>
    <row r="215" spans="1:5" x14ac:dyDescent="0.25">
      <c r="A215" t="s">
        <v>1373</v>
      </c>
      <c r="B215" t="s">
        <v>1633</v>
      </c>
      <c r="C215" t="s">
        <v>1464</v>
      </c>
      <c r="D215" t="s">
        <v>7</v>
      </c>
      <c r="E215" t="s">
        <v>1465</v>
      </c>
    </row>
    <row r="216" spans="1:5" x14ac:dyDescent="0.25">
      <c r="A216" t="s">
        <v>1375</v>
      </c>
      <c r="B216" t="s">
        <v>1634</v>
      </c>
      <c r="C216" t="s">
        <v>1464</v>
      </c>
      <c r="D216" t="s">
        <v>7</v>
      </c>
      <c r="E216" t="s">
        <v>1465</v>
      </c>
    </row>
    <row r="217" spans="1:5" x14ac:dyDescent="0.25">
      <c r="A217" t="s">
        <v>1377</v>
      </c>
      <c r="B217" t="s">
        <v>1635</v>
      </c>
      <c r="C217" t="s">
        <v>1464</v>
      </c>
      <c r="D217" t="s">
        <v>7</v>
      </c>
      <c r="E217" t="s">
        <v>1465</v>
      </c>
    </row>
    <row r="218" spans="1:5" x14ac:dyDescent="0.25">
      <c r="A218" t="s">
        <v>1378</v>
      </c>
      <c r="B218" t="s">
        <v>1636</v>
      </c>
      <c r="C218" t="s">
        <v>1464</v>
      </c>
      <c r="D218" t="s">
        <v>7</v>
      </c>
      <c r="E218" t="s">
        <v>1465</v>
      </c>
    </row>
    <row r="219" spans="1:5" x14ac:dyDescent="0.25">
      <c r="A219" t="s">
        <v>1379</v>
      </c>
      <c r="B219" t="s">
        <v>1637</v>
      </c>
      <c r="C219" t="s">
        <v>1464</v>
      </c>
      <c r="D219" t="s">
        <v>7</v>
      </c>
      <c r="E219" t="s">
        <v>1465</v>
      </c>
    </row>
    <row r="220" spans="1:5" x14ac:dyDescent="0.25">
      <c r="A220" t="s">
        <v>1380</v>
      </c>
      <c r="B220" t="s">
        <v>1638</v>
      </c>
      <c r="C220" t="s">
        <v>1464</v>
      </c>
      <c r="D220" t="s">
        <v>7</v>
      </c>
      <c r="E220" t="s">
        <v>1465</v>
      </c>
    </row>
    <row r="221" spans="1:5" x14ac:dyDescent="0.25">
      <c r="A221" t="s">
        <v>1382</v>
      </c>
      <c r="B221" t="s">
        <v>1639</v>
      </c>
      <c r="C221" t="s">
        <v>1464</v>
      </c>
      <c r="D221" t="s">
        <v>7</v>
      </c>
      <c r="E221" t="s">
        <v>1465</v>
      </c>
    </row>
    <row r="222" spans="1:5" x14ac:dyDescent="0.25">
      <c r="A222" t="s">
        <v>1384</v>
      </c>
      <c r="B222" t="s">
        <v>1640</v>
      </c>
      <c r="C222" t="s">
        <v>1464</v>
      </c>
      <c r="D222" t="s">
        <v>7</v>
      </c>
      <c r="E222" t="s">
        <v>1465</v>
      </c>
    </row>
    <row r="223" spans="1:5" x14ac:dyDescent="0.25">
      <c r="A223" t="s">
        <v>1262</v>
      </c>
      <c r="B223" t="s">
        <v>1641</v>
      </c>
      <c r="C223" t="s">
        <v>1523</v>
      </c>
      <c r="D223" t="s">
        <v>7</v>
      </c>
      <c r="E223" t="s">
        <v>1465</v>
      </c>
    </row>
    <row r="224" spans="1:5" x14ac:dyDescent="0.25">
      <c r="A224" t="s">
        <v>1264</v>
      </c>
      <c r="B224" t="s">
        <v>1641</v>
      </c>
      <c r="C224" t="s">
        <v>1523</v>
      </c>
      <c r="D224" t="s">
        <v>7</v>
      </c>
      <c r="E224" t="s">
        <v>1465</v>
      </c>
    </row>
    <row r="225" spans="1:5" x14ac:dyDescent="0.25">
      <c r="A225" t="s">
        <v>1267</v>
      </c>
      <c r="B225" t="s">
        <v>1642</v>
      </c>
      <c r="C225" t="s">
        <v>1464</v>
      </c>
      <c r="D225" t="s">
        <v>7</v>
      </c>
      <c r="E225" t="s">
        <v>1515</v>
      </c>
    </row>
    <row r="226" spans="1:5" x14ac:dyDescent="0.25">
      <c r="A226" t="s">
        <v>1268</v>
      </c>
      <c r="B226" t="s">
        <v>1642</v>
      </c>
      <c r="C226" t="s">
        <v>1464</v>
      </c>
      <c r="D226" t="s">
        <v>7</v>
      </c>
      <c r="E226" t="s">
        <v>1515</v>
      </c>
    </row>
    <row r="227" spans="1:5" x14ac:dyDescent="0.25">
      <c r="A227" t="s">
        <v>1270</v>
      </c>
      <c r="B227" t="s">
        <v>1643</v>
      </c>
      <c r="C227" t="s">
        <v>1523</v>
      </c>
      <c r="D227" t="s">
        <v>7</v>
      </c>
      <c r="E227" t="s">
        <v>1465</v>
      </c>
    </row>
    <row r="228" spans="1:5" x14ac:dyDescent="0.25">
      <c r="A228" t="s">
        <v>1272</v>
      </c>
      <c r="B228" t="s">
        <v>1643</v>
      </c>
      <c r="C228" t="s">
        <v>1464</v>
      </c>
      <c r="D228" t="s">
        <v>7</v>
      </c>
      <c r="E228" t="s">
        <v>1465</v>
      </c>
    </row>
    <row r="229" spans="1:5" x14ac:dyDescent="0.25">
      <c r="A229" s="92">
        <v>0</v>
      </c>
    </row>
    <row r="230" spans="1:5" x14ac:dyDescent="0.25">
      <c r="A230" t="s">
        <v>1026</v>
      </c>
      <c r="B230" t="s">
        <v>1644</v>
      </c>
      <c r="C230" t="s">
        <v>1464</v>
      </c>
      <c r="D230" t="s">
        <v>987</v>
      </c>
      <c r="E230" t="s">
        <v>1465</v>
      </c>
    </row>
    <row r="231" spans="1:5" x14ac:dyDescent="0.25">
      <c r="A231" t="s">
        <v>1045</v>
      </c>
      <c r="B231" t="s">
        <v>1645</v>
      </c>
      <c r="C231" t="s">
        <v>1464</v>
      </c>
      <c r="D231" t="s">
        <v>987</v>
      </c>
      <c r="E231" t="s">
        <v>1465</v>
      </c>
    </row>
    <row r="232" spans="1:5" x14ac:dyDescent="0.25">
      <c r="A232" t="s">
        <v>1069</v>
      </c>
      <c r="B232" t="s">
        <v>1646</v>
      </c>
      <c r="C232" t="s">
        <v>1464</v>
      </c>
      <c r="D232" t="s">
        <v>7</v>
      </c>
      <c r="E232" t="s">
        <v>1465</v>
      </c>
    </row>
    <row r="233" spans="1:5" x14ac:dyDescent="0.25">
      <c r="A233" t="s">
        <v>1071</v>
      </c>
      <c r="B233" t="s">
        <v>1647</v>
      </c>
      <c r="C233" t="s">
        <v>1464</v>
      </c>
      <c r="D233" t="s">
        <v>7</v>
      </c>
      <c r="E233" t="s">
        <v>1465</v>
      </c>
    </row>
    <row r="234" spans="1:5" x14ac:dyDescent="0.25">
      <c r="A234" s="9" t="s">
        <v>1073</v>
      </c>
      <c r="B234" t="s">
        <v>1648</v>
      </c>
      <c r="C234" t="s">
        <v>1464</v>
      </c>
      <c r="D234" t="s">
        <v>7</v>
      </c>
      <c r="E234" t="s">
        <v>1465</v>
      </c>
    </row>
    <row r="235" spans="1:5" x14ac:dyDescent="0.25">
      <c r="A235" t="s">
        <v>1075</v>
      </c>
      <c r="B235" t="s">
        <v>1649</v>
      </c>
      <c r="C235" t="s">
        <v>1464</v>
      </c>
      <c r="D235" t="s">
        <v>7</v>
      </c>
      <c r="E235" t="s">
        <v>1465</v>
      </c>
    </row>
    <row r="236" spans="1:5" x14ac:dyDescent="0.25">
      <c r="A236" t="s">
        <v>1076</v>
      </c>
      <c r="B236" t="s">
        <v>1650</v>
      </c>
      <c r="C236" t="s">
        <v>1464</v>
      </c>
      <c r="D236" t="s">
        <v>7</v>
      </c>
      <c r="E236" t="s">
        <v>1465</v>
      </c>
    </row>
    <row r="237" spans="1:5" x14ac:dyDescent="0.25">
      <c r="A237" t="s">
        <v>1077</v>
      </c>
      <c r="B237" t="s">
        <v>1651</v>
      </c>
      <c r="C237" t="s">
        <v>1464</v>
      </c>
      <c r="D237" t="s">
        <v>7</v>
      </c>
      <c r="E237" t="s">
        <v>1465</v>
      </c>
    </row>
    <row r="238" spans="1:5" x14ac:dyDescent="0.25">
      <c r="A238" t="s">
        <v>1082</v>
      </c>
      <c r="B238" t="s">
        <v>1652</v>
      </c>
      <c r="C238" t="s">
        <v>1464</v>
      </c>
      <c r="D238" t="s">
        <v>7</v>
      </c>
      <c r="E238" t="s">
        <v>1465</v>
      </c>
    </row>
    <row r="239" spans="1:5" x14ac:dyDescent="0.25">
      <c r="A239" t="s">
        <v>1082</v>
      </c>
      <c r="B239" t="s">
        <v>1653</v>
      </c>
      <c r="C239" t="s">
        <v>1464</v>
      </c>
      <c r="D239" t="s">
        <v>7</v>
      </c>
      <c r="E239" t="s">
        <v>1465</v>
      </c>
    </row>
    <row r="240" spans="1:5" x14ac:dyDescent="0.25">
      <c r="A240" t="s">
        <v>1082</v>
      </c>
      <c r="B240" t="s">
        <v>1654</v>
      </c>
      <c r="C240" t="s">
        <v>1464</v>
      </c>
      <c r="D240" t="s">
        <v>7</v>
      </c>
      <c r="E240" t="s">
        <v>1465</v>
      </c>
    </row>
    <row r="241" spans="1:8" x14ac:dyDescent="0.25">
      <c r="A241" t="s">
        <v>1082</v>
      </c>
      <c r="B241" t="s">
        <v>1655</v>
      </c>
      <c r="C241" t="s">
        <v>1464</v>
      </c>
      <c r="D241" t="s">
        <v>7</v>
      </c>
      <c r="E241" t="s">
        <v>1465</v>
      </c>
    </row>
    <row r="242" spans="1:8" x14ac:dyDescent="0.25">
      <c r="A242" t="s">
        <v>1087</v>
      </c>
      <c r="B242" t="s">
        <v>1656</v>
      </c>
      <c r="C242" t="s">
        <v>1464</v>
      </c>
      <c r="D242" t="s">
        <v>7</v>
      </c>
      <c r="E242" t="s">
        <v>1465</v>
      </c>
    </row>
    <row r="243" spans="1:8" x14ac:dyDescent="0.25">
      <c r="A243" t="s">
        <v>1089</v>
      </c>
      <c r="B243" t="s">
        <v>1657</v>
      </c>
      <c r="C243" t="s">
        <v>1464</v>
      </c>
      <c r="D243" t="s">
        <v>7</v>
      </c>
      <c r="E243" t="s">
        <v>1465</v>
      </c>
    </row>
    <row r="244" spans="1:8" x14ac:dyDescent="0.25">
      <c r="A244" s="9" t="s">
        <v>1101</v>
      </c>
      <c r="B244" t="s">
        <v>1658</v>
      </c>
      <c r="C244" t="s">
        <v>1464</v>
      </c>
      <c r="D244" t="s">
        <v>7</v>
      </c>
      <c r="E244" t="s">
        <v>1465</v>
      </c>
    </row>
    <row r="245" spans="1:8" x14ac:dyDescent="0.25">
      <c r="A245" t="s">
        <v>1097</v>
      </c>
      <c r="B245" t="s">
        <v>1659</v>
      </c>
      <c r="C245" t="s">
        <v>1464</v>
      </c>
      <c r="D245" t="s">
        <v>7</v>
      </c>
      <c r="E245" t="s">
        <v>1465</v>
      </c>
    </row>
    <row r="246" spans="1:8" x14ac:dyDescent="0.25">
      <c r="A246" s="9" t="s">
        <v>1128</v>
      </c>
      <c r="B246" t="s">
        <v>1660</v>
      </c>
      <c r="C246" t="s">
        <v>1464</v>
      </c>
      <c r="D246" t="s">
        <v>987</v>
      </c>
      <c r="E246" t="s">
        <v>1465</v>
      </c>
    </row>
    <row r="247" spans="1:8" x14ac:dyDescent="0.25">
      <c r="A247" s="9" t="s">
        <v>1131</v>
      </c>
      <c r="B247" t="s">
        <v>1661</v>
      </c>
      <c r="C247" t="s">
        <v>1464</v>
      </c>
      <c r="D247" t="s">
        <v>987</v>
      </c>
      <c r="E247" t="s">
        <v>1465</v>
      </c>
    </row>
    <row r="248" spans="1:8" x14ac:dyDescent="0.25">
      <c r="A248" t="s">
        <v>1134</v>
      </c>
      <c r="B248" t="s">
        <v>1662</v>
      </c>
      <c r="C248" t="s">
        <v>1464</v>
      </c>
      <c r="D248" t="s">
        <v>987</v>
      </c>
      <c r="E248" t="s">
        <v>1465</v>
      </c>
    </row>
    <row r="249" spans="1:8" x14ac:dyDescent="0.25">
      <c r="A249" t="s">
        <v>1138</v>
      </c>
      <c r="B249" t="s">
        <v>1663</v>
      </c>
      <c r="C249" t="s">
        <v>1464</v>
      </c>
      <c r="D249" t="s">
        <v>987</v>
      </c>
      <c r="E249" t="s">
        <v>1465</v>
      </c>
    </row>
    <row r="250" spans="1:8" x14ac:dyDescent="0.25">
      <c r="A250" s="9" t="s">
        <v>1141</v>
      </c>
      <c r="B250" t="s">
        <v>1664</v>
      </c>
      <c r="C250" t="s">
        <v>1464</v>
      </c>
      <c r="D250" t="s">
        <v>7</v>
      </c>
      <c r="E250" t="s">
        <v>1465</v>
      </c>
    </row>
    <row r="251" spans="1:8" x14ac:dyDescent="0.25">
      <c r="A251" s="18" t="s">
        <v>1143</v>
      </c>
      <c r="B251" t="s">
        <v>1665</v>
      </c>
      <c r="C251" t="s">
        <v>1464</v>
      </c>
      <c r="D251" t="s">
        <v>7</v>
      </c>
      <c r="E251" t="s">
        <v>1465</v>
      </c>
    </row>
    <row r="252" spans="1:8" x14ac:dyDescent="0.25">
      <c r="A252" s="18" t="s">
        <v>1124</v>
      </c>
      <c r="B252" t="s">
        <v>1558</v>
      </c>
      <c r="C252" t="s">
        <v>1464</v>
      </c>
      <c r="D252" t="s">
        <v>7</v>
      </c>
      <c r="E252" t="s">
        <v>1465</v>
      </c>
    </row>
    <row r="253" spans="1:8" x14ac:dyDescent="0.25">
      <c r="A253" s="18" t="s">
        <v>1126</v>
      </c>
      <c r="B253" t="s">
        <v>1558</v>
      </c>
      <c r="C253" t="s">
        <v>1464</v>
      </c>
      <c r="D253" t="s">
        <v>7</v>
      </c>
      <c r="E253" t="s">
        <v>1465</v>
      </c>
      <c r="H253" t="s">
        <v>1666</v>
      </c>
    </row>
    <row r="254" spans="1:8" x14ac:dyDescent="0.25">
      <c r="A254" t="s">
        <v>1153</v>
      </c>
      <c r="B254" t="s">
        <v>1667</v>
      </c>
      <c r="C254" t="s">
        <v>1464</v>
      </c>
      <c r="D254" t="s">
        <v>7</v>
      </c>
      <c r="E254" t="s">
        <v>1465</v>
      </c>
    </row>
    <row r="255" spans="1:8" x14ac:dyDescent="0.25">
      <c r="A255" t="s">
        <v>1155</v>
      </c>
      <c r="B255" t="s">
        <v>1491</v>
      </c>
      <c r="C255" t="s">
        <v>1464</v>
      </c>
      <c r="D255" t="s">
        <v>7</v>
      </c>
      <c r="E255" t="s">
        <v>1465</v>
      </c>
    </row>
    <row r="256" spans="1:8" x14ac:dyDescent="0.25">
      <c r="A256" t="s">
        <v>1202</v>
      </c>
      <c r="B256" t="s">
        <v>1565</v>
      </c>
      <c r="C256" t="s">
        <v>1464</v>
      </c>
      <c r="D256" t="s">
        <v>1003</v>
      </c>
      <c r="E256" t="s">
        <v>1465</v>
      </c>
    </row>
    <row r="257" spans="1:8" x14ac:dyDescent="0.25">
      <c r="A257" t="s">
        <v>1207</v>
      </c>
      <c r="B257" t="s">
        <v>1567</v>
      </c>
      <c r="C257" t="s">
        <v>1464</v>
      </c>
      <c r="D257" t="s">
        <v>1003</v>
      </c>
      <c r="E257" t="s">
        <v>1465</v>
      </c>
    </row>
    <row r="258" spans="1:8" x14ac:dyDescent="0.25">
      <c r="A258" t="s">
        <v>1188</v>
      </c>
      <c r="B258" t="s">
        <v>1668</v>
      </c>
      <c r="C258" t="s">
        <v>1464</v>
      </c>
      <c r="D258" t="s">
        <v>7</v>
      </c>
      <c r="E258" t="s">
        <v>1465</v>
      </c>
      <c r="H258" t="s">
        <v>1669</v>
      </c>
    </row>
    <row r="259" spans="1:8" x14ac:dyDescent="0.25">
      <c r="A259" t="s">
        <v>1299</v>
      </c>
      <c r="B259" t="s">
        <v>1670</v>
      </c>
      <c r="C259" t="s">
        <v>1464</v>
      </c>
      <c r="D259" t="s">
        <v>7</v>
      </c>
      <c r="E259" t="s">
        <v>1465</v>
      </c>
    </row>
    <row r="260" spans="1:8" x14ac:dyDescent="0.25">
      <c r="A260" t="s">
        <v>1409</v>
      </c>
      <c r="B260" t="s">
        <v>1671</v>
      </c>
      <c r="C260" t="s">
        <v>1464</v>
      </c>
      <c r="D260" t="s">
        <v>7</v>
      </c>
      <c r="E260" t="s">
        <v>1465</v>
      </c>
    </row>
    <row r="261" spans="1:8" x14ac:dyDescent="0.25">
      <c r="A261" t="s">
        <v>1333</v>
      </c>
      <c r="B261" t="s">
        <v>1672</v>
      </c>
      <c r="C261" t="s">
        <v>1464</v>
      </c>
      <c r="D261" t="s">
        <v>7</v>
      </c>
      <c r="E261" t="s">
        <v>1465</v>
      </c>
    </row>
    <row r="262" spans="1:8" x14ac:dyDescent="0.25">
      <c r="A262" t="s">
        <v>1322</v>
      </c>
      <c r="B262" t="s">
        <v>1673</v>
      </c>
      <c r="C262" t="s">
        <v>1464</v>
      </c>
      <c r="D262" t="s">
        <v>7</v>
      </c>
      <c r="E262" t="s">
        <v>1465</v>
      </c>
      <c r="H262" t="s">
        <v>1674</v>
      </c>
    </row>
    <row r="263" spans="1:8" x14ac:dyDescent="0.25">
      <c r="A263" t="s">
        <v>1324</v>
      </c>
      <c r="B263" t="s">
        <v>1673</v>
      </c>
      <c r="C263" t="s">
        <v>1464</v>
      </c>
      <c r="D263" t="s">
        <v>7</v>
      </c>
      <c r="E263" t="s">
        <v>1465</v>
      </c>
      <c r="H263" t="s">
        <v>1674</v>
      </c>
    </row>
    <row r="264" spans="1:8" x14ac:dyDescent="0.25">
      <c r="A264" t="s">
        <v>1326</v>
      </c>
      <c r="B264" t="s">
        <v>1675</v>
      </c>
      <c r="C264" t="s">
        <v>1464</v>
      </c>
      <c r="D264" t="s">
        <v>7</v>
      </c>
      <c r="E264" t="s">
        <v>1465</v>
      </c>
      <c r="H264" t="s">
        <v>1676</v>
      </c>
    </row>
    <row r="265" spans="1:8" x14ac:dyDescent="0.25">
      <c r="A265" t="s">
        <v>1328</v>
      </c>
      <c r="B265" t="s">
        <v>1675</v>
      </c>
      <c r="C265" t="s">
        <v>1464</v>
      </c>
      <c r="D265" t="s">
        <v>7</v>
      </c>
      <c r="E265" t="s">
        <v>1465</v>
      </c>
      <c r="H265" t="s">
        <v>1676</v>
      </c>
    </row>
    <row r="266" spans="1:8" x14ac:dyDescent="0.25">
      <c r="A266" t="s">
        <v>1013</v>
      </c>
      <c r="B266" t="s">
        <v>1677</v>
      </c>
      <c r="C266" t="s">
        <v>1464</v>
      </c>
      <c r="D266" t="s">
        <v>7</v>
      </c>
      <c r="E266" t="s">
        <v>1465</v>
      </c>
    </row>
    <row r="267" spans="1:8" x14ac:dyDescent="0.25">
      <c r="A267" t="s">
        <v>1016</v>
      </c>
      <c r="B267" t="s">
        <v>1678</v>
      </c>
      <c r="C267" t="s">
        <v>1464</v>
      </c>
      <c r="D267" t="s">
        <v>7</v>
      </c>
      <c r="E267" t="s">
        <v>1465</v>
      </c>
      <c r="H267" t="s">
        <v>1679</v>
      </c>
    </row>
    <row r="268" spans="1:8" x14ac:dyDescent="0.25">
      <c r="A268" t="s">
        <v>1018</v>
      </c>
      <c r="B268" t="s">
        <v>1680</v>
      </c>
      <c r="C268" t="s">
        <v>1464</v>
      </c>
      <c r="D268" t="s">
        <v>7</v>
      </c>
      <c r="E268" t="s">
        <v>1465</v>
      </c>
    </row>
    <row r="269" spans="1:8" x14ac:dyDescent="0.25">
      <c r="A269" s="9" t="s">
        <v>1020</v>
      </c>
      <c r="B269" t="s">
        <v>1681</v>
      </c>
      <c r="C269" t="s">
        <v>1464</v>
      </c>
      <c r="D269" t="s">
        <v>7</v>
      </c>
      <c r="E269" t="s">
        <v>1465</v>
      </c>
    </row>
    <row r="270" spans="1:8" x14ac:dyDescent="0.25">
      <c r="A270" s="9" t="s">
        <v>1022</v>
      </c>
      <c r="B270" t="s">
        <v>1682</v>
      </c>
      <c r="C270" t="s">
        <v>1464</v>
      </c>
      <c r="D270" t="s">
        <v>7</v>
      </c>
      <c r="E270" t="s">
        <v>1465</v>
      </c>
    </row>
    <row r="271" spans="1:8" x14ac:dyDescent="0.25">
      <c r="A271" s="9" t="s">
        <v>1023</v>
      </c>
      <c r="B271" t="s">
        <v>1683</v>
      </c>
      <c r="C271" t="s">
        <v>1464</v>
      </c>
      <c r="D271" t="s">
        <v>7</v>
      </c>
      <c r="E271" t="s">
        <v>1465</v>
      </c>
    </row>
    <row r="272" spans="1:8" x14ac:dyDescent="0.25">
      <c r="A272" t="s">
        <v>1024</v>
      </c>
      <c r="B272" t="s">
        <v>1684</v>
      </c>
      <c r="C272" t="s">
        <v>1464</v>
      </c>
      <c r="D272" t="s">
        <v>7</v>
      </c>
      <c r="E272" t="s">
        <v>1465</v>
      </c>
    </row>
    <row r="273" spans="1:8" x14ac:dyDescent="0.25">
      <c r="A273" t="s">
        <v>1287</v>
      </c>
      <c r="B273" t="s">
        <v>1685</v>
      </c>
      <c r="C273" t="s">
        <v>1464</v>
      </c>
      <c r="D273" t="s">
        <v>7</v>
      </c>
      <c r="E273" t="s">
        <v>1465</v>
      </c>
    </row>
    <row r="274" spans="1:8" x14ac:dyDescent="0.25">
      <c r="A274" t="s">
        <v>1441</v>
      </c>
      <c r="B274" t="s">
        <v>1686</v>
      </c>
      <c r="C274" t="s">
        <v>1464</v>
      </c>
      <c r="D274" t="s">
        <v>987</v>
      </c>
      <c r="E274" t="s">
        <v>1465</v>
      </c>
      <c r="H274" t="s">
        <v>1687</v>
      </c>
    </row>
    <row r="275" spans="1:8" x14ac:dyDescent="0.25">
      <c r="A275" t="s">
        <v>1443</v>
      </c>
      <c r="B275" t="s">
        <v>1686</v>
      </c>
      <c r="C275" t="s">
        <v>1464</v>
      </c>
      <c r="D275" t="s">
        <v>987</v>
      </c>
      <c r="E275" t="s">
        <v>1465</v>
      </c>
      <c r="H275" t="s">
        <v>1688</v>
      </c>
    </row>
    <row r="276" spans="1:8" x14ac:dyDescent="0.25">
      <c r="A276" t="s">
        <v>1444</v>
      </c>
      <c r="B276" t="s">
        <v>1686</v>
      </c>
      <c r="C276" t="s">
        <v>1464</v>
      </c>
      <c r="D276" t="s">
        <v>987</v>
      </c>
      <c r="E276" t="s">
        <v>1465</v>
      </c>
    </row>
    <row r="277" spans="1:8" x14ac:dyDescent="0.25">
      <c r="A277" t="s">
        <v>1446</v>
      </c>
      <c r="B277" t="s">
        <v>1686</v>
      </c>
      <c r="C277" t="s">
        <v>1464</v>
      </c>
      <c r="D277" t="s">
        <v>987</v>
      </c>
      <c r="E277" t="s">
        <v>1465</v>
      </c>
    </row>
    <row r="278" spans="1:8" x14ac:dyDescent="0.25">
      <c r="A278" t="s">
        <v>1447</v>
      </c>
      <c r="B278" t="s">
        <v>1686</v>
      </c>
      <c r="C278" t="s">
        <v>1464</v>
      </c>
      <c r="D278" t="s">
        <v>987</v>
      </c>
      <c r="E278" t="s">
        <v>1465</v>
      </c>
    </row>
    <row r="279" spans="1:8" x14ac:dyDescent="0.25">
      <c r="A279" t="s">
        <v>1276</v>
      </c>
      <c r="B279" t="s">
        <v>1689</v>
      </c>
      <c r="C279" t="s">
        <v>1464</v>
      </c>
      <c r="D279" t="s">
        <v>7</v>
      </c>
      <c r="E279" t="s">
        <v>1465</v>
      </c>
    </row>
    <row r="280" spans="1:8" x14ac:dyDescent="0.25">
      <c r="A280" t="s">
        <v>1274</v>
      </c>
      <c r="B280" t="s">
        <v>1690</v>
      </c>
      <c r="C280" t="s">
        <v>1464</v>
      </c>
      <c r="D280" t="s">
        <v>7</v>
      </c>
      <c r="E280" t="s">
        <v>1465</v>
      </c>
    </row>
    <row r="281" spans="1:8" x14ac:dyDescent="0.25">
      <c r="A281" t="s">
        <v>1280</v>
      </c>
      <c r="B281" t="s">
        <v>1691</v>
      </c>
      <c r="C281" t="s">
        <v>1464</v>
      </c>
      <c r="D281" t="s">
        <v>7</v>
      </c>
      <c r="E281" t="s">
        <v>1465</v>
      </c>
      <c r="H281" t="s">
        <v>1692</v>
      </c>
    </row>
    <row r="282" spans="1:8" x14ac:dyDescent="0.25">
      <c r="A282" t="s">
        <v>1282</v>
      </c>
      <c r="B282" t="s">
        <v>1693</v>
      </c>
      <c r="C282" t="s">
        <v>1464</v>
      </c>
      <c r="D282" t="s">
        <v>7</v>
      </c>
      <c r="E282" t="s">
        <v>1465</v>
      </c>
    </row>
    <row r="283" spans="1:8" x14ac:dyDescent="0.25">
      <c r="A283" t="s">
        <v>1284</v>
      </c>
      <c r="B283" t="s">
        <v>1694</v>
      </c>
      <c r="C283" t="s">
        <v>1464</v>
      </c>
      <c r="D283" t="s">
        <v>7</v>
      </c>
      <c r="E283" t="s">
        <v>1465</v>
      </c>
    </row>
    <row r="284" spans="1:8" x14ac:dyDescent="0.25">
      <c r="A284" t="s">
        <v>1278</v>
      </c>
      <c r="B284" t="s">
        <v>1695</v>
      </c>
      <c r="C284" t="s">
        <v>1464</v>
      </c>
      <c r="D284" t="s">
        <v>7</v>
      </c>
      <c r="E284" t="s">
        <v>1465</v>
      </c>
      <c r="H284" t="s">
        <v>1696</v>
      </c>
    </row>
    <row r="288" spans="1:8" x14ac:dyDescent="0.25">
      <c r="A288" s="93" t="s">
        <v>1386</v>
      </c>
      <c r="B288" s="41" t="s">
        <v>1634</v>
      </c>
      <c r="C288" t="s">
        <v>1523</v>
      </c>
      <c r="H288" t="s">
        <v>1697</v>
      </c>
    </row>
    <row r="289" spans="1:8" x14ac:dyDescent="0.25">
      <c r="A289" s="93" t="s">
        <v>1386</v>
      </c>
      <c r="B289" s="41" t="s">
        <v>1634</v>
      </c>
      <c r="C289" t="s">
        <v>1523</v>
      </c>
      <c r="H289" t="s">
        <v>1698</v>
      </c>
    </row>
    <row r="290" spans="1:8" x14ac:dyDescent="0.25">
      <c r="A290" s="93" t="s">
        <v>1386</v>
      </c>
      <c r="B290" s="41" t="s">
        <v>1634</v>
      </c>
      <c r="C290" t="s">
        <v>1523</v>
      </c>
      <c r="H290" t="s">
        <v>1699</v>
      </c>
    </row>
    <row r="291" spans="1:8" x14ac:dyDescent="0.25">
      <c r="A291" s="93" t="s">
        <v>1390</v>
      </c>
      <c r="B291" s="94" t="s">
        <v>1700</v>
      </c>
      <c r="C291" t="s">
        <v>1523</v>
      </c>
      <c r="H291" t="s">
        <v>1701</v>
      </c>
    </row>
    <row r="292" spans="1:8" x14ac:dyDescent="0.25">
      <c r="A292" s="93" t="s">
        <v>1390</v>
      </c>
      <c r="B292" s="94" t="s">
        <v>1700</v>
      </c>
      <c r="C292" t="s">
        <v>1523</v>
      </c>
      <c r="H292" t="s">
        <v>1701</v>
      </c>
    </row>
    <row r="293" spans="1:8" x14ac:dyDescent="0.25">
      <c r="A293" s="93" t="s">
        <v>1386</v>
      </c>
      <c r="B293" s="41" t="s">
        <v>1634</v>
      </c>
      <c r="C293" t="s">
        <v>1523</v>
      </c>
    </row>
    <row r="294" spans="1:8" x14ac:dyDescent="0.25">
      <c r="A294" s="93" t="s">
        <v>1394</v>
      </c>
      <c r="B294" s="41" t="s">
        <v>1634</v>
      </c>
      <c r="C294" t="s">
        <v>1523</v>
      </c>
      <c r="H294" t="s">
        <v>1702</v>
      </c>
    </row>
    <row r="295" spans="1:8" x14ac:dyDescent="0.25">
      <c r="A295" s="95"/>
    </row>
    <row r="296" spans="1:8" x14ac:dyDescent="0.25">
      <c r="A296" s="95" t="s">
        <v>1246</v>
      </c>
      <c r="B296" t="s">
        <v>1568</v>
      </c>
      <c r="C296" t="s">
        <v>1523</v>
      </c>
      <c r="H296" t="s">
        <v>1703</v>
      </c>
    </row>
    <row r="297" spans="1:8" x14ac:dyDescent="0.25">
      <c r="A297" s="95" t="s">
        <v>1248</v>
      </c>
      <c r="B297" t="s">
        <v>1569</v>
      </c>
      <c r="C297" t="s">
        <v>1523</v>
      </c>
    </row>
    <row r="298" spans="1:8" x14ac:dyDescent="0.25">
      <c r="A298" s="95" t="s">
        <v>1249</v>
      </c>
      <c r="B298" t="s">
        <v>1570</v>
      </c>
      <c r="C298" t="s">
        <v>1523</v>
      </c>
    </row>
    <row r="299" spans="1:8" x14ac:dyDescent="0.25">
      <c r="A299" s="95" t="s">
        <v>1250</v>
      </c>
      <c r="B299" t="s">
        <v>1571</v>
      </c>
      <c r="C299" t="s">
        <v>1523</v>
      </c>
    </row>
    <row r="300" spans="1:8" x14ac:dyDescent="0.25">
      <c r="A300" s="95" t="s">
        <v>1251</v>
      </c>
      <c r="B300" t="s">
        <v>1572</v>
      </c>
      <c r="C300" t="s">
        <v>1523</v>
      </c>
    </row>
    <row r="301" spans="1:8" x14ac:dyDescent="0.25">
      <c r="A301" s="95" t="s">
        <v>1252</v>
      </c>
      <c r="B301" t="s">
        <v>1573</v>
      </c>
      <c r="C301" t="s">
        <v>1523</v>
      </c>
    </row>
    <row r="302" spans="1:8" x14ac:dyDescent="0.25">
      <c r="A302" s="95" t="s">
        <v>1253</v>
      </c>
      <c r="B302" t="s">
        <v>1574</v>
      </c>
      <c r="C302" t="s">
        <v>1523</v>
      </c>
      <c r="H302" s="9"/>
    </row>
    <row r="303" spans="1:8" x14ac:dyDescent="0.25">
      <c r="A303" s="95" t="s">
        <v>1254</v>
      </c>
      <c r="B303" t="s">
        <v>1575</v>
      </c>
      <c r="C303" t="s">
        <v>1523</v>
      </c>
      <c r="H303" s="9"/>
    </row>
    <row r="304" spans="1:8" x14ac:dyDescent="0.25">
      <c r="A304" s="95" t="s">
        <v>1255</v>
      </c>
      <c r="B304" t="s">
        <v>1576</v>
      </c>
      <c r="C304" t="s">
        <v>1523</v>
      </c>
      <c r="H304" s="9"/>
    </row>
    <row r="305" spans="1:8" x14ac:dyDescent="0.25">
      <c r="A305" s="95" t="s">
        <v>1256</v>
      </c>
      <c r="B305" t="s">
        <v>1577</v>
      </c>
      <c r="C305" t="s">
        <v>1523</v>
      </c>
      <c r="H305" s="9"/>
    </row>
    <row r="306" spans="1:8" x14ac:dyDescent="0.25">
      <c r="A306" s="95" t="s">
        <v>1257</v>
      </c>
      <c r="B306" t="s">
        <v>1578</v>
      </c>
      <c r="C306" t="s">
        <v>1523</v>
      </c>
      <c r="H306" s="9"/>
    </row>
    <row r="307" spans="1:8" x14ac:dyDescent="0.25">
      <c r="A307" s="95" t="s">
        <v>1258</v>
      </c>
      <c r="B307" t="s">
        <v>1579</v>
      </c>
      <c r="C307" t="s">
        <v>1523</v>
      </c>
      <c r="H307" s="9"/>
    </row>
    <row r="308" spans="1:8" x14ac:dyDescent="0.25">
      <c r="H308" s="9"/>
    </row>
    <row r="309" spans="1:8" x14ac:dyDescent="0.25">
      <c r="H309" s="9"/>
    </row>
    <row r="310" spans="1:8" x14ac:dyDescent="0.25">
      <c r="H310"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BA940-AC18-4BAF-9B6B-5AAAEA84624D}">
  <dimension ref="A1:R686"/>
  <sheetViews>
    <sheetView zoomScale="85" zoomScaleNormal="85" workbookViewId="0">
      <pane xSplit="2" ySplit="3" topLeftCell="C4" activePane="bottomRight" state="frozen"/>
      <selection pane="topRight" activeCell="C1" sqref="C1"/>
      <selection pane="bottomLeft" activeCell="A3" sqref="A3"/>
      <selection pane="bottomRight" activeCell="C16" sqref="C16"/>
    </sheetView>
  </sheetViews>
  <sheetFormatPr defaultRowHeight="15" x14ac:dyDescent="0.25"/>
  <cols>
    <col min="1" max="1" width="26.42578125" bestFit="1" customWidth="1"/>
    <col min="2" max="3" width="73"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1" t="s">
        <v>946</v>
      </c>
      <c r="B1" s="1" t="s">
        <v>0</v>
      </c>
      <c r="C1" s="1" t="s">
        <v>949</v>
      </c>
      <c r="D1" s="39" t="s">
        <v>950</v>
      </c>
      <c r="E1" s="39" t="s">
        <v>951</v>
      </c>
      <c r="F1" s="96" t="s">
        <v>953</v>
      </c>
      <c r="G1" s="39" t="s">
        <v>1704</v>
      </c>
      <c r="H1" s="39" t="s">
        <v>1705</v>
      </c>
      <c r="I1" s="39" t="s">
        <v>1706</v>
      </c>
      <c r="J1" s="39" t="s">
        <v>1707</v>
      </c>
      <c r="K1" s="39" t="s">
        <v>952</v>
      </c>
      <c r="L1" s="39" t="s">
        <v>1708</v>
      </c>
      <c r="M1" s="39" t="s">
        <v>1709</v>
      </c>
      <c r="N1" s="39" t="s">
        <v>1710</v>
      </c>
      <c r="O1" s="39" t="s">
        <v>1711</v>
      </c>
      <c r="P1" s="39" t="s">
        <v>1712</v>
      </c>
      <c r="Q1" s="40" t="s">
        <v>1</v>
      </c>
    </row>
    <row r="2" spans="1:18" ht="75" x14ac:dyDescent="0.25">
      <c r="A2" s="208" t="s">
        <v>2085</v>
      </c>
      <c r="B2" s="208" t="s">
        <v>2022</v>
      </c>
      <c r="C2" s="208"/>
      <c r="D2" s="208"/>
      <c r="E2" s="1" t="s">
        <v>2</v>
      </c>
      <c r="F2" s="96" t="s">
        <v>2113</v>
      </c>
      <c r="G2" s="39" t="s">
        <v>1713</v>
      </c>
      <c r="H2" s="209"/>
      <c r="I2" s="1" t="s">
        <v>2</v>
      </c>
      <c r="J2" s="39" t="s">
        <v>1714</v>
      </c>
      <c r="K2" s="210" t="s">
        <v>954</v>
      </c>
      <c r="L2" s="39" t="s">
        <v>1713</v>
      </c>
      <c r="M2" s="39" t="s">
        <v>2113</v>
      </c>
      <c r="N2" s="1" t="s">
        <v>2114</v>
      </c>
      <c r="O2" s="39" t="s">
        <v>1715</v>
      </c>
      <c r="P2" s="1" t="s">
        <v>1716</v>
      </c>
      <c r="Q2" s="211"/>
    </row>
    <row r="3" spans="1:18" x14ac:dyDescent="0.25">
      <c r="A3" t="s">
        <v>61</v>
      </c>
      <c r="B3" t="s">
        <v>969</v>
      </c>
      <c r="C3" t="str">
        <f>VLOOKUP(B3,'[1]Planting GPS Points'!$B$3:$L$290,8,FALSE)</f>
        <v>CPS</v>
      </c>
      <c r="D3" t="str">
        <f>VLOOKUP(B3,'[1]Planting GPS Points'!$B$3:$AL$290,15,FALSE)</f>
        <v>IAA 12-317</v>
      </c>
      <c r="E3" s="42">
        <v>41431</v>
      </c>
      <c r="F3" s="44">
        <v>36</v>
      </c>
      <c r="G3">
        <v>720</v>
      </c>
      <c r="H3" s="35" t="s">
        <v>963</v>
      </c>
      <c r="I3" s="42">
        <v>41613</v>
      </c>
      <c r="J3" s="77" t="s">
        <v>12</v>
      </c>
      <c r="K3" s="77" t="s">
        <v>967</v>
      </c>
      <c r="M3">
        <v>36</v>
      </c>
      <c r="N3" s="44">
        <f t="shared" ref="N3:N20" si="0">IFERROR(L3/M3, "")</f>
        <v>0</v>
      </c>
      <c r="O3">
        <f t="shared" ref="O3:O42" si="1">I3-E3</f>
        <v>182</v>
      </c>
      <c r="P3" s="97" t="str">
        <f t="shared" ref="P3:P23" si="2">IF(L3="", "", L3/G3)</f>
        <v/>
      </c>
      <c r="Q3" s="8" t="s">
        <v>1717</v>
      </c>
      <c r="R3" s="98"/>
    </row>
    <row r="4" spans="1:18" x14ac:dyDescent="0.25">
      <c r="A4" t="s">
        <v>61</v>
      </c>
      <c r="B4" t="s">
        <v>969</v>
      </c>
      <c r="C4" t="str">
        <f>VLOOKUP(B4,'[1]Planting GPS Points'!$B$3:$L$290,8,FALSE)</f>
        <v>CPS</v>
      </c>
      <c r="D4" t="str">
        <f>VLOOKUP(B4,'[1]Planting GPS Points'!$B$3:$AL$290,15,FALSE)</f>
        <v>IAA 12-317</v>
      </c>
      <c r="E4" s="42">
        <v>41431</v>
      </c>
      <c r="F4" s="44">
        <v>36</v>
      </c>
      <c r="G4">
        <v>720</v>
      </c>
      <c r="H4" s="35" t="s">
        <v>963</v>
      </c>
      <c r="I4" s="42">
        <v>41725</v>
      </c>
      <c r="J4" s="77" t="s">
        <v>12</v>
      </c>
      <c r="K4" s="77" t="s">
        <v>967</v>
      </c>
      <c r="L4">
        <v>17</v>
      </c>
      <c r="M4">
        <v>36</v>
      </c>
      <c r="N4" s="44">
        <f t="shared" si="0"/>
        <v>0.47222222222222221</v>
      </c>
      <c r="O4">
        <f t="shared" si="1"/>
        <v>294</v>
      </c>
      <c r="P4" s="97">
        <f t="shared" si="2"/>
        <v>2.361111111111111E-2</v>
      </c>
      <c r="Q4" s="8" t="s">
        <v>1718</v>
      </c>
    </row>
    <row r="5" spans="1:18" s="98" customFormat="1" x14ac:dyDescent="0.25">
      <c r="A5" s="94" t="s">
        <v>61</v>
      </c>
      <c r="B5" s="94" t="s">
        <v>1013</v>
      </c>
      <c r="C5" t="str">
        <f>VLOOKUP(B5,'[1]Planting GPS Points'!$B$3:$L$290,8,FALSE)</f>
        <v>CPS</v>
      </c>
      <c r="D5">
        <f>VLOOKUP(B5,'[1]Planting GPS Points'!$B$3:$AL$290,15,FALSE)</f>
        <v>0</v>
      </c>
      <c r="E5" s="99">
        <v>44012</v>
      </c>
      <c r="F5" s="94">
        <v>4.75</v>
      </c>
      <c r="G5" s="94">
        <v>475</v>
      </c>
      <c r="H5" s="100" t="s">
        <v>963</v>
      </c>
      <c r="I5" s="99">
        <v>44307</v>
      </c>
      <c r="J5" s="101" t="s">
        <v>12</v>
      </c>
      <c r="K5" s="101" t="s">
        <v>982</v>
      </c>
      <c r="L5" s="94">
        <v>100</v>
      </c>
      <c r="M5" s="94">
        <v>6.25</v>
      </c>
      <c r="N5" s="102">
        <f t="shared" si="0"/>
        <v>16</v>
      </c>
      <c r="O5" s="94">
        <f t="shared" si="1"/>
        <v>295</v>
      </c>
      <c r="P5" s="103">
        <f t="shared" si="2"/>
        <v>0.21052631578947367</v>
      </c>
      <c r="Q5" s="104" t="s">
        <v>1719</v>
      </c>
      <c r="R5" s="94" t="s">
        <v>1720</v>
      </c>
    </row>
    <row r="6" spans="1:18" x14ac:dyDescent="0.25">
      <c r="A6" t="s">
        <v>61</v>
      </c>
      <c r="B6" t="s">
        <v>955</v>
      </c>
      <c r="C6" t="str">
        <f>VLOOKUP(B6,'[1]Planting GPS Points'!$B$3:$L$290,8,FALSE)</f>
        <v>CPS</v>
      </c>
      <c r="D6" t="str">
        <f>VLOOKUP(B6,'[1]Planting GPS Points'!$B$3:$AL$290,15,FALSE)</f>
        <v>IAA 12-317</v>
      </c>
      <c r="E6" s="42">
        <v>41431</v>
      </c>
      <c r="F6" s="44">
        <v>36</v>
      </c>
      <c r="G6">
        <v>720</v>
      </c>
      <c r="H6" s="35" t="s">
        <v>963</v>
      </c>
      <c r="I6" s="42">
        <v>41613</v>
      </c>
      <c r="J6" s="77" t="s">
        <v>12</v>
      </c>
      <c r="K6" s="77" t="s">
        <v>967</v>
      </c>
      <c r="M6">
        <v>36</v>
      </c>
      <c r="N6" s="44">
        <f t="shared" si="0"/>
        <v>0</v>
      </c>
      <c r="O6">
        <f t="shared" si="1"/>
        <v>182</v>
      </c>
      <c r="P6" s="97" t="str">
        <f t="shared" si="2"/>
        <v/>
      </c>
      <c r="Q6" s="8" t="s">
        <v>1721</v>
      </c>
    </row>
    <row r="7" spans="1:18" s="98" customFormat="1" x14ac:dyDescent="0.25">
      <c r="A7" t="s">
        <v>61</v>
      </c>
      <c r="B7" t="s">
        <v>955</v>
      </c>
      <c r="C7" t="str">
        <f>VLOOKUP(B7,'[1]Planting GPS Points'!$B$3:$L$290,8,FALSE)</f>
        <v>CPS</v>
      </c>
      <c r="D7" t="str">
        <f>VLOOKUP(B7,'[1]Planting GPS Points'!$B$3:$AL$290,15,FALSE)</f>
        <v>IAA 12-317</v>
      </c>
      <c r="E7" s="42">
        <v>41431</v>
      </c>
      <c r="F7" s="44">
        <v>36</v>
      </c>
      <c r="G7">
        <v>720</v>
      </c>
      <c r="H7" s="35" t="s">
        <v>963</v>
      </c>
      <c r="I7" s="42">
        <v>41725</v>
      </c>
      <c r="J7" s="77" t="s">
        <v>12</v>
      </c>
      <c r="K7" s="77" t="s">
        <v>967</v>
      </c>
      <c r="L7">
        <v>9</v>
      </c>
      <c r="M7">
        <v>36</v>
      </c>
      <c r="N7" s="44">
        <f t="shared" si="0"/>
        <v>0.25</v>
      </c>
      <c r="O7">
        <f t="shared" si="1"/>
        <v>294</v>
      </c>
      <c r="P7" s="97">
        <f t="shared" si="2"/>
        <v>1.2500000000000001E-2</v>
      </c>
      <c r="Q7"/>
      <c r="R7"/>
    </row>
    <row r="8" spans="1:18" x14ac:dyDescent="0.25">
      <c r="A8" t="s">
        <v>61</v>
      </c>
      <c r="B8" t="s">
        <v>1018</v>
      </c>
      <c r="C8" t="str">
        <f>VLOOKUP(B8,'[1]Planting GPS Points'!$B$3:$L$290,8,FALSE)</f>
        <v>CPS</v>
      </c>
      <c r="D8">
        <f>VLOOKUP(B8,'[1]Planting GPS Points'!$B$3:$AL$290,15,FALSE)</f>
        <v>0</v>
      </c>
      <c r="E8" s="42">
        <v>44012</v>
      </c>
      <c r="F8">
        <v>5</v>
      </c>
      <c r="G8">
        <v>500</v>
      </c>
      <c r="H8" s="35" t="s">
        <v>963</v>
      </c>
      <c r="I8" s="42">
        <v>44307</v>
      </c>
      <c r="J8" s="77" t="s">
        <v>12</v>
      </c>
      <c r="K8" s="77" t="s">
        <v>982</v>
      </c>
      <c r="L8">
        <v>53</v>
      </c>
      <c r="M8">
        <v>6.25</v>
      </c>
      <c r="N8" s="44">
        <f t="shared" si="0"/>
        <v>8.48</v>
      </c>
      <c r="O8">
        <f t="shared" si="1"/>
        <v>295</v>
      </c>
      <c r="P8" s="97">
        <f t="shared" si="2"/>
        <v>0.106</v>
      </c>
      <c r="Q8" s="105" t="s">
        <v>1719</v>
      </c>
      <c r="R8" t="s">
        <v>1722</v>
      </c>
    </row>
    <row r="9" spans="1:18" x14ac:dyDescent="0.25">
      <c r="A9" t="s">
        <v>61</v>
      </c>
      <c r="B9" t="s">
        <v>1018</v>
      </c>
      <c r="C9" t="str">
        <f>VLOOKUP(B9,'[1]Planting GPS Points'!$B$3:$L$290,8,FALSE)</f>
        <v>CPS</v>
      </c>
      <c r="D9">
        <f>VLOOKUP(B9,'[1]Planting GPS Points'!$B$3:$AL$290,15,FALSE)</f>
        <v>0</v>
      </c>
      <c r="E9" s="42">
        <v>44012</v>
      </c>
      <c r="F9">
        <v>5</v>
      </c>
      <c r="G9">
        <v>500</v>
      </c>
      <c r="H9" s="35" t="s">
        <v>971</v>
      </c>
      <c r="I9" s="42">
        <v>45083</v>
      </c>
      <c r="J9" s="77" t="s">
        <v>12</v>
      </c>
      <c r="K9" s="77" t="s">
        <v>982</v>
      </c>
      <c r="N9" s="44" t="str">
        <f t="shared" si="0"/>
        <v/>
      </c>
      <c r="O9">
        <f t="shared" si="1"/>
        <v>1071</v>
      </c>
      <c r="P9" s="97" t="str">
        <f t="shared" si="2"/>
        <v/>
      </c>
      <c r="Q9" s="105" t="s">
        <v>1723</v>
      </c>
    </row>
    <row r="10" spans="1:18" x14ac:dyDescent="0.25">
      <c r="A10" t="s">
        <v>61</v>
      </c>
      <c r="B10" t="s">
        <v>1018</v>
      </c>
      <c r="C10" t="str">
        <f>VLOOKUP(B10,'[1]Planting GPS Points'!$B$3:$L$290,8,FALSE)</f>
        <v>CPS</v>
      </c>
      <c r="D10">
        <f>VLOOKUP(B10,'[1]Planting GPS Points'!$B$3:$AL$290,15,FALSE)</f>
        <v>0</v>
      </c>
      <c r="E10" s="42">
        <v>44012</v>
      </c>
      <c r="F10">
        <v>5</v>
      </c>
      <c r="G10">
        <v>500</v>
      </c>
      <c r="H10" s="35" t="s">
        <v>971</v>
      </c>
      <c r="I10" s="42">
        <v>45093</v>
      </c>
      <c r="J10" s="77" t="s">
        <v>12</v>
      </c>
      <c r="K10" s="77" t="s">
        <v>982</v>
      </c>
      <c r="L10">
        <v>665</v>
      </c>
      <c r="M10">
        <v>17.600000000000001</v>
      </c>
      <c r="N10" s="44">
        <f t="shared" si="0"/>
        <v>37.784090909090907</v>
      </c>
      <c r="O10">
        <f t="shared" si="1"/>
        <v>1081</v>
      </c>
      <c r="P10" s="97">
        <f>IF(L10="", "", L10/G10)</f>
        <v>1.33</v>
      </c>
      <c r="Q10" s="105" t="s">
        <v>1724</v>
      </c>
    </row>
    <row r="11" spans="1:18" x14ac:dyDescent="0.25">
      <c r="A11" t="s">
        <v>61</v>
      </c>
      <c r="B11" t="s">
        <v>1018</v>
      </c>
      <c r="C11" t="str">
        <f>VLOOKUP(B11,'[1]Planting GPS Points'!$B$3:$L$290,8,FALSE)</f>
        <v>CPS</v>
      </c>
      <c r="D11">
        <f>VLOOKUP(B11,'[1]Planting GPS Points'!$B$3:$AL$290,15,FALSE)</f>
        <v>0</v>
      </c>
      <c r="E11" s="42">
        <v>44012</v>
      </c>
      <c r="F11">
        <v>5</v>
      </c>
      <c r="G11">
        <v>500</v>
      </c>
      <c r="H11" s="35" t="s">
        <v>971</v>
      </c>
      <c r="I11" s="42">
        <v>45421</v>
      </c>
      <c r="J11" s="77" t="s">
        <v>12</v>
      </c>
      <c r="K11" s="77" t="s">
        <v>982</v>
      </c>
      <c r="L11">
        <v>1107</v>
      </c>
      <c r="M11">
        <v>22.5</v>
      </c>
      <c r="N11" s="44">
        <v>49.2</v>
      </c>
      <c r="O11">
        <f>I11-E11</f>
        <v>1409</v>
      </c>
      <c r="P11" s="97">
        <f>IF(L11="", "", L11/G11)</f>
        <v>2.214</v>
      </c>
      <c r="Q11" s="105" t="s">
        <v>1725</v>
      </c>
    </row>
    <row r="12" spans="1:18" x14ac:dyDescent="0.25">
      <c r="A12" t="s">
        <v>61</v>
      </c>
      <c r="B12" t="s">
        <v>1018</v>
      </c>
      <c r="C12" t="str">
        <f>VLOOKUP(B12,'[1]Planting GPS Points'!$B$3:$L$290,8,FALSE)</f>
        <v>CPS</v>
      </c>
      <c r="D12">
        <f>VLOOKUP(B12,'[1]Planting GPS Points'!$B$3:$AL$290,15,FALSE)</f>
        <v>0</v>
      </c>
      <c r="E12" s="42">
        <v>44012</v>
      </c>
      <c r="F12">
        <v>5</v>
      </c>
      <c r="G12">
        <v>500</v>
      </c>
      <c r="H12" s="35" t="s">
        <v>971</v>
      </c>
      <c r="I12" s="42">
        <v>45748</v>
      </c>
      <c r="J12" s="77" t="s">
        <v>745</v>
      </c>
      <c r="K12" s="77" t="s">
        <v>982</v>
      </c>
      <c r="N12" s="44"/>
      <c r="P12" s="97"/>
      <c r="Q12" s="105" t="s">
        <v>1726</v>
      </c>
    </row>
    <row r="13" spans="1:18" x14ac:dyDescent="0.25">
      <c r="A13" t="s">
        <v>61</v>
      </c>
      <c r="B13" s="9" t="s">
        <v>984</v>
      </c>
      <c r="C13" t="str">
        <f>VLOOKUP(B13,'[1]Planting GPS Points'!$B$3:$L$290,8,FALSE)</f>
        <v>CPS</v>
      </c>
      <c r="D13" t="str">
        <f>VLOOKUP(B13,'[1]Planting GPS Points'!$B$3:$AL$290,15,FALSE)</f>
        <v>93-099661</v>
      </c>
      <c r="E13" s="42">
        <v>42633</v>
      </c>
      <c r="F13" s="44">
        <v>6.25</v>
      </c>
      <c r="G13" s="47">
        <v>500</v>
      </c>
      <c r="H13" s="35" t="s">
        <v>963</v>
      </c>
      <c r="I13" s="42">
        <v>42836</v>
      </c>
      <c r="J13" s="77" t="s">
        <v>12</v>
      </c>
      <c r="K13" s="77" t="s">
        <v>982</v>
      </c>
      <c r="L13">
        <v>103</v>
      </c>
      <c r="M13">
        <v>6</v>
      </c>
      <c r="N13" s="44">
        <f t="shared" si="0"/>
        <v>17.166666666666668</v>
      </c>
      <c r="O13" s="77">
        <f t="shared" si="1"/>
        <v>203</v>
      </c>
      <c r="P13" s="97">
        <f t="shared" ref="P13" si="3">IF(L13="", "", L13/G13)</f>
        <v>0.20599999999999999</v>
      </c>
      <c r="Q13" s="8" t="s">
        <v>1727</v>
      </c>
    </row>
    <row r="14" spans="1:18" x14ac:dyDescent="0.25">
      <c r="A14" t="s">
        <v>61</v>
      </c>
      <c r="B14" s="9" t="s">
        <v>1002</v>
      </c>
      <c r="C14" t="str">
        <f>VLOOKUP(B14,'[1]Planting GPS Points'!$B$3:$L$290,8,FALSE)</f>
        <v>CPS</v>
      </c>
      <c r="D14" t="str">
        <f>VLOOKUP(B14,'[1]Planting GPS Points'!$B$3:$AL$290,15,FALSE)</f>
        <v>SC 16-17</v>
      </c>
      <c r="E14" s="42">
        <v>42888</v>
      </c>
      <c r="F14" s="44">
        <v>40</v>
      </c>
      <c r="G14" s="60">
        <v>20500</v>
      </c>
      <c r="H14" s="35" t="s">
        <v>971</v>
      </c>
      <c r="I14" s="42">
        <v>42941</v>
      </c>
      <c r="J14" s="77" t="s">
        <v>12</v>
      </c>
      <c r="K14" s="77" t="s">
        <v>994</v>
      </c>
      <c r="N14" s="44" t="str">
        <f t="shared" si="0"/>
        <v/>
      </c>
      <c r="O14">
        <f t="shared" si="1"/>
        <v>53</v>
      </c>
      <c r="P14" s="97" t="str">
        <f t="shared" si="2"/>
        <v/>
      </c>
      <c r="Q14" s="8" t="s">
        <v>1728</v>
      </c>
    </row>
    <row r="15" spans="1:18" x14ac:dyDescent="0.25">
      <c r="A15" t="s">
        <v>61</v>
      </c>
      <c r="B15" s="9" t="s">
        <v>1002</v>
      </c>
      <c r="C15" t="str">
        <f>VLOOKUP(B15,'[1]Planting GPS Points'!$B$3:$L$290,8,FALSE)</f>
        <v>CPS</v>
      </c>
      <c r="D15" t="str">
        <f>VLOOKUP(B15,'[1]Planting GPS Points'!$B$3:$AL$290,15,FALSE)</f>
        <v>SC 16-17</v>
      </c>
      <c r="E15" s="42">
        <v>42888</v>
      </c>
      <c r="F15" s="44">
        <v>40</v>
      </c>
      <c r="G15" s="53">
        <v>20500</v>
      </c>
      <c r="H15" s="35" t="s">
        <v>971</v>
      </c>
      <c r="I15" s="42">
        <v>43229</v>
      </c>
      <c r="J15" s="77" t="s">
        <v>23</v>
      </c>
      <c r="K15" s="77" t="s">
        <v>994</v>
      </c>
      <c r="L15">
        <v>0</v>
      </c>
      <c r="N15" s="44" t="str">
        <f t="shared" si="0"/>
        <v/>
      </c>
      <c r="O15">
        <f t="shared" si="1"/>
        <v>341</v>
      </c>
      <c r="P15" s="97">
        <f t="shared" si="2"/>
        <v>0</v>
      </c>
      <c r="Q15" s="8" t="s">
        <v>1729</v>
      </c>
    </row>
    <row r="16" spans="1:18" x14ac:dyDescent="0.25">
      <c r="A16" t="s">
        <v>61</v>
      </c>
      <c r="B16" s="9" t="s">
        <v>1002</v>
      </c>
      <c r="C16" t="str">
        <f>VLOOKUP(B16,'[1]Planting GPS Points'!$B$3:$L$290,8,FALSE)</f>
        <v>CPS</v>
      </c>
      <c r="D16" t="str">
        <f>VLOOKUP(B16,'[1]Planting GPS Points'!$B$3:$AL$290,15,FALSE)</f>
        <v>SC 16-17</v>
      </c>
      <c r="E16" s="42">
        <v>42888</v>
      </c>
      <c r="F16" s="44">
        <v>40</v>
      </c>
      <c r="G16" s="60">
        <v>20500</v>
      </c>
      <c r="H16" s="35" t="s">
        <v>971</v>
      </c>
      <c r="I16" s="42">
        <v>43324</v>
      </c>
      <c r="J16" s="77" t="s">
        <v>23</v>
      </c>
      <c r="K16" s="77" t="s">
        <v>994</v>
      </c>
      <c r="L16">
        <v>0</v>
      </c>
      <c r="N16" s="44" t="str">
        <f t="shared" si="0"/>
        <v/>
      </c>
      <c r="O16">
        <f t="shared" si="1"/>
        <v>436</v>
      </c>
      <c r="P16" s="97">
        <f t="shared" si="2"/>
        <v>0</v>
      </c>
      <c r="Q16" s="8" t="s">
        <v>1730</v>
      </c>
    </row>
    <row r="17" spans="1:17" x14ac:dyDescent="0.25">
      <c r="A17" t="s">
        <v>61</v>
      </c>
      <c r="B17" s="9" t="s">
        <v>1007</v>
      </c>
      <c r="C17" t="str">
        <f>VLOOKUP(B17,'[1]Planting GPS Points'!$B$3:$L$290,8,FALSE)</f>
        <v>CPS</v>
      </c>
      <c r="D17" t="str">
        <f>VLOOKUP(B17,'[1]Planting GPS Points'!$B$3:$AL$290,15,FALSE)</f>
        <v>SC 16-17</v>
      </c>
      <c r="E17" s="42">
        <v>42890</v>
      </c>
      <c r="F17" s="44">
        <v>40</v>
      </c>
      <c r="G17" s="60">
        <v>24830</v>
      </c>
      <c r="H17" s="35" t="s">
        <v>971</v>
      </c>
      <c r="I17" s="42">
        <v>42941</v>
      </c>
      <c r="J17" s="77" t="s">
        <v>12</v>
      </c>
      <c r="K17" s="77" t="s">
        <v>994</v>
      </c>
      <c r="N17" s="44" t="str">
        <f t="shared" si="0"/>
        <v/>
      </c>
      <c r="O17">
        <f t="shared" si="1"/>
        <v>51</v>
      </c>
      <c r="P17" s="97" t="str">
        <f t="shared" si="2"/>
        <v/>
      </c>
      <c r="Q17" s="8" t="s">
        <v>1728</v>
      </c>
    </row>
    <row r="18" spans="1:17" x14ac:dyDescent="0.25">
      <c r="A18" t="s">
        <v>61</v>
      </c>
      <c r="B18" s="9" t="s">
        <v>1007</v>
      </c>
      <c r="C18" t="str">
        <f>VLOOKUP(B18,'[1]Planting GPS Points'!$B$3:$L$290,8,FALSE)</f>
        <v>CPS</v>
      </c>
      <c r="D18" t="str">
        <f>VLOOKUP(B18,'[1]Planting GPS Points'!$B$3:$AL$290,15,FALSE)</f>
        <v>SC 16-17</v>
      </c>
      <c r="E18" s="42">
        <v>42890</v>
      </c>
      <c r="F18" s="44">
        <v>40</v>
      </c>
      <c r="G18" s="53">
        <v>24830</v>
      </c>
      <c r="H18" s="35" t="s">
        <v>971</v>
      </c>
      <c r="I18" s="42">
        <v>43229</v>
      </c>
      <c r="J18" s="77" t="s">
        <v>12</v>
      </c>
      <c r="K18" s="77" t="s">
        <v>994</v>
      </c>
      <c r="L18">
        <v>55</v>
      </c>
      <c r="M18">
        <v>1.25</v>
      </c>
      <c r="N18" s="44">
        <f t="shared" si="0"/>
        <v>44</v>
      </c>
      <c r="O18">
        <f t="shared" si="1"/>
        <v>339</v>
      </c>
      <c r="P18" s="106">
        <f t="shared" si="2"/>
        <v>2.2150624244865083E-3</v>
      </c>
      <c r="Q18" s="8" t="s">
        <v>1729</v>
      </c>
    </row>
    <row r="19" spans="1:17" x14ac:dyDescent="0.25">
      <c r="A19" t="s">
        <v>61</v>
      </c>
      <c r="B19" s="9" t="s">
        <v>1007</v>
      </c>
      <c r="C19" t="str">
        <f>VLOOKUP(B19,'[1]Planting GPS Points'!$B$3:$L$290,8,FALSE)</f>
        <v>CPS</v>
      </c>
      <c r="D19" t="str">
        <f>VLOOKUP(B19,'[1]Planting GPS Points'!$B$3:$AL$290,15,FALSE)</f>
        <v>SC 16-17</v>
      </c>
      <c r="E19" s="42">
        <v>42890</v>
      </c>
      <c r="F19" s="44">
        <v>40</v>
      </c>
      <c r="G19" s="60">
        <v>24830</v>
      </c>
      <c r="H19" s="35" t="s">
        <v>971</v>
      </c>
      <c r="I19" s="42">
        <v>43324</v>
      </c>
      <c r="J19" s="77" t="s">
        <v>12</v>
      </c>
      <c r="K19" s="77" t="s">
        <v>994</v>
      </c>
      <c r="L19">
        <v>34</v>
      </c>
      <c r="M19">
        <v>1</v>
      </c>
      <c r="N19" s="44">
        <f t="shared" si="0"/>
        <v>34</v>
      </c>
      <c r="O19">
        <f t="shared" si="1"/>
        <v>434</v>
      </c>
      <c r="P19" s="106">
        <f t="shared" si="2"/>
        <v>1.369311316955296E-3</v>
      </c>
      <c r="Q19" s="8" t="s">
        <v>1731</v>
      </c>
    </row>
    <row r="20" spans="1:17" x14ac:dyDescent="0.25">
      <c r="A20" s="9" t="s">
        <v>61</v>
      </c>
      <c r="B20" s="9" t="s">
        <v>1010</v>
      </c>
      <c r="C20" t="str">
        <f>VLOOKUP(B20,'[1]Planting GPS Points'!$B$3:$L$290,8,FALSE)</f>
        <v>CPS</v>
      </c>
      <c r="D20" t="str">
        <f>VLOOKUP(B20,'[1]Planting GPS Points'!$B$3:$AL$290,15,FALSE)</f>
        <v>IAA 15-101</v>
      </c>
      <c r="E20" s="3">
        <v>42955</v>
      </c>
      <c r="F20" s="55">
        <v>105.25</v>
      </c>
      <c r="G20" s="9">
        <v>10525</v>
      </c>
      <c r="H20" s="35" t="s">
        <v>963</v>
      </c>
      <c r="I20" s="42">
        <v>43164</v>
      </c>
      <c r="J20" s="77" t="s">
        <v>12</v>
      </c>
      <c r="K20" s="77" t="s">
        <v>982</v>
      </c>
      <c r="N20" s="44" t="str">
        <f t="shared" si="0"/>
        <v/>
      </c>
      <c r="O20">
        <f t="shared" si="1"/>
        <v>209</v>
      </c>
      <c r="P20" s="97" t="str">
        <f t="shared" si="2"/>
        <v/>
      </c>
      <c r="Q20" s="8" t="s">
        <v>1732</v>
      </c>
    </row>
    <row r="21" spans="1:17" x14ac:dyDescent="0.25">
      <c r="A21" t="s">
        <v>61</v>
      </c>
      <c r="B21" s="9" t="s">
        <v>1010</v>
      </c>
      <c r="C21" t="str">
        <f>VLOOKUP(B21,'[1]Planting GPS Points'!$B$3:$L$290,8,FALSE)</f>
        <v>CPS</v>
      </c>
      <c r="D21" t="str">
        <f>VLOOKUP(B21,'[1]Planting GPS Points'!$B$3:$AL$290,15,FALSE)</f>
        <v>IAA 15-101</v>
      </c>
      <c r="E21" s="3">
        <v>42955</v>
      </c>
      <c r="F21" s="55">
        <v>105.25</v>
      </c>
      <c r="G21" s="9">
        <v>10525</v>
      </c>
      <c r="H21" s="35" t="s">
        <v>963</v>
      </c>
      <c r="I21" s="42">
        <v>43166</v>
      </c>
      <c r="J21" s="77" t="s">
        <v>12</v>
      </c>
      <c r="K21" s="77" t="s">
        <v>982</v>
      </c>
      <c r="M21" s="47">
        <v>75</v>
      </c>
      <c r="N21" s="44"/>
      <c r="O21">
        <f t="shared" si="1"/>
        <v>211</v>
      </c>
      <c r="P21" s="97" t="str">
        <f t="shared" si="2"/>
        <v/>
      </c>
      <c r="Q21" s="8" t="s">
        <v>1733</v>
      </c>
    </row>
    <row r="22" spans="1:17" ht="17.25" x14ac:dyDescent="0.25">
      <c r="A22" t="s">
        <v>61</v>
      </c>
      <c r="B22" s="107" t="s">
        <v>1010</v>
      </c>
      <c r="C22" t="str">
        <f>VLOOKUP(B22,'[1]Planting GPS Points'!$B$3:$L$290,8,FALSE)</f>
        <v>CPS</v>
      </c>
      <c r="D22" t="str">
        <f>VLOOKUP(B22,'[1]Planting GPS Points'!$B$3:$AL$290,15,FALSE)</f>
        <v>IAA 15-101</v>
      </c>
      <c r="E22" s="108">
        <v>42955</v>
      </c>
      <c r="F22" s="109">
        <v>105.25</v>
      </c>
      <c r="G22" s="107">
        <v>10525</v>
      </c>
      <c r="H22" s="35" t="s">
        <v>963</v>
      </c>
      <c r="I22" s="42">
        <v>43571</v>
      </c>
      <c r="J22" s="77" t="s">
        <v>12</v>
      </c>
      <c r="K22" s="77" t="s">
        <v>982</v>
      </c>
      <c r="L22">
        <v>4770</v>
      </c>
      <c r="M22">
        <v>105</v>
      </c>
      <c r="N22" s="44">
        <f>IFERROR(L22/M22, "")</f>
        <v>45.428571428571431</v>
      </c>
      <c r="O22">
        <f t="shared" si="1"/>
        <v>616</v>
      </c>
      <c r="P22" s="97">
        <f t="shared" si="2"/>
        <v>0.45320665083135392</v>
      </c>
      <c r="Q22" s="110" t="s">
        <v>1734</v>
      </c>
    </row>
    <row r="23" spans="1:17" ht="16.5" x14ac:dyDescent="0.25">
      <c r="A23" s="9" t="s">
        <v>61</v>
      </c>
      <c r="B23" s="9" t="s">
        <v>1010</v>
      </c>
      <c r="C23" t="str">
        <f>VLOOKUP(B23,'[1]Planting GPS Points'!$B$3:$L$290,8,FALSE)</f>
        <v>CPS</v>
      </c>
      <c r="D23" t="str">
        <f>VLOOKUP(B23,'[1]Planting GPS Points'!$B$3:$AL$290,15,FALSE)</f>
        <v>IAA 15-101</v>
      </c>
      <c r="E23" s="3">
        <v>42955</v>
      </c>
      <c r="F23" s="109" t="str">
        <f>VLOOKUP(B23,PLANTING,26,FALSE)</f>
        <v>rebar</v>
      </c>
      <c r="G23" s="111">
        <f>VLOOKUP(B23,PLANTING,29,FALSE)</f>
        <v>150</v>
      </c>
      <c r="H23" s="35" t="s">
        <v>963</v>
      </c>
      <c r="I23" s="42">
        <v>43965</v>
      </c>
      <c r="J23" s="77" t="s">
        <v>12</v>
      </c>
      <c r="K23" s="77" t="s">
        <v>982</v>
      </c>
      <c r="L23">
        <v>20682</v>
      </c>
      <c r="M23" s="47">
        <v>105.25</v>
      </c>
      <c r="N23" s="44">
        <f>IFERROR(L23/M23, "")</f>
        <v>196.50356294536817</v>
      </c>
      <c r="O23">
        <f t="shared" si="1"/>
        <v>1010</v>
      </c>
      <c r="P23" s="97">
        <f t="shared" si="2"/>
        <v>137.88</v>
      </c>
      <c r="Q23" s="8" t="s">
        <v>1735</v>
      </c>
    </row>
    <row r="24" spans="1:17" x14ac:dyDescent="0.25">
      <c r="A24" t="s">
        <v>61</v>
      </c>
      <c r="B24" s="9" t="s">
        <v>1010</v>
      </c>
      <c r="C24" t="str">
        <f>VLOOKUP(B24,'[1]Planting GPS Points'!$B$3:$L$290,8,FALSE)</f>
        <v>CPS</v>
      </c>
      <c r="D24" t="str">
        <f>VLOOKUP(B24,'[1]Planting GPS Points'!$B$3:$AL$290,15,FALSE)</f>
        <v>IAA 15-101</v>
      </c>
      <c r="E24" s="42">
        <v>42955</v>
      </c>
      <c r="F24">
        <v>105.25</v>
      </c>
      <c r="G24" s="57">
        <v>10525</v>
      </c>
      <c r="H24" s="35" t="s">
        <v>971</v>
      </c>
      <c r="I24" s="42">
        <v>44697</v>
      </c>
      <c r="J24" s="77" t="s">
        <v>12</v>
      </c>
      <c r="K24" s="77" t="s">
        <v>982</v>
      </c>
      <c r="O24">
        <f t="shared" si="1"/>
        <v>1742</v>
      </c>
      <c r="Q24" t="s">
        <v>1736</v>
      </c>
    </row>
    <row r="25" spans="1:17" x14ac:dyDescent="0.25">
      <c r="A25" t="s">
        <v>61</v>
      </c>
      <c r="B25" s="9" t="s">
        <v>1010</v>
      </c>
      <c r="C25" t="str">
        <f>VLOOKUP(B25,'[1]Planting GPS Points'!$B$3:$L$290,8,FALSE)</f>
        <v>CPS</v>
      </c>
      <c r="D25" t="str">
        <f>VLOOKUP(B25,'[1]Planting GPS Points'!$B$3:$AL$290,15,FALSE)</f>
        <v>IAA 15-101</v>
      </c>
      <c r="E25" s="42">
        <v>42955</v>
      </c>
      <c r="F25">
        <v>105.25</v>
      </c>
      <c r="G25" s="57">
        <v>10525</v>
      </c>
      <c r="H25" s="35" t="s">
        <v>971</v>
      </c>
      <c r="I25" s="42">
        <v>44727</v>
      </c>
      <c r="J25" s="77" t="s">
        <v>12</v>
      </c>
      <c r="K25" s="77" t="s">
        <v>982</v>
      </c>
      <c r="O25">
        <f t="shared" si="1"/>
        <v>1772</v>
      </c>
      <c r="Q25" t="s">
        <v>1737</v>
      </c>
    </row>
    <row r="26" spans="1:17" x14ac:dyDescent="0.25">
      <c r="A26" t="s">
        <v>61</v>
      </c>
      <c r="B26" s="9" t="s">
        <v>1010</v>
      </c>
      <c r="C26" t="str">
        <f>VLOOKUP(B26,'[1]Planting GPS Points'!$B$3:$L$290,8,FALSE)</f>
        <v>CPS</v>
      </c>
      <c r="D26" t="str">
        <f>VLOOKUP(B26,'[1]Planting GPS Points'!$B$3:$AL$290,15,FALSE)</f>
        <v>IAA 15-101</v>
      </c>
      <c r="E26" s="42">
        <v>42955</v>
      </c>
      <c r="F26">
        <v>105.25</v>
      </c>
      <c r="G26" s="57">
        <v>10525</v>
      </c>
      <c r="H26" s="35" t="s">
        <v>971</v>
      </c>
      <c r="I26" s="112">
        <v>45092</v>
      </c>
      <c r="J26" s="113" t="s">
        <v>12</v>
      </c>
      <c r="K26" s="113" t="s">
        <v>982</v>
      </c>
      <c r="L26" s="114"/>
      <c r="M26" s="114"/>
      <c r="N26" s="114"/>
      <c r="O26" s="114"/>
      <c r="P26" s="114"/>
      <c r="Q26" s="114"/>
    </row>
    <row r="27" spans="1:17" x14ac:dyDescent="0.25">
      <c r="A27" t="s">
        <v>61</v>
      </c>
      <c r="B27" s="9" t="s">
        <v>1010</v>
      </c>
      <c r="C27" t="str">
        <f>VLOOKUP(B27,'[1]Planting GPS Points'!$B$3:$L$290,8,FALSE)</f>
        <v>CPS</v>
      </c>
      <c r="D27" t="str">
        <f>VLOOKUP(B27,'[1]Planting GPS Points'!$B$3:$AL$290,15,FALSE)</f>
        <v>IAA 15-101</v>
      </c>
      <c r="E27" s="42">
        <v>42955</v>
      </c>
      <c r="F27">
        <v>105.25</v>
      </c>
      <c r="G27" s="57">
        <v>10525</v>
      </c>
      <c r="H27" s="35" t="s">
        <v>971</v>
      </c>
      <c r="I27" s="112">
        <v>45458</v>
      </c>
      <c r="J27" s="113" t="s">
        <v>12</v>
      </c>
      <c r="K27" s="113" t="s">
        <v>982</v>
      </c>
      <c r="L27" s="114"/>
      <c r="M27" s="114"/>
      <c r="N27" s="114"/>
      <c r="O27" s="114"/>
      <c r="P27" s="114"/>
      <c r="Q27" s="114"/>
    </row>
    <row r="28" spans="1:17" x14ac:dyDescent="0.25">
      <c r="A28" t="s">
        <v>61</v>
      </c>
      <c r="B28" s="9" t="s">
        <v>1010</v>
      </c>
      <c r="C28" t="str">
        <f>VLOOKUP(B28,'[1]Planting GPS Points'!$B$3:$L$290,8,FALSE)</f>
        <v>CPS</v>
      </c>
      <c r="D28" t="str">
        <f>VLOOKUP(B28,'[1]Planting GPS Points'!$B$3:$AL$290,15,FALSE)</f>
        <v>IAA 15-101</v>
      </c>
      <c r="E28" s="42">
        <v>42955</v>
      </c>
      <c r="F28">
        <v>105.25</v>
      </c>
      <c r="G28" s="57">
        <v>10525</v>
      </c>
      <c r="H28" s="35" t="s">
        <v>971</v>
      </c>
      <c r="I28" s="42">
        <v>45748</v>
      </c>
      <c r="J28" s="77" t="s">
        <v>12</v>
      </c>
      <c r="K28" s="77" t="s">
        <v>982</v>
      </c>
      <c r="Q28" t="s">
        <v>1738</v>
      </c>
    </row>
    <row r="29" spans="1:17" x14ac:dyDescent="0.25">
      <c r="A29" t="s">
        <v>61</v>
      </c>
      <c r="B29" t="s">
        <v>986</v>
      </c>
      <c r="C29" t="str">
        <f>VLOOKUP(B29,'[1]Planting GPS Points'!$B$3:$L$290,8,FALSE)</f>
        <v>CPS</v>
      </c>
      <c r="D29" t="str">
        <f>VLOOKUP(B29,'[1]Planting GPS Points'!$B$3:$AL$290,15,FALSE)</f>
        <v>SC 16-17</v>
      </c>
      <c r="E29" s="42">
        <v>42860</v>
      </c>
      <c r="F29" s="44">
        <v>6</v>
      </c>
      <c r="G29" s="47">
        <v>869</v>
      </c>
      <c r="H29" s="35" t="s">
        <v>1739</v>
      </c>
      <c r="I29" s="42">
        <v>42933</v>
      </c>
      <c r="J29" s="77" t="s">
        <v>12</v>
      </c>
      <c r="K29" s="77" t="s">
        <v>994</v>
      </c>
      <c r="L29">
        <v>235</v>
      </c>
      <c r="M29">
        <v>6</v>
      </c>
      <c r="N29" s="44">
        <f>IFERROR(L29/M29, "")</f>
        <v>39.166666666666664</v>
      </c>
      <c r="O29" s="77">
        <f t="shared" si="1"/>
        <v>73</v>
      </c>
      <c r="P29" s="97">
        <f t="shared" ref="P29:P49" si="4">IF(L29="", "", L29/G29)</f>
        <v>0.27042577675489066</v>
      </c>
      <c r="Q29" s="8" t="s">
        <v>1740</v>
      </c>
    </row>
    <row r="30" spans="1:17" x14ac:dyDescent="0.25">
      <c r="A30" t="s">
        <v>61</v>
      </c>
      <c r="B30" t="s">
        <v>986</v>
      </c>
      <c r="C30" t="str">
        <f>VLOOKUP(B30,'[1]Planting GPS Points'!$B$3:$L$290,8,FALSE)</f>
        <v>CPS</v>
      </c>
      <c r="D30" t="str">
        <f>VLOOKUP(B30,'[1]Planting GPS Points'!$B$3:$AL$290,15,FALSE)</f>
        <v>SC 16-17</v>
      </c>
      <c r="E30" s="42">
        <v>42860</v>
      </c>
      <c r="F30" s="44">
        <v>6</v>
      </c>
      <c r="G30" s="47">
        <v>869</v>
      </c>
      <c r="H30" s="35" t="s">
        <v>971</v>
      </c>
      <c r="I30" s="42">
        <v>43250</v>
      </c>
      <c r="J30" s="77" t="s">
        <v>23</v>
      </c>
      <c r="K30" s="77" t="s">
        <v>994</v>
      </c>
      <c r="L30">
        <v>0</v>
      </c>
      <c r="M30">
        <v>0</v>
      </c>
      <c r="N30" s="44" t="str">
        <f>IFERROR(L30/M30, "")</f>
        <v/>
      </c>
      <c r="O30" s="77">
        <f t="shared" si="1"/>
        <v>390</v>
      </c>
      <c r="P30" s="97">
        <f t="shared" si="4"/>
        <v>0</v>
      </c>
      <c r="Q30" s="8" t="s">
        <v>1741</v>
      </c>
    </row>
    <row r="31" spans="1:17" x14ac:dyDescent="0.25">
      <c r="A31" t="s">
        <v>61</v>
      </c>
      <c r="B31" t="s">
        <v>986</v>
      </c>
      <c r="C31" t="str">
        <f>VLOOKUP(B31,'[1]Planting GPS Points'!$B$3:$L$290,8,FALSE)</f>
        <v>CPS</v>
      </c>
      <c r="D31" t="str">
        <f>VLOOKUP(B31,'[1]Planting GPS Points'!$B$3:$AL$290,15,FALSE)</f>
        <v>SC 16-17</v>
      </c>
      <c r="E31" s="42">
        <v>42860</v>
      </c>
      <c r="F31" s="44">
        <v>6</v>
      </c>
      <c r="G31" s="47">
        <v>869</v>
      </c>
      <c r="H31" s="35" t="s">
        <v>971</v>
      </c>
      <c r="I31" s="42">
        <v>45083</v>
      </c>
      <c r="J31" s="77" t="s">
        <v>23</v>
      </c>
      <c r="K31" s="77" t="s">
        <v>994</v>
      </c>
      <c r="L31">
        <v>0</v>
      </c>
      <c r="M31">
        <v>0</v>
      </c>
      <c r="N31" s="44" t="str">
        <f>IFERROR(L31/M31, "")</f>
        <v/>
      </c>
      <c r="O31" s="77">
        <f t="shared" si="1"/>
        <v>2223</v>
      </c>
      <c r="P31" s="97">
        <f t="shared" si="4"/>
        <v>0</v>
      </c>
      <c r="Q31" s="8" t="s">
        <v>1742</v>
      </c>
    </row>
    <row r="32" spans="1:17" x14ac:dyDescent="0.25">
      <c r="A32" t="s">
        <v>61</v>
      </c>
      <c r="B32" t="s">
        <v>970</v>
      </c>
      <c r="C32" t="str">
        <f>VLOOKUP(B32,'[1]Planting GPS Points'!$B$3:$L$290,8,FALSE)</f>
        <v>CPS</v>
      </c>
      <c r="D32" t="str">
        <f>VLOOKUP(B32,'[1]Planting GPS Points'!$B$3:$AL$290,15,FALSE)</f>
        <v>IAA 12-317.1</v>
      </c>
      <c r="E32" s="42">
        <v>42062</v>
      </c>
      <c r="F32" s="44">
        <v>25</v>
      </c>
      <c r="G32" s="47">
        <v>500</v>
      </c>
      <c r="H32" s="35" t="s">
        <v>971</v>
      </c>
      <c r="I32" s="42">
        <v>42215</v>
      </c>
      <c r="J32" s="77" t="s">
        <v>12</v>
      </c>
      <c r="K32" s="77" t="s">
        <v>967</v>
      </c>
      <c r="L32">
        <v>4</v>
      </c>
      <c r="N32" s="44"/>
      <c r="O32" s="77">
        <f t="shared" si="1"/>
        <v>153</v>
      </c>
      <c r="P32" s="97">
        <f t="shared" si="4"/>
        <v>8.0000000000000002E-3</v>
      </c>
      <c r="Q32" s="8" t="s">
        <v>1743</v>
      </c>
    </row>
    <row r="33" spans="1:18" x14ac:dyDescent="0.25">
      <c r="A33" t="s">
        <v>61</v>
      </c>
      <c r="B33" t="s">
        <v>970</v>
      </c>
      <c r="C33" t="str">
        <f>VLOOKUP(B33,'[1]Planting GPS Points'!$B$3:$L$290,8,FALSE)</f>
        <v>CPS</v>
      </c>
      <c r="D33" t="str">
        <f>VLOOKUP(B33,'[1]Planting GPS Points'!$B$3:$AL$290,15,FALSE)</f>
        <v>IAA 12-317.1</v>
      </c>
      <c r="E33" s="42">
        <v>42062</v>
      </c>
      <c r="F33" s="44">
        <v>25</v>
      </c>
      <c r="G33" s="47">
        <v>500</v>
      </c>
      <c r="H33" s="35"/>
      <c r="I33" s="42">
        <v>42836</v>
      </c>
      <c r="J33" s="115" t="s">
        <v>23</v>
      </c>
      <c r="K33" s="115" t="s">
        <v>967</v>
      </c>
      <c r="L33">
        <v>0</v>
      </c>
      <c r="N33" s="44" t="str">
        <f t="shared" ref="N33:N42" si="5">IFERROR(L33/M33, "")</f>
        <v/>
      </c>
      <c r="O33">
        <f t="shared" si="1"/>
        <v>774</v>
      </c>
      <c r="P33" s="97">
        <f t="shared" si="4"/>
        <v>0</v>
      </c>
      <c r="Q33" s="8"/>
    </row>
    <row r="34" spans="1:18" x14ac:dyDescent="0.25">
      <c r="A34" t="s">
        <v>61</v>
      </c>
      <c r="B34" s="9" t="s">
        <v>976</v>
      </c>
      <c r="C34" t="str">
        <f>VLOOKUP(B34,'[1]Planting GPS Points'!$B$3:$L$290,8,FALSE)</f>
        <v>CPS</v>
      </c>
      <c r="D34" t="str">
        <f>VLOOKUP(B34,'[1]Planting GPS Points'!$B$3:$AL$290,15,FALSE)</f>
        <v>93-099661</v>
      </c>
      <c r="E34" s="42">
        <v>42633</v>
      </c>
      <c r="F34" s="44">
        <v>6.25</v>
      </c>
      <c r="G34" s="47">
        <v>500</v>
      </c>
      <c r="H34" s="35" t="s">
        <v>963</v>
      </c>
      <c r="I34" s="42">
        <v>42836</v>
      </c>
      <c r="J34" s="77" t="s">
        <v>12</v>
      </c>
      <c r="K34" s="77" t="s">
        <v>982</v>
      </c>
      <c r="L34">
        <v>54</v>
      </c>
      <c r="M34">
        <v>6</v>
      </c>
      <c r="N34" s="44">
        <f t="shared" si="5"/>
        <v>9</v>
      </c>
      <c r="O34" s="77">
        <f t="shared" si="1"/>
        <v>203</v>
      </c>
      <c r="P34" s="97">
        <f t="shared" si="4"/>
        <v>0.108</v>
      </c>
      <c r="Q34" s="8" t="s">
        <v>1744</v>
      </c>
    </row>
    <row r="35" spans="1:18" x14ac:dyDescent="0.25">
      <c r="A35" t="s">
        <v>61</v>
      </c>
      <c r="B35" s="107" t="s">
        <v>976</v>
      </c>
      <c r="C35" t="str">
        <f>VLOOKUP(B35,'[1]Planting GPS Points'!$B$3:$L$290,8,FALSE)</f>
        <v>CPS</v>
      </c>
      <c r="D35" t="str">
        <f>VLOOKUP(B35,'[1]Planting GPS Points'!$B$3:$AL$290,15,FALSE)</f>
        <v>93-099661</v>
      </c>
      <c r="E35" s="116">
        <v>42633</v>
      </c>
      <c r="F35" s="117">
        <v>5</v>
      </c>
      <c r="G35" s="110">
        <v>500</v>
      </c>
      <c r="H35" s="35" t="s">
        <v>963</v>
      </c>
      <c r="I35" s="42">
        <v>43571</v>
      </c>
      <c r="J35" s="77" t="s">
        <v>23</v>
      </c>
      <c r="K35" s="77" t="s">
        <v>982</v>
      </c>
      <c r="L35">
        <v>0</v>
      </c>
      <c r="N35" s="44" t="str">
        <f t="shared" si="5"/>
        <v/>
      </c>
      <c r="O35">
        <f t="shared" si="1"/>
        <v>938</v>
      </c>
      <c r="P35" s="97">
        <f t="shared" si="4"/>
        <v>0</v>
      </c>
      <c r="Q35" s="110" t="s">
        <v>1745</v>
      </c>
    </row>
    <row r="36" spans="1:18" x14ac:dyDescent="0.25">
      <c r="A36" t="s">
        <v>61</v>
      </c>
      <c r="B36" t="s">
        <v>1016</v>
      </c>
      <c r="C36" t="str">
        <f>VLOOKUP(B36,'[1]Planting GPS Points'!$B$3:$L$290,8,FALSE)</f>
        <v>CPS</v>
      </c>
      <c r="D36">
        <f>VLOOKUP(B36,'[1]Planting GPS Points'!$B$3:$AL$290,15,FALSE)</f>
        <v>0</v>
      </c>
      <c r="E36" s="42">
        <v>44013</v>
      </c>
      <c r="F36">
        <v>6.25</v>
      </c>
      <c r="G36">
        <v>625</v>
      </c>
      <c r="H36" s="35" t="s">
        <v>963</v>
      </c>
      <c r="I36" s="42">
        <v>44307</v>
      </c>
      <c r="J36" s="77" t="s">
        <v>12</v>
      </c>
      <c r="K36" s="77" t="s">
        <v>982</v>
      </c>
      <c r="L36">
        <v>98</v>
      </c>
      <c r="M36">
        <v>7.5</v>
      </c>
      <c r="N36" s="44">
        <f t="shared" si="5"/>
        <v>13.066666666666666</v>
      </c>
      <c r="O36">
        <f t="shared" si="1"/>
        <v>294</v>
      </c>
      <c r="P36" s="97">
        <f t="shared" si="4"/>
        <v>0.15679999999999999</v>
      </c>
      <c r="Q36" s="118" t="s">
        <v>1719</v>
      </c>
      <c r="R36" t="s">
        <v>1746</v>
      </c>
    </row>
    <row r="37" spans="1:18" x14ac:dyDescent="0.25">
      <c r="A37" t="s">
        <v>61</v>
      </c>
      <c r="B37" t="s">
        <v>1016</v>
      </c>
      <c r="C37" t="str">
        <f>VLOOKUP(B37,'[1]Planting GPS Points'!$B$3:$L$290,8,FALSE)</f>
        <v>CPS</v>
      </c>
      <c r="D37">
        <f>VLOOKUP(B37,'[1]Planting GPS Points'!$B$3:$AL$290,15,FALSE)</f>
        <v>0</v>
      </c>
      <c r="E37" s="42">
        <v>44013</v>
      </c>
      <c r="F37">
        <v>6.25</v>
      </c>
      <c r="G37">
        <v>625</v>
      </c>
      <c r="H37" s="35" t="s">
        <v>963</v>
      </c>
      <c r="I37" s="42">
        <v>45083</v>
      </c>
      <c r="J37" s="77" t="s">
        <v>23</v>
      </c>
      <c r="K37" s="77" t="s">
        <v>982</v>
      </c>
      <c r="L37">
        <v>0</v>
      </c>
      <c r="M37">
        <v>0</v>
      </c>
      <c r="N37" s="44" t="str">
        <f t="shared" si="5"/>
        <v/>
      </c>
      <c r="O37">
        <f t="shared" si="1"/>
        <v>1070</v>
      </c>
      <c r="P37" s="97">
        <f t="shared" si="4"/>
        <v>0</v>
      </c>
      <c r="Q37" s="118" t="s">
        <v>1747</v>
      </c>
    </row>
    <row r="38" spans="1:18" x14ac:dyDescent="0.25">
      <c r="A38" t="s">
        <v>61</v>
      </c>
      <c r="B38" t="s">
        <v>999</v>
      </c>
      <c r="C38" t="str">
        <f>VLOOKUP(B38,'[1]Planting GPS Points'!$B$3:$L$290,8,FALSE)</f>
        <v>CPS</v>
      </c>
      <c r="D38" t="str">
        <f>VLOOKUP(B38,'[1]Planting GPS Points'!$B$3:$AL$290,15,FALSE)</f>
        <v>SC 16-17</v>
      </c>
      <c r="E38" s="42">
        <v>42860</v>
      </c>
      <c r="F38" s="44">
        <v>6</v>
      </c>
      <c r="G38" s="47">
        <v>869</v>
      </c>
      <c r="H38" s="35" t="s">
        <v>1739</v>
      </c>
      <c r="I38" s="42">
        <v>42933</v>
      </c>
      <c r="J38" s="77" t="s">
        <v>12</v>
      </c>
      <c r="K38" s="77" t="s">
        <v>994</v>
      </c>
      <c r="L38">
        <v>69</v>
      </c>
      <c r="M38">
        <v>6</v>
      </c>
      <c r="N38" s="44">
        <f t="shared" si="5"/>
        <v>11.5</v>
      </c>
      <c r="O38" s="77">
        <f t="shared" si="1"/>
        <v>73</v>
      </c>
      <c r="P38" s="97">
        <f t="shared" si="4"/>
        <v>7.9401611047180673E-2</v>
      </c>
      <c r="Q38" s="8" t="s">
        <v>1740</v>
      </c>
    </row>
    <row r="39" spans="1:18" x14ac:dyDescent="0.25">
      <c r="A39" t="s">
        <v>61</v>
      </c>
      <c r="B39" t="s">
        <v>999</v>
      </c>
      <c r="C39" t="str">
        <f>VLOOKUP(B39,'[1]Planting GPS Points'!$B$3:$L$290,8,FALSE)</f>
        <v>CPS</v>
      </c>
      <c r="D39" t="str">
        <f>VLOOKUP(B39,'[1]Planting GPS Points'!$B$3:$AL$290,15,FALSE)</f>
        <v>SC 16-17</v>
      </c>
      <c r="E39" s="42">
        <v>42860</v>
      </c>
      <c r="F39" s="44">
        <v>6</v>
      </c>
      <c r="G39" s="47">
        <v>869</v>
      </c>
      <c r="H39" s="35" t="s">
        <v>971</v>
      </c>
      <c r="I39" s="42">
        <v>43250</v>
      </c>
      <c r="J39" s="77" t="s">
        <v>23</v>
      </c>
      <c r="K39" s="77" t="s">
        <v>994</v>
      </c>
      <c r="L39">
        <v>0</v>
      </c>
      <c r="M39">
        <v>0</v>
      </c>
      <c r="N39" s="44" t="str">
        <f t="shared" si="5"/>
        <v/>
      </c>
      <c r="O39" s="77">
        <f t="shared" si="1"/>
        <v>390</v>
      </c>
      <c r="P39" s="97">
        <f t="shared" si="4"/>
        <v>0</v>
      </c>
      <c r="Q39" s="8" t="s">
        <v>1741</v>
      </c>
    </row>
    <row r="40" spans="1:18" x14ac:dyDescent="0.25">
      <c r="A40" t="s">
        <v>61</v>
      </c>
      <c r="B40" t="s">
        <v>999</v>
      </c>
      <c r="C40" t="str">
        <f>VLOOKUP(B40,'[1]Planting GPS Points'!$B$3:$L$290,8,FALSE)</f>
        <v>CPS</v>
      </c>
      <c r="D40" t="str">
        <f>VLOOKUP(B40,'[1]Planting GPS Points'!$B$3:$AL$290,15,FALSE)</f>
        <v>SC 16-17</v>
      </c>
      <c r="E40" s="42">
        <v>42860</v>
      </c>
      <c r="F40" s="44">
        <v>6</v>
      </c>
      <c r="G40" s="47">
        <v>869</v>
      </c>
      <c r="H40" s="35" t="s">
        <v>971</v>
      </c>
      <c r="I40" s="42">
        <v>45083</v>
      </c>
      <c r="J40" s="77" t="s">
        <v>23</v>
      </c>
      <c r="K40" s="77" t="s">
        <v>994</v>
      </c>
      <c r="L40">
        <v>0</v>
      </c>
      <c r="M40">
        <v>0</v>
      </c>
      <c r="N40" s="44" t="str">
        <f t="shared" si="5"/>
        <v/>
      </c>
      <c r="O40" s="77">
        <f t="shared" si="1"/>
        <v>2223</v>
      </c>
      <c r="P40" s="97">
        <f t="shared" si="4"/>
        <v>0</v>
      </c>
      <c r="Q40" s="8" t="s">
        <v>1742</v>
      </c>
    </row>
    <row r="41" spans="1:18" x14ac:dyDescent="0.25">
      <c r="A41" t="s">
        <v>61</v>
      </c>
      <c r="B41" t="s">
        <v>1024</v>
      </c>
      <c r="C41" t="s">
        <v>971</v>
      </c>
      <c r="D41" t="s">
        <v>966</v>
      </c>
      <c r="E41" s="119">
        <v>45082</v>
      </c>
      <c r="F41" s="44">
        <v>0.75</v>
      </c>
      <c r="G41" s="47">
        <v>150</v>
      </c>
      <c r="H41" s="35" t="s">
        <v>971</v>
      </c>
      <c r="I41" s="42">
        <v>45421</v>
      </c>
      <c r="J41" s="77" t="s">
        <v>23</v>
      </c>
      <c r="K41" s="77" t="s">
        <v>982</v>
      </c>
      <c r="L41">
        <v>0</v>
      </c>
      <c r="M41">
        <v>0</v>
      </c>
      <c r="N41" s="44" t="str">
        <f t="shared" si="5"/>
        <v/>
      </c>
      <c r="O41" s="77">
        <f t="shared" si="1"/>
        <v>339</v>
      </c>
      <c r="P41" s="97">
        <f t="shared" si="4"/>
        <v>0</v>
      </c>
      <c r="Q41" s="8" t="s">
        <v>1748</v>
      </c>
    </row>
    <row r="42" spans="1:18" x14ac:dyDescent="0.25">
      <c r="A42" t="s">
        <v>216</v>
      </c>
      <c r="B42" t="s">
        <v>1037</v>
      </c>
      <c r="C42" t="str">
        <f>VLOOKUP(B42,'[1]Planting GPS Points'!$B$3:$L$290,8,FALSE)</f>
        <v>CPS</v>
      </c>
      <c r="D42" t="str">
        <f>VLOOKUP(B42,'[1]Planting GPS Points'!$B$3:$AL$290,15,FALSE)</f>
        <v>IAA 12-317.1</v>
      </c>
      <c r="E42" s="42">
        <v>42053</v>
      </c>
      <c r="F42" s="44">
        <v>25</v>
      </c>
      <c r="G42" s="45">
        <v>500</v>
      </c>
      <c r="H42" s="35" t="s">
        <v>971</v>
      </c>
      <c r="I42" s="42">
        <v>42244</v>
      </c>
      <c r="J42" s="77" t="s">
        <v>23</v>
      </c>
      <c r="K42" s="77" t="s">
        <v>967</v>
      </c>
      <c r="L42">
        <v>0</v>
      </c>
      <c r="N42" s="44" t="str">
        <f t="shared" si="5"/>
        <v/>
      </c>
      <c r="O42">
        <f t="shared" si="1"/>
        <v>191</v>
      </c>
      <c r="P42" s="97">
        <f t="shared" si="4"/>
        <v>0</v>
      </c>
      <c r="Q42" s="8" t="s">
        <v>1749</v>
      </c>
    </row>
    <row r="43" spans="1:18" x14ac:dyDescent="0.25">
      <c r="A43" s="62" t="s">
        <v>836</v>
      </c>
      <c r="B43" s="18" t="s">
        <v>1043</v>
      </c>
      <c r="C43" t="str">
        <f>VLOOKUP(B43,'[1]Planting GPS Points'!$B$3:$L$290,8,FALSE)</f>
        <v>CPS</v>
      </c>
      <c r="D43" t="str">
        <f>VLOOKUP(B43,'[1]Planting GPS Points'!$B$3:$AL$290,15,FALSE)</f>
        <v>93-094344</v>
      </c>
      <c r="E43" s="59">
        <v>43277</v>
      </c>
      <c r="F43" s="44">
        <v>108.25</v>
      </c>
      <c r="G43" s="62">
        <v>10825</v>
      </c>
      <c r="H43" s="35" t="s">
        <v>971</v>
      </c>
      <c r="I43" s="42">
        <v>43297</v>
      </c>
      <c r="J43" s="77" t="s">
        <v>12</v>
      </c>
      <c r="K43" s="77" t="s">
        <v>982</v>
      </c>
      <c r="P43" s="97" t="str">
        <f t="shared" si="4"/>
        <v/>
      </c>
      <c r="Q43" s="8" t="s">
        <v>1750</v>
      </c>
    </row>
    <row r="44" spans="1:18" ht="17.25" x14ac:dyDescent="0.25">
      <c r="A44" s="107" t="s">
        <v>836</v>
      </c>
      <c r="B44" s="107" t="s">
        <v>1043</v>
      </c>
      <c r="C44" t="str">
        <f>VLOOKUP(B44,'[1]Planting GPS Points'!$B$3:$L$290,8,FALSE)</f>
        <v>CPS</v>
      </c>
      <c r="D44" t="str">
        <f>VLOOKUP(B44,'[1]Planting GPS Points'!$B$3:$AL$290,15,FALSE)</f>
        <v>93-094344</v>
      </c>
      <c r="E44" s="108">
        <v>43277</v>
      </c>
      <c r="F44" s="109">
        <v>108.25</v>
      </c>
      <c r="G44" s="107">
        <v>10825</v>
      </c>
      <c r="H44" s="35" t="s">
        <v>963</v>
      </c>
      <c r="I44" s="42">
        <v>43572</v>
      </c>
      <c r="J44" s="77" t="s">
        <v>12</v>
      </c>
      <c r="K44" s="77" t="s">
        <v>982</v>
      </c>
      <c r="L44" s="47">
        <v>6949.565217391304</v>
      </c>
      <c r="M44">
        <v>108</v>
      </c>
      <c r="N44" s="44">
        <f t="shared" ref="N44:N49" si="6">IFERROR(L44/M44, "")</f>
        <v>64.347826086956516</v>
      </c>
      <c r="O44">
        <f t="shared" ref="O44:O107" si="7">I44-E44</f>
        <v>295</v>
      </c>
      <c r="P44" s="97">
        <f t="shared" si="4"/>
        <v>0.64199216788834212</v>
      </c>
      <c r="Q44" s="110" t="s">
        <v>1751</v>
      </c>
    </row>
    <row r="45" spans="1:18" ht="16.5" x14ac:dyDescent="0.25">
      <c r="A45" s="62" t="s">
        <v>836</v>
      </c>
      <c r="B45" s="18" t="s">
        <v>1043</v>
      </c>
      <c r="C45" t="str">
        <f>VLOOKUP(B45,'[1]Planting GPS Points'!$B$3:$L$290,8,FALSE)</f>
        <v>CPS</v>
      </c>
      <c r="D45" t="str">
        <f>VLOOKUP(B45,'[1]Planting GPS Points'!$B$3:$AL$290,15,FALSE)</f>
        <v>93-094344</v>
      </c>
      <c r="E45" s="59">
        <v>43277</v>
      </c>
      <c r="F45" s="109" t="str">
        <f>VLOOKUP(B45,PLANTING,26,FALSE)</f>
        <v>rebar</v>
      </c>
      <c r="G45" s="111">
        <f>VLOOKUP(B45,PLANTING,29,FALSE)</f>
        <v>190</v>
      </c>
      <c r="H45" s="35" t="s">
        <v>963</v>
      </c>
      <c r="I45" s="42">
        <v>43966</v>
      </c>
      <c r="J45" s="77" t="s">
        <v>12</v>
      </c>
      <c r="K45" s="77" t="s">
        <v>982</v>
      </c>
      <c r="L45">
        <v>10170</v>
      </c>
      <c r="M45" s="47">
        <v>108.25</v>
      </c>
      <c r="N45" s="44">
        <f t="shared" si="6"/>
        <v>93.94919168591224</v>
      </c>
      <c r="O45">
        <f t="shared" si="7"/>
        <v>689</v>
      </c>
      <c r="P45" s="97">
        <f t="shared" si="4"/>
        <v>53.526315789473685</v>
      </c>
      <c r="Q45" s="8" t="s">
        <v>1752</v>
      </c>
    </row>
    <row r="46" spans="1:18" ht="16.5" x14ac:dyDescent="0.25">
      <c r="A46" t="s">
        <v>836</v>
      </c>
      <c r="B46" t="s">
        <v>1045</v>
      </c>
      <c r="C46" t="str">
        <f>VLOOKUP(B46,'[1]Planting GPS Points'!$B$3:$L$290,8,FALSE)</f>
        <v>CPS</v>
      </c>
      <c r="D46" t="str">
        <f>VLOOKUP(B46,'[1]Planting GPS Points'!$B$3:$AL$290,15,FALSE)</f>
        <v>93-099661</v>
      </c>
      <c r="E46" s="42">
        <v>43625</v>
      </c>
      <c r="F46" s="109" t="str">
        <f>VLOOKUP(B46,PLANTING,26,FALSE)</f>
        <v>rebar</v>
      </c>
      <c r="G46" s="111">
        <f>VLOOKUP(B46,PLANTING,29,FALSE)</f>
        <v>270</v>
      </c>
      <c r="H46" s="35" t="s">
        <v>963</v>
      </c>
      <c r="I46" s="42">
        <v>43966</v>
      </c>
      <c r="J46" s="77" t="s">
        <v>12</v>
      </c>
      <c r="K46" s="77" t="s">
        <v>982</v>
      </c>
      <c r="L46">
        <v>14892</v>
      </c>
      <c r="M46" s="47">
        <v>164</v>
      </c>
      <c r="N46" s="44">
        <f t="shared" si="6"/>
        <v>90.804878048780495</v>
      </c>
      <c r="O46">
        <f t="shared" si="7"/>
        <v>341</v>
      </c>
      <c r="P46" s="97">
        <f t="shared" si="4"/>
        <v>55.155555555555559</v>
      </c>
      <c r="Q46" s="8" t="s">
        <v>1753</v>
      </c>
    </row>
    <row r="47" spans="1:18" x14ac:dyDescent="0.25">
      <c r="A47" s="9" t="s">
        <v>836</v>
      </c>
      <c r="B47" s="9" t="s">
        <v>1042</v>
      </c>
      <c r="C47" t="str">
        <f>VLOOKUP(B47,'[1]Planting GPS Points'!$B$3:$L$290,8,FALSE)</f>
        <v>CPS</v>
      </c>
      <c r="D47" t="str">
        <f>VLOOKUP(B47,'[1]Planting GPS Points'!$B$3:$AL$290,15,FALSE)</f>
        <v>93-094344</v>
      </c>
      <c r="E47" s="3">
        <v>42978</v>
      </c>
      <c r="F47" s="55">
        <v>6.25</v>
      </c>
      <c r="G47" s="9">
        <v>500</v>
      </c>
      <c r="H47" s="35" t="s">
        <v>963</v>
      </c>
      <c r="I47" s="42">
        <v>43167</v>
      </c>
      <c r="J47" s="77" t="s">
        <v>12</v>
      </c>
      <c r="K47" s="77" t="s">
        <v>982</v>
      </c>
      <c r="L47">
        <v>478</v>
      </c>
      <c r="M47" s="9">
        <v>6.25</v>
      </c>
      <c r="N47" s="44">
        <f t="shared" si="6"/>
        <v>76.48</v>
      </c>
      <c r="O47">
        <f t="shared" si="7"/>
        <v>189</v>
      </c>
      <c r="P47" s="97">
        <f t="shared" si="4"/>
        <v>0.95599999999999996</v>
      </c>
      <c r="Q47" s="8" t="s">
        <v>1754</v>
      </c>
    </row>
    <row r="48" spans="1:18" x14ac:dyDescent="0.25">
      <c r="A48" s="9" t="s">
        <v>836</v>
      </c>
      <c r="B48" s="9" t="s">
        <v>1039</v>
      </c>
      <c r="C48" t="str">
        <f>VLOOKUP(B48,'[1]Planting GPS Points'!$B$3:$L$290,8,FALSE)</f>
        <v>CPS</v>
      </c>
      <c r="D48" t="str">
        <f>VLOOKUP(B48,'[1]Planting GPS Points'!$B$3:$AL$290,15,FALSE)</f>
        <v>93-094344</v>
      </c>
      <c r="E48" s="3">
        <v>42978</v>
      </c>
      <c r="F48" s="55">
        <v>6.25</v>
      </c>
      <c r="G48" s="9">
        <v>500</v>
      </c>
      <c r="H48" s="35" t="s">
        <v>963</v>
      </c>
      <c r="I48" s="42">
        <v>43167</v>
      </c>
      <c r="J48" s="77" t="s">
        <v>12</v>
      </c>
      <c r="K48" s="77" t="s">
        <v>982</v>
      </c>
      <c r="L48">
        <v>632</v>
      </c>
      <c r="M48" s="9">
        <v>6.25</v>
      </c>
      <c r="N48" s="44">
        <f t="shared" si="6"/>
        <v>101.12</v>
      </c>
      <c r="O48">
        <f t="shared" si="7"/>
        <v>189</v>
      </c>
      <c r="P48" s="97">
        <f t="shared" si="4"/>
        <v>1.264</v>
      </c>
      <c r="Q48" s="8" t="s">
        <v>1755</v>
      </c>
    </row>
    <row r="49" spans="1:18" x14ac:dyDescent="0.25">
      <c r="A49" t="s">
        <v>1047</v>
      </c>
      <c r="B49" t="s">
        <v>1048</v>
      </c>
      <c r="C49" t="str">
        <f>VLOOKUP(B49,'[1]Planting GPS Points'!$B$3:$L$290,8,FALSE)</f>
        <v>CPS</v>
      </c>
      <c r="D49" t="str">
        <f>VLOOKUP(B49,'[1]Planting GPS Points'!$B$3:$AL$290,15,FALSE)</f>
        <v>IAA 12-317.1</v>
      </c>
      <c r="E49" s="42">
        <v>42061</v>
      </c>
      <c r="F49" s="44">
        <v>25</v>
      </c>
      <c r="G49" s="45">
        <v>500</v>
      </c>
      <c r="H49" s="35" t="s">
        <v>971</v>
      </c>
      <c r="I49" s="42">
        <v>42215</v>
      </c>
      <c r="J49" s="77" t="s">
        <v>12</v>
      </c>
      <c r="K49" s="77" t="s">
        <v>967</v>
      </c>
      <c r="N49" s="44" t="str">
        <f t="shared" si="6"/>
        <v/>
      </c>
      <c r="O49">
        <f t="shared" si="7"/>
        <v>154</v>
      </c>
      <c r="P49" s="97" t="str">
        <f t="shared" si="4"/>
        <v/>
      </c>
      <c r="Q49" s="8" t="s">
        <v>1756</v>
      </c>
    </row>
    <row r="50" spans="1:18" x14ac:dyDescent="0.25">
      <c r="A50" t="s">
        <v>1047</v>
      </c>
      <c r="B50" t="s">
        <v>1048</v>
      </c>
      <c r="C50" t="str">
        <f>VLOOKUP(B50,'[1]Planting GPS Points'!$B$3:$L$290,8,FALSE)</f>
        <v>CPS</v>
      </c>
      <c r="D50" t="str">
        <f>VLOOKUP(B50,'[1]Planting GPS Points'!$B$3:$AL$290,15,FALSE)</f>
        <v>IAA 12-317.1</v>
      </c>
      <c r="E50" s="42">
        <v>42061</v>
      </c>
      <c r="F50" s="44">
        <v>25</v>
      </c>
      <c r="G50" s="45">
        <v>500</v>
      </c>
      <c r="H50" s="35" t="s">
        <v>971</v>
      </c>
      <c r="I50" s="42">
        <v>42219</v>
      </c>
      <c r="J50" s="77" t="s">
        <v>12</v>
      </c>
      <c r="K50" s="77" t="s">
        <v>967</v>
      </c>
      <c r="N50" s="44"/>
      <c r="O50">
        <f t="shared" si="7"/>
        <v>158</v>
      </c>
      <c r="P50" s="97"/>
      <c r="Q50" s="8" t="s">
        <v>1757</v>
      </c>
    </row>
    <row r="51" spans="1:18" x14ac:dyDescent="0.25">
      <c r="A51" t="s">
        <v>1047</v>
      </c>
      <c r="B51" t="s">
        <v>1048</v>
      </c>
      <c r="C51" t="str">
        <f>VLOOKUP(B51,'[1]Planting GPS Points'!$B$3:$L$290,8,FALSE)</f>
        <v>CPS</v>
      </c>
      <c r="D51" t="str">
        <f>VLOOKUP(B51,'[1]Planting GPS Points'!$B$3:$AL$290,15,FALSE)</f>
        <v>IAA 12-317.1</v>
      </c>
      <c r="E51" s="42">
        <v>42061</v>
      </c>
      <c r="F51" s="44">
        <v>25</v>
      </c>
      <c r="G51" s="45">
        <v>500</v>
      </c>
      <c r="H51" s="35" t="s">
        <v>971</v>
      </c>
      <c r="I51" s="42">
        <v>42227</v>
      </c>
      <c r="J51" s="77" t="s">
        <v>12</v>
      </c>
      <c r="K51" s="77" t="s">
        <v>967</v>
      </c>
      <c r="N51" s="44"/>
      <c r="O51">
        <f t="shared" si="7"/>
        <v>166</v>
      </c>
      <c r="P51" s="97"/>
      <c r="Q51" s="8" t="s">
        <v>1758</v>
      </c>
    </row>
    <row r="52" spans="1:18" x14ac:dyDescent="0.25">
      <c r="A52" t="s">
        <v>1047</v>
      </c>
      <c r="B52" t="s">
        <v>1048</v>
      </c>
      <c r="C52" t="str">
        <f>VLOOKUP(B52,'[1]Planting GPS Points'!$B$3:$L$290,8,FALSE)</f>
        <v>CPS</v>
      </c>
      <c r="D52" t="str">
        <f>VLOOKUP(B52,'[1]Planting GPS Points'!$B$3:$AL$290,15,FALSE)</f>
        <v>IAA 12-317.1</v>
      </c>
      <c r="E52" s="42">
        <v>42061</v>
      </c>
      <c r="F52" s="44">
        <v>25</v>
      </c>
      <c r="G52" s="45">
        <v>500</v>
      </c>
      <c r="H52" s="35" t="s">
        <v>971</v>
      </c>
      <c r="I52" s="42">
        <v>42497</v>
      </c>
      <c r="J52" s="77" t="s">
        <v>12</v>
      </c>
      <c r="K52" s="77" t="s">
        <v>967</v>
      </c>
      <c r="N52" s="44" t="str">
        <f>IFERROR(L52/M52, "")</f>
        <v/>
      </c>
      <c r="O52">
        <f t="shared" si="7"/>
        <v>436</v>
      </c>
      <c r="P52" s="97" t="str">
        <f>IF(L52="", "", L52/G52)</f>
        <v/>
      </c>
      <c r="Q52" s="8" t="s">
        <v>1749</v>
      </c>
    </row>
    <row r="53" spans="1:18" x14ac:dyDescent="0.25">
      <c r="A53" t="s">
        <v>1047</v>
      </c>
      <c r="B53" t="s">
        <v>1048</v>
      </c>
      <c r="C53" t="str">
        <f>VLOOKUP(B53,'[1]Planting GPS Points'!$B$3:$L$290,8,FALSE)</f>
        <v>CPS</v>
      </c>
      <c r="D53" t="str">
        <f>VLOOKUP(B53,'[1]Planting GPS Points'!$B$3:$AL$290,15,FALSE)</f>
        <v>IAA 12-317.1</v>
      </c>
      <c r="E53" s="42">
        <v>42061</v>
      </c>
      <c r="F53" s="44">
        <v>25</v>
      </c>
      <c r="G53" s="45">
        <v>500</v>
      </c>
      <c r="H53" s="35" t="s">
        <v>1739</v>
      </c>
      <c r="I53" s="42">
        <v>42506</v>
      </c>
      <c r="J53" s="77" t="s">
        <v>12</v>
      </c>
      <c r="K53" s="77" t="s">
        <v>967</v>
      </c>
      <c r="N53" s="44" t="str">
        <f>IFERROR(L53/M53, "")</f>
        <v/>
      </c>
      <c r="O53">
        <f t="shared" si="7"/>
        <v>445</v>
      </c>
      <c r="P53" s="97" t="str">
        <f>IF(L53="", "", L53/G53)</f>
        <v/>
      </c>
      <c r="Q53" s="8" t="s">
        <v>1759</v>
      </c>
    </row>
    <row r="54" spans="1:18" x14ac:dyDescent="0.25">
      <c r="A54" t="s">
        <v>1047</v>
      </c>
      <c r="B54" t="s">
        <v>1048</v>
      </c>
      <c r="C54" t="str">
        <f>VLOOKUP(B54,'[1]Planting GPS Points'!$B$3:$L$290,8,FALSE)</f>
        <v>CPS</v>
      </c>
      <c r="D54" t="str">
        <f>VLOOKUP(B54,'[1]Planting GPS Points'!$B$3:$AL$290,15,FALSE)</f>
        <v>IAA 12-317.1</v>
      </c>
      <c r="E54" s="42">
        <v>42061</v>
      </c>
      <c r="F54" s="44">
        <v>25</v>
      </c>
      <c r="G54" s="45">
        <v>500</v>
      </c>
      <c r="H54" s="35" t="s">
        <v>971</v>
      </c>
      <c r="I54" s="42">
        <v>42570</v>
      </c>
      <c r="J54" s="77" t="s">
        <v>12</v>
      </c>
      <c r="K54" s="77" t="s">
        <v>967</v>
      </c>
      <c r="L54">
        <v>526</v>
      </c>
      <c r="N54" s="44" t="str">
        <f>IFERROR(L54/M54, "")</f>
        <v/>
      </c>
      <c r="O54">
        <f t="shared" si="7"/>
        <v>509</v>
      </c>
      <c r="P54" s="97">
        <f>IF(L54="", "", L54/G54)</f>
        <v>1.052</v>
      </c>
      <c r="Q54" s="8" t="s">
        <v>1760</v>
      </c>
    </row>
    <row r="55" spans="1:18" x14ac:dyDescent="0.25">
      <c r="A55" t="s">
        <v>1047</v>
      </c>
      <c r="B55" t="s">
        <v>1048</v>
      </c>
      <c r="C55" t="str">
        <f>VLOOKUP(B55,'[1]Planting GPS Points'!$B$3:$L$290,8,FALSE)</f>
        <v>CPS</v>
      </c>
      <c r="D55" t="str">
        <f>VLOOKUP(B55,'[1]Planting GPS Points'!$B$3:$AL$290,15,FALSE)</f>
        <v>IAA 12-317.1</v>
      </c>
      <c r="E55" s="42">
        <v>42061</v>
      </c>
      <c r="F55" s="44">
        <v>25</v>
      </c>
      <c r="G55" s="45">
        <v>500</v>
      </c>
      <c r="H55" s="35" t="s">
        <v>971</v>
      </c>
      <c r="I55" s="42">
        <v>42884</v>
      </c>
      <c r="J55" s="77" t="s">
        <v>12</v>
      </c>
      <c r="K55" s="77" t="s">
        <v>967</v>
      </c>
      <c r="N55" s="44"/>
      <c r="O55">
        <f t="shared" si="7"/>
        <v>823</v>
      </c>
      <c r="P55" s="97"/>
      <c r="Q55" s="8" t="s">
        <v>1761</v>
      </c>
    </row>
    <row r="56" spans="1:18" x14ac:dyDescent="0.25">
      <c r="A56" t="s">
        <v>1047</v>
      </c>
      <c r="B56" t="s">
        <v>1048</v>
      </c>
      <c r="C56" t="str">
        <f>VLOOKUP(B56,'[1]Planting GPS Points'!$B$3:$L$290,8,FALSE)</f>
        <v>CPS</v>
      </c>
      <c r="D56" t="str">
        <f>VLOOKUP(B56,'[1]Planting GPS Points'!$B$3:$AL$290,15,FALSE)</f>
        <v>IAA 12-317.1</v>
      </c>
      <c r="E56" s="42">
        <v>42061</v>
      </c>
      <c r="F56" s="44">
        <v>25</v>
      </c>
      <c r="G56" s="45">
        <v>500</v>
      </c>
      <c r="H56" s="35" t="s">
        <v>971</v>
      </c>
      <c r="I56" s="42">
        <v>42940</v>
      </c>
      <c r="J56" s="77" t="s">
        <v>12</v>
      </c>
      <c r="K56" s="77" t="s">
        <v>967</v>
      </c>
      <c r="N56" s="44"/>
      <c r="O56">
        <f t="shared" si="7"/>
        <v>879</v>
      </c>
      <c r="P56" s="97"/>
      <c r="Q56" s="8" t="s">
        <v>1762</v>
      </c>
    </row>
    <row r="57" spans="1:18" x14ac:dyDescent="0.25">
      <c r="A57" t="s">
        <v>1047</v>
      </c>
      <c r="B57" t="s">
        <v>1048</v>
      </c>
      <c r="C57" t="str">
        <f>VLOOKUP(B57,'[1]Planting GPS Points'!$B$3:$L$290,8,FALSE)</f>
        <v>CPS</v>
      </c>
      <c r="D57" t="str">
        <f>VLOOKUP(B57,'[1]Planting GPS Points'!$B$3:$AL$290,15,FALSE)</f>
        <v>IAA 12-317.1</v>
      </c>
      <c r="E57" s="42">
        <v>42061</v>
      </c>
      <c r="F57" s="44">
        <v>25</v>
      </c>
      <c r="G57" s="45">
        <v>500</v>
      </c>
      <c r="H57" s="35" t="s">
        <v>971</v>
      </c>
      <c r="I57" s="42">
        <v>42967</v>
      </c>
      <c r="J57" s="77" t="s">
        <v>12</v>
      </c>
      <c r="K57" s="77" t="s">
        <v>967</v>
      </c>
      <c r="N57" s="44"/>
      <c r="O57">
        <f t="shared" si="7"/>
        <v>906</v>
      </c>
      <c r="P57" s="97"/>
      <c r="Q57" s="8" t="s">
        <v>1763</v>
      </c>
    </row>
    <row r="58" spans="1:18" s="114" customFormat="1" x14ac:dyDescent="0.25">
      <c r="A58" t="s">
        <v>1047</v>
      </c>
      <c r="B58" t="s">
        <v>1048</v>
      </c>
      <c r="C58" t="str">
        <f>VLOOKUP(B58,'[1]Planting GPS Points'!$B$3:$L$290,8,FALSE)</f>
        <v>CPS</v>
      </c>
      <c r="D58" t="str">
        <f>VLOOKUP(B58,'[1]Planting GPS Points'!$B$3:$AL$290,15,FALSE)</f>
        <v>IAA 12-317.1</v>
      </c>
      <c r="E58" s="42">
        <v>42061</v>
      </c>
      <c r="F58" s="44">
        <v>25</v>
      </c>
      <c r="G58" s="45">
        <v>500</v>
      </c>
      <c r="H58" s="35" t="s">
        <v>971</v>
      </c>
      <c r="I58" s="42">
        <v>43250</v>
      </c>
      <c r="J58" s="77" t="s">
        <v>12</v>
      </c>
      <c r="K58" s="77" t="s">
        <v>967</v>
      </c>
      <c r="L58"/>
      <c r="M58"/>
      <c r="N58" s="44" t="str">
        <f>IFERROR(L58/M58, "")</f>
        <v/>
      </c>
      <c r="O58">
        <f t="shared" si="7"/>
        <v>1189</v>
      </c>
      <c r="P58" s="97" t="str">
        <f t="shared" ref="P58:P65" si="8">IF(L58="", "", L58/G58)</f>
        <v/>
      </c>
      <c r="Q58" s="8" t="s">
        <v>1764</v>
      </c>
      <c r="R58"/>
    </row>
    <row r="59" spans="1:18" x14ac:dyDescent="0.25">
      <c r="A59" t="s">
        <v>1047</v>
      </c>
      <c r="B59" t="s">
        <v>1048</v>
      </c>
      <c r="C59" t="str">
        <f>VLOOKUP(B59,'[1]Planting GPS Points'!$B$3:$L$290,8,FALSE)</f>
        <v>CPS</v>
      </c>
      <c r="D59" t="str">
        <f>VLOOKUP(B59,'[1]Planting GPS Points'!$B$3:$AL$290,15,FALSE)</f>
        <v>IAA 12-317.1</v>
      </c>
      <c r="E59" s="42">
        <v>42061</v>
      </c>
      <c r="F59" s="109" t="str">
        <f>VLOOKUP(B59,PLANTING,26,FALSE)</f>
        <v>staple</v>
      </c>
      <c r="G59" s="111">
        <f>VLOOKUP(B59,PLANTING,29,FALSE)</f>
        <v>25</v>
      </c>
      <c r="H59" s="35" t="s">
        <v>963</v>
      </c>
      <c r="I59" s="42">
        <v>43624</v>
      </c>
      <c r="J59" s="77" t="s">
        <v>12</v>
      </c>
      <c r="K59" s="77" t="s">
        <v>967</v>
      </c>
      <c r="L59" s="47">
        <v>50</v>
      </c>
      <c r="M59">
        <v>25</v>
      </c>
      <c r="N59" s="44">
        <f>IFERROR(L59/M59, "")</f>
        <v>2</v>
      </c>
      <c r="O59">
        <f t="shared" si="7"/>
        <v>1563</v>
      </c>
      <c r="P59" s="97">
        <f t="shared" si="8"/>
        <v>2</v>
      </c>
      <c r="Q59" s="110" t="s">
        <v>1765</v>
      </c>
    </row>
    <row r="60" spans="1:18" x14ac:dyDescent="0.25">
      <c r="A60" t="s">
        <v>1047</v>
      </c>
      <c r="B60" t="s">
        <v>1048</v>
      </c>
      <c r="C60" t="str">
        <f>VLOOKUP(B60,'[1]Planting GPS Points'!$B$3:$L$290,8,FALSE)</f>
        <v>CPS</v>
      </c>
      <c r="D60" t="str">
        <f>VLOOKUP(B60,'[1]Planting GPS Points'!$B$3:$AL$290,15,FALSE)</f>
        <v>IAA 12-317.1</v>
      </c>
      <c r="E60" s="42">
        <v>42061</v>
      </c>
      <c r="F60" s="109" t="str">
        <f>VLOOKUP(B60,PLANTING,26,FALSE)</f>
        <v>staple</v>
      </c>
      <c r="G60" s="111">
        <f>VLOOKUP(B60,PLANTING,29,FALSE)</f>
        <v>25</v>
      </c>
      <c r="H60" s="35" t="s">
        <v>963</v>
      </c>
      <c r="I60" s="42">
        <v>43965</v>
      </c>
      <c r="J60" s="77" t="s">
        <v>12</v>
      </c>
      <c r="K60" s="77" t="s">
        <v>967</v>
      </c>
      <c r="L60">
        <v>568</v>
      </c>
      <c r="M60" s="47">
        <v>25</v>
      </c>
      <c r="N60" s="44">
        <f>IFERROR(L60/M60, "")</f>
        <v>22.72</v>
      </c>
      <c r="O60">
        <f t="shared" si="7"/>
        <v>1904</v>
      </c>
      <c r="P60" s="97">
        <f t="shared" si="8"/>
        <v>22.72</v>
      </c>
      <c r="Q60" t="s">
        <v>1766</v>
      </c>
    </row>
    <row r="61" spans="1:18" x14ac:dyDescent="0.25">
      <c r="A61" t="s">
        <v>1047</v>
      </c>
      <c r="B61" t="s">
        <v>1048</v>
      </c>
      <c r="C61" t="str">
        <f>VLOOKUP(B61,'[1]Planting GPS Points'!$B$3:$L$290,8,FALSE)</f>
        <v>CPS</v>
      </c>
      <c r="D61" t="str">
        <f>VLOOKUP(B61,'[1]Planting GPS Points'!$B$3:$AL$290,15,FALSE)</f>
        <v>IAA 12-317.1</v>
      </c>
      <c r="E61" s="42">
        <v>42061</v>
      </c>
      <c r="F61" s="109" t="str">
        <f>VLOOKUP(B61,PLANTING,26,FALSE)</f>
        <v>staple</v>
      </c>
      <c r="G61" s="111">
        <f>VLOOKUP(B61,PLANTING,29,FALSE)</f>
        <v>25</v>
      </c>
      <c r="H61" s="35" t="s">
        <v>971</v>
      </c>
      <c r="I61" s="42">
        <v>44316</v>
      </c>
      <c r="J61" s="77" t="s">
        <v>12</v>
      </c>
      <c r="K61" s="77" t="s">
        <v>967</v>
      </c>
      <c r="L61">
        <v>53</v>
      </c>
      <c r="M61" s="47">
        <v>1</v>
      </c>
      <c r="N61" s="44">
        <f>IFERROR(L61/M61, "")</f>
        <v>53</v>
      </c>
      <c r="O61">
        <f t="shared" si="7"/>
        <v>2255</v>
      </c>
      <c r="P61" s="97">
        <f t="shared" si="8"/>
        <v>2.12</v>
      </c>
      <c r="Q61" s="8" t="s">
        <v>1767</v>
      </c>
    </row>
    <row r="62" spans="1:18" x14ac:dyDescent="0.25">
      <c r="A62" s="114" t="s">
        <v>1047</v>
      </c>
      <c r="B62" s="114" t="s">
        <v>1048</v>
      </c>
      <c r="C62" t="str">
        <f>VLOOKUP(B62,'[1]Planting GPS Points'!$B$3:$L$290,8,FALSE)</f>
        <v>CPS</v>
      </c>
      <c r="D62" t="str">
        <f>VLOOKUP(B62,'[1]Planting GPS Points'!$B$3:$AL$290,15,FALSE)</f>
        <v>IAA 12-317.1</v>
      </c>
      <c r="E62" s="112">
        <v>42061</v>
      </c>
      <c r="F62" s="120" t="str">
        <f>VLOOKUP(B62,PLANTING,26,FALSE)</f>
        <v>staple</v>
      </c>
      <c r="G62" s="121">
        <f>VLOOKUP(B62,PLANTING,29,FALSE)</f>
        <v>25</v>
      </c>
      <c r="H62" s="122" t="s">
        <v>971</v>
      </c>
      <c r="I62" s="112">
        <v>44359</v>
      </c>
      <c r="J62" s="113" t="s">
        <v>12</v>
      </c>
      <c r="K62" s="113" t="s">
        <v>967</v>
      </c>
      <c r="L62" s="114">
        <v>53</v>
      </c>
      <c r="M62" s="123">
        <v>1</v>
      </c>
      <c r="N62" s="124">
        <f>IFERROR(L62/M62, "")</f>
        <v>53</v>
      </c>
      <c r="O62" s="114">
        <f t="shared" si="7"/>
        <v>2298</v>
      </c>
      <c r="P62" s="125">
        <f t="shared" si="8"/>
        <v>2.12</v>
      </c>
      <c r="Q62" s="126" t="s">
        <v>1768</v>
      </c>
      <c r="R62" s="114"/>
    </row>
    <row r="63" spans="1:18" x14ac:dyDescent="0.25">
      <c r="A63" t="s">
        <v>1047</v>
      </c>
      <c r="B63" t="s">
        <v>1056</v>
      </c>
      <c r="C63" t="str">
        <f>VLOOKUP(B63,'[1]Planting GPS Points'!$B$3:$L$290,8,FALSE)</f>
        <v>CPS</v>
      </c>
      <c r="D63" t="str">
        <f>VLOOKUP(B63,'[1]Planting GPS Points'!$B$3:$AL$290,15,FALSE)</f>
        <v>SC 16-17</v>
      </c>
      <c r="E63" s="42">
        <v>42535</v>
      </c>
      <c r="F63" s="44">
        <v>50.4</v>
      </c>
      <c r="G63">
        <v>20850</v>
      </c>
      <c r="H63" s="35" t="s">
        <v>971</v>
      </c>
      <c r="I63" s="42">
        <v>42570</v>
      </c>
      <c r="J63" s="77" t="s">
        <v>12</v>
      </c>
      <c r="K63" s="77" t="s">
        <v>1052</v>
      </c>
      <c r="N63" s="44"/>
      <c r="O63">
        <f t="shared" si="7"/>
        <v>35</v>
      </c>
      <c r="P63" s="97" t="str">
        <f t="shared" si="8"/>
        <v/>
      </c>
      <c r="Q63" s="8" t="s">
        <v>1769</v>
      </c>
    </row>
    <row r="64" spans="1:18" x14ac:dyDescent="0.25">
      <c r="A64" t="s">
        <v>1047</v>
      </c>
      <c r="B64" t="s">
        <v>1056</v>
      </c>
      <c r="C64" t="str">
        <f>VLOOKUP(B64,'[1]Planting GPS Points'!$B$3:$L$290,8,FALSE)</f>
        <v>CPS</v>
      </c>
      <c r="D64" t="str">
        <f>VLOOKUP(B64,'[1]Planting GPS Points'!$B$3:$AL$290,15,FALSE)</f>
        <v>SC 16-17</v>
      </c>
      <c r="E64" s="42">
        <v>42535</v>
      </c>
      <c r="F64" s="44">
        <v>50.4</v>
      </c>
      <c r="G64">
        <v>20850</v>
      </c>
      <c r="H64" s="35" t="s">
        <v>1739</v>
      </c>
      <c r="I64" s="42">
        <v>42933</v>
      </c>
      <c r="J64" s="77" t="s">
        <v>23</v>
      </c>
      <c r="K64" s="77" t="s">
        <v>1052</v>
      </c>
      <c r="L64">
        <v>0</v>
      </c>
      <c r="N64" s="44" t="str">
        <f>IFERROR(L64/M64, "")</f>
        <v/>
      </c>
      <c r="O64">
        <f t="shared" si="7"/>
        <v>398</v>
      </c>
      <c r="P64" s="97">
        <f t="shared" si="8"/>
        <v>0</v>
      </c>
      <c r="Q64" s="8" t="s">
        <v>1770</v>
      </c>
    </row>
    <row r="65" spans="1:18" x14ac:dyDescent="0.25">
      <c r="A65" t="s">
        <v>1047</v>
      </c>
      <c r="B65" s="9" t="s">
        <v>1060</v>
      </c>
      <c r="C65" t="str">
        <f>VLOOKUP(B65,'[1]Planting GPS Points'!$B$3:$L$290,8,FALSE)</f>
        <v>CPS</v>
      </c>
      <c r="D65" t="str">
        <f>VLOOKUP(B65,'[1]Planting GPS Points'!$B$3:$AL$290,15,FALSE)</f>
        <v>SC 16-17</v>
      </c>
      <c r="E65" s="42">
        <v>42933</v>
      </c>
      <c r="F65" s="44">
        <v>6</v>
      </c>
      <c r="G65" s="47">
        <v>1172</v>
      </c>
      <c r="H65" s="15" t="s">
        <v>971</v>
      </c>
      <c r="I65" s="42">
        <v>43250</v>
      </c>
      <c r="J65" s="77" t="s">
        <v>12</v>
      </c>
      <c r="K65" s="77" t="s">
        <v>994</v>
      </c>
      <c r="L65">
        <v>308</v>
      </c>
      <c r="M65">
        <v>2.75</v>
      </c>
      <c r="N65" s="44">
        <f>IFERROR(L65/M65, "")</f>
        <v>112</v>
      </c>
      <c r="O65">
        <f t="shared" si="7"/>
        <v>317</v>
      </c>
      <c r="P65" s="97">
        <f t="shared" si="8"/>
        <v>0.26279863481228671</v>
      </c>
      <c r="Q65" s="8" t="s">
        <v>1771</v>
      </c>
    </row>
    <row r="66" spans="1:18" x14ac:dyDescent="0.25">
      <c r="A66" t="s">
        <v>1047</v>
      </c>
      <c r="B66" s="9" t="s">
        <v>1060</v>
      </c>
      <c r="C66" t="str">
        <f>VLOOKUP(B66,'[1]Planting GPS Points'!$B$3:$L$290,8,FALSE)</f>
        <v>CPS</v>
      </c>
      <c r="D66" t="str">
        <f>VLOOKUP(B66,'[1]Planting GPS Points'!$B$3:$AL$290,15,FALSE)</f>
        <v>SC 16-17</v>
      </c>
      <c r="E66" s="42">
        <v>42933</v>
      </c>
      <c r="F66" s="44">
        <v>6</v>
      </c>
      <c r="G66" s="47">
        <v>1172</v>
      </c>
      <c r="H66" s="15" t="s">
        <v>971</v>
      </c>
      <c r="I66" s="42">
        <v>43279</v>
      </c>
      <c r="J66" s="77" t="s">
        <v>12</v>
      </c>
      <c r="K66" s="77" t="s">
        <v>994</v>
      </c>
      <c r="N66" s="44"/>
      <c r="O66">
        <f t="shared" si="7"/>
        <v>346</v>
      </c>
      <c r="P66" s="97"/>
      <c r="Q66" s="8" t="s">
        <v>1772</v>
      </c>
    </row>
    <row r="67" spans="1:18" x14ac:dyDescent="0.25">
      <c r="A67" t="s">
        <v>1047</v>
      </c>
      <c r="B67" s="9" t="s">
        <v>1060</v>
      </c>
      <c r="C67" t="str">
        <f>VLOOKUP(B67,'[1]Planting GPS Points'!$B$3:$L$290,8,FALSE)</f>
        <v>CPS</v>
      </c>
      <c r="D67" t="str">
        <f>VLOOKUP(B67,'[1]Planting GPS Points'!$B$3:$AL$290,15,FALSE)</f>
        <v>SC 16-17</v>
      </c>
      <c r="E67" s="42">
        <v>42933</v>
      </c>
      <c r="F67" s="44">
        <v>6</v>
      </c>
      <c r="G67" s="47">
        <v>1172</v>
      </c>
      <c r="H67" s="15" t="s">
        <v>971</v>
      </c>
      <c r="I67" s="42">
        <v>43324</v>
      </c>
      <c r="J67" s="77" t="s">
        <v>12</v>
      </c>
      <c r="K67" s="77" t="s">
        <v>994</v>
      </c>
      <c r="N67" s="44"/>
      <c r="O67">
        <f t="shared" si="7"/>
        <v>391</v>
      </c>
      <c r="P67" s="97"/>
      <c r="Q67" s="8" t="s">
        <v>1773</v>
      </c>
    </row>
    <row r="68" spans="1:18" x14ac:dyDescent="0.25">
      <c r="A68" t="s">
        <v>1047</v>
      </c>
      <c r="B68" s="9" t="s">
        <v>1060</v>
      </c>
      <c r="C68" t="str">
        <f>VLOOKUP(B68,'[1]Planting GPS Points'!$B$3:$L$290,8,FALSE)</f>
        <v>CPS</v>
      </c>
      <c r="D68" t="str">
        <f>VLOOKUP(B68,'[1]Planting GPS Points'!$B$3:$AL$290,15,FALSE)</f>
        <v>SC 16-17</v>
      </c>
      <c r="E68" s="42">
        <v>42933</v>
      </c>
      <c r="F68" s="44">
        <v>6</v>
      </c>
      <c r="G68" s="47">
        <v>1172</v>
      </c>
      <c r="H68" s="35" t="s">
        <v>963</v>
      </c>
      <c r="I68" s="42">
        <v>43624</v>
      </c>
      <c r="J68" s="77" t="s">
        <v>12</v>
      </c>
      <c r="K68" s="77" t="s">
        <v>994</v>
      </c>
      <c r="L68" s="47">
        <v>10</v>
      </c>
      <c r="M68">
        <v>6</v>
      </c>
      <c r="N68" s="44">
        <f>IFERROR(L68/M68, "")</f>
        <v>1.6666666666666667</v>
      </c>
      <c r="O68">
        <f t="shared" si="7"/>
        <v>691</v>
      </c>
      <c r="P68" s="97">
        <f>IF(L68="", "", L68/G68)</f>
        <v>8.5324232081911266E-3</v>
      </c>
      <c r="Q68" s="110" t="s">
        <v>1774</v>
      </c>
    </row>
    <row r="69" spans="1:18" x14ac:dyDescent="0.25">
      <c r="A69" t="s">
        <v>1047</v>
      </c>
      <c r="B69" t="s">
        <v>1069</v>
      </c>
      <c r="C69" t="str">
        <f>VLOOKUP(B69,'[1]Planting GPS Points'!$B$3:$L$290,8,FALSE)</f>
        <v>CPS</v>
      </c>
      <c r="D69">
        <f>VLOOKUP(B69,'[1]Planting GPS Points'!$B$3:$AL$290,15,FALSE)</f>
        <v>0</v>
      </c>
      <c r="E69" s="59">
        <v>44013</v>
      </c>
      <c r="F69" s="44">
        <v>6.25</v>
      </c>
      <c r="G69" s="47">
        <v>625</v>
      </c>
      <c r="H69" s="35" t="s">
        <v>971</v>
      </c>
      <c r="I69" s="42">
        <v>44316</v>
      </c>
      <c r="J69" s="77" t="s">
        <v>12</v>
      </c>
      <c r="K69" s="77" t="s">
        <v>982</v>
      </c>
      <c r="L69" s="47"/>
      <c r="N69" s="44"/>
      <c r="O69">
        <f t="shared" si="7"/>
        <v>303</v>
      </c>
      <c r="P69" s="97"/>
      <c r="Q69" s="110" t="s">
        <v>1775</v>
      </c>
    </row>
    <row r="70" spans="1:18" x14ac:dyDescent="0.25">
      <c r="A70" s="114" t="s">
        <v>1047</v>
      </c>
      <c r="B70" s="114" t="s">
        <v>1069</v>
      </c>
      <c r="C70" t="str">
        <f>VLOOKUP(B70,'[1]Planting GPS Points'!$B$3:$L$290,8,FALSE)</f>
        <v>CPS</v>
      </c>
      <c r="D70">
        <f>VLOOKUP(B70,'[1]Planting GPS Points'!$B$3:$AL$290,15,FALSE)</f>
        <v>0</v>
      </c>
      <c r="E70" s="127">
        <v>44013</v>
      </c>
      <c r="F70" s="124">
        <v>6.25</v>
      </c>
      <c r="G70" s="123">
        <v>625</v>
      </c>
      <c r="H70" s="122" t="s">
        <v>971</v>
      </c>
      <c r="I70" s="112">
        <v>44359</v>
      </c>
      <c r="J70" s="113" t="s">
        <v>12</v>
      </c>
      <c r="K70" s="113" t="s">
        <v>982</v>
      </c>
      <c r="L70" s="123">
        <v>23</v>
      </c>
      <c r="M70" s="114"/>
      <c r="N70" s="124"/>
      <c r="O70" s="114">
        <f t="shared" si="7"/>
        <v>346</v>
      </c>
      <c r="P70" s="125"/>
      <c r="Q70" s="128" t="s">
        <v>1776</v>
      </c>
      <c r="R70" s="114"/>
    </row>
    <row r="71" spans="1:18" x14ac:dyDescent="0.25">
      <c r="A71" s="94" t="s">
        <v>1047</v>
      </c>
      <c r="B71" s="94" t="s">
        <v>1069</v>
      </c>
      <c r="C71" t="str">
        <f>VLOOKUP(B71,'[1]Planting GPS Points'!$B$3:$L$290,8,FALSE)</f>
        <v>CPS</v>
      </c>
      <c r="D71">
        <f>VLOOKUP(B71,'[1]Planting GPS Points'!$B$3:$AL$290,15,FALSE)</f>
        <v>0</v>
      </c>
      <c r="E71" s="99">
        <v>44013</v>
      </c>
      <c r="F71" s="94">
        <v>6.25</v>
      </c>
      <c r="G71" s="94">
        <v>625</v>
      </c>
      <c r="H71" s="100" t="s">
        <v>963</v>
      </c>
      <c r="I71" s="99">
        <v>44307</v>
      </c>
      <c r="J71" s="101" t="s">
        <v>12</v>
      </c>
      <c r="K71" s="101" t="s">
        <v>982</v>
      </c>
      <c r="L71" s="94">
        <v>38</v>
      </c>
      <c r="M71" s="94">
        <v>6.25</v>
      </c>
      <c r="N71" s="102">
        <f>IFERROR(L71/M71, "")</f>
        <v>6.08</v>
      </c>
      <c r="O71" s="94">
        <f t="shared" si="7"/>
        <v>294</v>
      </c>
      <c r="P71" s="103">
        <f>IF(L71="", "", L71/G71)</f>
        <v>6.08E-2</v>
      </c>
      <c r="Q71" s="104" t="s">
        <v>1719</v>
      </c>
      <c r="R71" s="94" t="s">
        <v>1777</v>
      </c>
    </row>
    <row r="72" spans="1:18" s="114" customFormat="1" x14ac:dyDescent="0.25">
      <c r="A72" t="s">
        <v>1047</v>
      </c>
      <c r="B72" t="s">
        <v>1069</v>
      </c>
      <c r="C72" t="str">
        <f>VLOOKUP(B72,'[1]Planting GPS Points'!$B$3:$L$290,8,FALSE)</f>
        <v>CPS</v>
      </c>
      <c r="D72">
        <f>VLOOKUP(B72,'[1]Planting GPS Points'!$B$3:$AL$290,15,FALSE)</f>
        <v>0</v>
      </c>
      <c r="E72" s="42">
        <v>44013</v>
      </c>
      <c r="F72">
        <v>6.25</v>
      </c>
      <c r="G72">
        <v>625</v>
      </c>
      <c r="H72" s="35" t="s">
        <v>963</v>
      </c>
      <c r="I72" s="42">
        <v>44701</v>
      </c>
      <c r="J72" s="77" t="s">
        <v>12</v>
      </c>
      <c r="K72" s="77" t="s">
        <v>982</v>
      </c>
      <c r="L72"/>
      <c r="M72"/>
      <c r="N72"/>
      <c r="O72">
        <f t="shared" si="7"/>
        <v>688</v>
      </c>
      <c r="P72"/>
      <c r="Q72"/>
      <c r="R72"/>
    </row>
    <row r="73" spans="1:18" x14ac:dyDescent="0.25">
      <c r="A73" t="s">
        <v>1047</v>
      </c>
      <c r="B73" s="9" t="s">
        <v>1062</v>
      </c>
      <c r="C73" t="str">
        <f>VLOOKUP(B73,'[1]Planting GPS Points'!$B$3:$L$290,8,FALSE)</f>
        <v>CPS</v>
      </c>
      <c r="D73" t="str">
        <f>VLOOKUP(B73,'[1]Planting GPS Points'!$B$3:$AL$290,15,FALSE)</f>
        <v>SC 16-17</v>
      </c>
      <c r="E73" s="42">
        <v>42933</v>
      </c>
      <c r="F73" s="44">
        <v>6</v>
      </c>
      <c r="G73" s="47">
        <v>1015</v>
      </c>
      <c r="H73" s="15" t="s">
        <v>971</v>
      </c>
      <c r="I73" s="42">
        <v>43250</v>
      </c>
      <c r="J73" s="77" t="s">
        <v>12</v>
      </c>
      <c r="K73" s="77" t="s">
        <v>994</v>
      </c>
      <c r="N73" s="44" t="str">
        <f>IFERROR(L73/M73, "")</f>
        <v/>
      </c>
      <c r="O73">
        <f t="shared" si="7"/>
        <v>317</v>
      </c>
      <c r="P73" s="97" t="str">
        <f>IF(L73="", "", L73/G73)</f>
        <v/>
      </c>
      <c r="Q73" s="8" t="s">
        <v>1778</v>
      </c>
    </row>
    <row r="74" spans="1:18" s="129" customFormat="1" x14ac:dyDescent="0.25">
      <c r="A74" t="s">
        <v>1047</v>
      </c>
      <c r="B74" s="9" t="s">
        <v>1062</v>
      </c>
      <c r="C74" t="str">
        <f>VLOOKUP(B74,'[1]Planting GPS Points'!$B$3:$L$290,8,FALSE)</f>
        <v>CPS</v>
      </c>
      <c r="D74" t="str">
        <f>VLOOKUP(B74,'[1]Planting GPS Points'!$B$3:$AL$290,15,FALSE)</f>
        <v>SC 16-17</v>
      </c>
      <c r="E74" s="42">
        <v>42933</v>
      </c>
      <c r="F74" s="44">
        <v>6</v>
      </c>
      <c r="G74" s="47">
        <v>1015</v>
      </c>
      <c r="H74" s="35" t="s">
        <v>963</v>
      </c>
      <c r="I74" s="42">
        <v>43624</v>
      </c>
      <c r="J74" s="77" t="s">
        <v>23</v>
      </c>
      <c r="K74" s="77" t="s">
        <v>994</v>
      </c>
      <c r="L74" s="47">
        <v>0</v>
      </c>
      <c r="M74">
        <v>6</v>
      </c>
      <c r="N74" s="44">
        <f>IFERROR(L74/M74, "")</f>
        <v>0</v>
      </c>
      <c r="O74">
        <f t="shared" si="7"/>
        <v>691</v>
      </c>
      <c r="P74" s="97">
        <f>IF(L74="", "", L74/G74)</f>
        <v>0</v>
      </c>
      <c r="Q74" s="110" t="s">
        <v>1779</v>
      </c>
      <c r="R74"/>
    </row>
    <row r="75" spans="1:18" s="129" customFormat="1" x14ac:dyDescent="0.25">
      <c r="A75" t="s">
        <v>1047</v>
      </c>
      <c r="B75" s="9" t="s">
        <v>1062</v>
      </c>
      <c r="C75" t="str">
        <f>VLOOKUP(B75,'[1]Planting GPS Points'!$B$3:$L$290,8,FALSE)</f>
        <v>CPS</v>
      </c>
      <c r="D75" t="str">
        <f>VLOOKUP(B75,'[1]Planting GPS Points'!$B$3:$AL$290,15,FALSE)</f>
        <v>SC 16-17</v>
      </c>
      <c r="E75" s="42">
        <v>42933</v>
      </c>
      <c r="F75" s="44">
        <v>6</v>
      </c>
      <c r="G75" s="47">
        <v>1015</v>
      </c>
      <c r="H75" s="35" t="s">
        <v>971</v>
      </c>
      <c r="I75" s="42">
        <v>44316</v>
      </c>
      <c r="J75" s="77" t="s">
        <v>23</v>
      </c>
      <c r="K75" s="77" t="s">
        <v>994</v>
      </c>
      <c r="L75" s="47"/>
      <c r="M75"/>
      <c r="N75" s="44"/>
      <c r="O75">
        <f t="shared" si="7"/>
        <v>1383</v>
      </c>
      <c r="P75" s="97"/>
      <c r="Q75" s="110" t="s">
        <v>1780</v>
      </c>
      <c r="R75"/>
    </row>
    <row r="76" spans="1:18" s="129" customFormat="1" x14ac:dyDescent="0.25">
      <c r="A76" t="s">
        <v>1047</v>
      </c>
      <c r="B76" s="9" t="s">
        <v>1073</v>
      </c>
      <c r="C76" t="str">
        <f>VLOOKUP(B76,'[1]Planting GPS Points'!$B$3:$L$290,8,FALSE)</f>
        <v>CPS</v>
      </c>
      <c r="D76">
        <f>VLOOKUP(B76,'[1]Planting GPS Points'!$B$3:$AL$290,15,FALSE)</f>
        <v>0</v>
      </c>
      <c r="E76" s="59">
        <v>44350</v>
      </c>
      <c r="F76" s="44">
        <v>250</v>
      </c>
      <c r="G76">
        <v>12305</v>
      </c>
      <c r="H76" s="35" t="s">
        <v>971</v>
      </c>
      <c r="I76" s="42">
        <v>44701</v>
      </c>
      <c r="J76" s="77" t="s">
        <v>12</v>
      </c>
      <c r="K76" s="77" t="s">
        <v>982</v>
      </c>
      <c r="L76"/>
      <c r="M76"/>
      <c r="N76"/>
      <c r="O76">
        <f t="shared" si="7"/>
        <v>351</v>
      </c>
      <c r="P76"/>
      <c r="Q76" t="s">
        <v>1781</v>
      </c>
      <c r="R76"/>
    </row>
    <row r="77" spans="1:18" s="129" customFormat="1" x14ac:dyDescent="0.25">
      <c r="A77" t="s">
        <v>1047</v>
      </c>
      <c r="B77" s="9" t="s">
        <v>1073</v>
      </c>
      <c r="C77" t="str">
        <f>VLOOKUP(B77,'[1]Planting GPS Points'!$B$3:$L$290,8,FALSE)</f>
        <v>CPS</v>
      </c>
      <c r="D77">
        <f>VLOOKUP(B77,'[1]Planting GPS Points'!$B$3:$AL$290,15,FALSE)</f>
        <v>0</v>
      </c>
      <c r="E77" s="59">
        <v>44350</v>
      </c>
      <c r="F77" s="44">
        <v>250</v>
      </c>
      <c r="G77">
        <v>12305</v>
      </c>
      <c r="H77" s="35" t="s">
        <v>971</v>
      </c>
      <c r="I77" s="42">
        <v>44783</v>
      </c>
      <c r="J77" s="77" t="s">
        <v>12</v>
      </c>
      <c r="K77" s="77" t="s">
        <v>982</v>
      </c>
      <c r="L77"/>
      <c r="M77"/>
      <c r="N77"/>
      <c r="O77">
        <f t="shared" si="7"/>
        <v>433</v>
      </c>
      <c r="P77"/>
      <c r="Q77" t="s">
        <v>1782</v>
      </c>
      <c r="R77"/>
    </row>
    <row r="78" spans="1:18" s="129" customFormat="1" x14ac:dyDescent="0.25">
      <c r="A78" s="9" t="s">
        <v>1047</v>
      </c>
      <c r="B78" s="9" t="s">
        <v>1073</v>
      </c>
      <c r="C78" t="str">
        <f>VLOOKUP(B78,'[1]Planting GPS Points'!$B$3:$L$290,8,FALSE)</f>
        <v>CPS</v>
      </c>
      <c r="D78">
        <f>VLOOKUP(B78,'[1]Planting GPS Points'!$B$3:$AL$290,15,FALSE)</f>
        <v>0</v>
      </c>
      <c r="E78" s="59">
        <v>44350</v>
      </c>
      <c r="F78" s="44">
        <v>250</v>
      </c>
      <c r="G78">
        <v>12305</v>
      </c>
      <c r="H78" s="35" t="s">
        <v>971</v>
      </c>
      <c r="I78" s="42">
        <v>45082</v>
      </c>
      <c r="J78" s="77" t="s">
        <v>12</v>
      </c>
      <c r="K78" s="77" t="s">
        <v>982</v>
      </c>
      <c r="L78"/>
      <c r="M78"/>
      <c r="N78"/>
      <c r="O78">
        <f t="shared" si="7"/>
        <v>732</v>
      </c>
      <c r="P78"/>
      <c r="Q78" t="s">
        <v>1783</v>
      </c>
      <c r="R78"/>
    </row>
    <row r="79" spans="1:18" x14ac:dyDescent="0.25">
      <c r="A79" s="9" t="s">
        <v>1047</v>
      </c>
      <c r="B79" s="9" t="s">
        <v>1073</v>
      </c>
      <c r="C79" t="str">
        <f>VLOOKUP(B79,'[1]Planting GPS Points'!$B$3:$L$290,8,FALSE)</f>
        <v>CPS</v>
      </c>
      <c r="D79">
        <f>VLOOKUP(B79,'[1]Planting GPS Points'!$B$3:$AL$290,15,FALSE)</f>
        <v>0</v>
      </c>
      <c r="E79" s="59">
        <v>44350</v>
      </c>
      <c r="F79" s="44">
        <v>250</v>
      </c>
      <c r="G79">
        <v>12305</v>
      </c>
      <c r="H79" s="35" t="s">
        <v>971</v>
      </c>
      <c r="I79" s="42">
        <v>45095</v>
      </c>
      <c r="J79" s="77" t="s">
        <v>12</v>
      </c>
      <c r="K79" s="77" t="s">
        <v>982</v>
      </c>
      <c r="O79">
        <f t="shared" si="7"/>
        <v>745</v>
      </c>
    </row>
    <row r="80" spans="1:18" x14ac:dyDescent="0.25">
      <c r="A80" s="9" t="s">
        <v>1047</v>
      </c>
      <c r="B80" s="9" t="s">
        <v>1073</v>
      </c>
      <c r="C80" t="str">
        <f>VLOOKUP(B80,'[1]Planting GPS Points'!$B$3:$L$290,8,FALSE)</f>
        <v>CPS</v>
      </c>
      <c r="D80">
        <f>VLOOKUP(B80,'[1]Planting GPS Points'!$B$3:$AL$290,15,FALSE)</f>
        <v>0</v>
      </c>
      <c r="E80" s="59">
        <v>44350</v>
      </c>
      <c r="F80" s="44">
        <v>250</v>
      </c>
      <c r="G80">
        <v>12305</v>
      </c>
      <c r="H80" s="35" t="s">
        <v>971</v>
      </c>
      <c r="I80" s="42">
        <v>45421</v>
      </c>
      <c r="J80" s="77" t="s">
        <v>12</v>
      </c>
      <c r="K80" s="77" t="s">
        <v>982</v>
      </c>
      <c r="O80">
        <f t="shared" si="7"/>
        <v>1071</v>
      </c>
      <c r="Q80" t="s">
        <v>1783</v>
      </c>
    </row>
    <row r="81" spans="1:18" x14ac:dyDescent="0.25">
      <c r="A81" s="9" t="s">
        <v>1047</v>
      </c>
      <c r="B81" s="9" t="s">
        <v>1073</v>
      </c>
      <c r="C81" t="str">
        <f>VLOOKUP(B81,'[1]Planting GPS Points'!$B$3:$L$290,8,FALSE)</f>
        <v>CPS</v>
      </c>
      <c r="D81">
        <f>VLOOKUP(B81,'[1]Planting GPS Points'!$B$3:$AL$290,15,FALSE)</f>
        <v>0</v>
      </c>
      <c r="E81" s="59">
        <v>44350</v>
      </c>
      <c r="F81" s="44">
        <v>250</v>
      </c>
      <c r="G81">
        <v>12305</v>
      </c>
      <c r="H81" s="35" t="s">
        <v>971</v>
      </c>
      <c r="I81" s="42">
        <v>45748</v>
      </c>
      <c r="J81" s="77" t="s">
        <v>12</v>
      </c>
      <c r="K81" s="77" t="s">
        <v>982</v>
      </c>
      <c r="Q81" t="s">
        <v>1784</v>
      </c>
    </row>
    <row r="82" spans="1:18" s="129" customFormat="1" x14ac:dyDescent="0.25">
      <c r="A82" t="s">
        <v>1047</v>
      </c>
      <c r="B82" t="s">
        <v>1071</v>
      </c>
      <c r="C82" t="str">
        <f>VLOOKUP(B82,'[1]Planting GPS Points'!$B$3:$L$290,8,FALSE)</f>
        <v>CPS</v>
      </c>
      <c r="D82">
        <f>VLOOKUP(B82,'[1]Planting GPS Points'!$B$3:$AL$290,15,FALSE)</f>
        <v>0</v>
      </c>
      <c r="E82" s="59">
        <v>44013</v>
      </c>
      <c r="F82" s="44">
        <v>6.75</v>
      </c>
      <c r="G82" s="47">
        <v>692</v>
      </c>
      <c r="H82" s="35" t="s">
        <v>971</v>
      </c>
      <c r="I82" s="42">
        <v>44316</v>
      </c>
      <c r="J82" s="77" t="s">
        <v>12</v>
      </c>
      <c r="K82" s="77" t="s">
        <v>982</v>
      </c>
      <c r="L82" s="47"/>
      <c r="M82"/>
      <c r="N82" s="44"/>
      <c r="O82">
        <f t="shared" si="7"/>
        <v>303</v>
      </c>
      <c r="P82" s="97"/>
      <c r="Q82" s="110" t="s">
        <v>1785</v>
      </c>
      <c r="R82"/>
    </row>
    <row r="83" spans="1:18" s="129" customFormat="1" x14ac:dyDescent="0.25">
      <c r="A83" t="s">
        <v>1047</v>
      </c>
      <c r="B83" t="s">
        <v>1071</v>
      </c>
      <c r="C83" t="str">
        <f>VLOOKUP(B83,'[1]Planting GPS Points'!$B$3:$L$290,8,FALSE)</f>
        <v>CPS</v>
      </c>
      <c r="D83">
        <f>VLOOKUP(B83,'[1]Planting GPS Points'!$B$3:$AL$290,15,FALSE)</f>
        <v>0</v>
      </c>
      <c r="E83" s="42">
        <v>44013</v>
      </c>
      <c r="F83">
        <v>6.75</v>
      </c>
      <c r="G83">
        <v>692</v>
      </c>
      <c r="H83" s="35" t="s">
        <v>963</v>
      </c>
      <c r="I83" s="42">
        <v>44307</v>
      </c>
      <c r="J83" s="77" t="s">
        <v>12</v>
      </c>
      <c r="K83" s="77" t="s">
        <v>982</v>
      </c>
      <c r="L83">
        <v>873</v>
      </c>
      <c r="M83">
        <v>7.5</v>
      </c>
      <c r="N83" s="44">
        <f>IFERROR(L83/M83, "")</f>
        <v>116.4</v>
      </c>
      <c r="O83">
        <f t="shared" si="7"/>
        <v>294</v>
      </c>
      <c r="P83" s="97">
        <f t="shared" ref="P83:P89" si="9">IF(L83="", "", L83/G83)</f>
        <v>1.2615606936416186</v>
      </c>
      <c r="Q83" s="130" t="s">
        <v>1719</v>
      </c>
      <c r="R83" t="s">
        <v>1786</v>
      </c>
    </row>
    <row r="84" spans="1:18" s="129" customFormat="1" x14ac:dyDescent="0.25">
      <c r="A84" t="s">
        <v>1047</v>
      </c>
      <c r="B84" t="s">
        <v>1071</v>
      </c>
      <c r="C84" t="str">
        <f>VLOOKUP(B84,'[1]Planting GPS Points'!$B$3:$L$290,8,FALSE)</f>
        <v>CPS</v>
      </c>
      <c r="D84">
        <f>VLOOKUP(B84,'[1]Planting GPS Points'!$B$3:$AL$290,15,FALSE)</f>
        <v>0</v>
      </c>
      <c r="E84" s="42">
        <v>44013</v>
      </c>
      <c r="F84">
        <v>6.75</v>
      </c>
      <c r="G84">
        <v>692</v>
      </c>
      <c r="H84" s="35" t="s">
        <v>971</v>
      </c>
      <c r="I84" s="42">
        <v>45748</v>
      </c>
      <c r="J84" s="77" t="s">
        <v>12</v>
      </c>
      <c r="K84" s="77" t="s">
        <v>982</v>
      </c>
      <c r="L84"/>
      <c r="M84"/>
      <c r="N84" s="44"/>
      <c r="O84"/>
      <c r="P84" s="97"/>
      <c r="Q84" s="118" t="s">
        <v>1784</v>
      </c>
      <c r="R84"/>
    </row>
    <row r="85" spans="1:18" s="129" customFormat="1" x14ac:dyDescent="0.25">
      <c r="A85" t="s">
        <v>1047</v>
      </c>
      <c r="B85" t="s">
        <v>1050</v>
      </c>
      <c r="C85" t="str">
        <f>VLOOKUP(B85,'[1]Planting GPS Points'!$B$3:$L$290,8,FALSE)</f>
        <v>CPS</v>
      </c>
      <c r="D85" t="str">
        <f>VLOOKUP(B85,'[1]Planting GPS Points'!$B$3:$AL$290,15,FALSE)</f>
        <v>SC 16-17</v>
      </c>
      <c r="E85" s="42">
        <v>42481</v>
      </c>
      <c r="F85" s="44">
        <v>39</v>
      </c>
      <c r="G85" s="47">
        <v>780</v>
      </c>
      <c r="H85" s="35" t="s">
        <v>971</v>
      </c>
      <c r="I85" s="42">
        <v>42497</v>
      </c>
      <c r="J85" s="77" t="s">
        <v>12</v>
      </c>
      <c r="K85" s="77" t="s">
        <v>1052</v>
      </c>
      <c r="L85"/>
      <c r="M85"/>
      <c r="N85" s="44" t="str">
        <f>IFERROR(L85/M85, "")</f>
        <v/>
      </c>
      <c r="O85">
        <f t="shared" si="7"/>
        <v>16</v>
      </c>
      <c r="P85" s="97" t="str">
        <f t="shared" si="9"/>
        <v/>
      </c>
      <c r="Q85" s="8" t="s">
        <v>1749</v>
      </c>
      <c r="R85"/>
    </row>
    <row r="86" spans="1:18" x14ac:dyDescent="0.25">
      <c r="A86" t="s">
        <v>1047</v>
      </c>
      <c r="B86" t="s">
        <v>1050</v>
      </c>
      <c r="C86" t="str">
        <f>VLOOKUP(B86,'[1]Planting GPS Points'!$B$3:$L$290,8,FALSE)</f>
        <v>CPS</v>
      </c>
      <c r="D86" t="str">
        <f>VLOOKUP(B86,'[1]Planting GPS Points'!$B$3:$AL$290,15,FALSE)</f>
        <v>SC 16-17</v>
      </c>
      <c r="E86" s="42">
        <v>42481</v>
      </c>
      <c r="F86" s="44">
        <v>39</v>
      </c>
      <c r="G86" s="47">
        <v>780</v>
      </c>
      <c r="H86" s="35" t="s">
        <v>1739</v>
      </c>
      <c r="I86" s="42">
        <v>42506</v>
      </c>
      <c r="J86" s="77" t="s">
        <v>12</v>
      </c>
      <c r="K86" s="77" t="s">
        <v>1052</v>
      </c>
      <c r="N86" s="44" t="str">
        <f>IFERROR(L86/M86, "")</f>
        <v/>
      </c>
      <c r="O86">
        <f t="shared" si="7"/>
        <v>25</v>
      </c>
      <c r="P86" s="97" t="str">
        <f t="shared" si="9"/>
        <v/>
      </c>
      <c r="Q86" s="8" t="s">
        <v>1787</v>
      </c>
    </row>
    <row r="87" spans="1:18" x14ac:dyDescent="0.25">
      <c r="A87" t="s">
        <v>1047</v>
      </c>
      <c r="B87" t="s">
        <v>1050</v>
      </c>
      <c r="C87" t="str">
        <f>VLOOKUP(B87,'[1]Planting GPS Points'!$B$3:$L$290,8,FALSE)</f>
        <v>CPS</v>
      </c>
      <c r="D87" t="str">
        <f>VLOOKUP(B87,'[1]Planting GPS Points'!$B$3:$AL$290,15,FALSE)</f>
        <v>SC 16-17</v>
      </c>
      <c r="E87" s="42">
        <v>42481</v>
      </c>
      <c r="F87" s="44">
        <v>39</v>
      </c>
      <c r="G87" s="47">
        <v>780</v>
      </c>
      <c r="H87" s="35" t="s">
        <v>1739</v>
      </c>
      <c r="I87" s="42">
        <v>42933</v>
      </c>
      <c r="J87" s="77" t="s">
        <v>12</v>
      </c>
      <c r="K87" s="77" t="s">
        <v>1052</v>
      </c>
      <c r="L87">
        <v>1</v>
      </c>
      <c r="N87" s="44" t="str">
        <f>IFERROR(L87/M87, "")</f>
        <v/>
      </c>
      <c r="O87">
        <f t="shared" si="7"/>
        <v>452</v>
      </c>
      <c r="P87" s="97">
        <f t="shared" si="9"/>
        <v>1.2820512820512821E-3</v>
      </c>
      <c r="Q87" s="8" t="s">
        <v>1788</v>
      </c>
    </row>
    <row r="88" spans="1:18" x14ac:dyDescent="0.25">
      <c r="A88" s="129" t="s">
        <v>942</v>
      </c>
      <c r="B88" s="129" t="s">
        <v>1077</v>
      </c>
      <c r="C88" t="str">
        <f>VLOOKUP(B88,'[1]Planting GPS Points'!$B$3:$L$290,8,FALSE)</f>
        <v>CPS</v>
      </c>
      <c r="D88">
        <f>VLOOKUP(B88,'[1]Planting GPS Points'!$B$3:$AL$290,15,FALSE)</f>
        <v>0</v>
      </c>
      <c r="E88" s="131">
        <v>44018</v>
      </c>
      <c r="F88" s="132">
        <v>1.5</v>
      </c>
      <c r="G88" s="129">
        <v>300</v>
      </c>
      <c r="H88" s="133" t="s">
        <v>971</v>
      </c>
      <c r="I88" s="131">
        <v>44062</v>
      </c>
      <c r="J88" s="134" t="s">
        <v>12</v>
      </c>
      <c r="K88" s="134" t="s">
        <v>982</v>
      </c>
      <c r="L88" s="129"/>
      <c r="M88" s="129"/>
      <c r="N88" s="129"/>
      <c r="O88" s="129">
        <f t="shared" si="7"/>
        <v>44</v>
      </c>
      <c r="P88" s="135" t="str">
        <f t="shared" si="9"/>
        <v/>
      </c>
      <c r="Q88" s="136" t="s">
        <v>1789</v>
      </c>
      <c r="R88" s="129"/>
    </row>
    <row r="89" spans="1:18" x14ac:dyDescent="0.25">
      <c r="A89" s="129" t="s">
        <v>942</v>
      </c>
      <c r="B89" s="129" t="s">
        <v>1077</v>
      </c>
      <c r="C89" t="str">
        <f>VLOOKUP(B89,'[1]Planting GPS Points'!$B$3:$L$290,8,FALSE)</f>
        <v>CPS</v>
      </c>
      <c r="D89">
        <f>VLOOKUP(B89,'[1]Planting GPS Points'!$B$3:$AL$290,15,FALSE)</f>
        <v>0</v>
      </c>
      <c r="E89" s="131">
        <v>44018</v>
      </c>
      <c r="F89" s="132">
        <v>1.5</v>
      </c>
      <c r="G89" s="129">
        <v>300</v>
      </c>
      <c r="H89" s="133" t="s">
        <v>971</v>
      </c>
      <c r="I89" s="131">
        <v>44314</v>
      </c>
      <c r="J89" s="134" t="s">
        <v>12</v>
      </c>
      <c r="K89" s="134" t="s">
        <v>982</v>
      </c>
      <c r="L89" s="129"/>
      <c r="M89" s="129"/>
      <c r="N89" s="129"/>
      <c r="O89" s="129">
        <f t="shared" si="7"/>
        <v>296</v>
      </c>
      <c r="P89" s="135" t="str">
        <f t="shared" si="9"/>
        <v/>
      </c>
      <c r="Q89" s="136" t="s">
        <v>1790</v>
      </c>
      <c r="R89" s="129"/>
    </row>
    <row r="90" spans="1:18" x14ac:dyDescent="0.25">
      <c r="A90" s="129" t="s">
        <v>942</v>
      </c>
      <c r="B90" s="129" t="s">
        <v>1077</v>
      </c>
      <c r="C90" t="str">
        <f>VLOOKUP(B90,'[1]Planting GPS Points'!$B$3:$L$290,8,FALSE)</f>
        <v>CPS</v>
      </c>
      <c r="D90">
        <f>VLOOKUP(B90,'[1]Planting GPS Points'!$B$3:$AL$290,15,FALSE)</f>
        <v>0</v>
      </c>
      <c r="E90" s="131">
        <v>44018</v>
      </c>
      <c r="F90" s="132">
        <v>1.5</v>
      </c>
      <c r="G90" s="129">
        <v>300</v>
      </c>
      <c r="H90" s="133" t="s">
        <v>971</v>
      </c>
      <c r="I90" s="131">
        <v>44329</v>
      </c>
      <c r="J90" s="134" t="s">
        <v>12</v>
      </c>
      <c r="K90" s="134" t="s">
        <v>982</v>
      </c>
      <c r="L90" s="129"/>
      <c r="M90" s="129"/>
      <c r="N90" s="129"/>
      <c r="O90" s="129">
        <f t="shared" si="7"/>
        <v>311</v>
      </c>
      <c r="P90" s="135"/>
      <c r="Q90" s="136" t="s">
        <v>1791</v>
      </c>
      <c r="R90" s="129"/>
    </row>
    <row r="91" spans="1:18" x14ac:dyDescent="0.25">
      <c r="A91" s="129" t="s">
        <v>942</v>
      </c>
      <c r="B91" s="129" t="s">
        <v>1077</v>
      </c>
      <c r="C91" t="str">
        <f>VLOOKUP(B91,'[1]Planting GPS Points'!$B$3:$L$290,8,FALSE)</f>
        <v>CPS</v>
      </c>
      <c r="D91">
        <f>VLOOKUP(B91,'[1]Planting GPS Points'!$B$3:$AL$290,15,FALSE)</f>
        <v>0</v>
      </c>
      <c r="E91" s="131">
        <v>44018</v>
      </c>
      <c r="F91" s="132">
        <v>2.25</v>
      </c>
      <c r="G91" s="129">
        <v>180</v>
      </c>
      <c r="H91" s="133" t="s">
        <v>971</v>
      </c>
      <c r="I91" s="131">
        <v>44342</v>
      </c>
      <c r="J91" s="134" t="s">
        <v>12</v>
      </c>
      <c r="K91" s="134" t="s">
        <v>982</v>
      </c>
      <c r="L91" s="129"/>
      <c r="M91" s="129"/>
      <c r="N91" s="129"/>
      <c r="O91" s="129">
        <f t="shared" si="7"/>
        <v>324</v>
      </c>
      <c r="P91" s="135" t="str">
        <f>IF(L91="", "", L91/G91)</f>
        <v/>
      </c>
      <c r="Q91" s="136" t="s">
        <v>1791</v>
      </c>
      <c r="R91" s="129"/>
    </row>
    <row r="92" spans="1:18" x14ac:dyDescent="0.25">
      <c r="A92" s="129" t="s">
        <v>942</v>
      </c>
      <c r="B92" s="129" t="s">
        <v>1077</v>
      </c>
      <c r="C92" t="str">
        <f>VLOOKUP(B92,'[1]Planting GPS Points'!$B$3:$L$290,8,FALSE)</f>
        <v>CPS</v>
      </c>
      <c r="D92">
        <f>VLOOKUP(B92,'[1]Planting GPS Points'!$B$3:$AL$290,15,FALSE)</f>
        <v>0</v>
      </c>
      <c r="E92" s="131">
        <v>44018</v>
      </c>
      <c r="F92" s="132">
        <v>1.5</v>
      </c>
      <c r="G92" s="129">
        <v>300</v>
      </c>
      <c r="H92" s="133" t="s">
        <v>971</v>
      </c>
      <c r="I92" s="131">
        <v>44358</v>
      </c>
      <c r="J92" s="134" t="s">
        <v>12</v>
      </c>
      <c r="K92" s="134" t="s">
        <v>982</v>
      </c>
      <c r="L92" s="129"/>
      <c r="M92" s="129"/>
      <c r="N92" s="129"/>
      <c r="O92" s="129">
        <f t="shared" si="7"/>
        <v>340</v>
      </c>
      <c r="P92" s="135"/>
      <c r="Q92" s="136" t="s">
        <v>1792</v>
      </c>
      <c r="R92" s="129"/>
    </row>
    <row r="93" spans="1:18" x14ac:dyDescent="0.25">
      <c r="A93" s="129" t="s">
        <v>942</v>
      </c>
      <c r="B93" s="129" t="s">
        <v>1077</v>
      </c>
      <c r="C93" t="str">
        <f>VLOOKUP(B93,'[1]Planting GPS Points'!$B$3:$L$290,8,FALSE)</f>
        <v>CPS</v>
      </c>
      <c r="D93">
        <f>VLOOKUP(B93,'[1]Planting GPS Points'!$B$3:$AL$290,15,FALSE)</f>
        <v>0</v>
      </c>
      <c r="E93" s="131">
        <v>44018</v>
      </c>
      <c r="F93" s="132">
        <v>1.5</v>
      </c>
      <c r="G93" s="129">
        <v>300</v>
      </c>
      <c r="H93" s="133" t="s">
        <v>971</v>
      </c>
      <c r="I93" s="131">
        <v>44373</v>
      </c>
      <c r="J93" s="134" t="s">
        <v>12</v>
      </c>
      <c r="K93" s="134" t="s">
        <v>982</v>
      </c>
      <c r="L93" s="129"/>
      <c r="M93" s="129"/>
      <c r="N93" s="129"/>
      <c r="O93" s="129">
        <f t="shared" si="7"/>
        <v>355</v>
      </c>
      <c r="P93" s="135"/>
      <c r="Q93" s="136" t="s">
        <v>1791</v>
      </c>
      <c r="R93" s="129"/>
    </row>
    <row r="94" spans="1:18" x14ac:dyDescent="0.25">
      <c r="A94" s="129" t="s">
        <v>942</v>
      </c>
      <c r="B94" s="129" t="s">
        <v>1077</v>
      </c>
      <c r="C94" t="str">
        <f>VLOOKUP(B94,'[1]Planting GPS Points'!$B$3:$L$290,8,FALSE)</f>
        <v>CPS</v>
      </c>
      <c r="D94">
        <f>VLOOKUP(B94,'[1]Planting GPS Points'!$B$3:$AL$290,15,FALSE)</f>
        <v>0</v>
      </c>
      <c r="E94" s="131">
        <v>44018</v>
      </c>
      <c r="F94" s="132">
        <v>2.25</v>
      </c>
      <c r="G94" s="129">
        <v>180</v>
      </c>
      <c r="H94" s="133" t="s">
        <v>971</v>
      </c>
      <c r="I94" s="131">
        <v>44387</v>
      </c>
      <c r="J94" s="134" t="s">
        <v>12</v>
      </c>
      <c r="K94" s="134" t="s">
        <v>982</v>
      </c>
      <c r="L94" s="129"/>
      <c r="M94" s="129"/>
      <c r="N94" s="129"/>
      <c r="O94" s="129">
        <f t="shared" si="7"/>
        <v>369</v>
      </c>
      <c r="P94" s="135"/>
      <c r="Q94" s="136" t="s">
        <v>1791</v>
      </c>
      <c r="R94" s="129"/>
    </row>
    <row r="95" spans="1:18" x14ac:dyDescent="0.25">
      <c r="A95" t="s">
        <v>942</v>
      </c>
      <c r="B95" t="s">
        <v>1077</v>
      </c>
      <c r="C95" t="str">
        <f>VLOOKUP(B95,'[1]Planting GPS Points'!$B$3:$L$290,8,FALSE)</f>
        <v>CPS</v>
      </c>
      <c r="D95">
        <f>VLOOKUP(B95,'[1]Planting GPS Points'!$B$3:$AL$290,15,FALSE)</f>
        <v>0</v>
      </c>
      <c r="E95" s="42">
        <v>44018</v>
      </c>
      <c r="F95" s="44">
        <v>2.25</v>
      </c>
      <c r="G95">
        <v>180</v>
      </c>
      <c r="H95" s="35" t="s">
        <v>971</v>
      </c>
      <c r="I95" s="42">
        <v>45420</v>
      </c>
      <c r="J95" s="77" t="s">
        <v>12</v>
      </c>
      <c r="K95" s="77" t="s">
        <v>982</v>
      </c>
      <c r="O95">
        <f t="shared" si="7"/>
        <v>1402</v>
      </c>
      <c r="P95" s="97"/>
      <c r="Q95" s="8" t="s">
        <v>1793</v>
      </c>
    </row>
    <row r="96" spans="1:18" x14ac:dyDescent="0.25">
      <c r="A96" t="s">
        <v>942</v>
      </c>
      <c r="B96" t="s">
        <v>1082</v>
      </c>
      <c r="C96" t="str">
        <f>VLOOKUP(B96,'[1]Planting GPS Points'!$B$3:$L$290,8,FALSE)</f>
        <v>CPS</v>
      </c>
      <c r="D96">
        <f>VLOOKUP(B96,'[1]Planting GPS Points'!$B$3:$AL$290,15,FALSE)</f>
        <v>0</v>
      </c>
      <c r="E96" s="42">
        <v>44314</v>
      </c>
      <c r="F96" s="44">
        <v>1</v>
      </c>
      <c r="G96">
        <v>300</v>
      </c>
      <c r="H96" s="35" t="s">
        <v>971</v>
      </c>
      <c r="I96" s="42">
        <v>44329</v>
      </c>
      <c r="J96" s="77" t="s">
        <v>12</v>
      </c>
      <c r="K96" s="77" t="s">
        <v>982</v>
      </c>
      <c r="O96">
        <f t="shared" si="7"/>
        <v>15</v>
      </c>
      <c r="P96" s="97"/>
      <c r="Q96" s="8" t="s">
        <v>1791</v>
      </c>
    </row>
    <row r="97" spans="1:17" x14ac:dyDescent="0.25">
      <c r="A97" t="s">
        <v>942</v>
      </c>
      <c r="B97" t="s">
        <v>1082</v>
      </c>
      <c r="C97" t="str">
        <f>VLOOKUP(B97,'[1]Planting GPS Points'!$B$3:$L$290,8,FALSE)</f>
        <v>CPS</v>
      </c>
      <c r="D97">
        <f>VLOOKUP(B97,'[1]Planting GPS Points'!$B$3:$AL$290,15,FALSE)</f>
        <v>0</v>
      </c>
      <c r="E97" s="42">
        <v>44314</v>
      </c>
      <c r="F97" s="44">
        <v>1</v>
      </c>
      <c r="G97">
        <v>300</v>
      </c>
      <c r="H97" s="35" t="s">
        <v>971</v>
      </c>
      <c r="I97" s="42">
        <v>44342</v>
      </c>
      <c r="J97" s="77" t="s">
        <v>12</v>
      </c>
      <c r="K97" s="77" t="s">
        <v>982</v>
      </c>
      <c r="O97">
        <f t="shared" si="7"/>
        <v>28</v>
      </c>
      <c r="P97" s="97"/>
      <c r="Q97" s="8" t="s">
        <v>1791</v>
      </c>
    </row>
    <row r="98" spans="1:17" x14ac:dyDescent="0.25">
      <c r="A98" t="s">
        <v>942</v>
      </c>
      <c r="B98" t="s">
        <v>1082</v>
      </c>
      <c r="C98" t="str">
        <f>VLOOKUP(B98,'[1]Planting GPS Points'!$B$3:$L$290,8,FALSE)</f>
        <v>CPS</v>
      </c>
      <c r="D98">
        <f>VLOOKUP(B98,'[1]Planting GPS Points'!$B$3:$AL$290,15,FALSE)</f>
        <v>0</v>
      </c>
      <c r="E98" s="42">
        <v>44314</v>
      </c>
      <c r="F98" s="44">
        <v>1</v>
      </c>
      <c r="G98">
        <v>300</v>
      </c>
      <c r="H98" s="35" t="s">
        <v>971</v>
      </c>
      <c r="I98" s="42">
        <v>44358</v>
      </c>
      <c r="J98" s="77" t="s">
        <v>12</v>
      </c>
      <c r="K98" s="77" t="s">
        <v>982</v>
      </c>
      <c r="O98">
        <f t="shared" si="7"/>
        <v>44</v>
      </c>
      <c r="P98" s="97"/>
      <c r="Q98" s="8" t="s">
        <v>1791</v>
      </c>
    </row>
    <row r="99" spans="1:17" x14ac:dyDescent="0.25">
      <c r="A99" t="s">
        <v>942</v>
      </c>
      <c r="B99" t="s">
        <v>1082</v>
      </c>
      <c r="C99" t="str">
        <f>VLOOKUP(B99,'[1]Planting GPS Points'!$B$3:$L$290,8,FALSE)</f>
        <v>CPS</v>
      </c>
      <c r="D99">
        <f>VLOOKUP(B99,'[1]Planting GPS Points'!$B$3:$AL$290,15,FALSE)</f>
        <v>0</v>
      </c>
      <c r="E99" s="42">
        <v>44314</v>
      </c>
      <c r="F99" s="44">
        <v>1</v>
      </c>
      <c r="G99">
        <v>300</v>
      </c>
      <c r="H99" s="35" t="s">
        <v>971</v>
      </c>
      <c r="I99" s="42">
        <v>44373</v>
      </c>
      <c r="J99" s="77" t="s">
        <v>12</v>
      </c>
      <c r="K99" s="77" t="s">
        <v>982</v>
      </c>
      <c r="O99">
        <f t="shared" si="7"/>
        <v>59</v>
      </c>
      <c r="P99" s="97"/>
      <c r="Q99" s="8" t="s">
        <v>1791</v>
      </c>
    </row>
    <row r="100" spans="1:17" x14ac:dyDescent="0.25">
      <c r="A100" t="s">
        <v>942</v>
      </c>
      <c r="B100" t="s">
        <v>1082</v>
      </c>
      <c r="C100" t="str">
        <f>VLOOKUP(B100,'[1]Planting GPS Points'!$B$3:$L$290,8,FALSE)</f>
        <v>CPS</v>
      </c>
      <c r="D100">
        <f>VLOOKUP(B100,'[1]Planting GPS Points'!$B$3:$AL$290,15,FALSE)</f>
        <v>0</v>
      </c>
      <c r="E100" s="42">
        <v>44314</v>
      </c>
      <c r="F100" s="44">
        <v>1</v>
      </c>
      <c r="G100">
        <v>300</v>
      </c>
      <c r="H100" s="35" t="s">
        <v>971</v>
      </c>
      <c r="I100" s="42">
        <v>44387</v>
      </c>
      <c r="J100" s="77" t="s">
        <v>12</v>
      </c>
      <c r="K100" s="77" t="s">
        <v>982</v>
      </c>
      <c r="O100">
        <f t="shared" si="7"/>
        <v>73</v>
      </c>
      <c r="P100" s="97"/>
      <c r="Q100" s="8" t="s">
        <v>1791</v>
      </c>
    </row>
    <row r="101" spans="1:17" x14ac:dyDescent="0.25">
      <c r="A101" t="s">
        <v>942</v>
      </c>
      <c r="B101" t="s">
        <v>1082</v>
      </c>
      <c r="C101" t="str">
        <f>VLOOKUP(B101,'[1]Planting GPS Points'!$B$3:$L$290,8,FALSE)</f>
        <v>CPS</v>
      </c>
      <c r="D101">
        <f>VLOOKUP(B101,'[1]Planting GPS Points'!$B$3:$AL$290,15,FALSE)</f>
        <v>0</v>
      </c>
      <c r="E101" s="42">
        <v>44329</v>
      </c>
      <c r="F101" s="44">
        <v>0.75</v>
      </c>
      <c r="G101">
        <v>180</v>
      </c>
      <c r="H101" s="35" t="s">
        <v>971</v>
      </c>
      <c r="I101" s="42">
        <v>44342</v>
      </c>
      <c r="J101" s="77" t="s">
        <v>12</v>
      </c>
      <c r="K101" s="77" t="s">
        <v>982</v>
      </c>
      <c r="O101">
        <f t="shared" si="7"/>
        <v>13</v>
      </c>
      <c r="P101" s="97"/>
      <c r="Q101" s="8" t="s">
        <v>1791</v>
      </c>
    </row>
    <row r="102" spans="1:17" x14ac:dyDescent="0.25">
      <c r="A102" t="s">
        <v>942</v>
      </c>
      <c r="B102" t="s">
        <v>1082</v>
      </c>
      <c r="C102" t="str">
        <f>VLOOKUP(B102,'[1]Planting GPS Points'!$B$3:$L$290,8,FALSE)</f>
        <v>CPS</v>
      </c>
      <c r="D102">
        <f>VLOOKUP(B102,'[1]Planting GPS Points'!$B$3:$AL$290,15,FALSE)</f>
        <v>0</v>
      </c>
      <c r="E102" s="42">
        <v>44329</v>
      </c>
      <c r="F102" s="44">
        <v>0.75</v>
      </c>
      <c r="G102">
        <v>180</v>
      </c>
      <c r="H102" s="35" t="s">
        <v>971</v>
      </c>
      <c r="I102" s="42">
        <v>44358</v>
      </c>
      <c r="J102" s="77" t="s">
        <v>12</v>
      </c>
      <c r="K102" s="77" t="s">
        <v>982</v>
      </c>
      <c r="O102">
        <f t="shared" si="7"/>
        <v>29</v>
      </c>
      <c r="P102" s="97"/>
      <c r="Q102" s="8" t="s">
        <v>1791</v>
      </c>
    </row>
    <row r="103" spans="1:17" x14ac:dyDescent="0.25">
      <c r="A103" t="s">
        <v>942</v>
      </c>
      <c r="B103" t="s">
        <v>1082</v>
      </c>
      <c r="C103" t="str">
        <f>VLOOKUP(B103,'[1]Planting GPS Points'!$B$3:$L$290,8,FALSE)</f>
        <v>CPS</v>
      </c>
      <c r="D103">
        <f>VLOOKUP(B103,'[1]Planting GPS Points'!$B$3:$AL$290,15,FALSE)</f>
        <v>0</v>
      </c>
      <c r="E103" s="42">
        <v>44329</v>
      </c>
      <c r="F103" s="44">
        <v>0.75</v>
      </c>
      <c r="G103">
        <v>180</v>
      </c>
      <c r="H103" s="35" t="s">
        <v>971</v>
      </c>
      <c r="I103" s="42">
        <v>44373</v>
      </c>
      <c r="J103" s="77" t="s">
        <v>12</v>
      </c>
      <c r="K103" s="77" t="s">
        <v>982</v>
      </c>
      <c r="O103">
        <f t="shared" si="7"/>
        <v>44</v>
      </c>
      <c r="P103" s="97"/>
      <c r="Q103" s="8" t="s">
        <v>1791</v>
      </c>
    </row>
    <row r="104" spans="1:17" x14ac:dyDescent="0.25">
      <c r="A104" t="s">
        <v>942</v>
      </c>
      <c r="B104" t="s">
        <v>1082</v>
      </c>
      <c r="C104" t="str">
        <f>VLOOKUP(B104,'[1]Planting GPS Points'!$B$3:$L$290,8,FALSE)</f>
        <v>CPS</v>
      </c>
      <c r="D104">
        <f>VLOOKUP(B104,'[1]Planting GPS Points'!$B$3:$AL$290,15,FALSE)</f>
        <v>0</v>
      </c>
      <c r="E104" s="42">
        <v>44329</v>
      </c>
      <c r="F104" s="44">
        <v>0.75</v>
      </c>
      <c r="G104">
        <v>180</v>
      </c>
      <c r="H104" s="35" t="s">
        <v>971</v>
      </c>
      <c r="I104" s="42">
        <v>44387</v>
      </c>
      <c r="J104" s="77" t="s">
        <v>12</v>
      </c>
      <c r="K104" s="77" t="s">
        <v>982</v>
      </c>
      <c r="O104">
        <f t="shared" si="7"/>
        <v>58</v>
      </c>
      <c r="P104" s="97"/>
      <c r="Q104" s="8" t="s">
        <v>1791</v>
      </c>
    </row>
    <row r="105" spans="1:17" x14ac:dyDescent="0.25">
      <c r="A105" t="s">
        <v>942</v>
      </c>
      <c r="B105" t="s">
        <v>1082</v>
      </c>
      <c r="C105" t="str">
        <f>VLOOKUP(B105,'[1]Planting GPS Points'!$B$3:$L$290,8,FALSE)</f>
        <v>CPS</v>
      </c>
      <c r="D105">
        <f>VLOOKUP(B105,'[1]Planting GPS Points'!$B$3:$AL$290,15,FALSE)</f>
        <v>0</v>
      </c>
      <c r="E105" s="42">
        <v>44342</v>
      </c>
      <c r="F105" s="44">
        <v>0.75</v>
      </c>
      <c r="G105">
        <v>180</v>
      </c>
      <c r="H105" s="35" t="s">
        <v>971</v>
      </c>
      <c r="I105" s="42">
        <v>44358</v>
      </c>
      <c r="J105" s="77" t="s">
        <v>12</v>
      </c>
      <c r="K105" s="77" t="s">
        <v>982</v>
      </c>
      <c r="O105">
        <f t="shared" si="7"/>
        <v>16</v>
      </c>
      <c r="P105" s="97"/>
      <c r="Q105" s="8" t="s">
        <v>1794</v>
      </c>
    </row>
    <row r="106" spans="1:17" x14ac:dyDescent="0.25">
      <c r="A106" t="s">
        <v>942</v>
      </c>
      <c r="B106" t="s">
        <v>1082</v>
      </c>
      <c r="C106" t="str">
        <f>VLOOKUP(B106,'[1]Planting GPS Points'!$B$3:$L$290,8,FALSE)</f>
        <v>CPS</v>
      </c>
      <c r="D106">
        <f>VLOOKUP(B106,'[1]Planting GPS Points'!$B$3:$AL$290,15,FALSE)</f>
        <v>0</v>
      </c>
      <c r="E106" s="42">
        <v>44342</v>
      </c>
      <c r="F106" s="44">
        <v>0.75</v>
      </c>
      <c r="G106">
        <v>180</v>
      </c>
      <c r="H106" s="35" t="s">
        <v>971</v>
      </c>
      <c r="I106" s="42">
        <v>44373</v>
      </c>
      <c r="J106" s="77" t="s">
        <v>12</v>
      </c>
      <c r="K106" s="77" t="s">
        <v>982</v>
      </c>
      <c r="O106">
        <f t="shared" si="7"/>
        <v>31</v>
      </c>
      <c r="P106" s="97"/>
      <c r="Q106" s="8" t="s">
        <v>1791</v>
      </c>
    </row>
    <row r="107" spans="1:17" x14ac:dyDescent="0.25">
      <c r="A107" t="s">
        <v>942</v>
      </c>
      <c r="B107" t="s">
        <v>1082</v>
      </c>
      <c r="C107" t="str">
        <f>VLOOKUP(B107,'[1]Planting GPS Points'!$B$3:$L$290,8,FALSE)</f>
        <v>CPS</v>
      </c>
      <c r="D107">
        <f>VLOOKUP(B107,'[1]Planting GPS Points'!$B$3:$AL$290,15,FALSE)</f>
        <v>0</v>
      </c>
      <c r="E107" s="42">
        <v>44342</v>
      </c>
      <c r="F107" s="44">
        <v>0.75</v>
      </c>
      <c r="G107">
        <v>180</v>
      </c>
      <c r="H107" s="35" t="s">
        <v>971</v>
      </c>
      <c r="I107" s="42">
        <v>44387</v>
      </c>
      <c r="J107" s="77" t="s">
        <v>12</v>
      </c>
      <c r="K107" s="77" t="s">
        <v>982</v>
      </c>
      <c r="O107">
        <f t="shared" si="7"/>
        <v>45</v>
      </c>
      <c r="P107" s="97"/>
      <c r="Q107" s="8" t="s">
        <v>1795</v>
      </c>
    </row>
    <row r="108" spans="1:17" x14ac:dyDescent="0.25">
      <c r="A108" t="s">
        <v>942</v>
      </c>
      <c r="B108" t="s">
        <v>1082</v>
      </c>
      <c r="C108" t="str">
        <f>VLOOKUP(B108,'[1]Planting GPS Points'!$B$3:$L$290,8,FALSE)</f>
        <v>CPS</v>
      </c>
      <c r="D108">
        <f>VLOOKUP(B108,'[1]Planting GPS Points'!$B$3:$AL$290,15,FALSE)</f>
        <v>0</v>
      </c>
      <c r="E108" s="42">
        <v>44373</v>
      </c>
      <c r="F108" s="44">
        <v>1.5</v>
      </c>
      <c r="G108">
        <v>270</v>
      </c>
      <c r="H108" s="35" t="s">
        <v>971</v>
      </c>
      <c r="I108" s="42">
        <v>44387</v>
      </c>
      <c r="J108" s="77" t="s">
        <v>12</v>
      </c>
      <c r="K108" s="77" t="s">
        <v>982</v>
      </c>
      <c r="O108">
        <f t="shared" ref="O108:O113" si="10">I108-E108</f>
        <v>14</v>
      </c>
      <c r="P108" s="97"/>
      <c r="Q108" s="8" t="s">
        <v>1791</v>
      </c>
    </row>
    <row r="109" spans="1:17" x14ac:dyDescent="0.25">
      <c r="A109" t="s">
        <v>942</v>
      </c>
      <c r="B109" t="s">
        <v>1082</v>
      </c>
      <c r="C109" t="str">
        <f>VLOOKUP(B109,'[1]Planting GPS Points'!$B$3:$L$290,8,FALSE)</f>
        <v>CPS</v>
      </c>
      <c r="D109">
        <f>VLOOKUP(B109,'[1]Planting GPS Points'!$B$3:$AL$290,15,FALSE)</f>
        <v>0</v>
      </c>
      <c r="E109" s="42">
        <v>44018</v>
      </c>
      <c r="F109">
        <v>5.5</v>
      </c>
      <c r="G109">
        <v>1230</v>
      </c>
      <c r="H109" s="35" t="s">
        <v>971</v>
      </c>
      <c r="I109" s="42">
        <v>44700</v>
      </c>
      <c r="J109" s="77" t="s">
        <v>12</v>
      </c>
      <c r="K109" s="77" t="s">
        <v>982</v>
      </c>
      <c r="O109">
        <f t="shared" si="10"/>
        <v>682</v>
      </c>
      <c r="Q109" s="118" t="s">
        <v>1781</v>
      </c>
    </row>
    <row r="110" spans="1:17" x14ac:dyDescent="0.25">
      <c r="A110" t="s">
        <v>942</v>
      </c>
      <c r="B110" t="s">
        <v>1082</v>
      </c>
      <c r="C110" t="str">
        <f>VLOOKUP(B110,'[1]Planting GPS Points'!$B$3:$L$290,8,FALSE)</f>
        <v>CPS</v>
      </c>
      <c r="D110">
        <f>VLOOKUP(B110,'[1]Planting GPS Points'!$B$3:$AL$290,15,FALSE)</f>
        <v>0</v>
      </c>
      <c r="E110" s="42">
        <v>44018</v>
      </c>
      <c r="F110">
        <v>5.5</v>
      </c>
      <c r="G110">
        <v>1230</v>
      </c>
      <c r="H110" s="35" t="s">
        <v>971</v>
      </c>
      <c r="I110" s="42">
        <v>44742</v>
      </c>
      <c r="J110" s="77" t="s">
        <v>12</v>
      </c>
      <c r="K110" s="77" t="s">
        <v>982</v>
      </c>
      <c r="O110">
        <f t="shared" si="10"/>
        <v>724</v>
      </c>
      <c r="Q110" t="s">
        <v>1796</v>
      </c>
    </row>
    <row r="111" spans="1:17" x14ac:dyDescent="0.25">
      <c r="A111" t="s">
        <v>942</v>
      </c>
      <c r="B111" t="s">
        <v>1082</v>
      </c>
      <c r="C111" t="str">
        <f>VLOOKUP(B111,'[1]Planting GPS Points'!$B$3:$L$290,8,FALSE)</f>
        <v>CPS</v>
      </c>
      <c r="D111">
        <f>VLOOKUP(B111,'[1]Planting GPS Points'!$B$3:$AL$290,15,FALSE)</f>
        <v>0</v>
      </c>
      <c r="E111" s="42">
        <v>44373</v>
      </c>
      <c r="F111" s="44">
        <v>1.5</v>
      </c>
      <c r="G111">
        <v>270</v>
      </c>
      <c r="H111" s="35" t="s">
        <v>971</v>
      </c>
      <c r="I111" s="42">
        <v>44742</v>
      </c>
      <c r="J111" s="77" t="s">
        <v>12</v>
      </c>
      <c r="K111" s="77" t="s">
        <v>982</v>
      </c>
      <c r="O111">
        <f t="shared" si="10"/>
        <v>369</v>
      </c>
      <c r="Q111" t="s">
        <v>1796</v>
      </c>
    </row>
    <row r="112" spans="1:17" x14ac:dyDescent="0.25">
      <c r="A112" t="s">
        <v>942</v>
      </c>
      <c r="B112" t="s">
        <v>1082</v>
      </c>
      <c r="C112" t="str">
        <f>VLOOKUP(B112,'[1]Planting GPS Points'!$B$3:$L$290,8,FALSE)</f>
        <v>CPS</v>
      </c>
      <c r="D112">
        <f>VLOOKUP(B112,'[1]Planting GPS Points'!$B$3:$AL$290,15,FALSE)</f>
        <v>0</v>
      </c>
      <c r="E112" s="42">
        <v>44373</v>
      </c>
      <c r="F112" s="44">
        <v>1.5</v>
      </c>
      <c r="G112">
        <v>270</v>
      </c>
      <c r="H112" s="35" t="s">
        <v>971</v>
      </c>
      <c r="I112" s="42">
        <v>44945</v>
      </c>
      <c r="J112" s="77" t="s">
        <v>12</v>
      </c>
      <c r="K112" s="77" t="s">
        <v>982</v>
      </c>
      <c r="O112">
        <f t="shared" si="10"/>
        <v>572</v>
      </c>
      <c r="Q112" t="s">
        <v>1797</v>
      </c>
    </row>
    <row r="113" spans="1:18" x14ac:dyDescent="0.25">
      <c r="A113" t="s">
        <v>942</v>
      </c>
      <c r="B113" t="s">
        <v>1082</v>
      </c>
      <c r="C113" t="str">
        <f>VLOOKUP(B113,'[1]Planting GPS Points'!$B$3:$L$290,8,FALSE)</f>
        <v>CPS</v>
      </c>
      <c r="D113">
        <f>VLOOKUP(B113,'[1]Planting GPS Points'!$B$3:$AL$290,15,FALSE)</f>
        <v>0</v>
      </c>
      <c r="E113" s="42">
        <v>44373</v>
      </c>
      <c r="F113" s="44">
        <v>1.5</v>
      </c>
      <c r="G113">
        <v>270</v>
      </c>
      <c r="H113" s="35" t="s">
        <v>971</v>
      </c>
      <c r="I113" s="42">
        <v>45038</v>
      </c>
      <c r="J113" s="77" t="s">
        <v>12</v>
      </c>
      <c r="K113" s="77" t="s">
        <v>982</v>
      </c>
      <c r="O113">
        <f t="shared" si="10"/>
        <v>665</v>
      </c>
      <c r="Q113" t="s">
        <v>1798</v>
      </c>
    </row>
    <row r="114" spans="1:18" x14ac:dyDescent="0.25">
      <c r="A114" t="s">
        <v>942</v>
      </c>
      <c r="B114" t="s">
        <v>1089</v>
      </c>
      <c r="C114" t="str">
        <f>VLOOKUP(B114,'[1]Planting GPS Points'!$B$3:$L$290,8,FALSE)</f>
        <v>CPS</v>
      </c>
      <c r="D114">
        <f>VLOOKUP(B114,'[1]Planting GPS Points'!$B$3:$AL$290,15,FALSE)</f>
        <v>0</v>
      </c>
      <c r="E114" s="42">
        <v>44700</v>
      </c>
      <c r="F114">
        <v>5</v>
      </c>
      <c r="G114">
        <v>400</v>
      </c>
      <c r="H114" s="35" t="s">
        <v>971</v>
      </c>
      <c r="I114" s="42">
        <v>44742</v>
      </c>
      <c r="J114" s="77" t="s">
        <v>12</v>
      </c>
      <c r="K114" s="77" t="s">
        <v>982</v>
      </c>
      <c r="O114">
        <f>I114-E114</f>
        <v>42</v>
      </c>
      <c r="Q114" t="s">
        <v>1796</v>
      </c>
    </row>
    <row r="115" spans="1:18" x14ac:dyDescent="0.25">
      <c r="A115" t="s">
        <v>942</v>
      </c>
      <c r="B115" t="s">
        <v>1089</v>
      </c>
      <c r="C115" t="str">
        <f>VLOOKUP(B115,'[1]Planting GPS Points'!$B$3:$L$290,8,FALSE)</f>
        <v>CPS</v>
      </c>
      <c r="D115">
        <f>VLOOKUP(B115,'[1]Planting GPS Points'!$B$3:$AL$290,15,FALSE)</f>
        <v>0</v>
      </c>
      <c r="E115" s="42">
        <v>44700</v>
      </c>
      <c r="F115">
        <v>5</v>
      </c>
      <c r="G115">
        <v>400</v>
      </c>
      <c r="H115" s="35" t="s">
        <v>971</v>
      </c>
      <c r="I115" s="42">
        <v>44945</v>
      </c>
      <c r="J115" s="77" t="s">
        <v>12</v>
      </c>
      <c r="K115" s="77" t="s">
        <v>982</v>
      </c>
      <c r="O115">
        <f>I115-E115</f>
        <v>245</v>
      </c>
      <c r="Q115" t="s">
        <v>1797</v>
      </c>
    </row>
    <row r="116" spans="1:18" x14ac:dyDescent="0.25">
      <c r="A116" t="s">
        <v>942</v>
      </c>
      <c r="B116" t="s">
        <v>1089</v>
      </c>
      <c r="C116" t="str">
        <f>VLOOKUP(B116,'[1]Planting GPS Points'!$B$3:$L$290,8,FALSE)</f>
        <v>CPS</v>
      </c>
      <c r="D116">
        <f>VLOOKUP(B116,'[1]Planting GPS Points'!$B$3:$AL$290,15,FALSE)</f>
        <v>0</v>
      </c>
      <c r="E116" s="42">
        <v>44700</v>
      </c>
      <c r="F116">
        <v>5</v>
      </c>
      <c r="G116">
        <v>400</v>
      </c>
      <c r="H116" s="35" t="s">
        <v>971</v>
      </c>
      <c r="I116" s="42">
        <v>45038</v>
      </c>
      <c r="J116" s="77" t="s">
        <v>12</v>
      </c>
      <c r="K116" s="77" t="s">
        <v>982</v>
      </c>
      <c r="O116">
        <f>I116-E116</f>
        <v>338</v>
      </c>
      <c r="Q116" t="s">
        <v>1798</v>
      </c>
    </row>
    <row r="117" spans="1:18" x14ac:dyDescent="0.25">
      <c r="A117" t="s">
        <v>942</v>
      </c>
      <c r="B117" t="s">
        <v>1087</v>
      </c>
      <c r="C117" t="str">
        <f>VLOOKUP(B117,'[1]Planting GPS Points'!$B$3:$L$290,8,FALSE)</f>
        <v>CPS</v>
      </c>
      <c r="D117">
        <f>VLOOKUP(B117,'[1]Planting GPS Points'!$B$3:$AL$290,15,FALSE)</f>
        <v>0</v>
      </c>
      <c r="E117" s="42">
        <v>44728</v>
      </c>
      <c r="F117">
        <v>5</v>
      </c>
      <c r="G117">
        <v>720</v>
      </c>
      <c r="H117" s="35" t="s">
        <v>971</v>
      </c>
      <c r="I117" s="42">
        <v>44742</v>
      </c>
      <c r="J117" s="77" t="s">
        <v>12</v>
      </c>
      <c r="K117" s="77" t="s">
        <v>982</v>
      </c>
      <c r="O117">
        <f>I117-E117</f>
        <v>14</v>
      </c>
      <c r="Q117" t="s">
        <v>1796</v>
      </c>
    </row>
    <row r="118" spans="1:18" x14ac:dyDescent="0.25">
      <c r="A118" t="s">
        <v>942</v>
      </c>
      <c r="B118" t="s">
        <v>1087</v>
      </c>
      <c r="C118" t="str">
        <f>VLOOKUP(B118,'[1]Planting GPS Points'!$B$3:$L$290,8,FALSE)</f>
        <v>CPS</v>
      </c>
      <c r="D118">
        <f>VLOOKUP(B118,'[1]Planting GPS Points'!$B$3:$AL$290,15,FALSE)</f>
        <v>0</v>
      </c>
      <c r="E118" s="42">
        <v>44700</v>
      </c>
      <c r="F118">
        <v>5</v>
      </c>
      <c r="G118">
        <v>400</v>
      </c>
      <c r="H118" s="35" t="s">
        <v>971</v>
      </c>
      <c r="I118" s="42">
        <v>44784</v>
      </c>
      <c r="J118" s="77" t="s">
        <v>12</v>
      </c>
      <c r="K118" s="77" t="s">
        <v>982</v>
      </c>
      <c r="O118">
        <f t="shared" ref="O118:O172" si="11">I118-E118</f>
        <v>84</v>
      </c>
      <c r="Q118" t="s">
        <v>1799</v>
      </c>
    </row>
    <row r="119" spans="1:18" x14ac:dyDescent="0.25">
      <c r="A119" t="s">
        <v>942</v>
      </c>
      <c r="B119" t="s">
        <v>1087</v>
      </c>
      <c r="C119" t="str">
        <f>VLOOKUP(B119,'[1]Planting GPS Points'!$B$3:$L$290,8,FALSE)</f>
        <v>CPS</v>
      </c>
      <c r="D119">
        <f>VLOOKUP(B119,'[1]Planting GPS Points'!$B$3:$AL$290,15,FALSE)</f>
        <v>0</v>
      </c>
      <c r="E119" s="59">
        <v>44728</v>
      </c>
      <c r="F119">
        <v>5</v>
      </c>
      <c r="G119">
        <v>720</v>
      </c>
      <c r="H119" s="35" t="s">
        <v>971</v>
      </c>
      <c r="I119" s="42">
        <v>44784</v>
      </c>
      <c r="J119" s="77" t="s">
        <v>12</v>
      </c>
      <c r="K119" s="77" t="s">
        <v>982</v>
      </c>
      <c r="O119">
        <f t="shared" si="11"/>
        <v>56</v>
      </c>
      <c r="Q119" t="s">
        <v>1799</v>
      </c>
    </row>
    <row r="120" spans="1:18" x14ac:dyDescent="0.25">
      <c r="A120" t="s">
        <v>942</v>
      </c>
      <c r="B120" t="s">
        <v>1089</v>
      </c>
      <c r="C120" t="str">
        <f>VLOOKUP(B120,'[1]Planting GPS Points'!$B$3:$L$290,8,FALSE)</f>
        <v>CPS</v>
      </c>
      <c r="D120">
        <f>VLOOKUP(B120,'[1]Planting GPS Points'!$B$3:$AL$290,15,FALSE)</f>
        <v>0</v>
      </c>
      <c r="E120" s="42">
        <v>44700</v>
      </c>
      <c r="F120">
        <v>5</v>
      </c>
      <c r="G120">
        <v>400</v>
      </c>
      <c r="H120" s="35" t="s">
        <v>971</v>
      </c>
      <c r="I120" s="42">
        <v>44728</v>
      </c>
      <c r="J120" s="77" t="s">
        <v>12</v>
      </c>
      <c r="K120" s="77" t="s">
        <v>982</v>
      </c>
      <c r="O120">
        <f t="shared" si="11"/>
        <v>28</v>
      </c>
      <c r="Q120" t="s">
        <v>1800</v>
      </c>
    </row>
    <row r="121" spans="1:18" x14ac:dyDescent="0.25">
      <c r="A121" t="s">
        <v>942</v>
      </c>
      <c r="B121" t="s">
        <v>1087</v>
      </c>
      <c r="C121" t="str">
        <f>VLOOKUP(B121,'[1]Planting GPS Points'!$B$3:$L$290,8,FALSE)</f>
        <v>CPS</v>
      </c>
      <c r="D121">
        <f>VLOOKUP(B121,'[1]Planting GPS Points'!$B$3:$AL$290,15,FALSE)</f>
        <v>0</v>
      </c>
      <c r="E121" s="59">
        <v>44728</v>
      </c>
      <c r="F121">
        <v>5</v>
      </c>
      <c r="G121">
        <v>720</v>
      </c>
      <c r="H121" s="35" t="s">
        <v>971</v>
      </c>
      <c r="I121" s="42">
        <v>44784</v>
      </c>
      <c r="J121" s="77" t="s">
        <v>12</v>
      </c>
      <c r="K121" s="77" t="s">
        <v>982</v>
      </c>
      <c r="O121">
        <f t="shared" si="11"/>
        <v>56</v>
      </c>
      <c r="Q121" t="s">
        <v>1799</v>
      </c>
    </row>
    <row r="122" spans="1:18" x14ac:dyDescent="0.25">
      <c r="A122" t="s">
        <v>942</v>
      </c>
      <c r="B122" t="s">
        <v>1087</v>
      </c>
      <c r="C122" t="str">
        <f>VLOOKUP(B122,'[1]Planting GPS Points'!$B$3:$L$290,8,FALSE)</f>
        <v>CPS</v>
      </c>
      <c r="D122">
        <f>VLOOKUP(B122,'[1]Planting GPS Points'!$B$3:$AL$290,15,FALSE)</f>
        <v>0</v>
      </c>
      <c r="E122" s="59">
        <v>44728</v>
      </c>
      <c r="F122">
        <v>5</v>
      </c>
      <c r="G122">
        <v>720</v>
      </c>
      <c r="H122" s="35" t="s">
        <v>971</v>
      </c>
      <c r="I122" s="42">
        <v>44945</v>
      </c>
      <c r="J122" s="77" t="s">
        <v>12</v>
      </c>
      <c r="K122" s="77" t="s">
        <v>982</v>
      </c>
      <c r="O122">
        <f t="shared" si="11"/>
        <v>217</v>
      </c>
      <c r="Q122" t="s">
        <v>1801</v>
      </c>
    </row>
    <row r="123" spans="1:18" x14ac:dyDescent="0.25">
      <c r="A123" t="s">
        <v>942</v>
      </c>
      <c r="B123" t="s">
        <v>1087</v>
      </c>
      <c r="C123" t="str">
        <f>VLOOKUP(B123,'[1]Planting GPS Points'!$B$3:$L$290,8,FALSE)</f>
        <v>CPS</v>
      </c>
      <c r="D123">
        <f>VLOOKUP(B123,'[1]Planting GPS Points'!$B$3:$AL$290,15,FALSE)</f>
        <v>0</v>
      </c>
      <c r="E123" s="59">
        <v>44728</v>
      </c>
      <c r="F123">
        <v>5</v>
      </c>
      <c r="G123">
        <v>720</v>
      </c>
      <c r="H123" s="35" t="s">
        <v>971</v>
      </c>
      <c r="I123" s="42">
        <v>45038</v>
      </c>
      <c r="J123" s="77" t="s">
        <v>12</v>
      </c>
      <c r="K123" s="77" t="s">
        <v>982</v>
      </c>
      <c r="O123">
        <f t="shared" si="11"/>
        <v>310</v>
      </c>
      <c r="Q123" t="s">
        <v>1802</v>
      </c>
    </row>
    <row r="124" spans="1:18" x14ac:dyDescent="0.25">
      <c r="A124" t="s">
        <v>269</v>
      </c>
      <c r="B124" t="s">
        <v>1095</v>
      </c>
      <c r="C124" t="str">
        <f>VLOOKUP(B124,'[1]Planting GPS Points'!$B$3:$L$290,8,FALSE)</f>
        <v>SPS</v>
      </c>
      <c r="D124" t="str">
        <f>VLOOKUP(B124,'[1]Planting GPS Points'!$B$3:$AL$290,15,FALSE)</f>
        <v>IAA 12-317.1</v>
      </c>
      <c r="E124" s="42">
        <v>42075</v>
      </c>
      <c r="F124" s="44">
        <v>25</v>
      </c>
      <c r="G124" s="45">
        <v>500</v>
      </c>
      <c r="H124" s="35" t="s">
        <v>963</v>
      </c>
      <c r="I124" s="42">
        <v>43166</v>
      </c>
      <c r="J124" s="77" t="s">
        <v>23</v>
      </c>
      <c r="K124" s="77" t="s">
        <v>967</v>
      </c>
      <c r="L124">
        <v>0</v>
      </c>
      <c r="M124">
        <v>25</v>
      </c>
      <c r="N124" s="44">
        <f t="shared" ref="N124:N135" si="12">IFERROR(L124/M124, "")</f>
        <v>0</v>
      </c>
      <c r="O124">
        <f t="shared" si="11"/>
        <v>1091</v>
      </c>
      <c r="P124" s="97">
        <f t="shared" ref="P124:P207" si="13">IF(L124="", "", L124/G124)</f>
        <v>0</v>
      </c>
      <c r="Q124" s="8" t="s">
        <v>1803</v>
      </c>
    </row>
    <row r="125" spans="1:18" x14ac:dyDescent="0.25">
      <c r="A125" t="s">
        <v>269</v>
      </c>
      <c r="B125" t="s">
        <v>1097</v>
      </c>
      <c r="C125" t="str">
        <f>VLOOKUP(B125,'[1]Planting GPS Points'!$B$3:$L$290,8,FALSE)</f>
        <v>SPS</v>
      </c>
      <c r="D125">
        <f>VLOOKUP(B125,'[1]Planting GPS Points'!$B$3:$AL$290,15,FALSE)</f>
        <v>0</v>
      </c>
      <c r="E125" s="42">
        <v>44013</v>
      </c>
      <c r="F125">
        <v>6.25</v>
      </c>
      <c r="G125">
        <v>625</v>
      </c>
      <c r="H125" s="35" t="s">
        <v>963</v>
      </c>
      <c r="I125" s="42">
        <v>44306</v>
      </c>
      <c r="J125" s="77" t="s">
        <v>23</v>
      </c>
      <c r="K125" s="77" t="s">
        <v>982</v>
      </c>
      <c r="L125">
        <v>0</v>
      </c>
      <c r="M125">
        <v>7.5</v>
      </c>
      <c r="N125" s="44">
        <f t="shared" si="12"/>
        <v>0</v>
      </c>
      <c r="O125">
        <f t="shared" si="11"/>
        <v>293</v>
      </c>
      <c r="P125" s="97">
        <f t="shared" si="13"/>
        <v>0</v>
      </c>
      <c r="Q125" s="130" t="s">
        <v>1719</v>
      </c>
      <c r="R125" t="s">
        <v>1804</v>
      </c>
    </row>
    <row r="126" spans="1:18" x14ac:dyDescent="0.25">
      <c r="A126" t="s">
        <v>269</v>
      </c>
      <c r="B126" t="s">
        <v>1091</v>
      </c>
      <c r="C126" t="str">
        <f>VLOOKUP(B126,'[1]Planting GPS Points'!$B$3:$L$290,8,FALSE)</f>
        <v>SPS</v>
      </c>
      <c r="D126" t="str">
        <f>VLOOKUP(B126,'[1]Planting GPS Points'!$B$3:$AL$290,15,FALSE)</f>
        <v>IAA 12-317.1</v>
      </c>
      <c r="E126" s="42">
        <v>42075</v>
      </c>
      <c r="F126" s="44">
        <v>25</v>
      </c>
      <c r="G126" s="45">
        <v>500</v>
      </c>
      <c r="H126" s="35" t="s">
        <v>971</v>
      </c>
      <c r="I126" s="42">
        <v>42229</v>
      </c>
      <c r="J126" s="77" t="s">
        <v>12</v>
      </c>
      <c r="K126" s="77" t="s">
        <v>967</v>
      </c>
      <c r="N126" s="44" t="str">
        <f t="shared" si="12"/>
        <v/>
      </c>
      <c r="O126">
        <f t="shared" si="11"/>
        <v>154</v>
      </c>
      <c r="P126" s="97" t="str">
        <f t="shared" si="13"/>
        <v/>
      </c>
      <c r="Q126" s="8" t="s">
        <v>1805</v>
      </c>
    </row>
    <row r="127" spans="1:18" x14ac:dyDescent="0.25">
      <c r="A127" t="s">
        <v>269</v>
      </c>
      <c r="B127" t="s">
        <v>1091</v>
      </c>
      <c r="C127" t="str">
        <f>VLOOKUP(B127,'[1]Planting GPS Points'!$B$3:$L$290,8,FALSE)</f>
        <v>SPS</v>
      </c>
      <c r="D127" t="str">
        <f>VLOOKUP(B127,'[1]Planting GPS Points'!$B$3:$AL$290,15,FALSE)</f>
        <v>IAA 12-317.1</v>
      </c>
      <c r="E127" s="42">
        <v>42075</v>
      </c>
      <c r="F127" s="44">
        <v>25</v>
      </c>
      <c r="G127" s="45">
        <v>500</v>
      </c>
      <c r="H127" s="35" t="s">
        <v>971</v>
      </c>
      <c r="I127" s="42">
        <v>42513</v>
      </c>
      <c r="J127" s="77" t="s">
        <v>23</v>
      </c>
      <c r="K127" s="77" t="s">
        <v>967</v>
      </c>
      <c r="L127">
        <v>0</v>
      </c>
      <c r="N127" s="44" t="str">
        <f t="shared" si="12"/>
        <v/>
      </c>
      <c r="O127">
        <f t="shared" si="11"/>
        <v>438</v>
      </c>
      <c r="P127" s="97">
        <f t="shared" si="13"/>
        <v>0</v>
      </c>
      <c r="Q127" s="8" t="s">
        <v>1806</v>
      </c>
    </row>
    <row r="128" spans="1:18" x14ac:dyDescent="0.25">
      <c r="A128" t="s">
        <v>269</v>
      </c>
      <c r="B128" t="s">
        <v>1091</v>
      </c>
      <c r="C128" t="str">
        <f>VLOOKUP(B128,'[1]Planting GPS Points'!$B$3:$L$290,8,FALSE)</f>
        <v>SPS</v>
      </c>
      <c r="D128" t="str">
        <f>VLOOKUP(B128,'[1]Planting GPS Points'!$B$3:$AL$290,15,FALSE)</f>
        <v>IAA 12-317.1</v>
      </c>
      <c r="E128" s="42">
        <v>42075</v>
      </c>
      <c r="F128" s="44">
        <v>25</v>
      </c>
      <c r="G128" s="45">
        <v>500</v>
      </c>
      <c r="H128" s="35" t="s">
        <v>963</v>
      </c>
      <c r="I128" s="42">
        <v>43166</v>
      </c>
      <c r="J128" s="77" t="s">
        <v>23</v>
      </c>
      <c r="K128" s="77" t="s">
        <v>967</v>
      </c>
      <c r="L128">
        <v>0</v>
      </c>
      <c r="M128">
        <v>25</v>
      </c>
      <c r="N128" s="44">
        <f t="shared" si="12"/>
        <v>0</v>
      </c>
      <c r="O128">
        <f t="shared" si="11"/>
        <v>1091</v>
      </c>
      <c r="P128" s="97">
        <f t="shared" si="13"/>
        <v>0</v>
      </c>
      <c r="Q128" s="8" t="s">
        <v>1807</v>
      </c>
    </row>
    <row r="129" spans="1:17" x14ac:dyDescent="0.25">
      <c r="A129" s="9" t="s">
        <v>462</v>
      </c>
      <c r="B129" s="9" t="s">
        <v>1099</v>
      </c>
      <c r="C129" t="str">
        <f>VLOOKUP(B129,'[1]Planting GPS Points'!$B$3:$L$290,8,FALSE)</f>
        <v>SJS</v>
      </c>
      <c r="D129" t="str">
        <f>VLOOKUP(B129,'[1]Planting GPS Points'!$B$3:$AL$290,15,FALSE)</f>
        <v>93-099661</v>
      </c>
      <c r="E129" s="42">
        <v>42593</v>
      </c>
      <c r="F129" s="44">
        <v>4</v>
      </c>
      <c r="G129">
        <v>500</v>
      </c>
      <c r="H129" s="35" t="s">
        <v>963</v>
      </c>
      <c r="I129" s="42">
        <v>42664</v>
      </c>
      <c r="J129" s="77" t="s">
        <v>12</v>
      </c>
      <c r="K129" s="77" t="s">
        <v>982</v>
      </c>
      <c r="M129">
        <v>4</v>
      </c>
      <c r="N129" s="44">
        <f t="shared" si="12"/>
        <v>0</v>
      </c>
      <c r="O129">
        <f t="shared" si="11"/>
        <v>71</v>
      </c>
      <c r="P129" s="97" t="str">
        <f t="shared" si="13"/>
        <v/>
      </c>
      <c r="Q129" s="8" t="s">
        <v>1808</v>
      </c>
    </row>
    <row r="130" spans="1:17" x14ac:dyDescent="0.25">
      <c r="A130" s="9" t="s">
        <v>462</v>
      </c>
      <c r="B130" s="9" t="s">
        <v>1099</v>
      </c>
      <c r="C130" t="str">
        <f>VLOOKUP(B130,'[1]Planting GPS Points'!$B$3:$L$290,8,FALSE)</f>
        <v>SJS</v>
      </c>
      <c r="D130" t="str">
        <f>VLOOKUP(B130,'[1]Planting GPS Points'!$B$3:$AL$290,15,FALSE)</f>
        <v>93-099661</v>
      </c>
      <c r="E130" s="42">
        <v>42593</v>
      </c>
      <c r="F130" s="44">
        <v>4</v>
      </c>
      <c r="G130">
        <v>500</v>
      </c>
      <c r="H130" s="35" t="s">
        <v>963</v>
      </c>
      <c r="I130" s="42">
        <v>42842</v>
      </c>
      <c r="J130" s="77" t="s">
        <v>12</v>
      </c>
      <c r="K130" s="77" t="s">
        <v>982</v>
      </c>
      <c r="M130">
        <v>4</v>
      </c>
      <c r="N130" s="44">
        <f t="shared" si="12"/>
        <v>0</v>
      </c>
      <c r="O130">
        <f t="shared" si="11"/>
        <v>249</v>
      </c>
      <c r="P130" s="97" t="str">
        <f t="shared" si="13"/>
        <v/>
      </c>
      <c r="Q130" s="8" t="s">
        <v>1809</v>
      </c>
    </row>
    <row r="131" spans="1:17" x14ac:dyDescent="0.25">
      <c r="A131" s="9" t="s">
        <v>462</v>
      </c>
      <c r="B131" s="9" t="s">
        <v>1101</v>
      </c>
      <c r="C131" t="str">
        <f>VLOOKUP(B131,'[1]Planting GPS Points'!$B$3:$L$290,8,FALSE)</f>
        <v>SJS</v>
      </c>
      <c r="D131" t="str">
        <f>VLOOKUP(B131,'[1]Planting GPS Points'!$B$3:$AL$290,15,FALSE)</f>
        <v>93-099661</v>
      </c>
      <c r="E131" s="42">
        <v>42593</v>
      </c>
      <c r="F131" s="44">
        <v>4</v>
      </c>
      <c r="G131">
        <v>550</v>
      </c>
      <c r="H131" s="35" t="s">
        <v>963</v>
      </c>
      <c r="I131" s="42">
        <v>42664</v>
      </c>
      <c r="J131" s="77" t="s">
        <v>12</v>
      </c>
      <c r="K131" s="77" t="s">
        <v>982</v>
      </c>
      <c r="M131">
        <v>4</v>
      </c>
      <c r="N131" s="44">
        <f t="shared" si="12"/>
        <v>0</v>
      </c>
      <c r="O131">
        <f t="shared" si="11"/>
        <v>71</v>
      </c>
      <c r="P131" s="97" t="str">
        <f t="shared" si="13"/>
        <v/>
      </c>
      <c r="Q131" s="8" t="s">
        <v>1810</v>
      </c>
    </row>
    <row r="132" spans="1:17" x14ac:dyDescent="0.25">
      <c r="A132" s="9" t="s">
        <v>462</v>
      </c>
      <c r="B132" s="9" t="s">
        <v>1101</v>
      </c>
      <c r="C132" t="str">
        <f>VLOOKUP(B132,'[1]Planting GPS Points'!$B$3:$L$290,8,FALSE)</f>
        <v>SJS</v>
      </c>
      <c r="D132" t="str">
        <f>VLOOKUP(B132,'[1]Planting GPS Points'!$B$3:$AL$290,15,FALSE)</f>
        <v>93-099661</v>
      </c>
      <c r="E132" s="42">
        <v>42593</v>
      </c>
      <c r="F132" s="44">
        <v>4</v>
      </c>
      <c r="G132">
        <v>550</v>
      </c>
      <c r="H132" s="35" t="s">
        <v>963</v>
      </c>
      <c r="I132" s="42">
        <v>42842</v>
      </c>
      <c r="J132" s="77" t="s">
        <v>23</v>
      </c>
      <c r="K132" s="77" t="s">
        <v>982</v>
      </c>
      <c r="L132">
        <v>0</v>
      </c>
      <c r="M132">
        <v>4</v>
      </c>
      <c r="N132" s="44">
        <f t="shared" si="12"/>
        <v>0</v>
      </c>
      <c r="O132">
        <f t="shared" si="11"/>
        <v>249</v>
      </c>
      <c r="P132" s="97">
        <f t="shared" si="13"/>
        <v>0</v>
      </c>
      <c r="Q132" s="8" t="s">
        <v>1811</v>
      </c>
    </row>
    <row r="133" spans="1:17" x14ac:dyDescent="0.25">
      <c r="A133" t="s">
        <v>1102</v>
      </c>
      <c r="B133" s="9" t="s">
        <v>1107</v>
      </c>
      <c r="C133" t="str">
        <f>VLOOKUP(B133,'[1]Planting GPS Points'!$B$3:$L$290,8,FALSE)</f>
        <v>CPS</v>
      </c>
      <c r="D133" t="str">
        <f>VLOOKUP(B133,'[1]Planting GPS Points'!$B$3:$AL$290,15,FALSE)</f>
        <v>SC 16-17</v>
      </c>
      <c r="E133" s="42">
        <v>42905</v>
      </c>
      <c r="F133" s="44">
        <v>6</v>
      </c>
      <c r="G133" s="47">
        <v>1160</v>
      </c>
      <c r="H133" s="35" t="s">
        <v>963</v>
      </c>
      <c r="I133" s="42">
        <v>43166</v>
      </c>
      <c r="J133" s="77" t="s">
        <v>12</v>
      </c>
      <c r="K133" s="77" t="s">
        <v>994</v>
      </c>
      <c r="L133">
        <v>50</v>
      </c>
      <c r="N133" s="44" t="str">
        <f t="shared" si="12"/>
        <v/>
      </c>
      <c r="O133">
        <f t="shared" si="11"/>
        <v>261</v>
      </c>
      <c r="P133" s="97">
        <f t="shared" si="13"/>
        <v>4.3103448275862072E-2</v>
      </c>
      <c r="Q133" s="8" t="s">
        <v>1812</v>
      </c>
    </row>
    <row r="134" spans="1:17" x14ac:dyDescent="0.25">
      <c r="A134" t="s">
        <v>1102</v>
      </c>
      <c r="B134" s="9" t="s">
        <v>1107</v>
      </c>
      <c r="C134" t="str">
        <f>VLOOKUP(B134,'[1]Planting GPS Points'!$B$3:$L$290,8,FALSE)</f>
        <v>CPS</v>
      </c>
      <c r="D134" t="str">
        <f>VLOOKUP(B134,'[1]Planting GPS Points'!$B$3:$AL$290,15,FALSE)</f>
        <v>SC 16-17</v>
      </c>
      <c r="E134" s="42">
        <v>42935</v>
      </c>
      <c r="F134" s="44">
        <v>6</v>
      </c>
      <c r="G134" s="47">
        <v>1160</v>
      </c>
      <c r="H134" s="15" t="s">
        <v>971</v>
      </c>
      <c r="I134" s="42">
        <v>43250</v>
      </c>
      <c r="J134" s="77" t="s">
        <v>23</v>
      </c>
      <c r="K134" s="77" t="s">
        <v>994</v>
      </c>
      <c r="L134">
        <v>0</v>
      </c>
      <c r="N134" s="44" t="str">
        <f t="shared" si="12"/>
        <v/>
      </c>
      <c r="O134">
        <f t="shared" si="11"/>
        <v>315</v>
      </c>
      <c r="P134" s="97">
        <f t="shared" si="13"/>
        <v>0</v>
      </c>
      <c r="Q134" s="8" t="s">
        <v>1813</v>
      </c>
    </row>
    <row r="135" spans="1:17" x14ac:dyDescent="0.25">
      <c r="A135" s="62" t="s">
        <v>1102</v>
      </c>
      <c r="B135" s="9" t="s">
        <v>1113</v>
      </c>
      <c r="C135" t="str">
        <f>VLOOKUP(B135,'[1]Planting GPS Points'!$B$3:$L$290,8,FALSE)</f>
        <v>CPS</v>
      </c>
      <c r="D135">
        <f>VLOOKUP(B135,'[1]Planting GPS Points'!$B$3:$AL$290,15,FALSE)</f>
        <v>0</v>
      </c>
      <c r="E135" s="59">
        <v>43263</v>
      </c>
      <c r="F135" s="44">
        <v>0.75</v>
      </c>
      <c r="G135" s="47">
        <v>225</v>
      </c>
      <c r="H135" s="15" t="s">
        <v>971</v>
      </c>
      <c r="I135" s="42">
        <v>43322</v>
      </c>
      <c r="J135" s="77" t="s">
        <v>12</v>
      </c>
      <c r="K135" s="77" t="s">
        <v>982</v>
      </c>
      <c r="L135">
        <v>299</v>
      </c>
      <c r="M135">
        <v>0.75</v>
      </c>
      <c r="N135" s="44">
        <f t="shared" si="12"/>
        <v>398.66666666666669</v>
      </c>
      <c r="O135">
        <f t="shared" si="11"/>
        <v>59</v>
      </c>
      <c r="P135" s="97">
        <f t="shared" si="13"/>
        <v>1.3288888888888888</v>
      </c>
      <c r="Q135" s="8" t="s">
        <v>1814</v>
      </c>
    </row>
    <row r="136" spans="1:17" x14ac:dyDescent="0.25">
      <c r="A136" t="s">
        <v>1102</v>
      </c>
      <c r="B136" s="9" t="s">
        <v>1103</v>
      </c>
      <c r="C136" t="str">
        <f>VLOOKUP(B136,'[1]Planting GPS Points'!$B$3:$L$290,8,FALSE)</f>
        <v>CPS</v>
      </c>
      <c r="D136">
        <f>VLOOKUP(B136,'[1]Planting GPS Points'!$B$3:$AL$290,15,FALSE)</f>
        <v>0</v>
      </c>
      <c r="E136" s="42">
        <v>42935</v>
      </c>
      <c r="F136" s="44">
        <v>1</v>
      </c>
      <c r="G136" s="47">
        <v>250</v>
      </c>
      <c r="H136" s="15" t="s">
        <v>971</v>
      </c>
      <c r="I136" s="42">
        <v>43250</v>
      </c>
      <c r="J136" s="77" t="s">
        <v>23</v>
      </c>
      <c r="K136" s="77" t="s">
        <v>982</v>
      </c>
      <c r="L136">
        <v>0</v>
      </c>
      <c r="N136" s="44"/>
      <c r="O136">
        <f t="shared" si="11"/>
        <v>315</v>
      </c>
      <c r="P136" s="97">
        <f t="shared" si="13"/>
        <v>0</v>
      </c>
      <c r="Q136" s="8" t="s">
        <v>1815</v>
      </c>
    </row>
    <row r="137" spans="1:17" x14ac:dyDescent="0.25">
      <c r="A137" t="s">
        <v>1102</v>
      </c>
      <c r="B137" s="9" t="s">
        <v>1104</v>
      </c>
      <c r="C137" t="str">
        <f>VLOOKUP(B137,'[1]Planting GPS Points'!$B$3:$L$290,8,FALSE)</f>
        <v>CPS</v>
      </c>
      <c r="D137" t="str">
        <f>VLOOKUP(B137,'[1]Planting GPS Points'!$B$3:$AL$290,15,FALSE)</f>
        <v>SC 16-17</v>
      </c>
      <c r="E137" s="42">
        <v>42935</v>
      </c>
      <c r="F137" s="44">
        <v>6</v>
      </c>
      <c r="G137" s="47">
        <v>1056</v>
      </c>
      <c r="H137" s="15" t="s">
        <v>971</v>
      </c>
      <c r="I137" s="42">
        <v>43250</v>
      </c>
      <c r="J137" s="77" t="s">
        <v>23</v>
      </c>
      <c r="K137" s="77" t="s">
        <v>994</v>
      </c>
      <c r="L137">
        <v>0</v>
      </c>
      <c r="N137" s="44" t="str">
        <f t="shared" ref="N137:N179" si="14">IFERROR(L137/M137, "")</f>
        <v/>
      </c>
      <c r="O137">
        <f t="shared" si="11"/>
        <v>315</v>
      </c>
      <c r="P137" s="97">
        <f t="shared" si="13"/>
        <v>0</v>
      </c>
      <c r="Q137" s="8" t="s">
        <v>1813</v>
      </c>
    </row>
    <row r="138" spans="1:17" x14ac:dyDescent="0.25">
      <c r="A138" s="62" t="s">
        <v>1102</v>
      </c>
      <c r="B138" s="9" t="s">
        <v>1110</v>
      </c>
      <c r="C138" t="str">
        <f>VLOOKUP(B138,'[1]Planting GPS Points'!$B$3:$L$290,8,FALSE)</f>
        <v>CPS</v>
      </c>
      <c r="D138">
        <f>VLOOKUP(B138,'[1]Planting GPS Points'!$B$3:$AL$290,15,FALSE)</f>
        <v>0</v>
      </c>
      <c r="E138" s="59">
        <v>43263</v>
      </c>
      <c r="F138" s="44">
        <v>0.75</v>
      </c>
      <c r="G138" s="47">
        <v>225</v>
      </c>
      <c r="H138" s="15" t="s">
        <v>971</v>
      </c>
      <c r="I138" s="42">
        <v>43322</v>
      </c>
      <c r="J138" s="77" t="s">
        <v>12</v>
      </c>
      <c r="K138" s="77" t="s">
        <v>982</v>
      </c>
      <c r="L138">
        <v>180</v>
      </c>
      <c r="M138">
        <v>0.75</v>
      </c>
      <c r="N138" s="44">
        <f t="shared" si="14"/>
        <v>240</v>
      </c>
      <c r="O138">
        <f t="shared" si="11"/>
        <v>59</v>
      </c>
      <c r="P138" s="97">
        <f t="shared" si="13"/>
        <v>0.8</v>
      </c>
      <c r="Q138" s="8" t="s">
        <v>1816</v>
      </c>
    </row>
    <row r="139" spans="1:17" x14ac:dyDescent="0.25">
      <c r="A139" t="s">
        <v>1115</v>
      </c>
      <c r="B139" t="s">
        <v>1118</v>
      </c>
      <c r="C139" t="str">
        <f>VLOOKUP(B139,'[1]Planting GPS Points'!$B$3:$L$290,8,FALSE)</f>
        <v>SPS</v>
      </c>
      <c r="D139">
        <f>VLOOKUP(B139,'[1]Planting GPS Points'!$B$3:$AL$290,15,FALSE)</f>
        <v>0</v>
      </c>
      <c r="E139" s="42">
        <v>42572</v>
      </c>
      <c r="F139" s="44">
        <v>0.25</v>
      </c>
      <c r="G139" s="61">
        <v>201</v>
      </c>
      <c r="H139" s="35" t="s">
        <v>971</v>
      </c>
      <c r="I139" s="42">
        <v>42600</v>
      </c>
      <c r="J139" s="77" t="s">
        <v>12</v>
      </c>
      <c r="K139" s="77" t="s">
        <v>982</v>
      </c>
      <c r="L139">
        <v>1</v>
      </c>
      <c r="N139" s="44" t="str">
        <f t="shared" si="14"/>
        <v/>
      </c>
      <c r="O139">
        <f t="shared" si="11"/>
        <v>28</v>
      </c>
      <c r="P139" s="97">
        <f t="shared" si="13"/>
        <v>4.9751243781094526E-3</v>
      </c>
      <c r="Q139" s="8" t="s">
        <v>1817</v>
      </c>
    </row>
    <row r="140" spans="1:17" x14ac:dyDescent="0.25">
      <c r="A140" t="s">
        <v>1115</v>
      </c>
      <c r="B140" t="s">
        <v>1116</v>
      </c>
      <c r="C140" t="str">
        <f>VLOOKUP(B140,'[1]Planting GPS Points'!$B$3:$L$290,8,FALSE)</f>
        <v>SPS</v>
      </c>
      <c r="D140" t="str">
        <f>VLOOKUP(B140,'[1]Planting GPS Points'!$B$3:$AL$290,15,FALSE)</f>
        <v>IAA 12-317.1</v>
      </c>
      <c r="E140" s="42">
        <v>42075</v>
      </c>
      <c r="F140" s="44">
        <v>25</v>
      </c>
      <c r="G140" s="47">
        <v>500</v>
      </c>
      <c r="H140" s="35" t="s">
        <v>971</v>
      </c>
      <c r="I140" s="42">
        <v>42242</v>
      </c>
      <c r="J140" s="115" t="s">
        <v>23</v>
      </c>
      <c r="K140" s="115" t="s">
        <v>967</v>
      </c>
      <c r="L140">
        <v>0</v>
      </c>
      <c r="N140" s="44" t="str">
        <f t="shared" si="14"/>
        <v/>
      </c>
      <c r="O140">
        <f t="shared" si="11"/>
        <v>167</v>
      </c>
      <c r="P140" s="97">
        <f t="shared" si="13"/>
        <v>0</v>
      </c>
      <c r="Q140" s="8" t="s">
        <v>1818</v>
      </c>
    </row>
    <row r="141" spans="1:17" ht="16.5" x14ac:dyDescent="0.25">
      <c r="A141" t="s">
        <v>1120</v>
      </c>
      <c r="B141" s="107" t="s">
        <v>1128</v>
      </c>
      <c r="C141" t="str">
        <f>VLOOKUP(B141,'[1]Planting GPS Points'!$B$3:$L$290,8,FALSE)</f>
        <v>CPS</v>
      </c>
      <c r="D141" t="str">
        <f>VLOOKUP(B141,'[1]Planting GPS Points'!$B$3:$AL$290,15,FALSE)</f>
        <v>93-094344</v>
      </c>
      <c r="E141" s="116">
        <v>43235</v>
      </c>
      <c r="F141" s="44">
        <v>138</v>
      </c>
      <c r="G141">
        <v>13800</v>
      </c>
      <c r="H141" s="35" t="s">
        <v>963</v>
      </c>
      <c r="I141" s="42">
        <v>43572</v>
      </c>
      <c r="J141" s="77" t="s">
        <v>12</v>
      </c>
      <c r="K141" s="77" t="s">
        <v>982</v>
      </c>
      <c r="L141">
        <v>1058</v>
      </c>
      <c r="M141">
        <v>138</v>
      </c>
      <c r="N141" s="44">
        <f t="shared" si="14"/>
        <v>7.666666666666667</v>
      </c>
      <c r="O141">
        <f t="shared" si="11"/>
        <v>337</v>
      </c>
      <c r="P141" s="97">
        <f t="shared" si="13"/>
        <v>7.6666666666666661E-2</v>
      </c>
      <c r="Q141" s="8" t="s">
        <v>1819</v>
      </c>
    </row>
    <row r="142" spans="1:17" x14ac:dyDescent="0.25">
      <c r="A142" t="s">
        <v>1120</v>
      </c>
      <c r="B142" s="9" t="s">
        <v>1128</v>
      </c>
      <c r="C142" t="str">
        <f>VLOOKUP(B142,'[1]Planting GPS Points'!$B$3:$L$290,8,FALSE)</f>
        <v>CPS</v>
      </c>
      <c r="D142" t="str">
        <f>VLOOKUP(B142,'[1]Planting GPS Points'!$B$3:$AL$290,15,FALSE)</f>
        <v>93-094344</v>
      </c>
      <c r="E142" s="42">
        <v>43235</v>
      </c>
      <c r="F142" s="109" t="str">
        <f>VLOOKUP(B142,PLANTING,26,FALSE)</f>
        <v>rebar</v>
      </c>
      <c r="G142" s="111">
        <f>VLOOKUP(B142,PLANTING,29,FALSE)</f>
        <v>210</v>
      </c>
      <c r="H142" s="35" t="s">
        <v>963</v>
      </c>
      <c r="I142" s="42">
        <v>43964</v>
      </c>
      <c r="J142" s="77" t="s">
        <v>23</v>
      </c>
      <c r="K142" s="77" t="s">
        <v>982</v>
      </c>
      <c r="L142">
        <v>0</v>
      </c>
      <c r="M142" s="47"/>
      <c r="N142" s="44" t="str">
        <f t="shared" si="14"/>
        <v/>
      </c>
      <c r="O142">
        <f t="shared" si="11"/>
        <v>729</v>
      </c>
      <c r="P142" s="97">
        <f t="shared" si="13"/>
        <v>0</v>
      </c>
      <c r="Q142" s="8" t="s">
        <v>1820</v>
      </c>
    </row>
    <row r="143" spans="1:17" ht="17.25" x14ac:dyDescent="0.25">
      <c r="A143" t="s">
        <v>1120</v>
      </c>
      <c r="B143" s="107" t="s">
        <v>1131</v>
      </c>
      <c r="C143" t="str">
        <f>VLOOKUP(B143,'[1]Planting GPS Points'!$B$3:$L$290,8,FALSE)</f>
        <v>CPS</v>
      </c>
      <c r="D143" t="str">
        <f>VLOOKUP(B143,'[1]Planting GPS Points'!$B$3:$AL$290,15,FALSE)</f>
        <v>93-099661</v>
      </c>
      <c r="E143" s="116">
        <v>43265</v>
      </c>
      <c r="F143" s="44">
        <v>97</v>
      </c>
      <c r="G143">
        <v>9688</v>
      </c>
      <c r="H143" s="35" t="s">
        <v>963</v>
      </c>
      <c r="I143" s="42">
        <v>43572</v>
      </c>
      <c r="J143" s="77" t="s">
        <v>12</v>
      </c>
      <c r="K143" s="77" t="s">
        <v>982</v>
      </c>
      <c r="L143">
        <v>13252</v>
      </c>
      <c r="M143">
        <v>97</v>
      </c>
      <c r="N143" s="44">
        <f t="shared" si="14"/>
        <v>136.61855670103094</v>
      </c>
      <c r="O143">
        <f t="shared" si="11"/>
        <v>307</v>
      </c>
      <c r="P143" s="97">
        <f t="shared" si="13"/>
        <v>1.3678777869529315</v>
      </c>
      <c r="Q143" s="110" t="s">
        <v>1821</v>
      </c>
    </row>
    <row r="144" spans="1:17" ht="16.5" x14ac:dyDescent="0.25">
      <c r="A144" s="62" t="s">
        <v>1120</v>
      </c>
      <c r="B144" s="9" t="s">
        <v>1131</v>
      </c>
      <c r="C144" t="str">
        <f>VLOOKUP(B144,'[1]Planting GPS Points'!$B$3:$L$290,8,FALSE)</f>
        <v>CPS</v>
      </c>
      <c r="D144" t="str">
        <f>VLOOKUP(B144,'[1]Planting GPS Points'!$B$3:$AL$290,15,FALSE)</f>
        <v>93-099661</v>
      </c>
      <c r="E144" s="42">
        <v>43265</v>
      </c>
      <c r="F144" s="109" t="str">
        <f>VLOOKUP(B144,PLANTING,26,FALSE)</f>
        <v>rebar</v>
      </c>
      <c r="G144" s="111">
        <f>VLOOKUP(B144,PLANTING,29,FALSE)</f>
        <v>155</v>
      </c>
      <c r="H144" s="35" t="s">
        <v>963</v>
      </c>
      <c r="I144" s="42">
        <v>43964</v>
      </c>
      <c r="J144" s="77" t="s">
        <v>12</v>
      </c>
      <c r="K144" s="77" t="s">
        <v>982</v>
      </c>
      <c r="L144">
        <v>66057</v>
      </c>
      <c r="M144" s="47">
        <v>97</v>
      </c>
      <c r="N144" s="44">
        <f t="shared" si="14"/>
        <v>681</v>
      </c>
      <c r="O144">
        <f t="shared" si="11"/>
        <v>699</v>
      </c>
      <c r="P144" s="97">
        <f t="shared" si="13"/>
        <v>426.17419354838711</v>
      </c>
      <c r="Q144" s="8" t="s">
        <v>1822</v>
      </c>
    </row>
    <row r="145" spans="1:17" ht="16.5" x14ac:dyDescent="0.25">
      <c r="A145" t="s">
        <v>1120</v>
      </c>
      <c r="B145" t="s">
        <v>1134</v>
      </c>
      <c r="C145" t="str">
        <f>VLOOKUP(B145,'[1]Planting GPS Points'!$B$3:$L$290,8,FALSE)</f>
        <v>CPS</v>
      </c>
      <c r="D145" t="str">
        <f>VLOOKUP(B145,'[1]Planting GPS Points'!$B$3:$AL$290,15,FALSE)</f>
        <v>93-094344</v>
      </c>
      <c r="E145" s="42">
        <v>43599</v>
      </c>
      <c r="F145" s="109" t="str">
        <f>VLOOKUP(B145,PLANTING,26,FALSE)</f>
        <v>rebar</v>
      </c>
      <c r="G145" s="111">
        <f>VLOOKUP(B145,PLANTING,29,FALSE)</f>
        <v>234</v>
      </c>
      <c r="H145" s="35" t="s">
        <v>963</v>
      </c>
      <c r="I145" s="42">
        <v>43964</v>
      </c>
      <c r="J145" s="77" t="s">
        <v>12</v>
      </c>
      <c r="K145" s="77" t="s">
        <v>982</v>
      </c>
      <c r="L145">
        <v>35065</v>
      </c>
      <c r="M145" s="47">
        <v>136.75</v>
      </c>
      <c r="N145" s="44">
        <f t="shared" si="14"/>
        <v>256.41681901279708</v>
      </c>
      <c r="O145">
        <f t="shared" si="11"/>
        <v>365</v>
      </c>
      <c r="P145" s="97">
        <f t="shared" si="13"/>
        <v>149.85042735042734</v>
      </c>
      <c r="Q145" s="8" t="s">
        <v>1752</v>
      </c>
    </row>
    <row r="146" spans="1:17" x14ac:dyDescent="0.25">
      <c r="A146" t="s">
        <v>1120</v>
      </c>
      <c r="B146" s="107" t="s">
        <v>1128</v>
      </c>
      <c r="C146" t="str">
        <f>VLOOKUP(B146,'[1]Planting GPS Points'!$B$3:$L$290,8,FALSE)</f>
        <v>CPS</v>
      </c>
      <c r="D146" t="str">
        <f>VLOOKUP(B146,'[1]Planting GPS Points'!$B$3:$AL$290,15,FALSE)</f>
        <v>93-094344</v>
      </c>
      <c r="E146" s="116">
        <v>43235</v>
      </c>
      <c r="F146" s="44">
        <v>138</v>
      </c>
      <c r="G146">
        <v>13800</v>
      </c>
      <c r="H146" s="35" t="s">
        <v>963</v>
      </c>
      <c r="I146" s="42"/>
      <c r="J146" s="77"/>
      <c r="K146" s="77"/>
      <c r="M146" s="47"/>
      <c r="N146" s="44"/>
      <c r="P146" s="97"/>
      <c r="Q146" s="8"/>
    </row>
    <row r="147" spans="1:17" x14ac:dyDescent="0.25">
      <c r="A147" t="s">
        <v>1120</v>
      </c>
      <c r="B147" s="9" t="s">
        <v>1128</v>
      </c>
      <c r="C147" t="str">
        <f>VLOOKUP(B147,'[1]Planting GPS Points'!$B$3:$L$290,8,FALSE)</f>
        <v>CPS</v>
      </c>
      <c r="D147" t="str">
        <f>VLOOKUP(B147,'[1]Planting GPS Points'!$B$3:$AL$290,15,FALSE)</f>
        <v>93-094344</v>
      </c>
      <c r="E147" s="42">
        <v>43235</v>
      </c>
      <c r="F147" s="109" t="str">
        <f>VLOOKUP(B147,PLANTING,26,FALSE)</f>
        <v>rebar</v>
      </c>
      <c r="G147" s="111">
        <f>VLOOKUP(B147,PLANTING,29,FALSE)</f>
        <v>210</v>
      </c>
      <c r="H147" s="35" t="s">
        <v>963</v>
      </c>
      <c r="I147" s="42"/>
      <c r="J147" s="77"/>
      <c r="K147" s="77"/>
      <c r="M147" s="47"/>
      <c r="N147" s="44"/>
      <c r="P147" s="97"/>
      <c r="Q147" s="8"/>
    </row>
    <row r="148" spans="1:17" x14ac:dyDescent="0.25">
      <c r="A148" t="s">
        <v>1120</v>
      </c>
      <c r="B148" s="107" t="s">
        <v>1131</v>
      </c>
      <c r="C148" t="str">
        <f>VLOOKUP(B148,'[1]Planting GPS Points'!$B$3:$L$290,8,FALSE)</f>
        <v>CPS</v>
      </c>
      <c r="D148" t="str">
        <f>VLOOKUP(B148,'[1]Planting GPS Points'!$B$3:$AL$290,15,FALSE)</f>
        <v>93-099661</v>
      </c>
      <c r="E148" s="116">
        <v>43265</v>
      </c>
      <c r="F148" s="44">
        <v>97</v>
      </c>
      <c r="G148">
        <v>9688</v>
      </c>
      <c r="H148" s="35" t="s">
        <v>963</v>
      </c>
      <c r="I148" s="42"/>
      <c r="J148" s="77"/>
      <c r="K148" s="77"/>
      <c r="M148" s="47"/>
      <c r="N148" s="44"/>
      <c r="P148" s="97"/>
      <c r="Q148" s="8"/>
    </row>
    <row r="149" spans="1:17" x14ac:dyDescent="0.25">
      <c r="A149" s="62" t="s">
        <v>1120</v>
      </c>
      <c r="B149" s="9" t="s">
        <v>1131</v>
      </c>
      <c r="C149" t="str">
        <f>VLOOKUP(B149,'[1]Planting GPS Points'!$B$3:$L$290,8,FALSE)</f>
        <v>CPS</v>
      </c>
      <c r="D149" t="str">
        <f>VLOOKUP(B149,'[1]Planting GPS Points'!$B$3:$AL$290,15,FALSE)</f>
        <v>93-099661</v>
      </c>
      <c r="E149" s="42">
        <v>43265</v>
      </c>
      <c r="F149" s="109" t="str">
        <f>VLOOKUP(B149,PLANTING,26,FALSE)</f>
        <v>rebar</v>
      </c>
      <c r="G149" s="111">
        <f>VLOOKUP(B149,PLANTING,29,FALSE)</f>
        <v>155</v>
      </c>
      <c r="H149" s="35" t="s">
        <v>963</v>
      </c>
      <c r="I149" s="42"/>
      <c r="J149" s="77"/>
      <c r="K149" s="77"/>
      <c r="M149" s="47"/>
      <c r="N149" s="44"/>
      <c r="P149" s="97"/>
      <c r="Q149" s="8"/>
    </row>
    <row r="150" spans="1:17" x14ac:dyDescent="0.25">
      <c r="A150" t="s">
        <v>1120</v>
      </c>
      <c r="B150" t="s">
        <v>1134</v>
      </c>
      <c r="C150" t="str">
        <f>VLOOKUP(B150,'[1]Planting GPS Points'!$B$3:$L$290,8,FALSE)</f>
        <v>CPS</v>
      </c>
      <c r="D150" t="str">
        <f>VLOOKUP(B150,'[1]Planting GPS Points'!$B$3:$AL$290,15,FALSE)</f>
        <v>93-094344</v>
      </c>
      <c r="E150" s="42">
        <v>43599</v>
      </c>
      <c r="F150" s="109" t="str">
        <f>VLOOKUP(B150,PLANTING,26,FALSE)</f>
        <v>rebar</v>
      </c>
      <c r="G150" s="111">
        <f>VLOOKUP(B150,PLANTING,29,FALSE)</f>
        <v>234</v>
      </c>
      <c r="H150" s="35" t="s">
        <v>963</v>
      </c>
      <c r="I150" s="42"/>
      <c r="J150" s="77"/>
      <c r="K150" s="77"/>
      <c r="M150" s="47"/>
      <c r="N150" s="44"/>
      <c r="P150" s="97"/>
      <c r="Q150" s="8"/>
    </row>
    <row r="151" spans="1:17" x14ac:dyDescent="0.25">
      <c r="A151" t="s">
        <v>1120</v>
      </c>
      <c r="B151" s="107" t="s">
        <v>1128</v>
      </c>
      <c r="C151" t="str">
        <f>VLOOKUP(B151,'[1]Planting GPS Points'!$B$3:$L$290,8,FALSE)</f>
        <v>CPS</v>
      </c>
      <c r="D151" t="str">
        <f>VLOOKUP(B151,'[1]Planting GPS Points'!$B$3:$AL$290,15,FALSE)</f>
        <v>93-094344</v>
      </c>
      <c r="E151" s="116">
        <v>43235</v>
      </c>
      <c r="F151" s="44">
        <v>138</v>
      </c>
      <c r="G151">
        <v>13800</v>
      </c>
      <c r="H151" s="35" t="s">
        <v>963</v>
      </c>
      <c r="I151" s="42"/>
      <c r="J151" s="77"/>
      <c r="K151" s="77"/>
      <c r="M151" s="47"/>
      <c r="N151" s="44"/>
      <c r="P151" s="97"/>
      <c r="Q151" s="8"/>
    </row>
    <row r="152" spans="1:17" x14ac:dyDescent="0.25">
      <c r="A152" t="s">
        <v>1120</v>
      </c>
      <c r="B152" s="9" t="s">
        <v>1128</v>
      </c>
      <c r="C152" t="str">
        <f>VLOOKUP(B152,'[1]Planting GPS Points'!$B$3:$L$290,8,FALSE)</f>
        <v>CPS</v>
      </c>
      <c r="D152" t="str">
        <f>VLOOKUP(B152,'[1]Planting GPS Points'!$B$3:$AL$290,15,FALSE)</f>
        <v>93-094344</v>
      </c>
      <c r="E152" s="42">
        <v>43235</v>
      </c>
      <c r="F152" s="109" t="str">
        <f>VLOOKUP(B152,PLANTING,26,FALSE)</f>
        <v>rebar</v>
      </c>
      <c r="G152" s="111">
        <f>VLOOKUP(B152,PLANTING,29,FALSE)</f>
        <v>210</v>
      </c>
      <c r="H152" s="35" t="s">
        <v>963</v>
      </c>
      <c r="I152" s="42"/>
      <c r="J152" s="77"/>
      <c r="K152" s="77"/>
      <c r="M152" s="47"/>
      <c r="N152" s="44"/>
      <c r="P152" s="97"/>
      <c r="Q152" s="8"/>
    </row>
    <row r="153" spans="1:17" x14ac:dyDescent="0.25">
      <c r="A153" t="s">
        <v>1120</v>
      </c>
      <c r="B153" s="107" t="s">
        <v>1131</v>
      </c>
      <c r="C153" t="str">
        <f>VLOOKUP(B153,'[1]Planting GPS Points'!$B$3:$L$290,8,FALSE)</f>
        <v>CPS</v>
      </c>
      <c r="D153" t="str">
        <f>VLOOKUP(B153,'[1]Planting GPS Points'!$B$3:$AL$290,15,FALSE)</f>
        <v>93-099661</v>
      </c>
      <c r="E153" s="116">
        <v>43265</v>
      </c>
      <c r="F153" s="44">
        <v>97</v>
      </c>
      <c r="G153">
        <v>9688</v>
      </c>
      <c r="H153" s="35" t="s">
        <v>963</v>
      </c>
      <c r="I153" s="42"/>
      <c r="J153" s="77"/>
      <c r="K153" s="77"/>
      <c r="M153" s="47"/>
      <c r="N153" s="44"/>
      <c r="P153" s="97"/>
      <c r="Q153" s="8"/>
    </row>
    <row r="154" spans="1:17" x14ac:dyDescent="0.25">
      <c r="A154" s="62" t="s">
        <v>1120</v>
      </c>
      <c r="B154" s="9" t="s">
        <v>1131</v>
      </c>
      <c r="C154" t="str">
        <f>VLOOKUP(B154,'[1]Planting GPS Points'!$B$3:$L$290,8,FALSE)</f>
        <v>CPS</v>
      </c>
      <c r="D154" t="str">
        <f>VLOOKUP(B154,'[1]Planting GPS Points'!$B$3:$AL$290,15,FALSE)</f>
        <v>93-099661</v>
      </c>
      <c r="E154" s="42">
        <v>43265</v>
      </c>
      <c r="F154" s="109" t="str">
        <f>VLOOKUP(B154,PLANTING,26,FALSE)</f>
        <v>rebar</v>
      </c>
      <c r="G154" s="111">
        <f>VLOOKUP(B154,PLANTING,29,FALSE)</f>
        <v>155</v>
      </c>
      <c r="H154" s="35" t="s">
        <v>963</v>
      </c>
      <c r="I154" s="42"/>
      <c r="J154" s="77"/>
      <c r="K154" s="77"/>
      <c r="M154" s="47"/>
      <c r="N154" s="44"/>
      <c r="P154" s="97"/>
      <c r="Q154" s="8"/>
    </row>
    <row r="155" spans="1:17" x14ac:dyDescent="0.25">
      <c r="A155" t="s">
        <v>1120</v>
      </c>
      <c r="B155" t="s">
        <v>1134</v>
      </c>
      <c r="C155" t="str">
        <f>VLOOKUP(B155,'[1]Planting GPS Points'!$B$3:$L$290,8,FALSE)</f>
        <v>CPS</v>
      </c>
      <c r="D155" t="str">
        <f>VLOOKUP(B155,'[1]Planting GPS Points'!$B$3:$AL$290,15,FALSE)</f>
        <v>93-094344</v>
      </c>
      <c r="E155" s="42">
        <v>43599</v>
      </c>
      <c r="F155" s="109" t="str">
        <f>VLOOKUP(B155,PLANTING,26,FALSE)</f>
        <v>rebar</v>
      </c>
      <c r="G155" s="111">
        <f>VLOOKUP(B155,PLANTING,29,FALSE)</f>
        <v>234</v>
      </c>
      <c r="H155" s="35" t="s">
        <v>963</v>
      </c>
      <c r="I155" s="42"/>
      <c r="J155" s="77"/>
      <c r="K155" s="77"/>
      <c r="M155" s="47"/>
      <c r="N155" s="44"/>
      <c r="P155" s="97"/>
      <c r="Q155" s="8"/>
    </row>
    <row r="156" spans="1:17" x14ac:dyDescent="0.25">
      <c r="A156" t="s">
        <v>1120</v>
      </c>
      <c r="B156" s="107" t="s">
        <v>1128</v>
      </c>
      <c r="C156" t="str">
        <f>VLOOKUP(B156,'[1]Planting GPS Points'!$B$3:$L$290,8,FALSE)</f>
        <v>CPS</v>
      </c>
      <c r="D156" t="str">
        <f>VLOOKUP(B156,'[1]Planting GPS Points'!$B$3:$AL$290,15,FALSE)</f>
        <v>93-094344</v>
      </c>
      <c r="E156" s="116">
        <v>43235</v>
      </c>
      <c r="F156" s="44">
        <v>138</v>
      </c>
      <c r="G156">
        <v>13800</v>
      </c>
      <c r="H156" s="35" t="s">
        <v>963</v>
      </c>
      <c r="I156" s="42"/>
      <c r="J156" s="77"/>
      <c r="K156" s="77"/>
      <c r="M156" s="47"/>
      <c r="N156" s="44"/>
      <c r="P156" s="97"/>
      <c r="Q156" s="8"/>
    </row>
    <row r="157" spans="1:17" x14ac:dyDescent="0.25">
      <c r="A157" t="s">
        <v>1120</v>
      </c>
      <c r="B157" s="9" t="s">
        <v>1128</v>
      </c>
      <c r="C157" t="str">
        <f>VLOOKUP(B157,'[1]Planting GPS Points'!$B$3:$L$290,8,FALSE)</f>
        <v>CPS</v>
      </c>
      <c r="D157" t="str">
        <f>VLOOKUP(B157,'[1]Planting GPS Points'!$B$3:$AL$290,15,FALSE)</f>
        <v>93-094344</v>
      </c>
      <c r="E157" s="42">
        <v>43235</v>
      </c>
      <c r="F157" s="109" t="str">
        <f>VLOOKUP(B157,PLANTING,26,FALSE)</f>
        <v>rebar</v>
      </c>
      <c r="G157" s="111">
        <f>VLOOKUP(B157,PLANTING,29,FALSE)</f>
        <v>210</v>
      </c>
      <c r="H157" s="35" t="s">
        <v>963</v>
      </c>
      <c r="I157" s="42"/>
      <c r="J157" s="77"/>
      <c r="K157" s="77"/>
      <c r="M157" s="47"/>
      <c r="N157" s="44"/>
      <c r="P157" s="97"/>
      <c r="Q157" s="8"/>
    </row>
    <row r="158" spans="1:17" x14ac:dyDescent="0.25">
      <c r="A158" t="s">
        <v>1120</v>
      </c>
      <c r="B158" s="107" t="s">
        <v>1131</v>
      </c>
      <c r="C158" t="str">
        <f>VLOOKUP(B158,'[1]Planting GPS Points'!$B$3:$L$290,8,FALSE)</f>
        <v>CPS</v>
      </c>
      <c r="D158" t="str">
        <f>VLOOKUP(B158,'[1]Planting GPS Points'!$B$3:$AL$290,15,FALSE)</f>
        <v>93-099661</v>
      </c>
      <c r="E158" s="116">
        <v>43265</v>
      </c>
      <c r="F158" s="44">
        <v>97</v>
      </c>
      <c r="G158">
        <v>9688</v>
      </c>
      <c r="H158" s="35" t="s">
        <v>963</v>
      </c>
      <c r="I158" s="42"/>
      <c r="J158" s="77"/>
      <c r="K158" s="77"/>
      <c r="M158" s="47"/>
      <c r="N158" s="44"/>
      <c r="P158" s="97"/>
      <c r="Q158" s="8"/>
    </row>
    <row r="159" spans="1:17" x14ac:dyDescent="0.25">
      <c r="A159" s="62" t="s">
        <v>1120</v>
      </c>
      <c r="B159" s="9" t="s">
        <v>1131</v>
      </c>
      <c r="C159" t="str">
        <f>VLOOKUP(B159,'[1]Planting GPS Points'!$B$3:$L$290,8,FALSE)</f>
        <v>CPS</v>
      </c>
      <c r="D159" t="str">
        <f>VLOOKUP(B159,'[1]Planting GPS Points'!$B$3:$AL$290,15,FALSE)</f>
        <v>93-099661</v>
      </c>
      <c r="E159" s="42">
        <v>43265</v>
      </c>
      <c r="F159" s="109" t="str">
        <f>VLOOKUP(B159,PLANTING,26,FALSE)</f>
        <v>rebar</v>
      </c>
      <c r="G159" s="111">
        <f>VLOOKUP(B159,PLANTING,29,FALSE)</f>
        <v>155</v>
      </c>
      <c r="H159" s="35" t="s">
        <v>963</v>
      </c>
      <c r="I159" s="42"/>
      <c r="J159" s="77"/>
      <c r="K159" s="77"/>
      <c r="M159" s="47"/>
      <c r="N159" s="44"/>
      <c r="P159" s="97"/>
      <c r="Q159" s="8"/>
    </row>
    <row r="160" spans="1:17" x14ac:dyDescent="0.25">
      <c r="A160" t="s">
        <v>1120</v>
      </c>
      <c r="B160" t="s">
        <v>1134</v>
      </c>
      <c r="C160" t="str">
        <f>VLOOKUP(B160,'[1]Planting GPS Points'!$B$3:$L$290,8,FALSE)</f>
        <v>CPS</v>
      </c>
      <c r="D160" t="str">
        <f>VLOOKUP(B160,'[1]Planting GPS Points'!$B$3:$AL$290,15,FALSE)</f>
        <v>93-094344</v>
      </c>
      <c r="E160" s="42">
        <v>43599</v>
      </c>
      <c r="F160" s="109" t="str">
        <f>VLOOKUP(B160,PLANTING,26,FALSE)</f>
        <v>rebar</v>
      </c>
      <c r="G160" s="111">
        <f>VLOOKUP(B160,PLANTING,29,FALSE)</f>
        <v>234</v>
      </c>
      <c r="H160" s="35" t="s">
        <v>963</v>
      </c>
      <c r="I160" s="42"/>
      <c r="J160" s="77"/>
      <c r="K160" s="77"/>
      <c r="M160" s="47"/>
      <c r="N160" s="44"/>
      <c r="P160" s="97"/>
      <c r="Q160" s="8"/>
    </row>
    <row r="161" spans="1:18" x14ac:dyDescent="0.25">
      <c r="A161" t="s">
        <v>1120</v>
      </c>
      <c r="B161" s="107" t="s">
        <v>1128</v>
      </c>
      <c r="C161" t="str">
        <f>VLOOKUP(B161,'[1]Planting GPS Points'!$B$3:$L$290,8,FALSE)</f>
        <v>CPS</v>
      </c>
      <c r="D161" t="str">
        <f>VLOOKUP(B161,'[1]Planting GPS Points'!$B$3:$AL$290,15,FALSE)</f>
        <v>93-094344</v>
      </c>
      <c r="E161" s="116">
        <v>43235</v>
      </c>
      <c r="F161" s="44">
        <v>138</v>
      </c>
      <c r="G161">
        <v>13800</v>
      </c>
      <c r="H161" s="35" t="s">
        <v>971</v>
      </c>
      <c r="I161" s="42">
        <v>45463</v>
      </c>
      <c r="J161" s="77" t="s">
        <v>23</v>
      </c>
      <c r="K161" s="77" t="s">
        <v>982</v>
      </c>
      <c r="M161" s="47"/>
      <c r="N161" s="44"/>
      <c r="P161" s="97"/>
      <c r="Q161" s="8"/>
    </row>
    <row r="162" spans="1:18" x14ac:dyDescent="0.25">
      <c r="A162" t="s">
        <v>1120</v>
      </c>
      <c r="B162" s="9" t="s">
        <v>1128</v>
      </c>
      <c r="C162" t="str">
        <f>VLOOKUP(B162,'[1]Planting GPS Points'!$B$3:$L$290,8,FALSE)</f>
        <v>CPS</v>
      </c>
      <c r="D162" t="str">
        <f>VLOOKUP(B162,'[1]Planting GPS Points'!$B$3:$AL$290,15,FALSE)</f>
        <v>93-094344</v>
      </c>
      <c r="E162" s="42">
        <v>43235</v>
      </c>
      <c r="F162" s="109" t="str">
        <f>VLOOKUP(B162,PLANTING,26,FALSE)</f>
        <v>rebar</v>
      </c>
      <c r="G162" s="111">
        <f>VLOOKUP(B162,PLANTING,29,FALSE)</f>
        <v>210</v>
      </c>
      <c r="H162" s="35" t="s">
        <v>971</v>
      </c>
      <c r="I162" s="42">
        <v>45463</v>
      </c>
      <c r="J162" s="77" t="s">
        <v>23</v>
      </c>
      <c r="K162" s="77" t="s">
        <v>982</v>
      </c>
      <c r="M162" s="47"/>
      <c r="N162" s="44"/>
      <c r="P162" s="97"/>
      <c r="Q162" s="8"/>
    </row>
    <row r="163" spans="1:18" x14ac:dyDescent="0.25">
      <c r="A163" t="s">
        <v>1120</v>
      </c>
      <c r="B163" s="107" t="s">
        <v>1131</v>
      </c>
      <c r="C163" t="str">
        <f>VLOOKUP(B163,'[1]Planting GPS Points'!$B$3:$L$290,8,FALSE)</f>
        <v>CPS</v>
      </c>
      <c r="D163" t="str">
        <f>VLOOKUP(B163,'[1]Planting GPS Points'!$B$3:$AL$290,15,FALSE)</f>
        <v>93-099661</v>
      </c>
      <c r="E163" s="116">
        <v>43265</v>
      </c>
      <c r="F163" s="44">
        <v>97</v>
      </c>
      <c r="G163">
        <v>9688</v>
      </c>
      <c r="H163" s="35" t="s">
        <v>971</v>
      </c>
      <c r="I163" s="42">
        <v>45463</v>
      </c>
      <c r="J163" s="77" t="s">
        <v>23</v>
      </c>
      <c r="K163" s="77" t="s">
        <v>982</v>
      </c>
      <c r="M163" s="47"/>
      <c r="N163" s="44"/>
      <c r="P163" s="97"/>
      <c r="Q163" s="8"/>
    </row>
    <row r="164" spans="1:18" x14ac:dyDescent="0.25">
      <c r="A164" s="62" t="s">
        <v>1120</v>
      </c>
      <c r="B164" s="9" t="s">
        <v>1131</v>
      </c>
      <c r="C164" t="str">
        <f>VLOOKUP(B164,'[1]Planting GPS Points'!$B$3:$L$290,8,FALSE)</f>
        <v>CPS</v>
      </c>
      <c r="D164" t="str">
        <f>VLOOKUP(B164,'[1]Planting GPS Points'!$B$3:$AL$290,15,FALSE)</f>
        <v>93-099661</v>
      </c>
      <c r="E164" s="42">
        <v>43265</v>
      </c>
      <c r="F164" s="109" t="str">
        <f>VLOOKUP(B164,PLANTING,26,FALSE)</f>
        <v>rebar</v>
      </c>
      <c r="G164" s="111">
        <f>VLOOKUP(B164,PLANTING,29,FALSE)</f>
        <v>155</v>
      </c>
      <c r="H164" s="35" t="s">
        <v>971</v>
      </c>
      <c r="I164" s="42">
        <v>45463</v>
      </c>
      <c r="J164" s="77" t="s">
        <v>23</v>
      </c>
      <c r="K164" s="77" t="s">
        <v>982</v>
      </c>
      <c r="M164" s="47"/>
      <c r="N164" s="44"/>
      <c r="P164" s="97"/>
      <c r="Q164" s="8"/>
    </row>
    <row r="165" spans="1:18" x14ac:dyDescent="0.25">
      <c r="A165" t="s">
        <v>1120</v>
      </c>
      <c r="B165" t="s">
        <v>1134</v>
      </c>
      <c r="C165" t="str">
        <f>VLOOKUP(B165,'[1]Planting GPS Points'!$B$3:$L$290,8,FALSE)</f>
        <v>CPS</v>
      </c>
      <c r="D165" t="str">
        <f>VLOOKUP(B165,'[1]Planting GPS Points'!$B$3:$AL$290,15,FALSE)</f>
        <v>93-094344</v>
      </c>
      <c r="E165" s="42">
        <v>43599</v>
      </c>
      <c r="F165" s="109" t="str">
        <f>VLOOKUP(B165,PLANTING,26,FALSE)</f>
        <v>rebar</v>
      </c>
      <c r="G165" s="111">
        <f>VLOOKUP(B165,PLANTING,29,FALSE)</f>
        <v>234</v>
      </c>
      <c r="H165" s="35" t="s">
        <v>971</v>
      </c>
      <c r="I165" s="42">
        <v>45463</v>
      </c>
      <c r="J165" s="77" t="s">
        <v>23</v>
      </c>
      <c r="K165" s="77" t="s">
        <v>982</v>
      </c>
      <c r="M165" s="47"/>
      <c r="N165" s="44"/>
      <c r="P165" s="97"/>
      <c r="Q165" s="8"/>
    </row>
    <row r="166" spans="1:18" x14ac:dyDescent="0.25">
      <c r="A166" s="9" t="s">
        <v>1120</v>
      </c>
      <c r="B166" s="9" t="s">
        <v>1127</v>
      </c>
      <c r="C166" t="str">
        <f>VLOOKUP(B166,'[1]Planting GPS Points'!$B$3:$L$290,8,FALSE)</f>
        <v>CPS</v>
      </c>
      <c r="D166" t="str">
        <f>VLOOKUP(B166,'[1]Planting GPS Points'!$B$3:$AL$290,15,FALSE)</f>
        <v>93-094344</v>
      </c>
      <c r="E166" s="3">
        <v>42893</v>
      </c>
      <c r="F166" s="55">
        <v>6</v>
      </c>
      <c r="G166" s="9">
        <v>1000</v>
      </c>
      <c r="H166" s="35" t="s">
        <v>963</v>
      </c>
      <c r="I166" s="42">
        <v>43165</v>
      </c>
      <c r="J166" s="77" t="s">
        <v>12</v>
      </c>
      <c r="K166" s="77" t="s">
        <v>982</v>
      </c>
      <c r="L166">
        <v>377</v>
      </c>
      <c r="M166" s="9">
        <v>6</v>
      </c>
      <c r="N166" s="44">
        <f t="shared" si="14"/>
        <v>62.833333333333336</v>
      </c>
      <c r="O166">
        <f t="shared" si="11"/>
        <v>272</v>
      </c>
      <c r="P166" s="97">
        <f t="shared" si="13"/>
        <v>0.377</v>
      </c>
      <c r="Q166" s="8" t="s">
        <v>1823</v>
      </c>
    </row>
    <row r="167" spans="1:18" x14ac:dyDescent="0.25">
      <c r="A167" s="9" t="s">
        <v>1120</v>
      </c>
      <c r="B167" s="9" t="s">
        <v>1121</v>
      </c>
      <c r="C167" t="str">
        <f>VLOOKUP(B167,'[1]Planting GPS Points'!$B$3:$L$290,8,FALSE)</f>
        <v>CPS</v>
      </c>
      <c r="D167" t="str">
        <f>VLOOKUP(B167,'[1]Planting GPS Points'!$B$3:$AL$290,15,FALSE)</f>
        <v>93-094344</v>
      </c>
      <c r="E167" s="3">
        <v>42893</v>
      </c>
      <c r="F167" s="55">
        <v>6</v>
      </c>
      <c r="G167" s="9">
        <v>1000</v>
      </c>
      <c r="H167" s="35" t="s">
        <v>963</v>
      </c>
      <c r="I167" s="42">
        <v>43165</v>
      </c>
      <c r="J167" s="77" t="s">
        <v>12</v>
      </c>
      <c r="K167" s="77" t="s">
        <v>982</v>
      </c>
      <c r="L167">
        <v>623</v>
      </c>
      <c r="M167" s="9">
        <v>6</v>
      </c>
      <c r="N167" s="44">
        <f t="shared" si="14"/>
        <v>103.83333333333333</v>
      </c>
      <c r="O167">
        <f t="shared" si="11"/>
        <v>272</v>
      </c>
      <c r="P167" s="97">
        <f t="shared" si="13"/>
        <v>0.623</v>
      </c>
      <c r="Q167" s="8" t="s">
        <v>1824</v>
      </c>
    </row>
    <row r="168" spans="1:18" x14ac:dyDescent="0.25">
      <c r="A168" s="9" t="s">
        <v>1120</v>
      </c>
      <c r="B168" s="9" t="s">
        <v>1123</v>
      </c>
      <c r="C168" t="str">
        <f>VLOOKUP(B168,'[1]Planting GPS Points'!$B$3:$L$290,8,FALSE)</f>
        <v>CPS</v>
      </c>
      <c r="D168" t="str">
        <f>VLOOKUP(B168,'[1]Planting GPS Points'!$B$3:$AL$290,15,FALSE)</f>
        <v>93-094344</v>
      </c>
      <c r="E168" s="3">
        <v>42893</v>
      </c>
      <c r="F168" s="55">
        <v>6</v>
      </c>
      <c r="G168" s="9">
        <v>1000</v>
      </c>
      <c r="H168" s="35" t="s">
        <v>963</v>
      </c>
      <c r="I168" s="42">
        <v>43165</v>
      </c>
      <c r="J168" s="77" t="s">
        <v>12</v>
      </c>
      <c r="K168" s="77" t="s">
        <v>982</v>
      </c>
      <c r="L168">
        <v>425</v>
      </c>
      <c r="M168" s="9">
        <v>6</v>
      </c>
      <c r="N168" s="44">
        <f t="shared" si="14"/>
        <v>70.833333333333329</v>
      </c>
      <c r="O168">
        <f t="shared" si="11"/>
        <v>272</v>
      </c>
      <c r="P168" s="97">
        <f t="shared" si="13"/>
        <v>0.42499999999999999</v>
      </c>
      <c r="Q168" s="8" t="s">
        <v>1824</v>
      </c>
    </row>
    <row r="169" spans="1:18" x14ac:dyDescent="0.25">
      <c r="A169" s="18" t="s">
        <v>1120</v>
      </c>
      <c r="B169" s="18" t="s">
        <v>1126</v>
      </c>
      <c r="C169" t="str">
        <f>VLOOKUP(B169,'[1]Planting GPS Points'!$B$3:$L$290,8,FALSE)</f>
        <v>CPS</v>
      </c>
      <c r="D169" t="str">
        <f>VLOOKUP(B169,'[1]Planting GPS Points'!$B$3:$AL$290,15,FALSE)</f>
        <v>93-094344</v>
      </c>
      <c r="E169" s="3">
        <v>42893</v>
      </c>
      <c r="F169" s="87">
        <v>6</v>
      </c>
      <c r="G169" s="18">
        <v>1000</v>
      </c>
      <c r="H169" s="35" t="s">
        <v>963</v>
      </c>
      <c r="I169" s="42">
        <v>43165</v>
      </c>
      <c r="J169" s="77" t="s">
        <v>12</v>
      </c>
      <c r="K169" s="77" t="s">
        <v>982</v>
      </c>
      <c r="L169">
        <v>164</v>
      </c>
      <c r="M169" s="18">
        <v>6</v>
      </c>
      <c r="N169" s="44">
        <f t="shared" si="14"/>
        <v>27.333333333333332</v>
      </c>
      <c r="O169">
        <f t="shared" si="11"/>
        <v>272</v>
      </c>
      <c r="P169" s="97">
        <f t="shared" si="13"/>
        <v>0.16400000000000001</v>
      </c>
      <c r="Q169" s="8" t="s">
        <v>1825</v>
      </c>
    </row>
    <row r="170" spans="1:18" x14ac:dyDescent="0.25">
      <c r="A170" s="18" t="s">
        <v>1120</v>
      </c>
      <c r="B170" s="18" t="s">
        <v>1124</v>
      </c>
      <c r="C170" t="str">
        <f>VLOOKUP(B170,'[1]Planting GPS Points'!$B$3:$L$290,8,FALSE)</f>
        <v>CPS</v>
      </c>
      <c r="D170" t="str">
        <f>VLOOKUP(B170,'[1]Planting GPS Points'!$B$3:$AL$290,15,FALSE)</f>
        <v>93-094344</v>
      </c>
      <c r="E170" s="3">
        <v>42893</v>
      </c>
      <c r="F170" s="87">
        <v>5</v>
      </c>
      <c r="G170" s="18">
        <v>800</v>
      </c>
      <c r="H170" s="35" t="s">
        <v>963</v>
      </c>
      <c r="I170" s="42">
        <v>43165</v>
      </c>
      <c r="J170" s="77" t="s">
        <v>12</v>
      </c>
      <c r="K170" s="77" t="s">
        <v>967</v>
      </c>
      <c r="L170">
        <v>113</v>
      </c>
      <c r="M170" s="18">
        <v>5</v>
      </c>
      <c r="N170" s="44">
        <f t="shared" si="14"/>
        <v>22.6</v>
      </c>
      <c r="O170">
        <f t="shared" si="11"/>
        <v>272</v>
      </c>
      <c r="P170" s="97">
        <f t="shared" si="13"/>
        <v>0.14124999999999999</v>
      </c>
      <c r="Q170" s="137" t="s">
        <v>1826</v>
      </c>
    </row>
    <row r="171" spans="1:18" x14ac:dyDescent="0.25">
      <c r="A171" s="94" t="s">
        <v>1120</v>
      </c>
      <c r="B171" s="94" t="s">
        <v>1141</v>
      </c>
      <c r="C171" t="str">
        <f>VLOOKUP(B171,'[1]Planting GPS Points'!$B$3:$L$290,8,FALSE)</f>
        <v>CPS</v>
      </c>
      <c r="D171">
        <f>VLOOKUP(B171,'[1]Planting GPS Points'!$B$3:$AL$290,15,FALSE)</f>
        <v>0</v>
      </c>
      <c r="E171" s="99">
        <v>44011</v>
      </c>
      <c r="F171" s="94">
        <v>5</v>
      </c>
      <c r="G171" s="94">
        <v>500</v>
      </c>
      <c r="H171" s="100" t="s">
        <v>963</v>
      </c>
      <c r="I171" s="99">
        <v>44306</v>
      </c>
      <c r="J171" s="101" t="s">
        <v>12</v>
      </c>
      <c r="K171" s="101" t="s">
        <v>982</v>
      </c>
      <c r="L171" s="94">
        <v>290</v>
      </c>
      <c r="M171" s="94">
        <v>6.25</v>
      </c>
      <c r="N171" s="102">
        <f t="shared" si="14"/>
        <v>46.4</v>
      </c>
      <c r="O171" s="94">
        <f t="shared" si="11"/>
        <v>295</v>
      </c>
      <c r="P171" s="103">
        <f t="shared" si="13"/>
        <v>0.57999999999999996</v>
      </c>
      <c r="Q171" s="138" t="s">
        <v>1719</v>
      </c>
      <c r="R171" s="94"/>
    </row>
    <row r="172" spans="1:18" x14ac:dyDescent="0.25">
      <c r="A172" s="94" t="s">
        <v>1120</v>
      </c>
      <c r="B172" s="94" t="s">
        <v>1143</v>
      </c>
      <c r="C172" t="str">
        <f>VLOOKUP(B172,'[1]Planting GPS Points'!$B$3:$L$290,8,FALSE)</f>
        <v>CPS</v>
      </c>
      <c r="D172">
        <f>VLOOKUP(B172,'[1]Planting GPS Points'!$B$3:$AL$290,15,FALSE)</f>
        <v>0</v>
      </c>
      <c r="E172" s="99">
        <v>44011</v>
      </c>
      <c r="F172" s="94">
        <v>5</v>
      </c>
      <c r="G172" s="94">
        <v>500</v>
      </c>
      <c r="H172" s="100" t="s">
        <v>963</v>
      </c>
      <c r="I172" s="99">
        <v>44306</v>
      </c>
      <c r="J172" s="101" t="s">
        <v>12</v>
      </c>
      <c r="K172" s="101" t="s">
        <v>982</v>
      </c>
      <c r="L172" s="94">
        <v>291</v>
      </c>
      <c r="M172" s="94">
        <v>6.25</v>
      </c>
      <c r="N172" s="102">
        <f t="shared" si="14"/>
        <v>46.56</v>
      </c>
      <c r="O172" s="94">
        <f t="shared" si="11"/>
        <v>295</v>
      </c>
      <c r="P172" s="103">
        <f t="shared" si="13"/>
        <v>0.58199999999999996</v>
      </c>
      <c r="Q172" s="138" t="s">
        <v>1719</v>
      </c>
      <c r="R172" s="94" t="s">
        <v>1827</v>
      </c>
    </row>
    <row r="173" spans="1:18" x14ac:dyDescent="0.25">
      <c r="A173" t="s">
        <v>1145</v>
      </c>
      <c r="B173" t="s">
        <v>1146</v>
      </c>
      <c r="C173" t="str">
        <f>VLOOKUP(B173,'[1]Planting GPS Points'!$B$3:$L$290,8,FALSE)</f>
        <v>CPS</v>
      </c>
      <c r="D173" t="str">
        <f>VLOOKUP(B173,'[1]Planting GPS Points'!$B$3:$AL$290,15,FALSE)</f>
        <v>IAA 12-317.1</v>
      </c>
      <c r="E173" s="42">
        <v>42075</v>
      </c>
      <c r="F173" s="44">
        <v>25</v>
      </c>
      <c r="G173" s="47">
        <v>500</v>
      </c>
      <c r="H173" s="35" t="s">
        <v>971</v>
      </c>
      <c r="I173" s="42">
        <v>42553</v>
      </c>
      <c r="J173" s="115" t="s">
        <v>23</v>
      </c>
      <c r="K173" s="115" t="s">
        <v>967</v>
      </c>
      <c r="L173">
        <v>0</v>
      </c>
      <c r="N173" s="44" t="str">
        <f t="shared" si="14"/>
        <v/>
      </c>
      <c r="P173" s="97">
        <f t="shared" si="13"/>
        <v>0</v>
      </c>
      <c r="Q173" s="8" t="s">
        <v>1828</v>
      </c>
    </row>
    <row r="174" spans="1:18" x14ac:dyDescent="0.25">
      <c r="A174" t="s">
        <v>1148</v>
      </c>
      <c r="B174" t="s">
        <v>1151</v>
      </c>
      <c r="C174" t="str">
        <f>VLOOKUP(B174,'[1]Planting GPS Points'!$B$3:$L$290,8,FALSE)</f>
        <v>SPS</v>
      </c>
      <c r="D174" t="str">
        <f>VLOOKUP(B174,'[1]Planting GPS Points'!$B$3:$AL$290,15,FALSE)</f>
        <v>IAA 12-317.1</v>
      </c>
      <c r="E174" s="42">
        <v>42142</v>
      </c>
      <c r="F174" s="44">
        <v>25</v>
      </c>
      <c r="G174" s="47">
        <v>500</v>
      </c>
      <c r="H174" s="35" t="s">
        <v>971</v>
      </c>
      <c r="I174" s="42">
        <v>42229</v>
      </c>
      <c r="J174" s="115" t="s">
        <v>12</v>
      </c>
      <c r="K174" s="77" t="s">
        <v>967</v>
      </c>
      <c r="N174" s="44" t="str">
        <f t="shared" si="14"/>
        <v/>
      </c>
      <c r="O174">
        <f t="shared" ref="O174:O237" si="15">I174-E174</f>
        <v>87</v>
      </c>
      <c r="P174" s="97" t="str">
        <f t="shared" si="13"/>
        <v/>
      </c>
      <c r="Q174" s="8" t="s">
        <v>1829</v>
      </c>
    </row>
    <row r="175" spans="1:18" x14ac:dyDescent="0.25">
      <c r="A175" t="s">
        <v>1148</v>
      </c>
      <c r="B175" t="s">
        <v>1151</v>
      </c>
      <c r="C175" t="str">
        <f>VLOOKUP(B175,'[1]Planting GPS Points'!$B$3:$L$290,8,FALSE)</f>
        <v>SPS</v>
      </c>
      <c r="D175" t="str">
        <f>VLOOKUP(B175,'[1]Planting GPS Points'!$B$3:$AL$290,15,FALSE)</f>
        <v>IAA 12-317.1</v>
      </c>
      <c r="E175" s="42">
        <v>42142</v>
      </c>
      <c r="F175" s="44">
        <v>25</v>
      </c>
      <c r="G175" s="47">
        <v>500</v>
      </c>
      <c r="H175" s="35" t="s">
        <v>971</v>
      </c>
      <c r="I175" s="42">
        <v>42513</v>
      </c>
      <c r="J175" s="115" t="s">
        <v>12</v>
      </c>
      <c r="K175" s="77" t="s">
        <v>967</v>
      </c>
      <c r="N175" s="44" t="str">
        <f t="shared" si="14"/>
        <v/>
      </c>
      <c r="O175">
        <f t="shared" si="15"/>
        <v>371</v>
      </c>
      <c r="P175" s="97" t="str">
        <f t="shared" si="13"/>
        <v/>
      </c>
      <c r="Q175" s="8" t="s">
        <v>1830</v>
      </c>
    </row>
    <row r="176" spans="1:18" x14ac:dyDescent="0.25">
      <c r="A176" t="s">
        <v>1148</v>
      </c>
      <c r="B176" t="s">
        <v>1151</v>
      </c>
      <c r="C176" t="str">
        <f>VLOOKUP(B176,'[1]Planting GPS Points'!$B$3:$L$290,8,FALSE)</f>
        <v>SPS</v>
      </c>
      <c r="D176" t="str">
        <f>VLOOKUP(B176,'[1]Planting GPS Points'!$B$3:$AL$290,15,FALSE)</f>
        <v>IAA 12-317.1</v>
      </c>
      <c r="E176" s="42">
        <v>42142</v>
      </c>
      <c r="F176" s="44">
        <v>25</v>
      </c>
      <c r="G176" s="47">
        <v>500</v>
      </c>
      <c r="H176" s="35" t="s">
        <v>971</v>
      </c>
      <c r="I176" s="42">
        <v>42553</v>
      </c>
      <c r="J176" s="115" t="s">
        <v>12</v>
      </c>
      <c r="K176" s="77" t="s">
        <v>967</v>
      </c>
      <c r="N176" s="44" t="str">
        <f t="shared" si="14"/>
        <v/>
      </c>
      <c r="O176">
        <f t="shared" si="15"/>
        <v>411</v>
      </c>
      <c r="P176" s="97" t="str">
        <f t="shared" si="13"/>
        <v/>
      </c>
      <c r="Q176" s="8" t="s">
        <v>1831</v>
      </c>
    </row>
    <row r="177" spans="1:18" x14ac:dyDescent="0.25">
      <c r="A177" t="s">
        <v>1148</v>
      </c>
      <c r="B177" t="s">
        <v>1151</v>
      </c>
      <c r="C177" t="str">
        <f>VLOOKUP(B177,'[1]Planting GPS Points'!$B$3:$L$290,8,FALSE)</f>
        <v>SPS</v>
      </c>
      <c r="D177" t="str">
        <f>VLOOKUP(B177,'[1]Planting GPS Points'!$B$3:$AL$290,15,FALSE)</f>
        <v>IAA 12-317.1</v>
      </c>
      <c r="E177" s="42">
        <v>42142</v>
      </c>
      <c r="F177" s="44">
        <v>25</v>
      </c>
      <c r="G177" s="47">
        <v>500</v>
      </c>
      <c r="H177" s="35" t="s">
        <v>971</v>
      </c>
      <c r="I177" s="42">
        <v>42569</v>
      </c>
      <c r="J177" s="115" t="s">
        <v>12</v>
      </c>
      <c r="K177" s="77" t="s">
        <v>967</v>
      </c>
      <c r="L177">
        <v>480</v>
      </c>
      <c r="N177" s="44" t="str">
        <f t="shared" si="14"/>
        <v/>
      </c>
      <c r="O177">
        <f t="shared" si="15"/>
        <v>427</v>
      </c>
      <c r="P177" s="97">
        <f t="shared" si="13"/>
        <v>0.96</v>
      </c>
      <c r="Q177" s="8" t="s">
        <v>1832</v>
      </c>
    </row>
    <row r="178" spans="1:18" x14ac:dyDescent="0.25">
      <c r="A178" t="s">
        <v>1148</v>
      </c>
      <c r="B178" t="s">
        <v>1151</v>
      </c>
      <c r="C178" t="str">
        <f>VLOOKUP(B178,'[1]Planting GPS Points'!$B$3:$L$290,8,FALSE)</f>
        <v>SPS</v>
      </c>
      <c r="D178" t="str">
        <f>VLOOKUP(B178,'[1]Planting GPS Points'!$B$3:$AL$290,15,FALSE)</f>
        <v>IAA 12-317.1</v>
      </c>
      <c r="E178" s="42">
        <v>42142</v>
      </c>
      <c r="F178" s="44">
        <v>25</v>
      </c>
      <c r="G178" s="47">
        <v>500</v>
      </c>
      <c r="H178" s="35" t="s">
        <v>971</v>
      </c>
      <c r="I178" s="42">
        <v>42600</v>
      </c>
      <c r="J178" s="115" t="s">
        <v>12</v>
      </c>
      <c r="K178" s="77" t="s">
        <v>967</v>
      </c>
      <c r="N178" s="44" t="str">
        <f t="shared" si="14"/>
        <v/>
      </c>
      <c r="O178">
        <f t="shared" si="15"/>
        <v>458</v>
      </c>
      <c r="P178" s="97" t="str">
        <f t="shared" si="13"/>
        <v/>
      </c>
      <c r="Q178" s="8" t="s">
        <v>1833</v>
      </c>
    </row>
    <row r="179" spans="1:18" x14ac:dyDescent="0.25">
      <c r="A179" t="s">
        <v>1148</v>
      </c>
      <c r="B179" t="s">
        <v>1151</v>
      </c>
      <c r="C179" t="str">
        <f>VLOOKUP(B179,'[1]Planting GPS Points'!$B$3:$L$290,8,FALSE)</f>
        <v>SPS</v>
      </c>
      <c r="D179" t="str">
        <f>VLOOKUP(B179,'[1]Planting GPS Points'!$B$3:$AL$290,15,FALSE)</f>
        <v>IAA 12-317.1</v>
      </c>
      <c r="E179" s="42">
        <v>42142</v>
      </c>
      <c r="F179" s="44">
        <v>25</v>
      </c>
      <c r="G179" s="47">
        <v>500</v>
      </c>
      <c r="H179" s="35" t="s">
        <v>971</v>
      </c>
      <c r="I179" s="42">
        <v>42882</v>
      </c>
      <c r="J179" s="115" t="s">
        <v>12</v>
      </c>
      <c r="K179" s="77" t="s">
        <v>967</v>
      </c>
      <c r="L179">
        <v>227</v>
      </c>
      <c r="N179" s="44" t="str">
        <f t="shared" si="14"/>
        <v/>
      </c>
      <c r="O179">
        <f t="shared" si="15"/>
        <v>740</v>
      </c>
      <c r="P179" s="97">
        <f t="shared" si="13"/>
        <v>0.45400000000000001</v>
      </c>
      <c r="Q179" s="8" t="s">
        <v>1834</v>
      </c>
    </row>
    <row r="180" spans="1:18" x14ac:dyDescent="0.25">
      <c r="A180" t="s">
        <v>1148</v>
      </c>
      <c r="B180" t="s">
        <v>1151</v>
      </c>
      <c r="C180" t="str">
        <f>VLOOKUP(B180,'[1]Planting GPS Points'!$B$3:$L$290,8,FALSE)</f>
        <v>SPS</v>
      </c>
      <c r="D180" t="str">
        <f>VLOOKUP(B180,'[1]Planting GPS Points'!$B$3:$AL$290,15,FALSE)</f>
        <v>IAA 12-317.1</v>
      </c>
      <c r="E180" s="42">
        <v>42142</v>
      </c>
      <c r="F180" s="44">
        <v>25</v>
      </c>
      <c r="G180" s="47">
        <v>500</v>
      </c>
      <c r="H180" s="35" t="s">
        <v>971</v>
      </c>
      <c r="I180" s="42">
        <v>43691</v>
      </c>
      <c r="J180" s="77" t="s">
        <v>23</v>
      </c>
      <c r="K180" s="77" t="s">
        <v>967</v>
      </c>
      <c r="L180">
        <v>0</v>
      </c>
      <c r="O180">
        <f t="shared" si="15"/>
        <v>1549</v>
      </c>
      <c r="P180" s="97">
        <f t="shared" si="13"/>
        <v>0</v>
      </c>
      <c r="Q180" s="8" t="s">
        <v>1835</v>
      </c>
    </row>
    <row r="181" spans="1:18" x14ac:dyDescent="0.25">
      <c r="A181" t="s">
        <v>1148</v>
      </c>
      <c r="B181" t="s">
        <v>1155</v>
      </c>
      <c r="C181" t="str">
        <f>VLOOKUP(B181,'[1]Planting GPS Points'!$B$3:$L$290,8,FALSE)</f>
        <v>SPS</v>
      </c>
      <c r="D181">
        <f>VLOOKUP(B181,'[1]Planting GPS Points'!$B$3:$AL$290,15,FALSE)</f>
        <v>0</v>
      </c>
      <c r="E181" s="42">
        <v>44011</v>
      </c>
      <c r="F181">
        <v>6</v>
      </c>
      <c r="G181">
        <v>600</v>
      </c>
      <c r="H181" s="35" t="s">
        <v>963</v>
      </c>
      <c r="I181" s="42">
        <v>44306</v>
      </c>
      <c r="J181" s="77" t="s">
        <v>23</v>
      </c>
      <c r="K181" s="77" t="s">
        <v>982</v>
      </c>
      <c r="L181">
        <v>6</v>
      </c>
      <c r="M181">
        <v>7.5</v>
      </c>
      <c r="N181" s="44">
        <f>IFERROR(L181/M181, "")</f>
        <v>0.8</v>
      </c>
      <c r="O181">
        <f t="shared" si="15"/>
        <v>295</v>
      </c>
      <c r="P181" s="97">
        <f t="shared" si="13"/>
        <v>0.01</v>
      </c>
      <c r="Q181" s="130" t="s">
        <v>1719</v>
      </c>
      <c r="R181" t="s">
        <v>1836</v>
      </c>
    </row>
    <row r="182" spans="1:18" x14ac:dyDescent="0.25">
      <c r="A182" t="s">
        <v>1148</v>
      </c>
      <c r="B182" t="s">
        <v>1149</v>
      </c>
      <c r="C182" t="str">
        <f>VLOOKUP(B182,'[1]Planting GPS Points'!$B$3:$L$290,8,FALSE)</f>
        <v>SPS</v>
      </c>
      <c r="D182" t="str">
        <f>VLOOKUP(B182,'[1]Planting GPS Points'!$B$3:$AL$290,15,FALSE)</f>
        <v>IAA 12-317.1</v>
      </c>
      <c r="E182" s="42">
        <v>42142</v>
      </c>
      <c r="F182" s="44">
        <v>25</v>
      </c>
      <c r="G182" s="47">
        <v>500</v>
      </c>
      <c r="H182" s="35" t="s">
        <v>971</v>
      </c>
      <c r="I182" s="42">
        <v>42229</v>
      </c>
      <c r="J182" s="115" t="s">
        <v>12</v>
      </c>
      <c r="K182" s="77" t="s">
        <v>967</v>
      </c>
      <c r="N182" s="44" t="str">
        <f>IFERROR(L182/M182, "")</f>
        <v/>
      </c>
      <c r="O182">
        <f t="shared" si="15"/>
        <v>87</v>
      </c>
      <c r="P182" s="97" t="str">
        <f t="shared" si="13"/>
        <v/>
      </c>
      <c r="Q182" s="8" t="s">
        <v>1837</v>
      </c>
    </row>
    <row r="183" spans="1:18" x14ac:dyDescent="0.25">
      <c r="A183" t="s">
        <v>1148</v>
      </c>
      <c r="B183" t="s">
        <v>1149</v>
      </c>
      <c r="C183" t="str">
        <f>VLOOKUP(B183,'[1]Planting GPS Points'!$B$3:$L$290,8,FALSE)</f>
        <v>SPS</v>
      </c>
      <c r="D183" t="str">
        <f>VLOOKUP(B183,'[1]Planting GPS Points'!$B$3:$AL$290,15,FALSE)</f>
        <v>IAA 12-317.1</v>
      </c>
      <c r="E183" s="42">
        <v>42142</v>
      </c>
      <c r="F183" s="44">
        <v>25</v>
      </c>
      <c r="G183" s="47">
        <v>500</v>
      </c>
      <c r="H183" s="35" t="s">
        <v>971</v>
      </c>
      <c r="I183" s="42">
        <v>42513</v>
      </c>
      <c r="J183" s="115" t="s">
        <v>23</v>
      </c>
      <c r="K183" s="77" t="s">
        <v>967</v>
      </c>
      <c r="L183">
        <v>0</v>
      </c>
      <c r="N183" s="44" t="str">
        <f>IFERROR(L183/M183, "")</f>
        <v/>
      </c>
      <c r="O183">
        <f t="shared" si="15"/>
        <v>371</v>
      </c>
      <c r="P183" s="97">
        <f t="shared" si="13"/>
        <v>0</v>
      </c>
      <c r="Q183" s="8" t="s">
        <v>1838</v>
      </c>
    </row>
    <row r="184" spans="1:18" x14ac:dyDescent="0.25">
      <c r="A184" t="s">
        <v>1148</v>
      </c>
      <c r="B184" t="s">
        <v>1149</v>
      </c>
      <c r="C184" t="str">
        <f>VLOOKUP(B184,'[1]Planting GPS Points'!$B$3:$L$290,8,FALSE)</f>
        <v>SPS</v>
      </c>
      <c r="D184" t="str">
        <f>VLOOKUP(B184,'[1]Planting GPS Points'!$B$3:$AL$290,15,FALSE)</f>
        <v>IAA 12-317.1</v>
      </c>
      <c r="E184" s="42">
        <v>42142</v>
      </c>
      <c r="F184" s="44">
        <v>25</v>
      </c>
      <c r="G184" s="47">
        <v>500</v>
      </c>
      <c r="H184" s="35" t="s">
        <v>971</v>
      </c>
      <c r="I184" s="42">
        <v>42882</v>
      </c>
      <c r="J184" s="115" t="s">
        <v>23</v>
      </c>
      <c r="K184" s="77" t="s">
        <v>967</v>
      </c>
      <c r="L184">
        <v>0</v>
      </c>
      <c r="N184" s="44"/>
      <c r="O184">
        <f t="shared" si="15"/>
        <v>740</v>
      </c>
      <c r="P184" s="97">
        <f t="shared" si="13"/>
        <v>0</v>
      </c>
      <c r="Q184" s="8" t="s">
        <v>1839</v>
      </c>
    </row>
    <row r="185" spans="1:18" x14ac:dyDescent="0.25">
      <c r="A185" t="s">
        <v>1148</v>
      </c>
      <c r="B185" t="s">
        <v>1153</v>
      </c>
      <c r="C185" t="str">
        <f>VLOOKUP(B185,'[1]Planting GPS Points'!$B$3:$L$290,8,FALSE)</f>
        <v>SPS</v>
      </c>
      <c r="D185">
        <f>VLOOKUP(B185,'[1]Planting GPS Points'!$B$3:$AL$290,15,FALSE)</f>
        <v>0</v>
      </c>
      <c r="E185" s="42">
        <v>44011</v>
      </c>
      <c r="F185">
        <v>5</v>
      </c>
      <c r="G185">
        <v>500</v>
      </c>
      <c r="H185" s="35" t="s">
        <v>963</v>
      </c>
      <c r="I185" s="42">
        <v>44306</v>
      </c>
      <c r="J185" s="77" t="s">
        <v>23</v>
      </c>
      <c r="K185" s="77" t="s">
        <v>982</v>
      </c>
      <c r="L185">
        <v>0</v>
      </c>
      <c r="M185">
        <v>6.25</v>
      </c>
      <c r="N185" s="44">
        <f>IFERROR(L185/M185, "")</f>
        <v>0</v>
      </c>
      <c r="O185">
        <f t="shared" si="15"/>
        <v>295</v>
      </c>
      <c r="P185" s="97">
        <f t="shared" si="13"/>
        <v>0</v>
      </c>
      <c r="Q185" s="130" t="s">
        <v>1719</v>
      </c>
      <c r="R185" t="s">
        <v>1840</v>
      </c>
    </row>
    <row r="186" spans="1:18" x14ac:dyDescent="0.25">
      <c r="A186" s="62" t="s">
        <v>1157</v>
      </c>
      <c r="B186" t="s">
        <v>1264</v>
      </c>
      <c r="C186" t="str">
        <f>VLOOKUP(B186,'[1]Planting GPS Points'!$B$3:$L$290,8,FALSE)</f>
        <v>CPS</v>
      </c>
      <c r="D186">
        <f>VLOOKUP(B186,'[1]Planting GPS Points'!$B$3:$AL$290,15,FALSE)</f>
        <v>0</v>
      </c>
      <c r="E186" s="59">
        <v>43295</v>
      </c>
      <c r="F186" s="44">
        <v>0.25</v>
      </c>
      <c r="G186" s="62">
        <v>63</v>
      </c>
      <c r="H186" s="35" t="s">
        <v>971</v>
      </c>
      <c r="I186" s="42">
        <v>43678</v>
      </c>
      <c r="J186" s="77" t="s">
        <v>12</v>
      </c>
      <c r="K186" s="77" t="s">
        <v>1841</v>
      </c>
      <c r="L186">
        <v>202</v>
      </c>
      <c r="M186">
        <v>0.25</v>
      </c>
      <c r="N186">
        <f>L186/M186</f>
        <v>808</v>
      </c>
      <c r="O186">
        <f t="shared" si="15"/>
        <v>383</v>
      </c>
      <c r="P186" s="97">
        <f t="shared" si="13"/>
        <v>3.2063492063492065</v>
      </c>
      <c r="Q186" s="8" t="s">
        <v>1842</v>
      </c>
      <c r="R186" s="8"/>
    </row>
    <row r="187" spans="1:18" x14ac:dyDescent="0.25">
      <c r="A187" s="139" t="s">
        <v>1157</v>
      </c>
      <c r="B187" t="s">
        <v>1264</v>
      </c>
      <c r="C187" t="str">
        <f>VLOOKUP(B187,'[1]Planting GPS Points'!$B$3:$L$290,8,FALSE)</f>
        <v>CPS</v>
      </c>
      <c r="D187">
        <f>VLOOKUP(B187,'[1]Planting GPS Points'!$B$3:$AL$290,15,FALSE)</f>
        <v>0</v>
      </c>
      <c r="E187" s="59">
        <v>43295</v>
      </c>
      <c r="F187" s="44">
        <v>0.25</v>
      </c>
      <c r="G187" s="62">
        <v>63</v>
      </c>
      <c r="H187" s="35" t="s">
        <v>971</v>
      </c>
      <c r="I187" s="42">
        <v>44033</v>
      </c>
      <c r="J187" s="77" t="s">
        <v>12</v>
      </c>
      <c r="K187" s="77" t="s">
        <v>1841</v>
      </c>
      <c r="N187" s="44" t="str">
        <f>IFERROR(L187/M187, "")</f>
        <v/>
      </c>
      <c r="O187">
        <f t="shared" si="15"/>
        <v>738</v>
      </c>
      <c r="P187" s="97" t="str">
        <f t="shared" si="13"/>
        <v/>
      </c>
      <c r="Q187" s="8" t="s">
        <v>1842</v>
      </c>
    </row>
    <row r="188" spans="1:18" x14ac:dyDescent="0.25">
      <c r="A188" s="62" t="s">
        <v>1157</v>
      </c>
      <c r="B188" t="s">
        <v>1267</v>
      </c>
      <c r="C188" t="str">
        <f>VLOOKUP(B188,'[1]Planting GPS Points'!$B$3:$L$290,8,FALSE)</f>
        <v>CPS</v>
      </c>
      <c r="D188">
        <f>VLOOKUP(B188,'[1]Planting GPS Points'!$B$3:$AL$290,15,FALSE)</f>
        <v>0</v>
      </c>
      <c r="E188" s="59">
        <v>43295</v>
      </c>
      <c r="F188" s="44">
        <v>0.25</v>
      </c>
      <c r="G188" s="62">
        <v>63</v>
      </c>
      <c r="H188" s="35" t="s">
        <v>971</v>
      </c>
      <c r="I188" s="42">
        <v>43678</v>
      </c>
      <c r="J188" s="77" t="s">
        <v>12</v>
      </c>
      <c r="K188" s="77" t="s">
        <v>1841</v>
      </c>
      <c r="L188">
        <v>386</v>
      </c>
      <c r="M188">
        <v>0.25</v>
      </c>
      <c r="N188">
        <f>L188/M188</f>
        <v>1544</v>
      </c>
      <c r="O188">
        <f t="shared" si="15"/>
        <v>383</v>
      </c>
      <c r="P188" s="97">
        <f t="shared" si="13"/>
        <v>6.1269841269841274</v>
      </c>
      <c r="Q188" s="8" t="s">
        <v>1843</v>
      </c>
      <c r="R188" s="8"/>
    </row>
    <row r="189" spans="1:18" x14ac:dyDescent="0.25">
      <c r="A189" s="139" t="s">
        <v>1157</v>
      </c>
      <c r="B189" t="s">
        <v>1267</v>
      </c>
      <c r="C189" t="str">
        <f>VLOOKUP(B189,'[1]Planting GPS Points'!$B$3:$L$290,8,FALSE)</f>
        <v>CPS</v>
      </c>
      <c r="D189">
        <f>VLOOKUP(B189,'[1]Planting GPS Points'!$B$3:$AL$290,15,FALSE)</f>
        <v>0</v>
      </c>
      <c r="E189" s="59">
        <v>43295</v>
      </c>
      <c r="F189" s="44">
        <v>0.25</v>
      </c>
      <c r="G189" s="62">
        <v>63</v>
      </c>
      <c r="H189" s="35" t="s">
        <v>971</v>
      </c>
      <c r="I189" s="42">
        <v>44033</v>
      </c>
      <c r="J189" s="77" t="s">
        <v>12</v>
      </c>
      <c r="K189" s="77" t="s">
        <v>1841</v>
      </c>
      <c r="N189" s="44" t="str">
        <f>IFERROR(L189/M189, "")</f>
        <v/>
      </c>
      <c r="O189">
        <f t="shared" si="15"/>
        <v>738</v>
      </c>
      <c r="P189" s="97" t="str">
        <f t="shared" si="13"/>
        <v/>
      </c>
      <c r="Q189" s="8" t="s">
        <v>1843</v>
      </c>
    </row>
    <row r="190" spans="1:18" x14ac:dyDescent="0.25">
      <c r="A190" s="62" t="s">
        <v>1157</v>
      </c>
      <c r="B190" t="s">
        <v>1272</v>
      </c>
      <c r="C190" t="str">
        <f>VLOOKUP(B190,'[1]Planting GPS Points'!$B$3:$L$290,8,FALSE)</f>
        <v>CPS</v>
      </c>
      <c r="D190">
        <f>VLOOKUP(B190,'[1]Planting GPS Points'!$B$3:$AL$290,15,FALSE)</f>
        <v>0</v>
      </c>
      <c r="E190" s="59">
        <v>43295</v>
      </c>
      <c r="F190" s="44">
        <v>0.25</v>
      </c>
      <c r="G190" s="62">
        <v>63</v>
      </c>
      <c r="H190" s="35" t="s">
        <v>971</v>
      </c>
      <c r="I190" s="42">
        <v>43678</v>
      </c>
      <c r="J190" s="77" t="s">
        <v>12</v>
      </c>
      <c r="K190" s="77" t="s">
        <v>1841</v>
      </c>
      <c r="L190">
        <v>92</v>
      </c>
      <c r="M190">
        <v>0.25</v>
      </c>
      <c r="N190">
        <f>L190/M190</f>
        <v>368</v>
      </c>
      <c r="O190">
        <f t="shared" si="15"/>
        <v>383</v>
      </c>
      <c r="P190" s="97">
        <f t="shared" si="13"/>
        <v>1.4603174603174602</v>
      </c>
      <c r="Q190" s="8" t="s">
        <v>1842</v>
      </c>
    </row>
    <row r="191" spans="1:18" x14ac:dyDescent="0.25">
      <c r="A191" s="139" t="s">
        <v>1157</v>
      </c>
      <c r="B191" t="s">
        <v>1272</v>
      </c>
      <c r="C191" t="str">
        <f>VLOOKUP(B191,'[1]Planting GPS Points'!$B$3:$L$290,8,FALSE)</f>
        <v>CPS</v>
      </c>
      <c r="D191">
        <f>VLOOKUP(B191,'[1]Planting GPS Points'!$B$3:$AL$290,15,FALSE)</f>
        <v>0</v>
      </c>
      <c r="E191" s="59">
        <v>43295</v>
      </c>
      <c r="F191" s="44">
        <v>0.25</v>
      </c>
      <c r="G191" s="62">
        <v>63</v>
      </c>
      <c r="H191" s="35" t="s">
        <v>971</v>
      </c>
      <c r="I191" s="42">
        <v>44033</v>
      </c>
      <c r="J191" s="77" t="s">
        <v>12</v>
      </c>
      <c r="K191" s="77" t="s">
        <v>1841</v>
      </c>
      <c r="N191" s="44" t="str">
        <f>IFERROR(L191/M191, "")</f>
        <v/>
      </c>
      <c r="O191">
        <f t="shared" si="15"/>
        <v>738</v>
      </c>
      <c r="P191" s="97" t="str">
        <f t="shared" si="13"/>
        <v/>
      </c>
      <c r="Q191" s="8" t="s">
        <v>1842</v>
      </c>
    </row>
    <row r="192" spans="1:18" x14ac:dyDescent="0.25">
      <c r="A192" s="62" t="s">
        <v>1157</v>
      </c>
      <c r="B192" t="s">
        <v>1262</v>
      </c>
      <c r="C192" t="str">
        <f>VLOOKUP(B192,'[1]Planting GPS Points'!$B$3:$L$290,8,FALSE)</f>
        <v>CPS</v>
      </c>
      <c r="D192">
        <f>VLOOKUP(B192,'[1]Planting GPS Points'!$B$3:$AL$290,15,FALSE)</f>
        <v>0</v>
      </c>
      <c r="E192" s="59">
        <v>43295</v>
      </c>
      <c r="F192" s="44">
        <v>0.25</v>
      </c>
      <c r="G192" s="62">
        <v>63</v>
      </c>
      <c r="H192" s="35" t="s">
        <v>971</v>
      </c>
      <c r="I192" s="42">
        <v>43678</v>
      </c>
      <c r="J192" s="77" t="s">
        <v>12</v>
      </c>
      <c r="K192" s="77" t="s">
        <v>982</v>
      </c>
      <c r="L192">
        <v>230</v>
      </c>
      <c r="M192">
        <v>0.25</v>
      </c>
      <c r="N192">
        <f>L192/M192</f>
        <v>920</v>
      </c>
      <c r="O192">
        <f t="shared" si="15"/>
        <v>383</v>
      </c>
      <c r="P192" s="97">
        <f t="shared" si="13"/>
        <v>3.6507936507936507</v>
      </c>
      <c r="Q192" s="8" t="s">
        <v>1844</v>
      </c>
    </row>
    <row r="193" spans="1:17" x14ac:dyDescent="0.25">
      <c r="A193" s="139" t="s">
        <v>1157</v>
      </c>
      <c r="B193" t="s">
        <v>1262</v>
      </c>
      <c r="C193" t="str">
        <f>VLOOKUP(B193,'[1]Planting GPS Points'!$B$3:$L$290,8,FALSE)</f>
        <v>CPS</v>
      </c>
      <c r="D193">
        <f>VLOOKUP(B193,'[1]Planting GPS Points'!$B$3:$AL$290,15,FALSE)</f>
        <v>0</v>
      </c>
      <c r="E193" s="59">
        <v>43295</v>
      </c>
      <c r="F193" s="44">
        <v>0.25</v>
      </c>
      <c r="G193" s="62">
        <v>63</v>
      </c>
      <c r="H193" s="35" t="s">
        <v>971</v>
      </c>
      <c r="I193" s="42">
        <v>44033</v>
      </c>
      <c r="J193" s="77" t="s">
        <v>12</v>
      </c>
      <c r="K193" s="77" t="s">
        <v>982</v>
      </c>
      <c r="N193" s="44" t="str">
        <f>IFERROR(L193/M193, "")</f>
        <v/>
      </c>
      <c r="O193">
        <f t="shared" si="15"/>
        <v>738</v>
      </c>
      <c r="P193" s="97" t="str">
        <f t="shared" si="13"/>
        <v/>
      </c>
      <c r="Q193" s="8" t="s">
        <v>1844</v>
      </c>
    </row>
    <row r="194" spans="1:17" x14ac:dyDescent="0.25">
      <c r="A194" s="62" t="s">
        <v>1157</v>
      </c>
      <c r="B194" t="s">
        <v>1268</v>
      </c>
      <c r="C194" t="str">
        <f>VLOOKUP(B194,'[1]Planting GPS Points'!$B$3:$L$290,8,FALSE)</f>
        <v>CPS</v>
      </c>
      <c r="D194">
        <f>VLOOKUP(B194,'[1]Planting GPS Points'!$B$3:$AL$290,15,FALSE)</f>
        <v>0</v>
      </c>
      <c r="E194" s="59">
        <v>43295</v>
      </c>
      <c r="F194" s="44">
        <v>0.25</v>
      </c>
      <c r="G194" s="62">
        <v>63</v>
      </c>
      <c r="H194" s="35" t="s">
        <v>971</v>
      </c>
      <c r="I194" s="42">
        <v>43678</v>
      </c>
      <c r="J194" s="77" t="s">
        <v>12</v>
      </c>
      <c r="K194" s="77" t="s">
        <v>982</v>
      </c>
      <c r="L194">
        <v>303</v>
      </c>
      <c r="M194">
        <v>0.25</v>
      </c>
      <c r="N194">
        <f>L194/M194</f>
        <v>1212</v>
      </c>
      <c r="O194">
        <f t="shared" si="15"/>
        <v>383</v>
      </c>
      <c r="P194" s="97">
        <f t="shared" si="13"/>
        <v>4.8095238095238093</v>
      </c>
      <c r="Q194" s="8" t="s">
        <v>1845</v>
      </c>
    </row>
    <row r="195" spans="1:17" x14ac:dyDescent="0.25">
      <c r="A195" s="139" t="s">
        <v>1157</v>
      </c>
      <c r="B195" t="s">
        <v>1268</v>
      </c>
      <c r="C195" t="str">
        <f>VLOOKUP(B195,'[1]Planting GPS Points'!$B$3:$L$290,8,FALSE)</f>
        <v>CPS</v>
      </c>
      <c r="D195">
        <f>VLOOKUP(B195,'[1]Planting GPS Points'!$B$3:$AL$290,15,FALSE)</f>
        <v>0</v>
      </c>
      <c r="E195" s="59">
        <v>43295</v>
      </c>
      <c r="F195" s="44">
        <v>0.25</v>
      </c>
      <c r="G195" s="62">
        <v>63</v>
      </c>
      <c r="H195" s="35" t="s">
        <v>971</v>
      </c>
      <c r="I195" s="42">
        <v>44033</v>
      </c>
      <c r="J195" s="77" t="s">
        <v>12</v>
      </c>
      <c r="K195" s="77" t="s">
        <v>982</v>
      </c>
      <c r="N195" s="44" t="str">
        <f>IFERROR(L195/M195, "")</f>
        <v/>
      </c>
      <c r="O195">
        <f t="shared" si="15"/>
        <v>738</v>
      </c>
      <c r="P195" s="97" t="str">
        <f t="shared" si="13"/>
        <v/>
      </c>
      <c r="Q195" s="8" t="s">
        <v>1845</v>
      </c>
    </row>
    <row r="196" spans="1:17" x14ac:dyDescent="0.25">
      <c r="A196" s="62" t="s">
        <v>1157</v>
      </c>
      <c r="B196" t="s">
        <v>1270</v>
      </c>
      <c r="C196" t="str">
        <f>VLOOKUP(B196,'[1]Planting GPS Points'!$B$3:$L$290,8,FALSE)</f>
        <v>CPS</v>
      </c>
      <c r="D196">
        <f>VLOOKUP(B196,'[1]Planting GPS Points'!$B$3:$AL$290,15,FALSE)</f>
        <v>0</v>
      </c>
      <c r="E196" s="59">
        <v>43295</v>
      </c>
      <c r="F196" s="44">
        <v>0.25</v>
      </c>
      <c r="G196" s="62">
        <v>63</v>
      </c>
      <c r="H196" s="35" t="s">
        <v>971</v>
      </c>
      <c r="I196" s="42">
        <v>43678</v>
      </c>
      <c r="J196" s="77" t="s">
        <v>12</v>
      </c>
      <c r="K196" s="77" t="s">
        <v>982</v>
      </c>
      <c r="L196">
        <v>235</v>
      </c>
      <c r="M196">
        <v>0.25</v>
      </c>
      <c r="N196">
        <f>L196/M196</f>
        <v>940</v>
      </c>
      <c r="O196">
        <f t="shared" si="15"/>
        <v>383</v>
      </c>
      <c r="P196" s="97">
        <f t="shared" si="13"/>
        <v>3.7301587301587302</v>
      </c>
      <c r="Q196" s="8" t="s">
        <v>1846</v>
      </c>
    </row>
    <row r="197" spans="1:17" x14ac:dyDescent="0.25">
      <c r="A197" s="139" t="s">
        <v>1157</v>
      </c>
      <c r="B197" t="s">
        <v>1270</v>
      </c>
      <c r="C197" t="str">
        <f>VLOOKUP(B197,'[1]Planting GPS Points'!$B$3:$L$290,8,FALSE)</f>
        <v>CPS</v>
      </c>
      <c r="D197">
        <f>VLOOKUP(B197,'[1]Planting GPS Points'!$B$3:$AL$290,15,FALSE)</f>
        <v>0</v>
      </c>
      <c r="E197" s="59">
        <v>43295</v>
      </c>
      <c r="F197" s="44">
        <v>0.25</v>
      </c>
      <c r="G197" s="62">
        <v>63</v>
      </c>
      <c r="H197" s="35" t="s">
        <v>971</v>
      </c>
      <c r="I197" s="42">
        <v>44033</v>
      </c>
      <c r="J197" s="77" t="s">
        <v>12</v>
      </c>
      <c r="K197" s="77" t="s">
        <v>982</v>
      </c>
      <c r="N197" s="44" t="str">
        <f>IFERROR(L197/M197, "")</f>
        <v/>
      </c>
      <c r="O197">
        <f t="shared" si="15"/>
        <v>738</v>
      </c>
      <c r="P197" s="97" t="str">
        <f t="shared" si="13"/>
        <v/>
      </c>
      <c r="Q197" s="8" t="s">
        <v>1846</v>
      </c>
    </row>
    <row r="198" spans="1:17" x14ac:dyDescent="0.25">
      <c r="A198" t="s">
        <v>1157</v>
      </c>
      <c r="B198" t="s">
        <v>1181</v>
      </c>
      <c r="C198" t="str">
        <f>VLOOKUP(B198,'[1]Planting GPS Points'!$B$3:$L$290,8,FALSE)</f>
        <v>CPS</v>
      </c>
      <c r="D198" t="str">
        <f>VLOOKUP(B198,'[1]Planting GPS Points'!$B$3:$AL$290,15,FALSE)</f>
        <v>IAA 12-317.1</v>
      </c>
      <c r="E198" s="42">
        <v>42164</v>
      </c>
      <c r="F198" s="44">
        <v>25</v>
      </c>
      <c r="G198" s="47">
        <v>500</v>
      </c>
      <c r="H198" s="35" t="s">
        <v>971</v>
      </c>
      <c r="I198" s="42">
        <v>42214</v>
      </c>
      <c r="J198" s="115" t="s">
        <v>12</v>
      </c>
      <c r="K198" s="115" t="s">
        <v>967</v>
      </c>
      <c r="N198" s="44" t="str">
        <f>IFERROR(L198/M198, "")</f>
        <v/>
      </c>
      <c r="O198">
        <f t="shared" si="15"/>
        <v>50</v>
      </c>
      <c r="P198" s="97" t="str">
        <f t="shared" si="13"/>
        <v/>
      </c>
      <c r="Q198" s="8" t="s">
        <v>1847</v>
      </c>
    </row>
    <row r="199" spans="1:17" x14ac:dyDescent="0.25">
      <c r="A199" s="9" t="s">
        <v>1157</v>
      </c>
      <c r="B199" s="9" t="s">
        <v>1212</v>
      </c>
      <c r="C199" t="str">
        <f>VLOOKUP(B199,'[1]Planting GPS Points'!$B$3:$L$290,8,FALSE)</f>
        <v>CPS</v>
      </c>
      <c r="D199">
        <f>VLOOKUP(B199,'[1]Planting GPS Points'!$B$3:$AL$290,15,FALSE)</f>
        <v>0</v>
      </c>
      <c r="E199" s="42">
        <v>42880</v>
      </c>
      <c r="F199" s="44">
        <v>8.0000000000000002E-3</v>
      </c>
      <c r="G199">
        <v>12</v>
      </c>
      <c r="H199" s="35" t="s">
        <v>971</v>
      </c>
      <c r="I199" s="42">
        <v>42883</v>
      </c>
      <c r="J199" s="77" t="s">
        <v>12</v>
      </c>
      <c r="K199" s="77" t="s">
        <v>967</v>
      </c>
      <c r="L199">
        <v>11</v>
      </c>
      <c r="M199">
        <v>8.0000000000000002E-3</v>
      </c>
      <c r="N199">
        <f>L199/M199</f>
        <v>1375</v>
      </c>
      <c r="O199">
        <f t="shared" si="15"/>
        <v>3</v>
      </c>
      <c r="P199" s="97">
        <f t="shared" si="13"/>
        <v>0.91666666666666663</v>
      </c>
      <c r="Q199" s="8" t="s">
        <v>1848</v>
      </c>
    </row>
    <row r="200" spans="1:17" x14ac:dyDescent="0.25">
      <c r="A200" s="9" t="s">
        <v>1157</v>
      </c>
      <c r="B200" s="9" t="s">
        <v>1212</v>
      </c>
      <c r="C200" t="str">
        <f>VLOOKUP(B200,'[1]Planting GPS Points'!$B$3:$L$290,8,FALSE)</f>
        <v>CPS</v>
      </c>
      <c r="D200">
        <f>VLOOKUP(B200,'[1]Planting GPS Points'!$B$3:$AL$290,15,FALSE)</f>
        <v>0</v>
      </c>
      <c r="E200" s="42">
        <v>42880</v>
      </c>
      <c r="F200" s="44">
        <v>8.0000000000000002E-3</v>
      </c>
      <c r="G200">
        <v>12</v>
      </c>
      <c r="H200" s="35" t="s">
        <v>971</v>
      </c>
      <c r="I200" s="42">
        <v>42938</v>
      </c>
      <c r="J200" s="77" t="s">
        <v>12</v>
      </c>
      <c r="K200" s="77" t="s">
        <v>967</v>
      </c>
      <c r="L200">
        <v>3</v>
      </c>
      <c r="M200">
        <v>8.0000000000000002E-3</v>
      </c>
      <c r="N200">
        <f>L200/M200</f>
        <v>375</v>
      </c>
      <c r="O200">
        <f t="shared" si="15"/>
        <v>58</v>
      </c>
      <c r="P200" s="97">
        <f t="shared" si="13"/>
        <v>0.25</v>
      </c>
      <c r="Q200" s="8" t="s">
        <v>1849</v>
      </c>
    </row>
    <row r="201" spans="1:17" x14ac:dyDescent="0.25">
      <c r="A201" s="9" t="s">
        <v>1157</v>
      </c>
      <c r="B201" s="9" t="s">
        <v>1212</v>
      </c>
      <c r="C201" t="str">
        <f>VLOOKUP(B201,'[1]Planting GPS Points'!$B$3:$L$290,8,FALSE)</f>
        <v>CPS</v>
      </c>
      <c r="D201">
        <f>VLOOKUP(B201,'[1]Planting GPS Points'!$B$3:$AL$290,15,FALSE)</f>
        <v>0</v>
      </c>
      <c r="E201" s="42">
        <v>42880</v>
      </c>
      <c r="F201" s="44">
        <v>8.0000000000000002E-3</v>
      </c>
      <c r="G201">
        <v>12</v>
      </c>
      <c r="H201" s="35" t="s">
        <v>971</v>
      </c>
      <c r="I201" s="42">
        <v>42967</v>
      </c>
      <c r="J201" s="77" t="s">
        <v>23</v>
      </c>
      <c r="K201" s="77" t="s">
        <v>967</v>
      </c>
      <c r="L201">
        <v>0</v>
      </c>
      <c r="M201">
        <v>0</v>
      </c>
      <c r="O201">
        <f t="shared" si="15"/>
        <v>87</v>
      </c>
      <c r="P201" s="97">
        <f t="shared" si="13"/>
        <v>0</v>
      </c>
      <c r="Q201" s="8" t="s">
        <v>1849</v>
      </c>
    </row>
    <row r="202" spans="1:17" x14ac:dyDescent="0.25">
      <c r="A202" s="9" t="s">
        <v>1157</v>
      </c>
      <c r="B202" s="9" t="s">
        <v>1212</v>
      </c>
      <c r="C202" t="str">
        <f>VLOOKUP(B202,'[1]Planting GPS Points'!$B$3:$L$290,8,FALSE)</f>
        <v>CPS</v>
      </c>
      <c r="D202">
        <f>VLOOKUP(B202,'[1]Planting GPS Points'!$B$3:$AL$290,15,FALSE)</f>
        <v>0</v>
      </c>
      <c r="E202" s="42">
        <v>42880</v>
      </c>
      <c r="F202" s="44">
        <v>8.0000000000000002E-3</v>
      </c>
      <c r="G202">
        <v>12</v>
      </c>
      <c r="H202" s="35" t="s">
        <v>971</v>
      </c>
      <c r="I202" s="42">
        <v>43073</v>
      </c>
      <c r="J202" s="77" t="s">
        <v>23</v>
      </c>
      <c r="K202" s="77" t="s">
        <v>967</v>
      </c>
      <c r="L202">
        <v>0</v>
      </c>
      <c r="N202" s="47"/>
      <c r="O202">
        <f t="shared" si="15"/>
        <v>193</v>
      </c>
      <c r="P202" s="97">
        <f t="shared" si="13"/>
        <v>0</v>
      </c>
      <c r="Q202" s="8" t="s">
        <v>1850</v>
      </c>
    </row>
    <row r="203" spans="1:17" x14ac:dyDescent="0.25">
      <c r="A203" s="9" t="s">
        <v>1157</v>
      </c>
      <c r="B203" s="9" t="s">
        <v>1212</v>
      </c>
      <c r="C203" t="str">
        <f>VLOOKUP(B203,'[1]Planting GPS Points'!$B$3:$L$290,8,FALSE)</f>
        <v>CPS</v>
      </c>
      <c r="D203">
        <f>VLOOKUP(B203,'[1]Planting GPS Points'!$B$3:$AL$290,15,FALSE)</f>
        <v>0</v>
      </c>
      <c r="E203" s="42">
        <v>42880</v>
      </c>
      <c r="F203" s="44">
        <v>8.0000000000000002E-3</v>
      </c>
      <c r="G203">
        <v>12</v>
      </c>
      <c r="H203" s="35" t="s">
        <v>971</v>
      </c>
      <c r="I203" s="42">
        <v>43130</v>
      </c>
      <c r="J203" s="77" t="s">
        <v>23</v>
      </c>
      <c r="K203" s="77" t="s">
        <v>967</v>
      </c>
      <c r="L203">
        <v>0</v>
      </c>
      <c r="M203">
        <v>0</v>
      </c>
      <c r="N203" s="47"/>
      <c r="O203">
        <f t="shared" si="15"/>
        <v>250</v>
      </c>
      <c r="P203" s="97">
        <f t="shared" si="13"/>
        <v>0</v>
      </c>
      <c r="Q203" s="8" t="s">
        <v>1851</v>
      </c>
    </row>
    <row r="204" spans="1:17" x14ac:dyDescent="0.25">
      <c r="A204" s="9" t="s">
        <v>1157</v>
      </c>
      <c r="B204" s="9" t="s">
        <v>1212</v>
      </c>
      <c r="C204" t="str">
        <f>VLOOKUP(B204,'[1]Planting GPS Points'!$B$3:$L$290,8,FALSE)</f>
        <v>CPS</v>
      </c>
      <c r="D204">
        <f>VLOOKUP(B204,'[1]Planting GPS Points'!$B$3:$AL$290,15,FALSE)</f>
        <v>0</v>
      </c>
      <c r="E204" s="42">
        <v>42880</v>
      </c>
      <c r="F204" s="44">
        <v>8.0000000000000002E-3</v>
      </c>
      <c r="G204">
        <v>12</v>
      </c>
      <c r="H204" s="35" t="s">
        <v>971</v>
      </c>
      <c r="I204" s="42">
        <v>43235</v>
      </c>
      <c r="J204" s="77" t="s">
        <v>23</v>
      </c>
      <c r="K204" s="77" t="s">
        <v>967</v>
      </c>
      <c r="L204">
        <v>0</v>
      </c>
      <c r="N204" s="47"/>
      <c r="O204">
        <f t="shared" si="15"/>
        <v>355</v>
      </c>
      <c r="P204" s="97">
        <f t="shared" si="13"/>
        <v>0</v>
      </c>
      <c r="Q204" s="8" t="s">
        <v>1852</v>
      </c>
    </row>
    <row r="205" spans="1:17" x14ac:dyDescent="0.25">
      <c r="A205" s="9" t="s">
        <v>1157</v>
      </c>
      <c r="B205" s="9" t="s">
        <v>1212</v>
      </c>
      <c r="C205" t="str">
        <f>VLOOKUP(B205,'[1]Planting GPS Points'!$B$3:$L$290,8,FALSE)</f>
        <v>CPS</v>
      </c>
      <c r="D205">
        <f>VLOOKUP(B205,'[1]Planting GPS Points'!$B$3:$AL$290,15,FALSE)</f>
        <v>0</v>
      </c>
      <c r="E205" s="42">
        <v>42880</v>
      </c>
      <c r="F205" s="44">
        <v>8.0000000000000002E-3</v>
      </c>
      <c r="G205">
        <v>12</v>
      </c>
      <c r="H205" s="35" t="s">
        <v>971</v>
      </c>
      <c r="I205" s="42">
        <v>43292</v>
      </c>
      <c r="J205" s="77" t="s">
        <v>23</v>
      </c>
      <c r="K205" s="77" t="s">
        <v>967</v>
      </c>
      <c r="L205">
        <v>0</v>
      </c>
      <c r="N205" s="47"/>
      <c r="O205">
        <f t="shared" si="15"/>
        <v>412</v>
      </c>
      <c r="P205" s="97">
        <f t="shared" si="13"/>
        <v>0</v>
      </c>
      <c r="Q205" s="8"/>
    </row>
    <row r="206" spans="1:17" x14ac:dyDescent="0.25">
      <c r="A206" s="9" t="s">
        <v>1157</v>
      </c>
      <c r="B206" s="9" t="s">
        <v>1212</v>
      </c>
      <c r="C206" t="str">
        <f>VLOOKUP(B206,'[1]Planting GPS Points'!$B$3:$L$290,8,FALSE)</f>
        <v>CPS</v>
      </c>
      <c r="D206">
        <f>VLOOKUP(B206,'[1]Planting GPS Points'!$B$3:$AL$290,15,FALSE)</f>
        <v>0</v>
      </c>
      <c r="E206" s="42">
        <v>42880</v>
      </c>
      <c r="F206" s="44">
        <v>8.0000000000000002E-3</v>
      </c>
      <c r="G206">
        <v>12</v>
      </c>
      <c r="H206" s="35" t="s">
        <v>971</v>
      </c>
      <c r="I206" s="42">
        <v>43320</v>
      </c>
      <c r="J206" s="77" t="s">
        <v>23</v>
      </c>
      <c r="K206" s="77" t="s">
        <v>967</v>
      </c>
      <c r="L206">
        <v>0</v>
      </c>
      <c r="N206" s="47"/>
      <c r="O206">
        <f t="shared" si="15"/>
        <v>440</v>
      </c>
      <c r="P206" s="97">
        <f t="shared" si="13"/>
        <v>0</v>
      </c>
      <c r="Q206" s="8"/>
    </row>
    <row r="207" spans="1:17" x14ac:dyDescent="0.25">
      <c r="A207" s="9" t="s">
        <v>1157</v>
      </c>
      <c r="B207" s="9" t="s">
        <v>1212</v>
      </c>
      <c r="C207" t="str">
        <f>VLOOKUP(B207,'[1]Planting GPS Points'!$B$3:$L$290,8,FALSE)</f>
        <v>CPS</v>
      </c>
      <c r="D207">
        <f>VLOOKUP(B207,'[1]Planting GPS Points'!$B$3:$AL$290,15,FALSE)</f>
        <v>0</v>
      </c>
      <c r="E207" s="42">
        <v>42880</v>
      </c>
      <c r="F207" s="44">
        <v>8.0000000000000002E-3</v>
      </c>
      <c r="G207">
        <v>12</v>
      </c>
      <c r="H207" s="35" t="s">
        <v>971</v>
      </c>
      <c r="I207" s="42">
        <v>43676</v>
      </c>
      <c r="J207" s="77" t="s">
        <v>23</v>
      </c>
      <c r="K207" s="77" t="s">
        <v>967</v>
      </c>
      <c r="L207">
        <v>0</v>
      </c>
      <c r="N207" s="47"/>
      <c r="O207">
        <f t="shared" si="15"/>
        <v>796</v>
      </c>
      <c r="P207" s="97">
        <f t="shared" si="13"/>
        <v>0</v>
      </c>
      <c r="Q207" s="8"/>
    </row>
    <row r="208" spans="1:17" x14ac:dyDescent="0.25">
      <c r="A208" s="140" t="s">
        <v>1157</v>
      </c>
      <c r="B208" s="9" t="s">
        <v>1212</v>
      </c>
      <c r="C208" t="str">
        <f>VLOOKUP(B208,'[1]Planting GPS Points'!$B$3:$L$290,8,FALSE)</f>
        <v>CPS</v>
      </c>
      <c r="D208">
        <f>VLOOKUP(B208,'[1]Planting GPS Points'!$B$3:$AL$290,15,FALSE)</f>
        <v>0</v>
      </c>
      <c r="E208" s="42">
        <v>42880</v>
      </c>
      <c r="F208" s="44">
        <v>8.0000000000000002E-3</v>
      </c>
      <c r="G208">
        <v>12</v>
      </c>
      <c r="H208" s="35" t="s">
        <v>971</v>
      </c>
      <c r="I208" s="42">
        <v>44033</v>
      </c>
      <c r="J208" s="77" t="s">
        <v>23</v>
      </c>
      <c r="K208" s="77" t="s">
        <v>967</v>
      </c>
      <c r="L208">
        <v>0</v>
      </c>
      <c r="N208" s="44" t="str">
        <f>IFERROR(L208/M208, "")</f>
        <v/>
      </c>
      <c r="O208">
        <f t="shared" si="15"/>
        <v>1153</v>
      </c>
      <c r="P208" s="97">
        <f t="shared" ref="P208:P271" si="16">IF(L208="", "", L208/G208)</f>
        <v>0</v>
      </c>
      <c r="Q208" s="8"/>
    </row>
    <row r="209" spans="1:18" x14ac:dyDescent="0.25">
      <c r="A209" s="9" t="s">
        <v>1157</v>
      </c>
      <c r="B209" s="9" t="s">
        <v>1217</v>
      </c>
      <c r="C209" t="str">
        <f>VLOOKUP(B209,'[1]Planting GPS Points'!$B$3:$L$290,8,FALSE)</f>
        <v>CPS</v>
      </c>
      <c r="D209">
        <f>VLOOKUP(B209,'[1]Planting GPS Points'!$B$3:$AL$290,15,FALSE)</f>
        <v>0</v>
      </c>
      <c r="E209" s="42">
        <v>42880</v>
      </c>
      <c r="F209" s="44">
        <v>8.0000000000000002E-3</v>
      </c>
      <c r="G209">
        <v>12</v>
      </c>
      <c r="H209" s="35" t="s">
        <v>971</v>
      </c>
      <c r="I209" s="42">
        <v>42883</v>
      </c>
      <c r="J209" s="77" t="s">
        <v>12</v>
      </c>
      <c r="K209" s="77" t="s">
        <v>967</v>
      </c>
      <c r="L209">
        <v>9</v>
      </c>
      <c r="M209">
        <v>8.0000000000000002E-3</v>
      </c>
      <c r="N209">
        <f>L209/M209</f>
        <v>1125</v>
      </c>
      <c r="O209">
        <f t="shared" si="15"/>
        <v>3</v>
      </c>
      <c r="P209" s="97">
        <f t="shared" si="16"/>
        <v>0.75</v>
      </c>
      <c r="Q209" s="8" t="s">
        <v>1848</v>
      </c>
    </row>
    <row r="210" spans="1:18" x14ac:dyDescent="0.25">
      <c r="A210" s="9" t="s">
        <v>1157</v>
      </c>
      <c r="B210" s="9" t="s">
        <v>1217</v>
      </c>
      <c r="C210" t="str">
        <f>VLOOKUP(B210,'[1]Planting GPS Points'!$B$3:$L$290,8,FALSE)</f>
        <v>CPS</v>
      </c>
      <c r="D210">
        <f>VLOOKUP(B210,'[1]Planting GPS Points'!$B$3:$AL$290,15,FALSE)</f>
        <v>0</v>
      </c>
      <c r="E210" s="42">
        <v>42880</v>
      </c>
      <c r="F210" s="44">
        <v>8.0000000000000002E-3</v>
      </c>
      <c r="G210">
        <v>12</v>
      </c>
      <c r="H210" s="35" t="s">
        <v>971</v>
      </c>
      <c r="I210" s="42">
        <v>42938</v>
      </c>
      <c r="J210" s="77" t="s">
        <v>12</v>
      </c>
      <c r="K210" s="77" t="s">
        <v>967</v>
      </c>
      <c r="L210">
        <v>4</v>
      </c>
      <c r="M210">
        <v>8.0000000000000002E-3</v>
      </c>
      <c r="N210">
        <f>L210/M210</f>
        <v>500</v>
      </c>
      <c r="O210">
        <f t="shared" si="15"/>
        <v>58</v>
      </c>
      <c r="P210" s="97">
        <f t="shared" si="16"/>
        <v>0.33333333333333331</v>
      </c>
      <c r="Q210" s="8" t="s">
        <v>1849</v>
      </c>
    </row>
    <row r="211" spans="1:18" x14ac:dyDescent="0.25">
      <c r="A211" s="9" t="s">
        <v>1157</v>
      </c>
      <c r="B211" s="9" t="s">
        <v>1217</v>
      </c>
      <c r="C211" t="str">
        <f>VLOOKUP(B211,'[1]Planting GPS Points'!$B$3:$L$290,8,FALSE)</f>
        <v>CPS</v>
      </c>
      <c r="D211">
        <f>VLOOKUP(B211,'[1]Planting GPS Points'!$B$3:$AL$290,15,FALSE)</f>
        <v>0</v>
      </c>
      <c r="E211" s="42">
        <v>42880</v>
      </c>
      <c r="F211" s="44">
        <v>8.0000000000000002E-3</v>
      </c>
      <c r="G211">
        <v>12</v>
      </c>
      <c r="H211" s="35" t="s">
        <v>971</v>
      </c>
      <c r="I211" s="42">
        <v>42967</v>
      </c>
      <c r="J211" s="77" t="s">
        <v>23</v>
      </c>
      <c r="K211" s="77" t="s">
        <v>967</v>
      </c>
      <c r="L211">
        <v>0</v>
      </c>
      <c r="M211">
        <v>0</v>
      </c>
      <c r="O211">
        <f t="shared" si="15"/>
        <v>87</v>
      </c>
      <c r="P211" s="97">
        <f t="shared" si="16"/>
        <v>0</v>
      </c>
      <c r="Q211" s="8" t="s">
        <v>1849</v>
      </c>
    </row>
    <row r="212" spans="1:18" x14ac:dyDescent="0.25">
      <c r="A212" s="9" t="s">
        <v>1157</v>
      </c>
      <c r="B212" s="9" t="s">
        <v>1217</v>
      </c>
      <c r="C212" t="str">
        <f>VLOOKUP(B212,'[1]Planting GPS Points'!$B$3:$L$290,8,FALSE)</f>
        <v>CPS</v>
      </c>
      <c r="D212">
        <f>VLOOKUP(B212,'[1]Planting GPS Points'!$B$3:$AL$290,15,FALSE)</f>
        <v>0</v>
      </c>
      <c r="E212" s="42">
        <v>42880</v>
      </c>
      <c r="F212" s="44">
        <v>8.0000000000000002E-3</v>
      </c>
      <c r="G212">
        <v>12</v>
      </c>
      <c r="H212" s="35" t="s">
        <v>971</v>
      </c>
      <c r="I212" s="42">
        <v>43073</v>
      </c>
      <c r="J212" s="77" t="s">
        <v>23</v>
      </c>
      <c r="K212" s="77" t="s">
        <v>967</v>
      </c>
      <c r="L212">
        <v>0</v>
      </c>
      <c r="N212" s="47"/>
      <c r="O212">
        <f t="shared" si="15"/>
        <v>193</v>
      </c>
      <c r="P212" s="97">
        <f t="shared" si="16"/>
        <v>0</v>
      </c>
      <c r="Q212" s="8" t="s">
        <v>1850</v>
      </c>
      <c r="R212" s="114"/>
    </row>
    <row r="213" spans="1:18" x14ac:dyDescent="0.25">
      <c r="A213" s="9" t="s">
        <v>1157</v>
      </c>
      <c r="B213" s="9" t="s">
        <v>1217</v>
      </c>
      <c r="C213" t="str">
        <f>VLOOKUP(B213,'[1]Planting GPS Points'!$B$3:$L$290,8,FALSE)</f>
        <v>CPS</v>
      </c>
      <c r="D213">
        <f>VLOOKUP(B213,'[1]Planting GPS Points'!$B$3:$AL$290,15,FALSE)</f>
        <v>0</v>
      </c>
      <c r="E213" s="42">
        <v>42880</v>
      </c>
      <c r="F213" s="44">
        <v>8.0000000000000002E-3</v>
      </c>
      <c r="G213">
        <v>12</v>
      </c>
      <c r="H213" s="35" t="s">
        <v>971</v>
      </c>
      <c r="I213" s="42">
        <v>43130</v>
      </c>
      <c r="J213" s="77" t="s">
        <v>23</v>
      </c>
      <c r="K213" s="77" t="s">
        <v>967</v>
      </c>
      <c r="L213">
        <v>0</v>
      </c>
      <c r="M213">
        <v>0</v>
      </c>
      <c r="N213" s="47"/>
      <c r="O213">
        <f t="shared" si="15"/>
        <v>250</v>
      </c>
      <c r="P213" s="97">
        <f t="shared" si="16"/>
        <v>0</v>
      </c>
      <c r="Q213" s="8" t="s">
        <v>1851</v>
      </c>
    </row>
    <row r="214" spans="1:18" x14ac:dyDescent="0.25">
      <c r="A214" s="9" t="s">
        <v>1157</v>
      </c>
      <c r="B214" s="9" t="s">
        <v>1217</v>
      </c>
      <c r="C214" t="str">
        <f>VLOOKUP(B214,'[1]Planting GPS Points'!$B$3:$L$290,8,FALSE)</f>
        <v>CPS</v>
      </c>
      <c r="D214">
        <f>VLOOKUP(B214,'[1]Planting GPS Points'!$B$3:$AL$290,15,FALSE)</f>
        <v>0</v>
      </c>
      <c r="E214" s="42">
        <v>42880</v>
      </c>
      <c r="F214" s="44">
        <v>8.0000000000000002E-3</v>
      </c>
      <c r="G214">
        <v>12</v>
      </c>
      <c r="H214" s="35" t="s">
        <v>971</v>
      </c>
      <c r="I214" s="42">
        <v>43235</v>
      </c>
      <c r="J214" s="77" t="s">
        <v>23</v>
      </c>
      <c r="K214" s="77" t="s">
        <v>967</v>
      </c>
      <c r="L214">
        <v>0</v>
      </c>
      <c r="N214" s="47"/>
      <c r="O214">
        <f t="shared" si="15"/>
        <v>355</v>
      </c>
      <c r="P214" s="97">
        <f t="shared" si="16"/>
        <v>0</v>
      </c>
      <c r="Q214" s="8" t="s">
        <v>1852</v>
      </c>
    </row>
    <row r="215" spans="1:18" x14ac:dyDescent="0.25">
      <c r="A215" s="9" t="s">
        <v>1157</v>
      </c>
      <c r="B215" s="9" t="s">
        <v>1217</v>
      </c>
      <c r="C215" t="str">
        <f>VLOOKUP(B215,'[1]Planting GPS Points'!$B$3:$L$290,8,FALSE)</f>
        <v>CPS</v>
      </c>
      <c r="D215">
        <f>VLOOKUP(B215,'[1]Planting GPS Points'!$B$3:$AL$290,15,FALSE)</f>
        <v>0</v>
      </c>
      <c r="E215" s="42">
        <v>42880</v>
      </c>
      <c r="F215" s="44">
        <v>8.0000000000000002E-3</v>
      </c>
      <c r="G215">
        <v>12</v>
      </c>
      <c r="H215" s="35" t="s">
        <v>971</v>
      </c>
      <c r="I215" s="42">
        <v>43292</v>
      </c>
      <c r="J215" s="77" t="s">
        <v>23</v>
      </c>
      <c r="K215" s="77" t="s">
        <v>967</v>
      </c>
      <c r="L215">
        <v>0</v>
      </c>
      <c r="N215" s="47"/>
      <c r="O215">
        <f t="shared" si="15"/>
        <v>412</v>
      </c>
      <c r="P215" s="97">
        <f t="shared" si="16"/>
        <v>0</v>
      </c>
      <c r="Q215" s="8"/>
    </row>
    <row r="216" spans="1:18" x14ac:dyDescent="0.25">
      <c r="A216" s="9" t="s">
        <v>1157</v>
      </c>
      <c r="B216" s="9" t="s">
        <v>1217</v>
      </c>
      <c r="C216" t="str">
        <f>VLOOKUP(B216,'[1]Planting GPS Points'!$B$3:$L$290,8,FALSE)</f>
        <v>CPS</v>
      </c>
      <c r="D216">
        <f>VLOOKUP(B216,'[1]Planting GPS Points'!$B$3:$AL$290,15,FALSE)</f>
        <v>0</v>
      </c>
      <c r="E216" s="42">
        <v>42880</v>
      </c>
      <c r="F216" s="44">
        <v>8.0000000000000002E-3</v>
      </c>
      <c r="G216">
        <v>12</v>
      </c>
      <c r="H216" s="35" t="s">
        <v>971</v>
      </c>
      <c r="I216" s="42">
        <v>43320</v>
      </c>
      <c r="J216" s="77" t="s">
        <v>23</v>
      </c>
      <c r="K216" s="77" t="s">
        <v>967</v>
      </c>
      <c r="L216">
        <v>0</v>
      </c>
      <c r="N216" s="47"/>
      <c r="O216">
        <f t="shared" si="15"/>
        <v>440</v>
      </c>
      <c r="P216" s="97">
        <f t="shared" si="16"/>
        <v>0</v>
      </c>
      <c r="Q216" s="8"/>
    </row>
    <row r="217" spans="1:18" x14ac:dyDescent="0.25">
      <c r="A217" s="9" t="s">
        <v>1157</v>
      </c>
      <c r="B217" s="9" t="s">
        <v>1217</v>
      </c>
      <c r="C217" t="str">
        <f>VLOOKUP(B217,'[1]Planting GPS Points'!$B$3:$L$290,8,FALSE)</f>
        <v>CPS</v>
      </c>
      <c r="D217">
        <f>VLOOKUP(B217,'[1]Planting GPS Points'!$B$3:$AL$290,15,FALSE)</f>
        <v>0</v>
      </c>
      <c r="E217" s="42">
        <v>42880</v>
      </c>
      <c r="F217" s="44">
        <v>8.0000000000000002E-3</v>
      </c>
      <c r="G217">
        <v>12</v>
      </c>
      <c r="H217" s="35" t="s">
        <v>971</v>
      </c>
      <c r="I217" s="42">
        <v>43676</v>
      </c>
      <c r="J217" s="77" t="s">
        <v>23</v>
      </c>
      <c r="K217" s="77" t="s">
        <v>967</v>
      </c>
      <c r="L217">
        <v>0</v>
      </c>
      <c r="N217" s="47"/>
      <c r="O217">
        <f t="shared" si="15"/>
        <v>796</v>
      </c>
      <c r="P217" s="97">
        <f t="shared" si="16"/>
        <v>0</v>
      </c>
      <c r="Q217" s="8"/>
    </row>
    <row r="218" spans="1:18" x14ac:dyDescent="0.25">
      <c r="A218" s="140" t="s">
        <v>1157</v>
      </c>
      <c r="B218" s="9" t="s">
        <v>1217</v>
      </c>
      <c r="C218" t="str">
        <f>VLOOKUP(B218,'[1]Planting GPS Points'!$B$3:$L$290,8,FALSE)</f>
        <v>CPS</v>
      </c>
      <c r="D218">
        <f>VLOOKUP(B218,'[1]Planting GPS Points'!$B$3:$AL$290,15,FALSE)</f>
        <v>0</v>
      </c>
      <c r="E218" s="42">
        <v>42880</v>
      </c>
      <c r="F218" s="44">
        <v>8.0000000000000002E-3</v>
      </c>
      <c r="G218">
        <v>12</v>
      </c>
      <c r="H218" s="35" t="s">
        <v>971</v>
      </c>
      <c r="I218" s="42">
        <v>44033</v>
      </c>
      <c r="J218" s="77" t="s">
        <v>23</v>
      </c>
      <c r="K218" s="77" t="s">
        <v>967</v>
      </c>
      <c r="L218">
        <v>0</v>
      </c>
      <c r="N218" s="44" t="str">
        <f>IFERROR(L218/M218, "")</f>
        <v/>
      </c>
      <c r="O218">
        <f t="shared" si="15"/>
        <v>1153</v>
      </c>
      <c r="P218" s="97">
        <f t="shared" si="16"/>
        <v>0</v>
      </c>
      <c r="Q218" s="8"/>
    </row>
    <row r="219" spans="1:18" x14ac:dyDescent="0.25">
      <c r="A219" s="9" t="s">
        <v>1157</v>
      </c>
      <c r="B219" s="9" t="s">
        <v>1224</v>
      </c>
      <c r="C219" t="str">
        <f>VLOOKUP(B219,'[1]Planting GPS Points'!$B$3:$L$290,8,FALSE)</f>
        <v>CPS</v>
      </c>
      <c r="D219">
        <f>VLOOKUP(B219,'[1]Planting GPS Points'!$B$3:$AL$290,15,FALSE)</f>
        <v>0</v>
      </c>
      <c r="E219" s="42">
        <v>42880</v>
      </c>
      <c r="F219" s="44">
        <v>8.0000000000000002E-3</v>
      </c>
      <c r="G219">
        <v>12</v>
      </c>
      <c r="H219" s="35" t="s">
        <v>971</v>
      </c>
      <c r="I219" s="42">
        <v>42883</v>
      </c>
      <c r="J219" s="77" t="s">
        <v>12</v>
      </c>
      <c r="K219" s="77" t="s">
        <v>967</v>
      </c>
      <c r="L219">
        <v>9</v>
      </c>
      <c r="M219">
        <v>8.0000000000000002E-3</v>
      </c>
      <c r="N219">
        <f>L219/M219</f>
        <v>1125</v>
      </c>
      <c r="O219">
        <f t="shared" si="15"/>
        <v>3</v>
      </c>
      <c r="P219" s="97">
        <f t="shared" si="16"/>
        <v>0.75</v>
      </c>
      <c r="Q219" s="8" t="s">
        <v>1848</v>
      </c>
    </row>
    <row r="220" spans="1:18" x14ac:dyDescent="0.25">
      <c r="A220" s="9" t="s">
        <v>1157</v>
      </c>
      <c r="B220" s="9" t="s">
        <v>1224</v>
      </c>
      <c r="C220" t="str">
        <f>VLOOKUP(B220,'[1]Planting GPS Points'!$B$3:$L$290,8,FALSE)</f>
        <v>CPS</v>
      </c>
      <c r="D220">
        <f>VLOOKUP(B220,'[1]Planting GPS Points'!$B$3:$AL$290,15,FALSE)</f>
        <v>0</v>
      </c>
      <c r="E220" s="42">
        <v>42880</v>
      </c>
      <c r="F220" s="44">
        <v>8.0000000000000002E-3</v>
      </c>
      <c r="G220">
        <v>12</v>
      </c>
      <c r="H220" s="35" t="s">
        <v>971</v>
      </c>
      <c r="I220" s="42">
        <v>42938</v>
      </c>
      <c r="J220" s="77" t="s">
        <v>12</v>
      </c>
      <c r="K220" s="77" t="s">
        <v>967</v>
      </c>
      <c r="L220">
        <v>2</v>
      </c>
      <c r="M220">
        <v>8.0000000000000002E-3</v>
      </c>
      <c r="N220">
        <f>L220/M220</f>
        <v>250</v>
      </c>
      <c r="O220">
        <f t="shared" si="15"/>
        <v>58</v>
      </c>
      <c r="P220" s="97">
        <f t="shared" si="16"/>
        <v>0.16666666666666666</v>
      </c>
      <c r="Q220" s="8" t="s">
        <v>1849</v>
      </c>
    </row>
    <row r="221" spans="1:18" x14ac:dyDescent="0.25">
      <c r="A221" s="9" t="s">
        <v>1157</v>
      </c>
      <c r="B221" s="9" t="s">
        <v>1224</v>
      </c>
      <c r="C221" t="str">
        <f>VLOOKUP(B221,'[1]Planting GPS Points'!$B$3:$L$290,8,FALSE)</f>
        <v>CPS</v>
      </c>
      <c r="D221">
        <f>VLOOKUP(B221,'[1]Planting GPS Points'!$B$3:$AL$290,15,FALSE)</f>
        <v>0</v>
      </c>
      <c r="E221" s="42">
        <v>42880</v>
      </c>
      <c r="F221" s="44">
        <v>8.0000000000000002E-3</v>
      </c>
      <c r="G221">
        <v>12</v>
      </c>
      <c r="H221" s="35" t="s">
        <v>971</v>
      </c>
      <c r="I221" s="42">
        <v>42967</v>
      </c>
      <c r="J221" s="77" t="s">
        <v>23</v>
      </c>
      <c r="K221" s="77" t="s">
        <v>967</v>
      </c>
      <c r="L221">
        <v>0</v>
      </c>
      <c r="M221">
        <v>0</v>
      </c>
      <c r="O221">
        <f t="shared" si="15"/>
        <v>87</v>
      </c>
      <c r="P221" s="97">
        <f t="shared" si="16"/>
        <v>0</v>
      </c>
      <c r="Q221" s="8" t="s">
        <v>1849</v>
      </c>
    </row>
    <row r="222" spans="1:18" x14ac:dyDescent="0.25">
      <c r="A222" s="9" t="s">
        <v>1157</v>
      </c>
      <c r="B222" s="9" t="s">
        <v>1224</v>
      </c>
      <c r="C222" t="str">
        <f>VLOOKUP(B222,'[1]Planting GPS Points'!$B$3:$L$290,8,FALSE)</f>
        <v>CPS</v>
      </c>
      <c r="D222">
        <f>VLOOKUP(B222,'[1]Planting GPS Points'!$B$3:$AL$290,15,FALSE)</f>
        <v>0</v>
      </c>
      <c r="E222" s="42">
        <v>42880</v>
      </c>
      <c r="F222" s="44">
        <v>8.0000000000000002E-3</v>
      </c>
      <c r="G222">
        <v>12</v>
      </c>
      <c r="H222" s="35" t="s">
        <v>971</v>
      </c>
      <c r="I222" s="42">
        <v>43073</v>
      </c>
      <c r="J222" s="77" t="s">
        <v>23</v>
      </c>
      <c r="K222" s="77" t="s">
        <v>967</v>
      </c>
      <c r="L222">
        <v>0</v>
      </c>
      <c r="N222" s="47"/>
      <c r="O222">
        <f t="shared" si="15"/>
        <v>193</v>
      </c>
      <c r="P222" s="97">
        <f t="shared" si="16"/>
        <v>0</v>
      </c>
      <c r="Q222" s="8" t="s">
        <v>1850</v>
      </c>
    </row>
    <row r="223" spans="1:18" x14ac:dyDescent="0.25">
      <c r="A223" s="9" t="s">
        <v>1157</v>
      </c>
      <c r="B223" s="9" t="s">
        <v>1224</v>
      </c>
      <c r="C223" t="str">
        <f>VLOOKUP(B223,'[1]Planting GPS Points'!$B$3:$L$290,8,FALSE)</f>
        <v>CPS</v>
      </c>
      <c r="D223">
        <f>VLOOKUP(B223,'[1]Planting GPS Points'!$B$3:$AL$290,15,FALSE)</f>
        <v>0</v>
      </c>
      <c r="E223" s="42">
        <v>42880</v>
      </c>
      <c r="F223" s="44">
        <v>8.0000000000000002E-3</v>
      </c>
      <c r="G223">
        <v>12</v>
      </c>
      <c r="H223" s="35" t="s">
        <v>971</v>
      </c>
      <c r="I223" s="42">
        <v>43130</v>
      </c>
      <c r="J223" s="77" t="s">
        <v>23</v>
      </c>
      <c r="K223" s="77" t="s">
        <v>967</v>
      </c>
      <c r="L223">
        <v>0</v>
      </c>
      <c r="M223">
        <v>0</v>
      </c>
      <c r="N223" s="47"/>
      <c r="O223">
        <f t="shared" si="15"/>
        <v>250</v>
      </c>
      <c r="P223" s="97">
        <f t="shared" si="16"/>
        <v>0</v>
      </c>
      <c r="Q223" s="8" t="s">
        <v>1851</v>
      </c>
    </row>
    <row r="224" spans="1:18" x14ac:dyDescent="0.25">
      <c r="A224" s="9" t="s">
        <v>1157</v>
      </c>
      <c r="B224" s="9" t="s">
        <v>1224</v>
      </c>
      <c r="C224" t="str">
        <f>VLOOKUP(B224,'[1]Planting GPS Points'!$B$3:$L$290,8,FALSE)</f>
        <v>CPS</v>
      </c>
      <c r="D224">
        <f>VLOOKUP(B224,'[1]Planting GPS Points'!$B$3:$AL$290,15,FALSE)</f>
        <v>0</v>
      </c>
      <c r="E224" s="42">
        <v>42880</v>
      </c>
      <c r="F224" s="44">
        <v>8.0000000000000002E-3</v>
      </c>
      <c r="G224">
        <v>12</v>
      </c>
      <c r="H224" s="35" t="s">
        <v>971</v>
      </c>
      <c r="I224" s="42">
        <v>43235</v>
      </c>
      <c r="J224" s="77" t="s">
        <v>23</v>
      </c>
      <c r="K224" s="77" t="s">
        <v>967</v>
      </c>
      <c r="L224">
        <v>0</v>
      </c>
      <c r="N224" s="47"/>
      <c r="O224">
        <f t="shared" si="15"/>
        <v>355</v>
      </c>
      <c r="P224" s="97">
        <f t="shared" si="16"/>
        <v>0</v>
      </c>
      <c r="Q224" s="8" t="s">
        <v>1852</v>
      </c>
    </row>
    <row r="225" spans="1:17" x14ac:dyDescent="0.25">
      <c r="A225" s="9" t="s">
        <v>1157</v>
      </c>
      <c r="B225" s="9" t="s">
        <v>1224</v>
      </c>
      <c r="C225" t="str">
        <f>VLOOKUP(B225,'[1]Planting GPS Points'!$B$3:$L$290,8,FALSE)</f>
        <v>CPS</v>
      </c>
      <c r="D225">
        <f>VLOOKUP(B225,'[1]Planting GPS Points'!$B$3:$AL$290,15,FALSE)</f>
        <v>0</v>
      </c>
      <c r="E225" s="42">
        <v>42880</v>
      </c>
      <c r="F225" s="44">
        <v>8.0000000000000002E-3</v>
      </c>
      <c r="G225">
        <v>12</v>
      </c>
      <c r="H225" s="35" t="s">
        <v>971</v>
      </c>
      <c r="I225" s="42">
        <v>43292</v>
      </c>
      <c r="J225" s="77" t="s">
        <v>23</v>
      </c>
      <c r="K225" s="77" t="s">
        <v>967</v>
      </c>
      <c r="L225">
        <v>0</v>
      </c>
      <c r="N225" s="47"/>
      <c r="O225">
        <f t="shared" si="15"/>
        <v>412</v>
      </c>
      <c r="P225" s="97">
        <f t="shared" si="16"/>
        <v>0</v>
      </c>
      <c r="Q225" s="8"/>
    </row>
    <row r="226" spans="1:17" x14ac:dyDescent="0.25">
      <c r="A226" s="9" t="s">
        <v>1157</v>
      </c>
      <c r="B226" s="9" t="s">
        <v>1224</v>
      </c>
      <c r="C226" t="str">
        <f>VLOOKUP(B226,'[1]Planting GPS Points'!$B$3:$L$290,8,FALSE)</f>
        <v>CPS</v>
      </c>
      <c r="D226">
        <f>VLOOKUP(B226,'[1]Planting GPS Points'!$B$3:$AL$290,15,FALSE)</f>
        <v>0</v>
      </c>
      <c r="E226" s="42">
        <v>42880</v>
      </c>
      <c r="F226" s="44">
        <v>8.0000000000000002E-3</v>
      </c>
      <c r="G226">
        <v>12</v>
      </c>
      <c r="H226" s="35" t="s">
        <v>971</v>
      </c>
      <c r="I226" s="42">
        <v>43320</v>
      </c>
      <c r="J226" s="77" t="s">
        <v>23</v>
      </c>
      <c r="K226" s="77" t="s">
        <v>967</v>
      </c>
      <c r="L226">
        <v>0</v>
      </c>
      <c r="N226" s="47"/>
      <c r="O226">
        <f t="shared" si="15"/>
        <v>440</v>
      </c>
      <c r="P226" s="97">
        <f t="shared" si="16"/>
        <v>0</v>
      </c>
      <c r="Q226" s="8"/>
    </row>
    <row r="227" spans="1:17" x14ac:dyDescent="0.25">
      <c r="A227" s="9" t="s">
        <v>1157</v>
      </c>
      <c r="B227" s="9" t="s">
        <v>1224</v>
      </c>
      <c r="C227" t="str">
        <f>VLOOKUP(B227,'[1]Planting GPS Points'!$B$3:$L$290,8,FALSE)</f>
        <v>CPS</v>
      </c>
      <c r="D227">
        <f>VLOOKUP(B227,'[1]Planting GPS Points'!$B$3:$AL$290,15,FALSE)</f>
        <v>0</v>
      </c>
      <c r="E227" s="42">
        <v>42880</v>
      </c>
      <c r="F227" s="44">
        <v>8.0000000000000002E-3</v>
      </c>
      <c r="G227">
        <v>12</v>
      </c>
      <c r="H227" s="35" t="s">
        <v>971</v>
      </c>
      <c r="I227" s="42">
        <v>43676</v>
      </c>
      <c r="J227" s="77" t="s">
        <v>23</v>
      </c>
      <c r="K227" s="77" t="s">
        <v>967</v>
      </c>
      <c r="L227">
        <v>0</v>
      </c>
      <c r="N227" s="47"/>
      <c r="O227">
        <f t="shared" si="15"/>
        <v>796</v>
      </c>
      <c r="P227" s="97">
        <f t="shared" si="16"/>
        <v>0</v>
      </c>
      <c r="Q227" s="8"/>
    </row>
    <row r="228" spans="1:17" x14ac:dyDescent="0.25">
      <c r="A228" s="140" t="s">
        <v>1157</v>
      </c>
      <c r="B228" s="9" t="s">
        <v>1224</v>
      </c>
      <c r="C228" t="str">
        <f>VLOOKUP(B228,'[1]Planting GPS Points'!$B$3:$L$290,8,FALSE)</f>
        <v>CPS</v>
      </c>
      <c r="D228">
        <f>VLOOKUP(B228,'[1]Planting GPS Points'!$B$3:$AL$290,15,FALSE)</f>
        <v>0</v>
      </c>
      <c r="E228" s="42">
        <v>42880</v>
      </c>
      <c r="F228" s="44">
        <v>8.0000000000000002E-3</v>
      </c>
      <c r="G228">
        <v>12</v>
      </c>
      <c r="H228" s="35" t="s">
        <v>971</v>
      </c>
      <c r="I228" s="42">
        <v>44033</v>
      </c>
      <c r="J228" s="77" t="s">
        <v>23</v>
      </c>
      <c r="K228" s="77" t="s">
        <v>967</v>
      </c>
      <c r="L228">
        <v>0</v>
      </c>
      <c r="N228" s="44" t="str">
        <f>IFERROR(L228/M228, "")</f>
        <v/>
      </c>
      <c r="O228">
        <f t="shared" si="15"/>
        <v>1153</v>
      </c>
      <c r="P228" s="97">
        <f t="shared" si="16"/>
        <v>0</v>
      </c>
      <c r="Q228" s="8"/>
    </row>
    <row r="229" spans="1:17" x14ac:dyDescent="0.25">
      <c r="A229" s="9" t="s">
        <v>1157</v>
      </c>
      <c r="B229" s="9" t="s">
        <v>1225</v>
      </c>
      <c r="C229" t="str">
        <f>VLOOKUP(B229,'[1]Planting GPS Points'!$B$3:$L$290,8,FALSE)</f>
        <v>CPS</v>
      </c>
      <c r="D229">
        <f>VLOOKUP(B229,'[1]Planting GPS Points'!$B$3:$AL$290,15,FALSE)</f>
        <v>0</v>
      </c>
      <c r="E229" s="42">
        <v>42880</v>
      </c>
      <c r="F229" s="44">
        <v>8.0000000000000002E-3</v>
      </c>
      <c r="G229">
        <v>12</v>
      </c>
      <c r="H229" s="35" t="s">
        <v>971</v>
      </c>
      <c r="I229" s="42">
        <v>42883</v>
      </c>
      <c r="J229" s="77" t="s">
        <v>12</v>
      </c>
      <c r="K229" s="77" t="s">
        <v>967</v>
      </c>
      <c r="L229">
        <v>11</v>
      </c>
      <c r="M229">
        <v>8.0000000000000002E-3</v>
      </c>
      <c r="N229">
        <f>L229/M229</f>
        <v>1375</v>
      </c>
      <c r="O229">
        <f t="shared" si="15"/>
        <v>3</v>
      </c>
      <c r="P229" s="97">
        <f t="shared" si="16"/>
        <v>0.91666666666666663</v>
      </c>
      <c r="Q229" s="8" t="s">
        <v>1848</v>
      </c>
    </row>
    <row r="230" spans="1:17" x14ac:dyDescent="0.25">
      <c r="A230" s="9" t="s">
        <v>1157</v>
      </c>
      <c r="B230" s="9" t="s">
        <v>1225</v>
      </c>
      <c r="C230" t="str">
        <f>VLOOKUP(B230,'[1]Planting GPS Points'!$B$3:$L$290,8,FALSE)</f>
        <v>CPS</v>
      </c>
      <c r="D230">
        <f>VLOOKUP(B230,'[1]Planting GPS Points'!$B$3:$AL$290,15,FALSE)</f>
        <v>0</v>
      </c>
      <c r="E230" s="42">
        <v>42880</v>
      </c>
      <c r="F230" s="44">
        <v>8.0000000000000002E-3</v>
      </c>
      <c r="G230">
        <v>12</v>
      </c>
      <c r="H230" s="35" t="s">
        <v>971</v>
      </c>
      <c r="I230" s="42">
        <v>42938</v>
      </c>
      <c r="J230" s="77" t="s">
        <v>12</v>
      </c>
      <c r="K230" s="77" t="s">
        <v>967</v>
      </c>
      <c r="L230">
        <v>11</v>
      </c>
      <c r="M230">
        <v>8.0000000000000002E-3</v>
      </c>
      <c r="N230">
        <f>L230/M230</f>
        <v>1375</v>
      </c>
      <c r="O230">
        <f t="shared" si="15"/>
        <v>58</v>
      </c>
      <c r="P230" s="97">
        <f t="shared" si="16"/>
        <v>0.91666666666666663</v>
      </c>
      <c r="Q230" s="8" t="s">
        <v>1849</v>
      </c>
    </row>
    <row r="231" spans="1:17" x14ac:dyDescent="0.25">
      <c r="A231" s="9" t="s">
        <v>1157</v>
      </c>
      <c r="B231" s="9" t="s">
        <v>1225</v>
      </c>
      <c r="C231" t="str">
        <f>VLOOKUP(B231,'[1]Planting GPS Points'!$B$3:$L$290,8,FALSE)</f>
        <v>CPS</v>
      </c>
      <c r="D231">
        <f>VLOOKUP(B231,'[1]Planting GPS Points'!$B$3:$AL$290,15,FALSE)</f>
        <v>0</v>
      </c>
      <c r="E231" s="42">
        <v>42880</v>
      </c>
      <c r="F231" s="44">
        <v>8.0000000000000002E-3</v>
      </c>
      <c r="G231">
        <v>12</v>
      </c>
      <c r="H231" s="35" t="s">
        <v>971</v>
      </c>
      <c r="I231" s="42">
        <v>42967</v>
      </c>
      <c r="J231" s="77" t="s">
        <v>12</v>
      </c>
      <c r="K231" s="77" t="s">
        <v>967</v>
      </c>
      <c r="L231">
        <v>12</v>
      </c>
      <c r="M231">
        <v>1.1299999999999999E-2</v>
      </c>
      <c r="N231" s="47">
        <f>L231/M231</f>
        <v>1061.9469026548672</v>
      </c>
      <c r="O231">
        <f t="shared" si="15"/>
        <v>87</v>
      </c>
      <c r="P231" s="97">
        <f t="shared" si="16"/>
        <v>1</v>
      </c>
      <c r="Q231" s="8" t="s">
        <v>1849</v>
      </c>
    </row>
    <row r="232" spans="1:17" x14ac:dyDescent="0.25">
      <c r="A232" s="9" t="s">
        <v>1157</v>
      </c>
      <c r="B232" s="9" t="s">
        <v>1225</v>
      </c>
      <c r="C232" t="str">
        <f>VLOOKUP(B232,'[1]Planting GPS Points'!$B$3:$L$290,8,FALSE)</f>
        <v>CPS</v>
      </c>
      <c r="D232">
        <f>VLOOKUP(B232,'[1]Planting GPS Points'!$B$3:$AL$290,15,FALSE)</f>
        <v>0</v>
      </c>
      <c r="E232" s="42">
        <v>42880</v>
      </c>
      <c r="F232" s="44">
        <v>8.0000000000000002E-3</v>
      </c>
      <c r="G232">
        <v>12</v>
      </c>
      <c r="H232" s="35" t="s">
        <v>971</v>
      </c>
      <c r="I232" s="42">
        <v>43073</v>
      </c>
      <c r="J232" s="77" t="s">
        <v>12</v>
      </c>
      <c r="K232" s="77" t="s">
        <v>967</v>
      </c>
      <c r="L232">
        <v>8</v>
      </c>
      <c r="N232" s="47"/>
      <c r="O232">
        <f t="shared" si="15"/>
        <v>193</v>
      </c>
      <c r="P232" s="97">
        <f t="shared" si="16"/>
        <v>0.66666666666666663</v>
      </c>
      <c r="Q232" s="8" t="s">
        <v>1850</v>
      </c>
    </row>
    <row r="233" spans="1:17" x14ac:dyDescent="0.25">
      <c r="A233" s="9" t="s">
        <v>1157</v>
      </c>
      <c r="B233" s="9" t="s">
        <v>1225</v>
      </c>
      <c r="C233" t="str">
        <f>VLOOKUP(B233,'[1]Planting GPS Points'!$B$3:$L$290,8,FALSE)</f>
        <v>CPS</v>
      </c>
      <c r="D233">
        <f>VLOOKUP(B233,'[1]Planting GPS Points'!$B$3:$AL$290,15,FALSE)</f>
        <v>0</v>
      </c>
      <c r="E233" s="42">
        <v>42880</v>
      </c>
      <c r="F233" s="44">
        <v>8.0000000000000002E-3</v>
      </c>
      <c r="G233">
        <v>12</v>
      </c>
      <c r="H233" s="35" t="s">
        <v>971</v>
      </c>
      <c r="I233" s="42">
        <v>43130</v>
      </c>
      <c r="J233" s="77" t="s">
        <v>12</v>
      </c>
      <c r="K233" s="77" t="s">
        <v>967</v>
      </c>
      <c r="L233">
        <v>10</v>
      </c>
      <c r="M233">
        <v>3.1399999999999997E-2</v>
      </c>
      <c r="N233" s="47">
        <f>L233/M233</f>
        <v>318.47133757961785</v>
      </c>
      <c r="O233">
        <f t="shared" si="15"/>
        <v>250</v>
      </c>
      <c r="P233" s="97">
        <f t="shared" si="16"/>
        <v>0.83333333333333337</v>
      </c>
      <c r="Q233" s="8" t="s">
        <v>1851</v>
      </c>
    </row>
    <row r="234" spans="1:17" x14ac:dyDescent="0.25">
      <c r="A234" s="9" t="s">
        <v>1157</v>
      </c>
      <c r="B234" s="9" t="s">
        <v>1225</v>
      </c>
      <c r="C234" t="str">
        <f>VLOOKUP(B234,'[1]Planting GPS Points'!$B$3:$L$290,8,FALSE)</f>
        <v>CPS</v>
      </c>
      <c r="D234">
        <f>VLOOKUP(B234,'[1]Planting GPS Points'!$B$3:$AL$290,15,FALSE)</f>
        <v>0</v>
      </c>
      <c r="E234" s="42">
        <v>42880</v>
      </c>
      <c r="F234" s="44">
        <v>8.0000000000000002E-3</v>
      </c>
      <c r="G234">
        <v>12</v>
      </c>
      <c r="H234" s="35" t="s">
        <v>971</v>
      </c>
      <c r="I234" s="42">
        <v>43235</v>
      </c>
      <c r="J234" s="77" t="s">
        <v>12</v>
      </c>
      <c r="K234" s="77" t="s">
        <v>967</v>
      </c>
      <c r="L234">
        <v>8</v>
      </c>
      <c r="M234">
        <v>4.1526500000000001E-2</v>
      </c>
      <c r="N234" s="47">
        <f>L234/M234</f>
        <v>192.64806810109206</v>
      </c>
      <c r="O234">
        <f t="shared" si="15"/>
        <v>355</v>
      </c>
      <c r="P234" s="97">
        <f t="shared" si="16"/>
        <v>0.66666666666666663</v>
      </c>
      <c r="Q234" s="8" t="s">
        <v>1853</v>
      </c>
    </row>
    <row r="235" spans="1:17" x14ac:dyDescent="0.25">
      <c r="A235" s="9" t="s">
        <v>1157</v>
      </c>
      <c r="B235" s="9" t="s">
        <v>1225</v>
      </c>
      <c r="C235" t="str">
        <f>VLOOKUP(B235,'[1]Planting GPS Points'!$B$3:$L$290,8,FALSE)</f>
        <v>CPS</v>
      </c>
      <c r="D235">
        <f>VLOOKUP(B235,'[1]Planting GPS Points'!$B$3:$AL$290,15,FALSE)</f>
        <v>0</v>
      </c>
      <c r="E235" s="42">
        <v>42880</v>
      </c>
      <c r="F235" s="44">
        <v>8.0000000000000002E-3</v>
      </c>
      <c r="G235">
        <v>12</v>
      </c>
      <c r="H235" s="35" t="s">
        <v>971</v>
      </c>
      <c r="I235" s="42">
        <v>43292</v>
      </c>
      <c r="J235" s="77" t="s">
        <v>12</v>
      </c>
      <c r="K235" s="77" t="s">
        <v>967</v>
      </c>
      <c r="L235">
        <v>3</v>
      </c>
      <c r="M235">
        <v>1.5386000000000002E-2</v>
      </c>
      <c r="N235" s="47">
        <f>L235/M235</f>
        <v>194.98245157935784</v>
      </c>
      <c r="O235">
        <f t="shared" si="15"/>
        <v>412</v>
      </c>
      <c r="P235" s="97">
        <f t="shared" si="16"/>
        <v>0.25</v>
      </c>
      <c r="Q235" s="8" t="s">
        <v>1854</v>
      </c>
    </row>
    <row r="236" spans="1:17" x14ac:dyDescent="0.25">
      <c r="A236" s="9" t="s">
        <v>1157</v>
      </c>
      <c r="B236" s="9" t="s">
        <v>1225</v>
      </c>
      <c r="C236" t="str">
        <f>VLOOKUP(B236,'[1]Planting GPS Points'!$B$3:$L$290,8,FALSE)</f>
        <v>CPS</v>
      </c>
      <c r="D236">
        <f>VLOOKUP(B236,'[1]Planting GPS Points'!$B$3:$AL$290,15,FALSE)</f>
        <v>0</v>
      </c>
      <c r="E236" s="42">
        <v>42880</v>
      </c>
      <c r="F236" s="44">
        <v>8.0000000000000002E-3</v>
      </c>
      <c r="G236">
        <v>12</v>
      </c>
      <c r="H236" s="35" t="s">
        <v>971</v>
      </c>
      <c r="I236" s="42">
        <v>43320</v>
      </c>
      <c r="J236" s="77" t="s">
        <v>12</v>
      </c>
      <c r="K236" s="77" t="s">
        <v>967</v>
      </c>
      <c r="L236">
        <v>2</v>
      </c>
      <c r="M236">
        <v>7.8499999999999993E-3</v>
      </c>
      <c r="N236" s="47">
        <f>L236/M236</f>
        <v>254.77707006369428</v>
      </c>
      <c r="O236">
        <f t="shared" si="15"/>
        <v>440</v>
      </c>
      <c r="P236" s="97">
        <f t="shared" si="16"/>
        <v>0.16666666666666666</v>
      </c>
      <c r="Q236" s="8" t="s">
        <v>1854</v>
      </c>
    </row>
    <row r="237" spans="1:17" x14ac:dyDescent="0.25">
      <c r="A237" s="9" t="s">
        <v>1157</v>
      </c>
      <c r="B237" s="9" t="s">
        <v>1225</v>
      </c>
      <c r="C237" t="str">
        <f>VLOOKUP(B237,'[1]Planting GPS Points'!$B$3:$L$290,8,FALSE)</f>
        <v>CPS</v>
      </c>
      <c r="D237">
        <f>VLOOKUP(B237,'[1]Planting GPS Points'!$B$3:$AL$290,15,FALSE)</f>
        <v>0</v>
      </c>
      <c r="E237" s="42">
        <v>42880</v>
      </c>
      <c r="F237" s="44">
        <v>8.0000000000000002E-3</v>
      </c>
      <c r="G237">
        <v>12</v>
      </c>
      <c r="H237" s="35" t="s">
        <v>971</v>
      </c>
      <c r="I237" s="42">
        <v>43676</v>
      </c>
      <c r="J237" s="77" t="s">
        <v>23</v>
      </c>
      <c r="K237" s="77" t="s">
        <v>967</v>
      </c>
      <c r="L237">
        <v>0</v>
      </c>
      <c r="N237" s="47"/>
      <c r="O237">
        <f t="shared" si="15"/>
        <v>796</v>
      </c>
      <c r="P237" s="97">
        <f t="shared" si="16"/>
        <v>0</v>
      </c>
      <c r="Q237" s="8"/>
    </row>
    <row r="238" spans="1:17" x14ac:dyDescent="0.25">
      <c r="A238" s="140" t="s">
        <v>1157</v>
      </c>
      <c r="B238" s="9" t="s">
        <v>1225</v>
      </c>
      <c r="C238" t="str">
        <f>VLOOKUP(B238,'[1]Planting GPS Points'!$B$3:$L$290,8,FALSE)</f>
        <v>CPS</v>
      </c>
      <c r="D238">
        <f>VLOOKUP(B238,'[1]Planting GPS Points'!$B$3:$AL$290,15,FALSE)</f>
        <v>0</v>
      </c>
      <c r="E238" s="42">
        <v>42880</v>
      </c>
      <c r="F238" s="44">
        <v>8.0000000000000002E-3</v>
      </c>
      <c r="G238">
        <v>12</v>
      </c>
      <c r="H238" s="35" t="s">
        <v>971</v>
      </c>
      <c r="I238" s="42">
        <v>44033</v>
      </c>
      <c r="J238" s="77" t="s">
        <v>23</v>
      </c>
      <c r="K238" s="77" t="s">
        <v>967</v>
      </c>
      <c r="L238">
        <v>0</v>
      </c>
      <c r="N238" s="44" t="str">
        <f>IFERROR(L238/M238, "")</f>
        <v/>
      </c>
      <c r="O238">
        <f t="shared" ref="O238:O301" si="17">I238-E238</f>
        <v>1153</v>
      </c>
      <c r="P238" s="97">
        <f t="shared" si="16"/>
        <v>0</v>
      </c>
      <c r="Q238" s="8"/>
    </row>
    <row r="239" spans="1:17" x14ac:dyDescent="0.25">
      <c r="A239" s="9" t="s">
        <v>1157</v>
      </c>
      <c r="B239" s="9" t="s">
        <v>1215</v>
      </c>
      <c r="C239" t="str">
        <f>VLOOKUP(B239,'[1]Planting GPS Points'!$B$3:$L$290,8,FALSE)</f>
        <v>CPS</v>
      </c>
      <c r="D239">
        <f>VLOOKUP(B239,'[1]Planting GPS Points'!$B$3:$AL$290,15,FALSE)</f>
        <v>0</v>
      </c>
      <c r="E239" s="42">
        <v>42880</v>
      </c>
      <c r="F239" s="44">
        <v>8.0000000000000002E-3</v>
      </c>
      <c r="G239">
        <v>12</v>
      </c>
      <c r="H239" s="35" t="s">
        <v>971</v>
      </c>
      <c r="I239" s="42">
        <v>42883</v>
      </c>
      <c r="J239" s="77" t="s">
        <v>12</v>
      </c>
      <c r="K239" s="77" t="s">
        <v>967</v>
      </c>
      <c r="L239">
        <v>11</v>
      </c>
      <c r="M239">
        <v>8.0000000000000002E-3</v>
      </c>
      <c r="N239">
        <f>L239/M239</f>
        <v>1375</v>
      </c>
      <c r="O239">
        <f t="shared" si="17"/>
        <v>3</v>
      </c>
      <c r="P239" s="97">
        <f t="shared" si="16"/>
        <v>0.91666666666666663</v>
      </c>
      <c r="Q239" s="8" t="s">
        <v>1848</v>
      </c>
    </row>
    <row r="240" spans="1:17" x14ac:dyDescent="0.25">
      <c r="A240" s="9" t="s">
        <v>1157</v>
      </c>
      <c r="B240" s="9" t="s">
        <v>1215</v>
      </c>
      <c r="C240" t="str">
        <f>VLOOKUP(B240,'[1]Planting GPS Points'!$B$3:$L$290,8,FALSE)</f>
        <v>CPS</v>
      </c>
      <c r="D240">
        <f>VLOOKUP(B240,'[1]Planting GPS Points'!$B$3:$AL$290,15,FALSE)</f>
        <v>0</v>
      </c>
      <c r="E240" s="42">
        <v>42880</v>
      </c>
      <c r="F240" s="44">
        <v>8.0000000000000002E-3</v>
      </c>
      <c r="G240">
        <v>12</v>
      </c>
      <c r="H240" s="35" t="s">
        <v>971</v>
      </c>
      <c r="I240" s="42">
        <v>42938</v>
      </c>
      <c r="J240" s="77" t="s">
        <v>12</v>
      </c>
      <c r="K240" s="77" t="s">
        <v>967</v>
      </c>
      <c r="L240">
        <v>16</v>
      </c>
      <c r="M240">
        <v>8.0000000000000002E-3</v>
      </c>
      <c r="N240">
        <f>L240/M240</f>
        <v>2000</v>
      </c>
      <c r="O240">
        <f t="shared" si="17"/>
        <v>58</v>
      </c>
      <c r="P240" s="97">
        <f t="shared" si="16"/>
        <v>1.3333333333333333</v>
      </c>
      <c r="Q240" s="8" t="s">
        <v>1849</v>
      </c>
    </row>
    <row r="241" spans="1:17" x14ac:dyDescent="0.25">
      <c r="A241" s="9" t="s">
        <v>1157</v>
      </c>
      <c r="B241" s="9" t="s">
        <v>1215</v>
      </c>
      <c r="C241" t="str">
        <f>VLOOKUP(B241,'[1]Planting GPS Points'!$B$3:$L$290,8,FALSE)</f>
        <v>CPS</v>
      </c>
      <c r="D241">
        <f>VLOOKUP(B241,'[1]Planting GPS Points'!$B$3:$AL$290,15,FALSE)</f>
        <v>0</v>
      </c>
      <c r="E241" s="42">
        <v>42880</v>
      </c>
      <c r="F241" s="44">
        <v>8.0000000000000002E-3</v>
      </c>
      <c r="G241">
        <v>12</v>
      </c>
      <c r="H241" s="35" t="s">
        <v>971</v>
      </c>
      <c r="I241" s="42">
        <v>42967</v>
      </c>
      <c r="J241" s="77" t="s">
        <v>12</v>
      </c>
      <c r="K241" s="77" t="s">
        <v>967</v>
      </c>
      <c r="L241">
        <v>25</v>
      </c>
      <c r="M241">
        <v>3.1399999999999997E-2</v>
      </c>
      <c r="N241" s="47">
        <f>L241/M241</f>
        <v>796.17834394904469</v>
      </c>
      <c r="O241">
        <f t="shared" si="17"/>
        <v>87</v>
      </c>
      <c r="P241" s="97">
        <f t="shared" si="16"/>
        <v>2.0833333333333335</v>
      </c>
      <c r="Q241" s="8" t="s">
        <v>1855</v>
      </c>
    </row>
    <row r="242" spans="1:17" x14ac:dyDescent="0.25">
      <c r="A242" s="9" t="s">
        <v>1157</v>
      </c>
      <c r="B242" s="9" t="s">
        <v>1215</v>
      </c>
      <c r="C242" t="str">
        <f>VLOOKUP(B242,'[1]Planting GPS Points'!$B$3:$L$290,8,FALSE)</f>
        <v>CPS</v>
      </c>
      <c r="D242">
        <f>VLOOKUP(B242,'[1]Planting GPS Points'!$B$3:$AL$290,15,FALSE)</f>
        <v>0</v>
      </c>
      <c r="E242" s="42">
        <v>42880</v>
      </c>
      <c r="F242" s="44">
        <v>8.0000000000000002E-3</v>
      </c>
      <c r="G242">
        <v>12</v>
      </c>
      <c r="H242" s="35" t="s">
        <v>971</v>
      </c>
      <c r="I242" s="42">
        <v>43073</v>
      </c>
      <c r="J242" s="77" t="s">
        <v>12</v>
      </c>
      <c r="K242" s="77" t="s">
        <v>967</v>
      </c>
      <c r="L242">
        <v>66</v>
      </c>
      <c r="N242" s="47"/>
      <c r="O242">
        <f t="shared" si="17"/>
        <v>193</v>
      </c>
      <c r="P242" s="97">
        <f t="shared" si="16"/>
        <v>5.5</v>
      </c>
      <c r="Q242" s="8" t="s">
        <v>1850</v>
      </c>
    </row>
    <row r="243" spans="1:17" x14ac:dyDescent="0.25">
      <c r="A243" s="9" t="s">
        <v>1157</v>
      </c>
      <c r="B243" s="9" t="s">
        <v>1215</v>
      </c>
      <c r="C243" t="str">
        <f>VLOOKUP(B243,'[1]Planting GPS Points'!$B$3:$L$290,8,FALSE)</f>
        <v>CPS</v>
      </c>
      <c r="D243">
        <f>VLOOKUP(B243,'[1]Planting GPS Points'!$B$3:$AL$290,15,FALSE)</f>
        <v>0</v>
      </c>
      <c r="E243" s="42">
        <v>42880</v>
      </c>
      <c r="F243" s="44">
        <v>8.0000000000000002E-3</v>
      </c>
      <c r="G243">
        <v>12</v>
      </c>
      <c r="H243" s="35" t="s">
        <v>971</v>
      </c>
      <c r="I243" s="42">
        <v>43130</v>
      </c>
      <c r="J243" s="77" t="s">
        <v>12</v>
      </c>
      <c r="K243" s="77" t="s">
        <v>967</v>
      </c>
      <c r="L243">
        <v>61</v>
      </c>
      <c r="M243">
        <v>9.0746000000000007E-2</v>
      </c>
      <c r="N243" s="47">
        <f>L243/M243</f>
        <v>672.20593745178849</v>
      </c>
      <c r="O243">
        <f t="shared" si="17"/>
        <v>250</v>
      </c>
      <c r="P243" s="97">
        <f t="shared" si="16"/>
        <v>5.083333333333333</v>
      </c>
      <c r="Q243" s="8" t="s">
        <v>1851</v>
      </c>
    </row>
    <row r="244" spans="1:17" x14ac:dyDescent="0.25">
      <c r="A244" s="9" t="s">
        <v>1157</v>
      </c>
      <c r="B244" s="9" t="s">
        <v>1215</v>
      </c>
      <c r="C244" t="str">
        <f>VLOOKUP(B244,'[1]Planting GPS Points'!$B$3:$L$290,8,FALSE)</f>
        <v>CPS</v>
      </c>
      <c r="D244">
        <f>VLOOKUP(B244,'[1]Planting GPS Points'!$B$3:$AL$290,15,FALSE)</f>
        <v>0</v>
      </c>
      <c r="E244" s="42">
        <v>42880</v>
      </c>
      <c r="F244" s="44">
        <v>8.0000000000000002E-3</v>
      </c>
      <c r="G244">
        <v>12</v>
      </c>
      <c r="H244" s="35" t="s">
        <v>971</v>
      </c>
      <c r="I244" s="42">
        <v>43235</v>
      </c>
      <c r="J244" s="77" t="s">
        <v>12</v>
      </c>
      <c r="K244" s="77" t="s">
        <v>967</v>
      </c>
      <c r="L244">
        <v>46</v>
      </c>
      <c r="M244">
        <v>7.85E-2</v>
      </c>
      <c r="N244" s="47">
        <f>L244/M244</f>
        <v>585.98726114649685</v>
      </c>
      <c r="O244">
        <f t="shared" si="17"/>
        <v>355</v>
      </c>
      <c r="P244" s="97">
        <f t="shared" si="16"/>
        <v>3.8333333333333335</v>
      </c>
      <c r="Q244" s="8" t="s">
        <v>1856</v>
      </c>
    </row>
    <row r="245" spans="1:17" x14ac:dyDescent="0.25">
      <c r="A245" s="9" t="s">
        <v>1157</v>
      </c>
      <c r="B245" s="9" t="s">
        <v>1215</v>
      </c>
      <c r="C245" t="str">
        <f>VLOOKUP(B245,'[1]Planting GPS Points'!$B$3:$L$290,8,FALSE)</f>
        <v>CPS</v>
      </c>
      <c r="D245">
        <f>VLOOKUP(B245,'[1]Planting GPS Points'!$B$3:$AL$290,15,FALSE)</f>
        <v>0</v>
      </c>
      <c r="E245" s="42">
        <v>42880</v>
      </c>
      <c r="F245" s="44">
        <v>8.0000000000000002E-3</v>
      </c>
      <c r="G245">
        <v>12</v>
      </c>
      <c r="H245" s="35" t="s">
        <v>971</v>
      </c>
      <c r="I245" s="42">
        <v>43292</v>
      </c>
      <c r="J245" s="77" t="s">
        <v>12</v>
      </c>
      <c r="K245" s="77" t="s">
        <v>967</v>
      </c>
      <c r="L245">
        <v>8</v>
      </c>
      <c r="M245">
        <v>0.10746649999999999</v>
      </c>
      <c r="N245" s="47">
        <f>L245/M245</f>
        <v>74.441802794359177</v>
      </c>
      <c r="O245">
        <f t="shared" si="17"/>
        <v>412</v>
      </c>
      <c r="P245" s="97">
        <f t="shared" si="16"/>
        <v>0.66666666666666663</v>
      </c>
      <c r="Q245" s="8" t="s">
        <v>1854</v>
      </c>
    </row>
    <row r="246" spans="1:17" x14ac:dyDescent="0.25">
      <c r="A246" s="9" t="s">
        <v>1157</v>
      </c>
      <c r="B246" s="9" t="s">
        <v>1215</v>
      </c>
      <c r="C246" t="str">
        <f>VLOOKUP(B246,'[1]Planting GPS Points'!$B$3:$L$290,8,FALSE)</f>
        <v>CPS</v>
      </c>
      <c r="D246">
        <f>VLOOKUP(B246,'[1]Planting GPS Points'!$B$3:$AL$290,15,FALSE)</f>
        <v>0</v>
      </c>
      <c r="E246" s="42">
        <v>42880</v>
      </c>
      <c r="F246" s="44">
        <v>8.0000000000000002E-3</v>
      </c>
      <c r="G246">
        <v>12</v>
      </c>
      <c r="H246" s="35" t="s">
        <v>971</v>
      </c>
      <c r="I246" s="42">
        <v>43320</v>
      </c>
      <c r="J246" s="77" t="s">
        <v>23</v>
      </c>
      <c r="K246" s="77" t="s">
        <v>967</v>
      </c>
      <c r="L246">
        <v>0</v>
      </c>
      <c r="N246" s="47"/>
      <c r="O246">
        <f t="shared" si="17"/>
        <v>440</v>
      </c>
      <c r="P246" s="97">
        <f t="shared" si="16"/>
        <v>0</v>
      </c>
      <c r="Q246" s="8"/>
    </row>
    <row r="247" spans="1:17" x14ac:dyDescent="0.25">
      <c r="A247" s="9" t="s">
        <v>1157</v>
      </c>
      <c r="B247" s="9" t="s">
        <v>1215</v>
      </c>
      <c r="C247" t="str">
        <f>VLOOKUP(B247,'[1]Planting GPS Points'!$B$3:$L$290,8,FALSE)</f>
        <v>CPS</v>
      </c>
      <c r="D247">
        <f>VLOOKUP(B247,'[1]Planting GPS Points'!$B$3:$AL$290,15,FALSE)</f>
        <v>0</v>
      </c>
      <c r="E247" s="42">
        <v>42880</v>
      </c>
      <c r="F247" s="44">
        <v>8.0000000000000002E-3</v>
      </c>
      <c r="G247">
        <v>12</v>
      </c>
      <c r="H247" s="35" t="s">
        <v>971</v>
      </c>
      <c r="I247" s="42">
        <v>43676</v>
      </c>
      <c r="J247" s="77" t="s">
        <v>23</v>
      </c>
      <c r="K247" s="77" t="s">
        <v>967</v>
      </c>
      <c r="L247">
        <v>0</v>
      </c>
      <c r="N247" s="47"/>
      <c r="O247">
        <f t="shared" si="17"/>
        <v>796</v>
      </c>
      <c r="P247" s="97">
        <f t="shared" si="16"/>
        <v>0</v>
      </c>
      <c r="Q247" s="8"/>
    </row>
    <row r="248" spans="1:17" x14ac:dyDescent="0.25">
      <c r="A248" s="140" t="s">
        <v>1157</v>
      </c>
      <c r="B248" s="9" t="s">
        <v>1215</v>
      </c>
      <c r="C248" t="str">
        <f>VLOOKUP(B248,'[1]Planting GPS Points'!$B$3:$L$290,8,FALSE)</f>
        <v>CPS</v>
      </c>
      <c r="D248">
        <f>VLOOKUP(B248,'[1]Planting GPS Points'!$B$3:$AL$290,15,FALSE)</f>
        <v>0</v>
      </c>
      <c r="E248" s="42">
        <v>42880</v>
      </c>
      <c r="F248" s="44">
        <v>8.0000000000000002E-3</v>
      </c>
      <c r="G248">
        <v>12</v>
      </c>
      <c r="H248" s="35" t="s">
        <v>971</v>
      </c>
      <c r="I248" s="42">
        <v>44033</v>
      </c>
      <c r="J248" s="77" t="s">
        <v>23</v>
      </c>
      <c r="K248" s="77" t="s">
        <v>967</v>
      </c>
      <c r="L248">
        <v>0</v>
      </c>
      <c r="N248" s="44" t="str">
        <f>IFERROR(L248/M248, "")</f>
        <v/>
      </c>
      <c r="O248">
        <f t="shared" si="17"/>
        <v>1153</v>
      </c>
      <c r="P248" s="97">
        <f t="shared" si="16"/>
        <v>0</v>
      </c>
      <c r="Q248" s="8"/>
    </row>
    <row r="249" spans="1:17" x14ac:dyDescent="0.25">
      <c r="A249" s="9" t="s">
        <v>1157</v>
      </c>
      <c r="B249" s="9" t="s">
        <v>1219</v>
      </c>
      <c r="C249" t="str">
        <f>VLOOKUP(B249,'[1]Planting GPS Points'!$B$3:$L$290,8,FALSE)</f>
        <v>CPS</v>
      </c>
      <c r="D249">
        <f>VLOOKUP(B249,'[1]Planting GPS Points'!$B$3:$AL$290,15,FALSE)</f>
        <v>0</v>
      </c>
      <c r="E249" s="42">
        <v>42880</v>
      </c>
      <c r="F249" s="44">
        <v>8.0000000000000002E-3</v>
      </c>
      <c r="G249">
        <v>12</v>
      </c>
      <c r="H249" s="35" t="s">
        <v>971</v>
      </c>
      <c r="I249" s="42">
        <v>42883</v>
      </c>
      <c r="J249" s="77" t="s">
        <v>12</v>
      </c>
      <c r="K249" s="77" t="s">
        <v>967</v>
      </c>
      <c r="L249">
        <v>12</v>
      </c>
      <c r="M249">
        <v>8.0000000000000002E-3</v>
      </c>
      <c r="N249">
        <f>L249/M249</f>
        <v>1500</v>
      </c>
      <c r="O249">
        <f t="shared" si="17"/>
        <v>3</v>
      </c>
      <c r="P249" s="97">
        <f t="shared" si="16"/>
        <v>1</v>
      </c>
      <c r="Q249" s="8" t="s">
        <v>1848</v>
      </c>
    </row>
    <row r="250" spans="1:17" x14ac:dyDescent="0.25">
      <c r="A250" s="9" t="s">
        <v>1157</v>
      </c>
      <c r="B250" s="9" t="s">
        <v>1219</v>
      </c>
      <c r="C250" t="str">
        <f>VLOOKUP(B250,'[1]Planting GPS Points'!$B$3:$L$290,8,FALSE)</f>
        <v>CPS</v>
      </c>
      <c r="D250">
        <f>VLOOKUP(B250,'[1]Planting GPS Points'!$B$3:$AL$290,15,FALSE)</f>
        <v>0</v>
      </c>
      <c r="E250" s="42">
        <v>42880</v>
      </c>
      <c r="F250" s="44">
        <v>8.0000000000000002E-3</v>
      </c>
      <c r="G250">
        <v>12</v>
      </c>
      <c r="H250" s="35" t="s">
        <v>971</v>
      </c>
      <c r="I250" s="42">
        <v>42938</v>
      </c>
      <c r="J250" s="77" t="s">
        <v>12</v>
      </c>
      <c r="K250" s="77" t="s">
        <v>967</v>
      </c>
      <c r="L250">
        <v>17</v>
      </c>
      <c r="M250">
        <v>8.0000000000000002E-3</v>
      </c>
      <c r="N250">
        <f>L250/M250</f>
        <v>2125</v>
      </c>
      <c r="O250">
        <f t="shared" si="17"/>
        <v>58</v>
      </c>
      <c r="P250" s="97">
        <f t="shared" si="16"/>
        <v>1.4166666666666667</v>
      </c>
      <c r="Q250" s="8" t="s">
        <v>1849</v>
      </c>
    </row>
    <row r="251" spans="1:17" x14ac:dyDescent="0.25">
      <c r="A251" s="9" t="s">
        <v>1157</v>
      </c>
      <c r="B251" s="9" t="s">
        <v>1219</v>
      </c>
      <c r="C251" t="str">
        <f>VLOOKUP(B251,'[1]Planting GPS Points'!$B$3:$L$290,8,FALSE)</f>
        <v>CPS</v>
      </c>
      <c r="D251">
        <f>VLOOKUP(B251,'[1]Planting GPS Points'!$B$3:$AL$290,15,FALSE)</f>
        <v>0</v>
      </c>
      <c r="E251" s="42">
        <v>42880</v>
      </c>
      <c r="F251" s="44">
        <v>8.0000000000000002E-3</v>
      </c>
      <c r="G251">
        <v>12</v>
      </c>
      <c r="H251" s="35" t="s">
        <v>971</v>
      </c>
      <c r="I251" s="42">
        <v>42967</v>
      </c>
      <c r="J251" s="77" t="s">
        <v>12</v>
      </c>
      <c r="K251" s="77" t="s">
        <v>967</v>
      </c>
      <c r="L251">
        <v>29</v>
      </c>
      <c r="M251">
        <v>4.9059999999999999E-2</v>
      </c>
      <c r="N251" s="47">
        <f>L251/M251</f>
        <v>591.11292295148803</v>
      </c>
      <c r="O251">
        <f t="shared" si="17"/>
        <v>87</v>
      </c>
      <c r="P251" s="97">
        <f t="shared" si="16"/>
        <v>2.4166666666666665</v>
      </c>
      <c r="Q251" s="8" t="s">
        <v>1849</v>
      </c>
    </row>
    <row r="252" spans="1:17" x14ac:dyDescent="0.25">
      <c r="A252" s="9" t="s">
        <v>1157</v>
      </c>
      <c r="B252" s="9" t="s">
        <v>1219</v>
      </c>
      <c r="C252" t="str">
        <f>VLOOKUP(B252,'[1]Planting GPS Points'!$B$3:$L$290,8,FALSE)</f>
        <v>CPS</v>
      </c>
      <c r="D252">
        <f>VLOOKUP(B252,'[1]Planting GPS Points'!$B$3:$AL$290,15,FALSE)</f>
        <v>0</v>
      </c>
      <c r="E252" s="42">
        <v>42880</v>
      </c>
      <c r="F252" s="44">
        <v>8.0000000000000002E-3</v>
      </c>
      <c r="G252">
        <v>12</v>
      </c>
      <c r="H252" s="35" t="s">
        <v>971</v>
      </c>
      <c r="I252" s="42">
        <v>43073</v>
      </c>
      <c r="J252" s="77" t="s">
        <v>12</v>
      </c>
      <c r="K252" s="77" t="s">
        <v>967</v>
      </c>
      <c r="L252">
        <v>71</v>
      </c>
      <c r="N252" s="47"/>
      <c r="O252">
        <f t="shared" si="17"/>
        <v>193</v>
      </c>
      <c r="P252" s="97">
        <f t="shared" si="16"/>
        <v>5.916666666666667</v>
      </c>
      <c r="Q252" s="8" t="s">
        <v>1850</v>
      </c>
    </row>
    <row r="253" spans="1:17" x14ac:dyDescent="0.25">
      <c r="A253" s="9" t="s">
        <v>1157</v>
      </c>
      <c r="B253" s="9" t="s">
        <v>1219</v>
      </c>
      <c r="C253" t="str">
        <f>VLOOKUP(B253,'[1]Planting GPS Points'!$B$3:$L$290,8,FALSE)</f>
        <v>CPS</v>
      </c>
      <c r="D253">
        <f>VLOOKUP(B253,'[1]Planting GPS Points'!$B$3:$AL$290,15,FALSE)</f>
        <v>0</v>
      </c>
      <c r="E253" s="42">
        <v>42880</v>
      </c>
      <c r="F253" s="44">
        <v>8.0000000000000002E-3</v>
      </c>
      <c r="G253">
        <v>12</v>
      </c>
      <c r="H253" s="35" t="s">
        <v>971</v>
      </c>
      <c r="I253" s="42">
        <v>43130</v>
      </c>
      <c r="J253" s="77" t="s">
        <v>12</v>
      </c>
      <c r="K253" s="77" t="s">
        <v>967</v>
      </c>
      <c r="L253">
        <v>23</v>
      </c>
      <c r="M253">
        <v>0.228906</v>
      </c>
      <c r="N253" s="47">
        <f>L253/M253</f>
        <v>100.47792543664211</v>
      </c>
      <c r="O253">
        <f t="shared" si="17"/>
        <v>250</v>
      </c>
      <c r="P253" s="97">
        <f t="shared" si="16"/>
        <v>1.9166666666666667</v>
      </c>
      <c r="Q253" s="8" t="s">
        <v>1851</v>
      </c>
    </row>
    <row r="254" spans="1:17" x14ac:dyDescent="0.25">
      <c r="A254" s="9" t="s">
        <v>1157</v>
      </c>
      <c r="B254" s="9" t="s">
        <v>1219</v>
      </c>
      <c r="C254" t="str">
        <f>VLOOKUP(B254,'[1]Planting GPS Points'!$B$3:$L$290,8,FALSE)</f>
        <v>CPS</v>
      </c>
      <c r="D254">
        <f>VLOOKUP(B254,'[1]Planting GPS Points'!$B$3:$AL$290,15,FALSE)</f>
        <v>0</v>
      </c>
      <c r="E254" s="42">
        <v>42880</v>
      </c>
      <c r="F254" s="44">
        <v>8.0000000000000002E-3</v>
      </c>
      <c r="G254">
        <v>12</v>
      </c>
      <c r="H254" s="35" t="s">
        <v>971</v>
      </c>
      <c r="I254" s="42">
        <v>43235</v>
      </c>
      <c r="J254" s="77" t="s">
        <v>12</v>
      </c>
      <c r="K254" s="77" t="s">
        <v>967</v>
      </c>
      <c r="L254">
        <v>27</v>
      </c>
      <c r="M254">
        <v>0.39563999999999999</v>
      </c>
      <c r="N254" s="47">
        <f>L254/M254</f>
        <v>68.243858052775252</v>
      </c>
      <c r="O254">
        <f t="shared" si="17"/>
        <v>355</v>
      </c>
      <c r="P254" s="97">
        <f t="shared" si="16"/>
        <v>2.25</v>
      </c>
      <c r="Q254" s="8" t="s">
        <v>1856</v>
      </c>
    </row>
    <row r="255" spans="1:17" x14ac:dyDescent="0.25">
      <c r="A255" s="9" t="s">
        <v>1157</v>
      </c>
      <c r="B255" s="9" t="s">
        <v>1219</v>
      </c>
      <c r="C255" t="str">
        <f>VLOOKUP(B255,'[1]Planting GPS Points'!$B$3:$L$290,8,FALSE)</f>
        <v>CPS</v>
      </c>
      <c r="D255">
        <f>VLOOKUP(B255,'[1]Planting GPS Points'!$B$3:$AL$290,15,FALSE)</f>
        <v>0</v>
      </c>
      <c r="E255" s="42">
        <v>42880</v>
      </c>
      <c r="F255" s="44">
        <v>8.0000000000000002E-3</v>
      </c>
      <c r="G255">
        <v>12</v>
      </c>
      <c r="H255" s="35" t="s">
        <v>971</v>
      </c>
      <c r="I255" s="42">
        <v>43292</v>
      </c>
      <c r="J255" s="77" t="s">
        <v>12</v>
      </c>
      <c r="K255" s="77" t="s">
        <v>967</v>
      </c>
      <c r="L255">
        <v>2</v>
      </c>
      <c r="M255">
        <v>0.15896250000000001</v>
      </c>
      <c r="N255" s="47">
        <f>L255/M255</f>
        <v>12.581583706849099</v>
      </c>
      <c r="O255">
        <f t="shared" si="17"/>
        <v>412</v>
      </c>
      <c r="P255" s="97">
        <f t="shared" si="16"/>
        <v>0.16666666666666666</v>
      </c>
      <c r="Q255" s="8" t="s">
        <v>1854</v>
      </c>
    </row>
    <row r="256" spans="1:17" x14ac:dyDescent="0.25">
      <c r="A256" s="9" t="s">
        <v>1157</v>
      </c>
      <c r="B256" s="9" t="s">
        <v>1219</v>
      </c>
      <c r="C256" t="str">
        <f>VLOOKUP(B256,'[1]Planting GPS Points'!$B$3:$L$290,8,FALSE)</f>
        <v>CPS</v>
      </c>
      <c r="D256">
        <f>VLOOKUP(B256,'[1]Planting GPS Points'!$B$3:$AL$290,15,FALSE)</f>
        <v>0</v>
      </c>
      <c r="E256" s="42">
        <v>42880</v>
      </c>
      <c r="F256" s="44">
        <v>8.0000000000000002E-3</v>
      </c>
      <c r="G256">
        <v>12</v>
      </c>
      <c r="H256" s="35" t="s">
        <v>971</v>
      </c>
      <c r="I256" s="42">
        <v>43320</v>
      </c>
      <c r="J256" s="77" t="s">
        <v>23</v>
      </c>
      <c r="K256" s="77" t="s">
        <v>967</v>
      </c>
      <c r="L256">
        <v>0</v>
      </c>
      <c r="N256" s="47"/>
      <c r="O256">
        <f t="shared" si="17"/>
        <v>440</v>
      </c>
      <c r="P256" s="97">
        <f t="shared" si="16"/>
        <v>0</v>
      </c>
      <c r="Q256" s="8"/>
    </row>
    <row r="257" spans="1:18" x14ac:dyDescent="0.25">
      <c r="A257" s="9" t="s">
        <v>1157</v>
      </c>
      <c r="B257" s="9" t="s">
        <v>1219</v>
      </c>
      <c r="C257" t="str">
        <f>VLOOKUP(B257,'[1]Planting GPS Points'!$B$3:$L$290,8,FALSE)</f>
        <v>CPS</v>
      </c>
      <c r="D257">
        <f>VLOOKUP(B257,'[1]Planting GPS Points'!$B$3:$AL$290,15,FALSE)</f>
        <v>0</v>
      </c>
      <c r="E257" s="42">
        <v>42880</v>
      </c>
      <c r="F257" s="44">
        <v>8.0000000000000002E-3</v>
      </c>
      <c r="G257">
        <v>12</v>
      </c>
      <c r="H257" s="35" t="s">
        <v>971</v>
      </c>
      <c r="I257" s="42">
        <v>43676</v>
      </c>
      <c r="J257" s="77" t="s">
        <v>23</v>
      </c>
      <c r="K257" s="77" t="s">
        <v>967</v>
      </c>
      <c r="L257">
        <v>0</v>
      </c>
      <c r="N257" s="47"/>
      <c r="O257">
        <f t="shared" si="17"/>
        <v>796</v>
      </c>
      <c r="P257" s="97">
        <f t="shared" si="16"/>
        <v>0</v>
      </c>
      <c r="Q257" s="8"/>
    </row>
    <row r="258" spans="1:18" x14ac:dyDescent="0.25">
      <c r="A258" s="140" t="s">
        <v>1157</v>
      </c>
      <c r="B258" s="9" t="s">
        <v>1219</v>
      </c>
      <c r="C258" t="str">
        <f>VLOOKUP(B258,'[1]Planting GPS Points'!$B$3:$L$290,8,FALSE)</f>
        <v>CPS</v>
      </c>
      <c r="D258">
        <f>VLOOKUP(B258,'[1]Planting GPS Points'!$B$3:$AL$290,15,FALSE)</f>
        <v>0</v>
      </c>
      <c r="E258" s="42">
        <v>42880</v>
      </c>
      <c r="F258" s="44">
        <v>8.0000000000000002E-3</v>
      </c>
      <c r="G258">
        <v>12</v>
      </c>
      <c r="H258" s="35" t="s">
        <v>971</v>
      </c>
      <c r="I258" s="42">
        <v>44033</v>
      </c>
      <c r="J258" s="77" t="s">
        <v>23</v>
      </c>
      <c r="K258" s="77" t="s">
        <v>967</v>
      </c>
      <c r="L258">
        <v>0</v>
      </c>
      <c r="N258" s="44" t="str">
        <f>IFERROR(L258/M258, "")</f>
        <v/>
      </c>
      <c r="O258">
        <f t="shared" si="17"/>
        <v>1153</v>
      </c>
      <c r="P258" s="97">
        <f t="shared" si="16"/>
        <v>0</v>
      </c>
      <c r="Q258" s="8"/>
    </row>
    <row r="259" spans="1:18" x14ac:dyDescent="0.25">
      <c r="A259" s="9" t="s">
        <v>1157</v>
      </c>
      <c r="B259" s="9" t="s">
        <v>1221</v>
      </c>
      <c r="C259" t="str">
        <f>VLOOKUP(B259,'[1]Planting GPS Points'!$B$3:$L$290,8,FALSE)</f>
        <v>CPS</v>
      </c>
      <c r="D259">
        <f>VLOOKUP(B259,'[1]Planting GPS Points'!$B$3:$AL$290,15,FALSE)</f>
        <v>0</v>
      </c>
      <c r="E259" s="42">
        <v>42880</v>
      </c>
      <c r="F259" s="44">
        <v>8.0000000000000002E-3</v>
      </c>
      <c r="G259">
        <v>12</v>
      </c>
      <c r="H259" s="35" t="s">
        <v>971</v>
      </c>
      <c r="I259" s="42">
        <v>42883</v>
      </c>
      <c r="J259" s="77" t="s">
        <v>12</v>
      </c>
      <c r="K259" s="77" t="s">
        <v>967</v>
      </c>
      <c r="L259">
        <v>9</v>
      </c>
      <c r="M259">
        <v>8.0000000000000002E-3</v>
      </c>
      <c r="N259">
        <f>L259/M259</f>
        <v>1125</v>
      </c>
      <c r="O259">
        <f t="shared" si="17"/>
        <v>3</v>
      </c>
      <c r="P259" s="97">
        <f t="shared" si="16"/>
        <v>0.75</v>
      </c>
      <c r="Q259" s="8" t="s">
        <v>1848</v>
      </c>
    </row>
    <row r="260" spans="1:18" x14ac:dyDescent="0.25">
      <c r="A260" s="9" t="s">
        <v>1157</v>
      </c>
      <c r="B260" s="9" t="s">
        <v>1221</v>
      </c>
      <c r="C260" t="str">
        <f>VLOOKUP(B260,'[1]Planting GPS Points'!$B$3:$L$290,8,FALSE)</f>
        <v>CPS</v>
      </c>
      <c r="D260">
        <f>VLOOKUP(B260,'[1]Planting GPS Points'!$B$3:$AL$290,15,FALSE)</f>
        <v>0</v>
      </c>
      <c r="E260" s="42">
        <v>42880</v>
      </c>
      <c r="F260" s="44">
        <v>8.0000000000000002E-3</v>
      </c>
      <c r="G260">
        <v>12</v>
      </c>
      <c r="H260" s="35" t="s">
        <v>971</v>
      </c>
      <c r="I260" s="42">
        <v>42938</v>
      </c>
      <c r="J260" s="77" t="s">
        <v>12</v>
      </c>
      <c r="K260" s="77" t="s">
        <v>967</v>
      </c>
      <c r="L260">
        <v>12</v>
      </c>
      <c r="M260">
        <v>8.0000000000000002E-3</v>
      </c>
      <c r="N260">
        <f>L260/M260</f>
        <v>1500</v>
      </c>
      <c r="O260">
        <f t="shared" si="17"/>
        <v>58</v>
      </c>
      <c r="P260" s="97">
        <f t="shared" si="16"/>
        <v>1</v>
      </c>
      <c r="Q260" s="8" t="s">
        <v>1849</v>
      </c>
    </row>
    <row r="261" spans="1:18" x14ac:dyDescent="0.25">
      <c r="A261" s="9" t="s">
        <v>1157</v>
      </c>
      <c r="B261" s="9" t="s">
        <v>1221</v>
      </c>
      <c r="C261" t="str">
        <f>VLOOKUP(B261,'[1]Planting GPS Points'!$B$3:$L$290,8,FALSE)</f>
        <v>CPS</v>
      </c>
      <c r="D261">
        <f>VLOOKUP(B261,'[1]Planting GPS Points'!$B$3:$AL$290,15,FALSE)</f>
        <v>0</v>
      </c>
      <c r="E261" s="42">
        <v>42880</v>
      </c>
      <c r="F261" s="44">
        <v>8.0000000000000002E-3</v>
      </c>
      <c r="G261">
        <v>12</v>
      </c>
      <c r="H261" s="35" t="s">
        <v>971</v>
      </c>
      <c r="I261" s="42">
        <v>42967</v>
      </c>
      <c r="J261" s="77" t="s">
        <v>12</v>
      </c>
      <c r="K261" s="77" t="s">
        <v>967</v>
      </c>
      <c r="L261">
        <v>22</v>
      </c>
      <c r="M261">
        <v>5.3069999999999999E-2</v>
      </c>
      <c r="N261" s="47">
        <f>L261/M261</f>
        <v>414.54682494818167</v>
      </c>
      <c r="O261">
        <f t="shared" si="17"/>
        <v>87</v>
      </c>
      <c r="P261" s="97">
        <f t="shared" si="16"/>
        <v>1.8333333333333333</v>
      </c>
      <c r="Q261" s="8" t="s">
        <v>1849</v>
      </c>
    </row>
    <row r="262" spans="1:18" x14ac:dyDescent="0.25">
      <c r="A262" s="9" t="s">
        <v>1157</v>
      </c>
      <c r="B262" s="9" t="s">
        <v>1221</v>
      </c>
      <c r="C262" t="str">
        <f>VLOOKUP(B262,'[1]Planting GPS Points'!$B$3:$L$290,8,FALSE)</f>
        <v>CPS</v>
      </c>
      <c r="D262">
        <f>VLOOKUP(B262,'[1]Planting GPS Points'!$B$3:$AL$290,15,FALSE)</f>
        <v>0</v>
      </c>
      <c r="E262" s="42">
        <v>42880</v>
      </c>
      <c r="F262" s="44">
        <v>8.0000000000000002E-3</v>
      </c>
      <c r="G262">
        <v>12</v>
      </c>
      <c r="H262" s="35" t="s">
        <v>971</v>
      </c>
      <c r="I262" s="42">
        <v>43073</v>
      </c>
      <c r="J262" s="77" t="s">
        <v>12</v>
      </c>
      <c r="K262" s="77" t="s">
        <v>967</v>
      </c>
      <c r="L262">
        <v>36</v>
      </c>
      <c r="N262" s="47"/>
      <c r="O262">
        <f t="shared" si="17"/>
        <v>193</v>
      </c>
      <c r="P262" s="97">
        <f t="shared" si="16"/>
        <v>3</v>
      </c>
      <c r="Q262" s="8" t="s">
        <v>1850</v>
      </c>
    </row>
    <row r="263" spans="1:18" x14ac:dyDescent="0.25">
      <c r="A263" s="9" t="s">
        <v>1157</v>
      </c>
      <c r="B263" s="9" t="s">
        <v>1221</v>
      </c>
      <c r="C263" t="str">
        <f>VLOOKUP(B263,'[1]Planting GPS Points'!$B$3:$L$290,8,FALSE)</f>
        <v>CPS</v>
      </c>
      <c r="D263">
        <f>VLOOKUP(B263,'[1]Planting GPS Points'!$B$3:$AL$290,15,FALSE)</f>
        <v>0</v>
      </c>
      <c r="E263" s="42">
        <v>42880</v>
      </c>
      <c r="F263" s="44">
        <v>8.0000000000000002E-3</v>
      </c>
      <c r="G263">
        <v>12</v>
      </c>
      <c r="H263" s="35" t="s">
        <v>971</v>
      </c>
      <c r="I263" s="42">
        <v>43130</v>
      </c>
      <c r="J263" s="77" t="s">
        <v>12</v>
      </c>
      <c r="K263" s="77" t="s">
        <v>967</v>
      </c>
      <c r="L263">
        <v>24</v>
      </c>
      <c r="M263">
        <v>4.9062500000000002E-2</v>
      </c>
      <c r="N263" s="47">
        <f>L263/M263</f>
        <v>489.171974522293</v>
      </c>
      <c r="O263">
        <f t="shared" si="17"/>
        <v>250</v>
      </c>
      <c r="P263" s="97">
        <f t="shared" si="16"/>
        <v>2</v>
      </c>
      <c r="Q263" s="8" t="s">
        <v>1851</v>
      </c>
    </row>
    <row r="264" spans="1:18" s="114" customFormat="1" x14ac:dyDescent="0.25">
      <c r="A264" s="9" t="s">
        <v>1157</v>
      </c>
      <c r="B264" s="9" t="s">
        <v>1221</v>
      </c>
      <c r="C264" t="str">
        <f>VLOOKUP(B264,'[1]Planting GPS Points'!$B$3:$L$290,8,FALSE)</f>
        <v>CPS</v>
      </c>
      <c r="D264">
        <f>VLOOKUP(B264,'[1]Planting GPS Points'!$B$3:$AL$290,15,FALSE)</f>
        <v>0</v>
      </c>
      <c r="E264" s="42">
        <v>42880</v>
      </c>
      <c r="F264" s="44">
        <v>8.0000000000000002E-3</v>
      </c>
      <c r="G264">
        <v>12</v>
      </c>
      <c r="H264" s="35" t="s">
        <v>971</v>
      </c>
      <c r="I264" s="42">
        <v>43235</v>
      </c>
      <c r="J264" s="77" t="s">
        <v>12</v>
      </c>
      <c r="K264" s="77" t="s">
        <v>967</v>
      </c>
      <c r="L264">
        <v>67</v>
      </c>
      <c r="M264">
        <v>0.37366000000000005</v>
      </c>
      <c r="N264" s="47">
        <f>L264/M264</f>
        <v>179.30739174650751</v>
      </c>
      <c r="O264">
        <f t="shared" si="17"/>
        <v>355</v>
      </c>
      <c r="P264" s="97">
        <f t="shared" si="16"/>
        <v>5.583333333333333</v>
      </c>
      <c r="Q264" s="8" t="s">
        <v>1857</v>
      </c>
      <c r="R264"/>
    </row>
    <row r="265" spans="1:18" x14ac:dyDescent="0.25">
      <c r="A265" s="9" t="s">
        <v>1157</v>
      </c>
      <c r="B265" s="9" t="s">
        <v>1221</v>
      </c>
      <c r="C265" t="str">
        <f>VLOOKUP(B265,'[1]Planting GPS Points'!$B$3:$L$290,8,FALSE)</f>
        <v>CPS</v>
      </c>
      <c r="D265">
        <f>VLOOKUP(B265,'[1]Planting GPS Points'!$B$3:$AL$290,15,FALSE)</f>
        <v>0</v>
      </c>
      <c r="E265" s="42">
        <v>42880</v>
      </c>
      <c r="F265" s="44">
        <v>8.0000000000000002E-3</v>
      </c>
      <c r="G265">
        <v>12</v>
      </c>
      <c r="H265" s="35" t="s">
        <v>971</v>
      </c>
      <c r="I265" s="42">
        <v>43292</v>
      </c>
      <c r="J265" s="77" t="s">
        <v>12</v>
      </c>
      <c r="K265" s="77" t="s">
        <v>967</v>
      </c>
      <c r="L265">
        <v>89</v>
      </c>
      <c r="M265">
        <v>0.51700100000000004</v>
      </c>
      <c r="N265" s="47">
        <f>L265/M265</f>
        <v>172.14666896195558</v>
      </c>
      <c r="O265">
        <f t="shared" si="17"/>
        <v>412</v>
      </c>
      <c r="P265" s="97">
        <f t="shared" si="16"/>
        <v>7.416666666666667</v>
      </c>
      <c r="Q265" s="8" t="s">
        <v>1858</v>
      </c>
    </row>
    <row r="266" spans="1:18" x14ac:dyDescent="0.25">
      <c r="A266" s="9" t="s">
        <v>1157</v>
      </c>
      <c r="B266" s="9" t="s">
        <v>1221</v>
      </c>
      <c r="C266" t="str">
        <f>VLOOKUP(B266,'[1]Planting GPS Points'!$B$3:$L$290,8,FALSE)</f>
        <v>CPS</v>
      </c>
      <c r="D266">
        <f>VLOOKUP(B266,'[1]Planting GPS Points'!$B$3:$AL$290,15,FALSE)</f>
        <v>0</v>
      </c>
      <c r="E266" s="42">
        <v>42880</v>
      </c>
      <c r="F266" s="44">
        <v>8.0000000000000002E-3</v>
      </c>
      <c r="G266">
        <v>12</v>
      </c>
      <c r="H266" s="35" t="s">
        <v>971</v>
      </c>
      <c r="I266" s="42">
        <v>43320</v>
      </c>
      <c r="J266" s="77" t="s">
        <v>12</v>
      </c>
      <c r="K266" s="77" t="s">
        <v>967</v>
      </c>
      <c r="L266">
        <v>110</v>
      </c>
      <c r="M266">
        <v>0.40820000000000001</v>
      </c>
      <c r="N266" s="47">
        <f>L266/M266</f>
        <v>269.47574718275354</v>
      </c>
      <c r="O266">
        <f t="shared" si="17"/>
        <v>440</v>
      </c>
      <c r="P266" s="97">
        <f t="shared" si="16"/>
        <v>9.1666666666666661</v>
      </c>
      <c r="Q266" s="8" t="s">
        <v>1859</v>
      </c>
    </row>
    <row r="267" spans="1:18" s="114" customFormat="1" x14ac:dyDescent="0.25">
      <c r="A267" s="9" t="s">
        <v>1157</v>
      </c>
      <c r="B267" s="9" t="s">
        <v>1221</v>
      </c>
      <c r="C267" t="str">
        <f>VLOOKUP(B267,'[1]Planting GPS Points'!$B$3:$L$290,8,FALSE)</f>
        <v>CPS</v>
      </c>
      <c r="D267">
        <f>VLOOKUP(B267,'[1]Planting GPS Points'!$B$3:$AL$290,15,FALSE)</f>
        <v>0</v>
      </c>
      <c r="E267" s="42">
        <v>42880</v>
      </c>
      <c r="F267" s="44">
        <v>8.0000000000000002E-3</v>
      </c>
      <c r="G267">
        <v>12</v>
      </c>
      <c r="H267" s="35" t="s">
        <v>971</v>
      </c>
      <c r="I267" s="42">
        <v>43676</v>
      </c>
      <c r="J267" s="77" t="s">
        <v>12</v>
      </c>
      <c r="K267" s="77" t="s">
        <v>967</v>
      </c>
      <c r="L267">
        <v>374</v>
      </c>
      <c r="M267" s="44">
        <v>2.9830000000000001</v>
      </c>
      <c r="N267" s="47">
        <f>L267/M267</f>
        <v>125.37713711029164</v>
      </c>
      <c r="O267">
        <f t="shared" si="17"/>
        <v>796</v>
      </c>
      <c r="P267" s="97">
        <f t="shared" si="16"/>
        <v>31.166666666666668</v>
      </c>
      <c r="Q267" s="8" t="s">
        <v>1860</v>
      </c>
      <c r="R267"/>
    </row>
    <row r="268" spans="1:18" s="114" customFormat="1" x14ac:dyDescent="0.25">
      <c r="A268" s="140" t="s">
        <v>1157</v>
      </c>
      <c r="B268" s="9" t="s">
        <v>1221</v>
      </c>
      <c r="C268" t="str">
        <f>VLOOKUP(B268,'[1]Planting GPS Points'!$B$3:$L$290,8,FALSE)</f>
        <v>CPS</v>
      </c>
      <c r="D268">
        <f>VLOOKUP(B268,'[1]Planting GPS Points'!$B$3:$AL$290,15,FALSE)</f>
        <v>0</v>
      </c>
      <c r="E268" s="42">
        <v>42880</v>
      </c>
      <c r="F268" s="44">
        <v>8.0000000000000002E-3</v>
      </c>
      <c r="G268">
        <v>12</v>
      </c>
      <c r="H268" s="35" t="s">
        <v>971</v>
      </c>
      <c r="I268" s="42">
        <v>44033</v>
      </c>
      <c r="J268" s="77" t="s">
        <v>12</v>
      </c>
      <c r="K268" s="77" t="s">
        <v>967</v>
      </c>
      <c r="L268"/>
      <c r="M268" s="44"/>
      <c r="N268" s="44" t="str">
        <f>IFERROR(L268/M268, "")</f>
        <v/>
      </c>
      <c r="O268">
        <f t="shared" si="17"/>
        <v>1153</v>
      </c>
      <c r="P268" s="97" t="str">
        <f t="shared" si="16"/>
        <v/>
      </c>
      <c r="Q268" s="8" t="s">
        <v>1860</v>
      </c>
      <c r="R268"/>
    </row>
    <row r="269" spans="1:18" x14ac:dyDescent="0.25">
      <c r="A269" s="9" t="s">
        <v>1157</v>
      </c>
      <c r="B269" s="9" t="s">
        <v>1223</v>
      </c>
      <c r="C269" t="str">
        <f>VLOOKUP(B269,'[1]Planting GPS Points'!$B$3:$L$290,8,FALSE)</f>
        <v>CPS</v>
      </c>
      <c r="D269">
        <f>VLOOKUP(B269,'[1]Planting GPS Points'!$B$3:$AL$290,15,FALSE)</f>
        <v>0</v>
      </c>
      <c r="E269" s="42">
        <v>42880</v>
      </c>
      <c r="F269" s="44">
        <v>8.0000000000000002E-3</v>
      </c>
      <c r="G269">
        <v>12</v>
      </c>
      <c r="H269" s="35" t="s">
        <v>971</v>
      </c>
      <c r="I269" s="42">
        <v>42883</v>
      </c>
      <c r="J269" s="77" t="s">
        <v>12</v>
      </c>
      <c r="K269" s="77" t="s">
        <v>967</v>
      </c>
      <c r="L269">
        <v>8</v>
      </c>
      <c r="M269">
        <v>8.0000000000000002E-3</v>
      </c>
      <c r="N269">
        <f>L269/M269</f>
        <v>1000</v>
      </c>
      <c r="O269">
        <f t="shared" si="17"/>
        <v>3</v>
      </c>
      <c r="P269" s="97">
        <f t="shared" si="16"/>
        <v>0.66666666666666663</v>
      </c>
      <c r="Q269" s="8" t="s">
        <v>1848</v>
      </c>
    </row>
    <row r="270" spans="1:18" x14ac:dyDescent="0.25">
      <c r="A270" s="9" t="s">
        <v>1157</v>
      </c>
      <c r="B270" s="9" t="s">
        <v>1223</v>
      </c>
      <c r="C270" t="str">
        <f>VLOOKUP(B270,'[1]Planting GPS Points'!$B$3:$L$290,8,FALSE)</f>
        <v>CPS</v>
      </c>
      <c r="D270">
        <f>VLOOKUP(B270,'[1]Planting GPS Points'!$B$3:$AL$290,15,FALSE)</f>
        <v>0</v>
      </c>
      <c r="E270" s="42">
        <v>42880</v>
      </c>
      <c r="F270" s="44">
        <v>8.0000000000000002E-3</v>
      </c>
      <c r="G270">
        <v>12</v>
      </c>
      <c r="H270" s="35" t="s">
        <v>971</v>
      </c>
      <c r="I270" s="42">
        <v>42938</v>
      </c>
      <c r="J270" s="77" t="s">
        <v>12</v>
      </c>
      <c r="K270" s="77" t="s">
        <v>967</v>
      </c>
      <c r="L270">
        <v>18</v>
      </c>
      <c r="M270">
        <v>8.0000000000000002E-3</v>
      </c>
      <c r="N270">
        <f>L270/M270</f>
        <v>2250</v>
      </c>
      <c r="O270">
        <f t="shared" si="17"/>
        <v>58</v>
      </c>
      <c r="P270" s="97">
        <f t="shared" si="16"/>
        <v>1.5</v>
      </c>
      <c r="Q270" s="8" t="s">
        <v>1849</v>
      </c>
    </row>
    <row r="271" spans="1:18" x14ac:dyDescent="0.25">
      <c r="A271" s="9" t="s">
        <v>1157</v>
      </c>
      <c r="B271" s="9" t="s">
        <v>1223</v>
      </c>
      <c r="C271" t="str">
        <f>VLOOKUP(B271,'[1]Planting GPS Points'!$B$3:$L$290,8,FALSE)</f>
        <v>CPS</v>
      </c>
      <c r="D271">
        <f>VLOOKUP(B271,'[1]Planting GPS Points'!$B$3:$AL$290,15,FALSE)</f>
        <v>0</v>
      </c>
      <c r="E271" s="42">
        <v>42880</v>
      </c>
      <c r="F271" s="44">
        <v>8.0000000000000002E-3</v>
      </c>
      <c r="G271">
        <v>12</v>
      </c>
      <c r="H271" s="35" t="s">
        <v>971</v>
      </c>
      <c r="I271" s="42">
        <v>42967</v>
      </c>
      <c r="J271" s="77" t="s">
        <v>12</v>
      </c>
      <c r="K271" s="77" t="s">
        <v>967</v>
      </c>
      <c r="L271">
        <v>34</v>
      </c>
      <c r="M271">
        <v>0.15198</v>
      </c>
      <c r="N271" s="47">
        <f>L271/M271</f>
        <v>223.71364653243847</v>
      </c>
      <c r="O271">
        <f t="shared" si="17"/>
        <v>87</v>
      </c>
      <c r="P271" s="97">
        <f t="shared" si="16"/>
        <v>2.8333333333333335</v>
      </c>
      <c r="Q271" s="8" t="s">
        <v>1849</v>
      </c>
    </row>
    <row r="272" spans="1:18" x14ac:dyDescent="0.25">
      <c r="A272" s="9" t="s">
        <v>1157</v>
      </c>
      <c r="B272" s="9" t="s">
        <v>1223</v>
      </c>
      <c r="C272" t="str">
        <f>VLOOKUP(B272,'[1]Planting GPS Points'!$B$3:$L$290,8,FALSE)</f>
        <v>CPS</v>
      </c>
      <c r="D272">
        <f>VLOOKUP(B272,'[1]Planting GPS Points'!$B$3:$AL$290,15,FALSE)</f>
        <v>0</v>
      </c>
      <c r="E272" s="42">
        <v>42880</v>
      </c>
      <c r="F272" s="44">
        <v>8.0000000000000002E-3</v>
      </c>
      <c r="G272">
        <v>12</v>
      </c>
      <c r="H272" s="35" t="s">
        <v>971</v>
      </c>
      <c r="I272" s="42">
        <v>43073</v>
      </c>
      <c r="J272" s="77" t="s">
        <v>12</v>
      </c>
      <c r="K272" s="77" t="s">
        <v>967</v>
      </c>
      <c r="L272">
        <v>95</v>
      </c>
      <c r="N272" s="47"/>
      <c r="O272">
        <f t="shared" si="17"/>
        <v>193</v>
      </c>
      <c r="P272" s="97">
        <f t="shared" ref="P272:P335" si="18">IF(L272="", "", L272/G272)</f>
        <v>7.916666666666667</v>
      </c>
      <c r="Q272" s="8" t="s">
        <v>1850</v>
      </c>
    </row>
    <row r="273" spans="1:17" x14ac:dyDescent="0.25">
      <c r="A273" s="9" t="s">
        <v>1157</v>
      </c>
      <c r="B273" s="9" t="s">
        <v>1223</v>
      </c>
      <c r="C273" t="str">
        <f>VLOOKUP(B273,'[1]Planting GPS Points'!$B$3:$L$290,8,FALSE)</f>
        <v>CPS</v>
      </c>
      <c r="D273">
        <f>VLOOKUP(B273,'[1]Planting GPS Points'!$B$3:$AL$290,15,FALSE)</f>
        <v>0</v>
      </c>
      <c r="E273" s="42">
        <v>42880</v>
      </c>
      <c r="F273" s="44">
        <v>8.0000000000000002E-3</v>
      </c>
      <c r="G273">
        <v>12</v>
      </c>
      <c r="H273" s="35" t="s">
        <v>971</v>
      </c>
      <c r="I273" s="42">
        <v>43130</v>
      </c>
      <c r="J273" s="77" t="s">
        <v>12</v>
      </c>
      <c r="K273" s="77" t="s">
        <v>967</v>
      </c>
      <c r="L273">
        <v>78</v>
      </c>
      <c r="M273">
        <v>0.12559999999999999</v>
      </c>
      <c r="N273" s="47">
        <f>L273/M273</f>
        <v>621.01910828025484</v>
      </c>
      <c r="O273">
        <f t="shared" si="17"/>
        <v>250</v>
      </c>
      <c r="P273" s="97">
        <f t="shared" si="18"/>
        <v>6.5</v>
      </c>
      <c r="Q273" s="8" t="s">
        <v>1851</v>
      </c>
    </row>
    <row r="274" spans="1:17" x14ac:dyDescent="0.25">
      <c r="A274" s="9" t="s">
        <v>1157</v>
      </c>
      <c r="B274" s="9" t="s">
        <v>1223</v>
      </c>
      <c r="C274" t="str">
        <f>VLOOKUP(B274,'[1]Planting GPS Points'!$B$3:$L$290,8,FALSE)</f>
        <v>CPS</v>
      </c>
      <c r="D274">
        <f>VLOOKUP(B274,'[1]Planting GPS Points'!$B$3:$AL$290,15,FALSE)</f>
        <v>0</v>
      </c>
      <c r="E274" s="42">
        <v>42880</v>
      </c>
      <c r="F274" s="44">
        <v>8.0000000000000002E-3</v>
      </c>
      <c r="G274">
        <v>12</v>
      </c>
      <c r="H274" s="35" t="s">
        <v>971</v>
      </c>
      <c r="I274" s="42">
        <v>43235</v>
      </c>
      <c r="J274" s="77" t="s">
        <v>12</v>
      </c>
      <c r="K274" s="77" t="s">
        <v>967</v>
      </c>
      <c r="L274">
        <v>118</v>
      </c>
      <c r="M274">
        <v>0.49454999999999999</v>
      </c>
      <c r="N274" s="47">
        <f>L274/M274</f>
        <v>238.60074815488829</v>
      </c>
      <c r="O274">
        <f t="shared" si="17"/>
        <v>355</v>
      </c>
      <c r="P274" s="97">
        <f t="shared" si="18"/>
        <v>9.8333333333333339</v>
      </c>
      <c r="Q274" s="8" t="s">
        <v>1856</v>
      </c>
    </row>
    <row r="275" spans="1:17" x14ac:dyDescent="0.25">
      <c r="A275" s="9" t="s">
        <v>1157</v>
      </c>
      <c r="B275" s="9" t="s">
        <v>1223</v>
      </c>
      <c r="C275" t="str">
        <f>VLOOKUP(B275,'[1]Planting GPS Points'!$B$3:$L$290,8,FALSE)</f>
        <v>CPS</v>
      </c>
      <c r="D275">
        <f>VLOOKUP(B275,'[1]Planting GPS Points'!$B$3:$AL$290,15,FALSE)</f>
        <v>0</v>
      </c>
      <c r="E275" s="42">
        <v>42880</v>
      </c>
      <c r="F275" s="44">
        <v>8.0000000000000002E-3</v>
      </c>
      <c r="G275">
        <v>12</v>
      </c>
      <c r="H275" s="35" t="s">
        <v>971</v>
      </c>
      <c r="I275" s="42">
        <v>43292</v>
      </c>
      <c r="J275" s="77" t="s">
        <v>12</v>
      </c>
      <c r="K275" s="77" t="s">
        <v>967</v>
      </c>
      <c r="L275">
        <v>143</v>
      </c>
      <c r="M275">
        <v>0.4891335</v>
      </c>
      <c r="N275" s="47">
        <f>L275/M275</f>
        <v>292.35372347222182</v>
      </c>
      <c r="O275">
        <f t="shared" si="17"/>
        <v>412</v>
      </c>
      <c r="P275" s="97">
        <f t="shared" si="18"/>
        <v>11.916666666666666</v>
      </c>
      <c r="Q275" s="8" t="s">
        <v>1856</v>
      </c>
    </row>
    <row r="276" spans="1:17" x14ac:dyDescent="0.25">
      <c r="A276" s="9" t="s">
        <v>1157</v>
      </c>
      <c r="B276" s="9" t="s">
        <v>1223</v>
      </c>
      <c r="C276" t="str">
        <f>VLOOKUP(B276,'[1]Planting GPS Points'!$B$3:$L$290,8,FALSE)</f>
        <v>CPS</v>
      </c>
      <c r="D276">
        <f>VLOOKUP(B276,'[1]Planting GPS Points'!$B$3:$AL$290,15,FALSE)</f>
        <v>0</v>
      </c>
      <c r="E276" s="42">
        <v>42880</v>
      </c>
      <c r="F276" s="44">
        <v>8.0000000000000002E-3</v>
      </c>
      <c r="G276">
        <v>12</v>
      </c>
      <c r="H276" s="35" t="s">
        <v>971</v>
      </c>
      <c r="I276" s="42">
        <v>43320</v>
      </c>
      <c r="J276" s="77" t="s">
        <v>12</v>
      </c>
      <c r="K276" s="77" t="s">
        <v>967</v>
      </c>
      <c r="L276">
        <v>107</v>
      </c>
      <c r="M276">
        <v>0.56049000000000004</v>
      </c>
      <c r="N276" s="47">
        <f>L276/M276</f>
        <v>190.90438723260004</v>
      </c>
      <c r="O276">
        <f t="shared" si="17"/>
        <v>440</v>
      </c>
      <c r="P276" s="97">
        <f t="shared" si="18"/>
        <v>8.9166666666666661</v>
      </c>
      <c r="Q276" s="8" t="s">
        <v>1861</v>
      </c>
    </row>
    <row r="277" spans="1:17" x14ac:dyDescent="0.25">
      <c r="A277" s="9" t="s">
        <v>1157</v>
      </c>
      <c r="B277" s="9" t="s">
        <v>1223</v>
      </c>
      <c r="C277" t="str">
        <f>VLOOKUP(B277,'[1]Planting GPS Points'!$B$3:$L$290,8,FALSE)</f>
        <v>CPS</v>
      </c>
      <c r="D277">
        <f>VLOOKUP(B277,'[1]Planting GPS Points'!$B$3:$AL$290,15,FALSE)</f>
        <v>0</v>
      </c>
      <c r="E277" s="42">
        <v>42880</v>
      </c>
      <c r="F277" s="44">
        <v>8.0000000000000002E-3</v>
      </c>
      <c r="G277">
        <v>12</v>
      </c>
      <c r="H277" s="35" t="s">
        <v>971</v>
      </c>
      <c r="I277" s="42">
        <v>43676</v>
      </c>
      <c r="J277" s="77" t="s">
        <v>12</v>
      </c>
      <c r="K277" s="77" t="s">
        <v>967</v>
      </c>
      <c r="L277">
        <v>531</v>
      </c>
      <c r="M277" s="44">
        <v>1.7485875</v>
      </c>
      <c r="N277" s="47">
        <f>L277/M277</f>
        <v>303.6736794698578</v>
      </c>
      <c r="O277">
        <f t="shared" si="17"/>
        <v>796</v>
      </c>
      <c r="P277" s="97">
        <f t="shared" si="18"/>
        <v>44.25</v>
      </c>
      <c r="Q277" s="8" t="s">
        <v>1856</v>
      </c>
    </row>
    <row r="278" spans="1:17" x14ac:dyDescent="0.25">
      <c r="A278" s="140" t="s">
        <v>1157</v>
      </c>
      <c r="B278" s="9" t="s">
        <v>1223</v>
      </c>
      <c r="C278" t="str">
        <f>VLOOKUP(B278,'[1]Planting GPS Points'!$B$3:$L$290,8,FALSE)</f>
        <v>CPS</v>
      </c>
      <c r="D278">
        <f>VLOOKUP(B278,'[1]Planting GPS Points'!$B$3:$AL$290,15,FALSE)</f>
        <v>0</v>
      </c>
      <c r="E278" s="42">
        <v>42880</v>
      </c>
      <c r="F278" s="44">
        <v>8.0000000000000002E-3</v>
      </c>
      <c r="G278">
        <v>12</v>
      </c>
      <c r="H278" s="35" t="s">
        <v>971</v>
      </c>
      <c r="I278" s="42">
        <v>44033</v>
      </c>
      <c r="J278" s="77" t="s">
        <v>12</v>
      </c>
      <c r="K278" s="77" t="s">
        <v>967</v>
      </c>
      <c r="M278" s="44"/>
      <c r="N278" s="44" t="str">
        <f>IFERROR(L278/M278, "")</f>
        <v/>
      </c>
      <c r="O278">
        <f t="shared" si="17"/>
        <v>1153</v>
      </c>
      <c r="P278" s="97" t="str">
        <f t="shared" si="18"/>
        <v/>
      </c>
      <c r="Q278" s="8" t="s">
        <v>1856</v>
      </c>
    </row>
    <row r="279" spans="1:17" x14ac:dyDescent="0.25">
      <c r="A279" s="9" t="s">
        <v>1157</v>
      </c>
      <c r="B279" s="9" t="s">
        <v>1216</v>
      </c>
      <c r="C279" t="str">
        <f>VLOOKUP(B279,'[1]Planting GPS Points'!$B$3:$L$290,8,FALSE)</f>
        <v>CPS</v>
      </c>
      <c r="D279">
        <f>VLOOKUP(B279,'[1]Planting GPS Points'!$B$3:$AL$290,15,FALSE)</f>
        <v>0</v>
      </c>
      <c r="E279" s="42">
        <v>42880</v>
      </c>
      <c r="F279" s="44">
        <v>8.0000000000000002E-3</v>
      </c>
      <c r="G279">
        <v>12</v>
      </c>
      <c r="H279" s="35" t="s">
        <v>971</v>
      </c>
      <c r="I279" s="42">
        <v>42883</v>
      </c>
      <c r="J279" s="77" t="s">
        <v>12</v>
      </c>
      <c r="K279" s="77" t="s">
        <v>967</v>
      </c>
      <c r="L279">
        <v>12</v>
      </c>
      <c r="M279">
        <v>8.0000000000000002E-3</v>
      </c>
      <c r="N279">
        <f>L279/M279</f>
        <v>1500</v>
      </c>
      <c r="O279">
        <f t="shared" si="17"/>
        <v>3</v>
      </c>
      <c r="P279" s="97">
        <f t="shared" si="18"/>
        <v>1</v>
      </c>
      <c r="Q279" s="8" t="s">
        <v>1848</v>
      </c>
    </row>
    <row r="280" spans="1:17" x14ac:dyDescent="0.25">
      <c r="A280" s="9" t="s">
        <v>1157</v>
      </c>
      <c r="B280" s="9" t="s">
        <v>1216</v>
      </c>
      <c r="C280" t="str">
        <f>VLOOKUP(B280,'[1]Planting GPS Points'!$B$3:$L$290,8,FALSE)</f>
        <v>CPS</v>
      </c>
      <c r="D280">
        <f>VLOOKUP(B280,'[1]Planting GPS Points'!$B$3:$AL$290,15,FALSE)</f>
        <v>0</v>
      </c>
      <c r="E280" s="42">
        <v>42880</v>
      </c>
      <c r="F280" s="44">
        <v>8.0000000000000002E-3</v>
      </c>
      <c r="G280">
        <v>12</v>
      </c>
      <c r="H280" s="35" t="s">
        <v>971</v>
      </c>
      <c r="I280" s="42">
        <v>42938</v>
      </c>
      <c r="J280" s="77" t="s">
        <v>12</v>
      </c>
      <c r="K280" s="77" t="s">
        <v>967</v>
      </c>
      <c r="L280">
        <v>13</v>
      </c>
      <c r="M280">
        <v>8.0000000000000002E-3</v>
      </c>
      <c r="N280">
        <f>L280/M280</f>
        <v>1625</v>
      </c>
      <c r="O280">
        <f t="shared" si="17"/>
        <v>58</v>
      </c>
      <c r="P280" s="97">
        <f t="shared" si="18"/>
        <v>1.0833333333333333</v>
      </c>
      <c r="Q280" s="8" t="s">
        <v>1849</v>
      </c>
    </row>
    <row r="281" spans="1:17" x14ac:dyDescent="0.25">
      <c r="A281" s="9" t="s">
        <v>1157</v>
      </c>
      <c r="B281" s="9" t="s">
        <v>1216</v>
      </c>
      <c r="C281" t="str">
        <f>VLOOKUP(B281,'[1]Planting GPS Points'!$B$3:$L$290,8,FALSE)</f>
        <v>CPS</v>
      </c>
      <c r="D281">
        <f>VLOOKUP(B281,'[1]Planting GPS Points'!$B$3:$AL$290,15,FALSE)</f>
        <v>0</v>
      </c>
      <c r="E281" s="42">
        <v>42880</v>
      </c>
      <c r="F281" s="44">
        <v>8.0000000000000002E-3</v>
      </c>
      <c r="G281">
        <v>12</v>
      </c>
      <c r="H281" s="35" t="s">
        <v>971</v>
      </c>
      <c r="I281" s="42">
        <v>42967</v>
      </c>
      <c r="J281" s="77" t="s">
        <v>12</v>
      </c>
      <c r="K281" s="77" t="s">
        <v>967</v>
      </c>
      <c r="L281">
        <v>22</v>
      </c>
      <c r="M281">
        <v>9.0749999999999997E-2</v>
      </c>
      <c r="N281" s="47">
        <f>L281/M281</f>
        <v>242.42424242424244</v>
      </c>
      <c r="O281">
        <f t="shared" si="17"/>
        <v>87</v>
      </c>
      <c r="P281" s="97">
        <f t="shared" si="18"/>
        <v>1.8333333333333333</v>
      </c>
      <c r="Q281" s="8" t="s">
        <v>1849</v>
      </c>
    </row>
    <row r="282" spans="1:17" x14ac:dyDescent="0.25">
      <c r="A282" s="9" t="s">
        <v>1157</v>
      </c>
      <c r="B282" s="9" t="s">
        <v>1216</v>
      </c>
      <c r="C282" t="str">
        <f>VLOOKUP(B282,'[1]Planting GPS Points'!$B$3:$L$290,8,FALSE)</f>
        <v>CPS</v>
      </c>
      <c r="D282">
        <f>VLOOKUP(B282,'[1]Planting GPS Points'!$B$3:$AL$290,15,FALSE)</f>
        <v>0</v>
      </c>
      <c r="E282" s="42">
        <v>42880</v>
      </c>
      <c r="F282" s="44">
        <v>8.0000000000000002E-3</v>
      </c>
      <c r="G282">
        <v>12</v>
      </c>
      <c r="H282" s="35" t="s">
        <v>971</v>
      </c>
      <c r="I282" s="42">
        <v>43073</v>
      </c>
      <c r="J282" s="77" t="s">
        <v>12</v>
      </c>
      <c r="K282" s="77" t="s">
        <v>967</v>
      </c>
      <c r="L282">
        <v>40</v>
      </c>
      <c r="N282" s="47"/>
      <c r="O282">
        <f t="shared" si="17"/>
        <v>193</v>
      </c>
      <c r="P282" s="97">
        <f t="shared" si="18"/>
        <v>3.3333333333333335</v>
      </c>
      <c r="Q282" s="8" t="s">
        <v>1850</v>
      </c>
    </row>
    <row r="283" spans="1:17" x14ac:dyDescent="0.25">
      <c r="A283" s="9" t="s">
        <v>1157</v>
      </c>
      <c r="B283" s="9" t="s">
        <v>1216</v>
      </c>
      <c r="C283" t="str">
        <f>VLOOKUP(B283,'[1]Planting GPS Points'!$B$3:$L$290,8,FALSE)</f>
        <v>CPS</v>
      </c>
      <c r="D283">
        <f>VLOOKUP(B283,'[1]Planting GPS Points'!$B$3:$AL$290,15,FALSE)</f>
        <v>0</v>
      </c>
      <c r="E283" s="42">
        <v>42880</v>
      </c>
      <c r="F283" s="44">
        <v>8.0000000000000002E-3</v>
      </c>
      <c r="G283">
        <v>12</v>
      </c>
      <c r="H283" s="35" t="s">
        <v>971</v>
      </c>
      <c r="I283" s="42">
        <v>43130</v>
      </c>
      <c r="J283" s="77" t="s">
        <v>12</v>
      </c>
      <c r="K283" s="77" t="s">
        <v>967</v>
      </c>
      <c r="L283">
        <v>56</v>
      </c>
      <c r="M283">
        <v>0.26407400000000003</v>
      </c>
      <c r="N283" s="47">
        <f>L283/M283</f>
        <v>212.0617705643115</v>
      </c>
      <c r="O283">
        <f t="shared" si="17"/>
        <v>250</v>
      </c>
      <c r="P283" s="97">
        <f t="shared" si="18"/>
        <v>4.666666666666667</v>
      </c>
      <c r="Q283" s="8" t="s">
        <v>1851</v>
      </c>
    </row>
    <row r="284" spans="1:17" x14ac:dyDescent="0.25">
      <c r="A284" s="9" t="s">
        <v>1157</v>
      </c>
      <c r="B284" s="9" t="s">
        <v>1216</v>
      </c>
      <c r="C284" t="str">
        <f>VLOOKUP(B284,'[1]Planting GPS Points'!$B$3:$L$290,8,FALSE)</f>
        <v>CPS</v>
      </c>
      <c r="D284">
        <f>VLOOKUP(B284,'[1]Planting GPS Points'!$B$3:$AL$290,15,FALSE)</f>
        <v>0</v>
      </c>
      <c r="E284" s="42">
        <v>42880</v>
      </c>
      <c r="F284" s="44">
        <v>8.0000000000000002E-3</v>
      </c>
      <c r="G284">
        <v>12</v>
      </c>
      <c r="H284" s="35" t="s">
        <v>971</v>
      </c>
      <c r="I284" s="42">
        <v>43235</v>
      </c>
      <c r="J284" s="77" t="s">
        <v>12</v>
      </c>
      <c r="K284" s="77" t="s">
        <v>967</v>
      </c>
      <c r="L284">
        <v>45</v>
      </c>
      <c r="M284">
        <v>0.35325000000000001</v>
      </c>
      <c r="N284" s="47">
        <f>L284/M284</f>
        <v>127.38853503184713</v>
      </c>
      <c r="O284">
        <f t="shared" si="17"/>
        <v>355</v>
      </c>
      <c r="P284" s="97">
        <f t="shared" si="18"/>
        <v>3.75</v>
      </c>
      <c r="Q284" s="8" t="s">
        <v>1856</v>
      </c>
    </row>
    <row r="285" spans="1:17" x14ac:dyDescent="0.25">
      <c r="A285" s="9" t="s">
        <v>1157</v>
      </c>
      <c r="B285" s="9" t="s">
        <v>1216</v>
      </c>
      <c r="C285" t="str">
        <f>VLOOKUP(B285,'[1]Planting GPS Points'!$B$3:$L$290,8,FALSE)</f>
        <v>CPS</v>
      </c>
      <c r="D285">
        <f>VLOOKUP(B285,'[1]Planting GPS Points'!$B$3:$AL$290,15,FALSE)</f>
        <v>0</v>
      </c>
      <c r="E285" s="42">
        <v>42880</v>
      </c>
      <c r="F285" s="44">
        <v>8.0000000000000002E-3</v>
      </c>
      <c r="G285">
        <v>12</v>
      </c>
      <c r="H285" s="35" t="s">
        <v>971</v>
      </c>
      <c r="I285" s="42">
        <v>43292</v>
      </c>
      <c r="J285" s="77" t="s">
        <v>12</v>
      </c>
      <c r="K285" s="77" t="s">
        <v>967</v>
      </c>
      <c r="L285">
        <v>0</v>
      </c>
      <c r="N285" s="47"/>
      <c r="O285">
        <f t="shared" si="17"/>
        <v>412</v>
      </c>
      <c r="P285" s="97">
        <f t="shared" si="18"/>
        <v>0</v>
      </c>
      <c r="Q285" s="8"/>
    </row>
    <row r="286" spans="1:17" x14ac:dyDescent="0.25">
      <c r="A286" s="9" t="s">
        <v>1157</v>
      </c>
      <c r="B286" s="9" t="s">
        <v>1216</v>
      </c>
      <c r="C286" t="str">
        <f>VLOOKUP(B286,'[1]Planting GPS Points'!$B$3:$L$290,8,FALSE)</f>
        <v>CPS</v>
      </c>
      <c r="D286">
        <f>VLOOKUP(B286,'[1]Planting GPS Points'!$B$3:$AL$290,15,FALSE)</f>
        <v>0</v>
      </c>
      <c r="E286" s="42">
        <v>42880</v>
      </c>
      <c r="F286" s="44">
        <v>8.0000000000000002E-3</v>
      </c>
      <c r="G286">
        <v>12</v>
      </c>
      <c r="H286" s="35" t="s">
        <v>971</v>
      </c>
      <c r="I286" s="42">
        <v>43320</v>
      </c>
      <c r="J286" s="77" t="s">
        <v>23</v>
      </c>
      <c r="K286" s="77" t="s">
        <v>967</v>
      </c>
      <c r="L286">
        <v>0</v>
      </c>
      <c r="N286" s="47"/>
      <c r="O286">
        <f t="shared" si="17"/>
        <v>440</v>
      </c>
      <c r="P286" s="97">
        <f t="shared" si="18"/>
        <v>0</v>
      </c>
      <c r="Q286" s="8"/>
    </row>
    <row r="287" spans="1:17" x14ac:dyDescent="0.25">
      <c r="A287" s="9" t="s">
        <v>1157</v>
      </c>
      <c r="B287" s="9" t="s">
        <v>1216</v>
      </c>
      <c r="C287" t="str">
        <f>VLOOKUP(B287,'[1]Planting GPS Points'!$B$3:$L$290,8,FALSE)</f>
        <v>CPS</v>
      </c>
      <c r="D287">
        <f>VLOOKUP(B287,'[1]Planting GPS Points'!$B$3:$AL$290,15,FALSE)</f>
        <v>0</v>
      </c>
      <c r="E287" s="42">
        <v>42880</v>
      </c>
      <c r="F287" s="44">
        <v>8.0000000000000002E-3</v>
      </c>
      <c r="G287">
        <v>12</v>
      </c>
      <c r="H287" s="35" t="s">
        <v>971</v>
      </c>
      <c r="I287" s="42">
        <v>43676</v>
      </c>
      <c r="J287" s="77" t="s">
        <v>23</v>
      </c>
      <c r="K287" s="77" t="s">
        <v>967</v>
      </c>
      <c r="L287">
        <v>0</v>
      </c>
      <c r="N287" s="47"/>
      <c r="O287">
        <f t="shared" si="17"/>
        <v>796</v>
      </c>
      <c r="P287" s="97">
        <f t="shared" si="18"/>
        <v>0</v>
      </c>
      <c r="Q287" s="8"/>
    </row>
    <row r="288" spans="1:17" x14ac:dyDescent="0.25">
      <c r="A288" s="140" t="s">
        <v>1157</v>
      </c>
      <c r="B288" s="9" t="s">
        <v>1216</v>
      </c>
      <c r="C288" t="str">
        <f>VLOOKUP(B288,'[1]Planting GPS Points'!$B$3:$L$290,8,FALSE)</f>
        <v>CPS</v>
      </c>
      <c r="D288">
        <f>VLOOKUP(B288,'[1]Planting GPS Points'!$B$3:$AL$290,15,FALSE)</f>
        <v>0</v>
      </c>
      <c r="E288" s="42">
        <v>42880</v>
      </c>
      <c r="F288" s="44">
        <v>8.0000000000000002E-3</v>
      </c>
      <c r="G288">
        <v>12</v>
      </c>
      <c r="H288" s="35" t="s">
        <v>971</v>
      </c>
      <c r="I288" s="42">
        <v>44033</v>
      </c>
      <c r="J288" s="77" t="s">
        <v>23</v>
      </c>
      <c r="K288" s="77" t="s">
        <v>967</v>
      </c>
      <c r="L288">
        <v>0</v>
      </c>
      <c r="N288" s="44" t="str">
        <f>IFERROR(L288/M288, "")</f>
        <v/>
      </c>
      <c r="O288">
        <f t="shared" si="17"/>
        <v>1153</v>
      </c>
      <c r="P288" s="97">
        <f t="shared" si="18"/>
        <v>0</v>
      </c>
      <c r="Q288" s="8"/>
    </row>
    <row r="289" spans="1:17" x14ac:dyDescent="0.25">
      <c r="A289" s="9" t="s">
        <v>1157</v>
      </c>
      <c r="B289" s="9" t="s">
        <v>1218</v>
      </c>
      <c r="C289" t="str">
        <f>VLOOKUP(B289,'[1]Planting GPS Points'!$B$3:$L$290,8,FALSE)</f>
        <v>CPS</v>
      </c>
      <c r="D289">
        <f>VLOOKUP(B289,'[1]Planting GPS Points'!$B$3:$AL$290,15,FALSE)</f>
        <v>0</v>
      </c>
      <c r="E289" s="42">
        <v>42880</v>
      </c>
      <c r="F289" s="44">
        <v>8.0000000000000002E-3</v>
      </c>
      <c r="G289">
        <v>12</v>
      </c>
      <c r="H289" s="35" t="s">
        <v>971</v>
      </c>
      <c r="I289" s="42">
        <v>42883</v>
      </c>
      <c r="J289" s="77" t="s">
        <v>12</v>
      </c>
      <c r="K289" s="77" t="s">
        <v>967</v>
      </c>
      <c r="L289">
        <v>11</v>
      </c>
      <c r="M289">
        <v>8.0000000000000002E-3</v>
      </c>
      <c r="N289">
        <f>L289/M289</f>
        <v>1375</v>
      </c>
      <c r="O289">
        <f t="shared" si="17"/>
        <v>3</v>
      </c>
      <c r="P289" s="97">
        <f t="shared" si="18"/>
        <v>0.91666666666666663</v>
      </c>
      <c r="Q289" s="8" t="s">
        <v>1848</v>
      </c>
    </row>
    <row r="290" spans="1:17" x14ac:dyDescent="0.25">
      <c r="A290" s="9" t="s">
        <v>1157</v>
      </c>
      <c r="B290" s="9" t="s">
        <v>1218</v>
      </c>
      <c r="C290" t="str">
        <f>VLOOKUP(B290,'[1]Planting GPS Points'!$B$3:$L$290,8,FALSE)</f>
        <v>CPS</v>
      </c>
      <c r="D290">
        <f>VLOOKUP(B290,'[1]Planting GPS Points'!$B$3:$AL$290,15,FALSE)</f>
        <v>0</v>
      </c>
      <c r="E290" s="42">
        <v>42880</v>
      </c>
      <c r="F290" s="44">
        <v>8.0000000000000002E-3</v>
      </c>
      <c r="G290">
        <v>12</v>
      </c>
      <c r="H290" s="35" t="s">
        <v>971</v>
      </c>
      <c r="I290" s="42">
        <v>42938</v>
      </c>
      <c r="J290" s="77" t="s">
        <v>12</v>
      </c>
      <c r="K290" s="77" t="s">
        <v>967</v>
      </c>
      <c r="L290">
        <v>12</v>
      </c>
      <c r="M290">
        <v>8.0000000000000002E-3</v>
      </c>
      <c r="N290">
        <f>L290/M290</f>
        <v>1500</v>
      </c>
      <c r="O290">
        <f t="shared" si="17"/>
        <v>58</v>
      </c>
      <c r="P290" s="97">
        <f t="shared" si="18"/>
        <v>1</v>
      </c>
      <c r="Q290" s="8" t="s">
        <v>1849</v>
      </c>
    </row>
    <row r="291" spans="1:17" x14ac:dyDescent="0.25">
      <c r="A291" s="9" t="s">
        <v>1157</v>
      </c>
      <c r="B291" s="9" t="s">
        <v>1218</v>
      </c>
      <c r="C291" t="str">
        <f>VLOOKUP(B291,'[1]Planting GPS Points'!$B$3:$L$290,8,FALSE)</f>
        <v>CPS</v>
      </c>
      <c r="D291">
        <f>VLOOKUP(B291,'[1]Planting GPS Points'!$B$3:$AL$290,15,FALSE)</f>
        <v>0</v>
      </c>
      <c r="E291" s="42">
        <v>42880</v>
      </c>
      <c r="F291" s="44">
        <v>8.0000000000000002E-3</v>
      </c>
      <c r="G291">
        <v>12</v>
      </c>
      <c r="H291" s="35" t="s">
        <v>971</v>
      </c>
      <c r="I291" s="42">
        <v>42967</v>
      </c>
      <c r="J291" s="77" t="s">
        <v>12</v>
      </c>
      <c r="K291" s="77" t="s">
        <v>967</v>
      </c>
      <c r="L291">
        <v>14</v>
      </c>
      <c r="M291">
        <v>3.1399999999999997E-2</v>
      </c>
      <c r="N291" s="47">
        <f>L291/M291</f>
        <v>445.85987261146499</v>
      </c>
      <c r="O291">
        <f t="shared" si="17"/>
        <v>87</v>
      </c>
      <c r="P291" s="97">
        <f t="shared" si="18"/>
        <v>1.1666666666666667</v>
      </c>
      <c r="Q291" s="8" t="s">
        <v>1849</v>
      </c>
    </row>
    <row r="292" spans="1:17" x14ac:dyDescent="0.25">
      <c r="A292" s="9" t="s">
        <v>1157</v>
      </c>
      <c r="B292" s="9" t="s">
        <v>1218</v>
      </c>
      <c r="C292" t="str">
        <f>VLOOKUP(B292,'[1]Planting GPS Points'!$B$3:$L$290,8,FALSE)</f>
        <v>CPS</v>
      </c>
      <c r="D292">
        <f>VLOOKUP(B292,'[1]Planting GPS Points'!$B$3:$AL$290,15,FALSE)</f>
        <v>0</v>
      </c>
      <c r="E292" s="42">
        <v>42880</v>
      </c>
      <c r="F292" s="44">
        <v>8.0000000000000002E-3</v>
      </c>
      <c r="G292">
        <v>12</v>
      </c>
      <c r="H292" s="35" t="s">
        <v>971</v>
      </c>
      <c r="I292" s="42">
        <v>43073</v>
      </c>
      <c r="J292" s="77" t="s">
        <v>12</v>
      </c>
      <c r="K292" s="77" t="s">
        <v>967</v>
      </c>
      <c r="L292">
        <v>24</v>
      </c>
      <c r="N292" s="47"/>
      <c r="O292">
        <f t="shared" si="17"/>
        <v>193</v>
      </c>
      <c r="P292" s="97">
        <f t="shared" si="18"/>
        <v>2</v>
      </c>
      <c r="Q292" s="8" t="s">
        <v>1850</v>
      </c>
    </row>
    <row r="293" spans="1:17" x14ac:dyDescent="0.25">
      <c r="A293" s="9" t="s">
        <v>1157</v>
      </c>
      <c r="B293" s="9" t="s">
        <v>1218</v>
      </c>
      <c r="C293" t="str">
        <f>VLOOKUP(B293,'[1]Planting GPS Points'!$B$3:$L$290,8,FALSE)</f>
        <v>CPS</v>
      </c>
      <c r="D293">
        <f>VLOOKUP(B293,'[1]Planting GPS Points'!$B$3:$AL$290,15,FALSE)</f>
        <v>0</v>
      </c>
      <c r="E293" s="42">
        <v>42880</v>
      </c>
      <c r="F293" s="44">
        <v>8.0000000000000002E-3</v>
      </c>
      <c r="G293">
        <v>12</v>
      </c>
      <c r="H293" s="35" t="s">
        <v>971</v>
      </c>
      <c r="I293" s="42">
        <v>43130</v>
      </c>
      <c r="J293" s="77" t="s">
        <v>12</v>
      </c>
      <c r="K293" s="77" t="s">
        <v>967</v>
      </c>
      <c r="L293">
        <v>28</v>
      </c>
      <c r="M293">
        <v>1.3266499999999999E-2</v>
      </c>
      <c r="N293" s="47">
        <f>L293/M293</f>
        <v>2110.579278634154</v>
      </c>
      <c r="O293">
        <f t="shared" si="17"/>
        <v>250</v>
      </c>
      <c r="P293" s="97">
        <f t="shared" si="18"/>
        <v>2.3333333333333335</v>
      </c>
      <c r="Q293" s="8" t="s">
        <v>1851</v>
      </c>
    </row>
    <row r="294" spans="1:17" x14ac:dyDescent="0.25">
      <c r="A294" s="9" t="s">
        <v>1157</v>
      </c>
      <c r="B294" s="9" t="s">
        <v>1218</v>
      </c>
      <c r="C294" t="str">
        <f>VLOOKUP(B294,'[1]Planting GPS Points'!$B$3:$L$290,8,FALSE)</f>
        <v>CPS</v>
      </c>
      <c r="D294">
        <f>VLOOKUP(B294,'[1]Planting GPS Points'!$B$3:$AL$290,15,FALSE)</f>
        <v>0</v>
      </c>
      <c r="E294" s="42">
        <v>42880</v>
      </c>
      <c r="F294" s="44">
        <v>8.0000000000000002E-3</v>
      </c>
      <c r="G294">
        <v>12</v>
      </c>
      <c r="H294" s="35" t="s">
        <v>971</v>
      </c>
      <c r="I294" s="42">
        <v>43235</v>
      </c>
      <c r="J294" s="77" t="s">
        <v>12</v>
      </c>
      <c r="K294" s="77" t="s">
        <v>967</v>
      </c>
      <c r="L294">
        <v>8</v>
      </c>
      <c r="M294">
        <v>8.12475E-2</v>
      </c>
      <c r="N294" s="47">
        <f>L294/M294</f>
        <v>98.464568140558171</v>
      </c>
      <c r="O294">
        <f t="shared" si="17"/>
        <v>355</v>
      </c>
      <c r="P294" s="97">
        <f t="shared" si="18"/>
        <v>0.66666666666666663</v>
      </c>
      <c r="Q294" s="8" t="s">
        <v>1856</v>
      </c>
    </row>
    <row r="295" spans="1:17" x14ac:dyDescent="0.25">
      <c r="A295" s="9" t="s">
        <v>1157</v>
      </c>
      <c r="B295" s="9" t="s">
        <v>1218</v>
      </c>
      <c r="C295" t="str">
        <f>VLOOKUP(B295,'[1]Planting GPS Points'!$B$3:$L$290,8,FALSE)</f>
        <v>CPS</v>
      </c>
      <c r="D295">
        <f>VLOOKUP(B295,'[1]Planting GPS Points'!$B$3:$AL$290,15,FALSE)</f>
        <v>0</v>
      </c>
      <c r="E295" s="42">
        <v>42880</v>
      </c>
      <c r="F295" s="44">
        <v>8.0000000000000002E-3</v>
      </c>
      <c r="G295">
        <v>12</v>
      </c>
      <c r="H295" s="35" t="s">
        <v>971</v>
      </c>
      <c r="I295" s="42">
        <v>43292</v>
      </c>
      <c r="J295" s="77" t="s">
        <v>12</v>
      </c>
      <c r="K295" s="77" t="s">
        <v>967</v>
      </c>
      <c r="L295">
        <v>0</v>
      </c>
      <c r="N295" s="47"/>
      <c r="O295">
        <f t="shared" si="17"/>
        <v>412</v>
      </c>
      <c r="P295" s="97">
        <f t="shared" si="18"/>
        <v>0</v>
      </c>
      <c r="Q295" s="8"/>
    </row>
    <row r="296" spans="1:17" x14ac:dyDescent="0.25">
      <c r="A296" s="9" t="s">
        <v>1157</v>
      </c>
      <c r="B296" s="9" t="s">
        <v>1218</v>
      </c>
      <c r="C296" t="str">
        <f>VLOOKUP(B296,'[1]Planting GPS Points'!$B$3:$L$290,8,FALSE)</f>
        <v>CPS</v>
      </c>
      <c r="D296">
        <f>VLOOKUP(B296,'[1]Planting GPS Points'!$B$3:$AL$290,15,FALSE)</f>
        <v>0</v>
      </c>
      <c r="E296" s="42">
        <v>42880</v>
      </c>
      <c r="F296" s="44">
        <v>8.0000000000000002E-3</v>
      </c>
      <c r="G296">
        <v>12</v>
      </c>
      <c r="H296" s="35" t="s">
        <v>971</v>
      </c>
      <c r="I296" s="42">
        <v>43320</v>
      </c>
      <c r="J296" s="77" t="s">
        <v>23</v>
      </c>
      <c r="K296" s="77" t="s">
        <v>967</v>
      </c>
      <c r="L296">
        <v>0</v>
      </c>
      <c r="N296" s="47"/>
      <c r="O296">
        <f t="shared" si="17"/>
        <v>440</v>
      </c>
      <c r="P296" s="97">
        <f t="shared" si="18"/>
        <v>0</v>
      </c>
      <c r="Q296" s="8"/>
    </row>
    <row r="297" spans="1:17" x14ac:dyDescent="0.25">
      <c r="A297" s="9" t="s">
        <v>1157</v>
      </c>
      <c r="B297" s="9" t="s">
        <v>1218</v>
      </c>
      <c r="C297" t="str">
        <f>VLOOKUP(B297,'[1]Planting GPS Points'!$B$3:$L$290,8,FALSE)</f>
        <v>CPS</v>
      </c>
      <c r="D297">
        <f>VLOOKUP(B297,'[1]Planting GPS Points'!$B$3:$AL$290,15,FALSE)</f>
        <v>0</v>
      </c>
      <c r="E297" s="42">
        <v>42880</v>
      </c>
      <c r="F297" s="44">
        <v>8.0000000000000002E-3</v>
      </c>
      <c r="G297">
        <v>12</v>
      </c>
      <c r="H297" s="35" t="s">
        <v>971</v>
      </c>
      <c r="I297" s="42">
        <v>43676</v>
      </c>
      <c r="J297" s="77" t="s">
        <v>23</v>
      </c>
      <c r="K297" s="77" t="s">
        <v>967</v>
      </c>
      <c r="L297">
        <v>0</v>
      </c>
      <c r="N297" s="47"/>
      <c r="O297">
        <f t="shared" si="17"/>
        <v>796</v>
      </c>
      <c r="P297" s="97">
        <f t="shared" si="18"/>
        <v>0</v>
      </c>
      <c r="Q297" s="8"/>
    </row>
    <row r="298" spans="1:17" x14ac:dyDescent="0.25">
      <c r="A298" s="140" t="s">
        <v>1157</v>
      </c>
      <c r="B298" s="9" t="s">
        <v>1218</v>
      </c>
      <c r="C298" t="str">
        <f>VLOOKUP(B298,'[1]Planting GPS Points'!$B$3:$L$290,8,FALSE)</f>
        <v>CPS</v>
      </c>
      <c r="D298">
        <f>VLOOKUP(B298,'[1]Planting GPS Points'!$B$3:$AL$290,15,FALSE)</f>
        <v>0</v>
      </c>
      <c r="E298" s="42">
        <v>42880</v>
      </c>
      <c r="F298" s="44">
        <v>8.0000000000000002E-3</v>
      </c>
      <c r="G298">
        <v>12</v>
      </c>
      <c r="H298" s="35" t="s">
        <v>971</v>
      </c>
      <c r="I298" s="42">
        <v>44033</v>
      </c>
      <c r="J298" s="77" t="s">
        <v>23</v>
      </c>
      <c r="K298" s="77" t="s">
        <v>967</v>
      </c>
      <c r="L298">
        <v>0</v>
      </c>
      <c r="N298" s="44" t="str">
        <f>IFERROR(L298/M298, "")</f>
        <v/>
      </c>
      <c r="O298">
        <f t="shared" si="17"/>
        <v>1153</v>
      </c>
      <c r="P298" s="97">
        <f t="shared" si="18"/>
        <v>0</v>
      </c>
      <c r="Q298" s="8"/>
    </row>
    <row r="299" spans="1:17" x14ac:dyDescent="0.25">
      <c r="A299" s="9" t="s">
        <v>1157</v>
      </c>
      <c r="B299" s="9" t="s">
        <v>1220</v>
      </c>
      <c r="C299" t="str">
        <f>VLOOKUP(B299,'[1]Planting GPS Points'!$B$3:$L$290,8,FALSE)</f>
        <v>CPS</v>
      </c>
      <c r="D299">
        <f>VLOOKUP(B299,'[1]Planting GPS Points'!$B$3:$AL$290,15,FALSE)</f>
        <v>0</v>
      </c>
      <c r="E299" s="42">
        <v>42880</v>
      </c>
      <c r="F299" s="44">
        <v>8.0000000000000002E-3</v>
      </c>
      <c r="G299">
        <v>12</v>
      </c>
      <c r="H299" s="35" t="s">
        <v>971</v>
      </c>
      <c r="I299" s="42">
        <v>42883</v>
      </c>
      <c r="J299" s="77" t="s">
        <v>12</v>
      </c>
      <c r="K299" s="77" t="s">
        <v>967</v>
      </c>
      <c r="L299">
        <v>10</v>
      </c>
      <c r="M299">
        <v>8.0000000000000002E-3</v>
      </c>
      <c r="N299">
        <f>L299/M299</f>
        <v>1250</v>
      </c>
      <c r="O299">
        <f t="shared" si="17"/>
        <v>3</v>
      </c>
      <c r="P299" s="97">
        <f t="shared" si="18"/>
        <v>0.83333333333333337</v>
      </c>
      <c r="Q299" s="8" t="s">
        <v>1848</v>
      </c>
    </row>
    <row r="300" spans="1:17" x14ac:dyDescent="0.25">
      <c r="A300" s="9" t="s">
        <v>1157</v>
      </c>
      <c r="B300" s="9" t="s">
        <v>1220</v>
      </c>
      <c r="C300" t="str">
        <f>VLOOKUP(B300,'[1]Planting GPS Points'!$B$3:$L$290,8,FALSE)</f>
        <v>CPS</v>
      </c>
      <c r="D300">
        <f>VLOOKUP(B300,'[1]Planting GPS Points'!$B$3:$AL$290,15,FALSE)</f>
        <v>0</v>
      </c>
      <c r="E300" s="42">
        <v>42880</v>
      </c>
      <c r="F300" s="44">
        <v>8.0000000000000002E-3</v>
      </c>
      <c r="G300">
        <v>12</v>
      </c>
      <c r="H300" s="35" t="s">
        <v>971</v>
      </c>
      <c r="I300" s="42">
        <v>42938</v>
      </c>
      <c r="J300" s="77" t="s">
        <v>12</v>
      </c>
      <c r="K300" s="77" t="s">
        <v>967</v>
      </c>
      <c r="L300">
        <v>18</v>
      </c>
      <c r="M300">
        <v>8.0000000000000002E-3</v>
      </c>
      <c r="N300">
        <f>L300/M300</f>
        <v>2250</v>
      </c>
      <c r="O300">
        <f t="shared" si="17"/>
        <v>58</v>
      </c>
      <c r="P300" s="97">
        <f t="shared" si="18"/>
        <v>1.5</v>
      </c>
      <c r="Q300" s="8" t="s">
        <v>1849</v>
      </c>
    </row>
    <row r="301" spans="1:17" x14ac:dyDescent="0.25">
      <c r="A301" s="9" t="s">
        <v>1157</v>
      </c>
      <c r="B301" s="9" t="s">
        <v>1220</v>
      </c>
      <c r="C301" t="str">
        <f>VLOOKUP(B301,'[1]Planting GPS Points'!$B$3:$L$290,8,FALSE)</f>
        <v>CPS</v>
      </c>
      <c r="D301">
        <f>VLOOKUP(B301,'[1]Planting GPS Points'!$B$3:$AL$290,15,FALSE)</f>
        <v>0</v>
      </c>
      <c r="E301" s="42">
        <v>42880</v>
      </c>
      <c r="F301" s="44">
        <v>8.0000000000000002E-3</v>
      </c>
      <c r="G301">
        <v>12</v>
      </c>
      <c r="H301" s="35" t="s">
        <v>971</v>
      </c>
      <c r="I301" s="42">
        <v>42967</v>
      </c>
      <c r="J301" s="77" t="s">
        <v>12</v>
      </c>
      <c r="K301" s="77" t="s">
        <v>967</v>
      </c>
      <c r="L301">
        <v>23</v>
      </c>
      <c r="M301">
        <v>3.1399999999999997E-2</v>
      </c>
      <c r="N301" s="47">
        <f>L301/M301</f>
        <v>732.48407643312112</v>
      </c>
      <c r="O301">
        <f t="shared" si="17"/>
        <v>87</v>
      </c>
      <c r="P301" s="97">
        <f t="shared" si="18"/>
        <v>1.9166666666666667</v>
      </c>
      <c r="Q301" s="8" t="s">
        <v>1849</v>
      </c>
    </row>
    <row r="302" spans="1:17" x14ac:dyDescent="0.25">
      <c r="A302" s="9" t="s">
        <v>1157</v>
      </c>
      <c r="B302" s="9" t="s">
        <v>1220</v>
      </c>
      <c r="C302" t="str">
        <f>VLOOKUP(B302,'[1]Planting GPS Points'!$B$3:$L$290,8,FALSE)</f>
        <v>CPS</v>
      </c>
      <c r="D302">
        <f>VLOOKUP(B302,'[1]Planting GPS Points'!$B$3:$AL$290,15,FALSE)</f>
        <v>0</v>
      </c>
      <c r="E302" s="42">
        <v>42880</v>
      </c>
      <c r="F302" s="44">
        <v>8.0000000000000002E-3</v>
      </c>
      <c r="G302">
        <v>12</v>
      </c>
      <c r="H302" s="35" t="s">
        <v>971</v>
      </c>
      <c r="I302" s="42">
        <v>43073</v>
      </c>
      <c r="J302" s="77" t="s">
        <v>12</v>
      </c>
      <c r="K302" s="77" t="s">
        <v>967</v>
      </c>
      <c r="L302">
        <v>36</v>
      </c>
      <c r="N302" s="47"/>
      <c r="O302">
        <f t="shared" ref="O302:O372" si="19">I302-E302</f>
        <v>193</v>
      </c>
      <c r="P302" s="97">
        <f t="shared" si="18"/>
        <v>3</v>
      </c>
      <c r="Q302" s="8" t="s">
        <v>1850</v>
      </c>
    </row>
    <row r="303" spans="1:17" x14ac:dyDescent="0.25">
      <c r="A303" s="9" t="s">
        <v>1157</v>
      </c>
      <c r="B303" s="9" t="s">
        <v>1220</v>
      </c>
      <c r="C303" t="str">
        <f>VLOOKUP(B303,'[1]Planting GPS Points'!$B$3:$L$290,8,FALSE)</f>
        <v>CPS</v>
      </c>
      <c r="D303">
        <f>VLOOKUP(B303,'[1]Planting GPS Points'!$B$3:$AL$290,15,FALSE)</f>
        <v>0</v>
      </c>
      <c r="E303" s="42">
        <v>42880</v>
      </c>
      <c r="F303" s="44">
        <v>8.0000000000000002E-3</v>
      </c>
      <c r="G303">
        <v>12</v>
      </c>
      <c r="H303" s="35" t="s">
        <v>971</v>
      </c>
      <c r="I303" s="42">
        <v>43130</v>
      </c>
      <c r="J303" s="77" t="s">
        <v>12</v>
      </c>
      <c r="K303" s="77" t="s">
        <v>967</v>
      </c>
      <c r="L303">
        <v>17</v>
      </c>
      <c r="M303">
        <v>1.1304E-2</v>
      </c>
      <c r="N303" s="47">
        <f>L303/M303</f>
        <v>1503.8924274593064</v>
      </c>
      <c r="O303">
        <f t="shared" si="19"/>
        <v>250</v>
      </c>
      <c r="P303" s="97">
        <f t="shared" si="18"/>
        <v>1.4166666666666667</v>
      </c>
      <c r="Q303" s="8" t="s">
        <v>1851</v>
      </c>
    </row>
    <row r="304" spans="1:17" x14ac:dyDescent="0.25">
      <c r="A304" s="9" t="s">
        <v>1157</v>
      </c>
      <c r="B304" s="9" t="s">
        <v>1220</v>
      </c>
      <c r="C304" t="str">
        <f>VLOOKUP(B304,'[1]Planting GPS Points'!$B$3:$L$290,8,FALSE)</f>
        <v>CPS</v>
      </c>
      <c r="D304">
        <f>VLOOKUP(B304,'[1]Planting GPS Points'!$B$3:$AL$290,15,FALSE)</f>
        <v>0</v>
      </c>
      <c r="E304" s="42">
        <v>42880</v>
      </c>
      <c r="F304" s="44">
        <v>8.0000000000000002E-3</v>
      </c>
      <c r="G304">
        <v>12</v>
      </c>
      <c r="H304" s="35" t="s">
        <v>971</v>
      </c>
      <c r="I304" s="42">
        <v>43235</v>
      </c>
      <c r="J304" s="77" t="s">
        <v>12</v>
      </c>
      <c r="K304" s="77" t="s">
        <v>967</v>
      </c>
      <c r="L304">
        <v>19</v>
      </c>
      <c r="M304">
        <v>0.10362</v>
      </c>
      <c r="N304" s="47">
        <f>L304/M304</f>
        <v>183.36228527311329</v>
      </c>
      <c r="O304">
        <f t="shared" si="19"/>
        <v>355</v>
      </c>
      <c r="P304" s="97">
        <f t="shared" si="18"/>
        <v>1.5833333333333333</v>
      </c>
      <c r="Q304" s="8" t="s">
        <v>1856</v>
      </c>
    </row>
    <row r="305" spans="1:17" x14ac:dyDescent="0.25">
      <c r="A305" s="9" t="s">
        <v>1157</v>
      </c>
      <c r="B305" s="9" t="s">
        <v>1220</v>
      </c>
      <c r="C305" t="str">
        <f>VLOOKUP(B305,'[1]Planting GPS Points'!$B$3:$L$290,8,FALSE)</f>
        <v>CPS</v>
      </c>
      <c r="D305">
        <f>VLOOKUP(B305,'[1]Planting GPS Points'!$B$3:$AL$290,15,FALSE)</f>
        <v>0</v>
      </c>
      <c r="E305" s="42">
        <v>42880</v>
      </c>
      <c r="F305" s="44">
        <v>8.0000000000000002E-3</v>
      </c>
      <c r="G305">
        <v>12</v>
      </c>
      <c r="H305" s="35" t="s">
        <v>971</v>
      </c>
      <c r="I305" s="42">
        <v>43292</v>
      </c>
      <c r="J305" s="77" t="s">
        <v>12</v>
      </c>
      <c r="K305" s="77" t="s">
        <v>967</v>
      </c>
      <c r="L305">
        <v>0</v>
      </c>
      <c r="N305" s="47"/>
      <c r="O305">
        <f t="shared" si="19"/>
        <v>412</v>
      </c>
      <c r="P305" s="97">
        <f t="shared" si="18"/>
        <v>0</v>
      </c>
      <c r="Q305" s="8"/>
    </row>
    <row r="306" spans="1:17" x14ac:dyDescent="0.25">
      <c r="A306" s="9" t="s">
        <v>1157</v>
      </c>
      <c r="B306" s="9" t="s">
        <v>1220</v>
      </c>
      <c r="C306" t="str">
        <f>VLOOKUP(B306,'[1]Planting GPS Points'!$B$3:$L$290,8,FALSE)</f>
        <v>CPS</v>
      </c>
      <c r="D306">
        <f>VLOOKUP(B306,'[1]Planting GPS Points'!$B$3:$AL$290,15,FALSE)</f>
        <v>0</v>
      </c>
      <c r="E306" s="42">
        <v>42880</v>
      </c>
      <c r="F306" s="44">
        <v>8.0000000000000002E-3</v>
      </c>
      <c r="G306">
        <v>12</v>
      </c>
      <c r="H306" s="35" t="s">
        <v>971</v>
      </c>
      <c r="I306" s="42">
        <v>43320</v>
      </c>
      <c r="J306" s="77" t="s">
        <v>23</v>
      </c>
      <c r="K306" s="77" t="s">
        <v>967</v>
      </c>
      <c r="L306">
        <v>0</v>
      </c>
      <c r="N306" s="47"/>
      <c r="O306">
        <f t="shared" si="19"/>
        <v>440</v>
      </c>
      <c r="P306" s="97">
        <f t="shared" si="18"/>
        <v>0</v>
      </c>
      <c r="Q306" s="8"/>
    </row>
    <row r="307" spans="1:17" x14ac:dyDescent="0.25">
      <c r="A307" s="9" t="s">
        <v>1157</v>
      </c>
      <c r="B307" s="9" t="s">
        <v>1220</v>
      </c>
      <c r="C307" t="str">
        <f>VLOOKUP(B307,'[1]Planting GPS Points'!$B$3:$L$290,8,FALSE)</f>
        <v>CPS</v>
      </c>
      <c r="D307">
        <f>VLOOKUP(B307,'[1]Planting GPS Points'!$B$3:$AL$290,15,FALSE)</f>
        <v>0</v>
      </c>
      <c r="E307" s="42">
        <v>42880</v>
      </c>
      <c r="F307" s="44">
        <v>8.0000000000000002E-3</v>
      </c>
      <c r="G307">
        <v>12</v>
      </c>
      <c r="H307" s="35" t="s">
        <v>971</v>
      </c>
      <c r="I307" s="42">
        <v>43676</v>
      </c>
      <c r="J307" s="77" t="s">
        <v>23</v>
      </c>
      <c r="K307" s="77" t="s">
        <v>967</v>
      </c>
      <c r="L307">
        <v>0</v>
      </c>
      <c r="N307" s="47"/>
      <c r="O307">
        <f t="shared" si="19"/>
        <v>796</v>
      </c>
      <c r="P307" s="97">
        <f t="shared" si="18"/>
        <v>0</v>
      </c>
      <c r="Q307" s="8"/>
    </row>
    <row r="308" spans="1:17" x14ac:dyDescent="0.25">
      <c r="A308" s="140" t="s">
        <v>1157</v>
      </c>
      <c r="B308" s="9" t="s">
        <v>1220</v>
      </c>
      <c r="C308" t="str">
        <f>VLOOKUP(B308,'[1]Planting GPS Points'!$B$3:$L$290,8,FALSE)</f>
        <v>CPS</v>
      </c>
      <c r="D308">
        <f>VLOOKUP(B308,'[1]Planting GPS Points'!$B$3:$AL$290,15,FALSE)</f>
        <v>0</v>
      </c>
      <c r="E308" s="42">
        <v>42880</v>
      </c>
      <c r="F308" s="44">
        <v>8.0000000000000002E-3</v>
      </c>
      <c r="G308">
        <v>12</v>
      </c>
      <c r="H308" s="35" t="s">
        <v>971</v>
      </c>
      <c r="I308" s="42">
        <v>44033</v>
      </c>
      <c r="J308" s="77" t="s">
        <v>23</v>
      </c>
      <c r="K308" s="77" t="s">
        <v>967</v>
      </c>
      <c r="L308">
        <v>0</v>
      </c>
      <c r="N308" s="44" t="str">
        <f>IFERROR(L308/M308, "")</f>
        <v/>
      </c>
      <c r="O308">
        <f t="shared" si="19"/>
        <v>1153</v>
      </c>
      <c r="P308" s="97">
        <f t="shared" si="18"/>
        <v>0</v>
      </c>
      <c r="Q308" s="8"/>
    </row>
    <row r="309" spans="1:17" x14ac:dyDescent="0.25">
      <c r="A309" s="9" t="s">
        <v>1157</v>
      </c>
      <c r="B309" s="9" t="s">
        <v>1222</v>
      </c>
      <c r="C309" t="str">
        <f>VLOOKUP(B309,'[1]Planting GPS Points'!$B$3:$L$290,8,FALSE)</f>
        <v>CPS</v>
      </c>
      <c r="D309">
        <f>VLOOKUP(B309,'[1]Planting GPS Points'!$B$3:$AL$290,15,FALSE)</f>
        <v>0</v>
      </c>
      <c r="E309" s="42">
        <v>42880</v>
      </c>
      <c r="F309" s="44">
        <v>8.0000000000000002E-3</v>
      </c>
      <c r="G309">
        <v>12</v>
      </c>
      <c r="H309" s="35" t="s">
        <v>971</v>
      </c>
      <c r="I309" s="42">
        <v>42883</v>
      </c>
      <c r="J309" s="77" t="s">
        <v>12</v>
      </c>
      <c r="K309" s="77" t="s">
        <v>967</v>
      </c>
      <c r="L309">
        <v>10</v>
      </c>
      <c r="M309">
        <v>8.0000000000000002E-3</v>
      </c>
      <c r="N309">
        <f>L309/M309</f>
        <v>1250</v>
      </c>
      <c r="O309">
        <f t="shared" si="19"/>
        <v>3</v>
      </c>
      <c r="P309" s="97">
        <f t="shared" si="18"/>
        <v>0.83333333333333337</v>
      </c>
      <c r="Q309" s="8" t="s">
        <v>1848</v>
      </c>
    </row>
    <row r="310" spans="1:17" x14ac:dyDescent="0.25">
      <c r="A310" s="9" t="s">
        <v>1157</v>
      </c>
      <c r="B310" s="9" t="s">
        <v>1222</v>
      </c>
      <c r="C310" t="str">
        <f>VLOOKUP(B310,'[1]Planting GPS Points'!$B$3:$L$290,8,FALSE)</f>
        <v>CPS</v>
      </c>
      <c r="D310">
        <f>VLOOKUP(B310,'[1]Planting GPS Points'!$B$3:$AL$290,15,FALSE)</f>
        <v>0</v>
      </c>
      <c r="E310" s="42">
        <v>42880</v>
      </c>
      <c r="F310" s="44">
        <v>8.0000000000000002E-3</v>
      </c>
      <c r="G310">
        <v>12</v>
      </c>
      <c r="H310" s="35" t="s">
        <v>971</v>
      </c>
      <c r="I310" s="42">
        <v>42938</v>
      </c>
      <c r="J310" s="77" t="s">
        <v>12</v>
      </c>
      <c r="K310" s="77" t="s">
        <v>967</v>
      </c>
      <c r="L310">
        <v>22</v>
      </c>
      <c r="M310">
        <v>8.0000000000000002E-3</v>
      </c>
      <c r="N310">
        <f>L310/M310</f>
        <v>2750</v>
      </c>
      <c r="O310">
        <f t="shared" si="19"/>
        <v>58</v>
      </c>
      <c r="P310" s="97">
        <f t="shared" si="18"/>
        <v>1.8333333333333333</v>
      </c>
      <c r="Q310" s="8" t="s">
        <v>1849</v>
      </c>
    </row>
    <row r="311" spans="1:17" x14ac:dyDescent="0.25">
      <c r="A311" s="9" t="s">
        <v>1157</v>
      </c>
      <c r="B311" s="9" t="s">
        <v>1222</v>
      </c>
      <c r="C311" t="str">
        <f>VLOOKUP(B311,'[1]Planting GPS Points'!$B$3:$L$290,8,FALSE)</f>
        <v>CPS</v>
      </c>
      <c r="D311">
        <f>VLOOKUP(B311,'[1]Planting GPS Points'!$B$3:$AL$290,15,FALSE)</f>
        <v>0</v>
      </c>
      <c r="E311" s="42">
        <v>42880</v>
      </c>
      <c r="F311" s="44">
        <v>8.0000000000000002E-3</v>
      </c>
      <c r="G311">
        <v>12</v>
      </c>
      <c r="H311" s="35" t="s">
        <v>971</v>
      </c>
      <c r="I311" s="42">
        <v>42967</v>
      </c>
      <c r="J311" s="77" t="s">
        <v>12</v>
      </c>
      <c r="K311" s="77" t="s">
        <v>967</v>
      </c>
      <c r="L311">
        <v>45</v>
      </c>
      <c r="M311">
        <v>6.1539999999999997E-2</v>
      </c>
      <c r="N311" s="47">
        <f>L311/M311</f>
        <v>731.23171920701986</v>
      </c>
      <c r="O311">
        <f t="shared" si="19"/>
        <v>87</v>
      </c>
      <c r="P311" s="97">
        <f t="shared" si="18"/>
        <v>3.75</v>
      </c>
      <c r="Q311" s="8" t="s">
        <v>1849</v>
      </c>
    </row>
    <row r="312" spans="1:17" x14ac:dyDescent="0.25">
      <c r="A312" s="9" t="s">
        <v>1157</v>
      </c>
      <c r="B312" s="9" t="s">
        <v>1222</v>
      </c>
      <c r="C312" t="str">
        <f>VLOOKUP(B312,'[1]Planting GPS Points'!$B$3:$L$290,8,FALSE)</f>
        <v>CPS</v>
      </c>
      <c r="D312">
        <f>VLOOKUP(B312,'[1]Planting GPS Points'!$B$3:$AL$290,15,FALSE)</f>
        <v>0</v>
      </c>
      <c r="E312" s="42">
        <v>42880</v>
      </c>
      <c r="F312" s="44">
        <v>8.0000000000000002E-3</v>
      </c>
      <c r="G312">
        <v>12</v>
      </c>
      <c r="H312" s="35" t="s">
        <v>971</v>
      </c>
      <c r="I312" s="42">
        <v>43073</v>
      </c>
      <c r="J312" s="77" t="s">
        <v>12</v>
      </c>
      <c r="K312" s="77" t="s">
        <v>967</v>
      </c>
      <c r="L312">
        <v>112</v>
      </c>
      <c r="N312" s="47"/>
      <c r="O312">
        <f t="shared" si="19"/>
        <v>193</v>
      </c>
      <c r="P312" s="97">
        <f t="shared" si="18"/>
        <v>9.3333333333333339</v>
      </c>
      <c r="Q312" s="8" t="s">
        <v>1850</v>
      </c>
    </row>
    <row r="313" spans="1:17" x14ac:dyDescent="0.25">
      <c r="A313" s="9" t="s">
        <v>1157</v>
      </c>
      <c r="B313" s="9" t="s">
        <v>1222</v>
      </c>
      <c r="C313" t="str">
        <f>VLOOKUP(B313,'[1]Planting GPS Points'!$B$3:$L$290,8,FALSE)</f>
        <v>CPS</v>
      </c>
      <c r="D313">
        <f>VLOOKUP(B313,'[1]Planting GPS Points'!$B$3:$AL$290,15,FALSE)</f>
        <v>0</v>
      </c>
      <c r="E313" s="42">
        <v>42880</v>
      </c>
      <c r="F313" s="44">
        <v>8.0000000000000002E-3</v>
      </c>
      <c r="G313">
        <v>12</v>
      </c>
      <c r="H313" s="35" t="s">
        <v>971</v>
      </c>
      <c r="I313" s="42">
        <v>43130</v>
      </c>
      <c r="J313" s="77" t="s">
        <v>12</v>
      </c>
      <c r="K313" s="77" t="s">
        <v>967</v>
      </c>
      <c r="L313">
        <v>45</v>
      </c>
      <c r="M313">
        <v>2.8338499999999999E-2</v>
      </c>
      <c r="N313" s="47">
        <f>L313/M313</f>
        <v>1587.9457275438008</v>
      </c>
      <c r="O313">
        <f t="shared" si="19"/>
        <v>250</v>
      </c>
      <c r="P313" s="97">
        <f t="shared" si="18"/>
        <v>3.75</v>
      </c>
      <c r="Q313" s="8" t="s">
        <v>1851</v>
      </c>
    </row>
    <row r="314" spans="1:17" x14ac:dyDescent="0.25">
      <c r="A314" s="9" t="s">
        <v>1157</v>
      </c>
      <c r="B314" s="9" t="s">
        <v>1222</v>
      </c>
      <c r="C314" t="str">
        <f>VLOOKUP(B314,'[1]Planting GPS Points'!$B$3:$L$290,8,FALSE)</f>
        <v>CPS</v>
      </c>
      <c r="D314">
        <f>VLOOKUP(B314,'[1]Planting GPS Points'!$B$3:$AL$290,15,FALSE)</f>
        <v>0</v>
      </c>
      <c r="E314" s="42">
        <v>42880</v>
      </c>
      <c r="F314" s="44">
        <v>8.0000000000000002E-3</v>
      </c>
      <c r="G314">
        <v>12</v>
      </c>
      <c r="H314" s="35" t="s">
        <v>971</v>
      </c>
      <c r="I314" s="42">
        <v>43235</v>
      </c>
      <c r="J314" s="77" t="s">
        <v>12</v>
      </c>
      <c r="K314" s="77" t="s">
        <v>967</v>
      </c>
      <c r="L314">
        <v>67</v>
      </c>
      <c r="M314">
        <v>0.32969999999999999</v>
      </c>
      <c r="N314" s="47">
        <f>L314/M314</f>
        <v>203.2150439793752</v>
      </c>
      <c r="O314">
        <f t="shared" si="19"/>
        <v>355</v>
      </c>
      <c r="P314" s="97">
        <f t="shared" si="18"/>
        <v>5.583333333333333</v>
      </c>
      <c r="Q314" s="8" t="s">
        <v>1856</v>
      </c>
    </row>
    <row r="315" spans="1:17" x14ac:dyDescent="0.25">
      <c r="A315" s="9" t="s">
        <v>1157</v>
      </c>
      <c r="B315" s="9" t="s">
        <v>1222</v>
      </c>
      <c r="C315" t="str">
        <f>VLOOKUP(B315,'[1]Planting GPS Points'!$B$3:$L$290,8,FALSE)</f>
        <v>CPS</v>
      </c>
      <c r="D315">
        <f>VLOOKUP(B315,'[1]Planting GPS Points'!$B$3:$AL$290,15,FALSE)</f>
        <v>0</v>
      </c>
      <c r="E315" s="42">
        <v>42880</v>
      </c>
      <c r="F315" s="44">
        <v>8.0000000000000002E-3</v>
      </c>
      <c r="G315">
        <v>12</v>
      </c>
      <c r="H315" s="35" t="s">
        <v>971</v>
      </c>
      <c r="I315" s="42">
        <v>43292</v>
      </c>
      <c r="J315" s="77" t="s">
        <v>12</v>
      </c>
      <c r="K315" s="77" t="s">
        <v>967</v>
      </c>
      <c r="L315">
        <v>47</v>
      </c>
      <c r="M315">
        <v>0.29892800000000003</v>
      </c>
      <c r="N315" s="47">
        <f>L315/M315</f>
        <v>157.22849649413905</v>
      </c>
      <c r="O315">
        <f t="shared" si="19"/>
        <v>412</v>
      </c>
      <c r="P315" s="97">
        <f t="shared" si="18"/>
        <v>3.9166666666666665</v>
      </c>
      <c r="Q315" s="8" t="s">
        <v>1862</v>
      </c>
    </row>
    <row r="316" spans="1:17" x14ac:dyDescent="0.25">
      <c r="A316" s="9" t="s">
        <v>1157</v>
      </c>
      <c r="B316" s="9" t="s">
        <v>1222</v>
      </c>
      <c r="C316" t="str">
        <f>VLOOKUP(B316,'[1]Planting GPS Points'!$B$3:$L$290,8,FALSE)</f>
        <v>CPS</v>
      </c>
      <c r="D316">
        <f>VLOOKUP(B316,'[1]Planting GPS Points'!$B$3:$AL$290,15,FALSE)</f>
        <v>0</v>
      </c>
      <c r="E316" s="42">
        <v>42880</v>
      </c>
      <c r="F316" s="44">
        <v>8.0000000000000002E-3</v>
      </c>
      <c r="G316">
        <v>12</v>
      </c>
      <c r="H316" s="35" t="s">
        <v>971</v>
      </c>
      <c r="I316" s="42">
        <v>43320</v>
      </c>
      <c r="J316" s="77" t="s">
        <v>12</v>
      </c>
      <c r="K316" s="77" t="s">
        <v>967</v>
      </c>
      <c r="L316">
        <v>97</v>
      </c>
      <c r="M316">
        <v>0.17858750000000001</v>
      </c>
      <c r="N316" s="47">
        <f>L316/M316</f>
        <v>543.15111639952397</v>
      </c>
      <c r="O316">
        <f t="shared" si="19"/>
        <v>440</v>
      </c>
      <c r="P316" s="97">
        <f t="shared" si="18"/>
        <v>8.0833333333333339</v>
      </c>
      <c r="Q316" s="8" t="s">
        <v>1863</v>
      </c>
    </row>
    <row r="317" spans="1:17" x14ac:dyDescent="0.25">
      <c r="A317" s="9" t="s">
        <v>1157</v>
      </c>
      <c r="B317" s="9" t="s">
        <v>1222</v>
      </c>
      <c r="C317" t="str">
        <f>VLOOKUP(B317,'[1]Planting GPS Points'!$B$3:$L$290,8,FALSE)</f>
        <v>CPS</v>
      </c>
      <c r="D317">
        <f>VLOOKUP(B317,'[1]Planting GPS Points'!$B$3:$AL$290,15,FALSE)</f>
        <v>0</v>
      </c>
      <c r="E317" s="42">
        <v>42880</v>
      </c>
      <c r="F317" s="44">
        <v>8.0000000000000002E-3</v>
      </c>
      <c r="G317">
        <v>12</v>
      </c>
      <c r="H317" s="35" t="s">
        <v>971</v>
      </c>
      <c r="I317" s="42">
        <v>43676</v>
      </c>
      <c r="J317" s="77" t="s">
        <v>12</v>
      </c>
      <c r="K317" s="77" t="s">
        <v>967</v>
      </c>
      <c r="L317">
        <v>157</v>
      </c>
      <c r="M317" s="44">
        <v>1.2002649999999999</v>
      </c>
      <c r="N317" s="47">
        <f>L317/M317</f>
        <v>130.80444735120994</v>
      </c>
      <c r="O317">
        <f t="shared" si="19"/>
        <v>796</v>
      </c>
      <c r="P317" s="97">
        <f t="shared" si="18"/>
        <v>13.083333333333334</v>
      </c>
      <c r="Q317" s="8" t="s">
        <v>1864</v>
      </c>
    </row>
    <row r="318" spans="1:17" x14ac:dyDescent="0.25">
      <c r="A318" s="140" t="s">
        <v>1157</v>
      </c>
      <c r="B318" s="9" t="s">
        <v>1222</v>
      </c>
      <c r="C318" t="str">
        <f>VLOOKUP(B318,'[1]Planting GPS Points'!$B$3:$L$290,8,FALSE)</f>
        <v>CPS</v>
      </c>
      <c r="D318">
        <f>VLOOKUP(B318,'[1]Planting GPS Points'!$B$3:$AL$290,15,FALSE)</f>
        <v>0</v>
      </c>
      <c r="E318" s="42">
        <v>42880</v>
      </c>
      <c r="F318" s="44">
        <v>8.0000000000000002E-3</v>
      </c>
      <c r="G318">
        <v>12</v>
      </c>
      <c r="H318" s="35" t="s">
        <v>971</v>
      </c>
      <c r="I318" s="42">
        <v>44033</v>
      </c>
      <c r="J318" s="77" t="s">
        <v>12</v>
      </c>
      <c r="K318" s="77" t="s">
        <v>967</v>
      </c>
      <c r="M318" s="44"/>
      <c r="N318" s="44" t="str">
        <f t="shared" ref="N318:N381" si="20">IFERROR(L318/M318, "")</f>
        <v/>
      </c>
      <c r="O318">
        <f t="shared" si="19"/>
        <v>1153</v>
      </c>
      <c r="P318" s="97" t="str">
        <f t="shared" si="18"/>
        <v/>
      </c>
      <c r="Q318" s="8" t="s">
        <v>1864</v>
      </c>
    </row>
    <row r="319" spans="1:17" x14ac:dyDescent="0.25">
      <c r="A319" s="9" t="s">
        <v>1157</v>
      </c>
      <c r="B319" s="9" t="s">
        <v>1235</v>
      </c>
      <c r="C319" t="str">
        <f>VLOOKUP(B319,'[1]Planting GPS Points'!$B$3:$L$290,8,FALSE)</f>
        <v>CPS</v>
      </c>
      <c r="D319">
        <f>VLOOKUP(B319,'[1]Planting GPS Points'!$B$3:$AL$290,15,FALSE)</f>
        <v>0</v>
      </c>
      <c r="E319" s="42">
        <v>42881</v>
      </c>
      <c r="F319" s="44">
        <v>1.25</v>
      </c>
      <c r="G319">
        <v>90</v>
      </c>
      <c r="H319" s="35" t="s">
        <v>971</v>
      </c>
      <c r="I319" s="42">
        <v>42938</v>
      </c>
      <c r="J319" s="77" t="s">
        <v>12</v>
      </c>
      <c r="K319" s="77" t="s">
        <v>967</v>
      </c>
      <c r="L319">
        <v>164</v>
      </c>
      <c r="M319">
        <v>1.25</v>
      </c>
      <c r="N319" s="44">
        <f t="shared" si="20"/>
        <v>131.19999999999999</v>
      </c>
      <c r="O319">
        <f t="shared" si="19"/>
        <v>57</v>
      </c>
      <c r="P319" s="97">
        <f t="shared" si="18"/>
        <v>1.8222222222222222</v>
      </c>
      <c r="Q319" s="8" t="s">
        <v>1865</v>
      </c>
    </row>
    <row r="320" spans="1:17" x14ac:dyDescent="0.25">
      <c r="A320" s="9" t="s">
        <v>1157</v>
      </c>
      <c r="B320" s="9" t="s">
        <v>1235</v>
      </c>
      <c r="C320" t="str">
        <f>VLOOKUP(B320,'[1]Planting GPS Points'!$B$3:$L$290,8,FALSE)</f>
        <v>CPS</v>
      </c>
      <c r="D320">
        <f>VLOOKUP(B320,'[1]Planting GPS Points'!$B$3:$AL$290,15,FALSE)</f>
        <v>0</v>
      </c>
      <c r="E320" s="42">
        <v>42881</v>
      </c>
      <c r="F320" s="44">
        <v>1.25</v>
      </c>
      <c r="G320">
        <v>90</v>
      </c>
      <c r="H320" s="35" t="s">
        <v>971</v>
      </c>
      <c r="I320" s="42">
        <v>42968</v>
      </c>
      <c r="J320" s="77" t="s">
        <v>12</v>
      </c>
      <c r="K320" s="77" t="s">
        <v>967</v>
      </c>
      <c r="L320">
        <v>257</v>
      </c>
      <c r="M320">
        <v>1.25</v>
      </c>
      <c r="N320" s="44">
        <f t="shared" si="20"/>
        <v>205.6</v>
      </c>
      <c r="O320">
        <f t="shared" si="19"/>
        <v>87</v>
      </c>
      <c r="P320" s="97">
        <f t="shared" si="18"/>
        <v>2.8555555555555556</v>
      </c>
      <c r="Q320" s="8" t="s">
        <v>1865</v>
      </c>
    </row>
    <row r="321" spans="1:17" x14ac:dyDescent="0.25">
      <c r="A321" s="9" t="s">
        <v>1157</v>
      </c>
      <c r="B321" s="9" t="s">
        <v>1235</v>
      </c>
      <c r="C321" t="str">
        <f>VLOOKUP(B321,'[1]Planting GPS Points'!$B$3:$L$290,8,FALSE)</f>
        <v>CPS</v>
      </c>
      <c r="D321">
        <f>VLOOKUP(B321,'[1]Planting GPS Points'!$B$3:$AL$290,15,FALSE)</f>
        <v>0</v>
      </c>
      <c r="E321" s="42">
        <v>42881</v>
      </c>
      <c r="F321" s="44">
        <v>1.25</v>
      </c>
      <c r="G321">
        <v>90</v>
      </c>
      <c r="H321" s="35" t="s">
        <v>971</v>
      </c>
      <c r="I321" s="42">
        <v>43238</v>
      </c>
      <c r="J321" s="77" t="s">
        <v>12</v>
      </c>
      <c r="K321" s="77" t="s">
        <v>967</v>
      </c>
      <c r="L321">
        <v>640</v>
      </c>
      <c r="M321">
        <v>1.25</v>
      </c>
      <c r="N321" s="44">
        <f t="shared" si="20"/>
        <v>512</v>
      </c>
      <c r="O321">
        <f t="shared" si="19"/>
        <v>357</v>
      </c>
      <c r="P321" s="97">
        <f t="shared" si="18"/>
        <v>7.1111111111111107</v>
      </c>
      <c r="Q321" s="8" t="s">
        <v>1865</v>
      </c>
    </row>
    <row r="322" spans="1:17" x14ac:dyDescent="0.25">
      <c r="A322" s="9" t="s">
        <v>1157</v>
      </c>
      <c r="B322" s="9" t="s">
        <v>1235</v>
      </c>
      <c r="C322" t="str">
        <f>VLOOKUP(B322,'[1]Planting GPS Points'!$B$3:$L$290,8,FALSE)</f>
        <v>CPS</v>
      </c>
      <c r="D322">
        <f>VLOOKUP(B322,'[1]Planting GPS Points'!$B$3:$AL$290,15,FALSE)</f>
        <v>0</v>
      </c>
      <c r="E322" s="42">
        <v>42881</v>
      </c>
      <c r="F322" s="44">
        <v>1.25</v>
      </c>
      <c r="G322">
        <v>90</v>
      </c>
      <c r="H322" s="35" t="s">
        <v>971</v>
      </c>
      <c r="I322" s="42">
        <v>43294</v>
      </c>
      <c r="J322" s="77" t="s">
        <v>12</v>
      </c>
      <c r="K322" s="77" t="s">
        <v>967</v>
      </c>
      <c r="L322">
        <v>804</v>
      </c>
      <c r="M322">
        <v>1.25</v>
      </c>
      <c r="N322" s="44">
        <f t="shared" si="20"/>
        <v>643.20000000000005</v>
      </c>
      <c r="O322">
        <f t="shared" si="19"/>
        <v>413</v>
      </c>
      <c r="P322" s="97">
        <f t="shared" si="18"/>
        <v>8.9333333333333336</v>
      </c>
      <c r="Q322" s="8" t="s">
        <v>1865</v>
      </c>
    </row>
    <row r="323" spans="1:17" x14ac:dyDescent="0.25">
      <c r="A323" s="9" t="s">
        <v>1157</v>
      </c>
      <c r="B323" s="9" t="s">
        <v>1235</v>
      </c>
      <c r="C323" t="str">
        <f>VLOOKUP(B323,'[1]Planting GPS Points'!$B$3:$L$290,8,FALSE)</f>
        <v>CPS</v>
      </c>
      <c r="D323">
        <f>VLOOKUP(B323,'[1]Planting GPS Points'!$B$3:$AL$290,15,FALSE)</f>
        <v>0</v>
      </c>
      <c r="E323" s="42">
        <v>42881</v>
      </c>
      <c r="F323" s="44">
        <v>1.25</v>
      </c>
      <c r="G323">
        <v>90</v>
      </c>
      <c r="H323" s="35" t="s">
        <v>971</v>
      </c>
      <c r="I323" s="42">
        <v>43321</v>
      </c>
      <c r="J323" s="77" t="s">
        <v>12</v>
      </c>
      <c r="K323" s="77" t="s">
        <v>967</v>
      </c>
      <c r="L323">
        <v>1082</v>
      </c>
      <c r="M323">
        <v>1.25</v>
      </c>
      <c r="N323" s="44">
        <f t="shared" si="20"/>
        <v>865.6</v>
      </c>
      <c r="O323">
        <f t="shared" si="19"/>
        <v>440</v>
      </c>
      <c r="P323" s="97">
        <f t="shared" si="18"/>
        <v>12.022222222222222</v>
      </c>
      <c r="Q323" s="8" t="s">
        <v>1865</v>
      </c>
    </row>
    <row r="324" spans="1:17" x14ac:dyDescent="0.25">
      <c r="A324" s="9" t="s">
        <v>1157</v>
      </c>
      <c r="B324" s="9" t="s">
        <v>1235</v>
      </c>
      <c r="C324" t="str">
        <f>VLOOKUP(B324,'[1]Planting GPS Points'!$B$3:$L$290,8,FALSE)</f>
        <v>CPS</v>
      </c>
      <c r="D324">
        <f>VLOOKUP(B324,'[1]Planting GPS Points'!$B$3:$AL$290,15,FALSE)</f>
        <v>0</v>
      </c>
      <c r="E324" s="42">
        <v>42881</v>
      </c>
      <c r="F324" s="44">
        <v>1.25</v>
      </c>
      <c r="G324">
        <v>90</v>
      </c>
      <c r="H324" s="35" t="s">
        <v>971</v>
      </c>
      <c r="I324" s="42">
        <v>43678</v>
      </c>
      <c r="J324" s="77" t="s">
        <v>12</v>
      </c>
      <c r="K324" s="77" t="s">
        <v>967</v>
      </c>
      <c r="L324">
        <v>1935</v>
      </c>
      <c r="M324">
        <v>1.25</v>
      </c>
      <c r="N324" s="44">
        <f t="shared" si="20"/>
        <v>1548</v>
      </c>
      <c r="O324">
        <f t="shared" si="19"/>
        <v>797</v>
      </c>
      <c r="P324" s="97">
        <f t="shared" si="18"/>
        <v>21.5</v>
      </c>
      <c r="Q324" s="8" t="s">
        <v>1865</v>
      </c>
    </row>
    <row r="325" spans="1:17" x14ac:dyDescent="0.25">
      <c r="A325" s="140" t="s">
        <v>1157</v>
      </c>
      <c r="B325" s="9" t="s">
        <v>1235</v>
      </c>
      <c r="C325" t="str">
        <f>VLOOKUP(B325,'[1]Planting GPS Points'!$B$3:$L$290,8,FALSE)</f>
        <v>CPS</v>
      </c>
      <c r="D325">
        <f>VLOOKUP(B325,'[1]Planting GPS Points'!$B$3:$AL$290,15,FALSE)</f>
        <v>0</v>
      </c>
      <c r="E325" s="42">
        <v>42881</v>
      </c>
      <c r="F325" s="44">
        <v>1.25</v>
      </c>
      <c r="G325">
        <v>90</v>
      </c>
      <c r="H325" s="35" t="s">
        <v>971</v>
      </c>
      <c r="I325" s="42">
        <v>44033</v>
      </c>
      <c r="J325" s="77" t="s">
        <v>12</v>
      </c>
      <c r="K325" s="77" t="s">
        <v>967</v>
      </c>
      <c r="N325" s="44" t="str">
        <f t="shared" si="20"/>
        <v/>
      </c>
      <c r="O325">
        <f t="shared" si="19"/>
        <v>1152</v>
      </c>
      <c r="P325" s="97" t="str">
        <f t="shared" si="18"/>
        <v/>
      </c>
      <c r="Q325" s="8" t="s">
        <v>1866</v>
      </c>
    </row>
    <row r="326" spans="1:17" x14ac:dyDescent="0.25">
      <c r="A326" s="9" t="s">
        <v>1157</v>
      </c>
      <c r="B326" s="9" t="s">
        <v>1236</v>
      </c>
      <c r="C326" t="str">
        <f>VLOOKUP(B326,'[1]Planting GPS Points'!$B$3:$L$290,8,FALSE)</f>
        <v>CPS</v>
      </c>
      <c r="D326">
        <f>VLOOKUP(B326,'[1]Planting GPS Points'!$B$3:$AL$290,15,FALSE)</f>
        <v>0</v>
      </c>
      <c r="E326" s="42">
        <v>42881</v>
      </c>
      <c r="F326" s="44">
        <v>1.25</v>
      </c>
      <c r="G326">
        <v>90</v>
      </c>
      <c r="H326" s="35" t="s">
        <v>971</v>
      </c>
      <c r="I326" s="42">
        <v>42938</v>
      </c>
      <c r="J326" s="77" t="s">
        <v>12</v>
      </c>
      <c r="K326" s="77" t="s">
        <v>982</v>
      </c>
      <c r="L326">
        <v>143</v>
      </c>
      <c r="M326">
        <v>1.25</v>
      </c>
      <c r="N326" s="44">
        <f t="shared" si="20"/>
        <v>114.4</v>
      </c>
      <c r="O326">
        <f t="shared" si="19"/>
        <v>57</v>
      </c>
      <c r="P326" s="97">
        <f t="shared" si="18"/>
        <v>1.5888888888888888</v>
      </c>
      <c r="Q326" s="8" t="s">
        <v>1865</v>
      </c>
    </row>
    <row r="327" spans="1:17" x14ac:dyDescent="0.25">
      <c r="A327" s="9" t="s">
        <v>1157</v>
      </c>
      <c r="B327" s="9" t="s">
        <v>1236</v>
      </c>
      <c r="C327" t="str">
        <f>VLOOKUP(B327,'[1]Planting GPS Points'!$B$3:$L$290,8,FALSE)</f>
        <v>CPS</v>
      </c>
      <c r="D327">
        <f>VLOOKUP(B327,'[1]Planting GPS Points'!$B$3:$AL$290,15,FALSE)</f>
        <v>0</v>
      </c>
      <c r="E327" s="42">
        <v>42881</v>
      </c>
      <c r="F327" s="44">
        <v>1.25</v>
      </c>
      <c r="G327">
        <v>90</v>
      </c>
      <c r="H327" s="35" t="s">
        <v>971</v>
      </c>
      <c r="I327" s="42">
        <v>42968</v>
      </c>
      <c r="J327" s="77" t="s">
        <v>12</v>
      </c>
      <c r="K327" s="77" t="s">
        <v>982</v>
      </c>
      <c r="L327">
        <v>265</v>
      </c>
      <c r="M327">
        <v>1.25</v>
      </c>
      <c r="N327" s="44">
        <f t="shared" si="20"/>
        <v>212</v>
      </c>
      <c r="O327">
        <f t="shared" si="19"/>
        <v>87</v>
      </c>
      <c r="P327" s="97">
        <f t="shared" si="18"/>
        <v>2.9444444444444446</v>
      </c>
      <c r="Q327" s="8" t="s">
        <v>1865</v>
      </c>
    </row>
    <row r="328" spans="1:17" x14ac:dyDescent="0.25">
      <c r="A328" s="9" t="s">
        <v>1157</v>
      </c>
      <c r="B328" s="9" t="s">
        <v>1236</v>
      </c>
      <c r="C328" t="str">
        <f>VLOOKUP(B328,'[1]Planting GPS Points'!$B$3:$L$290,8,FALSE)</f>
        <v>CPS</v>
      </c>
      <c r="D328">
        <f>VLOOKUP(B328,'[1]Planting GPS Points'!$B$3:$AL$290,15,FALSE)</f>
        <v>0</v>
      </c>
      <c r="E328" s="42">
        <v>42881</v>
      </c>
      <c r="F328" s="44">
        <v>1.25</v>
      </c>
      <c r="G328">
        <v>90</v>
      </c>
      <c r="H328" s="35" t="s">
        <v>971</v>
      </c>
      <c r="I328" s="42">
        <v>43238</v>
      </c>
      <c r="J328" s="77" t="s">
        <v>12</v>
      </c>
      <c r="K328" s="77" t="s">
        <v>982</v>
      </c>
      <c r="L328">
        <v>552</v>
      </c>
      <c r="M328">
        <v>1.25</v>
      </c>
      <c r="N328" s="44">
        <f t="shared" si="20"/>
        <v>441.6</v>
      </c>
      <c r="O328">
        <f t="shared" si="19"/>
        <v>357</v>
      </c>
      <c r="P328" s="97">
        <f t="shared" si="18"/>
        <v>6.1333333333333337</v>
      </c>
      <c r="Q328" s="8" t="s">
        <v>1865</v>
      </c>
    </row>
    <row r="329" spans="1:17" x14ac:dyDescent="0.25">
      <c r="A329" s="9" t="s">
        <v>1157</v>
      </c>
      <c r="B329" s="9" t="s">
        <v>1236</v>
      </c>
      <c r="C329" t="str">
        <f>VLOOKUP(B329,'[1]Planting GPS Points'!$B$3:$L$290,8,FALSE)</f>
        <v>CPS</v>
      </c>
      <c r="D329">
        <f>VLOOKUP(B329,'[1]Planting GPS Points'!$B$3:$AL$290,15,FALSE)</f>
        <v>0</v>
      </c>
      <c r="E329" s="42">
        <v>42881</v>
      </c>
      <c r="F329" s="44">
        <v>1.25</v>
      </c>
      <c r="G329">
        <v>90</v>
      </c>
      <c r="H329" s="35" t="s">
        <v>971</v>
      </c>
      <c r="I329" s="42">
        <v>43294</v>
      </c>
      <c r="J329" s="77" t="s">
        <v>12</v>
      </c>
      <c r="K329" s="77" t="s">
        <v>982</v>
      </c>
      <c r="L329">
        <v>469</v>
      </c>
      <c r="M329">
        <v>1.25</v>
      </c>
      <c r="N329" s="44">
        <f t="shared" si="20"/>
        <v>375.2</v>
      </c>
      <c r="O329">
        <f t="shared" si="19"/>
        <v>413</v>
      </c>
      <c r="P329" s="97">
        <f t="shared" si="18"/>
        <v>5.2111111111111112</v>
      </c>
      <c r="Q329" s="8" t="s">
        <v>1865</v>
      </c>
    </row>
    <row r="330" spans="1:17" x14ac:dyDescent="0.25">
      <c r="A330" s="9" t="s">
        <v>1157</v>
      </c>
      <c r="B330" s="9" t="s">
        <v>1236</v>
      </c>
      <c r="C330" t="str">
        <f>VLOOKUP(B330,'[1]Planting GPS Points'!$B$3:$L$290,8,FALSE)</f>
        <v>CPS</v>
      </c>
      <c r="D330">
        <f>VLOOKUP(B330,'[1]Planting GPS Points'!$B$3:$AL$290,15,FALSE)</f>
        <v>0</v>
      </c>
      <c r="E330" s="42">
        <v>42881</v>
      </c>
      <c r="F330" s="44">
        <v>1.25</v>
      </c>
      <c r="G330">
        <v>90</v>
      </c>
      <c r="H330" s="35" t="s">
        <v>971</v>
      </c>
      <c r="I330" s="42">
        <v>43321</v>
      </c>
      <c r="J330" s="77" t="s">
        <v>12</v>
      </c>
      <c r="K330" s="77" t="s">
        <v>982</v>
      </c>
      <c r="L330">
        <v>730</v>
      </c>
      <c r="M330">
        <v>1.25</v>
      </c>
      <c r="N330" s="44">
        <f t="shared" si="20"/>
        <v>584</v>
      </c>
      <c r="O330">
        <f t="shared" si="19"/>
        <v>440</v>
      </c>
      <c r="P330" s="97">
        <f t="shared" si="18"/>
        <v>8.1111111111111107</v>
      </c>
      <c r="Q330" s="8" t="s">
        <v>1865</v>
      </c>
    </row>
    <row r="331" spans="1:17" x14ac:dyDescent="0.25">
      <c r="A331" s="9" t="s">
        <v>1157</v>
      </c>
      <c r="B331" s="9" t="s">
        <v>1236</v>
      </c>
      <c r="C331" t="str">
        <f>VLOOKUP(B331,'[1]Planting GPS Points'!$B$3:$L$290,8,FALSE)</f>
        <v>CPS</v>
      </c>
      <c r="D331">
        <f>VLOOKUP(B331,'[1]Planting GPS Points'!$B$3:$AL$290,15,FALSE)</f>
        <v>0</v>
      </c>
      <c r="E331" s="42">
        <v>42881</v>
      </c>
      <c r="F331" s="44">
        <v>1.25</v>
      </c>
      <c r="G331">
        <v>90</v>
      </c>
      <c r="H331" s="35" t="s">
        <v>971</v>
      </c>
      <c r="I331" s="42">
        <v>43678</v>
      </c>
      <c r="J331" s="77" t="s">
        <v>12</v>
      </c>
      <c r="K331" s="77" t="s">
        <v>982</v>
      </c>
      <c r="L331">
        <v>1763</v>
      </c>
      <c r="M331">
        <v>1.25</v>
      </c>
      <c r="N331" s="44">
        <f t="shared" si="20"/>
        <v>1410.4</v>
      </c>
      <c r="O331">
        <f t="shared" si="19"/>
        <v>797</v>
      </c>
      <c r="P331" s="97">
        <f t="shared" si="18"/>
        <v>19.588888888888889</v>
      </c>
      <c r="Q331" s="8" t="s">
        <v>1865</v>
      </c>
    </row>
    <row r="332" spans="1:17" x14ac:dyDescent="0.25">
      <c r="A332" s="140" t="s">
        <v>1157</v>
      </c>
      <c r="B332" s="9" t="s">
        <v>1236</v>
      </c>
      <c r="C332" t="str">
        <f>VLOOKUP(B332,'[1]Planting GPS Points'!$B$3:$L$290,8,FALSE)</f>
        <v>CPS</v>
      </c>
      <c r="D332">
        <f>VLOOKUP(B332,'[1]Planting GPS Points'!$B$3:$AL$290,15,FALSE)</f>
        <v>0</v>
      </c>
      <c r="E332" s="42">
        <v>42881</v>
      </c>
      <c r="F332" s="44">
        <v>1.25</v>
      </c>
      <c r="G332">
        <v>90</v>
      </c>
      <c r="H332" s="35" t="s">
        <v>971</v>
      </c>
      <c r="I332" s="42">
        <v>44033</v>
      </c>
      <c r="J332" s="77" t="s">
        <v>12</v>
      </c>
      <c r="K332" s="77" t="s">
        <v>982</v>
      </c>
      <c r="N332" s="44" t="str">
        <f t="shared" si="20"/>
        <v/>
      </c>
      <c r="O332">
        <f t="shared" si="19"/>
        <v>1152</v>
      </c>
      <c r="P332" s="97" t="str">
        <f t="shared" si="18"/>
        <v/>
      </c>
      <c r="Q332" s="8" t="s">
        <v>1865</v>
      </c>
    </row>
    <row r="333" spans="1:17" x14ac:dyDescent="0.25">
      <c r="A333" t="s">
        <v>1157</v>
      </c>
      <c r="B333" t="s">
        <v>1161</v>
      </c>
      <c r="C333" t="str">
        <f>VLOOKUP(B333,'[1]Planting GPS Points'!$B$3:$L$290,8,FALSE)</f>
        <v>CPS</v>
      </c>
      <c r="D333" t="str">
        <f>VLOOKUP(B333,'[1]Planting GPS Points'!$B$3:$AL$290,15,FALSE)</f>
        <v>IAA 12-317</v>
      </c>
      <c r="E333" s="42">
        <v>41430</v>
      </c>
      <c r="F333" s="44">
        <v>36</v>
      </c>
      <c r="G333">
        <v>712</v>
      </c>
      <c r="H333" s="35" t="s">
        <v>963</v>
      </c>
      <c r="I333" s="42">
        <v>41613</v>
      </c>
      <c r="J333" s="77" t="s">
        <v>12</v>
      </c>
      <c r="K333" s="77" t="s">
        <v>967</v>
      </c>
      <c r="M333">
        <v>36</v>
      </c>
      <c r="N333" s="44">
        <f t="shared" si="20"/>
        <v>0</v>
      </c>
      <c r="O333">
        <f t="shared" si="19"/>
        <v>183</v>
      </c>
      <c r="P333" s="97" t="str">
        <f t="shared" si="18"/>
        <v/>
      </c>
      <c r="Q333" s="8" t="s">
        <v>1867</v>
      </c>
    </row>
    <row r="334" spans="1:17" x14ac:dyDescent="0.25">
      <c r="A334" t="s">
        <v>1157</v>
      </c>
      <c r="B334" t="s">
        <v>1161</v>
      </c>
      <c r="C334" t="str">
        <f>VLOOKUP(B334,'[1]Planting GPS Points'!$B$3:$L$290,8,FALSE)</f>
        <v>CPS</v>
      </c>
      <c r="D334" t="str">
        <f>VLOOKUP(B334,'[1]Planting GPS Points'!$B$3:$AL$290,15,FALSE)</f>
        <v>IAA 12-317</v>
      </c>
      <c r="E334" s="42">
        <v>41430</v>
      </c>
      <c r="F334" s="44">
        <v>36</v>
      </c>
      <c r="G334">
        <v>712</v>
      </c>
      <c r="H334" s="35" t="s">
        <v>963</v>
      </c>
      <c r="I334" s="42">
        <v>41725</v>
      </c>
      <c r="J334" s="77" t="s">
        <v>12</v>
      </c>
      <c r="K334" s="77" t="s">
        <v>967</v>
      </c>
      <c r="L334">
        <v>930</v>
      </c>
      <c r="M334">
        <v>36</v>
      </c>
      <c r="N334" s="44">
        <f t="shared" si="20"/>
        <v>25.833333333333332</v>
      </c>
      <c r="O334">
        <f t="shared" si="19"/>
        <v>295</v>
      </c>
      <c r="P334" s="97">
        <f t="shared" si="18"/>
        <v>1.3061797752808988</v>
      </c>
      <c r="Q334" s="8"/>
    </row>
    <row r="335" spans="1:17" x14ac:dyDescent="0.25">
      <c r="A335" t="s">
        <v>1157</v>
      </c>
      <c r="B335" t="s">
        <v>1158</v>
      </c>
      <c r="C335" t="str">
        <f>VLOOKUP(B335,'[1]Planting GPS Points'!$B$3:$L$290,8,FALSE)</f>
        <v>CPS</v>
      </c>
      <c r="D335" t="str">
        <f>VLOOKUP(B335,'[1]Planting GPS Points'!$B$3:$AL$290,15,FALSE)</f>
        <v>IAA 12-317</v>
      </c>
      <c r="E335" s="42">
        <v>41430</v>
      </c>
      <c r="F335" s="44">
        <v>36</v>
      </c>
      <c r="G335">
        <v>712</v>
      </c>
      <c r="H335" s="35" t="s">
        <v>963</v>
      </c>
      <c r="I335" s="42">
        <v>41725</v>
      </c>
      <c r="J335" s="77" t="s">
        <v>12</v>
      </c>
      <c r="K335" s="77" t="s">
        <v>967</v>
      </c>
      <c r="L335">
        <v>775</v>
      </c>
      <c r="M335">
        <v>36</v>
      </c>
      <c r="N335" s="44">
        <f t="shared" si="20"/>
        <v>21.527777777777779</v>
      </c>
      <c r="O335">
        <f t="shared" si="19"/>
        <v>295</v>
      </c>
      <c r="P335" s="97">
        <f t="shared" si="18"/>
        <v>1.0884831460674158</v>
      </c>
      <c r="Q335" s="8" t="s">
        <v>1868</v>
      </c>
    </row>
    <row r="336" spans="1:17" x14ac:dyDescent="0.25">
      <c r="A336" t="s">
        <v>1157</v>
      </c>
      <c r="B336" t="s">
        <v>1158</v>
      </c>
      <c r="C336" t="str">
        <f>VLOOKUP(B336,'[1]Planting GPS Points'!$B$3:$L$290,8,FALSE)</f>
        <v>CPS</v>
      </c>
      <c r="D336" t="str">
        <f>VLOOKUP(B336,'[1]Planting GPS Points'!$B$3:$AL$290,15,FALSE)</f>
        <v>IAA 12-317</v>
      </c>
      <c r="E336" s="42">
        <v>41430</v>
      </c>
      <c r="F336" s="44">
        <v>36</v>
      </c>
      <c r="G336">
        <v>712</v>
      </c>
      <c r="H336" s="35" t="s">
        <v>963</v>
      </c>
      <c r="I336" s="42">
        <v>42938</v>
      </c>
      <c r="J336" s="77" t="s">
        <v>12</v>
      </c>
      <c r="K336" s="77" t="s">
        <v>967</v>
      </c>
      <c r="L336">
        <v>11386</v>
      </c>
      <c r="M336">
        <v>27</v>
      </c>
      <c r="N336" s="44">
        <f t="shared" si="20"/>
        <v>421.7037037037037</v>
      </c>
      <c r="O336">
        <f t="shared" si="19"/>
        <v>1508</v>
      </c>
      <c r="P336" s="97">
        <f t="shared" ref="P336:P412" si="21">IF(L336="", "", L336/G336)</f>
        <v>15.991573033707866</v>
      </c>
      <c r="Q336" s="8" t="s">
        <v>1869</v>
      </c>
    </row>
    <row r="337" spans="1:17" x14ac:dyDescent="0.25">
      <c r="A337" t="s">
        <v>1157</v>
      </c>
      <c r="B337" t="s">
        <v>1158</v>
      </c>
      <c r="C337" t="str">
        <f>VLOOKUP(B337,'[1]Planting GPS Points'!$B$3:$L$290,8,FALSE)</f>
        <v>CPS</v>
      </c>
      <c r="D337" t="str">
        <f>VLOOKUP(B337,'[1]Planting GPS Points'!$B$3:$AL$290,15,FALSE)</f>
        <v>IAA 12-317</v>
      </c>
      <c r="E337" s="42">
        <v>41430</v>
      </c>
      <c r="F337" s="44">
        <v>36</v>
      </c>
      <c r="G337">
        <v>712</v>
      </c>
      <c r="H337" s="35" t="s">
        <v>963</v>
      </c>
      <c r="I337" s="42">
        <v>43705</v>
      </c>
      <c r="J337" s="77" t="s">
        <v>12</v>
      </c>
      <c r="K337" s="77" t="s">
        <v>967</v>
      </c>
      <c r="L337" s="47">
        <v>11911.193685612687</v>
      </c>
      <c r="M337">
        <v>33.6</v>
      </c>
      <c r="N337" s="44">
        <f t="shared" si="20"/>
        <v>354.49981207180616</v>
      </c>
      <c r="O337">
        <f t="shared" si="19"/>
        <v>2275</v>
      </c>
      <c r="P337" s="97">
        <f t="shared" si="21"/>
        <v>16.72920461462456</v>
      </c>
      <c r="Q337" s="8" t="s">
        <v>1870</v>
      </c>
    </row>
    <row r="338" spans="1:17" x14ac:dyDescent="0.25">
      <c r="A338" s="140" t="s">
        <v>1157</v>
      </c>
      <c r="B338" t="s">
        <v>1158</v>
      </c>
      <c r="C338" t="str">
        <f>VLOOKUP(B338,'[1]Planting GPS Points'!$B$3:$L$290,8,FALSE)</f>
        <v>CPS</v>
      </c>
      <c r="D338" t="str">
        <f>VLOOKUP(B338,'[1]Planting GPS Points'!$B$3:$AL$290,15,FALSE)</f>
        <v>IAA 12-317</v>
      </c>
      <c r="E338" s="42">
        <v>41430</v>
      </c>
      <c r="F338" s="44">
        <v>36</v>
      </c>
      <c r="G338">
        <v>712</v>
      </c>
      <c r="H338" s="35" t="s">
        <v>963</v>
      </c>
      <c r="I338" s="42">
        <v>44031</v>
      </c>
      <c r="J338" s="77" t="s">
        <v>12</v>
      </c>
      <c r="K338" s="77" t="s">
        <v>967</v>
      </c>
      <c r="L338" s="47"/>
      <c r="N338" s="44" t="str">
        <f t="shared" si="20"/>
        <v/>
      </c>
      <c r="O338">
        <f t="shared" si="19"/>
        <v>2601</v>
      </c>
      <c r="P338" s="97" t="str">
        <f t="shared" si="21"/>
        <v/>
      </c>
      <c r="Q338" s="8" t="s">
        <v>1870</v>
      </c>
    </row>
    <row r="339" spans="1:17" x14ac:dyDescent="0.25">
      <c r="A339" s="9" t="s">
        <v>1157</v>
      </c>
      <c r="B339" s="9" t="s">
        <v>1233</v>
      </c>
      <c r="C339" t="str">
        <f>VLOOKUP(B339,'[1]Planting GPS Points'!$B$3:$L$290,8,FALSE)</f>
        <v>CPS</v>
      </c>
      <c r="D339">
        <f>VLOOKUP(B339,'[1]Planting GPS Points'!$B$3:$AL$290,15,FALSE)</f>
        <v>0</v>
      </c>
      <c r="E339" s="42">
        <v>42881</v>
      </c>
      <c r="F339" s="44">
        <v>1.25</v>
      </c>
      <c r="G339">
        <v>90</v>
      </c>
      <c r="H339" s="35" t="s">
        <v>971</v>
      </c>
      <c r="I339" s="42">
        <v>42938</v>
      </c>
      <c r="J339" s="77" t="s">
        <v>12</v>
      </c>
      <c r="K339" s="77" t="s">
        <v>1052</v>
      </c>
      <c r="L339">
        <v>151</v>
      </c>
      <c r="M339">
        <v>1.25</v>
      </c>
      <c r="N339" s="44">
        <f t="shared" si="20"/>
        <v>120.8</v>
      </c>
      <c r="O339">
        <f t="shared" si="19"/>
        <v>57</v>
      </c>
      <c r="P339" s="97">
        <f t="shared" si="21"/>
        <v>1.6777777777777778</v>
      </c>
      <c r="Q339" s="8" t="s">
        <v>1865</v>
      </c>
    </row>
    <row r="340" spans="1:17" x14ac:dyDescent="0.25">
      <c r="A340" s="9" t="s">
        <v>1157</v>
      </c>
      <c r="B340" s="9" t="s">
        <v>1233</v>
      </c>
      <c r="C340" t="str">
        <f>VLOOKUP(B340,'[1]Planting GPS Points'!$B$3:$L$290,8,FALSE)</f>
        <v>CPS</v>
      </c>
      <c r="D340">
        <f>VLOOKUP(B340,'[1]Planting GPS Points'!$B$3:$AL$290,15,FALSE)</f>
        <v>0</v>
      </c>
      <c r="E340" s="42">
        <v>42881</v>
      </c>
      <c r="F340" s="44">
        <v>1.25</v>
      </c>
      <c r="G340">
        <v>90</v>
      </c>
      <c r="H340" s="35" t="s">
        <v>971</v>
      </c>
      <c r="I340" s="42">
        <v>42968</v>
      </c>
      <c r="J340" s="77" t="s">
        <v>12</v>
      </c>
      <c r="K340" s="77" t="s">
        <v>1052</v>
      </c>
      <c r="L340">
        <v>249</v>
      </c>
      <c r="M340">
        <v>1.25</v>
      </c>
      <c r="N340" s="44">
        <f t="shared" si="20"/>
        <v>199.2</v>
      </c>
      <c r="O340">
        <f t="shared" si="19"/>
        <v>87</v>
      </c>
      <c r="P340" s="97">
        <f t="shared" si="21"/>
        <v>2.7666666666666666</v>
      </c>
      <c r="Q340" s="8" t="s">
        <v>1865</v>
      </c>
    </row>
    <row r="341" spans="1:17" x14ac:dyDescent="0.25">
      <c r="A341" s="9" t="s">
        <v>1157</v>
      </c>
      <c r="B341" s="9" t="s">
        <v>1233</v>
      </c>
      <c r="C341" t="str">
        <f>VLOOKUP(B341,'[1]Planting GPS Points'!$B$3:$L$290,8,FALSE)</f>
        <v>CPS</v>
      </c>
      <c r="D341">
        <f>VLOOKUP(B341,'[1]Planting GPS Points'!$B$3:$AL$290,15,FALSE)</f>
        <v>0</v>
      </c>
      <c r="E341" s="42">
        <v>42881</v>
      </c>
      <c r="F341" s="44">
        <v>1.25</v>
      </c>
      <c r="G341">
        <v>90</v>
      </c>
      <c r="H341" s="35" t="s">
        <v>971</v>
      </c>
      <c r="I341" s="42">
        <v>43238</v>
      </c>
      <c r="J341" s="77" t="s">
        <v>12</v>
      </c>
      <c r="K341" s="77" t="s">
        <v>1052</v>
      </c>
      <c r="L341">
        <v>492</v>
      </c>
      <c r="M341">
        <v>1.25</v>
      </c>
      <c r="N341" s="44">
        <f t="shared" si="20"/>
        <v>393.6</v>
      </c>
      <c r="O341">
        <f t="shared" si="19"/>
        <v>357</v>
      </c>
      <c r="P341" s="97">
        <f t="shared" si="21"/>
        <v>5.4666666666666668</v>
      </c>
      <c r="Q341" s="8" t="s">
        <v>1865</v>
      </c>
    </row>
    <row r="342" spans="1:17" x14ac:dyDescent="0.25">
      <c r="A342" s="9" t="s">
        <v>1157</v>
      </c>
      <c r="B342" s="9" t="s">
        <v>1233</v>
      </c>
      <c r="C342" t="str">
        <f>VLOOKUP(B342,'[1]Planting GPS Points'!$B$3:$L$290,8,FALSE)</f>
        <v>CPS</v>
      </c>
      <c r="D342">
        <f>VLOOKUP(B342,'[1]Planting GPS Points'!$B$3:$AL$290,15,FALSE)</f>
        <v>0</v>
      </c>
      <c r="E342" s="42">
        <v>42881</v>
      </c>
      <c r="F342" s="44">
        <v>1.25</v>
      </c>
      <c r="G342">
        <v>90</v>
      </c>
      <c r="H342" s="35" t="s">
        <v>971</v>
      </c>
      <c r="I342" s="42">
        <v>43294</v>
      </c>
      <c r="J342" s="77" t="s">
        <v>12</v>
      </c>
      <c r="K342" s="77" t="s">
        <v>1052</v>
      </c>
      <c r="L342">
        <v>465</v>
      </c>
      <c r="M342">
        <v>1.25</v>
      </c>
      <c r="N342" s="44">
        <f t="shared" si="20"/>
        <v>372</v>
      </c>
      <c r="O342">
        <f t="shared" si="19"/>
        <v>413</v>
      </c>
      <c r="P342" s="97">
        <f t="shared" si="21"/>
        <v>5.166666666666667</v>
      </c>
      <c r="Q342" s="8" t="s">
        <v>1865</v>
      </c>
    </row>
    <row r="343" spans="1:17" x14ac:dyDescent="0.25">
      <c r="A343" s="9" t="s">
        <v>1157</v>
      </c>
      <c r="B343" s="9" t="s">
        <v>1233</v>
      </c>
      <c r="C343" t="str">
        <f>VLOOKUP(B343,'[1]Planting GPS Points'!$B$3:$L$290,8,FALSE)</f>
        <v>CPS</v>
      </c>
      <c r="D343">
        <f>VLOOKUP(B343,'[1]Planting GPS Points'!$B$3:$AL$290,15,FALSE)</f>
        <v>0</v>
      </c>
      <c r="E343" s="42">
        <v>42881</v>
      </c>
      <c r="F343" s="44">
        <v>1.25</v>
      </c>
      <c r="G343">
        <v>90</v>
      </c>
      <c r="H343" s="35" t="s">
        <v>971</v>
      </c>
      <c r="I343" s="42">
        <v>43321</v>
      </c>
      <c r="J343" s="77" t="s">
        <v>12</v>
      </c>
      <c r="K343" s="77" t="s">
        <v>1052</v>
      </c>
      <c r="L343">
        <v>839</v>
      </c>
      <c r="M343">
        <v>1.25</v>
      </c>
      <c r="N343" s="44">
        <f t="shared" si="20"/>
        <v>671.2</v>
      </c>
      <c r="O343">
        <f t="shared" si="19"/>
        <v>440</v>
      </c>
      <c r="P343" s="97">
        <f t="shared" si="21"/>
        <v>9.3222222222222229</v>
      </c>
      <c r="Q343" s="8" t="s">
        <v>1865</v>
      </c>
    </row>
    <row r="344" spans="1:17" x14ac:dyDescent="0.25">
      <c r="A344" s="9" t="s">
        <v>1157</v>
      </c>
      <c r="B344" s="9" t="s">
        <v>1233</v>
      </c>
      <c r="C344" t="str">
        <f>VLOOKUP(B344,'[1]Planting GPS Points'!$B$3:$L$290,8,FALSE)</f>
        <v>CPS</v>
      </c>
      <c r="D344">
        <f>VLOOKUP(B344,'[1]Planting GPS Points'!$B$3:$AL$290,15,FALSE)</f>
        <v>0</v>
      </c>
      <c r="E344" s="42">
        <v>42881</v>
      </c>
      <c r="F344" s="44">
        <v>1.25</v>
      </c>
      <c r="G344">
        <v>90</v>
      </c>
      <c r="H344" s="35" t="s">
        <v>971</v>
      </c>
      <c r="I344" s="42">
        <v>43678</v>
      </c>
      <c r="J344" s="77" t="s">
        <v>12</v>
      </c>
      <c r="K344" s="77" t="s">
        <v>1052</v>
      </c>
      <c r="L344">
        <v>2136</v>
      </c>
      <c r="M344">
        <v>1.25</v>
      </c>
      <c r="N344" s="44">
        <f t="shared" si="20"/>
        <v>1708.8</v>
      </c>
      <c r="O344">
        <f t="shared" si="19"/>
        <v>797</v>
      </c>
      <c r="P344" s="97">
        <f t="shared" si="21"/>
        <v>23.733333333333334</v>
      </c>
      <c r="Q344" s="8" t="s">
        <v>1865</v>
      </c>
    </row>
    <row r="345" spans="1:17" x14ac:dyDescent="0.25">
      <c r="A345" s="140" t="s">
        <v>1157</v>
      </c>
      <c r="B345" s="9" t="s">
        <v>1233</v>
      </c>
      <c r="C345" t="str">
        <f>VLOOKUP(B345,'[1]Planting GPS Points'!$B$3:$L$290,8,FALSE)</f>
        <v>CPS</v>
      </c>
      <c r="D345">
        <f>VLOOKUP(B345,'[1]Planting GPS Points'!$B$3:$AL$290,15,FALSE)</f>
        <v>0</v>
      </c>
      <c r="E345" s="42">
        <v>42881</v>
      </c>
      <c r="F345" s="44">
        <v>1.25</v>
      </c>
      <c r="G345">
        <v>90</v>
      </c>
      <c r="H345" s="35" t="s">
        <v>971</v>
      </c>
      <c r="I345" s="42">
        <v>44033</v>
      </c>
      <c r="J345" s="77" t="s">
        <v>12</v>
      </c>
      <c r="K345" s="77" t="s">
        <v>1052</v>
      </c>
      <c r="N345" s="44" t="str">
        <f t="shared" si="20"/>
        <v/>
      </c>
      <c r="O345">
        <f t="shared" si="19"/>
        <v>1152</v>
      </c>
      <c r="P345" s="97" t="str">
        <f t="shared" si="21"/>
        <v/>
      </c>
      <c r="Q345" s="8" t="s">
        <v>1865</v>
      </c>
    </row>
    <row r="346" spans="1:17" x14ac:dyDescent="0.25">
      <c r="A346" s="9" t="s">
        <v>1157</v>
      </c>
      <c r="B346" s="9" t="s">
        <v>1234</v>
      </c>
      <c r="C346" t="str">
        <f>VLOOKUP(B346,'[1]Planting GPS Points'!$B$3:$L$290,8,FALSE)</f>
        <v>CPS</v>
      </c>
      <c r="D346">
        <f>VLOOKUP(B346,'[1]Planting GPS Points'!$B$3:$AL$290,15,FALSE)</f>
        <v>0</v>
      </c>
      <c r="E346" s="42">
        <v>42881</v>
      </c>
      <c r="F346" s="44">
        <v>1.25</v>
      </c>
      <c r="G346">
        <v>90</v>
      </c>
      <c r="H346" s="35" t="s">
        <v>971</v>
      </c>
      <c r="I346" s="42">
        <v>42938</v>
      </c>
      <c r="J346" s="77" t="s">
        <v>12</v>
      </c>
      <c r="K346" s="77" t="s">
        <v>1230</v>
      </c>
      <c r="L346">
        <v>134</v>
      </c>
      <c r="M346">
        <v>1.25</v>
      </c>
      <c r="N346" s="44">
        <f t="shared" si="20"/>
        <v>107.2</v>
      </c>
      <c r="O346">
        <f t="shared" si="19"/>
        <v>57</v>
      </c>
      <c r="P346" s="97">
        <f t="shared" si="21"/>
        <v>1.4888888888888889</v>
      </c>
      <c r="Q346" s="8" t="s">
        <v>1865</v>
      </c>
    </row>
    <row r="347" spans="1:17" x14ac:dyDescent="0.25">
      <c r="A347" s="9" t="s">
        <v>1157</v>
      </c>
      <c r="B347" s="9" t="s">
        <v>1234</v>
      </c>
      <c r="C347" t="str">
        <f>VLOOKUP(B347,'[1]Planting GPS Points'!$B$3:$L$290,8,FALSE)</f>
        <v>CPS</v>
      </c>
      <c r="D347">
        <f>VLOOKUP(B347,'[1]Planting GPS Points'!$B$3:$AL$290,15,FALSE)</f>
        <v>0</v>
      </c>
      <c r="E347" s="42">
        <v>42881</v>
      </c>
      <c r="F347" s="44">
        <v>1.25</v>
      </c>
      <c r="G347">
        <v>90</v>
      </c>
      <c r="H347" s="35" t="s">
        <v>971</v>
      </c>
      <c r="I347" s="42">
        <v>42968</v>
      </c>
      <c r="J347" s="77" t="s">
        <v>12</v>
      </c>
      <c r="K347" s="77" t="s">
        <v>1230</v>
      </c>
      <c r="L347">
        <v>272</v>
      </c>
      <c r="M347">
        <v>1.25</v>
      </c>
      <c r="N347" s="44">
        <f t="shared" si="20"/>
        <v>217.6</v>
      </c>
      <c r="O347">
        <f t="shared" si="19"/>
        <v>87</v>
      </c>
      <c r="P347" s="97">
        <f t="shared" si="21"/>
        <v>3.0222222222222221</v>
      </c>
      <c r="Q347" s="8" t="s">
        <v>1865</v>
      </c>
    </row>
    <row r="348" spans="1:17" x14ac:dyDescent="0.25">
      <c r="A348" s="9" t="s">
        <v>1157</v>
      </c>
      <c r="B348" s="9" t="s">
        <v>1234</v>
      </c>
      <c r="C348" t="str">
        <f>VLOOKUP(B348,'[1]Planting GPS Points'!$B$3:$L$290,8,FALSE)</f>
        <v>CPS</v>
      </c>
      <c r="D348">
        <f>VLOOKUP(B348,'[1]Planting GPS Points'!$B$3:$AL$290,15,FALSE)</f>
        <v>0</v>
      </c>
      <c r="E348" s="42">
        <v>42881</v>
      </c>
      <c r="F348" s="44">
        <v>1.25</v>
      </c>
      <c r="G348">
        <v>90</v>
      </c>
      <c r="H348" s="35" t="s">
        <v>971</v>
      </c>
      <c r="I348" s="42">
        <v>43238</v>
      </c>
      <c r="J348" s="77" t="s">
        <v>12</v>
      </c>
      <c r="K348" s="77" t="s">
        <v>1230</v>
      </c>
      <c r="L348">
        <v>523</v>
      </c>
      <c r="M348">
        <v>1.25</v>
      </c>
      <c r="N348" s="44">
        <f t="shared" si="20"/>
        <v>418.4</v>
      </c>
      <c r="O348">
        <f t="shared" si="19"/>
        <v>357</v>
      </c>
      <c r="P348" s="97">
        <f t="shared" si="21"/>
        <v>5.8111111111111109</v>
      </c>
      <c r="Q348" s="8" t="s">
        <v>1865</v>
      </c>
    </row>
    <row r="349" spans="1:17" x14ac:dyDescent="0.25">
      <c r="A349" s="9" t="s">
        <v>1157</v>
      </c>
      <c r="B349" s="9" t="s">
        <v>1234</v>
      </c>
      <c r="C349" t="str">
        <f>VLOOKUP(B349,'[1]Planting GPS Points'!$B$3:$L$290,8,FALSE)</f>
        <v>CPS</v>
      </c>
      <c r="D349">
        <f>VLOOKUP(B349,'[1]Planting GPS Points'!$B$3:$AL$290,15,FALSE)</f>
        <v>0</v>
      </c>
      <c r="E349" s="42">
        <v>42881</v>
      </c>
      <c r="F349" s="44">
        <v>1.25</v>
      </c>
      <c r="G349">
        <v>90</v>
      </c>
      <c r="H349" s="35" t="s">
        <v>971</v>
      </c>
      <c r="I349" s="42">
        <v>43294</v>
      </c>
      <c r="J349" s="77" t="s">
        <v>12</v>
      </c>
      <c r="K349" s="77" t="s">
        <v>1230</v>
      </c>
      <c r="L349">
        <v>408</v>
      </c>
      <c r="M349">
        <v>1.25</v>
      </c>
      <c r="N349" s="44">
        <f t="shared" si="20"/>
        <v>326.39999999999998</v>
      </c>
      <c r="O349">
        <f t="shared" si="19"/>
        <v>413</v>
      </c>
      <c r="P349" s="97">
        <f t="shared" si="21"/>
        <v>4.5333333333333332</v>
      </c>
      <c r="Q349" s="8" t="s">
        <v>1865</v>
      </c>
    </row>
    <row r="350" spans="1:17" x14ac:dyDescent="0.25">
      <c r="A350" s="9" t="s">
        <v>1157</v>
      </c>
      <c r="B350" s="9" t="s">
        <v>1234</v>
      </c>
      <c r="C350" t="str">
        <f>VLOOKUP(B350,'[1]Planting GPS Points'!$B$3:$L$290,8,FALSE)</f>
        <v>CPS</v>
      </c>
      <c r="D350">
        <f>VLOOKUP(B350,'[1]Planting GPS Points'!$B$3:$AL$290,15,FALSE)</f>
        <v>0</v>
      </c>
      <c r="E350" s="42">
        <v>42881</v>
      </c>
      <c r="F350" s="44">
        <v>1.25</v>
      </c>
      <c r="G350">
        <v>90</v>
      </c>
      <c r="H350" s="35" t="s">
        <v>971</v>
      </c>
      <c r="I350" s="42">
        <v>43321</v>
      </c>
      <c r="J350" s="77" t="s">
        <v>12</v>
      </c>
      <c r="K350" s="77" t="s">
        <v>1230</v>
      </c>
      <c r="L350">
        <v>810</v>
      </c>
      <c r="M350">
        <v>1.25</v>
      </c>
      <c r="N350" s="44">
        <f t="shared" si="20"/>
        <v>648</v>
      </c>
      <c r="O350">
        <f t="shared" si="19"/>
        <v>440</v>
      </c>
      <c r="P350" s="97">
        <f t="shared" si="21"/>
        <v>9</v>
      </c>
      <c r="Q350" s="8" t="s">
        <v>1865</v>
      </c>
    </row>
    <row r="351" spans="1:17" x14ac:dyDescent="0.25">
      <c r="A351" s="9" t="s">
        <v>1157</v>
      </c>
      <c r="B351" s="9" t="s">
        <v>1234</v>
      </c>
      <c r="C351" t="str">
        <f>VLOOKUP(B351,'[1]Planting GPS Points'!$B$3:$L$290,8,FALSE)</f>
        <v>CPS</v>
      </c>
      <c r="D351">
        <f>VLOOKUP(B351,'[1]Planting GPS Points'!$B$3:$AL$290,15,FALSE)</f>
        <v>0</v>
      </c>
      <c r="E351" s="42">
        <v>42881</v>
      </c>
      <c r="F351" s="44">
        <v>1.25</v>
      </c>
      <c r="G351">
        <v>90</v>
      </c>
      <c r="H351" s="35" t="s">
        <v>971</v>
      </c>
      <c r="I351" s="42">
        <v>43678</v>
      </c>
      <c r="J351" s="77" t="s">
        <v>12</v>
      </c>
      <c r="K351" s="77" t="s">
        <v>1230</v>
      </c>
      <c r="L351">
        <v>2209</v>
      </c>
      <c r="M351">
        <v>1.25</v>
      </c>
      <c r="N351" s="44">
        <f t="shared" si="20"/>
        <v>1767.2</v>
      </c>
      <c r="O351">
        <f t="shared" si="19"/>
        <v>797</v>
      </c>
      <c r="P351" s="97">
        <f t="shared" si="21"/>
        <v>24.544444444444444</v>
      </c>
      <c r="Q351" s="8" t="s">
        <v>1865</v>
      </c>
    </row>
    <row r="352" spans="1:17" x14ac:dyDescent="0.25">
      <c r="A352" s="140" t="s">
        <v>1157</v>
      </c>
      <c r="B352" s="9" t="s">
        <v>1234</v>
      </c>
      <c r="C352" t="str">
        <f>VLOOKUP(B352,'[1]Planting GPS Points'!$B$3:$L$290,8,FALSE)</f>
        <v>CPS</v>
      </c>
      <c r="D352">
        <f>VLOOKUP(B352,'[1]Planting GPS Points'!$B$3:$AL$290,15,FALSE)</f>
        <v>0</v>
      </c>
      <c r="E352" s="42">
        <v>42881</v>
      </c>
      <c r="F352" s="44">
        <v>1.25</v>
      </c>
      <c r="G352">
        <v>90</v>
      </c>
      <c r="H352" s="35" t="s">
        <v>971</v>
      </c>
      <c r="I352" s="42">
        <v>44033</v>
      </c>
      <c r="J352" s="77" t="s">
        <v>12</v>
      </c>
      <c r="K352" s="77" t="s">
        <v>1230</v>
      </c>
      <c r="N352" s="44" t="str">
        <f t="shared" si="20"/>
        <v/>
      </c>
      <c r="O352">
        <f t="shared" si="19"/>
        <v>1152</v>
      </c>
      <c r="P352" s="97" t="str">
        <f t="shared" si="21"/>
        <v/>
      </c>
      <c r="Q352" s="8" t="s">
        <v>1865</v>
      </c>
    </row>
    <row r="353" spans="1:17" x14ac:dyDescent="0.25">
      <c r="A353" t="s">
        <v>1157</v>
      </c>
      <c r="B353" t="s">
        <v>1172</v>
      </c>
      <c r="C353" t="str">
        <f>VLOOKUP(B353,'[1]Planting GPS Points'!$B$3:$L$290,8,FALSE)</f>
        <v>CPS</v>
      </c>
      <c r="D353" t="str">
        <f>VLOOKUP(B353,'[1]Planting GPS Points'!$B$3:$AL$290,15,FALSE)</f>
        <v>IAA 12-317.1</v>
      </c>
      <c r="E353" s="42">
        <v>42162</v>
      </c>
      <c r="F353" s="44">
        <v>151</v>
      </c>
      <c r="G353" s="47">
        <v>12000</v>
      </c>
      <c r="H353" s="35" t="s">
        <v>1739</v>
      </c>
      <c r="I353" s="42">
        <v>42506</v>
      </c>
      <c r="J353" s="115" t="s">
        <v>12</v>
      </c>
      <c r="K353" s="77" t="s">
        <v>967</v>
      </c>
      <c r="N353" s="44" t="str">
        <f t="shared" si="20"/>
        <v/>
      </c>
      <c r="O353">
        <f t="shared" si="19"/>
        <v>344</v>
      </c>
      <c r="P353" s="97" t="str">
        <f t="shared" si="21"/>
        <v/>
      </c>
      <c r="Q353" s="8" t="s">
        <v>1871</v>
      </c>
    </row>
    <row r="354" spans="1:17" x14ac:dyDescent="0.25">
      <c r="A354" t="s">
        <v>1157</v>
      </c>
      <c r="B354" t="s">
        <v>1172</v>
      </c>
      <c r="C354" t="str">
        <f>VLOOKUP(B354,'[1]Planting GPS Points'!$B$3:$L$290,8,FALSE)</f>
        <v>CPS</v>
      </c>
      <c r="D354" t="str">
        <f>VLOOKUP(B354,'[1]Planting GPS Points'!$B$3:$AL$290,15,FALSE)</f>
        <v>IAA 12-317.1</v>
      </c>
      <c r="E354" s="42">
        <v>42162</v>
      </c>
      <c r="F354" s="44">
        <v>151</v>
      </c>
      <c r="G354" s="47">
        <v>12000</v>
      </c>
      <c r="H354" s="35" t="s">
        <v>971</v>
      </c>
      <c r="I354" s="42">
        <v>42527</v>
      </c>
      <c r="J354" s="115" t="s">
        <v>12</v>
      </c>
      <c r="K354" s="77" t="s">
        <v>967</v>
      </c>
      <c r="L354">
        <v>2286</v>
      </c>
      <c r="M354">
        <v>38</v>
      </c>
      <c r="N354" s="44">
        <f t="shared" si="20"/>
        <v>60.157894736842103</v>
      </c>
      <c r="O354">
        <f t="shared" si="19"/>
        <v>365</v>
      </c>
      <c r="P354" s="97">
        <f t="shared" si="21"/>
        <v>0.1905</v>
      </c>
      <c r="Q354" s="8" t="s">
        <v>1872</v>
      </c>
    </row>
    <row r="355" spans="1:17" x14ac:dyDescent="0.25">
      <c r="A355" t="s">
        <v>1157</v>
      </c>
      <c r="B355" t="s">
        <v>1172</v>
      </c>
      <c r="C355" t="str">
        <f>VLOOKUP(B355,'[1]Planting GPS Points'!$B$3:$L$290,8,FALSE)</f>
        <v>CPS</v>
      </c>
      <c r="D355" t="str">
        <f>VLOOKUP(B355,'[1]Planting GPS Points'!$B$3:$AL$290,15,FALSE)</f>
        <v>IAA 12-317.1</v>
      </c>
      <c r="E355" s="42">
        <v>42162</v>
      </c>
      <c r="F355" s="44">
        <v>151</v>
      </c>
      <c r="G355" s="47">
        <v>12000</v>
      </c>
      <c r="H355" s="35" t="s">
        <v>971</v>
      </c>
      <c r="I355" s="42">
        <v>42909</v>
      </c>
      <c r="J355" s="115" t="s">
        <v>12</v>
      </c>
      <c r="K355" s="77" t="s">
        <v>967</v>
      </c>
      <c r="L355">
        <v>37078</v>
      </c>
      <c r="M355">
        <v>148.9</v>
      </c>
      <c r="N355" s="44">
        <f t="shared" si="20"/>
        <v>249.01276024177298</v>
      </c>
      <c r="O355">
        <f t="shared" si="19"/>
        <v>747</v>
      </c>
      <c r="P355" s="97">
        <f t="shared" si="21"/>
        <v>3.0898333333333334</v>
      </c>
      <c r="Q355" s="8" t="s">
        <v>1873</v>
      </c>
    </row>
    <row r="356" spans="1:17" x14ac:dyDescent="0.25">
      <c r="A356" t="s">
        <v>1157</v>
      </c>
      <c r="B356" t="s">
        <v>1172</v>
      </c>
      <c r="C356" t="str">
        <f>VLOOKUP(B356,'[1]Planting GPS Points'!$B$3:$L$290,8,FALSE)</f>
        <v>CPS</v>
      </c>
      <c r="D356" t="str">
        <f>VLOOKUP(B356,'[1]Planting GPS Points'!$B$3:$AL$290,15,FALSE)</f>
        <v>IAA 12-317.1</v>
      </c>
      <c r="E356" s="42">
        <v>42162</v>
      </c>
      <c r="F356" s="44">
        <v>151</v>
      </c>
      <c r="G356" s="47">
        <v>12000</v>
      </c>
      <c r="H356" s="35" t="s">
        <v>971</v>
      </c>
      <c r="I356" s="42">
        <v>43267</v>
      </c>
      <c r="J356" s="115" t="s">
        <v>12</v>
      </c>
      <c r="K356" s="77" t="s">
        <v>967</v>
      </c>
      <c r="L356">
        <v>5769</v>
      </c>
      <c r="M356">
        <v>86</v>
      </c>
      <c r="N356" s="44">
        <f t="shared" si="20"/>
        <v>67.081395348837205</v>
      </c>
      <c r="O356">
        <f t="shared" si="19"/>
        <v>1105</v>
      </c>
      <c r="P356" s="97">
        <f t="shared" si="21"/>
        <v>0.48075000000000001</v>
      </c>
      <c r="Q356" s="8" t="s">
        <v>1874</v>
      </c>
    </row>
    <row r="357" spans="1:17" x14ac:dyDescent="0.25">
      <c r="A357" t="s">
        <v>1157</v>
      </c>
      <c r="B357" t="s">
        <v>1172</v>
      </c>
      <c r="C357" t="str">
        <f>VLOOKUP(B357,'[1]Planting GPS Points'!$B$3:$L$290,8,FALSE)</f>
        <v>CPS</v>
      </c>
      <c r="D357" t="str">
        <f>VLOOKUP(B357,'[1]Planting GPS Points'!$B$3:$AL$290,15,FALSE)</f>
        <v>IAA 12-317.1</v>
      </c>
      <c r="E357" s="42">
        <v>42162</v>
      </c>
      <c r="F357" s="44">
        <v>151</v>
      </c>
      <c r="G357" s="47">
        <v>12000</v>
      </c>
      <c r="H357" s="35" t="s">
        <v>971</v>
      </c>
      <c r="I357" s="42">
        <v>43705</v>
      </c>
      <c r="J357" s="115" t="s">
        <v>12</v>
      </c>
      <c r="K357" s="77" t="s">
        <v>967</v>
      </c>
      <c r="L357">
        <v>7340</v>
      </c>
      <c r="M357">
        <v>23.4</v>
      </c>
      <c r="N357" s="44">
        <f t="shared" si="20"/>
        <v>313.67521367521368</v>
      </c>
      <c r="O357">
        <f t="shared" si="19"/>
        <v>1543</v>
      </c>
      <c r="P357" s="97">
        <f t="shared" si="21"/>
        <v>0.61166666666666669</v>
      </c>
      <c r="Q357" s="8" t="s">
        <v>1870</v>
      </c>
    </row>
    <row r="358" spans="1:17" x14ac:dyDescent="0.25">
      <c r="A358" s="140" t="s">
        <v>1157</v>
      </c>
      <c r="B358" t="s">
        <v>1172</v>
      </c>
      <c r="C358" t="str">
        <f>VLOOKUP(B358,'[1]Planting GPS Points'!$B$3:$L$290,8,FALSE)</f>
        <v>CPS</v>
      </c>
      <c r="D358" t="str">
        <f>VLOOKUP(B358,'[1]Planting GPS Points'!$B$3:$AL$290,15,FALSE)</f>
        <v>IAA 12-317.1</v>
      </c>
      <c r="E358" s="42">
        <v>42162</v>
      </c>
      <c r="F358" s="44">
        <v>151</v>
      </c>
      <c r="G358" s="47">
        <v>12000</v>
      </c>
      <c r="H358" s="35" t="s">
        <v>971</v>
      </c>
      <c r="I358" s="42">
        <v>44030</v>
      </c>
      <c r="J358" s="115" t="s">
        <v>12</v>
      </c>
      <c r="K358" s="77" t="s">
        <v>967</v>
      </c>
      <c r="N358" s="44" t="str">
        <f t="shared" si="20"/>
        <v/>
      </c>
      <c r="O358">
        <f t="shared" si="19"/>
        <v>1868</v>
      </c>
      <c r="P358" s="97" t="str">
        <f t="shared" si="21"/>
        <v/>
      </c>
      <c r="Q358" s="8" t="s">
        <v>1875</v>
      </c>
    </row>
    <row r="359" spans="1:17" x14ac:dyDescent="0.25">
      <c r="A359" s="140" t="s">
        <v>1157</v>
      </c>
      <c r="B359" t="s">
        <v>1172</v>
      </c>
      <c r="C359" t="str">
        <f>VLOOKUP(B359,'[1]Planting GPS Points'!$B$3:$L$290,8,FALSE)</f>
        <v>CPS</v>
      </c>
      <c r="D359" t="str">
        <f>VLOOKUP(B359,'[1]Planting GPS Points'!$B$3:$AL$290,15,FALSE)</f>
        <v>IAA 12-317.1</v>
      </c>
      <c r="E359" s="42">
        <v>42162</v>
      </c>
      <c r="F359" s="44">
        <v>151</v>
      </c>
      <c r="G359" s="47">
        <v>12000</v>
      </c>
      <c r="H359" s="35" t="s">
        <v>971</v>
      </c>
      <c r="I359" s="112">
        <v>44395</v>
      </c>
      <c r="J359" s="141" t="s">
        <v>12</v>
      </c>
      <c r="K359" s="113" t="s">
        <v>967</v>
      </c>
      <c r="L359" s="114"/>
      <c r="M359" s="114"/>
      <c r="N359" s="124"/>
      <c r="O359" s="114"/>
      <c r="P359" s="125"/>
      <c r="Q359" s="126"/>
    </row>
    <row r="360" spans="1:17" x14ac:dyDescent="0.25">
      <c r="A360" s="140" t="s">
        <v>1157</v>
      </c>
      <c r="B360" t="s">
        <v>1172</v>
      </c>
      <c r="C360" t="str">
        <f>VLOOKUP(B360,'[1]Planting GPS Points'!$B$3:$L$290,8,FALSE)</f>
        <v>CPS</v>
      </c>
      <c r="D360" t="str">
        <f>VLOOKUP(B360,'[1]Planting GPS Points'!$B$3:$AL$290,15,FALSE)</f>
        <v>IAA 12-317.1</v>
      </c>
      <c r="E360" s="42">
        <v>42162</v>
      </c>
      <c r="F360" s="44">
        <v>151</v>
      </c>
      <c r="G360" s="47">
        <v>12000</v>
      </c>
      <c r="H360" s="35" t="s">
        <v>971</v>
      </c>
      <c r="I360" s="112">
        <v>44760</v>
      </c>
      <c r="J360" s="141" t="s">
        <v>12</v>
      </c>
      <c r="K360" s="113" t="s">
        <v>967</v>
      </c>
      <c r="L360" s="114"/>
      <c r="M360" s="114"/>
      <c r="N360" s="124"/>
      <c r="O360" s="114"/>
      <c r="P360" s="125"/>
      <c r="Q360" s="126"/>
    </row>
    <row r="361" spans="1:17" x14ac:dyDescent="0.25">
      <c r="A361" s="140" t="s">
        <v>1157</v>
      </c>
      <c r="B361" t="s">
        <v>1172</v>
      </c>
      <c r="C361" t="str">
        <f>VLOOKUP(B361,'[1]Planting GPS Points'!$B$3:$L$290,8,FALSE)</f>
        <v>CPS</v>
      </c>
      <c r="D361" t="str">
        <f>VLOOKUP(B361,'[1]Planting GPS Points'!$B$3:$AL$290,15,FALSE)</f>
        <v>IAA 12-317.1</v>
      </c>
      <c r="E361" s="42">
        <v>42162</v>
      </c>
      <c r="F361" s="44">
        <v>151</v>
      </c>
      <c r="G361" s="47">
        <v>12000</v>
      </c>
      <c r="H361" s="35" t="s">
        <v>971</v>
      </c>
      <c r="I361" s="112">
        <v>45125</v>
      </c>
      <c r="J361" s="141" t="s">
        <v>12</v>
      </c>
      <c r="K361" s="113" t="s">
        <v>967</v>
      </c>
      <c r="L361" s="114"/>
      <c r="M361" s="114"/>
      <c r="N361" s="124"/>
      <c r="O361" s="114"/>
      <c r="P361" s="125"/>
      <c r="Q361" s="126"/>
    </row>
    <row r="362" spans="1:17" x14ac:dyDescent="0.25">
      <c r="A362" s="140" t="s">
        <v>1157</v>
      </c>
      <c r="B362" t="s">
        <v>1172</v>
      </c>
      <c r="C362" t="str">
        <f>VLOOKUP(B362,'[1]Planting GPS Points'!$B$3:$L$290,8,FALSE)</f>
        <v>CPS</v>
      </c>
      <c r="D362" t="str">
        <f>VLOOKUP(B362,'[1]Planting GPS Points'!$B$3:$AL$290,15,FALSE)</f>
        <v>IAA 12-317.1</v>
      </c>
      <c r="E362" s="42">
        <v>42162</v>
      </c>
      <c r="F362" s="44">
        <v>151</v>
      </c>
      <c r="G362" s="47">
        <v>12000</v>
      </c>
      <c r="H362" s="35" t="s">
        <v>971</v>
      </c>
      <c r="I362" s="112">
        <v>45491</v>
      </c>
      <c r="J362" s="141" t="s">
        <v>12</v>
      </c>
      <c r="K362" s="113" t="s">
        <v>967</v>
      </c>
      <c r="L362" s="114"/>
      <c r="M362" s="114"/>
      <c r="N362" s="124"/>
      <c r="O362" s="114"/>
      <c r="P362" s="125"/>
      <c r="Q362" s="126"/>
    </row>
    <row r="363" spans="1:17" x14ac:dyDescent="0.25">
      <c r="A363" s="140" t="s">
        <v>1157</v>
      </c>
      <c r="B363" t="s">
        <v>1172</v>
      </c>
      <c r="C363" t="str">
        <f>VLOOKUP(B363,'[1]Planting GPS Points'!$B$3:$L$290,8,FALSE)</f>
        <v>CPS</v>
      </c>
      <c r="D363" t="str">
        <f>VLOOKUP(B363,'[1]Planting GPS Points'!$B$3:$AL$290,15,FALSE)</f>
        <v>IAA 12-317.1</v>
      </c>
      <c r="E363" s="42">
        <v>42162</v>
      </c>
      <c r="F363" s="44">
        <v>151</v>
      </c>
      <c r="G363" s="47">
        <v>12000</v>
      </c>
      <c r="H363" s="35" t="s">
        <v>971</v>
      </c>
      <c r="I363" s="42">
        <v>45748</v>
      </c>
      <c r="J363" s="115" t="s">
        <v>12</v>
      </c>
      <c r="K363" s="77" t="s">
        <v>967</v>
      </c>
      <c r="N363" s="44"/>
      <c r="P363" s="97"/>
      <c r="Q363" s="8" t="s">
        <v>1876</v>
      </c>
    </row>
    <row r="364" spans="1:17" x14ac:dyDescent="0.25">
      <c r="A364" s="140" t="s">
        <v>1157</v>
      </c>
      <c r="B364" t="s">
        <v>1172</v>
      </c>
      <c r="C364" t="str">
        <f>VLOOKUP(B364,'[1]Planting GPS Points'!$B$3:$L$290,8,FALSE)</f>
        <v>CPS</v>
      </c>
      <c r="D364" t="str">
        <f>VLOOKUP(B364,'[1]Planting GPS Points'!$B$3:$AL$290,15,FALSE)</f>
        <v>IAA 12-317.1</v>
      </c>
      <c r="E364" s="42">
        <v>42162</v>
      </c>
      <c r="F364" s="44">
        <v>151</v>
      </c>
      <c r="G364" s="47">
        <v>12000</v>
      </c>
      <c r="H364" s="35" t="s">
        <v>971</v>
      </c>
      <c r="I364" s="42">
        <v>45750</v>
      </c>
      <c r="J364" s="115" t="s">
        <v>12</v>
      </c>
      <c r="K364" s="77" t="s">
        <v>967</v>
      </c>
      <c r="N364" s="44"/>
      <c r="P364" s="97"/>
      <c r="Q364" s="8" t="s">
        <v>1877</v>
      </c>
    </row>
    <row r="365" spans="1:17" x14ac:dyDescent="0.25">
      <c r="A365" s="140"/>
      <c r="E365" s="42"/>
      <c r="F365" s="44"/>
      <c r="G365" s="47"/>
      <c r="H365" s="35"/>
      <c r="I365" s="42"/>
      <c r="J365" s="115"/>
      <c r="K365" s="77"/>
      <c r="N365" s="44"/>
      <c r="P365" s="97"/>
      <c r="Q365" s="8"/>
    </row>
    <row r="366" spans="1:17" x14ac:dyDescent="0.25">
      <c r="A366" t="s">
        <v>1157</v>
      </c>
      <c r="B366" t="s">
        <v>1163</v>
      </c>
      <c r="C366" t="str">
        <f>VLOOKUP(B366,'[1]Planting GPS Points'!$B$3:$L$290,8,FALSE)</f>
        <v>CPS</v>
      </c>
      <c r="D366" t="str">
        <f>VLOOKUP(B366,'[1]Planting GPS Points'!$B$3:$AL$290,15,FALSE)</f>
        <v>IAA 12-317.1</v>
      </c>
      <c r="E366" s="42">
        <v>42141</v>
      </c>
      <c r="F366" s="142">
        <v>126</v>
      </c>
      <c r="G366" s="60">
        <v>10200</v>
      </c>
      <c r="H366" s="35" t="s">
        <v>971</v>
      </c>
      <c r="I366" s="42">
        <v>42527</v>
      </c>
      <c r="J366" s="115" t="s">
        <v>12</v>
      </c>
      <c r="K366" s="77" t="s">
        <v>967</v>
      </c>
      <c r="L366">
        <v>4326</v>
      </c>
      <c r="M366">
        <v>31</v>
      </c>
      <c r="N366" s="44">
        <f t="shared" si="20"/>
        <v>139.54838709677421</v>
      </c>
      <c r="O366">
        <f t="shared" si="19"/>
        <v>386</v>
      </c>
      <c r="P366" s="97">
        <f t="shared" si="21"/>
        <v>0.42411764705882354</v>
      </c>
      <c r="Q366" s="8" t="s">
        <v>1878</v>
      </c>
    </row>
    <row r="367" spans="1:17" x14ac:dyDescent="0.25">
      <c r="A367" t="s">
        <v>1157</v>
      </c>
      <c r="B367" t="s">
        <v>1163</v>
      </c>
      <c r="C367" t="str">
        <f>VLOOKUP(B367,'[1]Planting GPS Points'!$B$3:$L$290,8,FALSE)</f>
        <v>CPS</v>
      </c>
      <c r="D367" t="str">
        <f>VLOOKUP(B367,'[1]Planting GPS Points'!$B$3:$AL$290,15,FALSE)</f>
        <v>IAA 12-317.1</v>
      </c>
      <c r="E367" s="42">
        <v>42141</v>
      </c>
      <c r="F367" s="142">
        <v>126</v>
      </c>
      <c r="G367" s="60">
        <v>10200</v>
      </c>
      <c r="H367" s="35" t="s">
        <v>971</v>
      </c>
      <c r="I367" s="42">
        <v>42909</v>
      </c>
      <c r="J367" s="115" t="s">
        <v>12</v>
      </c>
      <c r="K367" s="77" t="s">
        <v>967</v>
      </c>
      <c r="L367">
        <v>80680</v>
      </c>
      <c r="M367">
        <v>198</v>
      </c>
      <c r="N367" s="44">
        <f t="shared" si="20"/>
        <v>407.47474747474746</v>
      </c>
      <c r="O367">
        <f t="shared" si="19"/>
        <v>768</v>
      </c>
      <c r="P367" s="97">
        <f t="shared" si="21"/>
        <v>7.9098039215686278</v>
      </c>
      <c r="Q367" s="8" t="s">
        <v>1879</v>
      </c>
    </row>
    <row r="368" spans="1:17" x14ac:dyDescent="0.25">
      <c r="A368" t="s">
        <v>1157</v>
      </c>
      <c r="B368" t="s">
        <v>1163</v>
      </c>
      <c r="C368" t="str">
        <f>VLOOKUP(B368,'[1]Planting GPS Points'!$B$3:$L$290,8,FALSE)</f>
        <v>CPS</v>
      </c>
      <c r="D368" t="str">
        <f>VLOOKUP(B368,'[1]Planting GPS Points'!$B$3:$AL$290,15,FALSE)</f>
        <v>IAA 12-317.1</v>
      </c>
      <c r="E368" s="42">
        <v>42141</v>
      </c>
      <c r="F368" s="142">
        <v>126</v>
      </c>
      <c r="G368" s="60">
        <v>10200</v>
      </c>
      <c r="H368" s="35" t="s">
        <v>971</v>
      </c>
      <c r="I368" s="42">
        <v>43267</v>
      </c>
      <c r="J368" s="115" t="s">
        <v>12</v>
      </c>
      <c r="K368" s="77" t="s">
        <v>967</v>
      </c>
      <c r="L368">
        <v>62649</v>
      </c>
      <c r="M368">
        <v>271</v>
      </c>
      <c r="N368" s="44">
        <f t="shared" si="20"/>
        <v>231.17712177121771</v>
      </c>
      <c r="O368">
        <f t="shared" si="19"/>
        <v>1126</v>
      </c>
      <c r="P368" s="97">
        <f t="shared" si="21"/>
        <v>6.1420588235294113</v>
      </c>
      <c r="Q368" s="8" t="s">
        <v>1880</v>
      </c>
    </row>
    <row r="369" spans="1:17" x14ac:dyDescent="0.25">
      <c r="A369" t="s">
        <v>1157</v>
      </c>
      <c r="B369" t="s">
        <v>1163</v>
      </c>
      <c r="C369" t="str">
        <f>VLOOKUP(B369,'[1]Planting GPS Points'!$B$3:$L$290,8,FALSE)</f>
        <v>CPS</v>
      </c>
      <c r="D369" t="str">
        <f>VLOOKUP(B369,'[1]Planting GPS Points'!$B$3:$AL$290,15,FALSE)</f>
        <v>IAA 12-317.1</v>
      </c>
      <c r="E369" s="42">
        <v>42141</v>
      </c>
      <c r="F369" s="142">
        <v>126</v>
      </c>
      <c r="G369" s="60">
        <v>10200</v>
      </c>
      <c r="H369" s="35" t="s">
        <v>971</v>
      </c>
      <c r="I369" s="42">
        <v>43705</v>
      </c>
      <c r="J369" s="115" t="s">
        <v>12</v>
      </c>
      <c r="K369" s="77" t="s">
        <v>967</v>
      </c>
      <c r="L369" s="47">
        <v>246003.20592695041</v>
      </c>
      <c r="M369" s="47">
        <v>351.04979667205527</v>
      </c>
      <c r="N369" s="44">
        <f t="shared" si="20"/>
        <v>700.76441649890035</v>
      </c>
      <c r="O369">
        <f t="shared" si="19"/>
        <v>1564</v>
      </c>
      <c r="P369" s="97">
        <f t="shared" si="21"/>
        <v>24.117961365387295</v>
      </c>
      <c r="Q369" s="8" t="s">
        <v>1870</v>
      </c>
    </row>
    <row r="370" spans="1:17" x14ac:dyDescent="0.25">
      <c r="A370" s="140" t="s">
        <v>1157</v>
      </c>
      <c r="B370" t="s">
        <v>1163</v>
      </c>
      <c r="C370" t="str">
        <f>VLOOKUP(B370,'[1]Planting GPS Points'!$B$3:$L$290,8,FALSE)</f>
        <v>CPS</v>
      </c>
      <c r="D370" t="str">
        <f>VLOOKUP(B370,'[1]Planting GPS Points'!$B$3:$AL$290,15,FALSE)</f>
        <v>IAA 12-317.1</v>
      </c>
      <c r="E370" s="42">
        <v>42141</v>
      </c>
      <c r="F370" s="142">
        <v>126</v>
      </c>
      <c r="G370" s="60">
        <v>10200</v>
      </c>
      <c r="H370" s="35" t="s">
        <v>971</v>
      </c>
      <c r="I370" s="42">
        <v>44032</v>
      </c>
      <c r="J370" s="115" t="s">
        <v>12</v>
      </c>
      <c r="K370" s="77" t="s">
        <v>967</v>
      </c>
      <c r="L370" s="47"/>
      <c r="M370" s="47"/>
      <c r="N370" s="44" t="str">
        <f t="shared" si="20"/>
        <v/>
      </c>
      <c r="O370">
        <f t="shared" si="19"/>
        <v>1891</v>
      </c>
      <c r="P370" s="97" t="str">
        <f t="shared" si="21"/>
        <v/>
      </c>
      <c r="Q370" s="8" t="s">
        <v>1875</v>
      </c>
    </row>
    <row r="371" spans="1:17" x14ac:dyDescent="0.25">
      <c r="A371" s="9" t="s">
        <v>1157</v>
      </c>
      <c r="B371" t="s">
        <v>1163</v>
      </c>
      <c r="C371" t="str">
        <f>VLOOKUP(B371,'[1]Planting GPS Points'!$B$3:$L$290,8,FALSE)</f>
        <v>CPS</v>
      </c>
      <c r="D371" t="str">
        <f>VLOOKUP(B371,'[1]Planting GPS Points'!$B$3:$AL$290,15,FALSE)</f>
        <v>IAA 12-317.1</v>
      </c>
      <c r="E371" s="42">
        <v>42141</v>
      </c>
      <c r="F371" s="142">
        <v>126</v>
      </c>
      <c r="G371" s="60">
        <v>10200</v>
      </c>
      <c r="H371" s="35" t="s">
        <v>971</v>
      </c>
      <c r="I371" s="42">
        <v>44783</v>
      </c>
      <c r="J371" s="115" t="s">
        <v>12</v>
      </c>
      <c r="K371" s="77" t="s">
        <v>967</v>
      </c>
      <c r="L371" s="47"/>
      <c r="M371" s="47"/>
      <c r="N371" s="44" t="str">
        <f t="shared" si="20"/>
        <v/>
      </c>
      <c r="O371">
        <f t="shared" si="19"/>
        <v>2642</v>
      </c>
      <c r="P371" s="97" t="str">
        <f t="shared" si="21"/>
        <v/>
      </c>
      <c r="Q371" s="8" t="s">
        <v>1881</v>
      </c>
    </row>
    <row r="372" spans="1:17" x14ac:dyDescent="0.25">
      <c r="A372" s="9" t="s">
        <v>1157</v>
      </c>
      <c r="B372" t="s">
        <v>1163</v>
      </c>
      <c r="C372" t="str">
        <f>VLOOKUP(B372,'[1]Planting GPS Points'!$B$3:$L$290,8,FALSE)</f>
        <v>CPS</v>
      </c>
      <c r="D372" t="str">
        <f>VLOOKUP(B372,'[1]Planting GPS Points'!$B$3:$AL$290,15,FALSE)</f>
        <v>IAA 12-317.1</v>
      </c>
      <c r="E372" s="42">
        <v>42141</v>
      </c>
      <c r="F372" s="142">
        <v>126</v>
      </c>
      <c r="G372" s="60">
        <v>10200</v>
      </c>
      <c r="H372" s="35" t="s">
        <v>971</v>
      </c>
      <c r="I372" s="42">
        <v>44753</v>
      </c>
      <c r="J372" s="115" t="s">
        <v>12</v>
      </c>
      <c r="K372" s="77" t="s">
        <v>967</v>
      </c>
      <c r="L372" s="47"/>
      <c r="M372" s="47"/>
      <c r="N372" s="44" t="str">
        <f t="shared" si="20"/>
        <v/>
      </c>
      <c r="O372">
        <f t="shared" si="19"/>
        <v>2612</v>
      </c>
      <c r="P372" s="97" t="str">
        <f t="shared" si="21"/>
        <v/>
      </c>
      <c r="Q372" s="8" t="s">
        <v>1882</v>
      </c>
    </row>
    <row r="373" spans="1:17" x14ac:dyDescent="0.25">
      <c r="A373" s="9" t="s">
        <v>1157</v>
      </c>
      <c r="B373" t="s">
        <v>1163</v>
      </c>
      <c r="C373" t="str">
        <f>VLOOKUP(B373,'[1]Planting GPS Points'!$B$3:$L$290,8,FALSE)</f>
        <v>CPS</v>
      </c>
      <c r="D373" t="str">
        <f>VLOOKUP(B373,'[1]Planting GPS Points'!$B$3:$AL$290,15,FALSE)</f>
        <v>IAA 12-317.1</v>
      </c>
      <c r="E373" s="42">
        <v>42141</v>
      </c>
      <c r="F373" s="142">
        <v>126</v>
      </c>
      <c r="G373" s="60">
        <v>10200</v>
      </c>
      <c r="H373" s="35" t="s">
        <v>971</v>
      </c>
      <c r="I373" s="42">
        <v>44754</v>
      </c>
      <c r="J373" s="115" t="s">
        <v>12</v>
      </c>
      <c r="K373" s="77" t="s">
        <v>967</v>
      </c>
      <c r="L373" s="47"/>
      <c r="M373" s="47"/>
      <c r="N373" s="44" t="str">
        <f t="shared" si="20"/>
        <v/>
      </c>
      <c r="O373">
        <f t="shared" ref="O373:O442" si="22">I373-E373</f>
        <v>2613</v>
      </c>
      <c r="P373" s="97" t="str">
        <f t="shared" si="21"/>
        <v/>
      </c>
      <c r="Q373" s="8" t="s">
        <v>1882</v>
      </c>
    </row>
    <row r="374" spans="1:17" x14ac:dyDescent="0.25">
      <c r="A374" s="9" t="s">
        <v>1157</v>
      </c>
      <c r="B374" t="s">
        <v>1163</v>
      </c>
      <c r="C374" t="str">
        <f>VLOOKUP(B374,'[1]Planting GPS Points'!$B$3:$L$290,8,FALSE)</f>
        <v>CPS</v>
      </c>
      <c r="D374" t="str">
        <f>VLOOKUP(B374,'[1]Planting GPS Points'!$B$3:$AL$290,15,FALSE)</f>
        <v>IAA 12-317.1</v>
      </c>
      <c r="E374" s="42">
        <v>42141</v>
      </c>
      <c r="F374" s="142">
        <v>126</v>
      </c>
      <c r="G374" s="60">
        <v>10200</v>
      </c>
      <c r="H374" s="35" t="s">
        <v>971</v>
      </c>
      <c r="I374" s="42">
        <v>45037</v>
      </c>
      <c r="J374" s="115" t="s">
        <v>12</v>
      </c>
      <c r="K374" s="77" t="s">
        <v>967</v>
      </c>
      <c r="L374" s="47"/>
      <c r="M374" s="47"/>
      <c r="N374" s="44" t="str">
        <f t="shared" si="20"/>
        <v/>
      </c>
      <c r="O374">
        <f t="shared" si="22"/>
        <v>2896</v>
      </c>
      <c r="P374" s="97" t="str">
        <f t="shared" si="21"/>
        <v/>
      </c>
      <c r="Q374" s="8" t="s">
        <v>1883</v>
      </c>
    </row>
    <row r="375" spans="1:17" s="114" customFormat="1" x14ac:dyDescent="0.25">
      <c r="A375" s="140" t="s">
        <v>1157</v>
      </c>
      <c r="B375" s="114" t="s">
        <v>1163</v>
      </c>
      <c r="C375" s="114" t="str">
        <f>VLOOKUP(B375,'[1]Planting GPS Points'!$B$3:$L$290,8,FALSE)</f>
        <v>CPS</v>
      </c>
      <c r="D375" s="114" t="str">
        <f>VLOOKUP(B375,'[1]Planting GPS Points'!$B$3:$AL$290,15,FALSE)</f>
        <v>IAA 12-317.1</v>
      </c>
      <c r="E375" s="112">
        <v>42141</v>
      </c>
      <c r="F375" s="143">
        <v>126</v>
      </c>
      <c r="G375" s="144">
        <v>10200</v>
      </c>
      <c r="H375" s="122" t="s">
        <v>971</v>
      </c>
      <c r="I375" s="112">
        <v>45403</v>
      </c>
      <c r="J375" s="141" t="s">
        <v>12</v>
      </c>
      <c r="K375" s="113" t="s">
        <v>967</v>
      </c>
      <c r="L375" s="123"/>
      <c r="M375" s="123"/>
      <c r="N375" s="124" t="str">
        <f t="shared" si="20"/>
        <v/>
      </c>
      <c r="O375" s="114">
        <f t="shared" si="22"/>
        <v>3262</v>
      </c>
      <c r="P375" s="125" t="str">
        <f t="shared" si="21"/>
        <v/>
      </c>
      <c r="Q375" s="126" t="s">
        <v>1883</v>
      </c>
    </row>
    <row r="376" spans="1:17" x14ac:dyDescent="0.25">
      <c r="A376" s="9" t="s">
        <v>1157</v>
      </c>
      <c r="B376" t="s">
        <v>1163</v>
      </c>
      <c r="C376" t="str">
        <f>VLOOKUP(B376,'[1]Planting GPS Points'!$B$3:$L$290,8,FALSE)</f>
        <v>CPS</v>
      </c>
      <c r="D376" t="str">
        <f>VLOOKUP(B376,'[1]Planting GPS Points'!$B$3:$AL$290,15,FALSE)</f>
        <v>IAA 12-317.1</v>
      </c>
      <c r="E376" s="42">
        <v>42141</v>
      </c>
      <c r="F376" s="142">
        <v>126</v>
      </c>
      <c r="G376" s="60">
        <v>10200</v>
      </c>
      <c r="H376" s="35" t="s">
        <v>971</v>
      </c>
      <c r="I376" s="42">
        <v>45748</v>
      </c>
      <c r="J376" s="115" t="s">
        <v>12</v>
      </c>
      <c r="K376" s="77" t="s">
        <v>967</v>
      </c>
      <c r="L376" s="47"/>
      <c r="M376" s="47"/>
      <c r="N376" s="44" t="str">
        <f t="shared" si="20"/>
        <v/>
      </c>
      <c r="P376" s="97" t="str">
        <f t="shared" si="21"/>
        <v/>
      </c>
      <c r="Q376" s="8" t="s">
        <v>1876</v>
      </c>
    </row>
    <row r="377" spans="1:17" x14ac:dyDescent="0.25">
      <c r="A377" s="9" t="s">
        <v>1157</v>
      </c>
      <c r="B377" t="s">
        <v>1163</v>
      </c>
      <c r="C377" t="str">
        <f>VLOOKUP(B377,'[1]Planting GPS Points'!$B$3:$L$290,8,FALSE)</f>
        <v>CPS</v>
      </c>
      <c r="D377" t="str">
        <f>VLOOKUP(B377,'[1]Planting GPS Points'!$B$3:$AL$290,15,FALSE)</f>
        <v>IAA 12-317.1</v>
      </c>
      <c r="E377" s="42">
        <v>42141</v>
      </c>
      <c r="F377" s="142">
        <v>126</v>
      </c>
      <c r="G377" s="60">
        <v>10200</v>
      </c>
      <c r="H377" s="35" t="s">
        <v>971</v>
      </c>
      <c r="I377" s="42">
        <v>45750</v>
      </c>
      <c r="J377" s="115" t="s">
        <v>12</v>
      </c>
      <c r="K377" s="77" t="s">
        <v>967</v>
      </c>
      <c r="L377" s="47"/>
      <c r="M377" s="47"/>
      <c r="N377" s="44" t="str">
        <f t="shared" si="20"/>
        <v/>
      </c>
      <c r="P377" s="97" t="str">
        <f t="shared" si="21"/>
        <v/>
      </c>
      <c r="Q377" s="8" t="s">
        <v>1877</v>
      </c>
    </row>
    <row r="378" spans="1:17" x14ac:dyDescent="0.25">
      <c r="A378" s="9"/>
      <c r="E378" s="42"/>
      <c r="F378" s="142"/>
      <c r="G378" s="60"/>
      <c r="H378" s="35"/>
      <c r="I378" s="42"/>
      <c r="J378" s="115"/>
      <c r="K378" s="77"/>
      <c r="L378" s="47"/>
      <c r="M378" s="47"/>
      <c r="N378" s="44"/>
      <c r="P378" s="97"/>
      <c r="Q378" s="8"/>
    </row>
    <row r="379" spans="1:17" x14ac:dyDescent="0.25">
      <c r="A379" s="9"/>
      <c r="E379" s="42"/>
      <c r="F379" s="142"/>
      <c r="G379" s="60"/>
      <c r="H379" s="35"/>
      <c r="I379" s="42"/>
      <c r="J379" s="115"/>
      <c r="K379" s="77"/>
      <c r="L379" s="47"/>
      <c r="M379" s="47"/>
      <c r="N379" s="44"/>
      <c r="P379" s="97"/>
      <c r="Q379" s="8"/>
    </row>
    <row r="380" spans="1:17" x14ac:dyDescent="0.25">
      <c r="A380" s="9" t="s">
        <v>1157</v>
      </c>
      <c r="B380" s="9" t="s">
        <v>1231</v>
      </c>
      <c r="C380" t="str">
        <f>VLOOKUP(B380,'[1]Planting GPS Points'!$B$3:$L$290,8,FALSE)</f>
        <v>CPS</v>
      </c>
      <c r="D380">
        <f>VLOOKUP(B380,'[1]Planting GPS Points'!$B$3:$AL$290,15,FALSE)</f>
        <v>0</v>
      </c>
      <c r="E380" s="42">
        <v>42881</v>
      </c>
      <c r="F380" s="44">
        <v>1.25</v>
      </c>
      <c r="G380">
        <v>90</v>
      </c>
      <c r="H380" s="35" t="s">
        <v>971</v>
      </c>
      <c r="I380" s="42">
        <v>42938</v>
      </c>
      <c r="J380" s="77" t="s">
        <v>12</v>
      </c>
      <c r="K380" s="77" t="s">
        <v>967</v>
      </c>
      <c r="L380">
        <v>112</v>
      </c>
      <c r="M380">
        <v>1.25</v>
      </c>
      <c r="N380" s="44">
        <f t="shared" si="20"/>
        <v>89.6</v>
      </c>
      <c r="O380">
        <f t="shared" si="22"/>
        <v>57</v>
      </c>
      <c r="P380" s="97">
        <f t="shared" si="21"/>
        <v>1.2444444444444445</v>
      </c>
      <c r="Q380" s="8" t="s">
        <v>1865</v>
      </c>
    </row>
    <row r="381" spans="1:17" x14ac:dyDescent="0.25">
      <c r="A381" s="9" t="s">
        <v>1157</v>
      </c>
      <c r="B381" s="9" t="s">
        <v>1231</v>
      </c>
      <c r="C381" t="str">
        <f>VLOOKUP(B381,'[1]Planting GPS Points'!$B$3:$L$290,8,FALSE)</f>
        <v>CPS</v>
      </c>
      <c r="D381">
        <f>VLOOKUP(B381,'[1]Planting GPS Points'!$B$3:$AL$290,15,FALSE)</f>
        <v>0</v>
      </c>
      <c r="E381" s="42">
        <v>42881</v>
      </c>
      <c r="F381" s="44">
        <v>1.25</v>
      </c>
      <c r="G381">
        <v>90</v>
      </c>
      <c r="H381" s="35" t="s">
        <v>971</v>
      </c>
      <c r="I381" s="42">
        <v>42968</v>
      </c>
      <c r="J381" s="77" t="s">
        <v>12</v>
      </c>
      <c r="K381" s="77" t="s">
        <v>967</v>
      </c>
      <c r="L381">
        <v>137</v>
      </c>
      <c r="M381">
        <v>1.25</v>
      </c>
      <c r="N381" s="44">
        <f t="shared" si="20"/>
        <v>109.6</v>
      </c>
      <c r="O381">
        <f t="shared" si="22"/>
        <v>87</v>
      </c>
      <c r="P381" s="97">
        <f t="shared" si="21"/>
        <v>1.5222222222222221</v>
      </c>
      <c r="Q381" s="8" t="s">
        <v>1865</v>
      </c>
    </row>
    <row r="382" spans="1:17" x14ac:dyDescent="0.25">
      <c r="A382" s="9" t="s">
        <v>1157</v>
      </c>
      <c r="B382" s="9" t="s">
        <v>1231</v>
      </c>
      <c r="C382" t="str">
        <f>VLOOKUP(B382,'[1]Planting GPS Points'!$B$3:$L$290,8,FALSE)</f>
        <v>CPS</v>
      </c>
      <c r="D382">
        <f>VLOOKUP(B382,'[1]Planting GPS Points'!$B$3:$AL$290,15,FALSE)</f>
        <v>0</v>
      </c>
      <c r="E382" s="42">
        <v>42881</v>
      </c>
      <c r="F382" s="44">
        <v>1.25</v>
      </c>
      <c r="G382">
        <v>90</v>
      </c>
      <c r="H382" s="35" t="s">
        <v>971</v>
      </c>
      <c r="I382" s="42">
        <v>43238</v>
      </c>
      <c r="J382" s="77" t="s">
        <v>12</v>
      </c>
      <c r="K382" s="77" t="s">
        <v>967</v>
      </c>
      <c r="L382">
        <v>29</v>
      </c>
      <c r="M382">
        <v>1.25</v>
      </c>
      <c r="N382" s="44">
        <f t="shared" ref="N382:N403" si="23">IFERROR(L382/M382, "")</f>
        <v>23.2</v>
      </c>
      <c r="O382">
        <f t="shared" si="22"/>
        <v>357</v>
      </c>
      <c r="P382" s="97">
        <f t="shared" si="21"/>
        <v>0.32222222222222224</v>
      </c>
      <c r="Q382" s="8" t="s">
        <v>1865</v>
      </c>
    </row>
    <row r="383" spans="1:17" x14ac:dyDescent="0.25">
      <c r="A383" s="9" t="s">
        <v>1157</v>
      </c>
      <c r="B383" s="9" t="s">
        <v>1231</v>
      </c>
      <c r="C383" t="str">
        <f>VLOOKUP(B383,'[1]Planting GPS Points'!$B$3:$L$290,8,FALSE)</f>
        <v>CPS</v>
      </c>
      <c r="D383">
        <f>VLOOKUP(B383,'[1]Planting GPS Points'!$B$3:$AL$290,15,FALSE)</f>
        <v>0</v>
      </c>
      <c r="E383" s="42">
        <v>42881</v>
      </c>
      <c r="F383" s="44">
        <v>1.25</v>
      </c>
      <c r="G383">
        <v>90</v>
      </c>
      <c r="H383" s="35" t="s">
        <v>971</v>
      </c>
      <c r="I383" s="42">
        <v>43294</v>
      </c>
      <c r="J383" s="77" t="s">
        <v>12</v>
      </c>
      <c r="K383" s="77" t="s">
        <v>967</v>
      </c>
      <c r="L383">
        <v>8</v>
      </c>
      <c r="M383">
        <v>1.25</v>
      </c>
      <c r="N383" s="44">
        <f t="shared" si="23"/>
        <v>6.4</v>
      </c>
      <c r="O383">
        <f t="shared" si="22"/>
        <v>413</v>
      </c>
      <c r="P383" s="97">
        <f t="shared" si="21"/>
        <v>8.8888888888888892E-2</v>
      </c>
      <c r="Q383" s="8" t="s">
        <v>1865</v>
      </c>
    </row>
    <row r="384" spans="1:17" x14ac:dyDescent="0.25">
      <c r="A384" s="9" t="s">
        <v>1157</v>
      </c>
      <c r="B384" s="9" t="s">
        <v>1231</v>
      </c>
      <c r="C384" t="str">
        <f>VLOOKUP(B384,'[1]Planting GPS Points'!$B$3:$L$290,8,FALSE)</f>
        <v>CPS</v>
      </c>
      <c r="D384">
        <f>VLOOKUP(B384,'[1]Planting GPS Points'!$B$3:$AL$290,15,FALSE)</f>
        <v>0</v>
      </c>
      <c r="E384" s="42">
        <v>42881</v>
      </c>
      <c r="F384" s="44">
        <v>1.25</v>
      </c>
      <c r="G384">
        <v>90</v>
      </c>
      <c r="H384" s="35" t="s">
        <v>971</v>
      </c>
      <c r="I384" s="42">
        <v>43321</v>
      </c>
      <c r="J384" s="77" t="s">
        <v>12</v>
      </c>
      <c r="K384" s="77" t="s">
        <v>967</v>
      </c>
      <c r="L384">
        <v>9</v>
      </c>
      <c r="M384">
        <v>1.25</v>
      </c>
      <c r="N384" s="44">
        <f t="shared" si="23"/>
        <v>7.2</v>
      </c>
      <c r="O384">
        <f t="shared" si="22"/>
        <v>440</v>
      </c>
      <c r="P384" s="97">
        <f t="shared" si="21"/>
        <v>0.1</v>
      </c>
      <c r="Q384" s="8" t="s">
        <v>1865</v>
      </c>
    </row>
    <row r="385" spans="1:17" x14ac:dyDescent="0.25">
      <c r="A385" s="9" t="s">
        <v>1157</v>
      </c>
      <c r="B385" s="9" t="s">
        <v>1231</v>
      </c>
      <c r="C385" t="str">
        <f>VLOOKUP(B385,'[1]Planting GPS Points'!$B$3:$L$290,8,FALSE)</f>
        <v>CPS</v>
      </c>
      <c r="D385">
        <f>VLOOKUP(B385,'[1]Planting GPS Points'!$B$3:$AL$290,15,FALSE)</f>
        <v>0</v>
      </c>
      <c r="E385" s="42">
        <v>42881</v>
      </c>
      <c r="F385" s="44">
        <v>1.25</v>
      </c>
      <c r="G385">
        <v>90</v>
      </c>
      <c r="H385" s="35" t="s">
        <v>971</v>
      </c>
      <c r="I385" s="42">
        <v>43678</v>
      </c>
      <c r="J385" s="77" t="s">
        <v>12</v>
      </c>
      <c r="K385" s="77" t="s">
        <v>967</v>
      </c>
      <c r="L385">
        <v>98</v>
      </c>
      <c r="M385">
        <v>1.25</v>
      </c>
      <c r="N385" s="44">
        <f t="shared" si="23"/>
        <v>78.400000000000006</v>
      </c>
      <c r="O385">
        <f t="shared" si="22"/>
        <v>797</v>
      </c>
      <c r="P385" s="97">
        <f t="shared" si="21"/>
        <v>1.0888888888888888</v>
      </c>
      <c r="Q385" s="8" t="s">
        <v>1865</v>
      </c>
    </row>
    <row r="386" spans="1:17" ht="16.5" x14ac:dyDescent="0.25">
      <c r="A386" s="9" t="s">
        <v>1157</v>
      </c>
      <c r="B386" s="9" t="s">
        <v>1231</v>
      </c>
      <c r="C386" t="str">
        <f>VLOOKUP(B386,'[1]Planting GPS Points'!$B$3:$L$290,8,FALSE)</f>
        <v>CPS</v>
      </c>
      <c r="D386">
        <f>VLOOKUP(B386,'[1]Planting GPS Points'!$B$3:$AL$290,15,FALSE)</f>
        <v>0</v>
      </c>
      <c r="E386" s="42">
        <v>42881</v>
      </c>
      <c r="F386" s="44">
        <v>1.25</v>
      </c>
      <c r="G386">
        <v>90</v>
      </c>
      <c r="H386" s="35" t="s">
        <v>971</v>
      </c>
      <c r="I386" s="42">
        <v>44033</v>
      </c>
      <c r="J386" s="77" t="s">
        <v>12</v>
      </c>
      <c r="K386" s="77" t="s">
        <v>967</v>
      </c>
      <c r="L386">
        <v>241</v>
      </c>
      <c r="M386">
        <v>2</v>
      </c>
      <c r="N386" s="44">
        <f t="shared" si="23"/>
        <v>120.5</v>
      </c>
      <c r="O386">
        <f t="shared" si="22"/>
        <v>1152</v>
      </c>
      <c r="P386" s="97">
        <f t="shared" si="21"/>
        <v>2.6777777777777776</v>
      </c>
      <c r="Q386" s="8" t="s">
        <v>1884</v>
      </c>
    </row>
    <row r="387" spans="1:17" x14ac:dyDescent="0.25">
      <c r="A387" t="s">
        <v>1157</v>
      </c>
      <c r="B387" t="s">
        <v>1183</v>
      </c>
      <c r="C387" t="str">
        <f>VLOOKUP(B387,'[1]Planting GPS Points'!$B$3:$L$290,8,FALSE)</f>
        <v>CPS</v>
      </c>
      <c r="D387" t="str">
        <f>VLOOKUP(B387,'[1]Planting GPS Points'!$B$3:$AL$290,15,FALSE)</f>
        <v>SC 16-17</v>
      </c>
      <c r="E387" s="42">
        <v>42507</v>
      </c>
      <c r="F387" s="44">
        <v>75</v>
      </c>
      <c r="G387" s="61">
        <v>780</v>
      </c>
      <c r="H387" s="35" t="s">
        <v>971</v>
      </c>
      <c r="I387" s="42">
        <v>42557</v>
      </c>
      <c r="J387" s="77" t="s">
        <v>12</v>
      </c>
      <c r="K387" s="77" t="s">
        <v>1052</v>
      </c>
      <c r="N387" s="44" t="str">
        <f t="shared" si="23"/>
        <v/>
      </c>
      <c r="O387">
        <f t="shared" si="22"/>
        <v>50</v>
      </c>
      <c r="P387" s="97" t="str">
        <f t="shared" si="21"/>
        <v/>
      </c>
      <c r="Q387" s="8" t="s">
        <v>1885</v>
      </c>
    </row>
    <row r="388" spans="1:17" x14ac:dyDescent="0.25">
      <c r="A388" t="s">
        <v>1157</v>
      </c>
      <c r="B388" t="s">
        <v>1183</v>
      </c>
      <c r="C388" t="str">
        <f>VLOOKUP(B388,'[1]Planting GPS Points'!$B$3:$L$290,8,FALSE)</f>
        <v>CPS</v>
      </c>
      <c r="D388" t="str">
        <f>VLOOKUP(B388,'[1]Planting GPS Points'!$B$3:$AL$290,15,FALSE)</f>
        <v>SC 16-17</v>
      </c>
      <c r="E388" s="42">
        <v>42507</v>
      </c>
      <c r="F388" s="44">
        <v>75</v>
      </c>
      <c r="G388" s="47">
        <v>780</v>
      </c>
      <c r="H388" s="35" t="s">
        <v>971</v>
      </c>
      <c r="I388" s="42">
        <v>42600</v>
      </c>
      <c r="J388" s="77" t="s">
        <v>12</v>
      </c>
      <c r="K388" s="77" t="s">
        <v>1052</v>
      </c>
      <c r="N388" s="44" t="str">
        <f t="shared" si="23"/>
        <v/>
      </c>
      <c r="O388">
        <f t="shared" si="22"/>
        <v>93</v>
      </c>
      <c r="P388" s="97" t="str">
        <f t="shared" si="21"/>
        <v/>
      </c>
      <c r="Q388" s="8" t="s">
        <v>1886</v>
      </c>
    </row>
    <row r="389" spans="1:17" x14ac:dyDescent="0.25">
      <c r="A389" t="s">
        <v>1157</v>
      </c>
      <c r="B389" t="s">
        <v>1183</v>
      </c>
      <c r="C389" t="str">
        <f>VLOOKUP(B389,'[1]Planting GPS Points'!$B$3:$L$290,8,FALSE)</f>
        <v>CPS</v>
      </c>
      <c r="D389" t="str">
        <f>VLOOKUP(B389,'[1]Planting GPS Points'!$B$3:$AL$290,15,FALSE)</f>
        <v>SC 16-17</v>
      </c>
      <c r="E389" s="42">
        <v>42507</v>
      </c>
      <c r="F389" s="44">
        <v>75</v>
      </c>
      <c r="G389" s="47">
        <v>780</v>
      </c>
      <c r="H389" s="35" t="s">
        <v>971</v>
      </c>
      <c r="I389" s="42">
        <v>43267</v>
      </c>
      <c r="J389" s="77" t="s">
        <v>23</v>
      </c>
      <c r="K389" s="77" t="s">
        <v>1052</v>
      </c>
      <c r="L389">
        <v>0</v>
      </c>
      <c r="N389" s="44" t="str">
        <f t="shared" si="23"/>
        <v/>
      </c>
      <c r="O389">
        <f t="shared" si="22"/>
        <v>760</v>
      </c>
      <c r="P389" s="97">
        <f t="shared" si="21"/>
        <v>0</v>
      </c>
      <c r="Q389" s="8" t="s">
        <v>1887</v>
      </c>
    </row>
    <row r="390" spans="1:17" x14ac:dyDescent="0.25">
      <c r="A390" s="9" t="s">
        <v>1157</v>
      </c>
      <c r="B390" s="9" t="s">
        <v>1232</v>
      </c>
      <c r="C390" t="str">
        <f>VLOOKUP(B390,'[1]Planting GPS Points'!$B$3:$L$290,8,FALSE)</f>
        <v>CPS</v>
      </c>
      <c r="D390">
        <f>VLOOKUP(B390,'[1]Planting GPS Points'!$B$3:$AL$290,15,FALSE)</f>
        <v>0</v>
      </c>
      <c r="E390" s="42">
        <v>42881</v>
      </c>
      <c r="F390" s="44">
        <v>1.25</v>
      </c>
      <c r="G390">
        <v>90</v>
      </c>
      <c r="H390" s="35" t="s">
        <v>971</v>
      </c>
      <c r="I390" s="42">
        <v>42938</v>
      </c>
      <c r="J390" s="77" t="s">
        <v>12</v>
      </c>
      <c r="K390" s="77" t="s">
        <v>982</v>
      </c>
      <c r="L390">
        <v>95</v>
      </c>
      <c r="M390">
        <v>1.25</v>
      </c>
      <c r="N390" s="44">
        <f t="shared" si="23"/>
        <v>76</v>
      </c>
      <c r="O390">
        <f t="shared" si="22"/>
        <v>57</v>
      </c>
      <c r="P390" s="97">
        <f t="shared" si="21"/>
        <v>1.0555555555555556</v>
      </c>
      <c r="Q390" s="8" t="s">
        <v>1865</v>
      </c>
    </row>
    <row r="391" spans="1:17" x14ac:dyDescent="0.25">
      <c r="A391" s="9" t="s">
        <v>1157</v>
      </c>
      <c r="B391" s="9" t="s">
        <v>1232</v>
      </c>
      <c r="C391" t="str">
        <f>VLOOKUP(B391,'[1]Planting GPS Points'!$B$3:$L$290,8,FALSE)</f>
        <v>CPS</v>
      </c>
      <c r="D391">
        <f>VLOOKUP(B391,'[1]Planting GPS Points'!$B$3:$AL$290,15,FALSE)</f>
        <v>0</v>
      </c>
      <c r="E391" s="42">
        <v>42881</v>
      </c>
      <c r="F391" s="44">
        <v>1.25</v>
      </c>
      <c r="G391">
        <v>90</v>
      </c>
      <c r="H391" s="35" t="s">
        <v>971</v>
      </c>
      <c r="I391" s="42">
        <v>42968</v>
      </c>
      <c r="J391" s="77" t="s">
        <v>12</v>
      </c>
      <c r="K391" s="77" t="s">
        <v>982</v>
      </c>
      <c r="L391">
        <v>93</v>
      </c>
      <c r="M391">
        <v>1.25</v>
      </c>
      <c r="N391" s="44">
        <f t="shared" si="23"/>
        <v>74.400000000000006</v>
      </c>
      <c r="O391">
        <f t="shared" si="22"/>
        <v>87</v>
      </c>
      <c r="P391" s="97">
        <f t="shared" si="21"/>
        <v>1.0333333333333334</v>
      </c>
      <c r="Q391" s="8" t="s">
        <v>1865</v>
      </c>
    </row>
    <row r="392" spans="1:17" x14ac:dyDescent="0.25">
      <c r="A392" s="9" t="s">
        <v>1157</v>
      </c>
      <c r="B392" s="9" t="s">
        <v>1232</v>
      </c>
      <c r="C392" t="str">
        <f>VLOOKUP(B392,'[1]Planting GPS Points'!$B$3:$L$290,8,FALSE)</f>
        <v>CPS</v>
      </c>
      <c r="D392">
        <f>VLOOKUP(B392,'[1]Planting GPS Points'!$B$3:$AL$290,15,FALSE)</f>
        <v>0</v>
      </c>
      <c r="E392" s="42">
        <v>42881</v>
      </c>
      <c r="F392" s="44">
        <v>1.25</v>
      </c>
      <c r="G392">
        <v>90</v>
      </c>
      <c r="H392" s="35" t="s">
        <v>971</v>
      </c>
      <c r="I392" s="42">
        <v>43238</v>
      </c>
      <c r="J392" s="77" t="s">
        <v>12</v>
      </c>
      <c r="K392" s="77" t="s">
        <v>982</v>
      </c>
      <c r="L392">
        <v>36</v>
      </c>
      <c r="M392">
        <v>1.25</v>
      </c>
      <c r="N392" s="44">
        <f t="shared" si="23"/>
        <v>28.8</v>
      </c>
      <c r="O392">
        <f t="shared" si="22"/>
        <v>357</v>
      </c>
      <c r="P392" s="97">
        <f t="shared" si="21"/>
        <v>0.4</v>
      </c>
      <c r="Q392" s="8" t="s">
        <v>1865</v>
      </c>
    </row>
    <row r="393" spans="1:17" x14ac:dyDescent="0.25">
      <c r="A393" s="9" t="s">
        <v>1157</v>
      </c>
      <c r="B393" s="9" t="s">
        <v>1232</v>
      </c>
      <c r="C393" t="str">
        <f>VLOOKUP(B393,'[1]Planting GPS Points'!$B$3:$L$290,8,FALSE)</f>
        <v>CPS</v>
      </c>
      <c r="D393">
        <f>VLOOKUP(B393,'[1]Planting GPS Points'!$B$3:$AL$290,15,FALSE)</f>
        <v>0</v>
      </c>
      <c r="E393" s="42">
        <v>42881</v>
      </c>
      <c r="F393" s="44">
        <v>1.25</v>
      </c>
      <c r="G393">
        <v>90</v>
      </c>
      <c r="H393" s="35" t="s">
        <v>971</v>
      </c>
      <c r="I393" s="42">
        <v>43294</v>
      </c>
      <c r="J393" s="77" t="s">
        <v>12</v>
      </c>
      <c r="K393" s="77" t="s">
        <v>982</v>
      </c>
      <c r="L393">
        <v>13</v>
      </c>
      <c r="M393">
        <v>1.25</v>
      </c>
      <c r="N393" s="44">
        <f t="shared" si="23"/>
        <v>10.4</v>
      </c>
      <c r="O393">
        <f t="shared" si="22"/>
        <v>413</v>
      </c>
      <c r="P393" s="97">
        <f t="shared" si="21"/>
        <v>0.14444444444444443</v>
      </c>
      <c r="Q393" s="8" t="s">
        <v>1865</v>
      </c>
    </row>
    <row r="394" spans="1:17" x14ac:dyDescent="0.25">
      <c r="A394" s="9" t="s">
        <v>1157</v>
      </c>
      <c r="B394" s="9" t="s">
        <v>1232</v>
      </c>
      <c r="C394" t="str">
        <f>VLOOKUP(B394,'[1]Planting GPS Points'!$B$3:$L$290,8,FALSE)</f>
        <v>CPS</v>
      </c>
      <c r="D394">
        <f>VLOOKUP(B394,'[1]Planting GPS Points'!$B$3:$AL$290,15,FALSE)</f>
        <v>0</v>
      </c>
      <c r="E394" s="42">
        <v>42881</v>
      </c>
      <c r="F394" s="44">
        <v>1.25</v>
      </c>
      <c r="G394">
        <v>90</v>
      </c>
      <c r="H394" s="35" t="s">
        <v>971</v>
      </c>
      <c r="I394" s="42">
        <v>43321</v>
      </c>
      <c r="J394" s="77" t="s">
        <v>12</v>
      </c>
      <c r="K394" s="77" t="s">
        <v>982</v>
      </c>
      <c r="L394">
        <v>15</v>
      </c>
      <c r="M394">
        <v>1.25</v>
      </c>
      <c r="N394" s="44">
        <f t="shared" si="23"/>
        <v>12</v>
      </c>
      <c r="O394">
        <f t="shared" si="22"/>
        <v>440</v>
      </c>
      <c r="P394" s="97">
        <f t="shared" si="21"/>
        <v>0.16666666666666666</v>
      </c>
      <c r="Q394" s="8" t="s">
        <v>1865</v>
      </c>
    </row>
    <row r="395" spans="1:17" x14ac:dyDescent="0.25">
      <c r="A395" s="9" t="s">
        <v>1157</v>
      </c>
      <c r="B395" s="9" t="s">
        <v>1232</v>
      </c>
      <c r="C395" t="str">
        <f>VLOOKUP(B395,'[1]Planting GPS Points'!$B$3:$L$290,8,FALSE)</f>
        <v>CPS</v>
      </c>
      <c r="D395">
        <f>VLOOKUP(B395,'[1]Planting GPS Points'!$B$3:$AL$290,15,FALSE)</f>
        <v>0</v>
      </c>
      <c r="E395" s="42">
        <v>42881</v>
      </c>
      <c r="F395" s="44">
        <v>1.25</v>
      </c>
      <c r="G395">
        <v>90</v>
      </c>
      <c r="H395" s="35" t="s">
        <v>971</v>
      </c>
      <c r="I395" s="42">
        <v>43678</v>
      </c>
      <c r="J395" s="77" t="s">
        <v>23</v>
      </c>
      <c r="K395" s="77" t="s">
        <v>982</v>
      </c>
      <c r="L395">
        <v>0</v>
      </c>
      <c r="M395">
        <v>1.25</v>
      </c>
      <c r="N395" s="44">
        <f t="shared" si="23"/>
        <v>0</v>
      </c>
      <c r="O395">
        <f t="shared" si="22"/>
        <v>797</v>
      </c>
      <c r="P395" s="97">
        <f t="shared" si="21"/>
        <v>0</v>
      </c>
      <c r="Q395" s="8" t="s">
        <v>1865</v>
      </c>
    </row>
    <row r="396" spans="1:17" x14ac:dyDescent="0.25">
      <c r="A396" s="9" t="s">
        <v>1157</v>
      </c>
      <c r="B396" s="9" t="s">
        <v>1232</v>
      </c>
      <c r="C396" t="str">
        <f>VLOOKUP(B396,'[1]Planting GPS Points'!$B$3:$L$290,8,FALSE)</f>
        <v>CPS</v>
      </c>
      <c r="D396">
        <f>VLOOKUP(B396,'[1]Planting GPS Points'!$B$3:$AL$290,15,FALSE)</f>
        <v>0</v>
      </c>
      <c r="E396" s="42">
        <v>42881</v>
      </c>
      <c r="F396" s="44">
        <v>1.25</v>
      </c>
      <c r="G396">
        <v>90</v>
      </c>
      <c r="H396" s="35" t="s">
        <v>971</v>
      </c>
      <c r="I396" s="42">
        <v>44033</v>
      </c>
      <c r="J396" s="77" t="s">
        <v>23</v>
      </c>
      <c r="K396" s="77" t="s">
        <v>982</v>
      </c>
      <c r="L396">
        <v>0</v>
      </c>
      <c r="N396" s="44" t="str">
        <f t="shared" si="23"/>
        <v/>
      </c>
      <c r="O396">
        <f t="shared" si="22"/>
        <v>1152</v>
      </c>
      <c r="P396" s="97">
        <f t="shared" si="21"/>
        <v>0</v>
      </c>
      <c r="Q396" s="8" t="s">
        <v>1865</v>
      </c>
    </row>
    <row r="397" spans="1:17" x14ac:dyDescent="0.25">
      <c r="A397" s="9" t="s">
        <v>1157</v>
      </c>
      <c r="B397" s="9" t="s">
        <v>1226</v>
      </c>
      <c r="C397" t="str">
        <f>VLOOKUP(B397,'[1]Planting GPS Points'!$B$3:$L$290,8,FALSE)</f>
        <v>CPS</v>
      </c>
      <c r="D397">
        <f>VLOOKUP(B397,'[1]Planting GPS Points'!$B$3:$AL$290,15,FALSE)</f>
        <v>0</v>
      </c>
      <c r="E397" s="42">
        <v>42881</v>
      </c>
      <c r="F397" s="44">
        <v>1.25</v>
      </c>
      <c r="G397">
        <v>90</v>
      </c>
      <c r="H397" s="35" t="s">
        <v>971</v>
      </c>
      <c r="I397" s="42">
        <v>42938</v>
      </c>
      <c r="J397" s="77" t="s">
        <v>12</v>
      </c>
      <c r="K397" s="77" t="s">
        <v>1052</v>
      </c>
      <c r="L397">
        <v>112</v>
      </c>
      <c r="M397">
        <v>1.25</v>
      </c>
      <c r="N397" s="44">
        <f t="shared" si="23"/>
        <v>89.6</v>
      </c>
      <c r="O397">
        <f t="shared" si="22"/>
        <v>57</v>
      </c>
      <c r="P397" s="97">
        <f t="shared" si="21"/>
        <v>1.2444444444444445</v>
      </c>
      <c r="Q397" s="8" t="s">
        <v>1865</v>
      </c>
    </row>
    <row r="398" spans="1:17" x14ac:dyDescent="0.25">
      <c r="A398" s="9" t="s">
        <v>1157</v>
      </c>
      <c r="B398" s="9" t="s">
        <v>1226</v>
      </c>
      <c r="C398" t="str">
        <f>VLOOKUP(B398,'[1]Planting GPS Points'!$B$3:$L$290,8,FALSE)</f>
        <v>CPS</v>
      </c>
      <c r="D398">
        <f>VLOOKUP(B398,'[1]Planting GPS Points'!$B$3:$AL$290,15,FALSE)</f>
        <v>0</v>
      </c>
      <c r="E398" s="42">
        <v>42881</v>
      </c>
      <c r="F398" s="44">
        <v>1.25</v>
      </c>
      <c r="G398">
        <v>90</v>
      </c>
      <c r="H398" s="35" t="s">
        <v>971</v>
      </c>
      <c r="I398" s="42">
        <v>42968</v>
      </c>
      <c r="J398" s="77" t="s">
        <v>12</v>
      </c>
      <c r="K398" s="77" t="s">
        <v>1052</v>
      </c>
      <c r="L398">
        <v>162</v>
      </c>
      <c r="M398">
        <v>1.25</v>
      </c>
      <c r="N398" s="44">
        <f t="shared" si="23"/>
        <v>129.6</v>
      </c>
      <c r="O398">
        <f t="shared" si="22"/>
        <v>87</v>
      </c>
      <c r="P398" s="97">
        <f t="shared" si="21"/>
        <v>1.8</v>
      </c>
      <c r="Q398" s="8" t="s">
        <v>1865</v>
      </c>
    </row>
    <row r="399" spans="1:17" x14ac:dyDescent="0.25">
      <c r="A399" s="9" t="s">
        <v>1157</v>
      </c>
      <c r="B399" s="9" t="s">
        <v>1226</v>
      </c>
      <c r="C399" t="str">
        <f>VLOOKUP(B399,'[1]Planting GPS Points'!$B$3:$L$290,8,FALSE)</f>
        <v>CPS</v>
      </c>
      <c r="D399">
        <f>VLOOKUP(B399,'[1]Planting GPS Points'!$B$3:$AL$290,15,FALSE)</f>
        <v>0</v>
      </c>
      <c r="E399" s="42">
        <v>42881</v>
      </c>
      <c r="F399" s="44">
        <v>1.25</v>
      </c>
      <c r="G399">
        <v>90</v>
      </c>
      <c r="H399" s="35" t="s">
        <v>971</v>
      </c>
      <c r="I399" s="42">
        <v>43238</v>
      </c>
      <c r="J399" s="77" t="s">
        <v>12</v>
      </c>
      <c r="K399" s="77" t="s">
        <v>1052</v>
      </c>
      <c r="L399">
        <v>30</v>
      </c>
      <c r="M399">
        <v>1.25</v>
      </c>
      <c r="N399" s="44">
        <f t="shared" si="23"/>
        <v>24</v>
      </c>
      <c r="O399">
        <f t="shared" si="22"/>
        <v>357</v>
      </c>
      <c r="P399" s="97">
        <f t="shared" si="21"/>
        <v>0.33333333333333331</v>
      </c>
      <c r="Q399" s="8" t="s">
        <v>1865</v>
      </c>
    </row>
    <row r="400" spans="1:17" x14ac:dyDescent="0.25">
      <c r="A400" s="9" t="s">
        <v>1157</v>
      </c>
      <c r="B400" s="9" t="s">
        <v>1226</v>
      </c>
      <c r="C400" t="str">
        <f>VLOOKUP(B400,'[1]Planting GPS Points'!$B$3:$L$290,8,FALSE)</f>
        <v>CPS</v>
      </c>
      <c r="D400">
        <f>VLOOKUP(B400,'[1]Planting GPS Points'!$B$3:$AL$290,15,FALSE)</f>
        <v>0</v>
      </c>
      <c r="E400" s="42">
        <v>42881</v>
      </c>
      <c r="F400" s="44">
        <v>1.25</v>
      </c>
      <c r="G400">
        <v>90</v>
      </c>
      <c r="H400" s="35" t="s">
        <v>971</v>
      </c>
      <c r="I400" s="42">
        <v>43294</v>
      </c>
      <c r="J400" s="77" t="s">
        <v>12</v>
      </c>
      <c r="K400" s="77" t="s">
        <v>1052</v>
      </c>
      <c r="L400">
        <v>14</v>
      </c>
      <c r="M400">
        <v>1.25</v>
      </c>
      <c r="N400" s="44">
        <f t="shared" si="23"/>
        <v>11.2</v>
      </c>
      <c r="O400">
        <f t="shared" si="22"/>
        <v>413</v>
      </c>
      <c r="P400" s="97">
        <f t="shared" si="21"/>
        <v>0.15555555555555556</v>
      </c>
      <c r="Q400" s="8" t="s">
        <v>1865</v>
      </c>
    </row>
    <row r="401" spans="1:18" x14ac:dyDescent="0.25">
      <c r="A401" s="9" t="s">
        <v>1157</v>
      </c>
      <c r="B401" s="9" t="s">
        <v>1226</v>
      </c>
      <c r="C401" t="str">
        <f>VLOOKUP(B401,'[1]Planting GPS Points'!$B$3:$L$290,8,FALSE)</f>
        <v>CPS</v>
      </c>
      <c r="D401">
        <f>VLOOKUP(B401,'[1]Planting GPS Points'!$B$3:$AL$290,15,FALSE)</f>
        <v>0</v>
      </c>
      <c r="E401" s="42">
        <v>42881</v>
      </c>
      <c r="F401" s="44">
        <v>1.25</v>
      </c>
      <c r="G401">
        <v>90</v>
      </c>
      <c r="H401" s="35" t="s">
        <v>971</v>
      </c>
      <c r="I401" s="42">
        <v>43321</v>
      </c>
      <c r="J401" s="77" t="s">
        <v>12</v>
      </c>
      <c r="K401" s="77" t="s">
        <v>1052</v>
      </c>
      <c r="L401">
        <v>7</v>
      </c>
      <c r="M401">
        <v>1.25</v>
      </c>
      <c r="N401" s="44">
        <f t="shared" si="23"/>
        <v>5.6</v>
      </c>
      <c r="O401">
        <f t="shared" si="22"/>
        <v>440</v>
      </c>
      <c r="P401" s="97">
        <f t="shared" si="21"/>
        <v>7.7777777777777779E-2</v>
      </c>
      <c r="Q401" s="8" t="s">
        <v>1865</v>
      </c>
    </row>
    <row r="402" spans="1:18" x14ac:dyDescent="0.25">
      <c r="A402" s="9" t="s">
        <v>1157</v>
      </c>
      <c r="B402" s="9" t="s">
        <v>1226</v>
      </c>
      <c r="C402" t="str">
        <f>VLOOKUP(B402,'[1]Planting GPS Points'!$B$3:$L$290,8,FALSE)</f>
        <v>CPS</v>
      </c>
      <c r="D402">
        <f>VLOOKUP(B402,'[1]Planting GPS Points'!$B$3:$AL$290,15,FALSE)</f>
        <v>0</v>
      </c>
      <c r="E402" s="42">
        <v>42881</v>
      </c>
      <c r="F402" s="44">
        <v>1.25</v>
      </c>
      <c r="G402">
        <v>90</v>
      </c>
      <c r="H402" s="35" t="s">
        <v>971</v>
      </c>
      <c r="I402" s="42">
        <v>43678</v>
      </c>
      <c r="J402" s="77" t="s">
        <v>23</v>
      </c>
      <c r="K402" s="77" t="s">
        <v>1052</v>
      </c>
      <c r="L402">
        <v>0</v>
      </c>
      <c r="M402">
        <v>1.25</v>
      </c>
      <c r="N402" s="44">
        <f t="shared" si="23"/>
        <v>0</v>
      </c>
      <c r="O402">
        <f t="shared" si="22"/>
        <v>797</v>
      </c>
      <c r="P402" s="97">
        <f t="shared" si="21"/>
        <v>0</v>
      </c>
      <c r="Q402" s="8" t="s">
        <v>1865</v>
      </c>
    </row>
    <row r="403" spans="1:18" x14ac:dyDescent="0.25">
      <c r="A403" s="9" t="s">
        <v>1157</v>
      </c>
      <c r="B403" s="9" t="s">
        <v>1226</v>
      </c>
      <c r="C403" t="str">
        <f>VLOOKUP(B403,'[1]Planting GPS Points'!$B$3:$L$290,8,FALSE)</f>
        <v>CPS</v>
      </c>
      <c r="D403">
        <f>VLOOKUP(B403,'[1]Planting GPS Points'!$B$3:$AL$290,15,FALSE)</f>
        <v>0</v>
      </c>
      <c r="E403" s="42">
        <v>42881</v>
      </c>
      <c r="F403" s="44">
        <v>1.25</v>
      </c>
      <c r="G403">
        <v>90</v>
      </c>
      <c r="H403" s="35" t="s">
        <v>971</v>
      </c>
      <c r="I403" s="42">
        <v>44033</v>
      </c>
      <c r="J403" s="77" t="s">
        <v>23</v>
      </c>
      <c r="K403" s="77" t="s">
        <v>1052</v>
      </c>
      <c r="L403">
        <v>0</v>
      </c>
      <c r="N403" s="44" t="str">
        <f t="shared" si="23"/>
        <v/>
      </c>
      <c r="O403">
        <f t="shared" si="22"/>
        <v>1152</v>
      </c>
      <c r="P403" s="97">
        <f t="shared" si="21"/>
        <v>0</v>
      </c>
      <c r="Q403" s="8" t="s">
        <v>1865</v>
      </c>
      <c r="R403" s="8"/>
    </row>
    <row r="404" spans="1:18" x14ac:dyDescent="0.25">
      <c r="A404" t="s">
        <v>1157</v>
      </c>
      <c r="B404" t="s">
        <v>1190</v>
      </c>
      <c r="C404" t="str">
        <f>VLOOKUP(B404,'[1]Planting GPS Points'!$B$3:$L$290,8,FALSE)</f>
        <v>CPS</v>
      </c>
      <c r="D404" t="str">
        <f>VLOOKUP(B404,'[1]Planting GPS Points'!$B$3:$AL$290,15,FALSE)</f>
        <v>SC 16-17</v>
      </c>
      <c r="E404" s="42">
        <v>42859</v>
      </c>
      <c r="F404" s="44">
        <v>39</v>
      </c>
      <c r="G404">
        <v>1042</v>
      </c>
      <c r="H404" s="35" t="s">
        <v>1739</v>
      </c>
      <c r="I404" s="42">
        <v>42934</v>
      </c>
      <c r="J404" s="77" t="s">
        <v>12</v>
      </c>
      <c r="K404" s="77" t="s">
        <v>994</v>
      </c>
      <c r="L404">
        <v>265</v>
      </c>
      <c r="O404">
        <f t="shared" si="22"/>
        <v>75</v>
      </c>
      <c r="P404" s="97">
        <f t="shared" si="21"/>
        <v>0.2543186180422265</v>
      </c>
      <c r="Q404" s="8" t="s">
        <v>1888</v>
      </c>
    </row>
    <row r="405" spans="1:18" x14ac:dyDescent="0.25">
      <c r="A405" t="s">
        <v>1157</v>
      </c>
      <c r="B405" t="s">
        <v>1190</v>
      </c>
      <c r="C405" t="str">
        <f>VLOOKUP(B405,'[1]Planting GPS Points'!$B$3:$L$290,8,FALSE)</f>
        <v>CPS</v>
      </c>
      <c r="D405" t="str">
        <f>VLOOKUP(B405,'[1]Planting GPS Points'!$B$3:$AL$290,15,FALSE)</f>
        <v>SC 16-17</v>
      </c>
      <c r="E405" s="42">
        <v>42859</v>
      </c>
      <c r="F405" s="44">
        <v>39</v>
      </c>
      <c r="G405">
        <v>1042</v>
      </c>
      <c r="H405" s="35" t="s">
        <v>971</v>
      </c>
      <c r="I405" s="42">
        <v>43267</v>
      </c>
      <c r="J405" s="77" t="s">
        <v>23</v>
      </c>
      <c r="K405" s="77" t="s">
        <v>994</v>
      </c>
      <c r="L405">
        <v>0</v>
      </c>
      <c r="O405">
        <f t="shared" si="22"/>
        <v>408</v>
      </c>
      <c r="P405" s="97">
        <f t="shared" si="21"/>
        <v>0</v>
      </c>
      <c r="Q405" s="8" t="s">
        <v>1730</v>
      </c>
    </row>
    <row r="406" spans="1:18" x14ac:dyDescent="0.25">
      <c r="A406" t="s">
        <v>1157</v>
      </c>
      <c r="B406" t="s">
        <v>1190</v>
      </c>
      <c r="C406" t="str">
        <f>VLOOKUP(B406,'[1]Planting GPS Points'!$B$3:$L$290,8,FALSE)</f>
        <v>CPS</v>
      </c>
      <c r="D406" t="str">
        <f>VLOOKUP(B406,'[1]Planting GPS Points'!$B$3:$AL$290,15,FALSE)</f>
        <v>SC 16-17</v>
      </c>
      <c r="E406" s="42">
        <v>42859</v>
      </c>
      <c r="F406" s="44">
        <v>39</v>
      </c>
      <c r="G406">
        <v>1042</v>
      </c>
      <c r="H406" s="35" t="s">
        <v>971</v>
      </c>
      <c r="I406" s="42">
        <v>43691</v>
      </c>
      <c r="J406" s="77" t="s">
        <v>23</v>
      </c>
      <c r="K406" s="77" t="s">
        <v>994</v>
      </c>
      <c r="L406">
        <v>0</v>
      </c>
      <c r="O406">
        <f t="shared" si="22"/>
        <v>832</v>
      </c>
      <c r="P406" s="97">
        <f t="shared" si="21"/>
        <v>0</v>
      </c>
      <c r="Q406" s="8" t="s">
        <v>1887</v>
      </c>
    </row>
    <row r="407" spans="1:18" x14ac:dyDescent="0.25">
      <c r="A407" t="s">
        <v>1157</v>
      </c>
      <c r="B407" t="s">
        <v>1193</v>
      </c>
      <c r="C407" t="str">
        <f>VLOOKUP(B407,'[1]Planting GPS Points'!$B$3:$L$290,8,FALSE)</f>
        <v>CPS</v>
      </c>
      <c r="D407" t="str">
        <f>VLOOKUP(B407,'[1]Planting GPS Points'!$B$3:$AL$290,15,FALSE)</f>
        <v>SC 16-17</v>
      </c>
      <c r="E407" s="42">
        <v>42859</v>
      </c>
      <c r="F407" s="44">
        <v>39</v>
      </c>
      <c r="G407">
        <v>1052</v>
      </c>
      <c r="H407" s="35" t="s">
        <v>1739</v>
      </c>
      <c r="I407" s="42">
        <v>42934</v>
      </c>
      <c r="J407" s="77" t="s">
        <v>12</v>
      </c>
      <c r="K407" s="77" t="s">
        <v>994</v>
      </c>
      <c r="L407">
        <v>468</v>
      </c>
      <c r="O407">
        <f t="shared" si="22"/>
        <v>75</v>
      </c>
      <c r="P407" s="97">
        <f t="shared" si="21"/>
        <v>0.44486692015209123</v>
      </c>
      <c r="Q407" s="8" t="s">
        <v>1888</v>
      </c>
    </row>
    <row r="408" spans="1:18" x14ac:dyDescent="0.25">
      <c r="A408" t="s">
        <v>1157</v>
      </c>
      <c r="B408" t="s">
        <v>1193</v>
      </c>
      <c r="C408" t="str">
        <f>VLOOKUP(B408,'[1]Planting GPS Points'!$B$3:$L$290,8,FALSE)</f>
        <v>CPS</v>
      </c>
      <c r="D408" t="str">
        <f>VLOOKUP(B408,'[1]Planting GPS Points'!$B$3:$AL$290,15,FALSE)</f>
        <v>SC 16-17</v>
      </c>
      <c r="E408" s="42">
        <v>42859</v>
      </c>
      <c r="F408" s="44">
        <v>39</v>
      </c>
      <c r="G408">
        <v>1052</v>
      </c>
      <c r="H408" s="35" t="s">
        <v>971</v>
      </c>
      <c r="I408" s="42">
        <v>43267</v>
      </c>
      <c r="J408" s="77" t="s">
        <v>23</v>
      </c>
      <c r="K408" s="77" t="s">
        <v>994</v>
      </c>
      <c r="L408">
        <v>0</v>
      </c>
      <c r="O408">
        <f t="shared" si="22"/>
        <v>408</v>
      </c>
      <c r="P408" s="97">
        <f t="shared" si="21"/>
        <v>0</v>
      </c>
      <c r="Q408" s="8" t="s">
        <v>1730</v>
      </c>
    </row>
    <row r="409" spans="1:18" x14ac:dyDescent="0.25">
      <c r="A409" t="s">
        <v>1157</v>
      </c>
      <c r="B409" t="s">
        <v>1193</v>
      </c>
      <c r="C409" t="str">
        <f>VLOOKUP(B409,'[1]Planting GPS Points'!$B$3:$L$290,8,FALSE)</f>
        <v>CPS</v>
      </c>
      <c r="D409" t="str">
        <f>VLOOKUP(B409,'[1]Planting GPS Points'!$B$3:$AL$290,15,FALSE)</f>
        <v>SC 16-17</v>
      </c>
      <c r="E409" s="42">
        <v>42859</v>
      </c>
      <c r="F409" s="44">
        <v>39</v>
      </c>
      <c r="G409">
        <v>1052</v>
      </c>
      <c r="H409" s="35" t="s">
        <v>971</v>
      </c>
      <c r="I409" s="42">
        <v>43691</v>
      </c>
      <c r="J409" s="77" t="s">
        <v>23</v>
      </c>
      <c r="K409" s="77" t="s">
        <v>994</v>
      </c>
      <c r="L409">
        <v>0</v>
      </c>
      <c r="O409">
        <f t="shared" si="22"/>
        <v>832</v>
      </c>
      <c r="P409" s="97">
        <f t="shared" si="21"/>
        <v>0</v>
      </c>
      <c r="Q409" s="8" t="s">
        <v>1887</v>
      </c>
    </row>
    <row r="410" spans="1:18" x14ac:dyDescent="0.25">
      <c r="A410" s="9" t="s">
        <v>1157</v>
      </c>
      <c r="B410" s="9" t="s">
        <v>1229</v>
      </c>
      <c r="C410" t="str">
        <f>VLOOKUP(B410,'[1]Planting GPS Points'!$B$3:$L$290,8,FALSE)</f>
        <v>CPS</v>
      </c>
      <c r="D410">
        <f>VLOOKUP(B410,'[1]Planting GPS Points'!$B$3:$AL$290,15,FALSE)</f>
        <v>0</v>
      </c>
      <c r="E410" s="42">
        <v>42881</v>
      </c>
      <c r="F410" s="44">
        <v>1.25</v>
      </c>
      <c r="G410">
        <v>90</v>
      </c>
      <c r="H410" s="35" t="s">
        <v>971</v>
      </c>
      <c r="I410" s="42">
        <v>42938</v>
      </c>
      <c r="J410" s="77" t="s">
        <v>12</v>
      </c>
      <c r="K410" s="77" t="s">
        <v>1230</v>
      </c>
      <c r="L410">
        <v>106</v>
      </c>
      <c r="M410">
        <v>1.25</v>
      </c>
      <c r="N410" s="44">
        <f t="shared" ref="N410:N443" si="24">IFERROR(L410/M410, "")</f>
        <v>84.8</v>
      </c>
      <c r="O410">
        <f t="shared" si="22"/>
        <v>57</v>
      </c>
      <c r="P410" s="97">
        <f t="shared" si="21"/>
        <v>1.1777777777777778</v>
      </c>
      <c r="Q410" s="8" t="s">
        <v>1865</v>
      </c>
    </row>
    <row r="411" spans="1:18" x14ac:dyDescent="0.25">
      <c r="A411" s="9" t="s">
        <v>1157</v>
      </c>
      <c r="B411" s="9" t="s">
        <v>1229</v>
      </c>
      <c r="C411" t="str">
        <f>VLOOKUP(B411,'[1]Planting GPS Points'!$B$3:$L$290,8,FALSE)</f>
        <v>CPS</v>
      </c>
      <c r="D411">
        <f>VLOOKUP(B411,'[1]Planting GPS Points'!$B$3:$AL$290,15,FALSE)</f>
        <v>0</v>
      </c>
      <c r="E411" s="42">
        <v>42881</v>
      </c>
      <c r="F411" s="44">
        <v>1.25</v>
      </c>
      <c r="G411">
        <v>90</v>
      </c>
      <c r="H411" s="35" t="s">
        <v>971</v>
      </c>
      <c r="I411" s="42">
        <v>42968</v>
      </c>
      <c r="J411" s="77" t="s">
        <v>12</v>
      </c>
      <c r="K411" s="77" t="s">
        <v>1230</v>
      </c>
      <c r="L411">
        <v>160</v>
      </c>
      <c r="M411">
        <v>1.25</v>
      </c>
      <c r="N411" s="44">
        <f t="shared" si="24"/>
        <v>128</v>
      </c>
      <c r="O411">
        <f t="shared" si="22"/>
        <v>87</v>
      </c>
      <c r="P411" s="97">
        <f t="shared" si="21"/>
        <v>1.7777777777777777</v>
      </c>
      <c r="Q411" s="8" t="s">
        <v>1865</v>
      </c>
    </row>
    <row r="412" spans="1:18" x14ac:dyDescent="0.25">
      <c r="A412" s="9" t="s">
        <v>1157</v>
      </c>
      <c r="B412" s="9" t="s">
        <v>1229</v>
      </c>
      <c r="C412" t="str">
        <f>VLOOKUP(B412,'[1]Planting GPS Points'!$B$3:$L$290,8,FALSE)</f>
        <v>CPS</v>
      </c>
      <c r="D412">
        <f>VLOOKUP(B412,'[1]Planting GPS Points'!$B$3:$AL$290,15,FALSE)</f>
        <v>0</v>
      </c>
      <c r="E412" s="42">
        <v>42881</v>
      </c>
      <c r="F412" s="44">
        <v>1.25</v>
      </c>
      <c r="G412">
        <v>90</v>
      </c>
      <c r="H412" s="35" t="s">
        <v>971</v>
      </c>
      <c r="I412" s="42">
        <v>43238</v>
      </c>
      <c r="J412" s="77" t="s">
        <v>12</v>
      </c>
      <c r="K412" s="77" t="s">
        <v>1230</v>
      </c>
      <c r="L412">
        <v>40</v>
      </c>
      <c r="M412">
        <v>1.25</v>
      </c>
      <c r="N412" s="44">
        <f t="shared" si="24"/>
        <v>32</v>
      </c>
      <c r="O412">
        <f t="shared" si="22"/>
        <v>357</v>
      </c>
      <c r="P412" s="97">
        <f t="shared" si="21"/>
        <v>0.44444444444444442</v>
      </c>
      <c r="Q412" s="8" t="s">
        <v>1865</v>
      </c>
    </row>
    <row r="413" spans="1:18" x14ac:dyDescent="0.25">
      <c r="A413" s="9" t="s">
        <v>1157</v>
      </c>
      <c r="B413" s="9" t="s">
        <v>1229</v>
      </c>
      <c r="C413" t="str">
        <f>VLOOKUP(B413,'[1]Planting GPS Points'!$B$3:$L$290,8,FALSE)</f>
        <v>CPS</v>
      </c>
      <c r="D413">
        <f>VLOOKUP(B413,'[1]Planting GPS Points'!$B$3:$AL$290,15,FALSE)</f>
        <v>0</v>
      </c>
      <c r="E413" s="42">
        <v>42881</v>
      </c>
      <c r="F413" s="44">
        <v>1.25</v>
      </c>
      <c r="G413">
        <v>90</v>
      </c>
      <c r="H413" s="35" t="s">
        <v>971</v>
      </c>
      <c r="I413" s="42">
        <v>43294</v>
      </c>
      <c r="J413" s="77" t="s">
        <v>12</v>
      </c>
      <c r="K413" s="77" t="s">
        <v>1230</v>
      </c>
      <c r="L413">
        <v>14</v>
      </c>
      <c r="M413">
        <v>1.25</v>
      </c>
      <c r="N413" s="44">
        <f t="shared" si="24"/>
        <v>11.2</v>
      </c>
      <c r="O413">
        <f t="shared" si="22"/>
        <v>413</v>
      </c>
      <c r="P413" s="97">
        <f t="shared" ref="P413:P483" si="25">IF(L413="", "", L413/G413)</f>
        <v>0.15555555555555556</v>
      </c>
      <c r="Q413" s="8" t="s">
        <v>1865</v>
      </c>
    </row>
    <row r="414" spans="1:18" x14ac:dyDescent="0.25">
      <c r="A414" s="9" t="s">
        <v>1157</v>
      </c>
      <c r="B414" s="9" t="s">
        <v>1229</v>
      </c>
      <c r="C414" t="str">
        <f>VLOOKUP(B414,'[1]Planting GPS Points'!$B$3:$L$290,8,FALSE)</f>
        <v>CPS</v>
      </c>
      <c r="D414">
        <f>VLOOKUP(B414,'[1]Planting GPS Points'!$B$3:$AL$290,15,FALSE)</f>
        <v>0</v>
      </c>
      <c r="E414" s="42">
        <v>42881</v>
      </c>
      <c r="F414" s="44">
        <v>1.25</v>
      </c>
      <c r="G414">
        <v>90</v>
      </c>
      <c r="H414" s="35" t="s">
        <v>971</v>
      </c>
      <c r="I414" s="42">
        <v>43321</v>
      </c>
      <c r="J414" s="77" t="s">
        <v>12</v>
      </c>
      <c r="K414" s="77" t="s">
        <v>1230</v>
      </c>
      <c r="L414">
        <v>10</v>
      </c>
      <c r="M414">
        <v>1.25</v>
      </c>
      <c r="N414" s="44">
        <f t="shared" si="24"/>
        <v>8</v>
      </c>
      <c r="O414">
        <f t="shared" si="22"/>
        <v>440</v>
      </c>
      <c r="P414" s="97">
        <f t="shared" si="25"/>
        <v>0.1111111111111111</v>
      </c>
      <c r="Q414" s="8" t="s">
        <v>1865</v>
      </c>
    </row>
    <row r="415" spans="1:18" x14ac:dyDescent="0.25">
      <c r="A415" s="9" t="s">
        <v>1157</v>
      </c>
      <c r="B415" s="9" t="s">
        <v>1229</v>
      </c>
      <c r="C415" t="str">
        <f>VLOOKUP(B415,'[1]Planting GPS Points'!$B$3:$L$290,8,FALSE)</f>
        <v>CPS</v>
      </c>
      <c r="D415">
        <f>VLOOKUP(B415,'[1]Planting GPS Points'!$B$3:$AL$290,15,FALSE)</f>
        <v>0</v>
      </c>
      <c r="E415" s="42">
        <v>42881</v>
      </c>
      <c r="F415" s="44">
        <v>1.25</v>
      </c>
      <c r="G415">
        <v>90</v>
      </c>
      <c r="H415" s="35" t="s">
        <v>971</v>
      </c>
      <c r="I415" s="42">
        <v>43678</v>
      </c>
      <c r="J415" s="77" t="s">
        <v>23</v>
      </c>
      <c r="K415" s="77" t="s">
        <v>1230</v>
      </c>
      <c r="L415">
        <v>0</v>
      </c>
      <c r="M415">
        <v>1.25</v>
      </c>
      <c r="N415" s="44">
        <f t="shared" si="24"/>
        <v>0</v>
      </c>
      <c r="O415">
        <f t="shared" si="22"/>
        <v>797</v>
      </c>
      <c r="P415" s="97">
        <f t="shared" si="25"/>
        <v>0</v>
      </c>
      <c r="Q415" s="8" t="s">
        <v>1865</v>
      </c>
    </row>
    <row r="416" spans="1:18" x14ac:dyDescent="0.25">
      <c r="A416" s="9" t="s">
        <v>1157</v>
      </c>
      <c r="B416" s="9" t="s">
        <v>1229</v>
      </c>
      <c r="C416" t="str">
        <f>VLOOKUP(B416,'[1]Planting GPS Points'!$B$3:$L$290,8,FALSE)</f>
        <v>CPS</v>
      </c>
      <c r="D416">
        <f>VLOOKUP(B416,'[1]Planting GPS Points'!$B$3:$AL$290,15,FALSE)</f>
        <v>0</v>
      </c>
      <c r="E416" s="42">
        <v>42881</v>
      </c>
      <c r="F416" s="44">
        <v>1.25</v>
      </c>
      <c r="G416">
        <v>90</v>
      </c>
      <c r="H416" s="35" t="s">
        <v>971</v>
      </c>
      <c r="I416" s="42">
        <v>44033</v>
      </c>
      <c r="J416" s="77" t="s">
        <v>23</v>
      </c>
      <c r="K416" s="77" t="s">
        <v>1230</v>
      </c>
      <c r="L416">
        <v>0</v>
      </c>
      <c r="N416" s="44" t="str">
        <f t="shared" si="24"/>
        <v/>
      </c>
      <c r="O416">
        <f t="shared" si="22"/>
        <v>1152</v>
      </c>
      <c r="P416" s="97">
        <f t="shared" si="25"/>
        <v>0</v>
      </c>
      <c r="Q416" s="8" t="s">
        <v>1865</v>
      </c>
      <c r="R416" s="8"/>
    </row>
    <row r="417" spans="1:17" x14ac:dyDescent="0.25">
      <c r="A417" s="9" t="s">
        <v>1157</v>
      </c>
      <c r="B417" s="9" t="s">
        <v>1239</v>
      </c>
      <c r="C417" t="str">
        <f>VLOOKUP(B417,'[1]Planting GPS Points'!$B$3:$L$290,8,FALSE)</f>
        <v>CPS</v>
      </c>
      <c r="D417">
        <f>VLOOKUP(B417,'[1]Planting GPS Points'!$B$3:$AL$290,15,FALSE)</f>
        <v>0</v>
      </c>
      <c r="E417" s="42">
        <v>42881</v>
      </c>
      <c r="F417" s="44">
        <v>1.25</v>
      </c>
      <c r="G417">
        <v>90</v>
      </c>
      <c r="H417" s="35" t="s">
        <v>971</v>
      </c>
      <c r="I417" s="42">
        <v>42938</v>
      </c>
      <c r="J417" s="77" t="s">
        <v>12</v>
      </c>
      <c r="K417" s="77" t="s">
        <v>967</v>
      </c>
      <c r="L417">
        <v>119</v>
      </c>
      <c r="M417">
        <v>1.25</v>
      </c>
      <c r="N417" s="44">
        <f t="shared" si="24"/>
        <v>95.2</v>
      </c>
      <c r="O417">
        <f t="shared" si="22"/>
        <v>57</v>
      </c>
      <c r="P417" s="97">
        <f t="shared" si="25"/>
        <v>1.3222222222222222</v>
      </c>
      <c r="Q417" s="8" t="s">
        <v>1865</v>
      </c>
    </row>
    <row r="418" spans="1:17" x14ac:dyDescent="0.25">
      <c r="A418" s="9" t="s">
        <v>1157</v>
      </c>
      <c r="B418" s="9" t="s">
        <v>1239</v>
      </c>
      <c r="C418" t="str">
        <f>VLOOKUP(B418,'[1]Planting GPS Points'!$B$3:$L$290,8,FALSE)</f>
        <v>CPS</v>
      </c>
      <c r="D418">
        <f>VLOOKUP(B418,'[1]Planting GPS Points'!$B$3:$AL$290,15,FALSE)</f>
        <v>0</v>
      </c>
      <c r="E418" s="42">
        <v>42881</v>
      </c>
      <c r="F418" s="44">
        <v>1.25</v>
      </c>
      <c r="G418">
        <v>90</v>
      </c>
      <c r="H418" s="35" t="s">
        <v>971</v>
      </c>
      <c r="I418" s="42">
        <v>42968</v>
      </c>
      <c r="J418" s="77" t="s">
        <v>12</v>
      </c>
      <c r="K418" s="77" t="s">
        <v>967</v>
      </c>
      <c r="L418">
        <v>234</v>
      </c>
      <c r="M418">
        <v>1.25</v>
      </c>
      <c r="N418" s="44">
        <f t="shared" si="24"/>
        <v>187.2</v>
      </c>
      <c r="O418">
        <f t="shared" si="22"/>
        <v>87</v>
      </c>
      <c r="P418" s="97">
        <f t="shared" si="25"/>
        <v>2.6</v>
      </c>
      <c r="Q418" s="8" t="s">
        <v>1865</v>
      </c>
    </row>
    <row r="419" spans="1:17" x14ac:dyDescent="0.25">
      <c r="A419" s="9" t="s">
        <v>1157</v>
      </c>
      <c r="B419" s="9" t="s">
        <v>1239</v>
      </c>
      <c r="C419" t="str">
        <f>VLOOKUP(B419,'[1]Planting GPS Points'!$B$3:$L$290,8,FALSE)</f>
        <v>CPS</v>
      </c>
      <c r="D419">
        <f>VLOOKUP(B419,'[1]Planting GPS Points'!$B$3:$AL$290,15,FALSE)</f>
        <v>0</v>
      </c>
      <c r="E419" s="42">
        <v>42881</v>
      </c>
      <c r="F419" s="44">
        <v>1.25</v>
      </c>
      <c r="G419">
        <v>90</v>
      </c>
      <c r="H419" s="35" t="s">
        <v>971</v>
      </c>
      <c r="I419" s="42">
        <v>43238</v>
      </c>
      <c r="J419" s="77" t="s">
        <v>12</v>
      </c>
      <c r="K419" s="77" t="s">
        <v>967</v>
      </c>
      <c r="L419">
        <v>301</v>
      </c>
      <c r="M419">
        <v>1.25</v>
      </c>
      <c r="N419" s="44">
        <f t="shared" si="24"/>
        <v>240.8</v>
      </c>
      <c r="O419">
        <f t="shared" si="22"/>
        <v>357</v>
      </c>
      <c r="P419" s="97">
        <f t="shared" si="25"/>
        <v>3.3444444444444446</v>
      </c>
      <c r="Q419" s="8" t="s">
        <v>1865</v>
      </c>
    </row>
    <row r="420" spans="1:17" x14ac:dyDescent="0.25">
      <c r="A420" s="9" t="s">
        <v>1157</v>
      </c>
      <c r="B420" s="9" t="s">
        <v>1239</v>
      </c>
      <c r="C420" t="str">
        <f>VLOOKUP(B420,'[1]Planting GPS Points'!$B$3:$L$290,8,FALSE)</f>
        <v>CPS</v>
      </c>
      <c r="D420">
        <f>VLOOKUP(B420,'[1]Planting GPS Points'!$B$3:$AL$290,15,FALSE)</f>
        <v>0</v>
      </c>
      <c r="E420" s="42">
        <v>42881</v>
      </c>
      <c r="F420" s="44">
        <v>1.25</v>
      </c>
      <c r="G420">
        <v>90</v>
      </c>
      <c r="H420" s="35" t="s">
        <v>971</v>
      </c>
      <c r="I420" s="42">
        <v>43294</v>
      </c>
      <c r="J420" s="77" t="s">
        <v>12</v>
      </c>
      <c r="K420" s="77" t="s">
        <v>967</v>
      </c>
      <c r="L420">
        <v>100</v>
      </c>
      <c r="M420">
        <v>1.25</v>
      </c>
      <c r="N420" s="44">
        <f t="shared" si="24"/>
        <v>80</v>
      </c>
      <c r="O420">
        <f t="shared" si="22"/>
        <v>413</v>
      </c>
      <c r="P420" s="97">
        <f t="shared" si="25"/>
        <v>1.1111111111111112</v>
      </c>
      <c r="Q420" s="8" t="s">
        <v>1865</v>
      </c>
    </row>
    <row r="421" spans="1:17" x14ac:dyDescent="0.25">
      <c r="A421" s="9" t="s">
        <v>1157</v>
      </c>
      <c r="B421" s="9" t="s">
        <v>1239</v>
      </c>
      <c r="C421" t="str">
        <f>VLOOKUP(B421,'[1]Planting GPS Points'!$B$3:$L$290,8,FALSE)</f>
        <v>CPS</v>
      </c>
      <c r="D421">
        <f>VLOOKUP(B421,'[1]Planting GPS Points'!$B$3:$AL$290,15,FALSE)</f>
        <v>0</v>
      </c>
      <c r="E421" s="42">
        <v>42881</v>
      </c>
      <c r="F421" s="44">
        <v>1.25</v>
      </c>
      <c r="G421">
        <v>90</v>
      </c>
      <c r="H421" s="35" t="s">
        <v>971</v>
      </c>
      <c r="I421" s="42">
        <v>43321</v>
      </c>
      <c r="J421" s="77" t="s">
        <v>12</v>
      </c>
      <c r="K421" s="77" t="s">
        <v>967</v>
      </c>
      <c r="L421">
        <v>136</v>
      </c>
      <c r="M421">
        <v>1.25</v>
      </c>
      <c r="N421" s="44">
        <f t="shared" si="24"/>
        <v>108.8</v>
      </c>
      <c r="O421">
        <f t="shared" si="22"/>
        <v>440</v>
      </c>
      <c r="P421" s="97">
        <f t="shared" si="25"/>
        <v>1.5111111111111111</v>
      </c>
      <c r="Q421" s="8" t="s">
        <v>1865</v>
      </c>
    </row>
    <row r="422" spans="1:17" x14ac:dyDescent="0.25">
      <c r="A422" s="9" t="s">
        <v>1157</v>
      </c>
      <c r="B422" s="9" t="s">
        <v>1239</v>
      </c>
      <c r="C422" t="str">
        <f>VLOOKUP(B422,'[1]Planting GPS Points'!$B$3:$L$290,8,FALSE)</f>
        <v>CPS</v>
      </c>
      <c r="D422">
        <f>VLOOKUP(B422,'[1]Planting GPS Points'!$B$3:$AL$290,15,FALSE)</f>
        <v>0</v>
      </c>
      <c r="E422" s="42">
        <v>42881</v>
      </c>
      <c r="F422" s="44">
        <v>1.25</v>
      </c>
      <c r="G422">
        <v>90</v>
      </c>
      <c r="H422" s="35" t="s">
        <v>971</v>
      </c>
      <c r="I422" s="42">
        <v>43678</v>
      </c>
      <c r="J422" s="77" t="s">
        <v>12</v>
      </c>
      <c r="K422" s="77" t="s">
        <v>967</v>
      </c>
      <c r="L422">
        <v>200</v>
      </c>
      <c r="M422">
        <v>1.25</v>
      </c>
      <c r="N422" s="44">
        <f t="shared" si="24"/>
        <v>160</v>
      </c>
      <c r="O422">
        <f t="shared" si="22"/>
        <v>797</v>
      </c>
      <c r="P422" s="97">
        <f t="shared" si="25"/>
        <v>2.2222222222222223</v>
      </c>
      <c r="Q422" s="8" t="s">
        <v>1865</v>
      </c>
    </row>
    <row r="423" spans="1:17" x14ac:dyDescent="0.25">
      <c r="A423" s="140" t="s">
        <v>1157</v>
      </c>
      <c r="B423" s="9" t="s">
        <v>1239</v>
      </c>
      <c r="C423" t="str">
        <f>VLOOKUP(B423,'[1]Planting GPS Points'!$B$3:$L$290,8,FALSE)</f>
        <v>CPS</v>
      </c>
      <c r="D423">
        <f>VLOOKUP(B423,'[1]Planting GPS Points'!$B$3:$AL$290,15,FALSE)</f>
        <v>0</v>
      </c>
      <c r="E423" s="42">
        <v>42881</v>
      </c>
      <c r="F423" s="44">
        <v>1.25</v>
      </c>
      <c r="G423">
        <v>90</v>
      </c>
      <c r="H423" s="35" t="s">
        <v>971</v>
      </c>
      <c r="I423" s="42">
        <v>44032</v>
      </c>
      <c r="J423" s="77" t="s">
        <v>12</v>
      </c>
      <c r="K423" s="77" t="s">
        <v>967</v>
      </c>
      <c r="N423" s="44" t="str">
        <f t="shared" si="24"/>
        <v/>
      </c>
      <c r="O423">
        <f t="shared" si="22"/>
        <v>1151</v>
      </c>
      <c r="P423" s="97" t="str">
        <f t="shared" si="25"/>
        <v/>
      </c>
      <c r="Q423" s="8" t="s">
        <v>1866</v>
      </c>
    </row>
    <row r="424" spans="1:17" x14ac:dyDescent="0.25">
      <c r="A424" s="9" t="s">
        <v>1157</v>
      </c>
      <c r="B424" s="9" t="s">
        <v>1240</v>
      </c>
      <c r="C424" t="str">
        <f>VLOOKUP(B424,'[1]Planting GPS Points'!$B$3:$L$290,8,FALSE)</f>
        <v>CPS</v>
      </c>
      <c r="D424">
        <f>VLOOKUP(B424,'[1]Planting GPS Points'!$B$3:$AL$290,15,FALSE)</f>
        <v>0</v>
      </c>
      <c r="E424" s="42">
        <v>42881</v>
      </c>
      <c r="F424" s="44">
        <v>1.25</v>
      </c>
      <c r="G424">
        <v>90</v>
      </c>
      <c r="H424" s="35" t="s">
        <v>971</v>
      </c>
      <c r="I424" s="42">
        <v>42938</v>
      </c>
      <c r="J424" s="77" t="s">
        <v>12</v>
      </c>
      <c r="K424" s="77" t="s">
        <v>982</v>
      </c>
      <c r="L424">
        <v>134</v>
      </c>
      <c r="M424">
        <v>1.25</v>
      </c>
      <c r="N424" s="44">
        <f t="shared" si="24"/>
        <v>107.2</v>
      </c>
      <c r="O424">
        <f t="shared" si="22"/>
        <v>57</v>
      </c>
      <c r="P424" s="97">
        <f t="shared" si="25"/>
        <v>1.4888888888888889</v>
      </c>
      <c r="Q424" s="8" t="s">
        <v>1865</v>
      </c>
    </row>
    <row r="425" spans="1:17" x14ac:dyDescent="0.25">
      <c r="A425" s="9" t="s">
        <v>1157</v>
      </c>
      <c r="B425" s="9" t="s">
        <v>1240</v>
      </c>
      <c r="C425" t="str">
        <f>VLOOKUP(B425,'[1]Planting GPS Points'!$B$3:$L$290,8,FALSE)</f>
        <v>CPS</v>
      </c>
      <c r="D425">
        <f>VLOOKUP(B425,'[1]Planting GPS Points'!$B$3:$AL$290,15,FALSE)</f>
        <v>0</v>
      </c>
      <c r="E425" s="42">
        <v>42881</v>
      </c>
      <c r="F425" s="44">
        <v>1.25</v>
      </c>
      <c r="G425">
        <v>90</v>
      </c>
      <c r="H425" s="35" t="s">
        <v>971</v>
      </c>
      <c r="I425" s="42">
        <v>42968</v>
      </c>
      <c r="J425" s="77" t="s">
        <v>12</v>
      </c>
      <c r="K425" s="77" t="s">
        <v>982</v>
      </c>
      <c r="L425">
        <v>295</v>
      </c>
      <c r="M425">
        <v>1.25</v>
      </c>
      <c r="N425" s="44">
        <f t="shared" si="24"/>
        <v>236</v>
      </c>
      <c r="O425">
        <f t="shared" si="22"/>
        <v>87</v>
      </c>
      <c r="P425" s="97">
        <f t="shared" si="25"/>
        <v>3.2777777777777777</v>
      </c>
      <c r="Q425" s="8" t="s">
        <v>1865</v>
      </c>
    </row>
    <row r="426" spans="1:17" x14ac:dyDescent="0.25">
      <c r="A426" s="9" t="s">
        <v>1157</v>
      </c>
      <c r="B426" s="9" t="s">
        <v>1240</v>
      </c>
      <c r="C426" t="str">
        <f>VLOOKUP(B426,'[1]Planting GPS Points'!$B$3:$L$290,8,FALSE)</f>
        <v>CPS</v>
      </c>
      <c r="D426">
        <f>VLOOKUP(B426,'[1]Planting GPS Points'!$B$3:$AL$290,15,FALSE)</f>
        <v>0</v>
      </c>
      <c r="E426" s="42">
        <v>42881</v>
      </c>
      <c r="F426" s="44">
        <v>1.25</v>
      </c>
      <c r="G426">
        <v>90</v>
      </c>
      <c r="H426" s="35" t="s">
        <v>971</v>
      </c>
      <c r="I426" s="42">
        <v>43238</v>
      </c>
      <c r="J426" s="77" t="s">
        <v>12</v>
      </c>
      <c r="K426" s="77" t="s">
        <v>982</v>
      </c>
      <c r="L426">
        <v>846</v>
      </c>
      <c r="M426">
        <v>1.25</v>
      </c>
      <c r="N426" s="44">
        <f t="shared" si="24"/>
        <v>676.8</v>
      </c>
      <c r="O426">
        <f t="shared" si="22"/>
        <v>357</v>
      </c>
      <c r="P426" s="97">
        <f t="shared" si="25"/>
        <v>9.4</v>
      </c>
      <c r="Q426" s="8" t="s">
        <v>1865</v>
      </c>
    </row>
    <row r="427" spans="1:17" x14ac:dyDescent="0.25">
      <c r="A427" s="9" t="s">
        <v>1157</v>
      </c>
      <c r="B427" s="9" t="s">
        <v>1240</v>
      </c>
      <c r="C427" t="str">
        <f>VLOOKUP(B427,'[1]Planting GPS Points'!$B$3:$L$290,8,FALSE)</f>
        <v>CPS</v>
      </c>
      <c r="D427">
        <f>VLOOKUP(B427,'[1]Planting GPS Points'!$B$3:$AL$290,15,FALSE)</f>
        <v>0</v>
      </c>
      <c r="E427" s="42">
        <v>42881</v>
      </c>
      <c r="F427" s="44">
        <v>1.25</v>
      </c>
      <c r="G427">
        <v>90</v>
      </c>
      <c r="H427" s="35" t="s">
        <v>971</v>
      </c>
      <c r="I427" s="42">
        <v>43294</v>
      </c>
      <c r="J427" s="77" t="s">
        <v>12</v>
      </c>
      <c r="K427" s="77" t="s">
        <v>982</v>
      </c>
      <c r="L427">
        <v>694</v>
      </c>
      <c r="M427">
        <v>1.25</v>
      </c>
      <c r="N427" s="44">
        <f t="shared" si="24"/>
        <v>555.20000000000005</v>
      </c>
      <c r="O427">
        <f t="shared" si="22"/>
        <v>413</v>
      </c>
      <c r="P427" s="97">
        <f t="shared" si="25"/>
        <v>7.7111111111111112</v>
      </c>
      <c r="Q427" s="8" t="s">
        <v>1865</v>
      </c>
    </row>
    <row r="428" spans="1:17" x14ac:dyDescent="0.25">
      <c r="A428" s="9" t="s">
        <v>1157</v>
      </c>
      <c r="B428" s="9" t="s">
        <v>1240</v>
      </c>
      <c r="C428" t="str">
        <f>VLOOKUP(B428,'[1]Planting GPS Points'!$B$3:$L$290,8,FALSE)</f>
        <v>CPS</v>
      </c>
      <c r="D428">
        <f>VLOOKUP(B428,'[1]Planting GPS Points'!$B$3:$AL$290,15,FALSE)</f>
        <v>0</v>
      </c>
      <c r="E428" s="42">
        <v>42881</v>
      </c>
      <c r="F428" s="44">
        <v>1.25</v>
      </c>
      <c r="G428">
        <v>90</v>
      </c>
      <c r="H428" s="35" t="s">
        <v>971</v>
      </c>
      <c r="I428" s="42">
        <v>43321</v>
      </c>
      <c r="J428" s="77" t="s">
        <v>12</v>
      </c>
      <c r="K428" s="77" t="s">
        <v>982</v>
      </c>
      <c r="L428">
        <v>946</v>
      </c>
      <c r="M428">
        <v>1.25</v>
      </c>
      <c r="N428" s="44">
        <f t="shared" si="24"/>
        <v>756.8</v>
      </c>
      <c r="O428">
        <f t="shared" si="22"/>
        <v>440</v>
      </c>
      <c r="P428" s="97">
        <f t="shared" si="25"/>
        <v>10.511111111111111</v>
      </c>
      <c r="Q428" s="8" t="s">
        <v>1865</v>
      </c>
    </row>
    <row r="429" spans="1:17" x14ac:dyDescent="0.25">
      <c r="A429" s="9" t="s">
        <v>1157</v>
      </c>
      <c r="B429" s="9" t="s">
        <v>1240</v>
      </c>
      <c r="C429" t="str">
        <f>VLOOKUP(B429,'[1]Planting GPS Points'!$B$3:$L$290,8,FALSE)</f>
        <v>CPS</v>
      </c>
      <c r="D429">
        <f>VLOOKUP(B429,'[1]Planting GPS Points'!$B$3:$AL$290,15,FALSE)</f>
        <v>0</v>
      </c>
      <c r="E429" s="42">
        <v>42881</v>
      </c>
      <c r="F429" s="44">
        <v>1.25</v>
      </c>
      <c r="G429">
        <v>90</v>
      </c>
      <c r="H429" s="35" t="s">
        <v>971</v>
      </c>
      <c r="I429" s="42">
        <v>43678</v>
      </c>
      <c r="J429" s="77" t="s">
        <v>12</v>
      </c>
      <c r="K429" s="77" t="s">
        <v>982</v>
      </c>
      <c r="L429">
        <v>448</v>
      </c>
      <c r="M429">
        <v>1.25</v>
      </c>
      <c r="N429" s="44">
        <f t="shared" si="24"/>
        <v>358.4</v>
      </c>
      <c r="O429">
        <f t="shared" si="22"/>
        <v>797</v>
      </c>
      <c r="P429" s="97">
        <f t="shared" si="25"/>
        <v>4.9777777777777779</v>
      </c>
      <c r="Q429" s="8" t="s">
        <v>1865</v>
      </c>
    </row>
    <row r="430" spans="1:17" x14ac:dyDescent="0.25">
      <c r="A430" s="140" t="s">
        <v>1157</v>
      </c>
      <c r="B430" s="9" t="s">
        <v>1240</v>
      </c>
      <c r="C430" t="str">
        <f>VLOOKUP(B430,'[1]Planting GPS Points'!$B$3:$L$290,8,FALSE)</f>
        <v>CPS</v>
      </c>
      <c r="D430">
        <f>VLOOKUP(B430,'[1]Planting GPS Points'!$B$3:$AL$290,15,FALSE)</f>
        <v>0</v>
      </c>
      <c r="E430" s="42">
        <v>42881</v>
      </c>
      <c r="F430" s="44">
        <v>1.25</v>
      </c>
      <c r="G430">
        <v>90</v>
      </c>
      <c r="H430" s="35" t="s">
        <v>971</v>
      </c>
      <c r="I430" s="42">
        <v>44032</v>
      </c>
      <c r="J430" s="77" t="s">
        <v>12</v>
      </c>
      <c r="K430" s="77" t="s">
        <v>982</v>
      </c>
      <c r="N430" s="44" t="str">
        <f t="shared" si="24"/>
        <v/>
      </c>
      <c r="O430">
        <f t="shared" si="22"/>
        <v>1151</v>
      </c>
      <c r="P430" s="97" t="str">
        <f t="shared" si="25"/>
        <v/>
      </c>
      <c r="Q430" s="8" t="s">
        <v>1865</v>
      </c>
    </row>
    <row r="431" spans="1:17" x14ac:dyDescent="0.25">
      <c r="A431" s="9" t="s">
        <v>1157</v>
      </c>
      <c r="B431" s="9" t="s">
        <v>1237</v>
      </c>
      <c r="C431" t="str">
        <f>VLOOKUP(B431,'[1]Planting GPS Points'!$B$3:$L$290,8,FALSE)</f>
        <v>CPS</v>
      </c>
      <c r="D431">
        <f>VLOOKUP(B431,'[1]Planting GPS Points'!$B$3:$AL$290,15,FALSE)</f>
        <v>0</v>
      </c>
      <c r="E431" s="42">
        <v>42881</v>
      </c>
      <c r="F431" s="44">
        <v>1.25</v>
      </c>
      <c r="G431">
        <v>90</v>
      </c>
      <c r="H431" s="35" t="s">
        <v>971</v>
      </c>
      <c r="I431" s="42">
        <v>42938</v>
      </c>
      <c r="J431" s="77" t="s">
        <v>12</v>
      </c>
      <c r="K431" s="77" t="s">
        <v>1052</v>
      </c>
      <c r="L431">
        <v>106</v>
      </c>
      <c r="M431">
        <v>1.25</v>
      </c>
      <c r="N431" s="44">
        <f t="shared" si="24"/>
        <v>84.8</v>
      </c>
      <c r="O431">
        <f t="shared" si="22"/>
        <v>57</v>
      </c>
      <c r="P431" s="97">
        <f t="shared" si="25"/>
        <v>1.1777777777777778</v>
      </c>
      <c r="Q431" s="8" t="s">
        <v>1865</v>
      </c>
    </row>
    <row r="432" spans="1:17" x14ac:dyDescent="0.25">
      <c r="A432" s="9" t="s">
        <v>1157</v>
      </c>
      <c r="B432" s="9" t="s">
        <v>1237</v>
      </c>
      <c r="C432" t="str">
        <f>VLOOKUP(B432,'[1]Planting GPS Points'!$B$3:$L$290,8,FALSE)</f>
        <v>CPS</v>
      </c>
      <c r="D432">
        <f>VLOOKUP(B432,'[1]Planting GPS Points'!$B$3:$AL$290,15,FALSE)</f>
        <v>0</v>
      </c>
      <c r="E432" s="42">
        <v>42881</v>
      </c>
      <c r="F432" s="44">
        <v>1.25</v>
      </c>
      <c r="G432">
        <v>90</v>
      </c>
      <c r="H432" s="35" t="s">
        <v>971</v>
      </c>
      <c r="I432" s="42">
        <v>42968</v>
      </c>
      <c r="J432" s="77" t="s">
        <v>12</v>
      </c>
      <c r="K432" s="77" t="s">
        <v>1052</v>
      </c>
      <c r="L432">
        <v>217</v>
      </c>
      <c r="M432">
        <v>1.25</v>
      </c>
      <c r="N432" s="44">
        <f t="shared" si="24"/>
        <v>173.6</v>
      </c>
      <c r="O432">
        <f t="shared" si="22"/>
        <v>87</v>
      </c>
      <c r="P432" s="97">
        <f t="shared" si="25"/>
        <v>2.411111111111111</v>
      </c>
      <c r="Q432" s="8" t="s">
        <v>1865</v>
      </c>
    </row>
    <row r="433" spans="1:18" x14ac:dyDescent="0.25">
      <c r="A433" s="9" t="s">
        <v>1157</v>
      </c>
      <c r="B433" s="9" t="s">
        <v>1237</v>
      </c>
      <c r="C433" t="str">
        <f>VLOOKUP(B433,'[1]Planting GPS Points'!$B$3:$L$290,8,FALSE)</f>
        <v>CPS</v>
      </c>
      <c r="D433">
        <f>VLOOKUP(B433,'[1]Planting GPS Points'!$B$3:$AL$290,15,FALSE)</f>
        <v>0</v>
      </c>
      <c r="E433" s="42">
        <v>42881</v>
      </c>
      <c r="F433" s="44">
        <v>1.25</v>
      </c>
      <c r="G433">
        <v>90</v>
      </c>
      <c r="H433" s="35" t="s">
        <v>971</v>
      </c>
      <c r="I433" s="42">
        <v>43238</v>
      </c>
      <c r="J433" s="77" t="s">
        <v>12</v>
      </c>
      <c r="K433" s="77" t="s">
        <v>1052</v>
      </c>
      <c r="L433">
        <v>390</v>
      </c>
      <c r="M433">
        <v>1.25</v>
      </c>
      <c r="N433" s="44">
        <f t="shared" si="24"/>
        <v>312</v>
      </c>
      <c r="O433">
        <f t="shared" si="22"/>
        <v>357</v>
      </c>
      <c r="P433" s="97">
        <f t="shared" si="25"/>
        <v>4.333333333333333</v>
      </c>
      <c r="Q433" s="8" t="s">
        <v>1865</v>
      </c>
    </row>
    <row r="434" spans="1:18" x14ac:dyDescent="0.25">
      <c r="A434" s="9" t="s">
        <v>1157</v>
      </c>
      <c r="B434" s="9" t="s">
        <v>1237</v>
      </c>
      <c r="C434" t="str">
        <f>VLOOKUP(B434,'[1]Planting GPS Points'!$B$3:$L$290,8,FALSE)</f>
        <v>CPS</v>
      </c>
      <c r="D434">
        <f>VLOOKUP(B434,'[1]Planting GPS Points'!$B$3:$AL$290,15,FALSE)</f>
        <v>0</v>
      </c>
      <c r="E434" s="42">
        <v>42881</v>
      </c>
      <c r="F434" s="44">
        <v>1.25</v>
      </c>
      <c r="G434">
        <v>90</v>
      </c>
      <c r="H434" s="35" t="s">
        <v>971</v>
      </c>
      <c r="I434" s="42">
        <v>43294</v>
      </c>
      <c r="J434" s="77" t="s">
        <v>12</v>
      </c>
      <c r="K434" s="77" t="s">
        <v>1052</v>
      </c>
      <c r="L434">
        <v>172</v>
      </c>
      <c r="M434">
        <v>1.25</v>
      </c>
      <c r="N434" s="44">
        <f t="shared" si="24"/>
        <v>137.6</v>
      </c>
      <c r="O434">
        <f t="shared" si="22"/>
        <v>413</v>
      </c>
      <c r="P434" s="97">
        <f t="shared" si="25"/>
        <v>1.9111111111111112</v>
      </c>
      <c r="Q434" s="8" t="s">
        <v>1865</v>
      </c>
    </row>
    <row r="435" spans="1:18" x14ac:dyDescent="0.25">
      <c r="A435" s="9" t="s">
        <v>1157</v>
      </c>
      <c r="B435" s="9" t="s">
        <v>1237</v>
      </c>
      <c r="C435" t="str">
        <f>VLOOKUP(B435,'[1]Planting GPS Points'!$B$3:$L$290,8,FALSE)</f>
        <v>CPS</v>
      </c>
      <c r="D435">
        <f>VLOOKUP(B435,'[1]Planting GPS Points'!$B$3:$AL$290,15,FALSE)</f>
        <v>0</v>
      </c>
      <c r="E435" s="42">
        <v>42881</v>
      </c>
      <c r="F435" s="44">
        <v>1.25</v>
      </c>
      <c r="G435">
        <v>90</v>
      </c>
      <c r="H435" s="35" t="s">
        <v>971</v>
      </c>
      <c r="I435" s="42">
        <v>43321</v>
      </c>
      <c r="J435" s="77" t="s">
        <v>12</v>
      </c>
      <c r="K435" s="77" t="s">
        <v>1052</v>
      </c>
      <c r="L435">
        <v>335</v>
      </c>
      <c r="M435">
        <v>1.25</v>
      </c>
      <c r="N435" s="44">
        <f t="shared" si="24"/>
        <v>268</v>
      </c>
      <c r="O435">
        <f t="shared" si="22"/>
        <v>440</v>
      </c>
      <c r="P435" s="97">
        <f t="shared" si="25"/>
        <v>3.7222222222222223</v>
      </c>
      <c r="Q435" s="8" t="s">
        <v>1865</v>
      </c>
    </row>
    <row r="436" spans="1:18" x14ac:dyDescent="0.25">
      <c r="A436" s="9" t="s">
        <v>1157</v>
      </c>
      <c r="B436" s="9" t="s">
        <v>1237</v>
      </c>
      <c r="C436" t="str">
        <f>VLOOKUP(B436,'[1]Planting GPS Points'!$B$3:$L$290,8,FALSE)</f>
        <v>CPS</v>
      </c>
      <c r="D436">
        <f>VLOOKUP(B436,'[1]Planting GPS Points'!$B$3:$AL$290,15,FALSE)</f>
        <v>0</v>
      </c>
      <c r="E436" s="42">
        <v>42881</v>
      </c>
      <c r="F436" s="44">
        <v>1.25</v>
      </c>
      <c r="G436">
        <v>90</v>
      </c>
      <c r="H436" s="35" t="s">
        <v>971</v>
      </c>
      <c r="I436" s="42">
        <v>43678</v>
      </c>
      <c r="J436" s="77" t="s">
        <v>12</v>
      </c>
      <c r="K436" s="77" t="s">
        <v>1052</v>
      </c>
      <c r="L436">
        <v>435</v>
      </c>
      <c r="M436">
        <v>1.25</v>
      </c>
      <c r="N436" s="44">
        <f t="shared" si="24"/>
        <v>348</v>
      </c>
      <c r="O436">
        <f t="shared" si="22"/>
        <v>797</v>
      </c>
      <c r="P436" s="97">
        <f t="shared" si="25"/>
        <v>4.833333333333333</v>
      </c>
      <c r="Q436" s="8" t="s">
        <v>1865</v>
      </c>
    </row>
    <row r="437" spans="1:18" x14ac:dyDescent="0.25">
      <c r="A437" s="140" t="s">
        <v>1157</v>
      </c>
      <c r="B437" s="9" t="s">
        <v>1237</v>
      </c>
      <c r="C437" t="str">
        <f>VLOOKUP(B437,'[1]Planting GPS Points'!$B$3:$L$290,8,FALSE)</f>
        <v>CPS</v>
      </c>
      <c r="D437">
        <f>VLOOKUP(B437,'[1]Planting GPS Points'!$B$3:$AL$290,15,FALSE)</f>
        <v>0</v>
      </c>
      <c r="E437" s="42">
        <v>42881</v>
      </c>
      <c r="F437" s="44">
        <v>1.25</v>
      </c>
      <c r="G437">
        <v>90</v>
      </c>
      <c r="H437" s="35" t="s">
        <v>971</v>
      </c>
      <c r="I437" s="42">
        <v>44032</v>
      </c>
      <c r="J437" s="77" t="s">
        <v>12</v>
      </c>
      <c r="K437" s="77" t="s">
        <v>1052</v>
      </c>
      <c r="N437" s="44" t="str">
        <f t="shared" si="24"/>
        <v/>
      </c>
      <c r="O437">
        <f t="shared" si="22"/>
        <v>1151</v>
      </c>
      <c r="P437" s="97" t="str">
        <f t="shared" si="25"/>
        <v/>
      </c>
      <c r="Q437" s="8" t="s">
        <v>1865</v>
      </c>
    </row>
    <row r="438" spans="1:18" x14ac:dyDescent="0.25">
      <c r="A438" t="s">
        <v>1157</v>
      </c>
      <c r="B438" t="s">
        <v>1184</v>
      </c>
      <c r="C438" t="str">
        <f>VLOOKUP(B438,'[1]Planting GPS Points'!$B$3:$L$290,8,FALSE)</f>
        <v>CPS</v>
      </c>
      <c r="D438" t="str">
        <f>VLOOKUP(B438,'[1]Planting GPS Points'!$B$3:$AL$290,15,FALSE)</f>
        <v>SC 16-17</v>
      </c>
      <c r="E438" s="42">
        <v>42576</v>
      </c>
      <c r="F438" s="44">
        <v>160</v>
      </c>
      <c r="G438" s="47">
        <v>20260</v>
      </c>
      <c r="H438" s="35" t="s">
        <v>971</v>
      </c>
      <c r="I438" s="42">
        <v>42913</v>
      </c>
      <c r="J438" s="77" t="s">
        <v>12</v>
      </c>
      <c r="K438" s="77" t="s">
        <v>1052</v>
      </c>
      <c r="L438">
        <v>26960</v>
      </c>
      <c r="M438">
        <v>40</v>
      </c>
      <c r="N438" s="44">
        <f t="shared" si="24"/>
        <v>674</v>
      </c>
      <c r="O438">
        <f t="shared" si="22"/>
        <v>337</v>
      </c>
      <c r="P438" s="97">
        <f t="shared" si="25"/>
        <v>1.3307008884501481</v>
      </c>
      <c r="Q438" s="8" t="s">
        <v>1889</v>
      </c>
    </row>
    <row r="439" spans="1:18" x14ac:dyDescent="0.25">
      <c r="A439" t="s">
        <v>1157</v>
      </c>
      <c r="B439" t="s">
        <v>1184</v>
      </c>
      <c r="C439" t="str">
        <f>VLOOKUP(B439,'[1]Planting GPS Points'!$B$3:$L$290,8,FALSE)</f>
        <v>CPS</v>
      </c>
      <c r="D439" t="str">
        <f>VLOOKUP(B439,'[1]Planting GPS Points'!$B$3:$AL$290,15,FALSE)</f>
        <v>SC 16-17</v>
      </c>
      <c r="E439" s="42">
        <v>42576</v>
      </c>
      <c r="F439" s="44">
        <v>160</v>
      </c>
      <c r="G439" s="47">
        <v>20260</v>
      </c>
      <c r="H439" s="35" t="s">
        <v>971</v>
      </c>
      <c r="I439" s="42">
        <v>43228</v>
      </c>
      <c r="J439" s="77" t="s">
        <v>12</v>
      </c>
      <c r="K439" s="77" t="s">
        <v>1052</v>
      </c>
      <c r="L439">
        <v>39840</v>
      </c>
      <c r="M439">
        <v>160</v>
      </c>
      <c r="N439" s="44">
        <f t="shared" si="24"/>
        <v>249</v>
      </c>
      <c r="O439">
        <f t="shared" si="22"/>
        <v>652</v>
      </c>
      <c r="P439" s="97">
        <f t="shared" si="25"/>
        <v>1.9664363277393879</v>
      </c>
      <c r="Q439" s="8" t="s">
        <v>1890</v>
      </c>
    </row>
    <row r="440" spans="1:18" x14ac:dyDescent="0.25">
      <c r="A440" t="s">
        <v>1157</v>
      </c>
      <c r="B440" t="s">
        <v>1184</v>
      </c>
      <c r="C440" t="str">
        <f>VLOOKUP(B440,'[1]Planting GPS Points'!$B$3:$L$290,8,FALSE)</f>
        <v>CPS</v>
      </c>
      <c r="D440" t="str">
        <f>VLOOKUP(B440,'[1]Planting GPS Points'!$B$3:$AL$290,15,FALSE)</f>
        <v>SC 16-17</v>
      </c>
      <c r="E440" s="42">
        <v>42576</v>
      </c>
      <c r="F440" s="44">
        <v>160</v>
      </c>
      <c r="G440" s="47">
        <v>20260</v>
      </c>
      <c r="H440" s="35" t="s">
        <v>971</v>
      </c>
      <c r="I440" s="42">
        <v>43324</v>
      </c>
      <c r="J440" s="77" t="s">
        <v>12</v>
      </c>
      <c r="K440" s="77" t="s">
        <v>1052</v>
      </c>
      <c r="L440">
        <v>225600</v>
      </c>
      <c r="M440">
        <v>160</v>
      </c>
      <c r="N440" s="44">
        <f t="shared" si="24"/>
        <v>1410</v>
      </c>
      <c r="O440">
        <f t="shared" si="22"/>
        <v>748</v>
      </c>
      <c r="P440" s="97">
        <f t="shared" si="25"/>
        <v>11.135241855873643</v>
      </c>
      <c r="Q440" s="8" t="s">
        <v>1891</v>
      </c>
    </row>
    <row r="441" spans="1:18" x14ac:dyDescent="0.25">
      <c r="A441" t="s">
        <v>1157</v>
      </c>
      <c r="B441" t="s">
        <v>1184</v>
      </c>
      <c r="C441" t="str">
        <f>VLOOKUP(B441,'[1]Planting GPS Points'!$B$3:$L$290,8,FALSE)</f>
        <v>CPS</v>
      </c>
      <c r="D441" t="str">
        <f>VLOOKUP(B441,'[1]Planting GPS Points'!$B$3:$AL$290,15,FALSE)</f>
        <v>SC 16-17</v>
      </c>
      <c r="E441" s="42">
        <v>42576</v>
      </c>
      <c r="F441" s="44">
        <v>160</v>
      </c>
      <c r="G441" s="47">
        <v>20260</v>
      </c>
      <c r="H441" s="35" t="s">
        <v>971</v>
      </c>
      <c r="I441" s="42">
        <v>43348</v>
      </c>
      <c r="J441" s="77" t="s">
        <v>12</v>
      </c>
      <c r="K441" s="77" t="s">
        <v>1052</v>
      </c>
      <c r="L441">
        <v>215520</v>
      </c>
      <c r="M441">
        <v>160</v>
      </c>
      <c r="N441" s="44">
        <f t="shared" si="24"/>
        <v>1347</v>
      </c>
      <c r="O441">
        <f t="shared" si="22"/>
        <v>772</v>
      </c>
      <c r="P441" s="97">
        <f t="shared" si="25"/>
        <v>10.637709772951629</v>
      </c>
      <c r="Q441" s="8" t="s">
        <v>1892</v>
      </c>
    </row>
    <row r="442" spans="1:18" x14ac:dyDescent="0.25">
      <c r="A442" t="s">
        <v>1157</v>
      </c>
      <c r="B442" t="s">
        <v>1184</v>
      </c>
      <c r="C442" t="str">
        <f>VLOOKUP(B442,'[1]Planting GPS Points'!$B$3:$L$290,8,FALSE)</f>
        <v>CPS</v>
      </c>
      <c r="D442" t="str">
        <f>VLOOKUP(B442,'[1]Planting GPS Points'!$B$3:$AL$290,15,FALSE)</f>
        <v>SC 16-17</v>
      </c>
      <c r="E442" s="42">
        <v>42576</v>
      </c>
      <c r="F442" s="44">
        <v>160</v>
      </c>
      <c r="G442" s="47">
        <v>20260</v>
      </c>
      <c r="H442" s="35" t="s">
        <v>971</v>
      </c>
      <c r="I442" s="42">
        <v>43675</v>
      </c>
      <c r="J442" s="77" t="s">
        <v>12</v>
      </c>
      <c r="K442" s="77" t="s">
        <v>1052</v>
      </c>
      <c r="L442">
        <v>346419</v>
      </c>
      <c r="M442">
        <v>191</v>
      </c>
      <c r="N442" s="44">
        <f t="shared" si="24"/>
        <v>1813.7120418848167</v>
      </c>
      <c r="O442">
        <f t="shared" si="22"/>
        <v>1099</v>
      </c>
      <c r="P442" s="97">
        <f t="shared" si="25"/>
        <v>17.098667324777889</v>
      </c>
      <c r="Q442" s="8" t="s">
        <v>1893</v>
      </c>
    </row>
    <row r="443" spans="1:18" x14ac:dyDescent="0.25">
      <c r="A443" s="140" t="s">
        <v>1157</v>
      </c>
      <c r="B443" t="s">
        <v>1184</v>
      </c>
      <c r="C443" t="str">
        <f>VLOOKUP(B443,'[1]Planting GPS Points'!$B$3:$L$290,8,FALSE)</f>
        <v>CPS</v>
      </c>
      <c r="D443" t="str">
        <f>VLOOKUP(B443,'[1]Planting GPS Points'!$B$3:$AL$290,15,FALSE)</f>
        <v>SC 16-17</v>
      </c>
      <c r="E443" s="42">
        <v>42576</v>
      </c>
      <c r="F443" s="44">
        <v>160</v>
      </c>
      <c r="G443" s="47">
        <v>20260</v>
      </c>
      <c r="H443" s="35" t="s">
        <v>971</v>
      </c>
      <c r="I443" s="42">
        <v>44032</v>
      </c>
      <c r="J443" s="77" t="s">
        <v>12</v>
      </c>
      <c r="K443" s="77" t="s">
        <v>1052</v>
      </c>
      <c r="N443" s="44" t="str">
        <f t="shared" si="24"/>
        <v/>
      </c>
      <c r="O443">
        <f t="shared" ref="O443:O514" si="26">I443-E443</f>
        <v>1456</v>
      </c>
      <c r="P443" s="97" t="str">
        <f t="shared" si="25"/>
        <v/>
      </c>
      <c r="Q443" s="8" t="s">
        <v>1894</v>
      </c>
      <c r="R443" s="98"/>
    </row>
    <row r="444" spans="1:18" x14ac:dyDescent="0.25">
      <c r="A444" s="140" t="s">
        <v>1157</v>
      </c>
      <c r="B444" t="s">
        <v>1184</v>
      </c>
      <c r="C444" t="str">
        <f>VLOOKUP(B444,'[1]Planting GPS Points'!$B$3:$L$290,8,FALSE)</f>
        <v>CPS</v>
      </c>
      <c r="D444" t="str">
        <f>VLOOKUP(B444,'[1]Planting GPS Points'!$B$3:$AL$290,15,FALSE)</f>
        <v>SC 16-17</v>
      </c>
      <c r="E444" s="42">
        <v>42576</v>
      </c>
      <c r="F444" s="44">
        <v>160</v>
      </c>
      <c r="G444" s="47">
        <v>20260</v>
      </c>
      <c r="H444" s="35" t="s">
        <v>971</v>
      </c>
      <c r="I444" s="42">
        <v>44378</v>
      </c>
      <c r="J444" s="77" t="s">
        <v>12</v>
      </c>
      <c r="K444" s="77" t="s">
        <v>1052</v>
      </c>
      <c r="N444" s="44"/>
      <c r="P444" s="97"/>
      <c r="Q444" s="8"/>
      <c r="R444" s="98"/>
    </row>
    <row r="445" spans="1:18" x14ac:dyDescent="0.25">
      <c r="A445" s="140" t="s">
        <v>1157</v>
      </c>
      <c r="B445" t="s">
        <v>1184</v>
      </c>
      <c r="C445" t="str">
        <f>VLOOKUP(B445,'[1]Planting GPS Points'!$B$3:$L$290,8,FALSE)</f>
        <v>CPS</v>
      </c>
      <c r="D445" t="str">
        <f>VLOOKUP(B445,'[1]Planting GPS Points'!$B$3:$AL$290,15,FALSE)</f>
        <v>SC 16-17</v>
      </c>
      <c r="E445" s="42">
        <v>42576</v>
      </c>
      <c r="F445" s="44">
        <v>160</v>
      </c>
      <c r="G445" s="47">
        <v>20260</v>
      </c>
      <c r="H445" s="35" t="s">
        <v>971</v>
      </c>
      <c r="I445" s="42">
        <v>44743</v>
      </c>
      <c r="J445" s="77" t="s">
        <v>12</v>
      </c>
      <c r="K445" s="77" t="s">
        <v>1052</v>
      </c>
      <c r="N445" s="44"/>
      <c r="P445" s="97"/>
      <c r="Q445" s="8"/>
      <c r="R445" s="98"/>
    </row>
    <row r="446" spans="1:18" x14ac:dyDescent="0.25">
      <c r="A446" s="140" t="s">
        <v>1157</v>
      </c>
      <c r="B446" t="s">
        <v>1184</v>
      </c>
      <c r="C446" t="str">
        <f>VLOOKUP(B446,'[1]Planting GPS Points'!$B$3:$L$290,8,FALSE)</f>
        <v>CPS</v>
      </c>
      <c r="D446" t="str">
        <f>VLOOKUP(B446,'[1]Planting GPS Points'!$B$3:$AL$290,15,FALSE)</f>
        <v>SC 16-17</v>
      </c>
      <c r="E446" s="42">
        <v>42576</v>
      </c>
      <c r="F446" s="44">
        <v>160</v>
      </c>
      <c r="G446" s="47">
        <v>20260</v>
      </c>
      <c r="H446" s="35" t="s">
        <v>971</v>
      </c>
      <c r="I446" s="42">
        <v>45108</v>
      </c>
      <c r="J446" s="77" t="s">
        <v>12</v>
      </c>
      <c r="K446" s="77" t="s">
        <v>1052</v>
      </c>
      <c r="N446" s="44"/>
      <c r="P446" s="97"/>
      <c r="Q446" s="8"/>
      <c r="R446" s="98"/>
    </row>
    <row r="447" spans="1:18" x14ac:dyDescent="0.25">
      <c r="A447" s="140" t="s">
        <v>1157</v>
      </c>
      <c r="B447" t="s">
        <v>1184</v>
      </c>
      <c r="C447" t="str">
        <f>VLOOKUP(B447,'[1]Planting GPS Points'!$B$3:$L$290,8,FALSE)</f>
        <v>CPS</v>
      </c>
      <c r="D447" t="str">
        <f>VLOOKUP(B447,'[1]Planting GPS Points'!$B$3:$AL$290,15,FALSE)</f>
        <v>SC 16-17</v>
      </c>
      <c r="E447" s="42">
        <v>42576</v>
      </c>
      <c r="F447" s="44">
        <v>160</v>
      </c>
      <c r="G447" s="47">
        <v>20260</v>
      </c>
      <c r="H447" s="35" t="s">
        <v>971</v>
      </c>
      <c r="I447" s="42">
        <v>45474</v>
      </c>
      <c r="J447" s="77" t="s">
        <v>12</v>
      </c>
      <c r="K447" s="77" t="s">
        <v>1052</v>
      </c>
      <c r="N447" s="44"/>
      <c r="P447" s="97"/>
      <c r="Q447" s="8"/>
      <c r="R447" s="98"/>
    </row>
    <row r="448" spans="1:18" x14ac:dyDescent="0.25">
      <c r="A448" s="140" t="s">
        <v>1157</v>
      </c>
      <c r="B448" t="s">
        <v>1184</v>
      </c>
      <c r="C448" t="str">
        <f>VLOOKUP(B448,'[1]Planting GPS Points'!$B$3:$L$290,8,FALSE)</f>
        <v>CPS</v>
      </c>
      <c r="D448" t="str">
        <f>VLOOKUP(B448,'[1]Planting GPS Points'!$B$3:$AL$290,15,FALSE)</f>
        <v>SC 16-17</v>
      </c>
      <c r="E448" s="42">
        <v>42576</v>
      </c>
      <c r="F448" s="44">
        <v>160</v>
      </c>
      <c r="G448" s="47">
        <v>20260</v>
      </c>
      <c r="H448" s="35" t="s">
        <v>971</v>
      </c>
      <c r="I448" s="42">
        <v>45748</v>
      </c>
      <c r="J448" s="77" t="s">
        <v>12</v>
      </c>
      <c r="K448" s="77" t="s">
        <v>1052</v>
      </c>
      <c r="N448" s="44"/>
      <c r="P448" s="97"/>
      <c r="Q448" s="8" t="s">
        <v>1876</v>
      </c>
      <c r="R448" s="98"/>
    </row>
    <row r="449" spans="1:18" x14ac:dyDescent="0.25">
      <c r="A449" s="140" t="s">
        <v>1157</v>
      </c>
      <c r="B449" t="s">
        <v>1184</v>
      </c>
      <c r="C449" t="str">
        <f>VLOOKUP(B449,'[1]Planting GPS Points'!$B$3:$L$290,8,FALSE)</f>
        <v>CPS</v>
      </c>
      <c r="D449" t="str">
        <f>VLOOKUP(B449,'[1]Planting GPS Points'!$B$3:$AL$290,15,FALSE)</f>
        <v>SC 16-17</v>
      </c>
      <c r="E449" s="42">
        <v>42576</v>
      </c>
      <c r="F449" s="44">
        <v>160</v>
      </c>
      <c r="G449" s="47">
        <v>20260</v>
      </c>
      <c r="H449" s="35" t="s">
        <v>971</v>
      </c>
      <c r="I449" s="42">
        <v>45750</v>
      </c>
      <c r="J449" s="77" t="s">
        <v>12</v>
      </c>
      <c r="K449" s="77" t="s">
        <v>1052</v>
      </c>
      <c r="N449" s="44"/>
      <c r="P449" s="97"/>
      <c r="Q449" s="8" t="s">
        <v>1877</v>
      </c>
      <c r="R449" s="98"/>
    </row>
    <row r="450" spans="1:18" x14ac:dyDescent="0.25">
      <c r="A450" s="140"/>
      <c r="E450" s="42"/>
      <c r="F450" s="44"/>
      <c r="G450" s="47"/>
      <c r="H450" s="35"/>
      <c r="I450" s="42"/>
      <c r="J450" s="77"/>
      <c r="K450" s="77"/>
      <c r="N450" s="44"/>
      <c r="P450" s="97"/>
      <c r="Q450" s="8"/>
      <c r="R450" s="98"/>
    </row>
    <row r="451" spans="1:18" x14ac:dyDescent="0.25">
      <c r="A451" t="s">
        <v>1157</v>
      </c>
      <c r="B451" t="s">
        <v>1196</v>
      </c>
      <c r="C451" t="str">
        <f>VLOOKUP(B451,'[1]Planting GPS Points'!$B$3:$L$290,8,FALSE)</f>
        <v>CPS</v>
      </c>
      <c r="D451" t="str">
        <f>VLOOKUP(B451,'[1]Planting GPS Points'!$B$3:$AL$290,15,FALSE)</f>
        <v>SC 16-17</v>
      </c>
      <c r="E451" s="42">
        <v>42862</v>
      </c>
      <c r="F451" s="44">
        <v>160</v>
      </c>
      <c r="G451">
        <v>16570</v>
      </c>
      <c r="H451" s="35" t="s">
        <v>971</v>
      </c>
      <c r="I451" s="42">
        <v>43228</v>
      </c>
      <c r="J451" s="77" t="s">
        <v>12</v>
      </c>
      <c r="K451" s="77" t="s">
        <v>994</v>
      </c>
      <c r="O451">
        <f t="shared" si="26"/>
        <v>366</v>
      </c>
      <c r="P451" s="97" t="str">
        <f t="shared" si="25"/>
        <v/>
      </c>
      <c r="Q451" s="8" t="s">
        <v>1895</v>
      </c>
    </row>
    <row r="452" spans="1:18" x14ac:dyDescent="0.25">
      <c r="A452" t="s">
        <v>1157</v>
      </c>
      <c r="B452" t="s">
        <v>1196</v>
      </c>
      <c r="C452" t="str">
        <f>VLOOKUP(B452,'[1]Planting GPS Points'!$B$3:$L$290,8,FALSE)</f>
        <v>CPS</v>
      </c>
      <c r="D452" t="str">
        <f>VLOOKUP(B452,'[1]Planting GPS Points'!$B$3:$AL$290,15,FALSE)</f>
        <v>SC 16-17</v>
      </c>
      <c r="E452" s="42">
        <v>42862</v>
      </c>
      <c r="F452" s="44">
        <v>160</v>
      </c>
      <c r="G452">
        <v>16570</v>
      </c>
      <c r="H452" s="35" t="s">
        <v>971</v>
      </c>
      <c r="I452" s="42">
        <v>43322</v>
      </c>
      <c r="J452" s="77" t="s">
        <v>12</v>
      </c>
      <c r="K452" s="77" t="s">
        <v>994</v>
      </c>
      <c r="O452">
        <f t="shared" si="26"/>
        <v>460</v>
      </c>
      <c r="P452" s="97" t="str">
        <f t="shared" si="25"/>
        <v/>
      </c>
      <c r="Q452" s="8" t="s">
        <v>1896</v>
      </c>
    </row>
    <row r="453" spans="1:18" x14ac:dyDescent="0.25">
      <c r="A453" t="s">
        <v>1157</v>
      </c>
      <c r="B453" t="s">
        <v>1196</v>
      </c>
      <c r="C453" t="str">
        <f>VLOOKUP(B453,'[1]Planting GPS Points'!$B$3:$L$290,8,FALSE)</f>
        <v>CPS</v>
      </c>
      <c r="D453" t="str">
        <f>VLOOKUP(B453,'[1]Planting GPS Points'!$B$3:$AL$290,15,FALSE)</f>
        <v>SC 16-17</v>
      </c>
      <c r="E453" s="42">
        <v>42862</v>
      </c>
      <c r="F453" s="44">
        <v>160</v>
      </c>
      <c r="G453">
        <v>16570</v>
      </c>
      <c r="H453" s="35" t="s">
        <v>971</v>
      </c>
      <c r="I453" s="42">
        <v>43348</v>
      </c>
      <c r="J453" s="77" t="s">
        <v>12</v>
      </c>
      <c r="K453" s="77" t="s">
        <v>994</v>
      </c>
      <c r="O453">
        <f t="shared" si="26"/>
        <v>486</v>
      </c>
      <c r="P453" s="97" t="str">
        <f t="shared" si="25"/>
        <v/>
      </c>
      <c r="Q453" s="8" t="s">
        <v>1895</v>
      </c>
    </row>
    <row r="454" spans="1:18" x14ac:dyDescent="0.25">
      <c r="A454" t="s">
        <v>1157</v>
      </c>
      <c r="B454" t="s">
        <v>1196</v>
      </c>
      <c r="C454" t="str">
        <f>VLOOKUP(B454,'[1]Planting GPS Points'!$B$3:$L$290,8,FALSE)</f>
        <v>CPS</v>
      </c>
      <c r="D454" t="str">
        <f>VLOOKUP(B454,'[1]Planting GPS Points'!$B$3:$AL$290,15,FALSE)</f>
        <v>SC 16-17</v>
      </c>
      <c r="E454" s="42">
        <v>42862</v>
      </c>
      <c r="F454" s="44">
        <v>80</v>
      </c>
      <c r="G454">
        <v>16570</v>
      </c>
      <c r="H454" s="35" t="s">
        <v>971</v>
      </c>
      <c r="I454" s="42">
        <v>43707</v>
      </c>
      <c r="J454" s="77" t="s">
        <v>12</v>
      </c>
      <c r="K454" s="77" t="s">
        <v>994</v>
      </c>
      <c r="O454">
        <f t="shared" si="26"/>
        <v>845</v>
      </c>
      <c r="P454" s="97" t="str">
        <f t="shared" si="25"/>
        <v/>
      </c>
      <c r="Q454" s="8" t="s">
        <v>1897</v>
      </c>
    </row>
    <row r="455" spans="1:18" x14ac:dyDescent="0.25">
      <c r="A455" s="140" t="s">
        <v>1157</v>
      </c>
      <c r="B455" t="s">
        <v>1196</v>
      </c>
      <c r="C455" t="str">
        <f>VLOOKUP(B455,'[1]Planting GPS Points'!$B$3:$L$290,8,FALSE)</f>
        <v>CPS</v>
      </c>
      <c r="D455" t="str">
        <f>VLOOKUP(B455,'[1]Planting GPS Points'!$B$3:$AL$290,15,FALSE)</f>
        <v>SC 16-17</v>
      </c>
      <c r="E455" s="42">
        <v>42862</v>
      </c>
      <c r="F455" s="44">
        <v>80</v>
      </c>
      <c r="G455">
        <v>16570</v>
      </c>
      <c r="H455" s="35" t="s">
        <v>971</v>
      </c>
      <c r="I455" s="42">
        <v>44031</v>
      </c>
      <c r="J455" s="77" t="s">
        <v>12</v>
      </c>
      <c r="K455" s="77" t="s">
        <v>994</v>
      </c>
      <c r="N455" s="44" t="str">
        <f>IFERROR(L455/M455, "")</f>
        <v/>
      </c>
      <c r="O455">
        <f t="shared" si="26"/>
        <v>1169</v>
      </c>
      <c r="P455" s="97" t="str">
        <f t="shared" si="25"/>
        <v/>
      </c>
      <c r="Q455" s="8" t="s">
        <v>1898</v>
      </c>
    </row>
    <row r="456" spans="1:18" x14ac:dyDescent="0.25">
      <c r="A456" t="s">
        <v>1157</v>
      </c>
      <c r="B456" t="s">
        <v>1202</v>
      </c>
      <c r="C456" t="str">
        <f>VLOOKUP(B456,'[1]Planting GPS Points'!$B$3:$L$290,8,FALSE)</f>
        <v>CPS</v>
      </c>
      <c r="D456" t="str">
        <f>VLOOKUP(B456,'[1]Planting GPS Points'!$B$3:$AL$290,15,FALSE)</f>
        <v>SC 16-17</v>
      </c>
      <c r="E456" s="42">
        <v>42874</v>
      </c>
      <c r="F456" s="44">
        <v>155</v>
      </c>
      <c r="G456">
        <v>24734</v>
      </c>
      <c r="H456" s="35" t="s">
        <v>971</v>
      </c>
      <c r="I456" s="42">
        <v>43228</v>
      </c>
      <c r="J456" s="77" t="s">
        <v>12</v>
      </c>
      <c r="K456" s="77" t="s">
        <v>994</v>
      </c>
      <c r="O456">
        <f t="shared" si="26"/>
        <v>354</v>
      </c>
      <c r="P456" s="97" t="str">
        <f t="shared" si="25"/>
        <v/>
      </c>
      <c r="Q456" s="8" t="s">
        <v>1899</v>
      </c>
    </row>
    <row r="457" spans="1:18" x14ac:dyDescent="0.25">
      <c r="A457" t="s">
        <v>1157</v>
      </c>
      <c r="B457" t="s">
        <v>1202</v>
      </c>
      <c r="C457" t="str">
        <f>VLOOKUP(B457,'[1]Planting GPS Points'!$B$3:$L$290,8,FALSE)</f>
        <v>CPS</v>
      </c>
      <c r="D457" t="str">
        <f>VLOOKUP(B457,'[1]Planting GPS Points'!$B$3:$AL$290,15,FALSE)</f>
        <v>SC 16-17</v>
      </c>
      <c r="E457" s="42">
        <v>42874</v>
      </c>
      <c r="F457" s="44">
        <v>155</v>
      </c>
      <c r="G457">
        <v>24734</v>
      </c>
      <c r="H457" s="35" t="s">
        <v>971</v>
      </c>
      <c r="I457" s="42">
        <v>43322</v>
      </c>
      <c r="J457" s="77" t="s">
        <v>12</v>
      </c>
      <c r="K457" s="77" t="s">
        <v>994</v>
      </c>
      <c r="O457">
        <f t="shared" si="26"/>
        <v>448</v>
      </c>
      <c r="P457" s="97" t="str">
        <f t="shared" si="25"/>
        <v/>
      </c>
      <c r="Q457" s="8" t="s">
        <v>1900</v>
      </c>
    </row>
    <row r="458" spans="1:18" x14ac:dyDescent="0.25">
      <c r="A458" t="s">
        <v>1157</v>
      </c>
      <c r="B458" t="s">
        <v>1202</v>
      </c>
      <c r="C458" t="str">
        <f>VLOOKUP(B458,'[1]Planting GPS Points'!$B$3:$L$290,8,FALSE)</f>
        <v>CPS</v>
      </c>
      <c r="D458" t="str">
        <f>VLOOKUP(B458,'[1]Planting GPS Points'!$B$3:$AL$290,15,FALSE)</f>
        <v>SC 16-17</v>
      </c>
      <c r="E458" s="42">
        <v>42874</v>
      </c>
      <c r="F458" s="44">
        <v>155</v>
      </c>
      <c r="G458">
        <v>24734</v>
      </c>
      <c r="H458" s="35" t="s">
        <v>971</v>
      </c>
      <c r="I458" s="42">
        <v>43348</v>
      </c>
      <c r="J458" s="77" t="s">
        <v>12</v>
      </c>
      <c r="K458" s="77" t="s">
        <v>994</v>
      </c>
      <c r="O458">
        <f t="shared" si="26"/>
        <v>474</v>
      </c>
      <c r="P458" s="97" t="str">
        <f t="shared" si="25"/>
        <v/>
      </c>
      <c r="Q458" s="8" t="s">
        <v>1901</v>
      </c>
    </row>
    <row r="459" spans="1:18" x14ac:dyDescent="0.25">
      <c r="A459" t="s">
        <v>1157</v>
      </c>
      <c r="B459" t="s">
        <v>1202</v>
      </c>
      <c r="C459" t="str">
        <f>VLOOKUP(B459,'[1]Planting GPS Points'!$B$3:$L$290,8,FALSE)</f>
        <v>CPS</v>
      </c>
      <c r="D459" t="str">
        <f>VLOOKUP(B459,'[1]Planting GPS Points'!$B$3:$AL$290,15,FALSE)</f>
        <v>SC 16-17</v>
      </c>
      <c r="E459" s="42">
        <v>42874</v>
      </c>
      <c r="F459" s="44">
        <v>77.5</v>
      </c>
      <c r="G459">
        <v>24734</v>
      </c>
      <c r="H459" s="35" t="s">
        <v>971</v>
      </c>
      <c r="I459" s="42">
        <v>43707</v>
      </c>
      <c r="J459" s="77" t="s">
        <v>12</v>
      </c>
      <c r="K459" s="77" t="s">
        <v>994</v>
      </c>
      <c r="O459">
        <f t="shared" si="26"/>
        <v>833</v>
      </c>
      <c r="P459" s="97" t="str">
        <f t="shared" si="25"/>
        <v/>
      </c>
      <c r="Q459" s="8" t="s">
        <v>1897</v>
      </c>
    </row>
    <row r="460" spans="1:18" x14ac:dyDescent="0.25">
      <c r="A460" s="140" t="s">
        <v>1157</v>
      </c>
      <c r="B460" t="s">
        <v>1202</v>
      </c>
      <c r="C460" t="str">
        <f>VLOOKUP(B460,'[1]Planting GPS Points'!$B$3:$L$290,8,FALSE)</f>
        <v>CPS</v>
      </c>
      <c r="D460" t="str">
        <f>VLOOKUP(B460,'[1]Planting GPS Points'!$B$3:$AL$290,15,FALSE)</f>
        <v>SC 16-17</v>
      </c>
      <c r="E460" s="42">
        <v>42874</v>
      </c>
      <c r="F460" s="44">
        <v>77.5</v>
      </c>
      <c r="G460">
        <v>24734</v>
      </c>
      <c r="H460" s="35" t="s">
        <v>971</v>
      </c>
      <c r="I460" s="42">
        <v>44033</v>
      </c>
      <c r="J460" s="77" t="s">
        <v>12</v>
      </c>
      <c r="K460" s="77" t="s">
        <v>994</v>
      </c>
      <c r="N460" s="44" t="str">
        <f>IFERROR(L460/M460, "")</f>
        <v/>
      </c>
      <c r="O460">
        <f t="shared" si="26"/>
        <v>1159</v>
      </c>
      <c r="P460" s="97" t="str">
        <f t="shared" si="25"/>
        <v/>
      </c>
      <c r="Q460" s="8" t="s">
        <v>1902</v>
      </c>
    </row>
    <row r="461" spans="1:18" x14ac:dyDescent="0.25">
      <c r="A461" t="s">
        <v>1157</v>
      </c>
      <c r="B461" t="s">
        <v>1207</v>
      </c>
      <c r="C461" t="str">
        <f>VLOOKUP(B461,'[1]Planting GPS Points'!$B$3:$L$290,8,FALSE)</f>
        <v>CPS</v>
      </c>
      <c r="D461" t="str">
        <f>VLOOKUP(B461,'[1]Planting GPS Points'!$B$3:$AL$290,15,FALSE)</f>
        <v>SC 16-17</v>
      </c>
      <c r="E461" s="42">
        <v>42877</v>
      </c>
      <c r="F461" s="44">
        <v>160</v>
      </c>
      <c r="G461">
        <v>26149</v>
      </c>
      <c r="H461" s="35" t="s">
        <v>971</v>
      </c>
      <c r="I461" s="42">
        <v>43228</v>
      </c>
      <c r="J461" s="77" t="s">
        <v>12</v>
      </c>
      <c r="K461" s="77" t="s">
        <v>994</v>
      </c>
      <c r="O461">
        <f t="shared" si="26"/>
        <v>351</v>
      </c>
      <c r="P461" s="97" t="str">
        <f t="shared" si="25"/>
        <v/>
      </c>
      <c r="Q461" s="8" t="s">
        <v>1903</v>
      </c>
    </row>
    <row r="462" spans="1:18" x14ac:dyDescent="0.25">
      <c r="A462" t="s">
        <v>1157</v>
      </c>
      <c r="B462" t="s">
        <v>1207</v>
      </c>
      <c r="C462" t="str">
        <f>VLOOKUP(B462,'[1]Planting GPS Points'!$B$3:$L$290,8,FALSE)</f>
        <v>CPS</v>
      </c>
      <c r="D462" t="str">
        <f>VLOOKUP(B462,'[1]Planting GPS Points'!$B$3:$AL$290,15,FALSE)</f>
        <v>SC 16-17</v>
      </c>
      <c r="E462" s="42">
        <v>42877</v>
      </c>
      <c r="F462" s="44">
        <v>160</v>
      </c>
      <c r="G462">
        <v>26149</v>
      </c>
      <c r="H462" s="35" t="s">
        <v>971</v>
      </c>
      <c r="I462" s="42">
        <v>43323</v>
      </c>
      <c r="J462" s="77" t="s">
        <v>12</v>
      </c>
      <c r="K462" s="77" t="s">
        <v>994</v>
      </c>
      <c r="O462">
        <f t="shared" si="26"/>
        <v>446</v>
      </c>
      <c r="P462" s="97" t="str">
        <f t="shared" si="25"/>
        <v/>
      </c>
      <c r="Q462" s="8" t="s">
        <v>1904</v>
      </c>
    </row>
    <row r="463" spans="1:18" x14ac:dyDescent="0.25">
      <c r="A463" t="s">
        <v>1157</v>
      </c>
      <c r="B463" t="s">
        <v>1207</v>
      </c>
      <c r="C463" t="str">
        <f>VLOOKUP(B463,'[1]Planting GPS Points'!$B$3:$L$290,8,FALSE)</f>
        <v>CPS</v>
      </c>
      <c r="D463" t="str">
        <f>VLOOKUP(B463,'[1]Planting GPS Points'!$B$3:$AL$290,15,FALSE)</f>
        <v>SC 16-17</v>
      </c>
      <c r="E463" s="42">
        <v>42877</v>
      </c>
      <c r="F463" s="44">
        <v>160</v>
      </c>
      <c r="G463">
        <v>26149</v>
      </c>
      <c r="H463" s="35" t="s">
        <v>971</v>
      </c>
      <c r="I463" s="42">
        <v>43348</v>
      </c>
      <c r="J463" s="77" t="s">
        <v>12</v>
      </c>
      <c r="K463" s="77" t="s">
        <v>994</v>
      </c>
      <c r="O463">
        <f t="shared" si="26"/>
        <v>471</v>
      </c>
      <c r="P463" s="97" t="str">
        <f t="shared" si="25"/>
        <v/>
      </c>
      <c r="Q463" s="8" t="s">
        <v>1905</v>
      </c>
    </row>
    <row r="464" spans="1:18" x14ac:dyDescent="0.25">
      <c r="A464" t="s">
        <v>1157</v>
      </c>
      <c r="B464" t="s">
        <v>1207</v>
      </c>
      <c r="C464" t="str">
        <f>VLOOKUP(B464,'[1]Planting GPS Points'!$B$3:$L$290,8,FALSE)</f>
        <v>CPS</v>
      </c>
      <c r="D464" t="str">
        <f>VLOOKUP(B464,'[1]Planting GPS Points'!$B$3:$AL$290,15,FALSE)</f>
        <v>SC 16-17</v>
      </c>
      <c r="E464" s="42">
        <v>42877</v>
      </c>
      <c r="F464" s="44">
        <v>80</v>
      </c>
      <c r="G464">
        <v>26149</v>
      </c>
      <c r="H464" s="35" t="s">
        <v>971</v>
      </c>
      <c r="I464" s="42">
        <v>43707</v>
      </c>
      <c r="J464" s="77" t="s">
        <v>12</v>
      </c>
      <c r="K464" s="77" t="s">
        <v>994</v>
      </c>
      <c r="O464">
        <f t="shared" si="26"/>
        <v>830</v>
      </c>
      <c r="P464" s="97" t="str">
        <f t="shared" si="25"/>
        <v/>
      </c>
      <c r="Q464" s="8" t="s">
        <v>1897</v>
      </c>
    </row>
    <row r="465" spans="1:18" x14ac:dyDescent="0.25">
      <c r="A465" t="s">
        <v>1157</v>
      </c>
      <c r="B465" t="s">
        <v>1207</v>
      </c>
      <c r="C465" t="str">
        <f>VLOOKUP(B465,'[1]Planting GPS Points'!$B$3:$L$290,8,FALSE)</f>
        <v>CPS</v>
      </c>
      <c r="D465" t="str">
        <f>VLOOKUP(B465,'[1]Planting GPS Points'!$B$3:$AL$290,15,FALSE)</f>
        <v>SC 16-17</v>
      </c>
      <c r="E465" s="42">
        <v>42877</v>
      </c>
      <c r="F465" s="109" t="str">
        <f>VLOOKUP(B465,PLANTING,26,FALSE)</f>
        <v>turf</v>
      </c>
      <c r="G465" s="111">
        <f>VLOOKUP(B465,PLANTING,29,FALSE)</f>
        <v>160</v>
      </c>
      <c r="H465" s="35" t="s">
        <v>963</v>
      </c>
      <c r="I465" s="42">
        <v>43965</v>
      </c>
      <c r="J465" s="77" t="s">
        <v>12</v>
      </c>
      <c r="K465" s="77" t="s">
        <v>994</v>
      </c>
      <c r="L465">
        <v>12916</v>
      </c>
      <c r="M465" s="47">
        <v>22</v>
      </c>
      <c r="N465" s="44">
        <f t="shared" ref="N465:N501" si="27">IFERROR(L465/M465, "")</f>
        <v>587.09090909090912</v>
      </c>
      <c r="O465">
        <f t="shared" si="26"/>
        <v>1088</v>
      </c>
      <c r="P465" s="97">
        <f t="shared" si="25"/>
        <v>80.724999999999994</v>
      </c>
      <c r="Q465" s="145" t="s">
        <v>1906</v>
      </c>
    </row>
    <row r="466" spans="1:18" x14ac:dyDescent="0.25">
      <c r="A466" s="140" t="s">
        <v>1157</v>
      </c>
      <c r="B466" t="s">
        <v>1207</v>
      </c>
      <c r="C466" t="str">
        <f>VLOOKUP(B466,'[1]Planting GPS Points'!$B$3:$L$290,8,FALSE)</f>
        <v>CPS</v>
      </c>
      <c r="D466" t="str">
        <f>VLOOKUP(B466,'[1]Planting GPS Points'!$B$3:$AL$290,15,FALSE)</f>
        <v>SC 16-17</v>
      </c>
      <c r="E466" s="42">
        <v>42877</v>
      </c>
      <c r="F466" s="44">
        <v>80</v>
      </c>
      <c r="G466">
        <v>26149</v>
      </c>
      <c r="H466" s="35" t="s">
        <v>971</v>
      </c>
      <c r="I466" s="42">
        <v>44034</v>
      </c>
      <c r="J466" s="77" t="s">
        <v>12</v>
      </c>
      <c r="K466" s="77" t="s">
        <v>994</v>
      </c>
      <c r="N466" s="44" t="str">
        <f t="shared" si="27"/>
        <v/>
      </c>
      <c r="O466">
        <f t="shared" si="26"/>
        <v>1157</v>
      </c>
      <c r="P466" s="97" t="str">
        <f t="shared" si="25"/>
        <v/>
      </c>
      <c r="Q466" s="8" t="s">
        <v>1907</v>
      </c>
    </row>
    <row r="467" spans="1:18" x14ac:dyDescent="0.25">
      <c r="A467" s="9" t="s">
        <v>1157</v>
      </c>
      <c r="B467" s="9" t="s">
        <v>1238</v>
      </c>
      <c r="C467" t="str">
        <f>VLOOKUP(B467,'[1]Planting GPS Points'!$B$3:$L$290,8,FALSE)</f>
        <v>CPS</v>
      </c>
      <c r="D467">
        <f>VLOOKUP(B467,'[1]Planting GPS Points'!$B$3:$AL$290,15,FALSE)</f>
        <v>0</v>
      </c>
      <c r="E467" s="42">
        <v>42881</v>
      </c>
      <c r="F467" s="44">
        <v>1.25</v>
      </c>
      <c r="G467">
        <v>90</v>
      </c>
      <c r="H467" s="35" t="s">
        <v>971</v>
      </c>
      <c r="I467" s="42">
        <v>42938</v>
      </c>
      <c r="J467" s="77" t="s">
        <v>12</v>
      </c>
      <c r="K467" s="77" t="s">
        <v>1230</v>
      </c>
      <c r="L467">
        <v>124</v>
      </c>
      <c r="M467">
        <v>1.25</v>
      </c>
      <c r="N467" s="44">
        <f t="shared" si="27"/>
        <v>99.2</v>
      </c>
      <c r="O467">
        <f t="shared" si="26"/>
        <v>57</v>
      </c>
      <c r="P467" s="97">
        <f t="shared" si="25"/>
        <v>1.3777777777777778</v>
      </c>
      <c r="Q467" s="8" t="s">
        <v>1865</v>
      </c>
    </row>
    <row r="468" spans="1:18" x14ac:dyDescent="0.25">
      <c r="A468" s="9" t="s">
        <v>1157</v>
      </c>
      <c r="B468" s="9" t="s">
        <v>1238</v>
      </c>
      <c r="C468" t="str">
        <f>VLOOKUP(B468,'[1]Planting GPS Points'!$B$3:$L$290,8,FALSE)</f>
        <v>CPS</v>
      </c>
      <c r="D468">
        <f>VLOOKUP(B468,'[1]Planting GPS Points'!$B$3:$AL$290,15,FALSE)</f>
        <v>0</v>
      </c>
      <c r="E468" s="42">
        <v>42881</v>
      </c>
      <c r="F468" s="44">
        <v>1.25</v>
      </c>
      <c r="G468">
        <v>90</v>
      </c>
      <c r="H468" s="35" t="s">
        <v>971</v>
      </c>
      <c r="I468" s="42">
        <v>42968</v>
      </c>
      <c r="J468" s="77" t="s">
        <v>12</v>
      </c>
      <c r="K468" s="77" t="s">
        <v>1230</v>
      </c>
      <c r="L468">
        <v>259</v>
      </c>
      <c r="M468">
        <v>1.25</v>
      </c>
      <c r="N468" s="44">
        <f t="shared" si="27"/>
        <v>207.2</v>
      </c>
      <c r="O468">
        <f t="shared" si="26"/>
        <v>87</v>
      </c>
      <c r="P468" s="97">
        <f t="shared" si="25"/>
        <v>2.8777777777777778</v>
      </c>
      <c r="Q468" s="8" t="s">
        <v>1865</v>
      </c>
    </row>
    <row r="469" spans="1:18" x14ac:dyDescent="0.25">
      <c r="A469" s="9" t="s">
        <v>1157</v>
      </c>
      <c r="B469" s="9" t="s">
        <v>1238</v>
      </c>
      <c r="C469" t="str">
        <f>VLOOKUP(B469,'[1]Planting GPS Points'!$B$3:$L$290,8,FALSE)</f>
        <v>CPS</v>
      </c>
      <c r="D469">
        <f>VLOOKUP(B469,'[1]Planting GPS Points'!$B$3:$AL$290,15,FALSE)</f>
        <v>0</v>
      </c>
      <c r="E469" s="42">
        <v>42881</v>
      </c>
      <c r="F469" s="44">
        <v>1.25</v>
      </c>
      <c r="G469">
        <v>90</v>
      </c>
      <c r="H469" s="35" t="s">
        <v>971</v>
      </c>
      <c r="I469" s="42">
        <v>43238</v>
      </c>
      <c r="J469" s="77" t="s">
        <v>12</v>
      </c>
      <c r="K469" s="77" t="s">
        <v>1230</v>
      </c>
      <c r="L469">
        <v>711</v>
      </c>
      <c r="M469">
        <v>1.25</v>
      </c>
      <c r="N469" s="44">
        <f t="shared" si="27"/>
        <v>568.79999999999995</v>
      </c>
      <c r="O469">
        <f t="shared" si="26"/>
        <v>357</v>
      </c>
      <c r="P469" s="97">
        <f t="shared" si="25"/>
        <v>7.9</v>
      </c>
      <c r="Q469" s="8" t="s">
        <v>1865</v>
      </c>
    </row>
    <row r="470" spans="1:18" x14ac:dyDescent="0.25">
      <c r="A470" s="9" t="s">
        <v>1157</v>
      </c>
      <c r="B470" s="9" t="s">
        <v>1238</v>
      </c>
      <c r="C470" t="str">
        <f>VLOOKUP(B470,'[1]Planting GPS Points'!$B$3:$L$290,8,FALSE)</f>
        <v>CPS</v>
      </c>
      <c r="D470">
        <f>VLOOKUP(B470,'[1]Planting GPS Points'!$B$3:$AL$290,15,FALSE)</f>
        <v>0</v>
      </c>
      <c r="E470" s="42">
        <v>42881</v>
      </c>
      <c r="F470" s="44">
        <v>1.25</v>
      </c>
      <c r="G470">
        <v>90</v>
      </c>
      <c r="H470" s="35" t="s">
        <v>971</v>
      </c>
      <c r="I470" s="42">
        <v>43294</v>
      </c>
      <c r="J470" s="77" t="s">
        <v>12</v>
      </c>
      <c r="K470" s="77" t="s">
        <v>1230</v>
      </c>
      <c r="L470">
        <v>755</v>
      </c>
      <c r="M470">
        <v>1.25</v>
      </c>
      <c r="N470" s="44">
        <f t="shared" si="27"/>
        <v>604</v>
      </c>
      <c r="O470">
        <f t="shared" si="26"/>
        <v>413</v>
      </c>
      <c r="P470" s="97">
        <f t="shared" si="25"/>
        <v>8.3888888888888893</v>
      </c>
      <c r="Q470" s="8" t="s">
        <v>1865</v>
      </c>
    </row>
    <row r="471" spans="1:18" x14ac:dyDescent="0.25">
      <c r="A471" s="9" t="s">
        <v>1157</v>
      </c>
      <c r="B471" s="9" t="s">
        <v>1238</v>
      </c>
      <c r="C471" t="str">
        <f>VLOOKUP(B471,'[1]Planting GPS Points'!$B$3:$L$290,8,FALSE)</f>
        <v>CPS</v>
      </c>
      <c r="D471">
        <f>VLOOKUP(B471,'[1]Planting GPS Points'!$B$3:$AL$290,15,FALSE)</f>
        <v>0</v>
      </c>
      <c r="E471" s="42">
        <v>42881</v>
      </c>
      <c r="F471" s="44">
        <v>1.25</v>
      </c>
      <c r="G471">
        <v>90</v>
      </c>
      <c r="H471" s="35" t="s">
        <v>971</v>
      </c>
      <c r="I471" s="42">
        <v>43321</v>
      </c>
      <c r="J471" s="77" t="s">
        <v>12</v>
      </c>
      <c r="K471" s="77" t="s">
        <v>1230</v>
      </c>
      <c r="L471">
        <v>989</v>
      </c>
      <c r="M471">
        <v>1.25</v>
      </c>
      <c r="N471" s="44">
        <f t="shared" si="27"/>
        <v>791.2</v>
      </c>
      <c r="O471">
        <f t="shared" si="26"/>
        <v>440</v>
      </c>
      <c r="P471" s="97">
        <f t="shared" si="25"/>
        <v>10.988888888888889</v>
      </c>
      <c r="Q471" s="8" t="s">
        <v>1865</v>
      </c>
    </row>
    <row r="472" spans="1:18" x14ac:dyDescent="0.25">
      <c r="A472" s="9" t="s">
        <v>1157</v>
      </c>
      <c r="B472" s="9" t="s">
        <v>1238</v>
      </c>
      <c r="C472" t="str">
        <f>VLOOKUP(B472,'[1]Planting GPS Points'!$B$3:$L$290,8,FALSE)</f>
        <v>CPS</v>
      </c>
      <c r="D472">
        <f>VLOOKUP(B472,'[1]Planting GPS Points'!$B$3:$AL$290,15,FALSE)</f>
        <v>0</v>
      </c>
      <c r="E472" s="42">
        <v>42881</v>
      </c>
      <c r="F472" s="44">
        <v>1.25</v>
      </c>
      <c r="G472">
        <v>90</v>
      </c>
      <c r="H472" s="35" t="s">
        <v>971</v>
      </c>
      <c r="I472" s="42">
        <v>43678</v>
      </c>
      <c r="J472" s="77" t="s">
        <v>12</v>
      </c>
      <c r="K472" s="77" t="s">
        <v>1230</v>
      </c>
      <c r="L472">
        <v>1197</v>
      </c>
      <c r="M472">
        <v>1.25</v>
      </c>
      <c r="N472" s="44">
        <f t="shared" si="27"/>
        <v>957.6</v>
      </c>
      <c r="O472">
        <f t="shared" si="26"/>
        <v>797</v>
      </c>
      <c r="P472" s="97">
        <f t="shared" si="25"/>
        <v>13.3</v>
      </c>
      <c r="Q472" s="8" t="s">
        <v>1865</v>
      </c>
    </row>
    <row r="473" spans="1:18" x14ac:dyDescent="0.25">
      <c r="A473" s="140" t="s">
        <v>1157</v>
      </c>
      <c r="B473" s="9" t="s">
        <v>1238</v>
      </c>
      <c r="C473" t="str">
        <f>VLOOKUP(B473,'[1]Planting GPS Points'!$B$3:$L$290,8,FALSE)</f>
        <v>CPS</v>
      </c>
      <c r="D473">
        <f>VLOOKUP(B473,'[1]Planting GPS Points'!$B$3:$AL$290,15,FALSE)</f>
        <v>0</v>
      </c>
      <c r="E473" s="42">
        <v>42881</v>
      </c>
      <c r="F473" s="44">
        <v>1.25</v>
      </c>
      <c r="G473">
        <v>90</v>
      </c>
      <c r="H473" s="35" t="s">
        <v>971</v>
      </c>
      <c r="I473" s="42">
        <v>44032</v>
      </c>
      <c r="J473" s="77" t="s">
        <v>12</v>
      </c>
      <c r="K473" s="77" t="s">
        <v>1230</v>
      </c>
      <c r="N473" s="44" t="str">
        <f t="shared" si="27"/>
        <v/>
      </c>
      <c r="O473">
        <f t="shared" si="26"/>
        <v>1151</v>
      </c>
      <c r="P473" s="97" t="str">
        <f t="shared" si="25"/>
        <v/>
      </c>
      <c r="Q473" s="8" t="s">
        <v>1865</v>
      </c>
    </row>
    <row r="474" spans="1:18" x14ac:dyDescent="0.25">
      <c r="A474" s="146" t="s">
        <v>1157</v>
      </c>
      <c r="B474" s="146" t="s">
        <v>1276</v>
      </c>
      <c r="C474" t="str">
        <f>VLOOKUP(B474,'[1]Planting GPS Points'!$B$3:$L$290,8,FALSE)</f>
        <v>CPS</v>
      </c>
      <c r="D474">
        <f>VLOOKUP(B474,'[1]Planting GPS Points'!$B$3:$AL$290,15,FALSE)</f>
        <v>0</v>
      </c>
      <c r="E474" s="147">
        <v>44011</v>
      </c>
      <c r="F474" s="146">
        <v>5</v>
      </c>
      <c r="G474" s="146">
        <v>500</v>
      </c>
      <c r="H474" s="148" t="s">
        <v>963</v>
      </c>
      <c r="I474" s="147">
        <v>44306</v>
      </c>
      <c r="J474" s="149" t="s">
        <v>23</v>
      </c>
      <c r="K474" s="149" t="s">
        <v>982</v>
      </c>
      <c r="L474" s="146">
        <v>0</v>
      </c>
      <c r="M474" s="146">
        <v>6.25</v>
      </c>
      <c r="N474" s="150">
        <f t="shared" si="27"/>
        <v>0</v>
      </c>
      <c r="O474" s="146">
        <f t="shared" si="26"/>
        <v>295</v>
      </c>
      <c r="P474" s="151">
        <f t="shared" si="25"/>
        <v>0</v>
      </c>
      <c r="Q474" s="152" t="s">
        <v>1719</v>
      </c>
      <c r="R474" t="s">
        <v>1908</v>
      </c>
    </row>
    <row r="475" spans="1:18" x14ac:dyDescent="0.25">
      <c r="A475" s="146" t="s">
        <v>1286</v>
      </c>
      <c r="B475" s="146" t="s">
        <v>1287</v>
      </c>
      <c r="C475" t="str">
        <f>VLOOKUP(B475,'[1]Planting GPS Points'!$B$3:$L$290,8,FALSE)</f>
        <v>CPS</v>
      </c>
      <c r="D475">
        <f>VLOOKUP(B475,'[1]Planting GPS Points'!$B$3:$AL$290,15,FALSE)</f>
        <v>0</v>
      </c>
      <c r="E475" s="147">
        <v>44012</v>
      </c>
      <c r="F475" s="146">
        <v>4.75</v>
      </c>
      <c r="G475" s="146">
        <v>475</v>
      </c>
      <c r="H475" s="148" t="s">
        <v>963</v>
      </c>
      <c r="I475" s="147">
        <v>44307</v>
      </c>
      <c r="J475" s="149" t="s">
        <v>23</v>
      </c>
      <c r="K475" s="149" t="s">
        <v>982</v>
      </c>
      <c r="L475" s="146">
        <v>0</v>
      </c>
      <c r="M475" s="146">
        <v>6.25</v>
      </c>
      <c r="N475" s="150">
        <f t="shared" si="27"/>
        <v>0</v>
      </c>
      <c r="O475" s="146">
        <f t="shared" si="26"/>
        <v>295</v>
      </c>
      <c r="P475" s="151">
        <f t="shared" si="25"/>
        <v>0</v>
      </c>
      <c r="Q475" s="152" t="s">
        <v>1719</v>
      </c>
      <c r="R475" t="s">
        <v>1909</v>
      </c>
    </row>
    <row r="476" spans="1:18" s="114" customFormat="1" x14ac:dyDescent="0.25">
      <c r="A476" s="146" t="s">
        <v>44</v>
      </c>
      <c r="B476" s="146" t="s">
        <v>1289</v>
      </c>
      <c r="C476" t="str">
        <f>VLOOKUP(B476,'[1]Planting GPS Points'!$B$3:$L$290,8,FALSE)</f>
        <v>CPS</v>
      </c>
      <c r="D476" t="str">
        <f>VLOOKUP(B476,'[1]Planting GPS Points'!$B$3:$AL$290,15,FALSE)</f>
        <v>IAA 12-317</v>
      </c>
      <c r="E476" s="147">
        <v>41432</v>
      </c>
      <c r="F476" s="150">
        <v>36</v>
      </c>
      <c r="G476" s="146">
        <v>720</v>
      </c>
      <c r="H476" s="148" t="s">
        <v>963</v>
      </c>
      <c r="I476" s="147">
        <v>41716</v>
      </c>
      <c r="J476" s="149" t="s">
        <v>23</v>
      </c>
      <c r="K476" s="149" t="s">
        <v>967</v>
      </c>
      <c r="L476" s="146">
        <v>3</v>
      </c>
      <c r="M476" s="146">
        <v>36</v>
      </c>
      <c r="N476" s="150">
        <f t="shared" si="27"/>
        <v>8.3333333333333329E-2</v>
      </c>
      <c r="O476" s="146">
        <f t="shared" si="26"/>
        <v>284</v>
      </c>
      <c r="P476" s="151">
        <f t="shared" si="25"/>
        <v>4.1666666666666666E-3</v>
      </c>
      <c r="Q476" s="153"/>
      <c r="R476"/>
    </row>
    <row r="477" spans="1:18" s="154" customFormat="1" x14ac:dyDescent="0.25">
      <c r="A477" s="146" t="s">
        <v>44</v>
      </c>
      <c r="B477" s="146" t="s">
        <v>1291</v>
      </c>
      <c r="C477" t="str">
        <f>VLOOKUP(B477,'[1]Planting GPS Points'!$B$3:$L$290,8,FALSE)</f>
        <v>CPS</v>
      </c>
      <c r="D477" t="str">
        <f>VLOOKUP(B477,'[1]Planting GPS Points'!$B$3:$AL$290,15,FALSE)</f>
        <v>IAA 12-317</v>
      </c>
      <c r="E477" s="147">
        <v>41432</v>
      </c>
      <c r="F477" s="150">
        <v>30</v>
      </c>
      <c r="G477" s="146">
        <v>600</v>
      </c>
      <c r="H477" s="148" t="s">
        <v>963</v>
      </c>
      <c r="I477" s="147">
        <v>41716</v>
      </c>
      <c r="J477" s="149" t="s">
        <v>23</v>
      </c>
      <c r="K477" s="149" t="s">
        <v>967</v>
      </c>
      <c r="L477" s="146">
        <v>8</v>
      </c>
      <c r="M477" s="146">
        <v>30</v>
      </c>
      <c r="N477" s="150">
        <f t="shared" si="27"/>
        <v>0.26666666666666666</v>
      </c>
      <c r="O477" s="146">
        <f t="shared" si="26"/>
        <v>284</v>
      </c>
      <c r="P477" s="151">
        <f t="shared" si="25"/>
        <v>1.3333333333333334E-2</v>
      </c>
      <c r="Q477" s="153"/>
      <c r="R477"/>
    </row>
    <row r="478" spans="1:18" s="154" customFormat="1" x14ac:dyDescent="0.25">
      <c r="A478" s="155" t="s">
        <v>1292</v>
      </c>
      <c r="B478" s="155" t="s">
        <v>1299</v>
      </c>
      <c r="C478" t="str">
        <f>VLOOKUP(B478,'[1]Planting GPS Points'!$B$3:$L$290,8,FALSE)</f>
        <v>CPS</v>
      </c>
      <c r="D478">
        <f>VLOOKUP(B478,'[1]Planting GPS Points'!$B$3:$AL$290,15,FALSE)</f>
        <v>0</v>
      </c>
      <c r="E478" s="156">
        <v>44012</v>
      </c>
      <c r="F478" s="155">
        <v>5</v>
      </c>
      <c r="G478" s="155">
        <v>500</v>
      </c>
      <c r="H478" s="157" t="s">
        <v>963</v>
      </c>
      <c r="I478" s="156">
        <v>44307</v>
      </c>
      <c r="J478" s="158" t="s">
        <v>12</v>
      </c>
      <c r="K478" s="158" t="s">
        <v>982</v>
      </c>
      <c r="L478" s="155">
        <v>66</v>
      </c>
      <c r="M478" s="155">
        <v>6.25</v>
      </c>
      <c r="N478" s="159">
        <f t="shared" si="27"/>
        <v>10.56</v>
      </c>
      <c r="O478" s="155">
        <f t="shared" si="26"/>
        <v>295</v>
      </c>
      <c r="P478" s="160">
        <f t="shared" si="25"/>
        <v>0.13200000000000001</v>
      </c>
      <c r="Q478" s="161" t="s">
        <v>1719</v>
      </c>
      <c r="R478" s="94" t="s">
        <v>1910</v>
      </c>
    </row>
    <row r="479" spans="1:18" s="154" customFormat="1" x14ac:dyDescent="0.25">
      <c r="A479" s="146" t="s">
        <v>1292</v>
      </c>
      <c r="B479" s="146" t="s">
        <v>1296</v>
      </c>
      <c r="C479" t="str">
        <f>VLOOKUP(B479,'[1]Planting GPS Points'!$B$3:$L$290,8,FALSE)</f>
        <v>CPS</v>
      </c>
      <c r="D479" t="str">
        <f>VLOOKUP(B479,'[1]Planting GPS Points'!$B$3:$AL$290,15,FALSE)</f>
        <v>SC 16-17</v>
      </c>
      <c r="E479" s="147">
        <v>42859</v>
      </c>
      <c r="F479" s="150">
        <v>25</v>
      </c>
      <c r="G479" s="162">
        <v>994</v>
      </c>
      <c r="H479" s="148" t="s">
        <v>1739</v>
      </c>
      <c r="I479" s="147">
        <v>42933</v>
      </c>
      <c r="J479" s="149" t="s">
        <v>23</v>
      </c>
      <c r="K479" s="149" t="s">
        <v>994</v>
      </c>
      <c r="L479" s="146">
        <v>0</v>
      </c>
      <c r="M479" s="146">
        <v>0</v>
      </c>
      <c r="N479" s="150" t="str">
        <f t="shared" si="27"/>
        <v/>
      </c>
      <c r="O479" s="146">
        <f t="shared" si="26"/>
        <v>74</v>
      </c>
      <c r="P479" s="151">
        <f t="shared" si="25"/>
        <v>0</v>
      </c>
      <c r="Q479" s="153" t="s">
        <v>1911</v>
      </c>
      <c r="R479"/>
    </row>
    <row r="480" spans="1:18" x14ac:dyDescent="0.25">
      <c r="A480" s="146" t="s">
        <v>1292</v>
      </c>
      <c r="B480" s="146" t="s">
        <v>1293</v>
      </c>
      <c r="C480" t="str">
        <f>VLOOKUP(B480,'[1]Planting GPS Points'!$B$3:$L$290,8,FALSE)</f>
        <v>CPS</v>
      </c>
      <c r="D480" t="str">
        <f>VLOOKUP(B480,'[1]Planting GPS Points'!$B$3:$AL$290,15,FALSE)</f>
        <v>SC 16-17</v>
      </c>
      <c r="E480" s="147">
        <v>42859</v>
      </c>
      <c r="F480" s="150">
        <v>25</v>
      </c>
      <c r="G480" s="162">
        <v>998</v>
      </c>
      <c r="H480" s="148" t="s">
        <v>1739</v>
      </c>
      <c r="I480" s="147">
        <v>42933</v>
      </c>
      <c r="J480" s="149" t="s">
        <v>23</v>
      </c>
      <c r="K480" s="149" t="s">
        <v>994</v>
      </c>
      <c r="L480" s="146">
        <v>0</v>
      </c>
      <c r="M480" s="146">
        <v>0</v>
      </c>
      <c r="N480" s="150" t="str">
        <f t="shared" si="27"/>
        <v/>
      </c>
      <c r="O480" s="146">
        <f t="shared" si="26"/>
        <v>74</v>
      </c>
      <c r="P480" s="151">
        <f t="shared" si="25"/>
        <v>0</v>
      </c>
      <c r="Q480" s="153" t="s">
        <v>1911</v>
      </c>
    </row>
    <row r="481" spans="1:18" x14ac:dyDescent="0.25">
      <c r="A481" s="163" t="s">
        <v>160</v>
      </c>
      <c r="B481" s="163" t="s">
        <v>1309</v>
      </c>
      <c r="C481" t="str">
        <f>VLOOKUP(B481,'[1]Planting GPS Points'!$B$3:$L$290,8,FALSE)</f>
        <v>CPS</v>
      </c>
      <c r="D481" t="str">
        <f>VLOOKUP(B481,'[1]Planting GPS Points'!$B$3:$AL$290,15,FALSE)</f>
        <v>93-094344</v>
      </c>
      <c r="E481" s="164">
        <v>42893</v>
      </c>
      <c r="F481" s="165">
        <v>5</v>
      </c>
      <c r="G481" s="163">
        <v>500</v>
      </c>
      <c r="H481" s="148" t="s">
        <v>963</v>
      </c>
      <c r="I481" s="147">
        <v>43164</v>
      </c>
      <c r="J481" s="149" t="s">
        <v>23</v>
      </c>
      <c r="K481" s="149" t="s">
        <v>982</v>
      </c>
      <c r="L481" s="146">
        <v>0</v>
      </c>
      <c r="M481" s="162">
        <v>5</v>
      </c>
      <c r="N481" s="150">
        <f t="shared" si="27"/>
        <v>0</v>
      </c>
      <c r="O481" s="146">
        <f t="shared" si="26"/>
        <v>271</v>
      </c>
      <c r="P481" s="151">
        <f t="shared" si="25"/>
        <v>0</v>
      </c>
      <c r="Q481" s="153" t="s">
        <v>1912</v>
      </c>
    </row>
    <row r="482" spans="1:18" x14ac:dyDescent="0.25">
      <c r="A482" s="163" t="s">
        <v>160</v>
      </c>
      <c r="B482" s="163" t="s">
        <v>1310</v>
      </c>
      <c r="C482" t="str">
        <f>VLOOKUP(B482,'[1]Planting GPS Points'!$B$3:$L$290,8,FALSE)</f>
        <v>CPS</v>
      </c>
      <c r="D482" t="str">
        <f>VLOOKUP(B482,'[1]Planting GPS Points'!$B$3:$AL$290,15,FALSE)</f>
        <v>93-094344</v>
      </c>
      <c r="E482" s="164">
        <v>42893</v>
      </c>
      <c r="F482" s="165">
        <v>5</v>
      </c>
      <c r="G482" s="163">
        <v>500</v>
      </c>
      <c r="H482" s="148" t="s">
        <v>963</v>
      </c>
      <c r="I482" s="147">
        <v>43164</v>
      </c>
      <c r="J482" s="149" t="s">
        <v>23</v>
      </c>
      <c r="K482" s="149" t="s">
        <v>982</v>
      </c>
      <c r="L482" s="146">
        <v>0</v>
      </c>
      <c r="M482" s="162">
        <v>5</v>
      </c>
      <c r="N482" s="150">
        <f t="shared" si="27"/>
        <v>0</v>
      </c>
      <c r="O482" s="146">
        <f t="shared" si="26"/>
        <v>271</v>
      </c>
      <c r="P482" s="151">
        <f t="shared" si="25"/>
        <v>0</v>
      </c>
      <c r="Q482" s="166" t="s">
        <v>1913</v>
      </c>
    </row>
    <row r="483" spans="1:18" x14ac:dyDescent="0.25">
      <c r="A483" s="62" t="s">
        <v>160</v>
      </c>
      <c r="B483" s="18" t="s">
        <v>1312</v>
      </c>
      <c r="C483" t="str">
        <f>VLOOKUP(B483,'[1]Planting GPS Points'!$B$3:$L$290,8,FALSE)</f>
        <v>CPS</v>
      </c>
      <c r="D483" t="str">
        <f>VLOOKUP(B483,'[1]Planting GPS Points'!$B$3:$AL$290,15,FALSE)</f>
        <v>93-094344</v>
      </c>
      <c r="E483" s="3">
        <v>42923</v>
      </c>
      <c r="F483" s="55">
        <v>40</v>
      </c>
      <c r="G483" s="9">
        <v>2000</v>
      </c>
      <c r="H483" s="35" t="s">
        <v>963</v>
      </c>
      <c r="I483" s="42">
        <v>43164</v>
      </c>
      <c r="J483" s="77" t="s">
        <v>12</v>
      </c>
      <c r="K483" s="77" t="s">
        <v>982</v>
      </c>
      <c r="N483" s="44" t="str">
        <f t="shared" si="27"/>
        <v/>
      </c>
      <c r="O483">
        <f t="shared" si="26"/>
        <v>241</v>
      </c>
      <c r="P483" s="97" t="str">
        <f t="shared" si="25"/>
        <v/>
      </c>
      <c r="Q483" s="8" t="s">
        <v>1914</v>
      </c>
    </row>
    <row r="484" spans="1:18" x14ac:dyDescent="0.25">
      <c r="A484" t="s">
        <v>160</v>
      </c>
      <c r="B484" s="107" t="s">
        <v>1312</v>
      </c>
      <c r="C484" t="str">
        <f>VLOOKUP(B484,'[1]Planting GPS Points'!$B$3:$L$290,8,FALSE)</f>
        <v>CPS</v>
      </c>
      <c r="D484" t="str">
        <f>VLOOKUP(B484,'[1]Planting GPS Points'!$B$3:$AL$290,15,FALSE)</f>
        <v>93-094344</v>
      </c>
      <c r="E484" s="108">
        <v>42923</v>
      </c>
      <c r="F484" s="109">
        <v>20</v>
      </c>
      <c r="G484" s="107">
        <v>2000</v>
      </c>
      <c r="H484" s="35" t="s">
        <v>963</v>
      </c>
      <c r="I484" s="42">
        <v>43573</v>
      </c>
      <c r="J484" s="77" t="s">
        <v>23</v>
      </c>
      <c r="K484" s="77" t="s">
        <v>982</v>
      </c>
      <c r="L484">
        <v>0</v>
      </c>
      <c r="M484">
        <v>20</v>
      </c>
      <c r="N484" s="44">
        <f t="shared" si="27"/>
        <v>0</v>
      </c>
      <c r="O484">
        <f t="shared" si="26"/>
        <v>650</v>
      </c>
      <c r="P484" s="97">
        <f t="shared" ref="P484:P533" si="28">IF(L484="", "", L484/G484)</f>
        <v>0</v>
      </c>
      <c r="Q484" t="s">
        <v>1915</v>
      </c>
    </row>
    <row r="485" spans="1:18" x14ac:dyDescent="0.25">
      <c r="A485" s="62" t="s">
        <v>160</v>
      </c>
      <c r="B485" s="18" t="s">
        <v>1311</v>
      </c>
      <c r="C485" t="str">
        <f>VLOOKUP(B485,'[1]Planting GPS Points'!$B$3:$L$290,8,FALSE)</f>
        <v>CPS</v>
      </c>
      <c r="D485" t="str">
        <f>VLOOKUP(B485,'[1]Planting GPS Points'!$B$3:$AL$290,15,FALSE)</f>
        <v>93-094344</v>
      </c>
      <c r="E485" s="59">
        <v>42922</v>
      </c>
      <c r="F485" s="65">
        <v>120</v>
      </c>
      <c r="G485" s="62">
        <v>5825</v>
      </c>
      <c r="H485" s="35" t="s">
        <v>963</v>
      </c>
      <c r="I485" s="42">
        <v>43164</v>
      </c>
      <c r="J485" s="77" t="s">
        <v>12</v>
      </c>
      <c r="K485" s="77" t="s">
        <v>982</v>
      </c>
      <c r="N485" s="44" t="str">
        <f t="shared" si="27"/>
        <v/>
      </c>
      <c r="O485">
        <f t="shared" si="26"/>
        <v>242</v>
      </c>
      <c r="P485" s="97" t="str">
        <f t="shared" si="28"/>
        <v/>
      </c>
      <c r="Q485" s="8" t="s">
        <v>1916</v>
      </c>
    </row>
    <row r="486" spans="1:18" x14ac:dyDescent="0.25">
      <c r="A486" t="s">
        <v>160</v>
      </c>
      <c r="B486" s="107" t="s">
        <v>1311</v>
      </c>
      <c r="C486" t="str">
        <f>VLOOKUP(B486,'[1]Planting GPS Points'!$B$3:$L$290,8,FALSE)</f>
        <v>CPS</v>
      </c>
      <c r="D486" t="str">
        <f>VLOOKUP(B486,'[1]Planting GPS Points'!$B$3:$AL$290,15,FALSE)</f>
        <v>93-094344</v>
      </c>
      <c r="E486" s="108">
        <v>42922</v>
      </c>
      <c r="F486" s="109">
        <v>58.25</v>
      </c>
      <c r="G486" s="107">
        <v>5825</v>
      </c>
      <c r="H486" s="35" t="s">
        <v>963</v>
      </c>
      <c r="I486" s="42">
        <v>43573</v>
      </c>
      <c r="J486" s="77" t="s">
        <v>12</v>
      </c>
      <c r="K486" s="77" t="s">
        <v>982</v>
      </c>
      <c r="L486">
        <v>310</v>
      </c>
      <c r="M486">
        <v>58.25</v>
      </c>
      <c r="N486" s="44">
        <f t="shared" si="27"/>
        <v>5.3218884120171674</v>
      </c>
      <c r="O486">
        <f t="shared" si="26"/>
        <v>651</v>
      </c>
      <c r="P486" s="97">
        <f t="shared" si="28"/>
        <v>5.3218884120171672E-2</v>
      </c>
      <c r="Q486" s="110" t="s">
        <v>1917</v>
      </c>
    </row>
    <row r="487" spans="1:18" x14ac:dyDescent="0.25">
      <c r="A487" s="9" t="s">
        <v>160</v>
      </c>
      <c r="B487" s="71" t="s">
        <v>1311</v>
      </c>
      <c r="C487" t="str">
        <f>VLOOKUP(B487,'[1]Planting GPS Points'!$B$3:$L$290,8,FALSE)</f>
        <v>CPS</v>
      </c>
      <c r="D487" t="str">
        <f>VLOOKUP(B487,'[1]Planting GPS Points'!$B$3:$AL$290,15,FALSE)</f>
        <v>93-094344</v>
      </c>
      <c r="E487" s="59">
        <v>42922</v>
      </c>
      <c r="F487" s="44">
        <v>58.25</v>
      </c>
      <c r="G487">
        <v>5825</v>
      </c>
      <c r="H487" s="35" t="s">
        <v>963</v>
      </c>
      <c r="I487" s="42">
        <v>44132</v>
      </c>
      <c r="J487" s="77" t="s">
        <v>12</v>
      </c>
      <c r="K487" s="77" t="s">
        <v>982</v>
      </c>
      <c r="L487">
        <v>26</v>
      </c>
      <c r="M487">
        <v>58.25</v>
      </c>
      <c r="N487" s="44">
        <f t="shared" si="27"/>
        <v>0.44635193133047213</v>
      </c>
      <c r="O487">
        <f t="shared" si="26"/>
        <v>1210</v>
      </c>
      <c r="P487" s="97">
        <f t="shared" si="28"/>
        <v>4.4635193133047207E-3</v>
      </c>
      <c r="Q487" s="71" t="s">
        <v>1918</v>
      </c>
    </row>
    <row r="488" spans="1:18" x14ac:dyDescent="0.25">
      <c r="A488" s="62" t="s">
        <v>160</v>
      </c>
      <c r="B488" s="18" t="s">
        <v>1314</v>
      </c>
      <c r="C488" t="str">
        <f>VLOOKUP(B488,'[1]Planting GPS Points'!$B$3:$L$290,8,FALSE)</f>
        <v>CPS</v>
      </c>
      <c r="D488" t="str">
        <f>VLOOKUP(B488,'[1]Planting GPS Points'!$B$3:$AL$290,15,FALSE)</f>
        <v>93-094344</v>
      </c>
      <c r="E488" s="59">
        <v>42924</v>
      </c>
      <c r="F488" s="65">
        <v>80</v>
      </c>
      <c r="G488" s="62">
        <v>4000</v>
      </c>
      <c r="H488" s="35" t="s">
        <v>963</v>
      </c>
      <c r="I488" s="42">
        <v>43164</v>
      </c>
      <c r="J488" s="77" t="s">
        <v>12</v>
      </c>
      <c r="K488" s="77" t="s">
        <v>982</v>
      </c>
      <c r="N488" s="44" t="str">
        <f t="shared" si="27"/>
        <v/>
      </c>
      <c r="O488">
        <f t="shared" si="26"/>
        <v>240</v>
      </c>
      <c r="P488" s="97" t="str">
        <f t="shared" si="28"/>
        <v/>
      </c>
      <c r="Q488" s="8" t="s">
        <v>1919</v>
      </c>
    </row>
    <row r="489" spans="1:18" x14ac:dyDescent="0.25">
      <c r="A489" t="s">
        <v>160</v>
      </c>
      <c r="B489" s="107" t="s">
        <v>1314</v>
      </c>
      <c r="C489" t="str">
        <f>VLOOKUP(B489,'[1]Planting GPS Points'!$B$3:$L$290,8,FALSE)</f>
        <v>CPS</v>
      </c>
      <c r="D489" t="str">
        <f>VLOOKUP(B489,'[1]Planting GPS Points'!$B$3:$AL$290,15,FALSE)</f>
        <v>93-094344</v>
      </c>
      <c r="E489" s="108">
        <v>42924</v>
      </c>
      <c r="F489" s="109">
        <v>40</v>
      </c>
      <c r="G489" s="107">
        <v>4000</v>
      </c>
      <c r="H489" s="35" t="s">
        <v>963</v>
      </c>
      <c r="I489" s="42">
        <v>43573</v>
      </c>
      <c r="J489" s="77" t="s">
        <v>12</v>
      </c>
      <c r="K489" s="77" t="s">
        <v>982</v>
      </c>
      <c r="L489">
        <v>2050</v>
      </c>
      <c r="M489">
        <v>40</v>
      </c>
      <c r="N489" s="44">
        <f t="shared" si="27"/>
        <v>51.25</v>
      </c>
      <c r="O489">
        <f t="shared" si="26"/>
        <v>649</v>
      </c>
      <c r="P489" s="97">
        <f t="shared" si="28"/>
        <v>0.51249999999999996</v>
      </c>
      <c r="Q489" t="s">
        <v>1920</v>
      </c>
    </row>
    <row r="490" spans="1:18" x14ac:dyDescent="0.25">
      <c r="A490" s="9" t="s">
        <v>160</v>
      </c>
      <c r="B490" s="71" t="s">
        <v>1314</v>
      </c>
      <c r="C490" t="str">
        <f>VLOOKUP(B490,'[1]Planting GPS Points'!$B$3:$L$290,8,FALSE)</f>
        <v>CPS</v>
      </c>
      <c r="D490" t="str">
        <f>VLOOKUP(B490,'[1]Planting GPS Points'!$B$3:$AL$290,15,FALSE)</f>
        <v>93-094344</v>
      </c>
      <c r="E490" s="59">
        <v>42924</v>
      </c>
      <c r="F490" s="124">
        <v>40</v>
      </c>
      <c r="G490" s="114">
        <v>4000</v>
      </c>
      <c r="H490" s="35" t="s">
        <v>963</v>
      </c>
      <c r="I490" s="42">
        <v>44132</v>
      </c>
      <c r="J490" s="77" t="s">
        <v>12</v>
      </c>
      <c r="K490" s="77" t="s">
        <v>982</v>
      </c>
      <c r="L490">
        <v>1194</v>
      </c>
      <c r="M490">
        <v>40</v>
      </c>
      <c r="N490" s="44">
        <f t="shared" si="27"/>
        <v>29.85</v>
      </c>
      <c r="O490">
        <f t="shared" si="26"/>
        <v>1208</v>
      </c>
      <c r="P490" s="97">
        <f t="shared" si="28"/>
        <v>0.29849999999999999</v>
      </c>
      <c r="Q490" s="71" t="s">
        <v>1921</v>
      </c>
    </row>
    <row r="491" spans="1:18" x14ac:dyDescent="0.25">
      <c r="A491" t="s">
        <v>160</v>
      </c>
      <c r="B491" t="s">
        <v>1303</v>
      </c>
      <c r="C491" t="str">
        <f>VLOOKUP(B491,'[1]Planting GPS Points'!$B$3:$L$290,8,FALSE)</f>
        <v>CPS</v>
      </c>
      <c r="D491" t="str">
        <f>VLOOKUP(B491,'[1]Planting GPS Points'!$B$3:$AL$290,15,FALSE)</f>
        <v>93-094344</v>
      </c>
      <c r="E491" s="42">
        <v>42634</v>
      </c>
      <c r="F491" s="44">
        <v>6.25</v>
      </c>
      <c r="G491">
        <v>500</v>
      </c>
      <c r="H491" s="35" t="s">
        <v>963</v>
      </c>
      <c r="I491" s="42">
        <v>42836</v>
      </c>
      <c r="J491" s="77" t="s">
        <v>12</v>
      </c>
      <c r="K491" s="77" t="s">
        <v>982</v>
      </c>
      <c r="L491" s="77"/>
      <c r="M491" s="77">
        <v>6.25</v>
      </c>
      <c r="N491" s="44">
        <f t="shared" si="27"/>
        <v>0</v>
      </c>
      <c r="O491" s="77">
        <f t="shared" si="26"/>
        <v>202</v>
      </c>
      <c r="P491" s="97" t="str">
        <f t="shared" si="28"/>
        <v/>
      </c>
      <c r="Q491" s="8" t="s">
        <v>1922</v>
      </c>
    </row>
    <row r="492" spans="1:18" x14ac:dyDescent="0.25">
      <c r="A492" t="s">
        <v>160</v>
      </c>
      <c r="B492" t="s">
        <v>1304</v>
      </c>
      <c r="C492" t="str">
        <f>VLOOKUP(B492,'[1]Planting GPS Points'!$B$3:$L$290,8,FALSE)</f>
        <v>CPS</v>
      </c>
      <c r="D492" t="str">
        <f>VLOOKUP(B492,'[1]Planting GPS Points'!$B$3:$AL$290,15,FALSE)</f>
        <v>93-094344</v>
      </c>
      <c r="E492" s="42">
        <v>42634</v>
      </c>
      <c r="F492" s="44">
        <v>6.25</v>
      </c>
      <c r="G492">
        <v>500</v>
      </c>
      <c r="H492" s="35" t="s">
        <v>963</v>
      </c>
      <c r="I492" s="42">
        <v>42836</v>
      </c>
      <c r="J492" s="77" t="s">
        <v>12</v>
      </c>
      <c r="K492" s="77" t="s">
        <v>982</v>
      </c>
      <c r="L492">
        <v>28</v>
      </c>
      <c r="M492">
        <v>6.25</v>
      </c>
      <c r="N492" s="44">
        <f t="shared" si="27"/>
        <v>4.4800000000000004</v>
      </c>
      <c r="O492" s="77">
        <f t="shared" si="26"/>
        <v>202</v>
      </c>
      <c r="P492" s="97">
        <f t="shared" si="28"/>
        <v>5.6000000000000001E-2</v>
      </c>
      <c r="Q492" s="8" t="s">
        <v>1923</v>
      </c>
    </row>
    <row r="493" spans="1:18" x14ac:dyDescent="0.25">
      <c r="A493" t="s">
        <v>160</v>
      </c>
      <c r="B493" t="s">
        <v>1302</v>
      </c>
      <c r="C493" t="str">
        <f>VLOOKUP(B493,'[1]Planting GPS Points'!$B$3:$L$290,8,FALSE)</f>
        <v>CPS</v>
      </c>
      <c r="D493" t="str">
        <f>VLOOKUP(B493,'[1]Planting GPS Points'!$B$3:$AL$290,15,FALSE)</f>
        <v>93-094344</v>
      </c>
      <c r="E493" s="42">
        <v>42634</v>
      </c>
      <c r="F493" s="44">
        <v>6.25</v>
      </c>
      <c r="G493">
        <v>500</v>
      </c>
      <c r="H493" s="35" t="s">
        <v>963</v>
      </c>
      <c r="I493" s="42">
        <v>42836</v>
      </c>
      <c r="J493" s="77" t="s">
        <v>12</v>
      </c>
      <c r="K493" s="77" t="s">
        <v>982</v>
      </c>
      <c r="L493">
        <v>81</v>
      </c>
      <c r="M493">
        <v>6.25</v>
      </c>
      <c r="N493" s="44">
        <f t="shared" si="27"/>
        <v>12.96</v>
      </c>
      <c r="O493" s="77">
        <f t="shared" si="26"/>
        <v>202</v>
      </c>
      <c r="P493" s="97">
        <f t="shared" si="28"/>
        <v>0.16200000000000001</v>
      </c>
      <c r="Q493" s="8" t="s">
        <v>1924</v>
      </c>
      <c r="R493" s="8"/>
    </row>
    <row r="494" spans="1:18" x14ac:dyDescent="0.25">
      <c r="A494" s="9" t="s">
        <v>160</v>
      </c>
      <c r="B494" s="9" t="s">
        <v>1305</v>
      </c>
      <c r="C494" t="str">
        <f>VLOOKUP(B494,'[1]Planting GPS Points'!$B$3:$L$290,8,FALSE)</f>
        <v>CPS</v>
      </c>
      <c r="D494" t="str">
        <f>VLOOKUP(B494,'[1]Planting GPS Points'!$B$3:$AL$290,15,FALSE)</f>
        <v>93-094344</v>
      </c>
      <c r="E494" s="42">
        <v>42634</v>
      </c>
      <c r="F494" s="44">
        <v>6.25</v>
      </c>
      <c r="G494">
        <v>500</v>
      </c>
      <c r="H494" s="35" t="s">
        <v>963</v>
      </c>
      <c r="I494" s="42">
        <v>42835</v>
      </c>
      <c r="J494" s="77" t="s">
        <v>23</v>
      </c>
      <c r="K494" s="77" t="s">
        <v>982</v>
      </c>
      <c r="L494">
        <v>0</v>
      </c>
      <c r="M494">
        <v>6.25</v>
      </c>
      <c r="N494" s="44">
        <f t="shared" si="27"/>
        <v>0</v>
      </c>
      <c r="O494">
        <f t="shared" si="26"/>
        <v>201</v>
      </c>
      <c r="P494" s="97">
        <f t="shared" si="28"/>
        <v>0</v>
      </c>
      <c r="Q494" s="8" t="s">
        <v>1925</v>
      </c>
      <c r="R494" s="8"/>
    </row>
    <row r="495" spans="1:18" x14ac:dyDescent="0.25">
      <c r="A495" s="9" t="s">
        <v>160</v>
      </c>
      <c r="B495" s="9" t="s">
        <v>1306</v>
      </c>
      <c r="C495" t="str">
        <f>VLOOKUP(B495,'[1]Planting GPS Points'!$B$3:$L$290,8,FALSE)</f>
        <v>CPS</v>
      </c>
      <c r="D495" t="str">
        <f>VLOOKUP(B495,'[1]Planting GPS Points'!$B$3:$AL$290,15,FALSE)</f>
        <v>93-094344</v>
      </c>
      <c r="E495" s="3">
        <v>42634</v>
      </c>
      <c r="F495" s="65">
        <v>5</v>
      </c>
      <c r="G495" s="9">
        <v>500</v>
      </c>
      <c r="H495" s="35" t="s">
        <v>963</v>
      </c>
      <c r="I495" s="42">
        <v>42835</v>
      </c>
      <c r="J495" s="77" t="s">
        <v>23</v>
      </c>
      <c r="K495" s="77" t="s">
        <v>982</v>
      </c>
      <c r="L495">
        <v>0</v>
      </c>
      <c r="M495" s="62">
        <v>5</v>
      </c>
      <c r="N495" s="44">
        <f t="shared" si="27"/>
        <v>0</v>
      </c>
      <c r="O495">
        <f t="shared" si="26"/>
        <v>201</v>
      </c>
      <c r="P495" s="97">
        <f t="shared" si="28"/>
        <v>0</v>
      </c>
      <c r="Q495" s="8" t="s">
        <v>1925</v>
      </c>
      <c r="R495" s="8"/>
    </row>
    <row r="496" spans="1:18" x14ac:dyDescent="0.25">
      <c r="A496" s="9" t="s">
        <v>160</v>
      </c>
      <c r="B496" s="9" t="s">
        <v>1308</v>
      </c>
      <c r="C496" t="str">
        <f>VLOOKUP(B496,'[1]Planting GPS Points'!$B$3:$L$290,8,FALSE)</f>
        <v>CPS</v>
      </c>
      <c r="D496" t="str">
        <f>VLOOKUP(B496,'[1]Planting GPS Points'!$B$3:$AL$290,15,FALSE)</f>
        <v>93-094344</v>
      </c>
      <c r="E496" s="3">
        <v>42634</v>
      </c>
      <c r="F496" s="65">
        <v>5</v>
      </c>
      <c r="G496" s="9">
        <v>500</v>
      </c>
      <c r="H496" s="35" t="s">
        <v>963</v>
      </c>
      <c r="I496" s="42">
        <v>42835</v>
      </c>
      <c r="J496" s="77" t="s">
        <v>23</v>
      </c>
      <c r="K496" s="77" t="s">
        <v>967</v>
      </c>
      <c r="L496">
        <v>0</v>
      </c>
      <c r="M496" s="62">
        <v>5</v>
      </c>
      <c r="N496" s="44">
        <f t="shared" si="27"/>
        <v>0</v>
      </c>
      <c r="O496">
        <f t="shared" si="26"/>
        <v>201</v>
      </c>
      <c r="P496" s="97">
        <f t="shared" si="28"/>
        <v>0</v>
      </c>
      <c r="Q496" s="8" t="s">
        <v>1925</v>
      </c>
      <c r="R496" s="8"/>
    </row>
    <row r="497" spans="1:18" x14ac:dyDescent="0.25">
      <c r="A497" s="18" t="s">
        <v>1316</v>
      </c>
      <c r="B497" s="18" t="s">
        <v>1317</v>
      </c>
      <c r="C497" t="str">
        <f>VLOOKUP(B497,'[1]Planting GPS Points'!$B$3:$L$290,8,FALSE)</f>
        <v>CPS</v>
      </c>
      <c r="D497" t="str">
        <f>VLOOKUP(B497,'[1]Planting GPS Points'!$B$3:$AL$290,15,FALSE)</f>
        <v>93-094344</v>
      </c>
      <c r="E497" s="84">
        <v>42978</v>
      </c>
      <c r="F497" s="87">
        <v>5.75</v>
      </c>
      <c r="G497" s="18">
        <v>450</v>
      </c>
      <c r="H497" s="35" t="s">
        <v>963</v>
      </c>
      <c r="I497" s="42">
        <v>43167</v>
      </c>
      <c r="J497" s="77" t="s">
        <v>12</v>
      </c>
      <c r="K497" s="77" t="s">
        <v>982</v>
      </c>
      <c r="L497">
        <v>170</v>
      </c>
      <c r="M497" s="18">
        <v>5.75</v>
      </c>
      <c r="N497" s="44">
        <f t="shared" si="27"/>
        <v>29.565217391304348</v>
      </c>
      <c r="O497">
        <f t="shared" si="26"/>
        <v>189</v>
      </c>
      <c r="P497" s="97">
        <f t="shared" si="28"/>
        <v>0.37777777777777777</v>
      </c>
      <c r="Q497" s="72" t="s">
        <v>1926</v>
      </c>
    </row>
    <row r="498" spans="1:18" x14ac:dyDescent="0.25">
      <c r="A498" s="18" t="s">
        <v>1316</v>
      </c>
      <c r="B498" s="18" t="s">
        <v>1317</v>
      </c>
      <c r="C498" t="str">
        <f>VLOOKUP(B498,'[1]Planting GPS Points'!$B$3:$L$290,8,FALSE)</f>
        <v>CPS</v>
      </c>
      <c r="D498" t="str">
        <f>VLOOKUP(B498,'[1]Planting GPS Points'!$B$3:$AL$290,15,FALSE)</f>
        <v>93-094344</v>
      </c>
      <c r="E498" s="84">
        <v>42978</v>
      </c>
      <c r="F498" s="109" t="str">
        <f>VLOOKUP(B498,PLANTING,26,FALSE)</f>
        <v>rebar</v>
      </c>
      <c r="G498" s="111">
        <f>VLOOKUP(B498,PLANTING,29,FALSE)</f>
        <v>6.25</v>
      </c>
      <c r="H498" s="35" t="s">
        <v>963</v>
      </c>
      <c r="I498" s="42">
        <v>43963</v>
      </c>
      <c r="J498" s="77" t="s">
        <v>12</v>
      </c>
      <c r="K498" s="77" t="s">
        <v>982</v>
      </c>
      <c r="L498">
        <v>0</v>
      </c>
      <c r="M498" s="47">
        <v>4.5</v>
      </c>
      <c r="N498" s="44">
        <f t="shared" si="27"/>
        <v>0</v>
      </c>
      <c r="O498">
        <f t="shared" si="26"/>
        <v>985</v>
      </c>
      <c r="P498" s="167">
        <f t="shared" si="28"/>
        <v>0</v>
      </c>
      <c r="Q498" s="8" t="s">
        <v>1927</v>
      </c>
    </row>
    <row r="499" spans="1:18" x14ac:dyDescent="0.25">
      <c r="A499" s="18" t="s">
        <v>1316</v>
      </c>
      <c r="B499" s="18" t="s">
        <v>1320</v>
      </c>
      <c r="C499" t="str">
        <f>VLOOKUP(B499,'[1]Planting GPS Points'!$B$3:$L$290,8,FALSE)</f>
        <v>CPS</v>
      </c>
      <c r="D499" t="str">
        <f>VLOOKUP(B499,'[1]Planting GPS Points'!$B$3:$AL$290,15,FALSE)</f>
        <v>93-094344</v>
      </c>
      <c r="E499" s="84">
        <v>42978</v>
      </c>
      <c r="F499" s="87">
        <v>6.25</v>
      </c>
      <c r="G499" s="18">
        <v>500</v>
      </c>
      <c r="H499" s="35" t="s">
        <v>963</v>
      </c>
      <c r="I499" s="42">
        <v>43167</v>
      </c>
      <c r="J499" s="77" t="s">
        <v>12</v>
      </c>
      <c r="K499" s="77" t="s">
        <v>982</v>
      </c>
      <c r="L499">
        <v>219</v>
      </c>
      <c r="M499" s="18">
        <v>6.25</v>
      </c>
      <c r="N499" s="44">
        <f t="shared" si="27"/>
        <v>35.04</v>
      </c>
      <c r="O499">
        <f t="shared" si="26"/>
        <v>189</v>
      </c>
      <c r="P499" s="97">
        <f t="shared" si="28"/>
        <v>0.438</v>
      </c>
      <c r="Q499" s="8" t="s">
        <v>1928</v>
      </c>
    </row>
    <row r="500" spans="1:18" x14ac:dyDescent="0.25">
      <c r="A500" s="18" t="s">
        <v>1316</v>
      </c>
      <c r="B500" s="18" t="s">
        <v>1320</v>
      </c>
      <c r="C500" t="str">
        <f>VLOOKUP(B500,'[1]Planting GPS Points'!$B$3:$L$290,8,FALSE)</f>
        <v>CPS</v>
      </c>
      <c r="D500" t="str">
        <f>VLOOKUP(B500,'[1]Planting GPS Points'!$B$3:$AL$290,15,FALSE)</f>
        <v>93-094344</v>
      </c>
      <c r="E500" s="84">
        <v>42978</v>
      </c>
      <c r="F500" s="109" t="str">
        <f>VLOOKUP(B500,PLANTING,26,FALSE)</f>
        <v>rebar</v>
      </c>
      <c r="G500" s="111">
        <f>VLOOKUP(B500,PLANTING,29,FALSE)</f>
        <v>6.25</v>
      </c>
      <c r="H500" s="35" t="s">
        <v>963</v>
      </c>
      <c r="I500" s="42">
        <v>43963</v>
      </c>
      <c r="J500" s="77" t="s">
        <v>12</v>
      </c>
      <c r="K500" s="77" t="s">
        <v>982</v>
      </c>
      <c r="L500">
        <v>18</v>
      </c>
      <c r="M500" s="47">
        <v>5</v>
      </c>
      <c r="N500" s="44">
        <f t="shared" si="27"/>
        <v>3.6</v>
      </c>
      <c r="O500">
        <f t="shared" si="26"/>
        <v>985</v>
      </c>
      <c r="P500" s="167">
        <f t="shared" si="28"/>
        <v>2.88</v>
      </c>
      <c r="Q500" s="8" t="s">
        <v>1929</v>
      </c>
    </row>
    <row r="501" spans="1:18" x14ac:dyDescent="0.25">
      <c r="A501" t="s">
        <v>1321</v>
      </c>
      <c r="B501" t="s">
        <v>1322</v>
      </c>
      <c r="C501" t="str">
        <f>VLOOKUP(B501,'[1]Planting GPS Points'!$B$3:$L$290,8,FALSE)</f>
        <v>CPS</v>
      </c>
      <c r="D501">
        <f>VLOOKUP(B501,'[1]Planting GPS Points'!$B$3:$AL$290,15,FALSE)</f>
        <v>0</v>
      </c>
      <c r="E501" s="42">
        <v>44344</v>
      </c>
      <c r="F501">
        <v>6.75</v>
      </c>
      <c r="G501">
        <v>540</v>
      </c>
      <c r="H501" s="35" t="s">
        <v>971</v>
      </c>
      <c r="I501" s="42">
        <v>44684</v>
      </c>
      <c r="J501" s="77" t="s">
        <v>12</v>
      </c>
      <c r="K501" s="77" t="s">
        <v>982</v>
      </c>
      <c r="L501">
        <v>3</v>
      </c>
      <c r="M501">
        <v>0.25</v>
      </c>
      <c r="N501" s="44">
        <f t="shared" si="27"/>
        <v>12</v>
      </c>
      <c r="O501" s="94">
        <f t="shared" si="26"/>
        <v>340</v>
      </c>
      <c r="P501" s="103">
        <f t="shared" si="28"/>
        <v>5.5555555555555558E-3</v>
      </c>
      <c r="Q501" s="118" t="s">
        <v>1930</v>
      </c>
    </row>
    <row r="502" spans="1:18" x14ac:dyDescent="0.25">
      <c r="A502" s="168" t="s">
        <v>944</v>
      </c>
      <c r="B502" s="154" t="s">
        <v>1324</v>
      </c>
      <c r="C502" t="str">
        <f>VLOOKUP(B502,'[1]Planting GPS Points'!$B$3:$L$290,8,FALSE)</f>
        <v>CPS</v>
      </c>
      <c r="D502">
        <f>VLOOKUP(B502,'[1]Planting GPS Points'!$B$3:$AL$290,15,FALSE)</f>
        <v>0</v>
      </c>
      <c r="E502" s="169">
        <v>44344</v>
      </c>
      <c r="F502" s="109">
        <v>1</v>
      </c>
      <c r="G502" s="111">
        <v>240</v>
      </c>
      <c r="H502" s="170" t="s">
        <v>971</v>
      </c>
      <c r="I502" s="171">
        <v>44356</v>
      </c>
      <c r="J502" s="172" t="s">
        <v>12</v>
      </c>
      <c r="K502" s="172" t="s">
        <v>982</v>
      </c>
      <c r="L502" s="154"/>
      <c r="M502" s="173"/>
      <c r="N502" s="174"/>
      <c r="O502" s="154">
        <f t="shared" si="26"/>
        <v>12</v>
      </c>
      <c r="P502" s="103" t="str">
        <f t="shared" si="28"/>
        <v/>
      </c>
      <c r="Q502" s="175" t="s">
        <v>1931</v>
      </c>
      <c r="R502" s="154"/>
    </row>
    <row r="503" spans="1:18" x14ac:dyDescent="0.25">
      <c r="A503" s="168" t="s">
        <v>944</v>
      </c>
      <c r="B503" s="154" t="s">
        <v>1324</v>
      </c>
      <c r="C503" t="str">
        <f>VLOOKUP(B503,'[1]Planting GPS Points'!$B$3:$L$290,8,FALSE)</f>
        <v>CPS</v>
      </c>
      <c r="D503">
        <f>VLOOKUP(B503,'[1]Planting GPS Points'!$B$3:$AL$290,15,FALSE)</f>
        <v>0</v>
      </c>
      <c r="E503" s="169">
        <v>44344</v>
      </c>
      <c r="F503" s="109">
        <v>1</v>
      </c>
      <c r="G503" s="111">
        <v>240</v>
      </c>
      <c r="H503" s="170" t="s">
        <v>971</v>
      </c>
      <c r="I503" s="171">
        <v>44388</v>
      </c>
      <c r="J503" s="172" t="s">
        <v>12</v>
      </c>
      <c r="K503" s="172" t="s">
        <v>982</v>
      </c>
      <c r="L503" s="154"/>
      <c r="M503" s="173"/>
      <c r="N503" s="174"/>
      <c r="O503" s="154">
        <f t="shared" si="26"/>
        <v>44</v>
      </c>
      <c r="P503" s="103" t="str">
        <f t="shared" si="28"/>
        <v/>
      </c>
      <c r="Q503" s="175" t="s">
        <v>1932</v>
      </c>
      <c r="R503" s="154"/>
    </row>
    <row r="504" spans="1:18" x14ac:dyDescent="0.25">
      <c r="A504" s="176" t="s">
        <v>944</v>
      </c>
      <c r="B504" s="114" t="s">
        <v>1322</v>
      </c>
      <c r="C504" t="str">
        <f>VLOOKUP(B504,'[1]Planting GPS Points'!$B$3:$L$290,8,FALSE)</f>
        <v>CPS</v>
      </c>
      <c r="D504">
        <f>VLOOKUP(B504,'[1]Planting GPS Points'!$B$3:$AL$290,15,FALSE)</f>
        <v>0</v>
      </c>
      <c r="E504" s="177">
        <v>44344</v>
      </c>
      <c r="F504" s="120">
        <v>1.5</v>
      </c>
      <c r="G504" s="121">
        <v>300</v>
      </c>
      <c r="H504" s="122" t="s">
        <v>971</v>
      </c>
      <c r="I504" s="112">
        <v>44356</v>
      </c>
      <c r="J504" s="113" t="s">
        <v>12</v>
      </c>
      <c r="K504" s="113" t="s">
        <v>982</v>
      </c>
      <c r="L504" s="114"/>
      <c r="M504" s="123"/>
      <c r="N504" s="124"/>
      <c r="O504" s="114">
        <f t="shared" si="26"/>
        <v>12</v>
      </c>
      <c r="P504" s="103" t="str">
        <f t="shared" si="28"/>
        <v/>
      </c>
      <c r="Q504" s="126" t="s">
        <v>1931</v>
      </c>
      <c r="R504" s="114"/>
    </row>
    <row r="505" spans="1:18" x14ac:dyDescent="0.25">
      <c r="A505" s="168" t="s">
        <v>944</v>
      </c>
      <c r="B505" s="154" t="s">
        <v>1322</v>
      </c>
      <c r="C505" t="str">
        <f>VLOOKUP(B505,'[1]Planting GPS Points'!$B$3:$L$290,8,FALSE)</f>
        <v>CPS</v>
      </c>
      <c r="D505">
        <f>VLOOKUP(B505,'[1]Planting GPS Points'!$B$3:$AL$290,15,FALSE)</f>
        <v>0</v>
      </c>
      <c r="E505" s="169">
        <v>44344</v>
      </c>
      <c r="F505" s="109">
        <v>1.5</v>
      </c>
      <c r="G505" s="111">
        <v>300</v>
      </c>
      <c r="H505" s="170" t="s">
        <v>971</v>
      </c>
      <c r="I505" s="171">
        <v>44388</v>
      </c>
      <c r="J505" s="172" t="s">
        <v>12</v>
      </c>
      <c r="K505" s="172" t="s">
        <v>982</v>
      </c>
      <c r="L505" s="154"/>
      <c r="M505" s="173"/>
      <c r="N505" s="174"/>
      <c r="O505" s="154">
        <f t="shared" si="26"/>
        <v>44</v>
      </c>
      <c r="P505" s="103" t="str">
        <f t="shared" si="28"/>
        <v/>
      </c>
      <c r="Q505" s="175" t="s">
        <v>1932</v>
      </c>
      <c r="R505" s="154"/>
    </row>
    <row r="506" spans="1:18" x14ac:dyDescent="0.25">
      <c r="A506" s="168" t="s">
        <v>944</v>
      </c>
      <c r="B506" t="s">
        <v>1322</v>
      </c>
      <c r="C506" t="str">
        <f>VLOOKUP(B506,'[1]Planting GPS Points'!$B$3:$L$290,8,FALSE)</f>
        <v>CPS</v>
      </c>
      <c r="D506">
        <f>VLOOKUP(B506,'[1]Planting GPS Points'!$B$3:$AL$290,15,FALSE)</f>
        <v>0</v>
      </c>
      <c r="E506" s="42">
        <v>44344</v>
      </c>
      <c r="F506">
        <v>1.5</v>
      </c>
      <c r="G506">
        <v>300</v>
      </c>
      <c r="H506" s="35" t="s">
        <v>971</v>
      </c>
      <c r="I506" s="42">
        <v>44684</v>
      </c>
      <c r="J506" s="77" t="s">
        <v>12</v>
      </c>
      <c r="K506" s="77" t="s">
        <v>982</v>
      </c>
      <c r="O506">
        <f t="shared" si="26"/>
        <v>340</v>
      </c>
      <c r="P506" s="103" t="str">
        <f t="shared" si="28"/>
        <v/>
      </c>
      <c r="Q506" t="s">
        <v>1933</v>
      </c>
    </row>
    <row r="507" spans="1:18" x14ac:dyDescent="0.25">
      <c r="A507" s="168" t="s">
        <v>944</v>
      </c>
      <c r="B507" t="s">
        <v>1326</v>
      </c>
      <c r="C507" t="str">
        <f>VLOOKUP(B507,'[1]Planting GPS Points'!$B$3:$L$290,8,FALSE)</f>
        <v>CPS</v>
      </c>
      <c r="D507">
        <f>VLOOKUP(B507,'[1]Planting GPS Points'!$B$3:$AL$290,15,FALSE)</f>
        <v>0</v>
      </c>
      <c r="E507" s="42">
        <v>44698</v>
      </c>
      <c r="F507">
        <v>1.5</v>
      </c>
      <c r="G507">
        <v>120</v>
      </c>
      <c r="H507" s="35" t="s">
        <v>971</v>
      </c>
      <c r="I507" s="42">
        <v>44713</v>
      </c>
      <c r="J507" s="77" t="s">
        <v>12</v>
      </c>
      <c r="K507" s="77" t="s">
        <v>982</v>
      </c>
      <c r="O507">
        <f t="shared" si="26"/>
        <v>15</v>
      </c>
      <c r="P507" s="103" t="str">
        <f t="shared" si="28"/>
        <v/>
      </c>
      <c r="Q507" t="s">
        <v>1934</v>
      </c>
    </row>
    <row r="508" spans="1:18" x14ac:dyDescent="0.25">
      <c r="A508" s="168" t="s">
        <v>944</v>
      </c>
      <c r="B508" t="s">
        <v>1326</v>
      </c>
      <c r="C508" t="str">
        <f>VLOOKUP(B508,'[1]Planting GPS Points'!$B$3:$L$290,8,FALSE)</f>
        <v>CPS</v>
      </c>
      <c r="D508">
        <f>VLOOKUP(B508,'[1]Planting GPS Points'!$B$3:$AL$290,15,FALSE)</f>
        <v>0</v>
      </c>
      <c r="E508" s="42">
        <v>44698</v>
      </c>
      <c r="F508">
        <v>1.5</v>
      </c>
      <c r="G508">
        <v>120</v>
      </c>
      <c r="H508" s="35" t="s">
        <v>971</v>
      </c>
      <c r="I508" s="42">
        <v>44740</v>
      </c>
      <c r="J508" s="77"/>
      <c r="K508" s="77" t="s">
        <v>982</v>
      </c>
      <c r="O508">
        <f t="shared" si="26"/>
        <v>42</v>
      </c>
      <c r="P508" s="103" t="str">
        <f t="shared" si="28"/>
        <v/>
      </c>
      <c r="Q508" t="s">
        <v>1935</v>
      </c>
    </row>
    <row r="509" spans="1:18" x14ac:dyDescent="0.25">
      <c r="A509" s="168" t="s">
        <v>944</v>
      </c>
      <c r="B509" t="s">
        <v>1326</v>
      </c>
      <c r="C509" t="str">
        <f>VLOOKUP(B509,'[1]Planting GPS Points'!$B$3:$L$290,8,FALSE)</f>
        <v>CPS</v>
      </c>
      <c r="D509">
        <f>VLOOKUP(B509,'[1]Planting GPS Points'!$B$3:$AL$290,15,FALSE)</f>
        <v>0</v>
      </c>
      <c r="E509" s="42">
        <v>44698</v>
      </c>
      <c r="F509">
        <v>1.5</v>
      </c>
      <c r="G509">
        <v>120</v>
      </c>
      <c r="H509" s="35" t="s">
        <v>971</v>
      </c>
      <c r="I509" s="42">
        <v>44782</v>
      </c>
      <c r="J509" s="77" t="s">
        <v>12</v>
      </c>
      <c r="K509" s="77" t="s">
        <v>982</v>
      </c>
      <c r="O509">
        <f t="shared" si="26"/>
        <v>84</v>
      </c>
      <c r="P509" s="103" t="str">
        <f t="shared" si="28"/>
        <v/>
      </c>
      <c r="Q509" t="s">
        <v>1936</v>
      </c>
    </row>
    <row r="510" spans="1:18" x14ac:dyDescent="0.25">
      <c r="A510" s="168" t="s">
        <v>944</v>
      </c>
      <c r="B510" t="s">
        <v>1326</v>
      </c>
      <c r="C510" t="str">
        <f>VLOOKUP(B510,'[1]Planting GPS Points'!$B$3:$L$290,8,FALSE)</f>
        <v>CPS</v>
      </c>
      <c r="D510">
        <f>VLOOKUP(B510,'[1]Planting GPS Points'!$B$3:$AL$290,15,FALSE)</f>
        <v>0</v>
      </c>
      <c r="E510" s="42">
        <v>44698</v>
      </c>
      <c r="F510">
        <v>1.5</v>
      </c>
      <c r="G510">
        <v>120</v>
      </c>
      <c r="H510" s="35" t="s">
        <v>971</v>
      </c>
      <c r="I510" s="42">
        <v>44813</v>
      </c>
      <c r="J510" s="77" t="s">
        <v>12</v>
      </c>
      <c r="K510" s="77" t="s">
        <v>982</v>
      </c>
      <c r="O510">
        <f t="shared" si="26"/>
        <v>115</v>
      </c>
      <c r="P510" s="103" t="str">
        <f t="shared" si="28"/>
        <v/>
      </c>
      <c r="Q510" t="s">
        <v>1937</v>
      </c>
    </row>
    <row r="511" spans="1:18" x14ac:dyDescent="0.25">
      <c r="A511" s="168" t="s">
        <v>944</v>
      </c>
      <c r="B511" t="s">
        <v>1326</v>
      </c>
      <c r="C511" t="str">
        <f>VLOOKUP(B511,'[1]Planting GPS Points'!$B$3:$L$290,8,FALSE)</f>
        <v>CPS</v>
      </c>
      <c r="D511">
        <f>VLOOKUP(B511,'[1]Planting GPS Points'!$B$3:$AL$290,15,FALSE)</f>
        <v>0</v>
      </c>
      <c r="E511" s="42">
        <v>44698</v>
      </c>
      <c r="F511">
        <v>1.5</v>
      </c>
      <c r="G511">
        <v>120</v>
      </c>
      <c r="H511" s="35" t="s">
        <v>971</v>
      </c>
      <c r="I511" s="42">
        <v>44756</v>
      </c>
      <c r="J511" s="77" t="s">
        <v>12</v>
      </c>
      <c r="K511" s="77" t="s">
        <v>982</v>
      </c>
      <c r="O511">
        <f t="shared" si="26"/>
        <v>58</v>
      </c>
      <c r="P511" s="103" t="str">
        <f t="shared" si="28"/>
        <v/>
      </c>
      <c r="Q511" t="s">
        <v>1938</v>
      </c>
    </row>
    <row r="512" spans="1:18" x14ac:dyDescent="0.25">
      <c r="A512" s="168" t="s">
        <v>944</v>
      </c>
      <c r="B512" t="s">
        <v>1326</v>
      </c>
      <c r="C512" t="str">
        <f>VLOOKUP(B512,'[1]Planting GPS Points'!$B$3:$L$290,8,FALSE)</f>
        <v>CPS</v>
      </c>
      <c r="D512">
        <f>VLOOKUP(B512,'[1]Planting GPS Points'!$B$3:$AL$290,15,FALSE)</f>
        <v>0</v>
      </c>
      <c r="E512" s="42">
        <v>44698</v>
      </c>
      <c r="F512">
        <v>1.5</v>
      </c>
      <c r="G512">
        <v>120</v>
      </c>
      <c r="H512" s="35" t="s">
        <v>971</v>
      </c>
      <c r="I512" s="42">
        <v>45039</v>
      </c>
      <c r="J512" s="77" t="s">
        <v>12</v>
      </c>
      <c r="K512" s="77" t="s">
        <v>982</v>
      </c>
      <c r="L512">
        <v>10</v>
      </c>
      <c r="O512">
        <f>I512-E512</f>
        <v>341</v>
      </c>
      <c r="P512" s="103">
        <f t="shared" si="28"/>
        <v>8.3333333333333329E-2</v>
      </c>
      <c r="Q512" t="s">
        <v>1939</v>
      </c>
    </row>
    <row r="513" spans="1:17" x14ac:dyDescent="0.25">
      <c r="A513" s="168" t="s">
        <v>944</v>
      </c>
      <c r="B513" t="s">
        <v>1328</v>
      </c>
      <c r="C513" t="str">
        <f>VLOOKUP(B513,'[1]Planting GPS Points'!$B$3:$L$290,8,FALSE)</f>
        <v>CPS</v>
      </c>
      <c r="D513">
        <f>VLOOKUP(B513,'[1]Planting GPS Points'!$B$3:$AL$290,15,FALSE)</f>
        <v>0</v>
      </c>
      <c r="E513" s="42">
        <v>44698</v>
      </c>
      <c r="F513">
        <v>7.75</v>
      </c>
      <c r="G513">
        <v>620</v>
      </c>
      <c r="H513" s="35" t="s">
        <v>971</v>
      </c>
      <c r="I513" s="42">
        <v>44713</v>
      </c>
      <c r="J513" s="77" t="s">
        <v>12</v>
      </c>
      <c r="K513" s="77" t="s">
        <v>982</v>
      </c>
      <c r="O513">
        <f t="shared" si="26"/>
        <v>15</v>
      </c>
      <c r="P513" s="103" t="str">
        <f t="shared" si="28"/>
        <v/>
      </c>
      <c r="Q513" t="s">
        <v>1934</v>
      </c>
    </row>
    <row r="514" spans="1:17" x14ac:dyDescent="0.25">
      <c r="A514" s="168" t="s">
        <v>944</v>
      </c>
      <c r="B514" t="s">
        <v>1328</v>
      </c>
      <c r="C514" t="str">
        <f>VLOOKUP(B514,'[1]Planting GPS Points'!$B$3:$L$290,8,FALSE)</f>
        <v>CPS</v>
      </c>
      <c r="D514">
        <f>VLOOKUP(B514,'[1]Planting GPS Points'!$B$3:$AL$290,15,FALSE)</f>
        <v>0</v>
      </c>
      <c r="E514" s="42">
        <v>44698</v>
      </c>
      <c r="F514">
        <v>7.75</v>
      </c>
      <c r="G514">
        <v>620</v>
      </c>
      <c r="H514" s="35" t="s">
        <v>971</v>
      </c>
      <c r="I514" s="42">
        <v>44740</v>
      </c>
      <c r="J514" s="77"/>
      <c r="K514" s="77" t="s">
        <v>982</v>
      </c>
      <c r="O514">
        <f t="shared" si="26"/>
        <v>42</v>
      </c>
      <c r="P514" s="103" t="str">
        <f t="shared" si="28"/>
        <v/>
      </c>
      <c r="Q514" t="s">
        <v>1935</v>
      </c>
    </row>
    <row r="515" spans="1:17" x14ac:dyDescent="0.25">
      <c r="A515" s="168" t="s">
        <v>944</v>
      </c>
      <c r="B515" t="s">
        <v>1328</v>
      </c>
      <c r="C515" t="str">
        <f>VLOOKUP(B515,'[1]Planting GPS Points'!$B$3:$L$290,8,FALSE)</f>
        <v>CPS</v>
      </c>
      <c r="D515">
        <f>VLOOKUP(B515,'[1]Planting GPS Points'!$B$3:$AL$290,15,FALSE)</f>
        <v>0</v>
      </c>
      <c r="E515" s="42">
        <v>44698</v>
      </c>
      <c r="F515">
        <v>7.75</v>
      </c>
      <c r="G515">
        <v>620</v>
      </c>
      <c r="H515" s="35" t="s">
        <v>971</v>
      </c>
      <c r="I515" s="42">
        <v>44782</v>
      </c>
      <c r="J515" s="77"/>
      <c r="K515" s="77" t="s">
        <v>982</v>
      </c>
      <c r="O515">
        <f t="shared" ref="O515:O580" si="29">I515-E515</f>
        <v>84</v>
      </c>
      <c r="P515" s="103" t="str">
        <f t="shared" si="28"/>
        <v/>
      </c>
      <c r="Q515" t="s">
        <v>1940</v>
      </c>
    </row>
    <row r="516" spans="1:17" x14ac:dyDescent="0.25">
      <c r="A516" s="168" t="s">
        <v>944</v>
      </c>
      <c r="B516" t="s">
        <v>1328</v>
      </c>
      <c r="C516" t="str">
        <f>VLOOKUP(B516,'[1]Planting GPS Points'!$B$3:$L$290,8,FALSE)</f>
        <v>CPS</v>
      </c>
      <c r="D516">
        <f>VLOOKUP(B516,'[1]Planting GPS Points'!$B$3:$AL$290,15,FALSE)</f>
        <v>0</v>
      </c>
      <c r="E516" s="42">
        <v>44698</v>
      </c>
      <c r="F516">
        <v>7.75</v>
      </c>
      <c r="G516">
        <v>620</v>
      </c>
      <c r="H516" s="35" t="s">
        <v>971</v>
      </c>
      <c r="I516" s="42">
        <v>44813</v>
      </c>
      <c r="J516" s="77" t="s">
        <v>12</v>
      </c>
      <c r="K516" s="77" t="s">
        <v>982</v>
      </c>
      <c r="O516">
        <f t="shared" si="29"/>
        <v>115</v>
      </c>
      <c r="P516" s="103" t="str">
        <f t="shared" si="28"/>
        <v/>
      </c>
      <c r="Q516" t="s">
        <v>1937</v>
      </c>
    </row>
    <row r="517" spans="1:17" x14ac:dyDescent="0.25">
      <c r="A517" s="168" t="s">
        <v>944</v>
      </c>
      <c r="B517" t="s">
        <v>1328</v>
      </c>
      <c r="C517" t="str">
        <f>VLOOKUP(B517,'[1]Planting GPS Points'!$B$3:$L$290,8,FALSE)</f>
        <v>CPS</v>
      </c>
      <c r="D517">
        <f>VLOOKUP(B517,'[1]Planting GPS Points'!$B$3:$AL$290,15,FALSE)</f>
        <v>0</v>
      </c>
      <c r="E517" s="42">
        <v>44698</v>
      </c>
      <c r="F517">
        <v>7.75</v>
      </c>
      <c r="G517">
        <v>620</v>
      </c>
      <c r="H517" s="35" t="s">
        <v>971</v>
      </c>
      <c r="I517" s="42">
        <v>44756</v>
      </c>
      <c r="J517" s="77"/>
      <c r="K517" s="77" t="s">
        <v>982</v>
      </c>
      <c r="O517">
        <f t="shared" si="29"/>
        <v>58</v>
      </c>
      <c r="P517" s="103" t="str">
        <f t="shared" si="28"/>
        <v/>
      </c>
      <c r="Q517" t="s">
        <v>1941</v>
      </c>
    </row>
    <row r="518" spans="1:17" x14ac:dyDescent="0.25">
      <c r="A518" s="168" t="s">
        <v>944</v>
      </c>
      <c r="B518" t="s">
        <v>1328</v>
      </c>
      <c r="C518" t="str">
        <f>VLOOKUP(B518,'[1]Planting GPS Points'!$B$3:$L$290,8,FALSE)</f>
        <v>CPS</v>
      </c>
      <c r="D518">
        <f>VLOOKUP(B518,'[1]Planting GPS Points'!$B$3:$AL$290,15,FALSE)</f>
        <v>0</v>
      </c>
      <c r="E518" s="42">
        <v>44698</v>
      </c>
      <c r="F518">
        <v>7.75</v>
      </c>
      <c r="G518">
        <v>620</v>
      </c>
      <c r="H518" s="35" t="s">
        <v>971</v>
      </c>
      <c r="I518" s="42">
        <v>45039</v>
      </c>
      <c r="J518" s="77" t="s">
        <v>12</v>
      </c>
      <c r="K518" s="77" t="s">
        <v>982</v>
      </c>
      <c r="L518">
        <v>50</v>
      </c>
      <c r="O518">
        <f t="shared" si="29"/>
        <v>341</v>
      </c>
      <c r="P518" s="103">
        <f t="shared" si="28"/>
        <v>8.0645161290322578E-2</v>
      </c>
      <c r="Q518" t="s">
        <v>1942</v>
      </c>
    </row>
    <row r="519" spans="1:17" x14ac:dyDescent="0.25">
      <c r="A519" s="168" t="s">
        <v>944</v>
      </c>
      <c r="B519" t="s">
        <v>1328</v>
      </c>
      <c r="C519" t="str">
        <f>VLOOKUP(B519,'[1]Planting GPS Points'!$B$3:$L$290,8,FALSE)</f>
        <v>CPS</v>
      </c>
      <c r="D519">
        <f>VLOOKUP(B519,'[1]Planting GPS Points'!$B$3:$AL$290,15,FALSE)</f>
        <v>0</v>
      </c>
      <c r="E519" s="42">
        <v>44698</v>
      </c>
      <c r="F519">
        <v>7.75</v>
      </c>
      <c r="G519">
        <v>620</v>
      </c>
      <c r="H519" s="35" t="s">
        <v>971</v>
      </c>
      <c r="I519" s="42">
        <v>45480</v>
      </c>
      <c r="J519" s="77" t="s">
        <v>12</v>
      </c>
      <c r="K519" s="77" t="s">
        <v>982</v>
      </c>
      <c r="L519">
        <v>8</v>
      </c>
      <c r="O519">
        <f t="shared" si="29"/>
        <v>782</v>
      </c>
      <c r="P519" s="103">
        <f t="shared" si="28"/>
        <v>1.2903225806451613E-2</v>
      </c>
      <c r="Q519" t="s">
        <v>1943</v>
      </c>
    </row>
    <row r="520" spans="1:17" x14ac:dyDescent="0.25">
      <c r="A520" t="s">
        <v>1330</v>
      </c>
      <c r="B520" t="s">
        <v>1331</v>
      </c>
      <c r="C520" t="str">
        <f>VLOOKUP(B520,'[1]Planting GPS Points'!$B$3:$L$290,8,FALSE)</f>
        <v>CPS</v>
      </c>
      <c r="D520" t="str">
        <f>VLOOKUP(B520,'[1]Planting GPS Points'!$B$3:$AL$290,15,FALSE)</f>
        <v>IAA 12-317.1</v>
      </c>
      <c r="E520" s="42">
        <v>42053</v>
      </c>
      <c r="F520" s="44">
        <v>25</v>
      </c>
      <c r="G520" s="45">
        <v>500</v>
      </c>
      <c r="H520" s="35" t="s">
        <v>971</v>
      </c>
      <c r="I520" s="42">
        <v>42244</v>
      </c>
      <c r="J520" s="77" t="s">
        <v>23</v>
      </c>
      <c r="K520" s="77" t="s">
        <v>967</v>
      </c>
      <c r="L520">
        <v>0</v>
      </c>
      <c r="N520" s="44" t="str">
        <f>IFERROR(L520/M520, "")</f>
        <v/>
      </c>
      <c r="O520">
        <f t="shared" si="29"/>
        <v>191</v>
      </c>
      <c r="P520" s="167">
        <f t="shared" si="28"/>
        <v>0</v>
      </c>
      <c r="Q520" s="8" t="s">
        <v>1944</v>
      </c>
    </row>
    <row r="521" spans="1:17" x14ac:dyDescent="0.25">
      <c r="A521" t="s">
        <v>1336</v>
      </c>
      <c r="B521" t="s">
        <v>1337</v>
      </c>
      <c r="C521" t="str">
        <f>VLOOKUP(B521,'[1]Planting GPS Points'!$B$3:$L$290,8,FALSE)</f>
        <v>CPS</v>
      </c>
      <c r="D521" t="str">
        <f>VLOOKUP(B521,'[1]Planting GPS Points'!$B$3:$AL$290,15,FALSE)</f>
        <v>SC 16-17</v>
      </c>
      <c r="E521" s="42">
        <v>42510</v>
      </c>
      <c r="F521" s="44">
        <v>75</v>
      </c>
      <c r="G521" s="47">
        <v>780</v>
      </c>
      <c r="H521" s="35" t="s">
        <v>1739</v>
      </c>
      <c r="I521" s="42">
        <v>42533</v>
      </c>
      <c r="J521" s="77" t="s">
        <v>12</v>
      </c>
      <c r="K521" s="77" t="s">
        <v>1052</v>
      </c>
      <c r="N521" s="44" t="str">
        <f>IFERROR(L521/M521, "")</f>
        <v/>
      </c>
      <c r="O521">
        <f t="shared" si="29"/>
        <v>23</v>
      </c>
      <c r="P521" s="167" t="str">
        <f t="shared" si="28"/>
        <v/>
      </c>
      <c r="Q521" s="8" t="s">
        <v>1945</v>
      </c>
    </row>
    <row r="522" spans="1:17" x14ac:dyDescent="0.25">
      <c r="A522" t="s">
        <v>1336</v>
      </c>
      <c r="B522" t="s">
        <v>1337</v>
      </c>
      <c r="C522" t="str">
        <f>VLOOKUP(B522,'[1]Planting GPS Points'!$B$3:$L$290,8,FALSE)</f>
        <v>CPS</v>
      </c>
      <c r="D522" t="str">
        <f>VLOOKUP(B522,'[1]Planting GPS Points'!$B$3:$AL$290,15,FALSE)</f>
        <v>SC 16-17</v>
      </c>
      <c r="E522" s="42">
        <v>42510</v>
      </c>
      <c r="F522" s="44">
        <v>75</v>
      </c>
      <c r="G522" s="47">
        <v>780</v>
      </c>
      <c r="H522" s="35" t="s">
        <v>1739</v>
      </c>
      <c r="I522" s="42">
        <v>42933</v>
      </c>
      <c r="J522" s="77" t="s">
        <v>12</v>
      </c>
      <c r="K522" s="77" t="s">
        <v>1052</v>
      </c>
      <c r="L522">
        <v>4</v>
      </c>
      <c r="M522">
        <v>0.1</v>
      </c>
      <c r="N522" s="44">
        <f>IFERROR(L522/M522, "")</f>
        <v>40</v>
      </c>
      <c r="O522">
        <f t="shared" si="29"/>
        <v>423</v>
      </c>
      <c r="P522" s="167">
        <f t="shared" si="28"/>
        <v>5.1282051282051282E-3</v>
      </c>
      <c r="Q522" s="8" t="s">
        <v>1946</v>
      </c>
    </row>
    <row r="523" spans="1:17" x14ac:dyDescent="0.25">
      <c r="A523" t="s">
        <v>1338</v>
      </c>
      <c r="B523" t="s">
        <v>1355</v>
      </c>
      <c r="C523" t="str">
        <f>VLOOKUP(B523,'[1]Planting GPS Points'!$B$3:$L$290,8,FALSE)</f>
        <v>HDC</v>
      </c>
      <c r="D523" t="str">
        <f>VLOOKUP(B523,'[1]Planting GPS Points'!$B$3:$AL$290,15,FALSE)</f>
        <v>IAA 14-293</v>
      </c>
      <c r="E523" s="42">
        <v>42095</v>
      </c>
      <c r="F523" s="44">
        <v>240</v>
      </c>
      <c r="G523" s="47">
        <v>4800</v>
      </c>
      <c r="H523" s="35" t="s">
        <v>971</v>
      </c>
      <c r="I523" s="42">
        <v>42526</v>
      </c>
      <c r="J523" s="77" t="s">
        <v>23</v>
      </c>
      <c r="K523" s="77" t="s">
        <v>967</v>
      </c>
      <c r="L523">
        <v>0</v>
      </c>
      <c r="N523" s="44"/>
      <c r="O523">
        <f t="shared" si="29"/>
        <v>431</v>
      </c>
      <c r="P523" s="97">
        <f t="shared" si="28"/>
        <v>0</v>
      </c>
      <c r="Q523" s="8" t="s">
        <v>1947</v>
      </c>
    </row>
    <row r="524" spans="1:17" x14ac:dyDescent="0.25">
      <c r="A524" t="s">
        <v>1338</v>
      </c>
      <c r="B524" t="s">
        <v>1359</v>
      </c>
      <c r="C524" t="str">
        <f>VLOOKUP(B524,'[1]Planting GPS Points'!$B$3:$L$290,8,FALSE)</f>
        <v>HDC</v>
      </c>
      <c r="D524" t="str">
        <f>VLOOKUP(B524,'[1]Planting GPS Points'!$B$3:$AL$290,15,FALSE)</f>
        <v>IAA 14-293</v>
      </c>
      <c r="E524" s="42">
        <v>42095</v>
      </c>
      <c r="F524" s="44">
        <v>320</v>
      </c>
      <c r="G524" s="47">
        <v>6330</v>
      </c>
      <c r="H524" s="35" t="s">
        <v>971</v>
      </c>
      <c r="I524" s="42">
        <v>42526</v>
      </c>
      <c r="J524" s="77" t="s">
        <v>23</v>
      </c>
      <c r="K524" s="77" t="s">
        <v>967</v>
      </c>
      <c r="L524">
        <v>0</v>
      </c>
      <c r="N524" s="44"/>
      <c r="O524">
        <f t="shared" si="29"/>
        <v>431</v>
      </c>
      <c r="P524" s="97">
        <f t="shared" si="28"/>
        <v>0</v>
      </c>
      <c r="Q524" s="8" t="s">
        <v>1947</v>
      </c>
    </row>
    <row r="525" spans="1:17" x14ac:dyDescent="0.25">
      <c r="A525" t="s">
        <v>1338</v>
      </c>
      <c r="B525" t="s">
        <v>1363</v>
      </c>
      <c r="C525" t="str">
        <f>VLOOKUP(B525,'[1]Planting GPS Points'!$B$3:$L$290,8,FALSE)</f>
        <v>HDC</v>
      </c>
      <c r="D525" t="str">
        <f>VLOOKUP(B525,'[1]Planting GPS Points'!$B$3:$AL$290,15,FALSE)</f>
        <v>IAA 14-293</v>
      </c>
      <c r="E525" s="42">
        <v>42095</v>
      </c>
      <c r="F525" s="44">
        <v>320</v>
      </c>
      <c r="G525" s="47">
        <v>6400</v>
      </c>
      <c r="H525" s="35" t="s">
        <v>971</v>
      </c>
      <c r="I525" s="42">
        <v>42526</v>
      </c>
      <c r="J525" s="77" t="s">
        <v>23</v>
      </c>
      <c r="K525" s="77" t="s">
        <v>967</v>
      </c>
      <c r="L525">
        <v>0</v>
      </c>
      <c r="N525" s="44"/>
      <c r="O525">
        <f t="shared" si="29"/>
        <v>431</v>
      </c>
      <c r="P525" s="97">
        <f t="shared" si="28"/>
        <v>0</v>
      </c>
      <c r="Q525" s="8" t="s">
        <v>1947</v>
      </c>
    </row>
    <row r="526" spans="1:17" x14ac:dyDescent="0.25">
      <c r="A526" t="s">
        <v>1338</v>
      </c>
      <c r="B526" t="s">
        <v>1367</v>
      </c>
      <c r="C526" t="str">
        <f>VLOOKUP(B526,'[1]Planting GPS Points'!$B$3:$L$290,8,FALSE)</f>
        <v>HDC</v>
      </c>
      <c r="D526" t="str">
        <f>VLOOKUP(B526,'[1]Planting GPS Points'!$B$3:$AL$290,15,FALSE)</f>
        <v>IAA 14-293</v>
      </c>
      <c r="E526" s="42">
        <v>42095</v>
      </c>
      <c r="F526" s="44">
        <v>320</v>
      </c>
      <c r="G526" s="47">
        <v>6372</v>
      </c>
      <c r="H526" s="35" t="s">
        <v>971</v>
      </c>
      <c r="I526" s="42">
        <v>42526</v>
      </c>
      <c r="J526" s="77" t="s">
        <v>23</v>
      </c>
      <c r="K526" s="77" t="s">
        <v>967</v>
      </c>
      <c r="L526">
        <v>0</v>
      </c>
      <c r="N526" s="44"/>
      <c r="O526">
        <f t="shared" si="29"/>
        <v>431</v>
      </c>
      <c r="P526" s="97">
        <f t="shared" si="28"/>
        <v>0</v>
      </c>
      <c r="Q526" s="8" t="s">
        <v>1947</v>
      </c>
    </row>
    <row r="527" spans="1:17" x14ac:dyDescent="0.25">
      <c r="A527" t="s">
        <v>1338</v>
      </c>
      <c r="B527" t="s">
        <v>1353</v>
      </c>
      <c r="C527" t="str">
        <f>VLOOKUP(B527,'[1]Planting GPS Points'!$B$3:$L$290,8,FALSE)</f>
        <v>HDC</v>
      </c>
      <c r="D527" t="str">
        <f>VLOOKUP(B527,'[1]Planting GPS Points'!$B$3:$AL$290,15,FALSE)</f>
        <v>IAA 14-293</v>
      </c>
      <c r="E527" s="42">
        <v>41963</v>
      </c>
      <c r="F527" s="44">
        <v>25</v>
      </c>
      <c r="G527">
        <v>500</v>
      </c>
      <c r="H527" s="35" t="s">
        <v>963</v>
      </c>
      <c r="I527" s="42">
        <v>42088</v>
      </c>
      <c r="J527" s="77" t="s">
        <v>12</v>
      </c>
      <c r="K527" s="77" t="s">
        <v>967</v>
      </c>
      <c r="L527">
        <v>50</v>
      </c>
      <c r="M527">
        <v>25</v>
      </c>
      <c r="N527" s="44">
        <f t="shared" ref="N527:N532" si="30">IFERROR(L527/M527, "")</f>
        <v>2</v>
      </c>
      <c r="O527">
        <f t="shared" si="29"/>
        <v>125</v>
      </c>
      <c r="P527" s="97">
        <f t="shared" si="28"/>
        <v>0.1</v>
      </c>
      <c r="Q527" s="8"/>
    </row>
    <row r="528" spans="1:17" x14ac:dyDescent="0.25">
      <c r="A528" t="s">
        <v>1338</v>
      </c>
      <c r="B528" t="s">
        <v>1350</v>
      </c>
      <c r="C528" t="str">
        <f>VLOOKUP(B528,'[1]Planting GPS Points'!$B$3:$L$290,8,FALSE)</f>
        <v>HDC</v>
      </c>
      <c r="D528" t="str">
        <f>VLOOKUP(B528,'[1]Planting GPS Points'!$B$3:$AL$290,15,FALSE)</f>
        <v>IAA 14-293</v>
      </c>
      <c r="E528" s="42">
        <v>41962</v>
      </c>
      <c r="F528" s="44">
        <v>25</v>
      </c>
      <c r="G528">
        <v>500</v>
      </c>
      <c r="H528" s="35" t="s">
        <v>963</v>
      </c>
      <c r="I528" s="42">
        <v>42088</v>
      </c>
      <c r="J528" s="77" t="s">
        <v>12</v>
      </c>
      <c r="K528" s="77" t="s">
        <v>967</v>
      </c>
      <c r="L528">
        <v>22</v>
      </c>
      <c r="M528">
        <v>25</v>
      </c>
      <c r="N528" s="44">
        <f t="shared" si="30"/>
        <v>0.88</v>
      </c>
      <c r="O528">
        <f t="shared" si="29"/>
        <v>126</v>
      </c>
      <c r="P528" s="97">
        <f t="shared" si="28"/>
        <v>4.3999999999999997E-2</v>
      </c>
      <c r="Q528" s="8"/>
    </row>
    <row r="529" spans="1:17" x14ac:dyDescent="0.25">
      <c r="A529" t="s">
        <v>1338</v>
      </c>
      <c r="B529" t="s">
        <v>1351</v>
      </c>
      <c r="C529" t="str">
        <f>VLOOKUP(B529,'[1]Planting GPS Points'!$B$3:$L$290,8,FALSE)</f>
        <v>HDC</v>
      </c>
      <c r="D529" t="str">
        <f>VLOOKUP(B529,'[1]Planting GPS Points'!$B$3:$AL$290,15,FALSE)</f>
        <v>IAA 14-293</v>
      </c>
      <c r="E529" s="42">
        <v>41962</v>
      </c>
      <c r="F529" s="44">
        <v>25</v>
      </c>
      <c r="G529">
        <v>500</v>
      </c>
      <c r="H529" s="35" t="s">
        <v>963</v>
      </c>
      <c r="I529" s="42">
        <v>42088</v>
      </c>
      <c r="J529" s="77" t="s">
        <v>12</v>
      </c>
      <c r="K529" s="77" t="s">
        <v>967</v>
      </c>
      <c r="L529">
        <v>90</v>
      </c>
      <c r="M529">
        <v>25</v>
      </c>
      <c r="N529" s="44">
        <f t="shared" si="30"/>
        <v>3.6</v>
      </c>
      <c r="O529">
        <f t="shared" si="29"/>
        <v>126</v>
      </c>
      <c r="P529" s="97">
        <f t="shared" si="28"/>
        <v>0.18</v>
      </c>
      <c r="Q529" s="8"/>
    </row>
    <row r="530" spans="1:17" x14ac:dyDescent="0.25">
      <c r="A530" t="s">
        <v>1338</v>
      </c>
      <c r="B530" t="s">
        <v>1352</v>
      </c>
      <c r="C530" t="str">
        <f>VLOOKUP(B530,'[1]Planting GPS Points'!$B$3:$L$290,8,FALSE)</f>
        <v>HDC</v>
      </c>
      <c r="D530" t="str">
        <f>VLOOKUP(B530,'[1]Planting GPS Points'!$B$3:$AL$290,15,FALSE)</f>
        <v>IAA 14-293</v>
      </c>
      <c r="E530" s="42">
        <v>41962</v>
      </c>
      <c r="F530" s="44">
        <v>25</v>
      </c>
      <c r="G530">
        <v>500</v>
      </c>
      <c r="H530" s="35" t="s">
        <v>963</v>
      </c>
      <c r="I530" s="42">
        <v>42088</v>
      </c>
      <c r="J530" s="77" t="s">
        <v>12</v>
      </c>
      <c r="K530" s="77" t="s">
        <v>967</v>
      </c>
      <c r="L530">
        <v>4</v>
      </c>
      <c r="M530">
        <v>25</v>
      </c>
      <c r="N530" s="44">
        <f t="shared" si="30"/>
        <v>0.16</v>
      </c>
      <c r="O530">
        <f t="shared" si="29"/>
        <v>126</v>
      </c>
      <c r="P530" s="97">
        <f t="shared" si="28"/>
        <v>8.0000000000000002E-3</v>
      </c>
      <c r="Q530" s="8"/>
    </row>
    <row r="531" spans="1:17" x14ac:dyDescent="0.25">
      <c r="A531" t="s">
        <v>1338</v>
      </c>
      <c r="B531" t="s">
        <v>1339</v>
      </c>
      <c r="C531" t="str">
        <f>VLOOKUP(B531,'[1]Planting GPS Points'!$B$3:$L$290,8,FALSE)</f>
        <v>HDC</v>
      </c>
      <c r="D531" t="str">
        <f>VLOOKUP(B531,'[1]Planting GPS Points'!$B$3:$AL$290,15,FALSE)</f>
        <v>IAA 14-293</v>
      </c>
      <c r="E531" s="42">
        <v>41961</v>
      </c>
      <c r="F531" s="44">
        <v>25</v>
      </c>
      <c r="G531">
        <v>500</v>
      </c>
      <c r="H531" s="35" t="s">
        <v>963</v>
      </c>
      <c r="I531" s="42">
        <v>42088</v>
      </c>
      <c r="J531" s="77" t="s">
        <v>12</v>
      </c>
      <c r="K531" s="77" t="s">
        <v>967</v>
      </c>
      <c r="L531">
        <v>23</v>
      </c>
      <c r="M531">
        <v>25</v>
      </c>
      <c r="N531" s="44">
        <f t="shared" si="30"/>
        <v>0.92</v>
      </c>
      <c r="O531">
        <f t="shared" si="29"/>
        <v>127</v>
      </c>
      <c r="P531" s="97">
        <f t="shared" si="28"/>
        <v>4.5999999999999999E-2</v>
      </c>
      <c r="Q531" s="8"/>
    </row>
    <row r="532" spans="1:17" x14ac:dyDescent="0.25">
      <c r="A532" t="s">
        <v>1338</v>
      </c>
      <c r="B532" t="s">
        <v>1354</v>
      </c>
      <c r="C532" t="str">
        <f>VLOOKUP(B532,'[1]Planting GPS Points'!$B$3:$L$290,8,FALSE)</f>
        <v>HDC</v>
      </c>
      <c r="D532" t="str">
        <f>VLOOKUP(B532,'[1]Planting GPS Points'!$B$3:$AL$290,15,FALSE)</f>
        <v>IAA 14-293</v>
      </c>
      <c r="E532" s="42">
        <v>41963</v>
      </c>
      <c r="F532" s="44">
        <v>25</v>
      </c>
      <c r="G532">
        <v>500</v>
      </c>
      <c r="H532" s="35" t="s">
        <v>963</v>
      </c>
      <c r="I532" s="42">
        <v>42088</v>
      </c>
      <c r="J532" s="77" t="s">
        <v>12</v>
      </c>
      <c r="K532" s="77" t="s">
        <v>967</v>
      </c>
      <c r="L532">
        <v>29</v>
      </c>
      <c r="M532">
        <v>25</v>
      </c>
      <c r="N532" s="44">
        <f t="shared" si="30"/>
        <v>1.1599999999999999</v>
      </c>
      <c r="O532">
        <f t="shared" si="29"/>
        <v>125</v>
      </c>
      <c r="P532" s="97">
        <f t="shared" si="28"/>
        <v>5.8000000000000003E-2</v>
      </c>
      <c r="Q532" s="8"/>
    </row>
    <row r="533" spans="1:17" x14ac:dyDescent="0.25">
      <c r="A533" t="s">
        <v>860</v>
      </c>
      <c r="B533" s="9" t="s">
        <v>1373</v>
      </c>
      <c r="C533" t="str">
        <f>VLOOKUP(B533,'[1]Planting GPS Points'!$B$3:$L$290,8,FALSE)</f>
        <v>CPS</v>
      </c>
      <c r="D533" t="str">
        <f>VLOOKUP(B533,'[1]Planting GPS Points'!$B$3:$AL$290,15,FALSE)</f>
        <v>93-094344</v>
      </c>
      <c r="E533" s="42">
        <v>43250</v>
      </c>
      <c r="F533" s="44">
        <v>12</v>
      </c>
      <c r="G533">
        <v>600</v>
      </c>
      <c r="H533" s="35" t="s">
        <v>971</v>
      </c>
      <c r="I533" s="42">
        <v>43297</v>
      </c>
      <c r="J533" s="77" t="s">
        <v>12</v>
      </c>
      <c r="K533" s="77" t="s">
        <v>982</v>
      </c>
      <c r="O533">
        <f t="shared" si="29"/>
        <v>47</v>
      </c>
      <c r="P533" s="97" t="str">
        <f t="shared" si="28"/>
        <v/>
      </c>
      <c r="Q533" s="8" t="s">
        <v>1948</v>
      </c>
    </row>
    <row r="534" spans="1:17" x14ac:dyDescent="0.25">
      <c r="A534" t="s">
        <v>860</v>
      </c>
      <c r="B534" s="107" t="s">
        <v>1373</v>
      </c>
      <c r="C534" t="str">
        <f>VLOOKUP(B534,'[1]Planting GPS Points'!$B$3:$L$290,8,FALSE)</f>
        <v>CPS</v>
      </c>
      <c r="D534" t="str">
        <f>VLOOKUP(B534,'[1]Planting GPS Points'!$B$3:$AL$290,15,FALSE)</f>
        <v>93-094344</v>
      </c>
      <c r="E534" s="116">
        <v>43250</v>
      </c>
      <c r="F534" s="117">
        <v>12</v>
      </c>
      <c r="G534" s="110">
        <v>600</v>
      </c>
      <c r="H534" s="35" t="s">
        <v>963</v>
      </c>
      <c r="I534" s="42">
        <v>43570</v>
      </c>
      <c r="J534" s="77" t="s">
        <v>12</v>
      </c>
      <c r="K534" s="77" t="s">
        <v>982</v>
      </c>
      <c r="L534">
        <v>22</v>
      </c>
      <c r="M534" s="110">
        <v>12</v>
      </c>
      <c r="N534" s="44">
        <v>1.8333333333333333</v>
      </c>
      <c r="O534">
        <f t="shared" si="29"/>
        <v>320</v>
      </c>
      <c r="P534" s="97">
        <v>3.6666666666666667E-2</v>
      </c>
      <c r="Q534" s="110" t="s">
        <v>1949</v>
      </c>
    </row>
    <row r="535" spans="1:17" x14ac:dyDescent="0.25">
      <c r="A535" t="s">
        <v>860</v>
      </c>
      <c r="B535" s="9" t="s">
        <v>1371</v>
      </c>
      <c r="C535" t="str">
        <f>VLOOKUP(B535,'[1]Planting GPS Points'!$B$3:$L$290,8,FALSE)</f>
        <v>CPS</v>
      </c>
      <c r="D535" t="str">
        <f>VLOOKUP(B535,'[1]Planting GPS Points'!$B$3:$AL$290,15,FALSE)</f>
        <v>93-094344</v>
      </c>
      <c r="E535" s="42">
        <v>43250</v>
      </c>
      <c r="F535" s="44">
        <v>12</v>
      </c>
      <c r="G535">
        <v>600</v>
      </c>
      <c r="H535" s="35" t="s">
        <v>971</v>
      </c>
      <c r="I535" s="42">
        <v>43297</v>
      </c>
      <c r="J535" s="77" t="s">
        <v>12</v>
      </c>
      <c r="K535" s="77" t="s">
        <v>982</v>
      </c>
      <c r="O535">
        <f t="shared" si="29"/>
        <v>47</v>
      </c>
      <c r="P535" s="97" t="str">
        <f>IF(L535="", "", L535/G535)</f>
        <v/>
      </c>
      <c r="Q535" s="8" t="s">
        <v>1948</v>
      </c>
    </row>
    <row r="536" spans="1:17" x14ac:dyDescent="0.25">
      <c r="A536" t="s">
        <v>860</v>
      </c>
      <c r="B536" s="107" t="s">
        <v>1371</v>
      </c>
      <c r="C536" t="str">
        <f>VLOOKUP(B536,'[1]Planting GPS Points'!$B$3:$L$290,8,FALSE)</f>
        <v>CPS</v>
      </c>
      <c r="D536" t="str">
        <f>VLOOKUP(B536,'[1]Planting GPS Points'!$B$3:$AL$290,15,FALSE)</f>
        <v>93-094344</v>
      </c>
      <c r="E536" s="116">
        <v>43250</v>
      </c>
      <c r="F536" s="117">
        <v>12</v>
      </c>
      <c r="G536" s="110">
        <v>600</v>
      </c>
      <c r="H536" s="35" t="s">
        <v>963</v>
      </c>
      <c r="I536" s="42">
        <v>43570</v>
      </c>
      <c r="J536" s="77" t="s">
        <v>12</v>
      </c>
      <c r="K536" s="77" t="s">
        <v>982</v>
      </c>
      <c r="L536">
        <v>6</v>
      </c>
      <c r="M536" s="110">
        <v>12</v>
      </c>
      <c r="N536" s="44">
        <v>0.5</v>
      </c>
      <c r="O536">
        <f t="shared" si="29"/>
        <v>320</v>
      </c>
      <c r="P536" s="97">
        <v>0.01</v>
      </c>
      <c r="Q536" s="110" t="s">
        <v>1949</v>
      </c>
    </row>
    <row r="537" spans="1:17" x14ac:dyDescent="0.25">
      <c r="A537" t="s">
        <v>860</v>
      </c>
      <c r="B537" s="9" t="s">
        <v>1380</v>
      </c>
      <c r="C537" t="str">
        <f>VLOOKUP(B537,'[1]Planting GPS Points'!$B$3:$L$290,8,FALSE)</f>
        <v>CPS</v>
      </c>
      <c r="D537" t="str">
        <f>VLOOKUP(B537,'[1]Planting GPS Points'!$B$3:$AL$290,15,FALSE)</f>
        <v>93-094344</v>
      </c>
      <c r="E537" s="42">
        <v>43252</v>
      </c>
      <c r="F537" s="44">
        <v>12</v>
      </c>
      <c r="G537">
        <v>600</v>
      </c>
      <c r="H537" s="35" t="s">
        <v>971</v>
      </c>
      <c r="I537" s="42">
        <v>43297</v>
      </c>
      <c r="J537" s="77" t="s">
        <v>12</v>
      </c>
      <c r="K537" s="77" t="s">
        <v>982</v>
      </c>
      <c r="O537">
        <f t="shared" si="29"/>
        <v>45</v>
      </c>
      <c r="P537" s="97" t="str">
        <f>IF(L537="", "", L537/G537)</f>
        <v/>
      </c>
      <c r="Q537" s="8" t="s">
        <v>1950</v>
      </c>
    </row>
    <row r="538" spans="1:17" x14ac:dyDescent="0.25">
      <c r="A538" t="s">
        <v>860</v>
      </c>
      <c r="B538" s="107" t="s">
        <v>1380</v>
      </c>
      <c r="C538" t="str">
        <f>VLOOKUP(B538,'[1]Planting GPS Points'!$B$3:$L$290,8,FALSE)</f>
        <v>CPS</v>
      </c>
      <c r="D538" t="str">
        <f>VLOOKUP(B538,'[1]Planting GPS Points'!$B$3:$AL$290,15,FALSE)</f>
        <v>93-094344</v>
      </c>
      <c r="E538" s="116">
        <v>43252</v>
      </c>
      <c r="F538" s="117">
        <v>12</v>
      </c>
      <c r="G538" s="110">
        <v>600</v>
      </c>
      <c r="H538" s="35" t="s">
        <v>963</v>
      </c>
      <c r="I538" s="42">
        <v>43570</v>
      </c>
      <c r="J538" s="77" t="s">
        <v>12</v>
      </c>
      <c r="K538" s="77" t="s">
        <v>982</v>
      </c>
      <c r="L538">
        <v>7</v>
      </c>
      <c r="M538" s="110">
        <v>12</v>
      </c>
      <c r="N538" s="44">
        <v>0.58333333333333337</v>
      </c>
      <c r="O538">
        <f t="shared" si="29"/>
        <v>318</v>
      </c>
      <c r="P538" s="97">
        <v>1.1666666666666667E-2</v>
      </c>
      <c r="Q538" s="110" t="s">
        <v>1949</v>
      </c>
    </row>
    <row r="539" spans="1:17" x14ac:dyDescent="0.25">
      <c r="A539" t="s">
        <v>860</v>
      </c>
      <c r="B539" s="9" t="s">
        <v>1384</v>
      </c>
      <c r="C539" t="str">
        <f>VLOOKUP(B539,'[1]Planting GPS Points'!$B$3:$L$290,8,FALSE)</f>
        <v>CPS</v>
      </c>
      <c r="D539" t="str">
        <f>VLOOKUP(B539,'[1]Planting GPS Points'!$B$3:$AL$290,15,FALSE)</f>
        <v>93-094344</v>
      </c>
      <c r="E539" s="42">
        <v>43252</v>
      </c>
      <c r="F539" s="44">
        <v>12</v>
      </c>
      <c r="G539">
        <v>600</v>
      </c>
      <c r="H539" s="35" t="s">
        <v>971</v>
      </c>
      <c r="I539" s="42">
        <v>43297</v>
      </c>
      <c r="J539" s="77" t="s">
        <v>12</v>
      </c>
      <c r="K539" s="77" t="s">
        <v>982</v>
      </c>
      <c r="O539">
        <f t="shared" si="29"/>
        <v>45</v>
      </c>
      <c r="P539" s="97" t="str">
        <f>IF(L539="", "", L539/G539)</f>
        <v/>
      </c>
      <c r="Q539" s="8" t="s">
        <v>1951</v>
      </c>
    </row>
    <row r="540" spans="1:17" x14ac:dyDescent="0.25">
      <c r="A540" t="s">
        <v>860</v>
      </c>
      <c r="B540" s="107" t="s">
        <v>1384</v>
      </c>
      <c r="C540" t="str">
        <f>VLOOKUP(B540,'[1]Planting GPS Points'!$B$3:$L$290,8,FALSE)</f>
        <v>CPS</v>
      </c>
      <c r="D540" t="str">
        <f>VLOOKUP(B540,'[1]Planting GPS Points'!$B$3:$AL$290,15,FALSE)</f>
        <v>93-094344</v>
      </c>
      <c r="E540" s="116">
        <v>43252</v>
      </c>
      <c r="F540" s="117">
        <v>12</v>
      </c>
      <c r="G540" s="110">
        <v>600</v>
      </c>
      <c r="H540" s="35" t="s">
        <v>963</v>
      </c>
      <c r="I540" s="42">
        <v>43570</v>
      </c>
      <c r="J540" s="77" t="s">
        <v>23</v>
      </c>
      <c r="K540" s="77" t="s">
        <v>982</v>
      </c>
      <c r="L540">
        <v>0</v>
      </c>
      <c r="M540" s="110">
        <v>12</v>
      </c>
      <c r="N540" s="44">
        <v>0</v>
      </c>
      <c r="O540">
        <f t="shared" si="29"/>
        <v>318</v>
      </c>
      <c r="P540" s="97">
        <v>0</v>
      </c>
      <c r="Q540" s="110" t="s">
        <v>1949</v>
      </c>
    </row>
    <row r="541" spans="1:17" x14ac:dyDescent="0.25">
      <c r="A541" t="s">
        <v>860</v>
      </c>
      <c r="B541" s="9" t="s">
        <v>1382</v>
      </c>
      <c r="C541" t="str">
        <f>VLOOKUP(B541,'[1]Planting GPS Points'!$B$3:$L$290,8,FALSE)</f>
        <v>CPS</v>
      </c>
      <c r="D541" t="str">
        <f>VLOOKUP(B541,'[1]Planting GPS Points'!$B$3:$AL$290,15,FALSE)</f>
        <v>93-094344</v>
      </c>
      <c r="E541" s="42">
        <v>43252</v>
      </c>
      <c r="F541" s="44">
        <v>12</v>
      </c>
      <c r="G541">
        <v>600</v>
      </c>
      <c r="H541" s="35" t="s">
        <v>971</v>
      </c>
      <c r="I541" s="42">
        <v>43297</v>
      </c>
      <c r="J541" s="77" t="s">
        <v>12</v>
      </c>
      <c r="K541" s="77" t="s">
        <v>982</v>
      </c>
      <c r="O541">
        <f t="shared" si="29"/>
        <v>45</v>
      </c>
      <c r="P541" s="97" t="str">
        <f>IF(L541="", "", L541/G541)</f>
        <v/>
      </c>
      <c r="Q541" s="8" t="s">
        <v>1951</v>
      </c>
    </row>
    <row r="542" spans="1:17" x14ac:dyDescent="0.25">
      <c r="A542" t="s">
        <v>860</v>
      </c>
      <c r="B542" s="107" t="s">
        <v>1382</v>
      </c>
      <c r="C542" t="str">
        <f>VLOOKUP(B542,'[1]Planting GPS Points'!$B$3:$L$290,8,FALSE)</f>
        <v>CPS</v>
      </c>
      <c r="D542" t="str">
        <f>VLOOKUP(B542,'[1]Planting GPS Points'!$B$3:$AL$290,15,FALSE)</f>
        <v>93-094344</v>
      </c>
      <c r="E542" s="116">
        <v>43252</v>
      </c>
      <c r="F542" s="117">
        <v>12</v>
      </c>
      <c r="G542" s="110">
        <v>600</v>
      </c>
      <c r="H542" s="35" t="s">
        <v>963</v>
      </c>
      <c r="I542" s="42">
        <v>43570</v>
      </c>
      <c r="J542" s="77" t="s">
        <v>23</v>
      </c>
      <c r="K542" s="77" t="s">
        <v>982</v>
      </c>
      <c r="L542">
        <v>1</v>
      </c>
      <c r="M542" s="110">
        <v>12</v>
      </c>
      <c r="N542" s="44">
        <v>8.3333333333333329E-2</v>
      </c>
      <c r="O542">
        <f t="shared" si="29"/>
        <v>318</v>
      </c>
      <c r="P542" s="97">
        <v>1.6666666666666668E-3</v>
      </c>
      <c r="Q542" s="110" t="s">
        <v>1949</v>
      </c>
    </row>
    <row r="543" spans="1:17" x14ac:dyDescent="0.25">
      <c r="A543" t="s">
        <v>860</v>
      </c>
      <c r="B543" s="9" t="s">
        <v>1377</v>
      </c>
      <c r="C543" t="str">
        <f>VLOOKUP(B543,'[1]Planting GPS Points'!$B$3:$L$290,8,FALSE)</f>
        <v>CPS</v>
      </c>
      <c r="D543" t="str">
        <f>VLOOKUP(B543,'[1]Planting GPS Points'!$B$3:$AL$290,15,FALSE)</f>
        <v>93-094344</v>
      </c>
      <c r="E543" s="42">
        <v>43250</v>
      </c>
      <c r="F543" s="44">
        <v>12</v>
      </c>
      <c r="G543">
        <v>600</v>
      </c>
      <c r="H543" s="35" t="s">
        <v>971</v>
      </c>
      <c r="I543" s="42">
        <v>43297</v>
      </c>
      <c r="J543" s="77" t="s">
        <v>12</v>
      </c>
      <c r="K543" s="77" t="s">
        <v>982</v>
      </c>
      <c r="O543">
        <f t="shared" si="29"/>
        <v>47</v>
      </c>
      <c r="P543" s="97" t="str">
        <f>IF(L543="", "", L543/G543)</f>
        <v/>
      </c>
      <c r="Q543" s="8" t="s">
        <v>1952</v>
      </c>
    </row>
    <row r="544" spans="1:17" x14ac:dyDescent="0.25">
      <c r="A544" t="s">
        <v>860</v>
      </c>
      <c r="B544" s="107" t="s">
        <v>1377</v>
      </c>
      <c r="C544" t="str">
        <f>VLOOKUP(B544,'[1]Planting GPS Points'!$B$3:$L$290,8,FALSE)</f>
        <v>CPS</v>
      </c>
      <c r="D544" t="str">
        <f>VLOOKUP(B544,'[1]Planting GPS Points'!$B$3:$AL$290,15,FALSE)</f>
        <v>93-094344</v>
      </c>
      <c r="E544" s="116">
        <v>43250</v>
      </c>
      <c r="F544" s="117">
        <v>12</v>
      </c>
      <c r="G544" s="110">
        <v>600</v>
      </c>
      <c r="H544" s="35" t="s">
        <v>963</v>
      </c>
      <c r="I544" s="42">
        <v>43571</v>
      </c>
      <c r="J544" s="77" t="s">
        <v>12</v>
      </c>
      <c r="K544" s="77" t="s">
        <v>982</v>
      </c>
      <c r="L544">
        <v>24</v>
      </c>
      <c r="M544" s="110">
        <v>12</v>
      </c>
      <c r="N544" s="44">
        <v>2</v>
      </c>
      <c r="O544">
        <f t="shared" si="29"/>
        <v>321</v>
      </c>
      <c r="P544" s="97">
        <v>0.04</v>
      </c>
      <c r="Q544" s="110" t="s">
        <v>1953</v>
      </c>
    </row>
    <row r="545" spans="1:17" x14ac:dyDescent="0.25">
      <c r="A545" t="s">
        <v>860</v>
      </c>
      <c r="B545" s="9" t="s">
        <v>1375</v>
      </c>
      <c r="C545" t="str">
        <f>VLOOKUP(B545,'[1]Planting GPS Points'!$B$3:$L$290,8,FALSE)</f>
        <v>CPS</v>
      </c>
      <c r="D545" t="str">
        <f>VLOOKUP(B545,'[1]Planting GPS Points'!$B$3:$AL$290,15,FALSE)</f>
        <v>93-094344</v>
      </c>
      <c r="E545" s="42">
        <v>43250</v>
      </c>
      <c r="F545" s="44">
        <v>12</v>
      </c>
      <c r="G545">
        <v>600</v>
      </c>
      <c r="H545" s="35" t="s">
        <v>971</v>
      </c>
      <c r="I545" s="42">
        <v>43297</v>
      </c>
      <c r="J545" s="77" t="s">
        <v>12</v>
      </c>
      <c r="K545" s="77" t="s">
        <v>982</v>
      </c>
      <c r="O545">
        <f t="shared" si="29"/>
        <v>47</v>
      </c>
      <c r="P545" s="97" t="str">
        <f>IF(L545="", "", L545/G545)</f>
        <v/>
      </c>
      <c r="Q545" s="8" t="s">
        <v>1952</v>
      </c>
    </row>
    <row r="546" spans="1:17" x14ac:dyDescent="0.25">
      <c r="A546" t="s">
        <v>860</v>
      </c>
      <c r="B546" s="107" t="s">
        <v>1375</v>
      </c>
      <c r="C546" t="str">
        <f>VLOOKUP(B546,'[1]Planting GPS Points'!$B$3:$L$290,8,FALSE)</f>
        <v>CPS</v>
      </c>
      <c r="D546" t="str">
        <f>VLOOKUP(B546,'[1]Planting GPS Points'!$B$3:$AL$290,15,FALSE)</f>
        <v>93-094344</v>
      </c>
      <c r="E546" s="116">
        <v>43250</v>
      </c>
      <c r="F546" s="117">
        <v>12</v>
      </c>
      <c r="G546" s="110">
        <v>600</v>
      </c>
      <c r="H546" s="35" t="s">
        <v>963</v>
      </c>
      <c r="I546" s="42">
        <v>43571</v>
      </c>
      <c r="J546" s="77" t="s">
        <v>12</v>
      </c>
      <c r="K546" s="77" t="s">
        <v>982</v>
      </c>
      <c r="L546">
        <v>7</v>
      </c>
      <c r="M546" s="110">
        <v>12</v>
      </c>
      <c r="N546" s="44">
        <v>0.58333333333333337</v>
      </c>
      <c r="O546">
        <f t="shared" si="29"/>
        <v>321</v>
      </c>
      <c r="P546" s="97">
        <v>1.1666666666666667E-2</v>
      </c>
      <c r="Q546" s="110" t="s">
        <v>1954</v>
      </c>
    </row>
    <row r="547" spans="1:17" x14ac:dyDescent="0.25">
      <c r="A547" t="s">
        <v>860</v>
      </c>
      <c r="B547" s="9" t="s">
        <v>1386</v>
      </c>
      <c r="C547" t="str">
        <f>VLOOKUP(B547,'[1]Planting GPS Points'!$B$3:$L$290,8,FALSE)</f>
        <v>CPS</v>
      </c>
      <c r="D547">
        <f>VLOOKUP(B547,'[1]Planting GPS Points'!$B$3:$AL$290,15,FALSE)</f>
        <v>0</v>
      </c>
      <c r="E547" s="42">
        <v>44329</v>
      </c>
      <c r="F547" s="44">
        <v>3</v>
      </c>
      <c r="G547" s="47">
        <v>240</v>
      </c>
      <c r="H547" s="35" t="s">
        <v>971</v>
      </c>
      <c r="I547" s="42">
        <v>44342</v>
      </c>
      <c r="J547" s="77" t="s">
        <v>23</v>
      </c>
      <c r="K547" s="77" t="s">
        <v>982</v>
      </c>
      <c r="L547">
        <v>0</v>
      </c>
      <c r="M547" s="110"/>
      <c r="N547" s="44"/>
      <c r="O547">
        <f t="shared" si="29"/>
        <v>13</v>
      </c>
      <c r="P547" s="97">
        <v>1.6666666666666668E-3</v>
      </c>
      <c r="Q547" s="110" t="s">
        <v>1955</v>
      </c>
    </row>
    <row r="548" spans="1:17" x14ac:dyDescent="0.25">
      <c r="A548" t="s">
        <v>860</v>
      </c>
      <c r="B548" s="9" t="s">
        <v>1386</v>
      </c>
      <c r="C548" t="str">
        <f>VLOOKUP(B548,'[1]Planting GPS Points'!$B$3:$L$290,8,FALSE)</f>
        <v>CPS</v>
      </c>
      <c r="D548">
        <f>VLOOKUP(B548,'[1]Planting GPS Points'!$B$3:$AL$290,15,FALSE)</f>
        <v>0</v>
      </c>
      <c r="E548" s="42">
        <v>44330</v>
      </c>
      <c r="F548" s="44">
        <v>3.75</v>
      </c>
      <c r="G548" s="47">
        <v>375</v>
      </c>
      <c r="H548" s="35" t="s">
        <v>971</v>
      </c>
      <c r="I548" s="42">
        <v>44342</v>
      </c>
      <c r="J548" s="77" t="s">
        <v>23</v>
      </c>
      <c r="K548" s="77" t="s">
        <v>982</v>
      </c>
      <c r="L548">
        <v>0</v>
      </c>
      <c r="M548" s="110"/>
      <c r="N548" s="44"/>
      <c r="O548">
        <f t="shared" si="29"/>
        <v>12</v>
      </c>
      <c r="P548" s="97">
        <v>1.6666666666666668E-3</v>
      </c>
      <c r="Q548" s="110" t="s">
        <v>1955</v>
      </c>
    </row>
    <row r="549" spans="1:17" x14ac:dyDescent="0.25">
      <c r="A549" t="s">
        <v>860</v>
      </c>
      <c r="B549" s="9" t="s">
        <v>1386</v>
      </c>
      <c r="C549" t="str">
        <f>VLOOKUP(B549,'[1]Planting GPS Points'!$B$3:$L$290,8,FALSE)</f>
        <v>CPS</v>
      </c>
      <c r="D549">
        <f>VLOOKUP(B549,'[1]Planting GPS Points'!$B$3:$AL$290,15,FALSE)</f>
        <v>0</v>
      </c>
      <c r="E549" s="42">
        <v>44330</v>
      </c>
      <c r="F549" s="44"/>
      <c r="G549" s="47">
        <v>375</v>
      </c>
      <c r="H549" s="35" t="s">
        <v>971</v>
      </c>
      <c r="I549" s="42">
        <v>44373</v>
      </c>
      <c r="J549" s="77" t="s">
        <v>23</v>
      </c>
      <c r="K549" s="77" t="s">
        <v>982</v>
      </c>
      <c r="L549">
        <v>0</v>
      </c>
      <c r="M549" s="110"/>
      <c r="N549" s="44"/>
      <c r="O549">
        <f t="shared" si="29"/>
        <v>43</v>
      </c>
      <c r="P549" s="97">
        <v>1.6666666666666668E-3</v>
      </c>
      <c r="Q549" s="110" t="s">
        <v>1956</v>
      </c>
    </row>
    <row r="550" spans="1:17" x14ac:dyDescent="0.25">
      <c r="A550" t="s">
        <v>860</v>
      </c>
      <c r="B550" s="9" t="s">
        <v>1394</v>
      </c>
      <c r="C550" t="str">
        <f>VLOOKUP(B550,'[1]Planting GPS Points'!$B$3:$L$290,8,FALSE)</f>
        <v>CPS</v>
      </c>
      <c r="D550">
        <f>VLOOKUP(B550,'[1]Planting GPS Points'!$B$3:$AL$290,15,FALSE)</f>
        <v>0</v>
      </c>
      <c r="E550" s="42">
        <v>44700</v>
      </c>
      <c r="F550">
        <v>0.75</v>
      </c>
      <c r="G550">
        <v>75</v>
      </c>
      <c r="H550" s="35" t="s">
        <v>971</v>
      </c>
      <c r="I550" s="42">
        <v>44712</v>
      </c>
      <c r="J550" s="77" t="s">
        <v>23</v>
      </c>
      <c r="K550" s="77" t="s">
        <v>1395</v>
      </c>
      <c r="O550">
        <f t="shared" si="29"/>
        <v>12</v>
      </c>
      <c r="Q550" t="s">
        <v>1957</v>
      </c>
    </row>
    <row r="551" spans="1:17" x14ac:dyDescent="0.25">
      <c r="A551" t="s">
        <v>860</v>
      </c>
      <c r="B551" s="9" t="s">
        <v>1390</v>
      </c>
      <c r="C551" t="str">
        <f>VLOOKUP(B551,'[1]Planting GPS Points'!$B$3:$L$290,8,FALSE)</f>
        <v>CPS</v>
      </c>
      <c r="D551">
        <f>VLOOKUP(B551,'[1]Planting GPS Points'!$B$3:$AL$290,15,FALSE)</f>
        <v>0</v>
      </c>
      <c r="E551" s="42">
        <v>44329</v>
      </c>
      <c r="F551" s="44">
        <v>2.25</v>
      </c>
      <c r="G551" s="47">
        <v>180</v>
      </c>
      <c r="H551" s="35" t="s">
        <v>971</v>
      </c>
      <c r="I551" s="42">
        <v>44342</v>
      </c>
      <c r="J551" s="77" t="s">
        <v>23</v>
      </c>
      <c r="K551" s="77" t="s">
        <v>982</v>
      </c>
      <c r="L551">
        <v>0</v>
      </c>
      <c r="M551" s="110"/>
      <c r="N551" s="44"/>
      <c r="O551">
        <f t="shared" si="29"/>
        <v>13</v>
      </c>
      <c r="P551" s="97">
        <v>1.6666666666666668E-3</v>
      </c>
      <c r="Q551" s="110" t="s">
        <v>1958</v>
      </c>
    </row>
    <row r="552" spans="1:17" x14ac:dyDescent="0.25">
      <c r="A552" t="s">
        <v>860</v>
      </c>
      <c r="B552" s="9" t="s">
        <v>1390</v>
      </c>
      <c r="C552" t="str">
        <f>VLOOKUP(B552,'[1]Planting GPS Points'!$B$3:$L$290,8,FALSE)</f>
        <v>CPS</v>
      </c>
      <c r="D552">
        <f>VLOOKUP(B552,'[1]Planting GPS Points'!$B$3:$AL$290,15,FALSE)</f>
        <v>0</v>
      </c>
      <c r="E552" s="42">
        <v>44330</v>
      </c>
      <c r="F552" s="44">
        <v>2.25</v>
      </c>
      <c r="G552" s="47">
        <v>180</v>
      </c>
      <c r="H552" s="35" t="s">
        <v>971</v>
      </c>
      <c r="I552" s="42">
        <v>44342</v>
      </c>
      <c r="J552" s="77" t="s">
        <v>23</v>
      </c>
      <c r="K552" s="77" t="s">
        <v>982</v>
      </c>
      <c r="L552">
        <v>0</v>
      </c>
      <c r="M552" s="110"/>
      <c r="N552" s="44"/>
      <c r="O552">
        <f t="shared" si="29"/>
        <v>12</v>
      </c>
      <c r="P552" s="97">
        <v>1.6666666666666668E-3</v>
      </c>
      <c r="Q552" s="110" t="s">
        <v>1958</v>
      </c>
    </row>
    <row r="553" spans="1:17" x14ac:dyDescent="0.25">
      <c r="A553" t="s">
        <v>860</v>
      </c>
      <c r="B553" s="9" t="s">
        <v>1379</v>
      </c>
      <c r="C553" t="str">
        <f>VLOOKUP(B553,'[1]Planting GPS Points'!$B$3:$L$290,8,FALSE)</f>
        <v>CPS</v>
      </c>
      <c r="D553" t="str">
        <f>VLOOKUP(B553,'[1]Planting GPS Points'!$B$3:$AL$290,15,FALSE)</f>
        <v>93-094344</v>
      </c>
      <c r="E553" s="42">
        <v>43251</v>
      </c>
      <c r="F553" s="44">
        <v>12</v>
      </c>
      <c r="G553">
        <v>600</v>
      </c>
      <c r="H553" s="35" t="s">
        <v>971</v>
      </c>
      <c r="I553" s="42">
        <v>43297</v>
      </c>
      <c r="J553" s="77" t="s">
        <v>12</v>
      </c>
      <c r="K553" s="77" t="s">
        <v>982</v>
      </c>
      <c r="O553">
        <f t="shared" si="29"/>
        <v>46</v>
      </c>
      <c r="P553" s="97" t="str">
        <f>IF(L553="", "", L553/G553)</f>
        <v/>
      </c>
      <c r="Q553" s="8" t="s">
        <v>1959</v>
      </c>
    </row>
    <row r="554" spans="1:17" x14ac:dyDescent="0.25">
      <c r="A554" t="s">
        <v>860</v>
      </c>
      <c r="B554" s="107" t="s">
        <v>1379</v>
      </c>
      <c r="C554" t="str">
        <f>VLOOKUP(B554,'[1]Planting GPS Points'!$B$3:$L$290,8,FALSE)</f>
        <v>CPS</v>
      </c>
      <c r="D554" t="str">
        <f>VLOOKUP(B554,'[1]Planting GPS Points'!$B$3:$AL$290,15,FALSE)</f>
        <v>93-094344</v>
      </c>
      <c r="E554" s="116">
        <v>43251</v>
      </c>
      <c r="F554" s="117">
        <v>12</v>
      </c>
      <c r="G554" s="110">
        <v>600</v>
      </c>
      <c r="H554" s="35" t="s">
        <v>963</v>
      </c>
      <c r="I554" s="42">
        <v>43571</v>
      </c>
      <c r="J554" s="77" t="s">
        <v>23</v>
      </c>
      <c r="K554" s="77" t="s">
        <v>982</v>
      </c>
      <c r="L554">
        <v>0</v>
      </c>
      <c r="M554" s="110">
        <v>12</v>
      </c>
      <c r="N554" s="44">
        <v>0</v>
      </c>
      <c r="O554">
        <f t="shared" si="29"/>
        <v>320</v>
      </c>
      <c r="P554" s="97">
        <v>0</v>
      </c>
      <c r="Q554" s="110" t="s">
        <v>1960</v>
      </c>
    </row>
    <row r="555" spans="1:17" x14ac:dyDescent="0.25">
      <c r="A555" t="s">
        <v>860</v>
      </c>
      <c r="B555" s="9" t="s">
        <v>1378</v>
      </c>
      <c r="C555" t="str">
        <f>VLOOKUP(B555,'[1]Planting GPS Points'!$B$3:$L$290,8,FALSE)</f>
        <v>CPS</v>
      </c>
      <c r="D555" t="str">
        <f>VLOOKUP(B555,'[1]Planting GPS Points'!$B$3:$AL$290,15,FALSE)</f>
        <v>93-094344</v>
      </c>
      <c r="E555" s="42">
        <v>43251</v>
      </c>
      <c r="F555" s="44">
        <v>12</v>
      </c>
      <c r="G555">
        <v>600</v>
      </c>
      <c r="H555" s="35" t="s">
        <v>971</v>
      </c>
      <c r="I555" s="42">
        <v>43297</v>
      </c>
      <c r="J555" s="77" t="s">
        <v>12</v>
      </c>
      <c r="K555" s="77" t="s">
        <v>982</v>
      </c>
      <c r="O555">
        <f t="shared" si="29"/>
        <v>46</v>
      </c>
      <c r="P555" s="97" t="str">
        <f>IF(L555="", "", L555/G555)</f>
        <v/>
      </c>
      <c r="Q555" s="8" t="s">
        <v>1961</v>
      </c>
    </row>
    <row r="556" spans="1:17" x14ac:dyDescent="0.25">
      <c r="A556" t="s">
        <v>860</v>
      </c>
      <c r="B556" s="107" t="s">
        <v>1378</v>
      </c>
      <c r="C556" t="str">
        <f>VLOOKUP(B556,'[1]Planting GPS Points'!$B$3:$L$290,8,FALSE)</f>
        <v>CPS</v>
      </c>
      <c r="D556" t="str">
        <f>VLOOKUP(B556,'[1]Planting GPS Points'!$B$3:$AL$290,15,FALSE)</f>
        <v>93-094344</v>
      </c>
      <c r="E556" s="116">
        <v>43251</v>
      </c>
      <c r="F556" s="117">
        <v>12</v>
      </c>
      <c r="G556" s="110">
        <v>600</v>
      </c>
      <c r="H556" s="35" t="s">
        <v>963</v>
      </c>
      <c r="I556" s="42">
        <v>43571</v>
      </c>
      <c r="J556" s="77" t="s">
        <v>23</v>
      </c>
      <c r="K556" s="77" t="s">
        <v>982</v>
      </c>
      <c r="L556">
        <v>0</v>
      </c>
      <c r="M556" s="110">
        <v>12</v>
      </c>
      <c r="N556" s="44">
        <v>0</v>
      </c>
      <c r="O556">
        <f t="shared" si="29"/>
        <v>320</v>
      </c>
      <c r="P556" s="97">
        <v>0</v>
      </c>
      <c r="Q556" s="110" t="s">
        <v>1960</v>
      </c>
    </row>
    <row r="557" spans="1:17" x14ac:dyDescent="0.25">
      <c r="A557" t="s">
        <v>1397</v>
      </c>
      <c r="B557" t="s">
        <v>1398</v>
      </c>
      <c r="C557" t="str">
        <f>VLOOKUP(B557,'[1]Planting GPS Points'!$B$3:$L$290,8,FALSE)</f>
        <v>HDC</v>
      </c>
      <c r="D557" t="str">
        <f>VLOOKUP(B557,'[1]Planting GPS Points'!$B$3:$AL$290,15,FALSE)</f>
        <v>IAA 12-317.1</v>
      </c>
      <c r="E557" s="42">
        <v>41967</v>
      </c>
      <c r="F557" s="44">
        <v>25</v>
      </c>
      <c r="G557" s="45">
        <v>500</v>
      </c>
      <c r="H557" s="35" t="s">
        <v>963</v>
      </c>
      <c r="I557" s="42">
        <v>42466</v>
      </c>
      <c r="J557" s="77" t="s">
        <v>23</v>
      </c>
      <c r="K557" s="77" t="s">
        <v>967</v>
      </c>
      <c r="L557">
        <v>0</v>
      </c>
      <c r="M557">
        <v>25</v>
      </c>
      <c r="N557" s="44">
        <f t="shared" ref="N557:N572" si="31">IFERROR(L557/M557, "")</f>
        <v>0</v>
      </c>
      <c r="O557">
        <f t="shared" si="29"/>
        <v>499</v>
      </c>
      <c r="P557" s="97">
        <f t="shared" ref="P557:P606" si="32">IF(L557="", "", L557/G557)</f>
        <v>0</v>
      </c>
      <c r="Q557" s="8" t="s">
        <v>1962</v>
      </c>
    </row>
    <row r="558" spans="1:17" x14ac:dyDescent="0.25">
      <c r="A558" s="9" t="s">
        <v>540</v>
      </c>
      <c r="B558" s="9" t="s">
        <v>1402</v>
      </c>
      <c r="C558" t="str">
        <f>VLOOKUP(B558,'[1]Planting GPS Points'!$B$3:$L$290,8,FALSE)</f>
        <v>HDC</v>
      </c>
      <c r="D558" t="str">
        <f>VLOOKUP(B558,'[1]Planting GPS Points'!$B$3:$AL$290,15,FALSE)</f>
        <v>93-099661</v>
      </c>
      <c r="E558" s="3">
        <v>42551</v>
      </c>
      <c r="F558" s="44">
        <v>4</v>
      </c>
      <c r="G558">
        <v>240</v>
      </c>
      <c r="H558" s="35" t="s">
        <v>963</v>
      </c>
      <c r="I558" s="42">
        <v>42843</v>
      </c>
      <c r="J558" s="77" t="s">
        <v>23</v>
      </c>
      <c r="K558" s="77" t="s">
        <v>967</v>
      </c>
      <c r="L558">
        <v>0</v>
      </c>
      <c r="M558">
        <v>4</v>
      </c>
      <c r="N558" s="44">
        <f t="shared" si="31"/>
        <v>0</v>
      </c>
      <c r="O558">
        <f t="shared" si="29"/>
        <v>292</v>
      </c>
      <c r="P558" s="97">
        <f t="shared" si="32"/>
        <v>0</v>
      </c>
      <c r="Q558" s="8" t="s">
        <v>1963</v>
      </c>
    </row>
    <row r="559" spans="1:17" x14ac:dyDescent="0.25">
      <c r="A559" s="9" t="s">
        <v>540</v>
      </c>
      <c r="B559" s="9" t="s">
        <v>1403</v>
      </c>
      <c r="C559" t="str">
        <f>VLOOKUP(B559,'[1]Planting GPS Points'!$B$3:$L$290,8,FALSE)</f>
        <v>HDC</v>
      </c>
      <c r="D559" t="str">
        <f>VLOOKUP(B559,'[1]Planting GPS Points'!$B$3:$AL$290,15,FALSE)</f>
        <v>93-099661</v>
      </c>
      <c r="E559" s="3">
        <v>42551</v>
      </c>
      <c r="F559" s="44">
        <v>4</v>
      </c>
      <c r="G559">
        <v>240</v>
      </c>
      <c r="H559" s="35" t="s">
        <v>963</v>
      </c>
      <c r="I559" s="42">
        <v>42843</v>
      </c>
      <c r="J559" s="77" t="s">
        <v>23</v>
      </c>
      <c r="K559" s="77" t="s">
        <v>967</v>
      </c>
      <c r="L559">
        <v>0</v>
      </c>
      <c r="M559">
        <v>4</v>
      </c>
      <c r="N559" s="44">
        <f t="shared" si="31"/>
        <v>0</v>
      </c>
      <c r="O559">
        <f t="shared" si="29"/>
        <v>292</v>
      </c>
      <c r="P559" s="97">
        <f t="shared" si="32"/>
        <v>0</v>
      </c>
      <c r="Q559" s="8" t="s">
        <v>1963</v>
      </c>
    </row>
    <row r="560" spans="1:17" x14ac:dyDescent="0.25">
      <c r="A560" s="9" t="s">
        <v>540</v>
      </c>
      <c r="B560" s="9" t="s">
        <v>1404</v>
      </c>
      <c r="C560" t="str">
        <f>VLOOKUP(B560,'[1]Planting GPS Points'!$B$3:$L$290,8,FALSE)</f>
        <v>HDC</v>
      </c>
      <c r="D560" t="str">
        <f>VLOOKUP(B560,'[1]Planting GPS Points'!$B$3:$AL$290,15,FALSE)</f>
        <v>93-099661</v>
      </c>
      <c r="E560" s="3">
        <v>42551</v>
      </c>
      <c r="F560" s="44">
        <v>4</v>
      </c>
      <c r="G560">
        <v>240</v>
      </c>
      <c r="H560" s="35" t="s">
        <v>963</v>
      </c>
      <c r="I560" s="42">
        <v>42843</v>
      </c>
      <c r="J560" s="77" t="s">
        <v>23</v>
      </c>
      <c r="K560" s="77" t="s">
        <v>967</v>
      </c>
      <c r="L560">
        <v>1</v>
      </c>
      <c r="M560">
        <v>4</v>
      </c>
      <c r="N560" s="44">
        <f t="shared" si="31"/>
        <v>0.25</v>
      </c>
      <c r="O560">
        <f t="shared" si="29"/>
        <v>292</v>
      </c>
      <c r="P560" s="97">
        <f t="shared" si="32"/>
        <v>4.1666666666666666E-3</v>
      </c>
      <c r="Q560" s="8" t="s">
        <v>1963</v>
      </c>
    </row>
    <row r="561" spans="1:18" x14ac:dyDescent="0.25">
      <c r="A561" s="9" t="s">
        <v>540</v>
      </c>
      <c r="B561" s="9" t="s">
        <v>1399</v>
      </c>
      <c r="C561" t="str">
        <f>VLOOKUP(B561,'[1]Planting GPS Points'!$B$3:$L$290,8,FALSE)</f>
        <v>HDC</v>
      </c>
      <c r="D561" t="str">
        <f>VLOOKUP(B561,'[1]Planting GPS Points'!$B$3:$AL$290,15,FALSE)</f>
        <v>93-099661</v>
      </c>
      <c r="E561" s="3">
        <v>42551</v>
      </c>
      <c r="F561" s="44">
        <v>4</v>
      </c>
      <c r="G561">
        <v>240</v>
      </c>
      <c r="H561" s="35" t="s">
        <v>963</v>
      </c>
      <c r="I561" s="42">
        <v>42843</v>
      </c>
      <c r="J561" s="77" t="s">
        <v>23</v>
      </c>
      <c r="K561" s="77" t="s">
        <v>967</v>
      </c>
      <c r="L561">
        <v>2</v>
      </c>
      <c r="M561">
        <v>4</v>
      </c>
      <c r="N561" s="44">
        <f t="shared" si="31"/>
        <v>0.5</v>
      </c>
      <c r="O561">
        <f t="shared" si="29"/>
        <v>292</v>
      </c>
      <c r="P561" s="97">
        <f t="shared" si="32"/>
        <v>8.3333333333333332E-3</v>
      </c>
      <c r="Q561" s="8" t="s">
        <v>1964</v>
      </c>
    </row>
    <row r="562" spans="1:18" x14ac:dyDescent="0.25">
      <c r="A562" s="9" t="s">
        <v>540</v>
      </c>
      <c r="B562" s="9" t="s">
        <v>1400</v>
      </c>
      <c r="C562" t="str">
        <f>VLOOKUP(B562,'[1]Planting GPS Points'!$B$3:$L$290,8,FALSE)</f>
        <v>HDC</v>
      </c>
      <c r="D562" t="str">
        <f>VLOOKUP(B562,'[1]Planting GPS Points'!$B$3:$AL$290,15,FALSE)</f>
        <v>93-099661</v>
      </c>
      <c r="E562" s="3">
        <v>42551</v>
      </c>
      <c r="F562" s="44">
        <v>4</v>
      </c>
      <c r="G562">
        <v>240</v>
      </c>
      <c r="H562" s="35" t="s">
        <v>963</v>
      </c>
      <c r="I562" s="42">
        <v>42843</v>
      </c>
      <c r="J562" s="77" t="s">
        <v>23</v>
      </c>
      <c r="K562" s="77" t="s">
        <v>967</v>
      </c>
      <c r="L562">
        <v>0</v>
      </c>
      <c r="M562">
        <v>4</v>
      </c>
      <c r="N562" s="44">
        <f t="shared" si="31"/>
        <v>0</v>
      </c>
      <c r="O562">
        <f t="shared" si="29"/>
        <v>292</v>
      </c>
      <c r="P562" s="97">
        <f t="shared" si="32"/>
        <v>0</v>
      </c>
      <c r="Q562" s="8" t="s">
        <v>1963</v>
      </c>
    </row>
    <row r="563" spans="1:18" x14ac:dyDescent="0.25">
      <c r="A563" s="9" t="s">
        <v>540</v>
      </c>
      <c r="B563" s="9" t="s">
        <v>1401</v>
      </c>
      <c r="C563" t="str">
        <f>VLOOKUP(B563,'[1]Planting GPS Points'!$B$3:$L$290,8,FALSE)</f>
        <v>HDC</v>
      </c>
      <c r="D563" t="str">
        <f>VLOOKUP(B563,'[1]Planting GPS Points'!$B$3:$AL$290,15,FALSE)</f>
        <v>93-099661</v>
      </c>
      <c r="E563" s="3">
        <v>42551</v>
      </c>
      <c r="F563" s="44">
        <v>4</v>
      </c>
      <c r="G563">
        <v>240</v>
      </c>
      <c r="H563" s="35" t="s">
        <v>963</v>
      </c>
      <c r="I563" s="42">
        <v>42843</v>
      </c>
      <c r="J563" s="77" t="s">
        <v>23</v>
      </c>
      <c r="K563" s="77" t="s">
        <v>967</v>
      </c>
      <c r="L563">
        <v>0</v>
      </c>
      <c r="M563">
        <v>4</v>
      </c>
      <c r="N563" s="44">
        <f t="shared" si="31"/>
        <v>0</v>
      </c>
      <c r="O563">
        <f t="shared" si="29"/>
        <v>292</v>
      </c>
      <c r="P563" s="97">
        <f t="shared" si="32"/>
        <v>0</v>
      </c>
      <c r="Q563" s="8" t="s">
        <v>1963</v>
      </c>
    </row>
    <row r="564" spans="1:18" x14ac:dyDescent="0.25">
      <c r="A564" s="9" t="s">
        <v>540</v>
      </c>
      <c r="B564" s="9" t="s">
        <v>1405</v>
      </c>
      <c r="C564" t="str">
        <f>VLOOKUP(B564,'[1]Planting GPS Points'!$B$3:$L$290,8,FALSE)</f>
        <v>HDC</v>
      </c>
      <c r="D564" t="str">
        <f>VLOOKUP(B564,'[1]Planting GPS Points'!$B$3:$AL$290,15,FALSE)</f>
        <v>93-099661</v>
      </c>
      <c r="E564" s="3">
        <v>42551</v>
      </c>
      <c r="F564" s="44">
        <v>4</v>
      </c>
      <c r="G564">
        <v>240</v>
      </c>
      <c r="H564" s="35" t="s">
        <v>963</v>
      </c>
      <c r="I564" s="42">
        <v>42843</v>
      </c>
      <c r="J564" s="77" t="s">
        <v>23</v>
      </c>
      <c r="K564" s="77" t="s">
        <v>967</v>
      </c>
      <c r="L564">
        <v>0</v>
      </c>
      <c r="M564">
        <v>4</v>
      </c>
      <c r="N564" s="44">
        <f t="shared" si="31"/>
        <v>0</v>
      </c>
      <c r="O564">
        <f t="shared" si="29"/>
        <v>292</v>
      </c>
      <c r="P564" s="97">
        <f t="shared" si="32"/>
        <v>0</v>
      </c>
      <c r="Q564" s="8" t="s">
        <v>1963</v>
      </c>
    </row>
    <row r="565" spans="1:18" x14ac:dyDescent="0.25">
      <c r="A565" s="9" t="s">
        <v>540</v>
      </c>
      <c r="B565" s="9" t="s">
        <v>1406</v>
      </c>
      <c r="C565" t="str">
        <f>VLOOKUP(B565,'[1]Planting GPS Points'!$B$3:$L$290,8,FALSE)</f>
        <v>HDC</v>
      </c>
      <c r="D565" t="str">
        <f>VLOOKUP(B565,'[1]Planting GPS Points'!$B$3:$AL$290,15,FALSE)</f>
        <v>93-099661</v>
      </c>
      <c r="E565" s="3">
        <v>42551</v>
      </c>
      <c r="F565" s="44">
        <v>4</v>
      </c>
      <c r="G565">
        <v>240</v>
      </c>
      <c r="H565" s="35" t="s">
        <v>963</v>
      </c>
      <c r="I565" s="42">
        <v>42843</v>
      </c>
      <c r="J565" s="77" t="s">
        <v>23</v>
      </c>
      <c r="K565" s="77" t="s">
        <v>967</v>
      </c>
      <c r="L565">
        <v>0</v>
      </c>
      <c r="M565">
        <v>4</v>
      </c>
      <c r="N565" s="44">
        <f t="shared" si="31"/>
        <v>0</v>
      </c>
      <c r="O565">
        <f t="shared" si="29"/>
        <v>292</v>
      </c>
      <c r="P565" s="97">
        <f t="shared" si="32"/>
        <v>0</v>
      </c>
      <c r="Q565" s="8" t="s">
        <v>1963</v>
      </c>
    </row>
    <row r="566" spans="1:18" x14ac:dyDescent="0.25">
      <c r="A566" s="9" t="s">
        <v>540</v>
      </c>
      <c r="B566" s="9" t="s">
        <v>1407</v>
      </c>
      <c r="C566" t="str">
        <f>VLOOKUP(B566,'[1]Planting GPS Points'!$B$3:$L$290,8,FALSE)</f>
        <v>HDC</v>
      </c>
      <c r="D566" t="str">
        <f>VLOOKUP(B566,'[1]Planting GPS Points'!$B$3:$AL$290,15,FALSE)</f>
        <v>93-099661</v>
      </c>
      <c r="E566" s="3">
        <v>42551</v>
      </c>
      <c r="F566" s="44">
        <v>4</v>
      </c>
      <c r="G566">
        <v>240</v>
      </c>
      <c r="H566" s="35" t="s">
        <v>963</v>
      </c>
      <c r="I566" s="42">
        <v>42843</v>
      </c>
      <c r="J566" s="77" t="s">
        <v>23</v>
      </c>
      <c r="K566" s="77" t="s">
        <v>967</v>
      </c>
      <c r="L566">
        <v>1</v>
      </c>
      <c r="M566">
        <v>4</v>
      </c>
      <c r="N566" s="44">
        <f t="shared" si="31"/>
        <v>0.25</v>
      </c>
      <c r="O566">
        <f t="shared" si="29"/>
        <v>292</v>
      </c>
      <c r="P566" s="97">
        <f t="shared" si="32"/>
        <v>4.1666666666666666E-3</v>
      </c>
      <c r="Q566" s="8" t="s">
        <v>1963</v>
      </c>
    </row>
    <row r="567" spans="1:18" s="94" customFormat="1" x14ac:dyDescent="0.25">
      <c r="A567" t="s">
        <v>497</v>
      </c>
      <c r="B567" s="9" t="s">
        <v>1412</v>
      </c>
      <c r="C567" t="str">
        <f>VLOOKUP(B567,'[1]Planting GPS Points'!$B$3:$L$290,8,FALSE)</f>
        <v>SWH</v>
      </c>
      <c r="D567" t="str">
        <f>VLOOKUP(B567,'[1]Planting GPS Points'!$B$3:$AL$290,15,FALSE)</f>
        <v>93-099661</v>
      </c>
      <c r="E567" s="42">
        <v>42621</v>
      </c>
      <c r="F567" s="44">
        <v>4</v>
      </c>
      <c r="G567">
        <v>500</v>
      </c>
      <c r="H567" s="35" t="s">
        <v>963</v>
      </c>
      <c r="I567" s="42">
        <v>42962</v>
      </c>
      <c r="J567" s="77" t="s">
        <v>12</v>
      </c>
      <c r="K567" s="77" t="s">
        <v>982</v>
      </c>
      <c r="L567"/>
      <c r="M567">
        <v>4</v>
      </c>
      <c r="N567" s="44">
        <f t="shared" si="31"/>
        <v>0</v>
      </c>
      <c r="O567">
        <f t="shared" si="29"/>
        <v>341</v>
      </c>
      <c r="P567" s="97" t="str">
        <f t="shared" si="32"/>
        <v/>
      </c>
      <c r="Q567" s="8" t="s">
        <v>1965</v>
      </c>
      <c r="R567"/>
    </row>
    <row r="568" spans="1:18" s="94" customFormat="1" x14ac:dyDescent="0.25">
      <c r="A568" t="s">
        <v>497</v>
      </c>
      <c r="B568" s="9" t="s">
        <v>1418</v>
      </c>
      <c r="C568" t="str">
        <f>VLOOKUP(B568,'[1]Planting GPS Points'!$B$3:$L$290,8,FALSE)</f>
        <v>SWH</v>
      </c>
      <c r="D568" t="str">
        <f>VLOOKUP(B568,'[1]Planting GPS Points'!$B$3:$AL$290,15,FALSE)</f>
        <v>93-099661</v>
      </c>
      <c r="E568" s="42">
        <v>42621</v>
      </c>
      <c r="F568" s="44">
        <v>2</v>
      </c>
      <c r="G568">
        <v>500</v>
      </c>
      <c r="H568" s="35" t="s">
        <v>963</v>
      </c>
      <c r="I568" s="42">
        <v>42962</v>
      </c>
      <c r="J568" s="77" t="s">
        <v>12</v>
      </c>
      <c r="K568" s="77" t="s">
        <v>982</v>
      </c>
      <c r="L568"/>
      <c r="M568">
        <v>2</v>
      </c>
      <c r="N568" s="44">
        <f t="shared" si="31"/>
        <v>0</v>
      </c>
      <c r="O568">
        <f t="shared" si="29"/>
        <v>341</v>
      </c>
      <c r="P568" s="97" t="str">
        <f t="shared" si="32"/>
        <v/>
      </c>
      <c r="Q568" s="8" t="s">
        <v>1966</v>
      </c>
      <c r="R568"/>
    </row>
    <row r="569" spans="1:18" s="94" customFormat="1" x14ac:dyDescent="0.25">
      <c r="A569" t="s">
        <v>497</v>
      </c>
      <c r="B569" s="9" t="s">
        <v>1420</v>
      </c>
      <c r="C569" t="str">
        <f>VLOOKUP(B569,'[1]Planting GPS Points'!$B$3:$L$290,8,FALSE)</f>
        <v>SWH</v>
      </c>
      <c r="D569" t="str">
        <f>VLOOKUP(B569,'[1]Planting GPS Points'!$B$3:$AL$290,15,FALSE)</f>
        <v>93-099661</v>
      </c>
      <c r="E569" s="42">
        <v>42622</v>
      </c>
      <c r="F569" s="44">
        <v>3</v>
      </c>
      <c r="G569">
        <v>400</v>
      </c>
      <c r="H569" s="35" t="s">
        <v>963</v>
      </c>
      <c r="I569" s="42">
        <v>42962</v>
      </c>
      <c r="J569" s="77" t="s">
        <v>12</v>
      </c>
      <c r="K569" s="77" t="s">
        <v>982</v>
      </c>
      <c r="L569"/>
      <c r="M569">
        <v>3</v>
      </c>
      <c r="N569" s="44">
        <f t="shared" si="31"/>
        <v>0</v>
      </c>
      <c r="O569">
        <f t="shared" si="29"/>
        <v>340</v>
      </c>
      <c r="P569" s="97" t="str">
        <f t="shared" si="32"/>
        <v/>
      </c>
      <c r="Q569" s="8" t="s">
        <v>1967</v>
      </c>
      <c r="R569"/>
    </row>
    <row r="570" spans="1:18" s="94" customFormat="1" x14ac:dyDescent="0.25">
      <c r="A570" t="s">
        <v>497</v>
      </c>
      <c r="B570" s="9" t="s">
        <v>1422</v>
      </c>
      <c r="C570" t="str">
        <f>VLOOKUP(B570,'[1]Planting GPS Points'!$B$3:$L$290,8,FALSE)</f>
        <v>SWH</v>
      </c>
      <c r="D570" t="str">
        <f>VLOOKUP(B570,'[1]Planting GPS Points'!$B$3:$AL$290,15,FALSE)</f>
        <v>93-099661</v>
      </c>
      <c r="E570" s="42">
        <v>42622</v>
      </c>
      <c r="F570" s="44">
        <v>3</v>
      </c>
      <c r="G570">
        <v>400</v>
      </c>
      <c r="H570" s="35" t="s">
        <v>963</v>
      </c>
      <c r="I570" s="42">
        <v>42962</v>
      </c>
      <c r="J570" s="77" t="s">
        <v>12</v>
      </c>
      <c r="K570" s="77" t="s">
        <v>982</v>
      </c>
      <c r="L570"/>
      <c r="M570">
        <v>3</v>
      </c>
      <c r="N570" s="44">
        <f t="shared" si="31"/>
        <v>0</v>
      </c>
      <c r="O570">
        <f t="shared" si="29"/>
        <v>340</v>
      </c>
      <c r="P570" s="97" t="str">
        <f t="shared" si="32"/>
        <v/>
      </c>
      <c r="Q570" s="8" t="s">
        <v>1968</v>
      </c>
      <c r="R570"/>
    </row>
    <row r="571" spans="1:18" x14ac:dyDescent="0.25">
      <c r="A571" t="s">
        <v>1423</v>
      </c>
      <c r="B571" t="s">
        <v>1424</v>
      </c>
      <c r="C571" t="str">
        <f>VLOOKUP(B571,'[1]Planting GPS Points'!$B$3:$L$290,8,FALSE)</f>
        <v>CPS</v>
      </c>
      <c r="D571" t="str">
        <f>VLOOKUP(B571,'[1]Planting GPS Points'!$B$3:$AL$290,15,FALSE)</f>
        <v>IAA 12-317.1</v>
      </c>
      <c r="E571" s="42">
        <v>42075</v>
      </c>
      <c r="F571" s="44">
        <v>25</v>
      </c>
      <c r="G571" s="47">
        <v>500</v>
      </c>
      <c r="H571" s="35" t="s">
        <v>971</v>
      </c>
      <c r="I571" s="42">
        <v>42553</v>
      </c>
      <c r="J571" s="115" t="s">
        <v>23</v>
      </c>
      <c r="K571" s="115" t="s">
        <v>967</v>
      </c>
      <c r="L571">
        <v>0</v>
      </c>
      <c r="N571" s="44" t="str">
        <f t="shared" si="31"/>
        <v/>
      </c>
      <c r="O571">
        <f t="shared" si="29"/>
        <v>478</v>
      </c>
      <c r="P571" s="97">
        <f t="shared" si="32"/>
        <v>0</v>
      </c>
      <c r="Q571" s="8" t="s">
        <v>1969</v>
      </c>
    </row>
    <row r="572" spans="1:18" x14ac:dyDescent="0.25">
      <c r="A572" t="s">
        <v>1426</v>
      </c>
      <c r="B572" t="s">
        <v>1427</v>
      </c>
      <c r="C572" t="str">
        <f>VLOOKUP(B572,'[1]Planting GPS Points'!$B$3:$L$290,8,FALSE)</f>
        <v>CPS</v>
      </c>
      <c r="D572" t="str">
        <f>VLOOKUP(B572,'[1]Planting GPS Points'!$B$3:$AL$290,15,FALSE)</f>
        <v>SC 16-17</v>
      </c>
      <c r="E572" s="42">
        <v>42509</v>
      </c>
      <c r="F572" s="44">
        <v>75</v>
      </c>
      <c r="G572" s="61">
        <v>780</v>
      </c>
      <c r="H572" s="35" t="s">
        <v>971</v>
      </c>
      <c r="I572" s="42">
        <v>42557</v>
      </c>
      <c r="J572" s="77" t="s">
        <v>12</v>
      </c>
      <c r="K572" s="77" t="s">
        <v>1052</v>
      </c>
      <c r="N572" s="44" t="str">
        <f t="shared" si="31"/>
        <v/>
      </c>
      <c r="O572">
        <f t="shared" si="29"/>
        <v>48</v>
      </c>
      <c r="P572" s="97" t="str">
        <f t="shared" si="32"/>
        <v/>
      </c>
      <c r="Q572" s="8" t="s">
        <v>1970</v>
      </c>
    </row>
    <row r="573" spans="1:18" s="94" customFormat="1" x14ac:dyDescent="0.25">
      <c r="A573" t="s">
        <v>1426</v>
      </c>
      <c r="B573" t="s">
        <v>1427</v>
      </c>
      <c r="C573" t="str">
        <f>VLOOKUP(B573,'[1]Planting GPS Points'!$B$3:$L$290,8,FALSE)</f>
        <v>CPS</v>
      </c>
      <c r="D573" t="str">
        <f>VLOOKUP(B573,'[1]Planting GPS Points'!$B$3:$AL$290,15,FALSE)</f>
        <v>SC 16-17</v>
      </c>
      <c r="E573" s="42">
        <v>42509</v>
      </c>
      <c r="F573" s="44">
        <v>75</v>
      </c>
      <c r="G573" s="61">
        <v>780</v>
      </c>
      <c r="H573" s="35" t="s">
        <v>1739</v>
      </c>
      <c r="I573" s="42">
        <v>42934</v>
      </c>
      <c r="J573" s="77" t="s">
        <v>23</v>
      </c>
      <c r="K573" s="77" t="s">
        <v>1052</v>
      </c>
      <c r="L573">
        <v>0</v>
      </c>
      <c r="M573"/>
      <c r="N573" s="44"/>
      <c r="O573">
        <f t="shared" si="29"/>
        <v>425</v>
      </c>
      <c r="P573" s="97">
        <f t="shared" si="32"/>
        <v>0</v>
      </c>
      <c r="Q573" s="8" t="s">
        <v>1971</v>
      </c>
      <c r="R573"/>
    </row>
    <row r="574" spans="1:18" s="94" customFormat="1" x14ac:dyDescent="0.25">
      <c r="A574" t="s">
        <v>762</v>
      </c>
      <c r="B574" t="s">
        <v>1441</v>
      </c>
      <c r="C574" t="str">
        <f>VLOOKUP(B574,'[1]Planting GPS Points'!$B$3:$L$290,8,FALSE)</f>
        <v>SJS</v>
      </c>
      <c r="D574">
        <f>VLOOKUP(B574,'[1]Planting GPS Points'!$B$3:$AL$290,15,FALSE)</f>
        <v>0</v>
      </c>
      <c r="E574" s="59">
        <v>44044</v>
      </c>
      <c r="F574" s="44">
        <v>2</v>
      </c>
      <c r="G574" s="62">
        <v>640</v>
      </c>
      <c r="H574" s="35" t="s">
        <v>963</v>
      </c>
      <c r="I574" s="42">
        <v>44106</v>
      </c>
      <c r="J574" s="77" t="s">
        <v>12</v>
      </c>
      <c r="K574" s="77" t="s">
        <v>982</v>
      </c>
      <c r="L574">
        <v>223</v>
      </c>
      <c r="M574">
        <v>2</v>
      </c>
      <c r="N574" s="44">
        <f t="shared" ref="N574:N601" si="33">IFERROR(L574/M574, "")</f>
        <v>111.5</v>
      </c>
      <c r="O574">
        <f t="shared" si="29"/>
        <v>62</v>
      </c>
      <c r="P574" s="97">
        <f t="shared" si="32"/>
        <v>0.34843750000000001</v>
      </c>
      <c r="Q574" s="8" t="s">
        <v>1972</v>
      </c>
      <c r="R574"/>
    </row>
    <row r="575" spans="1:18" x14ac:dyDescent="0.25">
      <c r="A575" t="s">
        <v>762</v>
      </c>
      <c r="B575" t="s">
        <v>1443</v>
      </c>
      <c r="C575" t="str">
        <f>VLOOKUP(B575,'[1]Planting GPS Points'!$B$3:$L$290,8,FALSE)</f>
        <v>SJS</v>
      </c>
      <c r="D575">
        <f>VLOOKUP(B575,'[1]Planting GPS Points'!$B$3:$AL$290,15,FALSE)</f>
        <v>0</v>
      </c>
      <c r="E575" s="59">
        <v>44044</v>
      </c>
      <c r="F575" s="44">
        <v>0.25</v>
      </c>
      <c r="G575">
        <v>60</v>
      </c>
      <c r="H575" s="35" t="s">
        <v>963</v>
      </c>
      <c r="I575" s="42">
        <v>44106</v>
      </c>
      <c r="J575" s="77" t="s">
        <v>12</v>
      </c>
      <c r="K575" s="77" t="s">
        <v>982</v>
      </c>
      <c r="L575">
        <v>13</v>
      </c>
      <c r="M575">
        <v>0.25</v>
      </c>
      <c r="N575" s="44">
        <f t="shared" si="33"/>
        <v>52</v>
      </c>
      <c r="O575">
        <f t="shared" si="29"/>
        <v>62</v>
      </c>
      <c r="P575" s="97">
        <f t="shared" si="32"/>
        <v>0.21666666666666667</v>
      </c>
      <c r="Q575" s="8"/>
    </row>
    <row r="576" spans="1:18" x14ac:dyDescent="0.25">
      <c r="A576" t="s">
        <v>762</v>
      </c>
      <c r="B576" t="s">
        <v>1444</v>
      </c>
      <c r="C576" t="str">
        <f>VLOOKUP(B576,'[1]Planting GPS Points'!$B$3:$L$290,8,FALSE)</f>
        <v>SJS</v>
      </c>
      <c r="D576">
        <f>VLOOKUP(B576,'[1]Planting GPS Points'!$B$3:$AL$290,15,FALSE)</f>
        <v>0</v>
      </c>
      <c r="E576" s="59">
        <v>44044</v>
      </c>
      <c r="F576" s="44">
        <v>0.75</v>
      </c>
      <c r="G576">
        <v>135</v>
      </c>
      <c r="H576" s="35" t="s">
        <v>963</v>
      </c>
      <c r="I576" s="42">
        <v>44106</v>
      </c>
      <c r="J576" s="77" t="s">
        <v>12</v>
      </c>
      <c r="K576" s="77" t="s">
        <v>982</v>
      </c>
      <c r="L576">
        <v>85</v>
      </c>
      <c r="M576">
        <v>0.75</v>
      </c>
      <c r="N576" s="44">
        <f t="shared" si="33"/>
        <v>113.33333333333333</v>
      </c>
      <c r="O576">
        <f t="shared" si="29"/>
        <v>62</v>
      </c>
      <c r="P576" s="97">
        <f t="shared" si="32"/>
        <v>0.62962962962962965</v>
      </c>
      <c r="Q576" s="8"/>
    </row>
    <row r="577" spans="1:18" x14ac:dyDescent="0.25">
      <c r="A577" t="s">
        <v>762</v>
      </c>
      <c r="B577" t="s">
        <v>1447</v>
      </c>
      <c r="C577" t="str">
        <f>VLOOKUP(B577,'[1]Planting GPS Points'!$B$3:$L$290,8,FALSE)</f>
        <v>SJS</v>
      </c>
      <c r="D577">
        <f>VLOOKUP(B577,'[1]Planting GPS Points'!$B$3:$AL$290,15,FALSE)</f>
        <v>0</v>
      </c>
      <c r="E577" s="59">
        <v>44044</v>
      </c>
      <c r="F577" s="44">
        <v>0.75</v>
      </c>
      <c r="G577">
        <v>275</v>
      </c>
      <c r="H577" s="35" t="s">
        <v>963</v>
      </c>
      <c r="I577" s="42">
        <v>44106</v>
      </c>
      <c r="J577" s="77" t="s">
        <v>12</v>
      </c>
      <c r="K577" s="77" t="s">
        <v>982</v>
      </c>
      <c r="L577">
        <v>54</v>
      </c>
      <c r="M577">
        <v>0.75</v>
      </c>
      <c r="N577" s="44">
        <f t="shared" si="33"/>
        <v>72</v>
      </c>
      <c r="O577">
        <f t="shared" si="29"/>
        <v>62</v>
      </c>
      <c r="P577" s="97">
        <f t="shared" si="32"/>
        <v>0.19636363636363635</v>
      </c>
      <c r="Q577" s="8"/>
    </row>
    <row r="578" spans="1:18" x14ac:dyDescent="0.25">
      <c r="A578" t="s">
        <v>762</v>
      </c>
      <c r="B578" t="s">
        <v>1446</v>
      </c>
      <c r="C578" t="str">
        <f>VLOOKUP(B578,'[1]Planting GPS Points'!$B$3:$L$290,8,FALSE)</f>
        <v>SJS</v>
      </c>
      <c r="D578">
        <f>VLOOKUP(B578,'[1]Planting GPS Points'!$B$3:$AL$290,15,FALSE)</f>
        <v>0</v>
      </c>
      <c r="E578" s="59">
        <v>44044</v>
      </c>
      <c r="F578" s="44">
        <v>1.25</v>
      </c>
      <c r="G578">
        <v>210</v>
      </c>
      <c r="H578" s="35" t="s">
        <v>963</v>
      </c>
      <c r="I578" s="42">
        <v>44106</v>
      </c>
      <c r="J578" s="77" t="s">
        <v>12</v>
      </c>
      <c r="K578" s="77" t="s">
        <v>982</v>
      </c>
      <c r="L578">
        <v>84</v>
      </c>
      <c r="M578">
        <v>1.25</v>
      </c>
      <c r="N578" s="44">
        <f t="shared" si="33"/>
        <v>67.2</v>
      </c>
      <c r="O578">
        <f t="shared" si="29"/>
        <v>62</v>
      </c>
      <c r="P578" s="97">
        <f t="shared" si="32"/>
        <v>0.4</v>
      </c>
      <c r="Q578" s="8"/>
    </row>
    <row r="579" spans="1:18" x14ac:dyDescent="0.25">
      <c r="A579" t="s">
        <v>762</v>
      </c>
      <c r="B579" s="9" t="s">
        <v>1434</v>
      </c>
      <c r="C579" t="str">
        <f>VLOOKUP(B579,'[1]Planting GPS Points'!$B$3:$L$290,8,FALSE)</f>
        <v>SJS</v>
      </c>
      <c r="D579" t="str">
        <f>VLOOKUP(B579,'[1]Planting GPS Points'!$B$3:$AL$290,15,FALSE)</f>
        <v>93-094344</v>
      </c>
      <c r="E579" s="42">
        <v>42887</v>
      </c>
      <c r="F579" s="44">
        <v>6.25</v>
      </c>
      <c r="G579">
        <v>500</v>
      </c>
      <c r="H579" s="35" t="s">
        <v>963</v>
      </c>
      <c r="I579" s="42">
        <v>43012</v>
      </c>
      <c r="J579" s="77" t="s">
        <v>12</v>
      </c>
      <c r="K579" s="77" t="s">
        <v>982</v>
      </c>
      <c r="L579">
        <v>223</v>
      </c>
      <c r="M579" s="44">
        <v>6.25</v>
      </c>
      <c r="N579" s="44">
        <f t="shared" si="33"/>
        <v>35.68</v>
      </c>
      <c r="O579">
        <f t="shared" si="29"/>
        <v>125</v>
      </c>
      <c r="P579" s="97">
        <f t="shared" si="32"/>
        <v>0.44600000000000001</v>
      </c>
      <c r="Q579" s="8" t="s">
        <v>1973</v>
      </c>
    </row>
    <row r="580" spans="1:18" x14ac:dyDescent="0.25">
      <c r="A580" t="s">
        <v>762</v>
      </c>
      <c r="B580" s="9" t="s">
        <v>1434</v>
      </c>
      <c r="C580" t="str">
        <f>VLOOKUP(B580,'[1]Planting GPS Points'!$B$3:$L$290,8,FALSE)</f>
        <v>SJS</v>
      </c>
      <c r="D580" t="str">
        <f>VLOOKUP(B580,'[1]Planting GPS Points'!$B$3:$AL$290,15,FALSE)</f>
        <v>93-094344</v>
      </c>
      <c r="E580" s="42">
        <v>42887</v>
      </c>
      <c r="F580" s="44">
        <v>6.25</v>
      </c>
      <c r="G580">
        <v>500</v>
      </c>
      <c r="H580" s="35" t="s">
        <v>963</v>
      </c>
      <c r="I580" s="42">
        <v>43188</v>
      </c>
      <c r="J580" s="77" t="s">
        <v>12</v>
      </c>
      <c r="K580" s="77" t="s">
        <v>982</v>
      </c>
      <c r="L580">
        <v>63</v>
      </c>
      <c r="M580" s="44">
        <v>6.25</v>
      </c>
      <c r="N580" s="44">
        <f t="shared" si="33"/>
        <v>10.08</v>
      </c>
      <c r="O580">
        <f t="shared" si="29"/>
        <v>301</v>
      </c>
      <c r="P580" s="97">
        <f t="shared" si="32"/>
        <v>0.126</v>
      </c>
      <c r="Q580" s="178" t="s">
        <v>1974</v>
      </c>
    </row>
    <row r="581" spans="1:18" x14ac:dyDescent="0.25">
      <c r="A581" t="s">
        <v>762</v>
      </c>
      <c r="B581" s="9" t="s">
        <v>1434</v>
      </c>
      <c r="C581" t="str">
        <f>VLOOKUP(B581,'[1]Planting GPS Points'!$B$3:$L$290,8,FALSE)</f>
        <v>SJS</v>
      </c>
      <c r="D581" t="str">
        <f>VLOOKUP(B581,'[1]Planting GPS Points'!$B$3:$AL$290,15,FALSE)</f>
        <v>93-094344</v>
      </c>
      <c r="E581" s="42">
        <v>42887</v>
      </c>
      <c r="F581" s="44">
        <v>6.25</v>
      </c>
      <c r="G581">
        <v>500</v>
      </c>
      <c r="H581" s="35" t="s">
        <v>963</v>
      </c>
      <c r="I581" s="42">
        <v>43292</v>
      </c>
      <c r="J581" s="77" t="s">
        <v>12</v>
      </c>
      <c r="K581" s="77" t="s">
        <v>982</v>
      </c>
      <c r="L581" s="77">
        <v>30</v>
      </c>
      <c r="M581" s="44">
        <v>6.25</v>
      </c>
      <c r="N581" s="44">
        <f t="shared" si="33"/>
        <v>4.8</v>
      </c>
      <c r="O581" s="77">
        <f t="shared" ref="O581:O611" si="34">I581-E581</f>
        <v>405</v>
      </c>
      <c r="P581" s="97">
        <f t="shared" si="32"/>
        <v>0.06</v>
      </c>
      <c r="Q581" s="178" t="s">
        <v>1975</v>
      </c>
    </row>
    <row r="582" spans="1:18" s="94" customFormat="1" x14ac:dyDescent="0.25">
      <c r="A582" s="9" t="s">
        <v>762</v>
      </c>
      <c r="B582" s="9" t="s">
        <v>1434</v>
      </c>
      <c r="C582" t="str">
        <f>VLOOKUP(B582,'[1]Planting GPS Points'!$B$3:$L$290,8,FALSE)</f>
        <v>SJS</v>
      </c>
      <c r="D582" t="str">
        <f>VLOOKUP(B582,'[1]Planting GPS Points'!$B$3:$AL$290,15,FALSE)</f>
        <v>93-094344</v>
      </c>
      <c r="E582" s="42">
        <v>42887</v>
      </c>
      <c r="F582" s="44">
        <v>5</v>
      </c>
      <c r="G582" s="47">
        <v>500</v>
      </c>
      <c r="H582" s="35" t="s">
        <v>963</v>
      </c>
      <c r="I582" s="42">
        <v>44106</v>
      </c>
      <c r="J582" s="77" t="s">
        <v>12</v>
      </c>
      <c r="K582" s="77" t="s">
        <v>982</v>
      </c>
      <c r="L582">
        <v>23</v>
      </c>
      <c r="M582">
        <v>5</v>
      </c>
      <c r="N582" s="44">
        <f t="shared" si="33"/>
        <v>4.5999999999999996</v>
      </c>
      <c r="O582">
        <f t="shared" si="34"/>
        <v>1219</v>
      </c>
      <c r="P582" s="97">
        <f t="shared" si="32"/>
        <v>4.5999999999999999E-2</v>
      </c>
      <c r="Q582" s="8" t="s">
        <v>1976</v>
      </c>
      <c r="R582"/>
    </row>
    <row r="583" spans="1:18" x14ac:dyDescent="0.25">
      <c r="A583" t="s">
        <v>762</v>
      </c>
      <c r="B583" s="9" t="s">
        <v>1436</v>
      </c>
      <c r="C583" t="str">
        <f>VLOOKUP(B583,'[1]Planting GPS Points'!$B$3:$L$290,8,FALSE)</f>
        <v>SJS</v>
      </c>
      <c r="D583" t="str">
        <f>VLOOKUP(B583,'[1]Planting GPS Points'!$B$3:$AL$290,15,FALSE)</f>
        <v>93-094344</v>
      </c>
      <c r="E583" s="42">
        <v>42887</v>
      </c>
      <c r="F583" s="44">
        <v>6.25</v>
      </c>
      <c r="G583">
        <v>500</v>
      </c>
      <c r="H583" s="35" t="s">
        <v>963</v>
      </c>
      <c r="I583" s="42">
        <v>43012</v>
      </c>
      <c r="J583" s="77" t="s">
        <v>12</v>
      </c>
      <c r="K583" s="77" t="s">
        <v>982</v>
      </c>
      <c r="L583">
        <f>68+78+64+58+84</f>
        <v>352</v>
      </c>
      <c r="M583" s="44">
        <v>6.25</v>
      </c>
      <c r="N583" s="44">
        <f t="shared" si="33"/>
        <v>56.32</v>
      </c>
      <c r="O583">
        <f t="shared" si="34"/>
        <v>125</v>
      </c>
      <c r="P583" s="97">
        <f t="shared" si="32"/>
        <v>0.70399999999999996</v>
      </c>
      <c r="Q583" s="8" t="s">
        <v>1977</v>
      </c>
    </row>
    <row r="584" spans="1:18" x14ac:dyDescent="0.25">
      <c r="A584" t="s">
        <v>762</v>
      </c>
      <c r="B584" s="9" t="s">
        <v>1436</v>
      </c>
      <c r="C584" t="str">
        <f>VLOOKUP(B584,'[1]Planting GPS Points'!$B$3:$L$290,8,FALSE)</f>
        <v>SJS</v>
      </c>
      <c r="D584" t="str">
        <f>VLOOKUP(B584,'[1]Planting GPS Points'!$B$3:$AL$290,15,FALSE)</f>
        <v>93-094344</v>
      </c>
      <c r="E584" s="42">
        <v>42887</v>
      </c>
      <c r="F584" s="44">
        <v>6.25</v>
      </c>
      <c r="G584">
        <v>500</v>
      </c>
      <c r="H584" s="35" t="s">
        <v>963</v>
      </c>
      <c r="I584" s="42">
        <v>43188</v>
      </c>
      <c r="J584" s="77" t="s">
        <v>12</v>
      </c>
      <c r="K584" s="77" t="s">
        <v>982</v>
      </c>
      <c r="L584">
        <v>131</v>
      </c>
      <c r="M584" s="44">
        <v>6.25</v>
      </c>
      <c r="N584" s="44">
        <f t="shared" si="33"/>
        <v>20.96</v>
      </c>
      <c r="O584">
        <f t="shared" si="34"/>
        <v>301</v>
      </c>
      <c r="P584" s="97">
        <f t="shared" si="32"/>
        <v>0.26200000000000001</v>
      </c>
      <c r="Q584" s="178" t="s">
        <v>1978</v>
      </c>
    </row>
    <row r="585" spans="1:18" x14ac:dyDescent="0.25">
      <c r="A585" t="s">
        <v>762</v>
      </c>
      <c r="B585" s="9" t="s">
        <v>1436</v>
      </c>
      <c r="C585" t="str">
        <f>VLOOKUP(B585,'[1]Planting GPS Points'!$B$3:$L$290,8,FALSE)</f>
        <v>SJS</v>
      </c>
      <c r="D585" t="str">
        <f>VLOOKUP(B585,'[1]Planting GPS Points'!$B$3:$AL$290,15,FALSE)</f>
        <v>93-094344</v>
      </c>
      <c r="E585" s="42">
        <v>42887</v>
      </c>
      <c r="F585" s="44">
        <v>6.25</v>
      </c>
      <c r="G585">
        <v>500</v>
      </c>
      <c r="H585" s="35" t="s">
        <v>963</v>
      </c>
      <c r="I585" s="42">
        <v>43292</v>
      </c>
      <c r="J585" s="77" t="s">
        <v>12</v>
      </c>
      <c r="K585" s="77" t="s">
        <v>982</v>
      </c>
      <c r="L585" s="77">
        <v>80</v>
      </c>
      <c r="M585" s="44">
        <v>6.25</v>
      </c>
      <c r="N585" s="44">
        <f t="shared" si="33"/>
        <v>12.8</v>
      </c>
      <c r="O585" s="77">
        <f t="shared" si="34"/>
        <v>405</v>
      </c>
      <c r="P585" s="97">
        <f t="shared" si="32"/>
        <v>0.16</v>
      </c>
      <c r="Q585" s="8" t="s">
        <v>1979</v>
      </c>
    </row>
    <row r="586" spans="1:18" x14ac:dyDescent="0.25">
      <c r="A586" s="9" t="s">
        <v>762</v>
      </c>
      <c r="B586" s="9" t="s">
        <v>1436</v>
      </c>
      <c r="C586" t="str">
        <f>VLOOKUP(B586,'[1]Planting GPS Points'!$B$3:$L$290,8,FALSE)</f>
        <v>SJS</v>
      </c>
      <c r="D586" t="str">
        <f>VLOOKUP(B586,'[1]Planting GPS Points'!$B$3:$AL$290,15,FALSE)</f>
        <v>93-094344</v>
      </c>
      <c r="E586" s="42">
        <v>42887</v>
      </c>
      <c r="F586" s="44">
        <v>5</v>
      </c>
      <c r="G586" s="47">
        <v>500</v>
      </c>
      <c r="H586" s="35" t="s">
        <v>963</v>
      </c>
      <c r="I586" s="42">
        <v>44106</v>
      </c>
      <c r="J586" s="77" t="s">
        <v>12</v>
      </c>
      <c r="K586" s="77" t="s">
        <v>982</v>
      </c>
      <c r="L586">
        <v>108</v>
      </c>
      <c r="M586">
        <v>5</v>
      </c>
      <c r="N586" s="44">
        <f t="shared" si="33"/>
        <v>21.6</v>
      </c>
      <c r="O586">
        <f t="shared" si="34"/>
        <v>1219</v>
      </c>
      <c r="P586" s="97">
        <f t="shared" si="32"/>
        <v>0.216</v>
      </c>
      <c r="Q586" s="8" t="s">
        <v>1980</v>
      </c>
    </row>
    <row r="587" spans="1:18" x14ac:dyDescent="0.25">
      <c r="A587" t="s">
        <v>762</v>
      </c>
      <c r="B587" s="9" t="s">
        <v>1438</v>
      </c>
      <c r="C587" t="str">
        <f>VLOOKUP(B587,'[1]Planting GPS Points'!$B$3:$L$290,8,FALSE)</f>
        <v>SJS</v>
      </c>
      <c r="D587" t="str">
        <f>VLOOKUP(B587,'[1]Planting GPS Points'!$B$3:$AL$290,15,FALSE)</f>
        <v>93-094344</v>
      </c>
      <c r="E587" s="42">
        <v>42888</v>
      </c>
      <c r="F587" s="44">
        <v>6.25</v>
      </c>
      <c r="G587">
        <v>475</v>
      </c>
      <c r="H587" s="35" t="s">
        <v>963</v>
      </c>
      <c r="I587" s="42">
        <v>43012</v>
      </c>
      <c r="J587" s="77" t="s">
        <v>12</v>
      </c>
      <c r="K587" s="77" t="s">
        <v>982</v>
      </c>
      <c r="L587">
        <f>45+62+43+54+40</f>
        <v>244</v>
      </c>
      <c r="M587" s="44">
        <v>6.25</v>
      </c>
      <c r="N587" s="44">
        <f t="shared" si="33"/>
        <v>39.04</v>
      </c>
      <c r="O587">
        <f t="shared" si="34"/>
        <v>124</v>
      </c>
      <c r="P587" s="97">
        <f t="shared" si="32"/>
        <v>0.51368421052631574</v>
      </c>
      <c r="Q587" s="8" t="s">
        <v>1981</v>
      </c>
    </row>
    <row r="588" spans="1:18" x14ac:dyDescent="0.25">
      <c r="A588" t="s">
        <v>762</v>
      </c>
      <c r="B588" s="9" t="s">
        <v>1438</v>
      </c>
      <c r="C588" t="str">
        <f>VLOOKUP(B588,'[1]Planting GPS Points'!$B$3:$L$290,8,FALSE)</f>
        <v>SJS</v>
      </c>
      <c r="D588" t="str">
        <f>VLOOKUP(B588,'[1]Planting GPS Points'!$B$3:$AL$290,15,FALSE)</f>
        <v>93-094344</v>
      </c>
      <c r="E588" s="42">
        <v>42888</v>
      </c>
      <c r="F588" s="44">
        <v>6.25</v>
      </c>
      <c r="G588">
        <v>475</v>
      </c>
      <c r="H588" s="35" t="s">
        <v>963</v>
      </c>
      <c r="I588" s="42">
        <v>43188</v>
      </c>
      <c r="J588" s="77" t="s">
        <v>12</v>
      </c>
      <c r="K588" s="77" t="s">
        <v>982</v>
      </c>
      <c r="L588">
        <v>65</v>
      </c>
      <c r="M588" s="44">
        <v>6.25</v>
      </c>
      <c r="N588" s="44">
        <f t="shared" si="33"/>
        <v>10.4</v>
      </c>
      <c r="O588">
        <f t="shared" si="34"/>
        <v>300</v>
      </c>
      <c r="P588" s="97">
        <f t="shared" si="32"/>
        <v>0.1368421052631579</v>
      </c>
      <c r="Q588" s="178" t="s">
        <v>1982</v>
      </c>
    </row>
    <row r="589" spans="1:18" x14ac:dyDescent="0.25">
      <c r="A589" t="s">
        <v>762</v>
      </c>
      <c r="B589" s="9" t="s">
        <v>1438</v>
      </c>
      <c r="C589" t="str">
        <f>VLOOKUP(B589,'[1]Planting GPS Points'!$B$3:$L$290,8,FALSE)</f>
        <v>SJS</v>
      </c>
      <c r="D589" t="str">
        <f>VLOOKUP(B589,'[1]Planting GPS Points'!$B$3:$AL$290,15,FALSE)</f>
        <v>93-094344</v>
      </c>
      <c r="E589" s="42">
        <v>42888</v>
      </c>
      <c r="F589" s="44">
        <v>6.25</v>
      </c>
      <c r="G589">
        <v>475</v>
      </c>
      <c r="H589" s="35" t="s">
        <v>963</v>
      </c>
      <c r="I589" s="42">
        <v>43292</v>
      </c>
      <c r="J589" s="77" t="s">
        <v>12</v>
      </c>
      <c r="K589" s="77" t="s">
        <v>982</v>
      </c>
      <c r="L589" s="77">
        <v>40</v>
      </c>
      <c r="M589" s="44">
        <v>6.25</v>
      </c>
      <c r="N589" s="44">
        <f t="shared" si="33"/>
        <v>6.4</v>
      </c>
      <c r="O589" s="77">
        <f t="shared" si="34"/>
        <v>404</v>
      </c>
      <c r="P589" s="97">
        <f t="shared" si="32"/>
        <v>8.4210526315789472E-2</v>
      </c>
      <c r="Q589" s="8" t="s">
        <v>1983</v>
      </c>
    </row>
    <row r="590" spans="1:18" x14ac:dyDescent="0.25">
      <c r="A590" s="9" t="s">
        <v>762</v>
      </c>
      <c r="B590" s="9" t="s">
        <v>1438</v>
      </c>
      <c r="C590" t="str">
        <f>VLOOKUP(B590,'[1]Planting GPS Points'!$B$3:$L$290,8,FALSE)</f>
        <v>SJS</v>
      </c>
      <c r="D590" t="str">
        <f>VLOOKUP(B590,'[1]Planting GPS Points'!$B$3:$AL$290,15,FALSE)</f>
        <v>93-094344</v>
      </c>
      <c r="E590" s="42">
        <v>42888</v>
      </c>
      <c r="F590" s="44">
        <v>4.75</v>
      </c>
      <c r="G590" s="47">
        <v>475</v>
      </c>
      <c r="H590" s="35" t="s">
        <v>963</v>
      </c>
      <c r="I590" s="42">
        <v>44106</v>
      </c>
      <c r="J590" s="77" t="s">
        <v>23</v>
      </c>
      <c r="K590" s="77" t="s">
        <v>982</v>
      </c>
      <c r="L590">
        <v>0</v>
      </c>
      <c r="M590">
        <v>4.75</v>
      </c>
      <c r="N590" s="44">
        <f t="shared" si="33"/>
        <v>0</v>
      </c>
      <c r="O590">
        <f t="shared" si="34"/>
        <v>1218</v>
      </c>
      <c r="P590" s="97">
        <f t="shared" si="32"/>
        <v>0</v>
      </c>
      <c r="Q590" s="8" t="s">
        <v>1984</v>
      </c>
    </row>
    <row r="591" spans="1:18" x14ac:dyDescent="0.25">
      <c r="A591" t="s">
        <v>762</v>
      </c>
      <c r="B591" s="9" t="s">
        <v>1440</v>
      </c>
      <c r="C591" t="str">
        <f>VLOOKUP(B591,'[1]Planting GPS Points'!$B$3:$L$290,8,FALSE)</f>
        <v>SJS</v>
      </c>
      <c r="D591" t="str">
        <f>VLOOKUP(B591,'[1]Planting GPS Points'!$B$3:$AL$290,15,FALSE)</f>
        <v>93-094344</v>
      </c>
      <c r="E591" s="42">
        <v>42888</v>
      </c>
      <c r="F591" s="44">
        <v>7.5</v>
      </c>
      <c r="G591">
        <v>618</v>
      </c>
      <c r="H591" s="35" t="s">
        <v>963</v>
      </c>
      <c r="I591" s="42">
        <v>43012</v>
      </c>
      <c r="J591" s="77" t="s">
        <v>12</v>
      </c>
      <c r="K591" s="77" t="s">
        <v>982</v>
      </c>
      <c r="L591">
        <f>38+82+67+66+51</f>
        <v>304</v>
      </c>
      <c r="M591">
        <v>7.5</v>
      </c>
      <c r="N591" s="44">
        <f t="shared" si="33"/>
        <v>40.533333333333331</v>
      </c>
      <c r="O591">
        <f t="shared" si="34"/>
        <v>124</v>
      </c>
      <c r="P591" s="97">
        <f t="shared" si="32"/>
        <v>0.49190938511326859</v>
      </c>
      <c r="Q591" s="8" t="s">
        <v>1985</v>
      </c>
    </row>
    <row r="592" spans="1:18" x14ac:dyDescent="0.25">
      <c r="A592" t="s">
        <v>762</v>
      </c>
      <c r="B592" s="9" t="s">
        <v>1440</v>
      </c>
      <c r="C592" t="str">
        <f>VLOOKUP(B592,'[1]Planting GPS Points'!$B$3:$L$290,8,FALSE)</f>
        <v>SJS</v>
      </c>
      <c r="D592" t="str">
        <f>VLOOKUP(B592,'[1]Planting GPS Points'!$B$3:$AL$290,15,FALSE)</f>
        <v>93-094344</v>
      </c>
      <c r="E592" s="42">
        <v>42888</v>
      </c>
      <c r="F592" s="44">
        <v>7.5</v>
      </c>
      <c r="G592">
        <v>618</v>
      </c>
      <c r="H592" s="35" t="s">
        <v>963</v>
      </c>
      <c r="I592" s="42">
        <v>43188</v>
      </c>
      <c r="J592" s="77" t="s">
        <v>12</v>
      </c>
      <c r="K592" s="77" t="s">
        <v>982</v>
      </c>
      <c r="L592">
        <v>72</v>
      </c>
      <c r="M592">
        <v>7.5</v>
      </c>
      <c r="N592" s="44">
        <f t="shared" si="33"/>
        <v>9.6</v>
      </c>
      <c r="O592">
        <f t="shared" si="34"/>
        <v>300</v>
      </c>
      <c r="P592" s="97">
        <f t="shared" si="32"/>
        <v>0.11650485436893204</v>
      </c>
      <c r="Q592" s="179" t="s">
        <v>1986</v>
      </c>
    </row>
    <row r="593" spans="1:17" x14ac:dyDescent="0.25">
      <c r="A593" t="s">
        <v>762</v>
      </c>
      <c r="B593" s="9" t="s">
        <v>1440</v>
      </c>
      <c r="C593" t="str">
        <f>VLOOKUP(B593,'[1]Planting GPS Points'!$B$3:$L$290,8,FALSE)</f>
        <v>SJS</v>
      </c>
      <c r="D593" t="str">
        <f>VLOOKUP(B593,'[1]Planting GPS Points'!$B$3:$AL$290,15,FALSE)</f>
        <v>93-094344</v>
      </c>
      <c r="E593" s="42">
        <v>42888</v>
      </c>
      <c r="F593" s="44">
        <v>7.5</v>
      </c>
      <c r="G593">
        <v>618</v>
      </c>
      <c r="H593" s="35" t="s">
        <v>963</v>
      </c>
      <c r="I593" s="42">
        <v>43292</v>
      </c>
      <c r="J593" s="77" t="s">
        <v>23</v>
      </c>
      <c r="K593" s="77" t="s">
        <v>982</v>
      </c>
      <c r="L593" s="77">
        <v>0</v>
      </c>
      <c r="M593">
        <v>7.5</v>
      </c>
      <c r="N593" s="44">
        <f t="shared" si="33"/>
        <v>0</v>
      </c>
      <c r="O593" s="77">
        <f t="shared" si="34"/>
        <v>404</v>
      </c>
      <c r="P593" s="97">
        <f t="shared" si="32"/>
        <v>0</v>
      </c>
      <c r="Q593" s="8" t="s">
        <v>1987</v>
      </c>
    </row>
    <row r="594" spans="1:17" x14ac:dyDescent="0.25">
      <c r="A594" s="146" t="s">
        <v>762</v>
      </c>
      <c r="B594" t="s">
        <v>1429</v>
      </c>
      <c r="C594" t="str">
        <f>VLOOKUP(B594,'[1]Planting GPS Points'!$B$3:$L$290,8,FALSE)</f>
        <v>SJS</v>
      </c>
      <c r="D594" t="str">
        <f>VLOOKUP(B594,'[1]Planting GPS Points'!$B$3:$AL$290,15,FALSE)</f>
        <v>IAA 12-317</v>
      </c>
      <c r="E594" s="42">
        <v>41439</v>
      </c>
      <c r="F594" s="44">
        <v>25</v>
      </c>
      <c r="G594">
        <v>448</v>
      </c>
      <c r="H594" s="35" t="s">
        <v>963</v>
      </c>
      <c r="I594" s="42">
        <v>41621</v>
      </c>
      <c r="J594" s="77" t="s">
        <v>23</v>
      </c>
      <c r="K594" s="77" t="s">
        <v>967</v>
      </c>
      <c r="L594">
        <v>0</v>
      </c>
      <c r="M594">
        <v>25</v>
      </c>
      <c r="N594" s="44">
        <f t="shared" si="33"/>
        <v>0</v>
      </c>
      <c r="O594">
        <f t="shared" si="34"/>
        <v>182</v>
      </c>
      <c r="P594" s="97">
        <f t="shared" si="32"/>
        <v>0</v>
      </c>
      <c r="Q594" s="8"/>
    </row>
    <row r="595" spans="1:17" x14ac:dyDescent="0.25">
      <c r="A595" s="146" t="s">
        <v>762</v>
      </c>
      <c r="B595" t="s">
        <v>1429</v>
      </c>
      <c r="C595" t="str">
        <f>VLOOKUP(B595,'[1]Planting GPS Points'!$B$3:$L$290,8,FALSE)</f>
        <v>SJS</v>
      </c>
      <c r="D595" t="str">
        <f>VLOOKUP(B595,'[1]Planting GPS Points'!$B$3:$AL$290,15,FALSE)</f>
        <v>IAA 12-317</v>
      </c>
      <c r="E595" s="42">
        <v>41439</v>
      </c>
      <c r="F595" s="44">
        <v>25</v>
      </c>
      <c r="G595">
        <v>448</v>
      </c>
      <c r="H595" s="35" t="s">
        <v>963</v>
      </c>
      <c r="I595" s="42">
        <v>41709</v>
      </c>
      <c r="J595" s="77" t="s">
        <v>23</v>
      </c>
      <c r="K595" s="77" t="s">
        <v>967</v>
      </c>
      <c r="L595">
        <v>0</v>
      </c>
      <c r="M595">
        <v>25</v>
      </c>
      <c r="N595" s="44">
        <f t="shared" si="33"/>
        <v>0</v>
      </c>
      <c r="O595">
        <f t="shared" si="34"/>
        <v>270</v>
      </c>
      <c r="P595" s="97">
        <f t="shared" si="32"/>
        <v>0</v>
      </c>
      <c r="Q595" s="8"/>
    </row>
    <row r="596" spans="1:17" x14ac:dyDescent="0.25">
      <c r="A596" s="146" t="s">
        <v>762</v>
      </c>
      <c r="B596" t="s">
        <v>1432</v>
      </c>
      <c r="C596" t="str">
        <f>VLOOKUP(B596,'[1]Planting GPS Points'!$B$3:$L$290,8,FALSE)</f>
        <v>SJS</v>
      </c>
      <c r="D596" t="str">
        <f>VLOOKUP(B596,'[1]Planting GPS Points'!$B$3:$AL$290,15,FALSE)</f>
        <v>IAA 12-317</v>
      </c>
      <c r="E596" s="42">
        <v>41439</v>
      </c>
      <c r="F596" s="44">
        <v>25</v>
      </c>
      <c r="G596">
        <v>472</v>
      </c>
      <c r="H596" s="35" t="s">
        <v>963</v>
      </c>
      <c r="I596" s="42">
        <v>41621</v>
      </c>
      <c r="J596" s="77" t="s">
        <v>12</v>
      </c>
      <c r="K596" s="77" t="s">
        <v>967</v>
      </c>
      <c r="M596">
        <v>25</v>
      </c>
      <c r="N596" s="44">
        <f t="shared" si="33"/>
        <v>0</v>
      </c>
      <c r="O596">
        <f t="shared" si="34"/>
        <v>182</v>
      </c>
      <c r="P596" s="97" t="str">
        <f t="shared" si="32"/>
        <v/>
      </c>
      <c r="Q596" s="8" t="s">
        <v>1988</v>
      </c>
    </row>
    <row r="597" spans="1:17" x14ac:dyDescent="0.25">
      <c r="A597" s="146" t="s">
        <v>762</v>
      </c>
      <c r="B597" t="s">
        <v>1432</v>
      </c>
      <c r="C597" t="str">
        <f>VLOOKUP(B597,'[1]Planting GPS Points'!$B$3:$L$290,8,FALSE)</f>
        <v>SJS</v>
      </c>
      <c r="D597" t="str">
        <f>VLOOKUP(B597,'[1]Planting GPS Points'!$B$3:$AL$290,15,FALSE)</f>
        <v>IAA 12-317</v>
      </c>
      <c r="E597" s="42">
        <v>41439</v>
      </c>
      <c r="F597" s="44">
        <v>25</v>
      </c>
      <c r="G597">
        <v>472</v>
      </c>
      <c r="H597" s="35" t="s">
        <v>963</v>
      </c>
      <c r="I597" s="42">
        <v>41709</v>
      </c>
      <c r="J597" s="77" t="s">
        <v>12</v>
      </c>
      <c r="K597" s="77" t="s">
        <v>967</v>
      </c>
      <c r="L597">
        <v>81</v>
      </c>
      <c r="M597">
        <v>25</v>
      </c>
      <c r="N597" s="44">
        <f t="shared" si="33"/>
        <v>3.24</v>
      </c>
      <c r="O597">
        <f t="shared" si="34"/>
        <v>270</v>
      </c>
      <c r="P597" s="97">
        <f t="shared" si="32"/>
        <v>0.17161016949152541</v>
      </c>
      <c r="Q597" s="8"/>
    </row>
    <row r="598" spans="1:17" x14ac:dyDescent="0.25">
      <c r="A598" s="146" t="s">
        <v>762</v>
      </c>
      <c r="B598" t="s">
        <v>1432</v>
      </c>
      <c r="C598" t="str">
        <f>VLOOKUP(B598,'[1]Planting GPS Points'!$B$3:$L$290,8,FALSE)</f>
        <v>SJS</v>
      </c>
      <c r="D598" t="str">
        <f>VLOOKUP(B598,'[1]Planting GPS Points'!$B$3:$AL$290,15,FALSE)</f>
        <v>IAA 12-317</v>
      </c>
      <c r="E598" s="42">
        <v>41439</v>
      </c>
      <c r="F598" s="44">
        <v>25</v>
      </c>
      <c r="G598">
        <v>472</v>
      </c>
      <c r="H598" s="35" t="s">
        <v>963</v>
      </c>
      <c r="I598" s="42">
        <v>42881</v>
      </c>
      <c r="J598" s="77" t="s">
        <v>23</v>
      </c>
      <c r="K598" s="77" t="s">
        <v>967</v>
      </c>
      <c r="L598">
        <v>1</v>
      </c>
      <c r="M598">
        <v>25</v>
      </c>
      <c r="N598" s="44">
        <f t="shared" si="33"/>
        <v>0.04</v>
      </c>
      <c r="O598">
        <f t="shared" si="34"/>
        <v>1442</v>
      </c>
      <c r="P598" s="97">
        <f t="shared" si="32"/>
        <v>2.1186440677966102E-3</v>
      </c>
      <c r="Q598" s="8" t="s">
        <v>1989</v>
      </c>
    </row>
    <row r="599" spans="1:17" x14ac:dyDescent="0.25">
      <c r="A599" s="146" t="s">
        <v>1448</v>
      </c>
      <c r="B599" t="s">
        <v>1458</v>
      </c>
      <c r="C599" t="str">
        <f>VLOOKUP(B599,'[1]Planting GPS Points'!$B$3:$L$290,8,FALSE)</f>
        <v>SPS</v>
      </c>
      <c r="D599">
        <f>VLOOKUP(B599,'[1]Planting GPS Points'!$B$3:$AL$290,15,FALSE)</f>
        <v>0</v>
      </c>
      <c r="E599" s="42">
        <v>42527</v>
      </c>
      <c r="F599" s="44">
        <v>6.25E-2</v>
      </c>
      <c r="G599" s="61">
        <v>40</v>
      </c>
      <c r="H599" s="35" t="s">
        <v>971</v>
      </c>
      <c r="I599" s="42">
        <v>42553</v>
      </c>
      <c r="J599" s="77" t="s">
        <v>12</v>
      </c>
      <c r="K599" s="77" t="s">
        <v>982</v>
      </c>
      <c r="N599" s="44" t="str">
        <f t="shared" si="33"/>
        <v/>
      </c>
      <c r="O599">
        <f t="shared" si="34"/>
        <v>26</v>
      </c>
      <c r="P599" s="97" t="str">
        <f t="shared" si="32"/>
        <v/>
      </c>
      <c r="Q599" s="8" t="s">
        <v>1990</v>
      </c>
    </row>
    <row r="600" spans="1:17" x14ac:dyDescent="0.25">
      <c r="A600" s="146" t="s">
        <v>1448</v>
      </c>
      <c r="B600" t="s">
        <v>1458</v>
      </c>
      <c r="C600" t="str">
        <f>VLOOKUP(B600,'[1]Planting GPS Points'!$B$3:$L$290,8,FALSE)</f>
        <v>SPS</v>
      </c>
      <c r="D600">
        <f>VLOOKUP(B600,'[1]Planting GPS Points'!$B$3:$AL$290,15,FALSE)</f>
        <v>0</v>
      </c>
      <c r="E600" s="42">
        <v>42527</v>
      </c>
      <c r="F600" s="44">
        <v>6.25E-2</v>
      </c>
      <c r="G600" s="61">
        <v>40</v>
      </c>
      <c r="H600" s="35" t="s">
        <v>971</v>
      </c>
      <c r="I600" s="42">
        <v>42600</v>
      </c>
      <c r="J600" s="77" t="s">
        <v>23</v>
      </c>
      <c r="K600" s="77" t="s">
        <v>982</v>
      </c>
      <c r="L600">
        <v>0</v>
      </c>
      <c r="N600" s="44" t="str">
        <f t="shared" si="33"/>
        <v/>
      </c>
      <c r="O600">
        <f t="shared" si="34"/>
        <v>73</v>
      </c>
      <c r="P600" s="97">
        <f t="shared" si="32"/>
        <v>0</v>
      </c>
      <c r="Q600" s="8" t="s">
        <v>1991</v>
      </c>
    </row>
    <row r="601" spans="1:17" x14ac:dyDescent="0.25">
      <c r="A601" s="146" t="s">
        <v>1448</v>
      </c>
      <c r="B601" t="s">
        <v>1460</v>
      </c>
      <c r="C601" t="str">
        <f>VLOOKUP(B601,'[1]Planting GPS Points'!$B$3:$L$290,8,FALSE)</f>
        <v>SPS</v>
      </c>
      <c r="D601">
        <f>VLOOKUP(B601,'[1]Planting GPS Points'!$B$3:$AL$290,15,FALSE)</f>
        <v>0</v>
      </c>
      <c r="E601" s="42">
        <v>42572</v>
      </c>
      <c r="F601" s="44">
        <v>0.25</v>
      </c>
      <c r="G601" s="61">
        <v>200</v>
      </c>
      <c r="H601" s="35" t="s">
        <v>971</v>
      </c>
      <c r="I601" s="42">
        <v>42600</v>
      </c>
      <c r="J601" s="77" t="s">
        <v>23</v>
      </c>
      <c r="K601" s="77" t="s">
        <v>982</v>
      </c>
      <c r="L601">
        <v>0</v>
      </c>
      <c r="N601" s="44" t="str">
        <f t="shared" si="33"/>
        <v/>
      </c>
      <c r="O601">
        <f t="shared" si="34"/>
        <v>28</v>
      </c>
      <c r="P601" s="97">
        <f t="shared" si="32"/>
        <v>0</v>
      </c>
      <c r="Q601" s="8" t="s">
        <v>1992</v>
      </c>
    </row>
    <row r="602" spans="1:17" x14ac:dyDescent="0.25">
      <c r="A602" s="146" t="s">
        <v>1448</v>
      </c>
      <c r="B602" t="s">
        <v>1449</v>
      </c>
      <c r="C602" t="str">
        <f>VLOOKUP(B602,'[1]Planting GPS Points'!$B$3:$L$290,8,FALSE)</f>
        <v>SPS</v>
      </c>
      <c r="D602" t="str">
        <f>VLOOKUP(B602,'[1]Planting GPS Points'!$B$3:$AL$290,15,FALSE)</f>
        <v>IAA 12-317</v>
      </c>
      <c r="E602" s="42">
        <v>41431</v>
      </c>
      <c r="F602" s="44">
        <v>45</v>
      </c>
      <c r="G602">
        <v>872</v>
      </c>
      <c r="H602" s="35" t="s">
        <v>963</v>
      </c>
      <c r="I602" s="42">
        <v>41613</v>
      </c>
      <c r="J602" s="77" t="s">
        <v>12</v>
      </c>
      <c r="K602" s="77" t="s">
        <v>967</v>
      </c>
      <c r="M602">
        <v>45</v>
      </c>
      <c r="N602" s="44"/>
      <c r="O602">
        <f t="shared" si="34"/>
        <v>182</v>
      </c>
      <c r="P602" s="97" t="str">
        <f t="shared" si="32"/>
        <v/>
      </c>
      <c r="Q602" s="8" t="s">
        <v>1993</v>
      </c>
    </row>
    <row r="603" spans="1:17" x14ac:dyDescent="0.25">
      <c r="A603" s="146" t="s">
        <v>1448</v>
      </c>
      <c r="B603" t="s">
        <v>1449</v>
      </c>
      <c r="C603" t="str">
        <f>VLOOKUP(B603,'[1]Planting GPS Points'!$B$3:$L$290,8,FALSE)</f>
        <v>SPS</v>
      </c>
      <c r="D603" t="str">
        <f>VLOOKUP(B603,'[1]Planting GPS Points'!$B$3:$AL$290,15,FALSE)</f>
        <v>IAA 12-317</v>
      </c>
      <c r="E603" s="42">
        <v>41431</v>
      </c>
      <c r="F603" s="44">
        <v>45</v>
      </c>
      <c r="G603">
        <v>872</v>
      </c>
      <c r="H603" s="35" t="s">
        <v>963</v>
      </c>
      <c r="I603" s="42">
        <v>41725</v>
      </c>
      <c r="J603" s="77" t="s">
        <v>12</v>
      </c>
      <c r="K603" s="77" t="s">
        <v>967</v>
      </c>
      <c r="L603">
        <v>539</v>
      </c>
      <c r="M603">
        <v>45</v>
      </c>
      <c r="N603" s="44">
        <f>IFERROR(L603/M603, "")</f>
        <v>11.977777777777778</v>
      </c>
      <c r="O603">
        <f t="shared" si="34"/>
        <v>294</v>
      </c>
      <c r="P603" s="97">
        <f t="shared" si="32"/>
        <v>0.61811926605504586</v>
      </c>
      <c r="Q603" s="8" t="s">
        <v>1994</v>
      </c>
    </row>
    <row r="604" spans="1:17" x14ac:dyDescent="0.25">
      <c r="A604" s="146" t="s">
        <v>1448</v>
      </c>
      <c r="B604" t="s">
        <v>1449</v>
      </c>
      <c r="C604" t="str">
        <f>VLOOKUP(B604,'[1]Planting GPS Points'!$B$3:$L$290,8,FALSE)</f>
        <v>SPS</v>
      </c>
      <c r="D604" t="str">
        <f>VLOOKUP(B604,'[1]Planting GPS Points'!$B$3:$AL$290,15,FALSE)</f>
        <v>IAA 12-317</v>
      </c>
      <c r="E604" s="42">
        <v>41431</v>
      </c>
      <c r="F604" s="44">
        <v>45</v>
      </c>
      <c r="G604">
        <v>872</v>
      </c>
      <c r="H604" s="35" t="s">
        <v>963</v>
      </c>
      <c r="I604" s="42">
        <v>41775</v>
      </c>
      <c r="J604" s="77" t="s">
        <v>12</v>
      </c>
      <c r="K604" s="77" t="s">
        <v>967</v>
      </c>
      <c r="M604">
        <v>45</v>
      </c>
      <c r="N604" s="44"/>
      <c r="O604">
        <f t="shared" si="34"/>
        <v>344</v>
      </c>
      <c r="P604" s="97"/>
      <c r="Q604" s="8" t="s">
        <v>1995</v>
      </c>
    </row>
    <row r="605" spans="1:17" x14ac:dyDescent="0.25">
      <c r="A605" s="146" t="s">
        <v>1448</v>
      </c>
      <c r="B605" t="s">
        <v>1449</v>
      </c>
      <c r="C605" t="str">
        <f>VLOOKUP(B605,'[1]Planting GPS Points'!$B$3:$L$290,8,FALSE)</f>
        <v>SPS</v>
      </c>
      <c r="D605" t="str">
        <f>VLOOKUP(B605,'[1]Planting GPS Points'!$B$3:$AL$290,15,FALSE)</f>
        <v>IAA 12-317</v>
      </c>
      <c r="E605" s="42">
        <v>41431</v>
      </c>
      <c r="F605" s="44">
        <v>45</v>
      </c>
      <c r="G605">
        <v>872</v>
      </c>
      <c r="H605" s="35" t="s">
        <v>963</v>
      </c>
      <c r="I605" s="42">
        <v>41506</v>
      </c>
      <c r="J605" s="77" t="s">
        <v>12</v>
      </c>
      <c r="K605" s="77" t="s">
        <v>967</v>
      </c>
      <c r="M605">
        <v>45</v>
      </c>
      <c r="N605" s="44"/>
      <c r="O605">
        <f t="shared" si="34"/>
        <v>75</v>
      </c>
      <c r="P605" s="97"/>
      <c r="Q605" s="8" t="s">
        <v>1996</v>
      </c>
    </row>
    <row r="606" spans="1:17" x14ac:dyDescent="0.25">
      <c r="A606" s="146" t="s">
        <v>1448</v>
      </c>
      <c r="B606" t="s">
        <v>1457</v>
      </c>
      <c r="C606" t="str">
        <f>VLOOKUP(B606,'[1]Planting GPS Points'!$B$3:$L$290,8,FALSE)</f>
        <v>SPS</v>
      </c>
      <c r="D606" t="str">
        <f>VLOOKUP(B606,'[1]Planting GPS Points'!$B$3:$AL$290,15,FALSE)</f>
        <v>IAA 12-317.1</v>
      </c>
      <c r="E606" s="42">
        <v>42130</v>
      </c>
      <c r="F606" s="44">
        <v>25</v>
      </c>
      <c r="G606" s="61">
        <v>500</v>
      </c>
      <c r="H606" s="35" t="s">
        <v>971</v>
      </c>
      <c r="I606" s="42">
        <v>42513</v>
      </c>
      <c r="J606" s="77" t="s">
        <v>23</v>
      </c>
      <c r="K606" s="77" t="s">
        <v>967</v>
      </c>
      <c r="L606">
        <v>0</v>
      </c>
      <c r="N606" s="44" t="str">
        <f>IFERROR(L606/M606, "")</f>
        <v/>
      </c>
      <c r="O606">
        <f t="shared" si="34"/>
        <v>383</v>
      </c>
      <c r="P606" s="97">
        <f t="shared" si="32"/>
        <v>0</v>
      </c>
      <c r="Q606" s="8" t="s">
        <v>1997</v>
      </c>
    </row>
    <row r="607" spans="1:17" x14ac:dyDescent="0.25">
      <c r="A607" t="s">
        <v>942</v>
      </c>
      <c r="B607" t="s">
        <v>1087</v>
      </c>
      <c r="C607" t="str">
        <f>VLOOKUP(B607,'[1]Planting GPS Points'!$B$3:$L$290,8,FALSE)</f>
        <v>CPS</v>
      </c>
      <c r="D607">
        <f>VLOOKUP(B607,'[1]Planting GPS Points'!$B$3:$AL$290,15,FALSE)</f>
        <v>0</v>
      </c>
      <c r="E607" s="42">
        <v>44700</v>
      </c>
      <c r="F607">
        <v>5</v>
      </c>
      <c r="G607">
        <v>400</v>
      </c>
      <c r="H607" s="35" t="s">
        <v>971</v>
      </c>
      <c r="I607" s="42">
        <v>44712</v>
      </c>
      <c r="J607" s="77" t="s">
        <v>12</v>
      </c>
      <c r="K607" s="77" t="s">
        <v>982</v>
      </c>
      <c r="O607">
        <f t="shared" si="34"/>
        <v>12</v>
      </c>
      <c r="Q607" t="s">
        <v>1998</v>
      </c>
    </row>
    <row r="608" spans="1:17" x14ac:dyDescent="0.25">
      <c r="A608" t="s">
        <v>860</v>
      </c>
      <c r="B608" s="9" t="s">
        <v>1390</v>
      </c>
      <c r="C608" t="str">
        <f>VLOOKUP(B608,'[1]Planting GPS Points'!$B$3:$L$290,8,FALSE)</f>
        <v>CPS</v>
      </c>
      <c r="D608">
        <f>VLOOKUP(B608,'[1]Planting GPS Points'!$B$3:$AL$290,15,FALSE)</f>
        <v>0</v>
      </c>
      <c r="E608" s="42">
        <v>44329</v>
      </c>
      <c r="F608" s="44">
        <v>2.25</v>
      </c>
      <c r="G608" s="47">
        <v>180</v>
      </c>
      <c r="H608" s="35" t="s">
        <v>971</v>
      </c>
      <c r="I608" s="42">
        <v>44373</v>
      </c>
      <c r="J608" s="77" t="s">
        <v>23</v>
      </c>
      <c r="K608" s="77" t="s">
        <v>982</v>
      </c>
      <c r="L608">
        <v>0</v>
      </c>
      <c r="M608" s="110"/>
      <c r="N608" s="44"/>
      <c r="O608">
        <f t="shared" si="34"/>
        <v>44</v>
      </c>
      <c r="P608" s="97">
        <v>1.6666666666666668E-3</v>
      </c>
      <c r="Q608" s="110" t="s">
        <v>1958</v>
      </c>
    </row>
    <row r="609" spans="1:17" x14ac:dyDescent="0.25">
      <c r="A609" t="s">
        <v>860</v>
      </c>
      <c r="B609" s="9" t="s">
        <v>1390</v>
      </c>
      <c r="C609" t="str">
        <f>VLOOKUP(B609,'[1]Planting GPS Points'!$B$3:$L$290,8,FALSE)</f>
        <v>CPS</v>
      </c>
      <c r="D609">
        <f>VLOOKUP(B609,'[1]Planting GPS Points'!$B$3:$AL$290,15,FALSE)</f>
        <v>0</v>
      </c>
      <c r="E609" s="42">
        <v>44330</v>
      </c>
      <c r="F609" s="44">
        <v>2.25</v>
      </c>
      <c r="G609" s="47">
        <v>180</v>
      </c>
      <c r="H609" s="35" t="s">
        <v>971</v>
      </c>
      <c r="I609" s="42">
        <v>44373</v>
      </c>
      <c r="J609" s="77" t="s">
        <v>23</v>
      </c>
      <c r="K609" s="77" t="s">
        <v>982</v>
      </c>
      <c r="L609">
        <v>0</v>
      </c>
      <c r="M609" s="110"/>
      <c r="N609" s="44"/>
      <c r="O609">
        <f t="shared" si="34"/>
        <v>43</v>
      </c>
      <c r="P609" s="97">
        <v>1.6666666666666668E-3</v>
      </c>
      <c r="Q609" s="110" t="s">
        <v>1958</v>
      </c>
    </row>
    <row r="610" spans="1:17" x14ac:dyDescent="0.25">
      <c r="A610" t="s">
        <v>860</v>
      </c>
      <c r="B610" s="9" t="s">
        <v>1390</v>
      </c>
      <c r="C610" t="str">
        <f>VLOOKUP(B610,'[1]Planting GPS Points'!$B$3:$L$290,8,FALSE)</f>
        <v>CPS</v>
      </c>
      <c r="D610">
        <f>VLOOKUP(B610,'[1]Planting GPS Points'!$B$3:$AL$290,15,FALSE)</f>
        <v>0</v>
      </c>
      <c r="E610" s="42">
        <v>44329</v>
      </c>
      <c r="F610" s="44">
        <v>2.25</v>
      </c>
      <c r="G610" s="47">
        <v>180</v>
      </c>
      <c r="H610" s="35" t="s">
        <v>971</v>
      </c>
      <c r="I610" s="42">
        <v>44712</v>
      </c>
      <c r="J610" s="77" t="s">
        <v>23</v>
      </c>
      <c r="K610" s="77" t="s">
        <v>982</v>
      </c>
      <c r="L610">
        <v>0</v>
      </c>
      <c r="M610" s="110"/>
      <c r="N610" s="44"/>
      <c r="O610">
        <f t="shared" si="34"/>
        <v>383</v>
      </c>
      <c r="P610" s="97">
        <v>1.6666666666666668E-3</v>
      </c>
      <c r="Q610" s="110" t="s">
        <v>1999</v>
      </c>
    </row>
    <row r="611" spans="1:17" x14ac:dyDescent="0.25">
      <c r="A611" t="s">
        <v>860</v>
      </c>
      <c r="B611" s="9" t="s">
        <v>1390</v>
      </c>
      <c r="C611" t="str">
        <f>VLOOKUP(B611,'[1]Planting GPS Points'!$B$3:$L$290,8,FALSE)</f>
        <v>CPS</v>
      </c>
      <c r="D611">
        <f>VLOOKUP(B611,'[1]Planting GPS Points'!$B$3:$AL$290,15,FALSE)</f>
        <v>0</v>
      </c>
      <c r="E611" s="42">
        <v>44330</v>
      </c>
      <c r="F611" s="44">
        <v>2.25</v>
      </c>
      <c r="G611" s="47">
        <v>180</v>
      </c>
      <c r="H611" s="35" t="s">
        <v>971</v>
      </c>
      <c r="I611" s="42">
        <v>44712</v>
      </c>
      <c r="J611" s="77" t="s">
        <v>23</v>
      </c>
      <c r="K611" s="77" t="s">
        <v>982</v>
      </c>
      <c r="L611">
        <v>0</v>
      </c>
      <c r="M611" s="110"/>
      <c r="N611" s="44"/>
      <c r="O611">
        <f t="shared" si="34"/>
        <v>382</v>
      </c>
      <c r="P611" s="97">
        <v>1.6666666666666668E-3</v>
      </c>
      <c r="Q611" s="110" t="s">
        <v>1999</v>
      </c>
    </row>
    <row r="619" spans="1:17" x14ac:dyDescent="0.25">
      <c r="B619" s="180" t="s">
        <v>1047</v>
      </c>
      <c r="C619" s="180" t="s">
        <v>1073</v>
      </c>
    </row>
    <row r="627" spans="1:3" x14ac:dyDescent="0.25">
      <c r="B627" s="50"/>
      <c r="C627" s="50"/>
    </row>
    <row r="630" spans="1:3" x14ac:dyDescent="0.25">
      <c r="A630" s="43"/>
      <c r="B630" s="43"/>
    </row>
    <row r="645" spans="1:2" x14ac:dyDescent="0.25">
      <c r="A645" s="50"/>
      <c r="B645" s="50"/>
    </row>
    <row r="660" spans="1:17" x14ac:dyDescent="0.25">
      <c r="D660" s="43"/>
      <c r="E660" s="43"/>
    </row>
    <row r="663" spans="1:17" x14ac:dyDescent="0.25">
      <c r="A663" t="s">
        <v>61</v>
      </c>
      <c r="B663" t="s">
        <v>1018</v>
      </c>
      <c r="C663" t="str">
        <f>VLOOKUP(B663,'[1]Planting GPS Points'!$B$3:$L$290,8,FALSE)</f>
        <v>CPS</v>
      </c>
      <c r="D663">
        <f>VLOOKUP(B663,'[1]Planting GPS Points'!$B$3:$AL$290,15,FALSE)</f>
        <v>0</v>
      </c>
      <c r="E663" s="42">
        <v>44012</v>
      </c>
      <c r="F663">
        <v>5</v>
      </c>
      <c r="G663">
        <v>500</v>
      </c>
      <c r="H663" s="35" t="s">
        <v>971</v>
      </c>
      <c r="I663" s="42">
        <v>45832</v>
      </c>
      <c r="J663" s="77" t="s">
        <v>745</v>
      </c>
      <c r="K663" s="77" t="s">
        <v>982</v>
      </c>
      <c r="Q663" t="s">
        <v>2000</v>
      </c>
    </row>
    <row r="664" spans="1:17" x14ac:dyDescent="0.25">
      <c r="A664" s="9" t="s">
        <v>1047</v>
      </c>
      <c r="B664" s="9" t="s">
        <v>1073</v>
      </c>
      <c r="C664" t="str">
        <f>VLOOKUP(B664,'[1]Planting GPS Points'!$B$3:$L$290,8,FALSE)</f>
        <v>CPS</v>
      </c>
      <c r="D664">
        <f>VLOOKUP(B664,'[1]Planting GPS Points'!$B$3:$AL$290,15,FALSE)</f>
        <v>0</v>
      </c>
      <c r="E664" s="59">
        <v>44350</v>
      </c>
      <c r="F664" s="44">
        <v>250</v>
      </c>
      <c r="G664">
        <v>12305</v>
      </c>
      <c r="H664" s="35" t="s">
        <v>971</v>
      </c>
      <c r="I664" s="42">
        <v>45832</v>
      </c>
      <c r="J664" s="77" t="s">
        <v>12</v>
      </c>
      <c r="K664" s="77" t="s">
        <v>982</v>
      </c>
      <c r="Q664" t="s">
        <v>2001</v>
      </c>
    </row>
    <row r="665" spans="1:17" x14ac:dyDescent="0.25">
      <c r="A665" t="s">
        <v>1120</v>
      </c>
      <c r="B665" s="107" t="s">
        <v>1128</v>
      </c>
      <c r="C665" t="str">
        <f>VLOOKUP(B665,'[1]Planting GPS Points'!$B$3:$L$290,8,FALSE)</f>
        <v>CPS</v>
      </c>
      <c r="D665" t="str">
        <f>VLOOKUP(B665,'[1]Planting GPS Points'!$B$3:$AL$290,15,FALSE)</f>
        <v>93-094344</v>
      </c>
      <c r="E665" s="116">
        <v>43235</v>
      </c>
      <c r="F665" s="44">
        <v>138</v>
      </c>
      <c r="G665">
        <v>13800</v>
      </c>
      <c r="H665" s="35" t="s">
        <v>971</v>
      </c>
      <c r="I665" s="42">
        <v>45820</v>
      </c>
      <c r="J665" s="77" t="s">
        <v>23</v>
      </c>
      <c r="K665" s="77" t="s">
        <v>982</v>
      </c>
      <c r="Q665" t="s">
        <v>2002</v>
      </c>
    </row>
    <row r="666" spans="1:17" x14ac:dyDescent="0.25">
      <c r="A666" s="181" t="s">
        <v>1120</v>
      </c>
      <c r="B666" s="182" t="s">
        <v>1131</v>
      </c>
      <c r="C666" t="str">
        <f>VLOOKUP(B666,'[1]Planting GPS Points'!$B$3:$L$290,8,FALSE)</f>
        <v>CPS</v>
      </c>
      <c r="D666" t="str">
        <f>VLOOKUP(B666,'[1]Planting GPS Points'!$B$3:$AL$290,15,FALSE)</f>
        <v>93-099661</v>
      </c>
      <c r="E666" s="116">
        <v>43265</v>
      </c>
      <c r="F666" s="44">
        <v>97</v>
      </c>
      <c r="G666">
        <v>9688</v>
      </c>
      <c r="H666" s="35" t="s">
        <v>971</v>
      </c>
      <c r="I666" s="42">
        <v>45820</v>
      </c>
      <c r="J666" s="77" t="s">
        <v>23</v>
      </c>
      <c r="K666" s="77" t="s">
        <v>982</v>
      </c>
      <c r="Q666" t="s">
        <v>2002</v>
      </c>
    </row>
    <row r="667" spans="1:17" x14ac:dyDescent="0.25">
      <c r="A667" s="183" t="s">
        <v>1120</v>
      </c>
      <c r="B667" s="183" t="s">
        <v>1134</v>
      </c>
      <c r="C667" t="str">
        <f>VLOOKUP(B667,'[1]Planting GPS Points'!$B$3:$L$290,8,FALSE)</f>
        <v>CPS</v>
      </c>
      <c r="D667" t="str">
        <f>VLOOKUP(B667,'[1]Planting GPS Points'!$B$3:$AL$290,15,FALSE)</f>
        <v>93-094344</v>
      </c>
      <c r="E667" s="42">
        <v>43599</v>
      </c>
      <c r="F667" s="109" t="str">
        <f>VLOOKUP(B667,PLANTING,26,FALSE)</f>
        <v>rebar</v>
      </c>
      <c r="G667" s="111">
        <f>VLOOKUP(B667,PLANTING,29,FALSE)</f>
        <v>234</v>
      </c>
      <c r="H667" s="35" t="s">
        <v>971</v>
      </c>
      <c r="I667" s="42">
        <v>45820</v>
      </c>
      <c r="J667" s="77" t="s">
        <v>23</v>
      </c>
      <c r="K667" s="77" t="s">
        <v>982</v>
      </c>
      <c r="Q667" t="s">
        <v>2002</v>
      </c>
    </row>
    <row r="668" spans="1:17" x14ac:dyDescent="0.25">
      <c r="A668" s="183" t="s">
        <v>61</v>
      </c>
      <c r="B668" s="184" t="s">
        <v>1010</v>
      </c>
      <c r="C668" t="str">
        <f>VLOOKUP(B668,'[1]Planting GPS Points'!$B$3:$L$290,8,FALSE)</f>
        <v>CPS</v>
      </c>
      <c r="D668" t="str">
        <f>VLOOKUP(B668,'[1]Planting GPS Points'!$B$3:$AL$290,15,FALSE)</f>
        <v>IAA 15-101</v>
      </c>
      <c r="E668" s="42">
        <v>42955</v>
      </c>
      <c r="F668">
        <v>105.25</v>
      </c>
      <c r="G668" s="57">
        <v>10525</v>
      </c>
      <c r="H668" s="35" t="s">
        <v>971</v>
      </c>
      <c r="I668" s="42">
        <v>45833</v>
      </c>
      <c r="J668" s="77" t="s">
        <v>12</v>
      </c>
      <c r="K668" s="77" t="s">
        <v>982</v>
      </c>
      <c r="Q668" t="s">
        <v>2003</v>
      </c>
    </row>
    <row r="669" spans="1:17" x14ac:dyDescent="0.25">
      <c r="A669" s="185" t="s">
        <v>944</v>
      </c>
      <c r="B669" s="183" t="s">
        <v>1328</v>
      </c>
      <c r="C669" t="str">
        <f>VLOOKUP(B669,'[1]Planting GPS Points'!$B$3:$L$290,8,FALSE)</f>
        <v>CPS</v>
      </c>
      <c r="D669">
        <f>VLOOKUP(B669,'[1]Planting GPS Points'!$B$3:$AL$290,15,FALSE)</f>
        <v>0</v>
      </c>
      <c r="E669" s="42">
        <v>44698</v>
      </c>
      <c r="F669">
        <v>7.75</v>
      </c>
      <c r="G669">
        <v>620</v>
      </c>
      <c r="H669" s="35" t="s">
        <v>971</v>
      </c>
      <c r="I669" s="42">
        <v>45818</v>
      </c>
      <c r="J669" s="77" t="s">
        <v>23</v>
      </c>
      <c r="K669" s="77" t="s">
        <v>982</v>
      </c>
      <c r="Q669" t="s">
        <v>2004</v>
      </c>
    </row>
    <row r="670" spans="1:17" x14ac:dyDescent="0.25">
      <c r="A670" s="9" t="s">
        <v>1157</v>
      </c>
      <c r="B670" t="s">
        <v>1172</v>
      </c>
      <c r="C670" t="str">
        <f>VLOOKUP(B670,'[1]Planting GPS Points'!$B$3:$L$290,8,FALSE)</f>
        <v>CPS</v>
      </c>
      <c r="D670" t="str">
        <f>VLOOKUP(B670,'[1]Planting GPS Points'!$B$3:$AL$290,15,FALSE)</f>
        <v>IAA 12-317.1</v>
      </c>
      <c r="E670" s="42">
        <v>42162</v>
      </c>
      <c r="F670" s="44">
        <v>151</v>
      </c>
      <c r="G670" s="47">
        <v>12000</v>
      </c>
      <c r="H670" s="35" t="s">
        <v>971</v>
      </c>
      <c r="I670" s="42">
        <v>45847</v>
      </c>
      <c r="J670" s="115" t="s">
        <v>12</v>
      </c>
      <c r="K670" s="77" t="s">
        <v>967</v>
      </c>
      <c r="Q670" t="s">
        <v>2005</v>
      </c>
    </row>
    <row r="671" spans="1:17" x14ac:dyDescent="0.25">
      <c r="A671" s="9" t="s">
        <v>1157</v>
      </c>
      <c r="B671" t="s">
        <v>1184</v>
      </c>
      <c r="C671" t="str">
        <f>VLOOKUP(B671,'[1]Planting GPS Points'!$B$3:$L$290,8,FALSE)</f>
        <v>CPS</v>
      </c>
      <c r="D671" t="str">
        <f>VLOOKUP(B671,'[1]Planting GPS Points'!$B$3:$AL$290,15,FALSE)</f>
        <v>SC 16-17</v>
      </c>
      <c r="E671" s="42">
        <v>42576</v>
      </c>
      <c r="F671" s="44">
        <v>160</v>
      </c>
      <c r="G671" s="47">
        <v>20260</v>
      </c>
      <c r="H671" s="35" t="s">
        <v>971</v>
      </c>
      <c r="I671" s="42">
        <v>45831</v>
      </c>
      <c r="J671" s="77" t="s">
        <v>12</v>
      </c>
      <c r="K671" s="77" t="s">
        <v>1052</v>
      </c>
      <c r="Q671" t="s">
        <v>2006</v>
      </c>
    </row>
    <row r="672" spans="1:17" x14ac:dyDescent="0.25">
      <c r="A672" s="9" t="s">
        <v>1157</v>
      </c>
      <c r="B672" t="s">
        <v>1184</v>
      </c>
      <c r="C672" t="str">
        <f>VLOOKUP(B672,'[1]Planting GPS Points'!$B$3:$L$290,8,FALSE)</f>
        <v>CPS</v>
      </c>
      <c r="D672" t="str">
        <f>VLOOKUP(B672,'[1]Planting GPS Points'!$B$3:$AL$290,15,FALSE)</f>
        <v>SC 16-17</v>
      </c>
      <c r="E672" s="42">
        <v>42576</v>
      </c>
      <c r="F672" s="44">
        <v>160</v>
      </c>
      <c r="G672" s="47">
        <v>20260</v>
      </c>
      <c r="H672" s="35" t="s">
        <v>971</v>
      </c>
      <c r="I672" s="42">
        <v>45846</v>
      </c>
      <c r="J672" s="77" t="s">
        <v>12</v>
      </c>
      <c r="K672" s="77" t="s">
        <v>1052</v>
      </c>
      <c r="Q672" t="s">
        <v>2007</v>
      </c>
    </row>
    <row r="673" spans="1:17" x14ac:dyDescent="0.25">
      <c r="A673" s="9" t="s">
        <v>1157</v>
      </c>
      <c r="B673" t="s">
        <v>1246</v>
      </c>
      <c r="C673" t="s">
        <v>971</v>
      </c>
      <c r="D673" t="s">
        <v>966</v>
      </c>
      <c r="E673" s="59">
        <v>42854</v>
      </c>
      <c r="H673" s="35" t="s">
        <v>971</v>
      </c>
      <c r="I673" s="42">
        <v>45846</v>
      </c>
      <c r="J673" s="77" t="s">
        <v>12</v>
      </c>
      <c r="K673" s="77" t="s">
        <v>967</v>
      </c>
      <c r="Q673" t="s">
        <v>2008</v>
      </c>
    </row>
    <row r="674" spans="1:17" x14ac:dyDescent="0.25">
      <c r="A674" s="9" t="s">
        <v>1157</v>
      </c>
      <c r="B674" t="s">
        <v>2009</v>
      </c>
      <c r="C674" t="s">
        <v>971</v>
      </c>
      <c r="D674" t="s">
        <v>966</v>
      </c>
      <c r="E674" s="59">
        <v>43295</v>
      </c>
      <c r="F674" s="44">
        <v>0.25</v>
      </c>
      <c r="G674" s="47">
        <v>63</v>
      </c>
      <c r="H674" s="35" t="s">
        <v>971</v>
      </c>
      <c r="I674" s="42">
        <v>45846</v>
      </c>
      <c r="J674" s="77" t="s">
        <v>12</v>
      </c>
      <c r="K674" s="77" t="s">
        <v>982</v>
      </c>
      <c r="Q674" t="s">
        <v>2010</v>
      </c>
    </row>
    <row r="675" spans="1:17" x14ac:dyDescent="0.25">
      <c r="A675" s="9" t="s">
        <v>1157</v>
      </c>
      <c r="B675" t="s">
        <v>2011</v>
      </c>
      <c r="C675" t="s">
        <v>971</v>
      </c>
      <c r="D675" t="s">
        <v>966</v>
      </c>
      <c r="E675" s="59">
        <v>44018</v>
      </c>
      <c r="F675" s="44">
        <v>1</v>
      </c>
      <c r="G675" s="47">
        <v>240</v>
      </c>
      <c r="H675" s="35" t="s">
        <v>971</v>
      </c>
      <c r="I675" s="42">
        <v>45846</v>
      </c>
      <c r="J675" s="77" t="s">
        <v>12</v>
      </c>
      <c r="K675" s="77" t="s">
        <v>982</v>
      </c>
      <c r="Q675" t="s">
        <v>2010</v>
      </c>
    </row>
    <row r="676" spans="1:17" x14ac:dyDescent="0.25">
      <c r="A676" s="9" t="s">
        <v>1157</v>
      </c>
      <c r="B676" t="s">
        <v>1175</v>
      </c>
      <c r="C676" t="s">
        <v>971</v>
      </c>
      <c r="D676" t="s">
        <v>1004</v>
      </c>
      <c r="E676" s="59">
        <v>42162</v>
      </c>
      <c r="F676" s="44">
        <v>151</v>
      </c>
      <c r="G676" s="47">
        <v>12000</v>
      </c>
      <c r="H676" s="35" t="s">
        <v>971</v>
      </c>
      <c r="I676" s="42">
        <v>45846</v>
      </c>
      <c r="J676" s="77" t="s">
        <v>12</v>
      </c>
      <c r="K676" s="77" t="s">
        <v>967</v>
      </c>
      <c r="Q676" t="s">
        <v>2012</v>
      </c>
    </row>
    <row r="677" spans="1:17" x14ac:dyDescent="0.25">
      <c r="A677" s="9" t="s">
        <v>1157</v>
      </c>
      <c r="B677" t="s">
        <v>1158</v>
      </c>
      <c r="C677" t="s">
        <v>959</v>
      </c>
      <c r="D677" t="s">
        <v>966</v>
      </c>
      <c r="E677" s="59">
        <v>41430</v>
      </c>
      <c r="F677" s="44">
        <v>36</v>
      </c>
      <c r="G677" s="47">
        <v>712</v>
      </c>
      <c r="H677" s="35" t="s">
        <v>971</v>
      </c>
      <c r="I677" s="42">
        <v>45846</v>
      </c>
      <c r="J677" s="77" t="s">
        <v>23</v>
      </c>
      <c r="K677" s="77" t="s">
        <v>967</v>
      </c>
      <c r="Q677" t="s">
        <v>2013</v>
      </c>
    </row>
    <row r="678" spans="1:17" x14ac:dyDescent="0.25">
      <c r="A678" s="9" t="s">
        <v>1157</v>
      </c>
      <c r="B678" t="s">
        <v>1188</v>
      </c>
      <c r="C678" t="s">
        <v>971</v>
      </c>
      <c r="D678" t="s">
        <v>966</v>
      </c>
      <c r="E678" s="59">
        <v>42514</v>
      </c>
      <c r="F678" s="44">
        <v>0.56000000000000005</v>
      </c>
      <c r="G678" s="47">
        <v>360</v>
      </c>
      <c r="H678" s="35" t="s">
        <v>971</v>
      </c>
      <c r="I678" s="42">
        <v>45847</v>
      </c>
      <c r="J678" s="77" t="s">
        <v>12</v>
      </c>
      <c r="K678" s="77" t="s">
        <v>982</v>
      </c>
      <c r="Q678" t="s">
        <v>2014</v>
      </c>
    </row>
    <row r="679" spans="1:17" x14ac:dyDescent="0.25">
      <c r="A679" s="9" t="s">
        <v>1157</v>
      </c>
      <c r="B679" t="s">
        <v>1207</v>
      </c>
      <c r="C679" t="s">
        <v>959</v>
      </c>
      <c r="D679" t="s">
        <v>1004</v>
      </c>
      <c r="E679" s="59">
        <v>42877</v>
      </c>
      <c r="F679" s="44">
        <v>80</v>
      </c>
      <c r="G679" s="47">
        <v>26149</v>
      </c>
      <c r="H679" s="35" t="s">
        <v>971</v>
      </c>
      <c r="I679" s="42">
        <v>45831</v>
      </c>
      <c r="J679" s="77" t="s">
        <v>23</v>
      </c>
      <c r="K679" s="77" t="s">
        <v>967</v>
      </c>
      <c r="Q679" t="s">
        <v>2013</v>
      </c>
    </row>
    <row r="680" spans="1:17" x14ac:dyDescent="0.25">
      <c r="A680" s="9" t="s">
        <v>1157</v>
      </c>
      <c r="B680" s="9" t="s">
        <v>1237</v>
      </c>
      <c r="C680" t="s">
        <v>971</v>
      </c>
      <c r="D680" t="s">
        <v>966</v>
      </c>
      <c r="E680" s="59">
        <v>42881</v>
      </c>
      <c r="F680" s="44">
        <v>1.25</v>
      </c>
      <c r="G680" s="47">
        <v>90</v>
      </c>
      <c r="H680" s="35" t="s">
        <v>971</v>
      </c>
      <c r="I680" s="42">
        <v>45831</v>
      </c>
      <c r="J680" s="77" t="s">
        <v>23</v>
      </c>
      <c r="K680" s="77"/>
      <c r="Q680" t="s">
        <v>2013</v>
      </c>
    </row>
    <row r="681" spans="1:17" x14ac:dyDescent="0.25">
      <c r="A681" s="9" t="s">
        <v>1157</v>
      </c>
      <c r="B681" t="s">
        <v>1166</v>
      </c>
      <c r="C681" t="s">
        <v>971</v>
      </c>
      <c r="D681" t="s">
        <v>1004</v>
      </c>
      <c r="E681" s="59">
        <v>42141</v>
      </c>
      <c r="H681" s="35" t="s">
        <v>971</v>
      </c>
      <c r="I681" s="42">
        <v>45847</v>
      </c>
      <c r="J681" s="77" t="s">
        <v>12</v>
      </c>
      <c r="K681" s="77" t="s">
        <v>967</v>
      </c>
      <c r="Q681" t="s">
        <v>2015</v>
      </c>
    </row>
    <row r="682" spans="1:17" x14ac:dyDescent="0.25">
      <c r="A682" s="9" t="s">
        <v>1157</v>
      </c>
      <c r="B682" t="s">
        <v>1166</v>
      </c>
      <c r="C682" t="s">
        <v>971</v>
      </c>
      <c r="D682" t="s">
        <v>1004</v>
      </c>
      <c r="E682" s="59">
        <v>42141</v>
      </c>
      <c r="H682" s="35" t="s">
        <v>971</v>
      </c>
      <c r="I682" s="42">
        <v>45847</v>
      </c>
      <c r="J682" s="77" t="s">
        <v>12</v>
      </c>
      <c r="K682" s="77" t="s">
        <v>967</v>
      </c>
      <c r="Q682" t="s">
        <v>2016</v>
      </c>
    </row>
    <row r="683" spans="1:17" x14ac:dyDescent="0.25">
      <c r="A683" s="9" t="s">
        <v>1157</v>
      </c>
      <c r="B683" t="s">
        <v>1166</v>
      </c>
      <c r="C683" t="s">
        <v>971</v>
      </c>
      <c r="D683" t="s">
        <v>1004</v>
      </c>
      <c r="E683" s="59">
        <v>42141</v>
      </c>
      <c r="H683" s="35" t="s">
        <v>971</v>
      </c>
      <c r="I683" s="42">
        <v>45847</v>
      </c>
      <c r="J683" s="77" t="s">
        <v>12</v>
      </c>
      <c r="K683" s="77" t="s">
        <v>967</v>
      </c>
      <c r="Q683" t="s">
        <v>2017</v>
      </c>
    </row>
    <row r="684" spans="1:17" x14ac:dyDescent="0.25">
      <c r="A684" s="9" t="s">
        <v>1157</v>
      </c>
      <c r="B684" t="s">
        <v>1282</v>
      </c>
      <c r="C684" t="s">
        <v>971</v>
      </c>
      <c r="D684" t="s">
        <v>966</v>
      </c>
      <c r="E684" s="59">
        <v>44729</v>
      </c>
      <c r="F684">
        <v>0.25</v>
      </c>
      <c r="G684">
        <v>48</v>
      </c>
      <c r="H684" s="35" t="s">
        <v>971</v>
      </c>
      <c r="I684" s="42">
        <v>45847</v>
      </c>
      <c r="J684" s="77" t="s">
        <v>12</v>
      </c>
      <c r="K684" s="77" t="s">
        <v>982</v>
      </c>
      <c r="Q684" t="s">
        <v>2018</v>
      </c>
    </row>
    <row r="685" spans="1:17" x14ac:dyDescent="0.25">
      <c r="A685" s="9" t="s">
        <v>1157</v>
      </c>
      <c r="B685" t="s">
        <v>2019</v>
      </c>
      <c r="C685" t="s">
        <v>959</v>
      </c>
      <c r="D685" t="s">
        <v>1004</v>
      </c>
      <c r="E685" s="59">
        <v>42859</v>
      </c>
      <c r="F685">
        <v>80</v>
      </c>
      <c r="G685">
        <v>16570</v>
      </c>
      <c r="H685" s="35" t="s">
        <v>971</v>
      </c>
      <c r="I685" s="42">
        <v>45848</v>
      </c>
      <c r="J685" s="77" t="s">
        <v>12</v>
      </c>
      <c r="K685" s="77" t="s">
        <v>967</v>
      </c>
      <c r="Q685" t="s">
        <v>2020</v>
      </c>
    </row>
    <row r="686" spans="1:17" x14ac:dyDescent="0.25">
      <c r="A686" s="9" t="s">
        <v>942</v>
      </c>
      <c r="B686" t="s">
        <v>1082</v>
      </c>
      <c r="C686" t="s">
        <v>938</v>
      </c>
      <c r="D686" t="s">
        <v>966</v>
      </c>
      <c r="E686" s="59">
        <v>44342</v>
      </c>
      <c r="H686" s="35" t="s">
        <v>971</v>
      </c>
      <c r="I686" s="42">
        <v>45849</v>
      </c>
      <c r="J686" s="77" t="s">
        <v>12</v>
      </c>
      <c r="K686" s="77" t="s">
        <v>982</v>
      </c>
      <c r="Q686" t="s">
        <v>2021</v>
      </c>
    </row>
  </sheetData>
  <autoFilter ref="A1:R660" xr:uid="{00000000-0001-0000-0300-000000000000}"/>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ACBB1-45C1-4BCC-96C8-EFA3D272C80C}">
  <dimension ref="A1:J34"/>
  <sheetViews>
    <sheetView tabSelected="1" zoomScale="90" zoomScaleNormal="90" workbookViewId="0">
      <selection activeCell="J26" sqref="J26"/>
    </sheetView>
  </sheetViews>
  <sheetFormatPr defaultColWidth="13.7109375" defaultRowHeight="15" x14ac:dyDescent="0.25"/>
  <cols>
    <col min="1" max="1" width="22.7109375" bestFit="1" customWidth="1"/>
    <col min="2" max="2" width="19.85546875" bestFit="1" customWidth="1"/>
    <col min="3" max="3" width="18.85546875" bestFit="1" customWidth="1"/>
    <col min="4" max="4" width="12.140625" bestFit="1" customWidth="1"/>
    <col min="5" max="5" width="14.140625" bestFit="1" customWidth="1"/>
    <col min="6" max="6" width="15.42578125" bestFit="1" customWidth="1"/>
    <col min="7" max="7" width="8.28515625" bestFit="1" customWidth="1"/>
    <col min="8" max="8" width="10" bestFit="1" customWidth="1"/>
    <col min="9" max="9" width="7.42578125" bestFit="1" customWidth="1"/>
    <col min="10" max="10" width="200.140625" bestFit="1" customWidth="1"/>
  </cols>
  <sheetData>
    <row r="1" spans="1:10" x14ac:dyDescent="0.25">
      <c r="A1" t="s">
        <v>2115</v>
      </c>
      <c r="B1" s="5" t="s">
        <v>2022</v>
      </c>
      <c r="C1" s="5" t="s">
        <v>2023</v>
      </c>
      <c r="D1" s="5" t="s">
        <v>2024</v>
      </c>
      <c r="E1" s="5" t="s">
        <v>2025</v>
      </c>
      <c r="F1" s="186" t="s">
        <v>2088</v>
      </c>
      <c r="G1" s="186" t="s">
        <v>2076</v>
      </c>
      <c r="H1" s="186" t="s">
        <v>2075</v>
      </c>
      <c r="I1" s="186" t="s">
        <v>2026</v>
      </c>
      <c r="J1" s="22" t="s">
        <v>2027</v>
      </c>
    </row>
    <row r="2" spans="1:10" x14ac:dyDescent="0.25">
      <c r="A2" t="s">
        <v>975</v>
      </c>
      <c r="B2" t="s">
        <v>2028</v>
      </c>
      <c r="C2" s="9" t="s">
        <v>2029</v>
      </c>
      <c r="D2" s="9" t="s">
        <v>957</v>
      </c>
      <c r="E2" s="9" t="s">
        <v>2030</v>
      </c>
      <c r="F2" t="s">
        <v>7</v>
      </c>
      <c r="G2" s="187">
        <v>47.163469999999997</v>
      </c>
      <c r="H2" s="187">
        <v>-122.63570199999999</v>
      </c>
      <c r="I2" s="48" t="s">
        <v>9</v>
      </c>
    </row>
    <row r="3" spans="1:10" x14ac:dyDescent="0.25">
      <c r="A3" t="s">
        <v>61</v>
      </c>
      <c r="B3" t="s">
        <v>968</v>
      </c>
      <c r="C3" t="s">
        <v>977</v>
      </c>
      <c r="D3" t="s">
        <v>957</v>
      </c>
      <c r="E3" t="s">
        <v>2031</v>
      </c>
      <c r="F3" t="s">
        <v>7</v>
      </c>
      <c r="G3" s="187">
        <v>47.126616666666663</v>
      </c>
      <c r="H3" s="187">
        <v>-122.70803333333333</v>
      </c>
      <c r="I3" s="48" t="s">
        <v>9</v>
      </c>
      <c r="J3" t="s">
        <v>2032</v>
      </c>
    </row>
    <row r="4" spans="1:10" x14ac:dyDescent="0.25">
      <c r="A4" t="s">
        <v>20</v>
      </c>
      <c r="B4" t="s">
        <v>1349</v>
      </c>
      <c r="C4" t="s">
        <v>1338</v>
      </c>
      <c r="D4" t="s">
        <v>1341</v>
      </c>
      <c r="E4" t="s">
        <v>2033</v>
      </c>
      <c r="F4" t="s">
        <v>7</v>
      </c>
      <c r="G4" s="187">
        <v>47.862383333333298</v>
      </c>
      <c r="H4" s="187">
        <v>-122.57603333333333</v>
      </c>
      <c r="I4" s="48" t="s">
        <v>9</v>
      </c>
      <c r="J4" t="s">
        <v>2034</v>
      </c>
    </row>
    <row r="5" spans="1:10" x14ac:dyDescent="0.25">
      <c r="A5" t="s">
        <v>995</v>
      </c>
      <c r="B5" t="s">
        <v>1093</v>
      </c>
      <c r="C5" t="s">
        <v>301</v>
      </c>
      <c r="D5" t="s">
        <v>957</v>
      </c>
      <c r="E5" t="s">
        <v>2035</v>
      </c>
      <c r="F5" t="s">
        <v>7</v>
      </c>
      <c r="G5" s="187">
        <v>47.3444</v>
      </c>
      <c r="H5" s="187">
        <v>-122.793888</v>
      </c>
      <c r="I5" s="48" t="s">
        <v>9</v>
      </c>
      <c r="J5" s="188" t="s">
        <v>2036</v>
      </c>
    </row>
    <row r="6" spans="1:10" x14ac:dyDescent="0.25">
      <c r="A6" t="s">
        <v>1053</v>
      </c>
      <c r="B6" t="s">
        <v>2037</v>
      </c>
      <c r="C6" t="s">
        <v>604</v>
      </c>
      <c r="D6" t="s">
        <v>957</v>
      </c>
      <c r="E6" t="s">
        <v>2038</v>
      </c>
      <c r="F6" t="s">
        <v>7</v>
      </c>
      <c r="G6" s="187">
        <v>47.325321936111109</v>
      </c>
      <c r="H6" s="189">
        <v>-122.68193927222222</v>
      </c>
      <c r="I6" s="48" t="s">
        <v>9</v>
      </c>
      <c r="J6" s="188"/>
    </row>
    <row r="7" spans="1:10" x14ac:dyDescent="0.25">
      <c r="A7" t="s">
        <v>1053</v>
      </c>
      <c r="B7" t="s">
        <v>2037</v>
      </c>
      <c r="C7" t="s">
        <v>604</v>
      </c>
      <c r="D7" t="s">
        <v>957</v>
      </c>
      <c r="E7" t="s">
        <v>2038</v>
      </c>
      <c r="F7" t="s">
        <v>7</v>
      </c>
      <c r="G7" s="187">
        <v>47.325165008333336</v>
      </c>
      <c r="H7" s="189">
        <v>-122.68223233055555</v>
      </c>
      <c r="I7" s="48" t="s">
        <v>9</v>
      </c>
      <c r="J7" s="188"/>
    </row>
    <row r="8" spans="1:10" x14ac:dyDescent="0.25">
      <c r="A8" t="s">
        <v>1053</v>
      </c>
      <c r="B8" t="s">
        <v>2037</v>
      </c>
      <c r="C8" t="s">
        <v>604</v>
      </c>
      <c r="D8" t="s">
        <v>957</v>
      </c>
      <c r="E8" t="s">
        <v>2038</v>
      </c>
      <c r="F8" t="s">
        <v>7</v>
      </c>
      <c r="G8" s="187">
        <v>47.325325808333297</v>
      </c>
      <c r="H8" s="189">
        <v>-122.68170151111111</v>
      </c>
      <c r="I8" s="48" t="s">
        <v>9</v>
      </c>
      <c r="J8" s="188"/>
    </row>
    <row r="9" spans="1:10" x14ac:dyDescent="0.25">
      <c r="A9" t="s">
        <v>1053</v>
      </c>
      <c r="B9" t="s">
        <v>2037</v>
      </c>
      <c r="C9" t="s">
        <v>604</v>
      </c>
      <c r="D9" t="s">
        <v>957</v>
      </c>
      <c r="E9" t="s">
        <v>2038</v>
      </c>
      <c r="F9" t="s">
        <v>7</v>
      </c>
      <c r="G9" s="187">
        <v>47.325478602777778</v>
      </c>
      <c r="H9" s="189">
        <v>-122.68170151111111</v>
      </c>
      <c r="I9" s="48" t="s">
        <v>9</v>
      </c>
      <c r="J9" s="188"/>
    </row>
    <row r="10" spans="1:10" x14ac:dyDescent="0.25">
      <c r="A10" t="s">
        <v>995</v>
      </c>
      <c r="B10" t="s">
        <v>1129</v>
      </c>
      <c r="C10" t="s">
        <v>301</v>
      </c>
      <c r="D10" t="s">
        <v>957</v>
      </c>
      <c r="E10" t="s">
        <v>2039</v>
      </c>
      <c r="F10" t="s">
        <v>7</v>
      </c>
      <c r="G10" s="187">
        <v>47.357388</v>
      </c>
      <c r="H10" s="189">
        <v>-122.80218600000001</v>
      </c>
      <c r="I10" s="48" t="s">
        <v>9</v>
      </c>
      <c r="J10" s="188"/>
    </row>
    <row r="11" spans="1:10" x14ac:dyDescent="0.25">
      <c r="A11" t="s">
        <v>995</v>
      </c>
      <c r="B11" t="s">
        <v>1129</v>
      </c>
      <c r="C11" t="s">
        <v>301</v>
      </c>
      <c r="D11" t="s">
        <v>957</v>
      </c>
      <c r="E11" t="s">
        <v>2039</v>
      </c>
      <c r="F11" t="s">
        <v>7</v>
      </c>
      <c r="G11" s="187">
        <v>47.357408999999997</v>
      </c>
      <c r="H11" s="189">
        <v>-122.80251800000001</v>
      </c>
      <c r="I11" s="48" t="s">
        <v>9</v>
      </c>
      <c r="J11" s="188"/>
    </row>
    <row r="12" spans="1:10" x14ac:dyDescent="0.25">
      <c r="A12" t="s">
        <v>995</v>
      </c>
      <c r="B12" t="s">
        <v>1129</v>
      </c>
      <c r="C12" t="s">
        <v>301</v>
      </c>
      <c r="D12" t="s">
        <v>957</v>
      </c>
      <c r="E12" t="s">
        <v>2039</v>
      </c>
      <c r="F12" t="s">
        <v>7</v>
      </c>
      <c r="G12" s="187">
        <v>47.357408</v>
      </c>
      <c r="H12" s="189">
        <v>-122.802893</v>
      </c>
      <c r="I12" s="48" t="s">
        <v>9</v>
      </c>
      <c r="J12" s="188"/>
    </row>
    <row r="13" spans="1:10" x14ac:dyDescent="0.25">
      <c r="A13" t="s">
        <v>995</v>
      </c>
      <c r="B13" t="s">
        <v>1129</v>
      </c>
      <c r="C13" t="s">
        <v>301</v>
      </c>
      <c r="D13" t="s">
        <v>957</v>
      </c>
      <c r="E13" t="s">
        <v>2039</v>
      </c>
      <c r="F13" t="s">
        <v>7</v>
      </c>
      <c r="G13" s="187">
        <v>47.357408</v>
      </c>
      <c r="H13" s="189">
        <v>-122.80256</v>
      </c>
      <c r="I13" s="48" t="s">
        <v>9</v>
      </c>
      <c r="J13" s="188"/>
    </row>
    <row r="14" spans="1:10" x14ac:dyDescent="0.25">
      <c r="A14" t="s">
        <v>2040</v>
      </c>
      <c r="B14" t="s">
        <v>1397</v>
      </c>
      <c r="C14" s="9" t="s">
        <v>1397</v>
      </c>
      <c r="D14" s="9" t="s">
        <v>1341</v>
      </c>
      <c r="E14" s="9" t="s">
        <v>2041</v>
      </c>
      <c r="F14" t="s">
        <v>7</v>
      </c>
      <c r="G14" s="190">
        <v>47.801983333000003</v>
      </c>
      <c r="H14" s="190">
        <v>-122.86565</v>
      </c>
      <c r="I14" t="s">
        <v>9</v>
      </c>
      <c r="J14" s="77"/>
    </row>
    <row r="15" spans="1:10" x14ac:dyDescent="0.25">
      <c r="A15" t="s">
        <v>2042</v>
      </c>
      <c r="B15" t="s">
        <v>1033</v>
      </c>
      <c r="C15" s="9" t="s">
        <v>2043</v>
      </c>
      <c r="D15" s="9" t="s">
        <v>1028</v>
      </c>
      <c r="E15" s="9" t="s">
        <v>2044</v>
      </c>
      <c r="F15" t="s">
        <v>7</v>
      </c>
      <c r="G15" s="187">
        <v>48.603438333333301</v>
      </c>
      <c r="H15" s="187">
        <v>-123.17378333333333</v>
      </c>
      <c r="I15" s="48" t="s">
        <v>9</v>
      </c>
      <c r="J15" s="77"/>
    </row>
    <row r="16" spans="1:10" x14ac:dyDescent="0.25">
      <c r="A16" t="s">
        <v>2042</v>
      </c>
      <c r="B16" t="s">
        <v>1437</v>
      </c>
      <c r="C16" s="9" t="s">
        <v>2045</v>
      </c>
      <c r="D16" s="9" t="s">
        <v>1028</v>
      </c>
      <c r="E16" s="9" t="s">
        <v>2046</v>
      </c>
      <c r="F16" t="s">
        <v>7</v>
      </c>
      <c r="G16" s="187">
        <v>48.594180555555553</v>
      </c>
      <c r="H16" s="187">
        <v>-123.15826166666666</v>
      </c>
      <c r="I16" s="48" t="s">
        <v>9</v>
      </c>
      <c r="J16" s="77"/>
    </row>
    <row r="17" spans="1:10" x14ac:dyDescent="0.25">
      <c r="A17" t="s">
        <v>2042</v>
      </c>
      <c r="B17" t="s">
        <v>915</v>
      </c>
      <c r="C17" s="9" t="s">
        <v>2047</v>
      </c>
      <c r="D17" s="9" t="s">
        <v>1028</v>
      </c>
      <c r="E17" s="9" t="s">
        <v>2048</v>
      </c>
      <c r="F17" t="s">
        <v>7</v>
      </c>
      <c r="G17" s="187">
        <v>48.680500000000002</v>
      </c>
      <c r="H17" s="187">
        <v>-123.1827</v>
      </c>
      <c r="I17" s="48" t="s">
        <v>9</v>
      </c>
      <c r="J17" s="8" t="s">
        <v>2049</v>
      </c>
    </row>
    <row r="18" spans="1:10" x14ac:dyDescent="0.25">
      <c r="A18" t="s">
        <v>2042</v>
      </c>
      <c r="B18" t="s">
        <v>1439</v>
      </c>
      <c r="C18" s="9" t="s">
        <v>1439</v>
      </c>
      <c r="D18" s="9" t="s">
        <v>1028</v>
      </c>
      <c r="E18" s="9" t="s">
        <v>2050</v>
      </c>
      <c r="F18" t="s">
        <v>7</v>
      </c>
      <c r="G18" s="187">
        <v>48.574199999999998</v>
      </c>
      <c r="H18" s="187">
        <v>-123.1696</v>
      </c>
      <c r="I18" s="48" t="s">
        <v>9</v>
      </c>
      <c r="J18" s="77"/>
    </row>
    <row r="19" spans="1:10" x14ac:dyDescent="0.25">
      <c r="A19" t="s">
        <v>2051</v>
      </c>
      <c r="B19" t="s">
        <v>983</v>
      </c>
      <c r="C19" s="9" t="s">
        <v>977</v>
      </c>
      <c r="D19" s="9" t="s">
        <v>957</v>
      </c>
      <c r="E19" s="9" t="s">
        <v>2052</v>
      </c>
      <c r="F19" t="s">
        <v>7</v>
      </c>
      <c r="G19" s="191">
        <v>47.144016666666666</v>
      </c>
      <c r="H19" s="191">
        <v>-122.67596666666667</v>
      </c>
      <c r="I19" s="48" t="s">
        <v>9</v>
      </c>
      <c r="J19" s="77"/>
    </row>
    <row r="20" spans="1:10" x14ac:dyDescent="0.25">
      <c r="A20" t="s">
        <v>2051</v>
      </c>
      <c r="B20" t="s">
        <v>995</v>
      </c>
      <c r="C20" s="9" t="s">
        <v>301</v>
      </c>
      <c r="D20" s="9" t="s">
        <v>957</v>
      </c>
      <c r="E20" s="9" t="s">
        <v>2039</v>
      </c>
      <c r="F20" t="s">
        <v>7</v>
      </c>
      <c r="G20" s="187">
        <v>47.357399999999998</v>
      </c>
      <c r="H20" s="187">
        <v>-122.80119999999999</v>
      </c>
      <c r="I20" s="48" t="s">
        <v>9</v>
      </c>
      <c r="J20" t="s">
        <v>2053</v>
      </c>
    </row>
    <row r="21" spans="1:10" x14ac:dyDescent="0.25">
      <c r="A21" t="s">
        <v>942</v>
      </c>
      <c r="B21" t="s">
        <v>942</v>
      </c>
      <c r="C21" s="9" t="s">
        <v>942</v>
      </c>
      <c r="D21" s="9" t="s">
        <v>957</v>
      </c>
      <c r="E21" s="9" t="s">
        <v>2054</v>
      </c>
      <c r="F21" t="s">
        <v>7</v>
      </c>
      <c r="G21" s="187">
        <v>47.329500000000003</v>
      </c>
      <c r="H21" s="187">
        <v>-122.3907</v>
      </c>
      <c r="I21" t="s">
        <v>9</v>
      </c>
    </row>
    <row r="22" spans="1:10" x14ac:dyDescent="0.25">
      <c r="A22" t="s">
        <v>2055</v>
      </c>
      <c r="B22" t="s">
        <v>1430</v>
      </c>
      <c r="C22" s="9" t="s">
        <v>1430</v>
      </c>
      <c r="D22" s="9" t="s">
        <v>1028</v>
      </c>
      <c r="E22" s="9" t="s">
        <v>2056</v>
      </c>
      <c r="F22" t="s">
        <v>7</v>
      </c>
      <c r="G22" s="187">
        <v>48.0792</v>
      </c>
      <c r="H22" s="187">
        <v>-123.0455</v>
      </c>
      <c r="I22" t="s">
        <v>9</v>
      </c>
      <c r="J22" t="s">
        <v>2057</v>
      </c>
    </row>
    <row r="23" spans="1:10" s="192" customFormat="1" x14ac:dyDescent="0.25">
      <c r="A23" s="192" t="s">
        <v>2058</v>
      </c>
      <c r="B23" s="193" t="s">
        <v>1290</v>
      </c>
      <c r="C23" s="193" t="s">
        <v>2059</v>
      </c>
      <c r="D23" s="193" t="s">
        <v>957</v>
      </c>
      <c r="E23" s="193" t="s">
        <v>2060</v>
      </c>
      <c r="F23" t="s">
        <v>7</v>
      </c>
      <c r="G23" s="194">
        <v>47.696399999999997</v>
      </c>
      <c r="H23" s="194">
        <v>-122.5817</v>
      </c>
      <c r="I23" s="9" t="s">
        <v>9</v>
      </c>
    </row>
    <row r="24" spans="1:10" x14ac:dyDescent="0.25">
      <c r="A24" t="s">
        <v>2029</v>
      </c>
      <c r="B24" t="s">
        <v>1038</v>
      </c>
      <c r="C24" t="s">
        <v>1318</v>
      </c>
      <c r="D24" s="9" t="s">
        <v>957</v>
      </c>
      <c r="E24" s="9" t="s">
        <v>2061</v>
      </c>
      <c r="F24" t="s">
        <v>7</v>
      </c>
      <c r="G24" s="187">
        <v>47.6145</v>
      </c>
      <c r="H24" s="187">
        <v>-122.4974</v>
      </c>
      <c r="I24" s="48" t="s">
        <v>9</v>
      </c>
      <c r="J24" t="s">
        <v>2062</v>
      </c>
    </row>
    <row r="25" spans="1:10" x14ac:dyDescent="0.25">
      <c r="A25" t="s">
        <v>2063</v>
      </c>
      <c r="B25" t="s">
        <v>1416</v>
      </c>
      <c r="C25" t="s">
        <v>1416</v>
      </c>
      <c r="D25" s="9" t="s">
        <v>1415</v>
      </c>
      <c r="E25" s="9" t="s">
        <v>2064</v>
      </c>
      <c r="F25" t="s">
        <v>7</v>
      </c>
      <c r="G25" s="187">
        <v>48.328600000000002</v>
      </c>
      <c r="H25" s="187">
        <v>-122.508</v>
      </c>
      <c r="I25" s="48" t="s">
        <v>9</v>
      </c>
    </row>
    <row r="26" spans="1:10" x14ac:dyDescent="0.25">
      <c r="A26" t="s">
        <v>2051</v>
      </c>
      <c r="B26" t="s">
        <v>1021</v>
      </c>
      <c r="C26" s="193" t="s">
        <v>977</v>
      </c>
      <c r="D26" s="9" t="s">
        <v>957</v>
      </c>
      <c r="E26" s="9" t="s">
        <v>2065</v>
      </c>
      <c r="F26" t="s">
        <v>7</v>
      </c>
      <c r="G26" s="187">
        <v>47.117296000000003</v>
      </c>
      <c r="H26" s="187">
        <v>-122.667756</v>
      </c>
      <c r="I26" t="s">
        <v>9</v>
      </c>
    </row>
    <row r="27" spans="1:10" x14ac:dyDescent="0.25">
      <c r="A27" t="s">
        <v>2066</v>
      </c>
      <c r="B27" t="s">
        <v>462</v>
      </c>
      <c r="C27" s="193" t="s">
        <v>1100</v>
      </c>
      <c r="D27" s="9" t="s">
        <v>1028</v>
      </c>
      <c r="E27" s="9" t="s">
        <v>2067</v>
      </c>
      <c r="F27" t="s">
        <v>7</v>
      </c>
      <c r="G27" s="195">
        <v>48.146299999999997</v>
      </c>
      <c r="H27" s="195">
        <v>-123.63683333333333</v>
      </c>
      <c r="I27" s="48" t="s">
        <v>9</v>
      </c>
    </row>
    <row r="28" spans="1:10" x14ac:dyDescent="0.25">
      <c r="A28" t="s">
        <v>2051</v>
      </c>
      <c r="B28" t="s">
        <v>1074</v>
      </c>
      <c r="C28" s="193" t="s">
        <v>604</v>
      </c>
      <c r="D28" s="9" t="s">
        <v>957</v>
      </c>
      <c r="E28" s="9" t="s">
        <v>2068</v>
      </c>
      <c r="F28" s="9" t="s">
        <v>7</v>
      </c>
      <c r="G28" s="187">
        <v>47.28004</v>
      </c>
      <c r="H28" s="187">
        <v>-122.68123</v>
      </c>
      <c r="I28" s="48" t="s">
        <v>9</v>
      </c>
    </row>
    <row r="34" spans="8:9" x14ac:dyDescent="0.25">
      <c r="H34" s="187"/>
      <c r="I34" s="189"/>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Assessments</vt:lpstr>
      <vt:lpstr>Planting GPS Points</vt:lpstr>
      <vt:lpstr>Plantings</vt:lpstr>
      <vt:lpstr>Monitoring</vt:lpstr>
      <vt:lpstr>Donor Sites</vt:lpstr>
      <vt:lpstr>PLANTING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 Dowty</dc:creator>
  <cp:lastModifiedBy>Pete Dowty</cp:lastModifiedBy>
  <dcterms:created xsi:type="dcterms:W3CDTF">2026-03-12T18:16:57Z</dcterms:created>
  <dcterms:modified xsi:type="dcterms:W3CDTF">2026-03-14T00:41:36Z</dcterms:modified>
</cp:coreProperties>
</file>