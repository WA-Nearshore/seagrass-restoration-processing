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K:\projects\Eelgrass_Restoration\Restoration_Storymap\2025_09_data_prep\source_data\"/>
    </mc:Choice>
  </mc:AlternateContent>
  <xr:revisionPtr revIDLastSave="0" documentId="13_ncr:1_{A934E38C-8A57-41A6-AED9-9626AA40E24B}" xr6:coauthVersionLast="47" xr6:coauthVersionMax="47" xr10:uidLastSave="{00000000-0000-0000-0000-000000000000}"/>
  <bookViews>
    <workbookView xWindow="690" yWindow="345" windowWidth="26565" windowHeight="15315" activeTab="1" xr2:uid="{86A72153-018D-41E1-87F6-D54A89D6CA23}"/>
  </bookViews>
  <sheets>
    <sheet name="Planting_GPS_Points" sheetId="3" r:id="rId1"/>
    <sheet name="Plantings" sheetId="4" r:id="rId2"/>
  </sheets>
  <externalReferences>
    <externalReference r:id="rId3"/>
  </externalReferences>
  <definedNames>
    <definedName name="PLANTING" localSheetId="1">'[1]Planting GPS Points'!$B$5:$AL$282</definedName>
    <definedName name="PLANTING">Planting_GPS_Points!$B$4:$AL$281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89" i="3" l="1"/>
  <c r="AE289" i="3"/>
  <c r="AJ289" i="3" s="1"/>
  <c r="AD289" i="3"/>
  <c r="AI289" i="3" s="1"/>
  <c r="X289" i="3"/>
  <c r="W289" i="3"/>
  <c r="D289" i="3"/>
  <c r="C289" i="3"/>
  <c r="AF288" i="3"/>
  <c r="AE288" i="3"/>
  <c r="AJ288" i="3" s="1"/>
  <c r="AD288" i="3"/>
  <c r="AI288" i="3" s="1"/>
  <c r="X288" i="3"/>
  <c r="W288" i="3"/>
  <c r="D288" i="3"/>
  <c r="C288" i="3"/>
  <c r="AJ287" i="3"/>
  <c r="AG287" i="3"/>
  <c r="AF287" i="3"/>
  <c r="AD287" i="3"/>
  <c r="AI287" i="3" s="1"/>
  <c r="X287" i="3"/>
  <c r="W287" i="3"/>
  <c r="D287" i="3"/>
  <c r="C287" i="3"/>
  <c r="AJ286" i="3"/>
  <c r="AI286" i="3"/>
  <c r="X286" i="3"/>
  <c r="W286" i="3"/>
  <c r="D286" i="3"/>
  <c r="C286" i="3"/>
  <c r="AJ285" i="3"/>
  <c r="AI285" i="3"/>
  <c r="X285" i="3"/>
  <c r="W285" i="3"/>
  <c r="D285" i="3"/>
  <c r="C285" i="3"/>
  <c r="AJ284" i="3"/>
  <c r="AI284" i="3"/>
  <c r="X284" i="3"/>
  <c r="W284" i="3"/>
  <c r="D284" i="3"/>
  <c r="C284" i="3"/>
  <c r="AJ283" i="3"/>
  <c r="AG283" i="3"/>
  <c r="AF283" i="3"/>
  <c r="AD283" i="3"/>
  <c r="AI283" i="3" s="1"/>
  <c r="X283" i="3"/>
  <c r="W283" i="3"/>
  <c r="D283" i="3"/>
  <c r="C283" i="3"/>
  <c r="AJ282" i="3"/>
  <c r="AG282" i="3"/>
  <c r="AF282" i="3"/>
  <c r="AD282" i="3"/>
  <c r="AI282" i="3" s="1"/>
  <c r="X282" i="3"/>
  <c r="W282" i="3"/>
  <c r="D282" i="3"/>
  <c r="C282" i="3"/>
  <c r="AE281" i="3"/>
  <c r="AJ281" i="3" s="1"/>
  <c r="AD281" i="3"/>
  <c r="AI281" i="3" s="1"/>
  <c r="X281" i="3"/>
  <c r="W281" i="3"/>
  <c r="D281" i="3"/>
  <c r="C281" i="3"/>
  <c r="AE280" i="3"/>
  <c r="AJ280" i="3" s="1"/>
  <c r="AD280" i="3"/>
  <c r="AI280" i="3" s="1"/>
  <c r="X280" i="3"/>
  <c r="W280" i="3"/>
  <c r="D280" i="3"/>
  <c r="C280" i="3"/>
  <c r="AE279" i="3"/>
  <c r="AJ279" i="3" s="1"/>
  <c r="AD279" i="3"/>
  <c r="AI279" i="3" s="1"/>
  <c r="X279" i="3"/>
  <c r="W279" i="3"/>
  <c r="D279" i="3"/>
  <c r="C279" i="3"/>
  <c r="AE278" i="3"/>
  <c r="AJ278" i="3" s="1"/>
  <c r="AD278" i="3"/>
  <c r="AI278" i="3" s="1"/>
  <c r="X278" i="3"/>
  <c r="W278" i="3"/>
  <c r="D278" i="3"/>
  <c r="C278" i="3"/>
  <c r="AE277" i="3"/>
  <c r="AJ277" i="3" s="1"/>
  <c r="AD277" i="3"/>
  <c r="AI277" i="3" s="1"/>
  <c r="X277" i="3"/>
  <c r="W277" i="3"/>
  <c r="D277" i="3"/>
  <c r="C277" i="3"/>
  <c r="AG276" i="3"/>
  <c r="AF276" i="3"/>
  <c r="AE276" i="3"/>
  <c r="AJ276" i="3" s="1"/>
  <c r="AD276" i="3"/>
  <c r="AI276" i="3" s="1"/>
  <c r="X276" i="3"/>
  <c r="W276" i="3"/>
  <c r="D276" i="3"/>
  <c r="C276" i="3"/>
  <c r="AG275" i="3"/>
  <c r="AF275" i="3"/>
  <c r="AE275" i="3"/>
  <c r="AJ275" i="3" s="1"/>
  <c r="AD275" i="3"/>
  <c r="AI275" i="3" s="1"/>
  <c r="X275" i="3"/>
  <c r="W275" i="3"/>
  <c r="D275" i="3"/>
  <c r="C275" i="3"/>
  <c r="AG274" i="3"/>
  <c r="AF274" i="3"/>
  <c r="AE274" i="3"/>
  <c r="AJ274" i="3" s="1"/>
  <c r="AD274" i="3"/>
  <c r="AI274" i="3" s="1"/>
  <c r="X274" i="3"/>
  <c r="W274" i="3"/>
  <c r="D274" i="3"/>
  <c r="C274" i="3"/>
  <c r="AG273" i="3"/>
  <c r="AF273" i="3"/>
  <c r="AE273" i="3"/>
  <c r="AJ273" i="3" s="1"/>
  <c r="AD273" i="3"/>
  <c r="AI273" i="3" s="1"/>
  <c r="X273" i="3"/>
  <c r="W273" i="3"/>
  <c r="D273" i="3"/>
  <c r="C273" i="3"/>
  <c r="AJ272" i="3"/>
  <c r="AG272" i="3"/>
  <c r="AF272" i="3"/>
  <c r="AD272" i="3"/>
  <c r="AI272" i="3" s="1"/>
  <c r="X272" i="3"/>
  <c r="W272" i="3"/>
  <c r="D272" i="3"/>
  <c r="C272" i="3"/>
  <c r="AJ271" i="3"/>
  <c r="AG271" i="3"/>
  <c r="AF271" i="3"/>
  <c r="AD271" i="3"/>
  <c r="AI271" i="3" s="1"/>
  <c r="X271" i="3"/>
  <c r="W271" i="3"/>
  <c r="D271" i="3"/>
  <c r="C271" i="3"/>
  <c r="AJ270" i="3"/>
  <c r="AI270" i="3"/>
  <c r="AF270" i="3"/>
  <c r="X270" i="3"/>
  <c r="W270" i="3"/>
  <c r="D270" i="3"/>
  <c r="C270" i="3"/>
  <c r="AJ269" i="3"/>
  <c r="AF269" i="3"/>
  <c r="AD269" i="3"/>
  <c r="AI269" i="3" s="1"/>
  <c r="X269" i="3"/>
  <c r="W269" i="3"/>
  <c r="D269" i="3"/>
  <c r="C269" i="3"/>
  <c r="AJ268" i="3"/>
  <c r="AG268" i="3"/>
  <c r="AF268" i="3" s="1"/>
  <c r="AD268" i="3"/>
  <c r="AI268" i="3" s="1"/>
  <c r="X268" i="3"/>
  <c r="W268" i="3"/>
  <c r="D268" i="3"/>
  <c r="C268" i="3"/>
  <c r="AF267" i="3"/>
  <c r="AE267" i="3"/>
  <c r="AJ267" i="3" s="1"/>
  <c r="AD267" i="3"/>
  <c r="AI267" i="3" s="1"/>
  <c r="X267" i="3"/>
  <c r="W267" i="3"/>
  <c r="D267" i="3"/>
  <c r="C267" i="3"/>
  <c r="AF266" i="3"/>
  <c r="AE266" i="3"/>
  <c r="AJ266" i="3" s="1"/>
  <c r="AD266" i="3"/>
  <c r="AI266" i="3" s="1"/>
  <c r="X266" i="3"/>
  <c r="W266" i="3"/>
  <c r="D266" i="3"/>
  <c r="C266" i="3"/>
  <c r="AF265" i="3"/>
  <c r="AE265" i="3"/>
  <c r="AJ265" i="3" s="1"/>
  <c r="AD265" i="3"/>
  <c r="AI265" i="3" s="1"/>
  <c r="X265" i="3"/>
  <c r="W265" i="3"/>
  <c r="D265" i="3"/>
  <c r="C265" i="3"/>
  <c r="AF264" i="3"/>
  <c r="AE264" i="3"/>
  <c r="AJ264" i="3" s="1"/>
  <c r="AD264" i="3"/>
  <c r="AI264" i="3" s="1"/>
  <c r="X264" i="3"/>
  <c r="W264" i="3"/>
  <c r="D264" i="3"/>
  <c r="C264" i="3"/>
  <c r="AF263" i="3"/>
  <c r="AE263" i="3"/>
  <c r="AJ263" i="3" s="1"/>
  <c r="AD263" i="3"/>
  <c r="AI263" i="3" s="1"/>
  <c r="X263" i="3"/>
  <c r="W263" i="3"/>
  <c r="D263" i="3"/>
  <c r="C263" i="3"/>
  <c r="AJ262" i="3"/>
  <c r="AF262" i="3"/>
  <c r="AD262" i="3"/>
  <c r="AI262" i="3" s="1"/>
  <c r="X262" i="3"/>
  <c r="W262" i="3"/>
  <c r="D262" i="3"/>
  <c r="C262" i="3"/>
  <c r="AJ261" i="3"/>
  <c r="AF261" i="3"/>
  <c r="AD261" i="3"/>
  <c r="AI261" i="3" s="1"/>
  <c r="X261" i="3"/>
  <c r="W261" i="3"/>
  <c r="D261" i="3"/>
  <c r="C261" i="3"/>
  <c r="AJ260" i="3"/>
  <c r="AF260" i="3"/>
  <c r="AD260" i="3"/>
  <c r="AI260" i="3" s="1"/>
  <c r="X260" i="3"/>
  <c r="W260" i="3"/>
  <c r="D260" i="3"/>
  <c r="C260" i="3"/>
  <c r="AJ259" i="3"/>
  <c r="AF259" i="3"/>
  <c r="AD259" i="3"/>
  <c r="AI259" i="3" s="1"/>
  <c r="X259" i="3"/>
  <c r="W259" i="3"/>
  <c r="D259" i="3"/>
  <c r="C259" i="3"/>
  <c r="AJ258" i="3"/>
  <c r="AF258" i="3"/>
  <c r="AD258" i="3"/>
  <c r="AI258" i="3" s="1"/>
  <c r="X258" i="3"/>
  <c r="W258" i="3"/>
  <c r="D258" i="3"/>
  <c r="C258" i="3"/>
  <c r="AJ257" i="3"/>
  <c r="AF257" i="3"/>
  <c r="AD257" i="3"/>
  <c r="AI257" i="3" s="1"/>
  <c r="X257" i="3"/>
  <c r="W257" i="3"/>
  <c r="D257" i="3"/>
  <c r="C257" i="3"/>
  <c r="AJ256" i="3"/>
  <c r="AF256" i="3"/>
  <c r="AD256" i="3"/>
  <c r="AI256" i="3" s="1"/>
  <c r="X256" i="3"/>
  <c r="W256" i="3"/>
  <c r="D256" i="3"/>
  <c r="C256" i="3"/>
  <c r="AJ255" i="3"/>
  <c r="AF255" i="3"/>
  <c r="AD255" i="3"/>
  <c r="AI255" i="3" s="1"/>
  <c r="X255" i="3"/>
  <c r="W255" i="3"/>
  <c r="D255" i="3"/>
  <c r="C255" i="3"/>
  <c r="AJ254" i="3"/>
  <c r="AF254" i="3"/>
  <c r="AD254" i="3"/>
  <c r="AI254" i="3" s="1"/>
  <c r="X254" i="3"/>
  <c r="W254" i="3"/>
  <c r="D254" i="3"/>
  <c r="C254" i="3"/>
  <c r="AJ253" i="3"/>
  <c r="AG253" i="3"/>
  <c r="AF253" i="3"/>
  <c r="AD253" i="3"/>
  <c r="AI253" i="3" s="1"/>
  <c r="X253" i="3"/>
  <c r="W253" i="3"/>
  <c r="D253" i="3"/>
  <c r="C253" i="3"/>
  <c r="AF252" i="3"/>
  <c r="AE252" i="3"/>
  <c r="AJ252" i="3" s="1"/>
  <c r="AD252" i="3"/>
  <c r="AI252" i="3" s="1"/>
  <c r="X252" i="3"/>
  <c r="W252" i="3"/>
  <c r="D252" i="3"/>
  <c r="C252" i="3"/>
  <c r="AF251" i="3"/>
  <c r="AE251" i="3"/>
  <c r="AJ251" i="3" s="1"/>
  <c r="AD251" i="3"/>
  <c r="AI251" i="3" s="1"/>
  <c r="X251" i="3"/>
  <c r="W251" i="3"/>
  <c r="D251" i="3"/>
  <c r="C251" i="3"/>
  <c r="AJ250" i="3"/>
  <c r="AF250" i="3"/>
  <c r="AD250" i="3"/>
  <c r="AI250" i="3" s="1"/>
  <c r="X250" i="3"/>
  <c r="W250" i="3"/>
  <c r="D250" i="3"/>
  <c r="C250" i="3"/>
  <c r="AJ249" i="3"/>
  <c r="AF249" i="3"/>
  <c r="AD249" i="3"/>
  <c r="AI249" i="3" s="1"/>
  <c r="X249" i="3"/>
  <c r="W249" i="3"/>
  <c r="D249" i="3"/>
  <c r="C249" i="3"/>
  <c r="AJ248" i="3"/>
  <c r="AF248" i="3"/>
  <c r="AD248" i="3"/>
  <c r="AI248" i="3" s="1"/>
  <c r="X248" i="3"/>
  <c r="W248" i="3"/>
  <c r="D248" i="3"/>
  <c r="C248" i="3"/>
  <c r="AJ247" i="3"/>
  <c r="AF247" i="3"/>
  <c r="AD247" i="3"/>
  <c r="AI247" i="3" s="1"/>
  <c r="X247" i="3"/>
  <c r="W247" i="3"/>
  <c r="D247" i="3"/>
  <c r="C247" i="3"/>
  <c r="AJ246" i="3"/>
  <c r="AF246" i="3"/>
  <c r="AD246" i="3"/>
  <c r="AI246" i="3" s="1"/>
  <c r="X246" i="3"/>
  <c r="W246" i="3"/>
  <c r="D246" i="3"/>
  <c r="C246" i="3"/>
  <c r="AF245" i="3"/>
  <c r="AE245" i="3"/>
  <c r="AJ245" i="3" s="1"/>
  <c r="AD245" i="3"/>
  <c r="AI245" i="3" s="1"/>
  <c r="X245" i="3"/>
  <c r="W245" i="3"/>
  <c r="D245" i="3"/>
  <c r="C245" i="3"/>
  <c r="AF244" i="3"/>
  <c r="AE244" i="3"/>
  <c r="AJ244" i="3" s="1"/>
  <c r="AD244" i="3"/>
  <c r="AI244" i="3" s="1"/>
  <c r="X244" i="3"/>
  <c r="W244" i="3"/>
  <c r="D244" i="3"/>
  <c r="C244" i="3"/>
  <c r="AF243" i="3"/>
  <c r="AE243" i="3"/>
  <c r="AJ243" i="3" s="1"/>
  <c r="AD243" i="3"/>
  <c r="AI243" i="3" s="1"/>
  <c r="X243" i="3"/>
  <c r="W243" i="3"/>
  <c r="D243" i="3"/>
  <c r="C243" i="3"/>
  <c r="AF242" i="3"/>
  <c r="AE242" i="3"/>
  <c r="AJ242" i="3" s="1"/>
  <c r="AD242" i="3"/>
  <c r="AI242" i="3" s="1"/>
  <c r="X242" i="3"/>
  <c r="W242" i="3"/>
  <c r="D242" i="3"/>
  <c r="C242" i="3"/>
  <c r="AF241" i="3"/>
  <c r="AE241" i="3"/>
  <c r="AJ241" i="3" s="1"/>
  <c r="AD241" i="3"/>
  <c r="AI241" i="3" s="1"/>
  <c r="X241" i="3"/>
  <c r="W241" i="3"/>
  <c r="D241" i="3"/>
  <c r="C241" i="3"/>
  <c r="AF240" i="3"/>
  <c r="AE240" i="3"/>
  <c r="AJ240" i="3" s="1"/>
  <c r="AD240" i="3"/>
  <c r="AI240" i="3" s="1"/>
  <c r="X240" i="3"/>
  <c r="W240" i="3"/>
  <c r="D240" i="3"/>
  <c r="C240" i="3"/>
  <c r="AF239" i="3"/>
  <c r="AE239" i="3"/>
  <c r="AJ239" i="3" s="1"/>
  <c r="AD239" i="3"/>
  <c r="AI239" i="3" s="1"/>
  <c r="X239" i="3"/>
  <c r="W239" i="3"/>
  <c r="D239" i="3"/>
  <c r="C239" i="3"/>
  <c r="AF238" i="3"/>
  <c r="AE238" i="3"/>
  <c r="AJ238" i="3" s="1"/>
  <c r="AD238" i="3"/>
  <c r="AI238" i="3" s="1"/>
  <c r="X238" i="3"/>
  <c r="W238" i="3"/>
  <c r="D238" i="3"/>
  <c r="C238" i="3"/>
  <c r="AF237" i="3"/>
  <c r="AE237" i="3"/>
  <c r="AJ237" i="3" s="1"/>
  <c r="AD237" i="3"/>
  <c r="AI237" i="3" s="1"/>
  <c r="X237" i="3"/>
  <c r="W237" i="3"/>
  <c r="D237" i="3"/>
  <c r="C237" i="3"/>
  <c r="AJ236" i="3"/>
  <c r="AI236" i="3"/>
  <c r="X236" i="3"/>
  <c r="W236" i="3"/>
  <c r="D236" i="3"/>
  <c r="C236" i="3"/>
  <c r="AJ235" i="3"/>
  <c r="AI235" i="3"/>
  <c r="X235" i="3"/>
  <c r="W235" i="3"/>
  <c r="D235" i="3"/>
  <c r="C235" i="3"/>
  <c r="AJ234" i="3"/>
  <c r="AI234" i="3"/>
  <c r="X234" i="3"/>
  <c r="W234" i="3"/>
  <c r="D234" i="3"/>
  <c r="C234" i="3"/>
  <c r="AJ233" i="3"/>
  <c r="AG233" i="3"/>
  <c r="AF233" i="3"/>
  <c r="AD233" i="3"/>
  <c r="AI233" i="3" s="1"/>
  <c r="X233" i="3"/>
  <c r="W233" i="3"/>
  <c r="D233" i="3"/>
  <c r="C233" i="3"/>
  <c r="AJ232" i="3"/>
  <c r="AI232" i="3"/>
  <c r="X232" i="3"/>
  <c r="W232" i="3"/>
  <c r="D232" i="3"/>
  <c r="C232" i="3"/>
  <c r="AJ231" i="3"/>
  <c r="AI231" i="3"/>
  <c r="X231" i="3"/>
  <c r="W231" i="3"/>
  <c r="D231" i="3"/>
  <c r="C231" i="3"/>
  <c r="AJ230" i="3"/>
  <c r="AI230" i="3"/>
  <c r="X230" i="3"/>
  <c r="W230" i="3"/>
  <c r="D230" i="3"/>
  <c r="C230" i="3"/>
  <c r="AJ229" i="3"/>
  <c r="AG229" i="3"/>
  <c r="AF229" i="3"/>
  <c r="AD229" i="3"/>
  <c r="AI229" i="3" s="1"/>
  <c r="X229" i="3"/>
  <c r="W229" i="3"/>
  <c r="D229" i="3"/>
  <c r="C229" i="3"/>
  <c r="AJ228" i="3"/>
  <c r="AI228" i="3"/>
  <c r="X228" i="3"/>
  <c r="W228" i="3"/>
  <c r="D228" i="3"/>
  <c r="C228" i="3"/>
  <c r="AJ227" i="3"/>
  <c r="AI227" i="3"/>
  <c r="X227" i="3"/>
  <c r="W227" i="3"/>
  <c r="D227" i="3"/>
  <c r="C227" i="3"/>
  <c r="AJ226" i="3"/>
  <c r="AI226" i="3"/>
  <c r="X226" i="3"/>
  <c r="W226" i="3"/>
  <c r="D226" i="3"/>
  <c r="C226" i="3"/>
  <c r="AJ225" i="3"/>
  <c r="AG225" i="3"/>
  <c r="AF225" i="3"/>
  <c r="AD225" i="3"/>
  <c r="AI225" i="3" s="1"/>
  <c r="X225" i="3"/>
  <c r="W225" i="3"/>
  <c r="D225" i="3"/>
  <c r="C225" i="3"/>
  <c r="AJ224" i="3"/>
  <c r="AI224" i="3"/>
  <c r="X224" i="3"/>
  <c r="W224" i="3"/>
  <c r="D224" i="3"/>
  <c r="C224" i="3"/>
  <c r="AJ223" i="3"/>
  <c r="AI223" i="3"/>
  <c r="X223" i="3"/>
  <c r="W223" i="3"/>
  <c r="D223" i="3"/>
  <c r="C223" i="3"/>
  <c r="AJ222" i="3"/>
  <c r="AI222" i="3"/>
  <c r="X222" i="3"/>
  <c r="W222" i="3"/>
  <c r="D222" i="3"/>
  <c r="C222" i="3"/>
  <c r="AJ221" i="3"/>
  <c r="AG221" i="3"/>
  <c r="AF221" i="3" s="1"/>
  <c r="AD221" i="3"/>
  <c r="AI221" i="3" s="1"/>
  <c r="X221" i="3"/>
  <c r="W221" i="3"/>
  <c r="D221" i="3"/>
  <c r="C221" i="3"/>
  <c r="AJ220" i="3"/>
  <c r="AG220" i="3"/>
  <c r="AF220" i="3"/>
  <c r="AD220" i="3"/>
  <c r="AI220" i="3" s="1"/>
  <c r="X220" i="3"/>
  <c r="W220" i="3"/>
  <c r="D220" i="3"/>
  <c r="C220" i="3"/>
  <c r="AJ219" i="3"/>
  <c r="AG219" i="3"/>
  <c r="AF219" i="3"/>
  <c r="AD219" i="3"/>
  <c r="AI219" i="3" s="1"/>
  <c r="X219" i="3"/>
  <c r="W219" i="3"/>
  <c r="D219" i="3"/>
  <c r="C219" i="3"/>
  <c r="AJ218" i="3"/>
  <c r="AG218" i="3"/>
  <c r="AF218" i="3"/>
  <c r="AD218" i="3"/>
  <c r="AI218" i="3" s="1"/>
  <c r="X218" i="3"/>
  <c r="W218" i="3"/>
  <c r="D218" i="3"/>
  <c r="C218" i="3"/>
  <c r="AJ217" i="3"/>
  <c r="AG217" i="3"/>
  <c r="AF217" i="3"/>
  <c r="AD217" i="3"/>
  <c r="AI217" i="3" s="1"/>
  <c r="X217" i="3"/>
  <c r="W217" i="3"/>
  <c r="D217" i="3"/>
  <c r="C217" i="3"/>
  <c r="AJ216" i="3"/>
  <c r="AG216" i="3"/>
  <c r="AF216" i="3"/>
  <c r="AD216" i="3"/>
  <c r="AI216" i="3" s="1"/>
  <c r="X216" i="3"/>
  <c r="W216" i="3"/>
  <c r="D216" i="3"/>
  <c r="C216" i="3"/>
  <c r="AJ215" i="3"/>
  <c r="AG215" i="3"/>
  <c r="AF215" i="3"/>
  <c r="AD215" i="3"/>
  <c r="AI215" i="3" s="1"/>
  <c r="X215" i="3"/>
  <c r="W215" i="3"/>
  <c r="D215" i="3"/>
  <c r="C215" i="3"/>
  <c r="AJ214" i="3"/>
  <c r="AF214" i="3"/>
  <c r="AD214" i="3"/>
  <c r="AI214" i="3" s="1"/>
  <c r="X214" i="3"/>
  <c r="W214" i="3"/>
  <c r="D214" i="3"/>
  <c r="C214" i="3"/>
  <c r="AF213" i="3"/>
  <c r="AE213" i="3"/>
  <c r="AJ213" i="3" s="1"/>
  <c r="AD213" i="3"/>
  <c r="AI213" i="3" s="1"/>
  <c r="X213" i="3"/>
  <c r="W213" i="3"/>
  <c r="D213" i="3"/>
  <c r="C213" i="3"/>
  <c r="AJ212" i="3"/>
  <c r="AG212" i="3"/>
  <c r="AF212" i="3"/>
  <c r="AD212" i="3"/>
  <c r="AI212" i="3" s="1"/>
  <c r="X212" i="3"/>
  <c r="W212" i="3"/>
  <c r="D212" i="3"/>
  <c r="C212" i="3"/>
  <c r="AF211" i="3"/>
  <c r="AE211" i="3"/>
  <c r="AJ211" i="3" s="1"/>
  <c r="AD211" i="3"/>
  <c r="AI211" i="3" s="1"/>
  <c r="X211" i="3"/>
  <c r="W211" i="3"/>
  <c r="D211" i="3"/>
  <c r="C211" i="3"/>
  <c r="AF210" i="3"/>
  <c r="AE210" i="3"/>
  <c r="AJ210" i="3" s="1"/>
  <c r="AD210" i="3"/>
  <c r="AI210" i="3" s="1"/>
  <c r="X210" i="3"/>
  <c r="W210" i="3"/>
  <c r="D210" i="3"/>
  <c r="C210" i="3"/>
  <c r="AF209" i="3"/>
  <c r="AE209" i="3"/>
  <c r="AJ209" i="3" s="1"/>
  <c r="AD209" i="3"/>
  <c r="AI209" i="3" s="1"/>
  <c r="X209" i="3"/>
  <c r="W209" i="3"/>
  <c r="D209" i="3"/>
  <c r="C209" i="3"/>
  <c r="AF208" i="3"/>
  <c r="AE208" i="3"/>
  <c r="AJ208" i="3" s="1"/>
  <c r="AD208" i="3"/>
  <c r="AI208" i="3" s="1"/>
  <c r="X208" i="3"/>
  <c r="W208" i="3"/>
  <c r="D208" i="3"/>
  <c r="C208" i="3"/>
  <c r="AG207" i="3"/>
  <c r="AD207" i="3"/>
  <c r="AI207" i="3" s="1"/>
  <c r="X207" i="3"/>
  <c r="W207" i="3"/>
  <c r="D207" i="3"/>
  <c r="C207" i="3"/>
  <c r="AH206" i="3"/>
  <c r="AF206" i="3"/>
  <c r="AE206" i="3"/>
  <c r="AD206" i="3"/>
  <c r="X206" i="3"/>
  <c r="W206" i="3"/>
  <c r="D206" i="3"/>
  <c r="C206" i="3"/>
  <c r="AJ205" i="3"/>
  <c r="AI205" i="3"/>
  <c r="X205" i="3"/>
  <c r="W205" i="3"/>
  <c r="D205" i="3"/>
  <c r="C205" i="3"/>
  <c r="AH204" i="3"/>
  <c r="AF204" i="3"/>
  <c r="AE204" i="3"/>
  <c r="AD204" i="3"/>
  <c r="X204" i="3"/>
  <c r="W204" i="3"/>
  <c r="D204" i="3"/>
  <c r="C204" i="3"/>
  <c r="AJ203" i="3"/>
  <c r="AI203" i="3"/>
  <c r="AF203" i="3"/>
  <c r="X203" i="3"/>
  <c r="W203" i="3"/>
  <c r="D203" i="3"/>
  <c r="C203" i="3"/>
  <c r="AF202" i="3"/>
  <c r="AE202" i="3"/>
  <c r="AJ202" i="3" s="1"/>
  <c r="AD202" i="3"/>
  <c r="AI202" i="3" s="1"/>
  <c r="X202" i="3"/>
  <c r="W202" i="3"/>
  <c r="D202" i="3"/>
  <c r="C202" i="3"/>
  <c r="AJ201" i="3"/>
  <c r="AI201" i="3"/>
  <c r="AF201" i="3"/>
  <c r="X201" i="3"/>
  <c r="W201" i="3"/>
  <c r="D201" i="3"/>
  <c r="C201" i="3"/>
  <c r="AH200" i="3"/>
  <c r="AF200" i="3"/>
  <c r="AE200" i="3"/>
  <c r="AD200" i="3"/>
  <c r="X200" i="3"/>
  <c r="W200" i="3"/>
  <c r="D200" i="3"/>
  <c r="C200" i="3"/>
  <c r="AF199" i="3"/>
  <c r="AE199" i="3"/>
  <c r="AJ199" i="3" s="1"/>
  <c r="AD199" i="3"/>
  <c r="AI199" i="3" s="1"/>
  <c r="X199" i="3"/>
  <c r="W199" i="3"/>
  <c r="D199" i="3"/>
  <c r="C199" i="3"/>
  <c r="AF198" i="3"/>
  <c r="AE198" i="3"/>
  <c r="AJ198" i="3" s="1"/>
  <c r="AD198" i="3"/>
  <c r="AI198" i="3" s="1"/>
  <c r="X198" i="3"/>
  <c r="W198" i="3"/>
  <c r="D198" i="3"/>
  <c r="C198" i="3"/>
  <c r="AJ197" i="3"/>
  <c r="AF197" i="3"/>
  <c r="AD197" i="3"/>
  <c r="AI197" i="3" s="1"/>
  <c r="X197" i="3"/>
  <c r="W197" i="3"/>
  <c r="D197" i="3"/>
  <c r="C197" i="3"/>
  <c r="AF196" i="3"/>
  <c r="AE196" i="3"/>
  <c r="AJ196" i="3" s="1"/>
  <c r="AD196" i="3"/>
  <c r="AI196" i="3" s="1"/>
  <c r="X196" i="3"/>
  <c r="W196" i="3"/>
  <c r="D196" i="3"/>
  <c r="C196" i="3"/>
  <c r="AF195" i="3"/>
  <c r="AE195" i="3"/>
  <c r="AJ195" i="3" s="1"/>
  <c r="AD195" i="3"/>
  <c r="AI195" i="3" s="1"/>
  <c r="X195" i="3"/>
  <c r="W195" i="3"/>
  <c r="D195" i="3"/>
  <c r="C195" i="3"/>
  <c r="AF194" i="3"/>
  <c r="AE194" i="3"/>
  <c r="AJ194" i="3" s="1"/>
  <c r="AD194" i="3"/>
  <c r="AI194" i="3" s="1"/>
  <c r="X194" i="3"/>
  <c r="W194" i="3"/>
  <c r="D194" i="3"/>
  <c r="C194" i="3"/>
  <c r="AF193" i="3"/>
  <c r="AE193" i="3"/>
  <c r="AJ193" i="3" s="1"/>
  <c r="AD193" i="3"/>
  <c r="AI193" i="3" s="1"/>
  <c r="X193" i="3"/>
  <c r="W193" i="3"/>
  <c r="D193" i="3"/>
  <c r="C193" i="3"/>
  <c r="AE192" i="3"/>
  <c r="AJ192" i="3" s="1"/>
  <c r="AD192" i="3"/>
  <c r="AI192" i="3" s="1"/>
  <c r="X192" i="3"/>
  <c r="W192" i="3"/>
  <c r="D192" i="3"/>
  <c r="C192" i="3"/>
  <c r="AJ191" i="3"/>
  <c r="AG191" i="3"/>
  <c r="AF191" i="3"/>
  <c r="AD191" i="3"/>
  <c r="AI191" i="3" s="1"/>
  <c r="X191" i="3"/>
  <c r="W191" i="3"/>
  <c r="D191" i="3"/>
  <c r="C191" i="3"/>
  <c r="AE190" i="3"/>
  <c r="AJ190" i="3" s="1"/>
  <c r="AD190" i="3"/>
  <c r="AI190" i="3" s="1"/>
  <c r="X190" i="3"/>
  <c r="W190" i="3"/>
  <c r="D190" i="3"/>
  <c r="C190" i="3"/>
  <c r="AJ189" i="3"/>
  <c r="AI189" i="3"/>
  <c r="AF189" i="3"/>
  <c r="X189" i="3"/>
  <c r="W189" i="3"/>
  <c r="D189" i="3"/>
  <c r="C189" i="3"/>
  <c r="AJ188" i="3"/>
  <c r="AF188" i="3"/>
  <c r="AD188" i="3"/>
  <c r="AI188" i="3" s="1"/>
  <c r="X188" i="3"/>
  <c r="W188" i="3"/>
  <c r="D188" i="3"/>
  <c r="C188" i="3"/>
  <c r="AJ187" i="3"/>
  <c r="AI187" i="3"/>
  <c r="AF187" i="3"/>
  <c r="X187" i="3"/>
  <c r="W187" i="3"/>
  <c r="D187" i="3"/>
  <c r="C187" i="3"/>
  <c r="AJ186" i="3"/>
  <c r="AF186" i="3"/>
  <c r="AD186" i="3"/>
  <c r="AI186" i="3" s="1"/>
  <c r="X186" i="3"/>
  <c r="W186" i="3"/>
  <c r="D186" i="3"/>
  <c r="C186" i="3"/>
  <c r="AJ185" i="3"/>
  <c r="AG185" i="3"/>
  <c r="AF185" i="3"/>
  <c r="AD185" i="3"/>
  <c r="AI185" i="3" s="1"/>
  <c r="X185" i="3"/>
  <c r="W185" i="3"/>
  <c r="D185" i="3"/>
  <c r="C185" i="3"/>
  <c r="AJ184" i="3"/>
  <c r="AG184" i="3"/>
  <c r="AF184" i="3"/>
  <c r="AD184" i="3"/>
  <c r="AI184" i="3" s="1"/>
  <c r="X184" i="3"/>
  <c r="W184" i="3"/>
  <c r="D184" i="3"/>
  <c r="C184" i="3"/>
  <c r="AE183" i="3"/>
  <c r="AJ183" i="3" s="1"/>
  <c r="AD183" i="3"/>
  <c r="AI183" i="3" s="1"/>
  <c r="X183" i="3"/>
  <c r="W183" i="3"/>
  <c r="D183" i="3"/>
  <c r="C183" i="3"/>
  <c r="AJ182" i="3"/>
  <c r="AF182" i="3"/>
  <c r="AD182" i="3"/>
  <c r="AI182" i="3" s="1"/>
  <c r="X182" i="3"/>
  <c r="W182" i="3"/>
  <c r="D182" i="3"/>
  <c r="C182" i="3"/>
  <c r="AJ181" i="3"/>
  <c r="AF181" i="3"/>
  <c r="AD181" i="3"/>
  <c r="AI181" i="3" s="1"/>
  <c r="X181" i="3"/>
  <c r="W181" i="3"/>
  <c r="D181" i="3"/>
  <c r="C181" i="3"/>
  <c r="AJ180" i="3"/>
  <c r="AF180" i="3"/>
  <c r="AD180" i="3"/>
  <c r="AI180" i="3" s="1"/>
  <c r="X180" i="3"/>
  <c r="W180" i="3"/>
  <c r="D180" i="3"/>
  <c r="C180" i="3"/>
  <c r="AF179" i="3"/>
  <c r="AE179" i="3"/>
  <c r="AJ179" i="3" s="1"/>
  <c r="AD179" i="3"/>
  <c r="AI179" i="3" s="1"/>
  <c r="X179" i="3"/>
  <c r="W179" i="3"/>
  <c r="D179" i="3"/>
  <c r="C179" i="3"/>
  <c r="AF178" i="3"/>
  <c r="AE178" i="3"/>
  <c r="AJ178" i="3" s="1"/>
  <c r="AD178" i="3"/>
  <c r="AI178" i="3" s="1"/>
  <c r="X178" i="3"/>
  <c r="W178" i="3"/>
  <c r="D178" i="3"/>
  <c r="C178" i="3"/>
  <c r="AJ177" i="3"/>
  <c r="AI177" i="3"/>
  <c r="AF177" i="3"/>
  <c r="X177" i="3"/>
  <c r="W177" i="3"/>
  <c r="D177" i="3"/>
  <c r="C177" i="3"/>
  <c r="AH176" i="3"/>
  <c r="AF176" i="3"/>
  <c r="AD176" i="3"/>
  <c r="X176" i="3"/>
  <c r="W176" i="3"/>
  <c r="D176" i="3"/>
  <c r="C176" i="3"/>
  <c r="AH175" i="3"/>
  <c r="AF175" i="3"/>
  <c r="AD175" i="3"/>
  <c r="X175" i="3"/>
  <c r="W175" i="3"/>
  <c r="D175" i="3"/>
  <c r="C175" i="3"/>
  <c r="AH174" i="3"/>
  <c r="AF174" i="3"/>
  <c r="AD174" i="3"/>
  <c r="X174" i="3"/>
  <c r="W174" i="3"/>
  <c r="D174" i="3"/>
  <c r="C174" i="3"/>
  <c r="AH173" i="3"/>
  <c r="AF173" i="3"/>
  <c r="AD173" i="3"/>
  <c r="X173" i="3"/>
  <c r="W173" i="3"/>
  <c r="D173" i="3"/>
  <c r="C173" i="3"/>
  <c r="AH172" i="3"/>
  <c r="AF172" i="3"/>
  <c r="AD172" i="3"/>
  <c r="X172" i="3"/>
  <c r="W172" i="3"/>
  <c r="D172" i="3"/>
  <c r="C172" i="3"/>
  <c r="AH171" i="3"/>
  <c r="AF171" i="3"/>
  <c r="AD171" i="3"/>
  <c r="X171" i="3"/>
  <c r="W171" i="3"/>
  <c r="D171" i="3"/>
  <c r="C171" i="3"/>
  <c r="AH170" i="3"/>
  <c r="AF170" i="3"/>
  <c r="AD170" i="3"/>
  <c r="X170" i="3"/>
  <c r="W170" i="3"/>
  <c r="D170" i="3"/>
  <c r="C170" i="3"/>
  <c r="AH169" i="3"/>
  <c r="AF169" i="3"/>
  <c r="AD169" i="3"/>
  <c r="X169" i="3"/>
  <c r="W169" i="3"/>
  <c r="D169" i="3"/>
  <c r="C169" i="3"/>
  <c r="AH168" i="3"/>
  <c r="AF168" i="3"/>
  <c r="AD168" i="3"/>
  <c r="X168" i="3"/>
  <c r="W168" i="3"/>
  <c r="D168" i="3"/>
  <c r="C168" i="3"/>
  <c r="AH167" i="3"/>
  <c r="AF167" i="3"/>
  <c r="AD167" i="3"/>
  <c r="X167" i="3"/>
  <c r="W167" i="3"/>
  <c r="D167" i="3"/>
  <c r="C167" i="3"/>
  <c r="AH166" i="3"/>
  <c r="AF166" i="3"/>
  <c r="AD166" i="3"/>
  <c r="X166" i="3"/>
  <c r="W166" i="3"/>
  <c r="D166" i="3"/>
  <c r="C166" i="3"/>
  <c r="AH165" i="3"/>
  <c r="AF165" i="3"/>
  <c r="AD165" i="3"/>
  <c r="X165" i="3"/>
  <c r="W165" i="3"/>
  <c r="D165" i="3"/>
  <c r="C165" i="3"/>
  <c r="AH164" i="3"/>
  <c r="AF164" i="3"/>
  <c r="AD164" i="3"/>
  <c r="X164" i="3"/>
  <c r="W164" i="3"/>
  <c r="D164" i="3"/>
  <c r="C164" i="3"/>
  <c r="AH163" i="3"/>
  <c r="AF163" i="3"/>
  <c r="AD163" i="3"/>
  <c r="X163" i="3"/>
  <c r="W163" i="3"/>
  <c r="D163" i="3"/>
  <c r="C163" i="3"/>
  <c r="AH162" i="3"/>
  <c r="AF162" i="3"/>
  <c r="AD162" i="3"/>
  <c r="X162" i="3"/>
  <c r="W162" i="3"/>
  <c r="D162" i="3"/>
  <c r="C162" i="3"/>
  <c r="AH161" i="3"/>
  <c r="AF161" i="3"/>
  <c r="AD161" i="3"/>
  <c r="X161" i="3"/>
  <c r="W161" i="3"/>
  <c r="D161" i="3"/>
  <c r="C161" i="3"/>
  <c r="AH160" i="3"/>
  <c r="AF160" i="3"/>
  <c r="AD160" i="3"/>
  <c r="X160" i="3"/>
  <c r="W160" i="3"/>
  <c r="D160" i="3"/>
  <c r="C160" i="3"/>
  <c r="AH159" i="3"/>
  <c r="AF159" i="3"/>
  <c r="AD159" i="3"/>
  <c r="X159" i="3"/>
  <c r="W159" i="3"/>
  <c r="D159" i="3"/>
  <c r="C159" i="3"/>
  <c r="AH158" i="3"/>
  <c r="AF158" i="3"/>
  <c r="AD158" i="3"/>
  <c r="X158" i="3"/>
  <c r="W158" i="3"/>
  <c r="D158" i="3"/>
  <c r="C158" i="3"/>
  <c r="AH157" i="3"/>
  <c r="AF157" i="3"/>
  <c r="AD157" i="3"/>
  <c r="X157" i="3"/>
  <c r="W157" i="3"/>
  <c r="D157" i="3"/>
  <c r="C157" i="3"/>
  <c r="AH156" i="3"/>
  <c r="AF156" i="3"/>
  <c r="AD156" i="3"/>
  <c r="X156" i="3"/>
  <c r="W156" i="3"/>
  <c r="D156" i="3"/>
  <c r="C156" i="3"/>
  <c r="AH155" i="3"/>
  <c r="AF155" i="3"/>
  <c r="AE155" i="3"/>
  <c r="AD155" i="3"/>
  <c r="X155" i="3"/>
  <c r="W155" i="3"/>
  <c r="D155" i="3"/>
  <c r="C155" i="3"/>
  <c r="AH154" i="3"/>
  <c r="AF154" i="3"/>
  <c r="AE154" i="3"/>
  <c r="AD154" i="3"/>
  <c r="X154" i="3"/>
  <c r="W154" i="3"/>
  <c r="D154" i="3"/>
  <c r="C154" i="3"/>
  <c r="AF153" i="3"/>
  <c r="AE153" i="3"/>
  <c r="AJ153" i="3" s="1"/>
  <c r="AD153" i="3"/>
  <c r="AI153" i="3" s="1"/>
  <c r="X153" i="3"/>
  <c r="W153" i="3"/>
  <c r="D153" i="3"/>
  <c r="C153" i="3"/>
  <c r="AJ152" i="3"/>
  <c r="AF152" i="3"/>
  <c r="AD152" i="3"/>
  <c r="AI152" i="3" s="1"/>
  <c r="X152" i="3"/>
  <c r="W152" i="3"/>
  <c r="D152" i="3"/>
  <c r="C152" i="3"/>
  <c r="AJ151" i="3"/>
  <c r="AF151" i="3"/>
  <c r="AD151" i="3"/>
  <c r="AI151" i="3" s="1"/>
  <c r="X151" i="3"/>
  <c r="W151" i="3"/>
  <c r="D151" i="3"/>
  <c r="C151" i="3"/>
  <c r="AJ150" i="3"/>
  <c r="AF150" i="3"/>
  <c r="AD150" i="3"/>
  <c r="AI150" i="3" s="1"/>
  <c r="X150" i="3"/>
  <c r="W150" i="3"/>
  <c r="D150" i="3"/>
  <c r="C150" i="3"/>
  <c r="AJ149" i="3"/>
  <c r="AF149" i="3"/>
  <c r="AD149" i="3"/>
  <c r="AI149" i="3" s="1"/>
  <c r="X149" i="3"/>
  <c r="W149" i="3"/>
  <c r="D149" i="3"/>
  <c r="C149" i="3"/>
  <c r="AJ148" i="3"/>
  <c r="AF148" i="3"/>
  <c r="AD148" i="3"/>
  <c r="AI148" i="3" s="1"/>
  <c r="X148" i="3"/>
  <c r="W148" i="3"/>
  <c r="D148" i="3"/>
  <c r="C148" i="3"/>
  <c r="AJ147" i="3"/>
  <c r="AF147" i="3"/>
  <c r="AD147" i="3"/>
  <c r="AI147" i="3" s="1"/>
  <c r="X147" i="3"/>
  <c r="W147" i="3"/>
  <c r="D147" i="3"/>
  <c r="C147" i="3"/>
  <c r="AJ146" i="3"/>
  <c r="AF146" i="3"/>
  <c r="AD146" i="3"/>
  <c r="AI146" i="3" s="1"/>
  <c r="X146" i="3"/>
  <c r="W146" i="3"/>
  <c r="D146" i="3"/>
  <c r="C146" i="3"/>
  <c r="AJ145" i="3"/>
  <c r="AF145" i="3"/>
  <c r="AD145" i="3"/>
  <c r="AI145" i="3" s="1"/>
  <c r="X145" i="3"/>
  <c r="W145" i="3"/>
  <c r="D145" i="3"/>
  <c r="C145" i="3"/>
  <c r="AJ144" i="3"/>
  <c r="AF144" i="3"/>
  <c r="AD144" i="3"/>
  <c r="AI144" i="3" s="1"/>
  <c r="X144" i="3"/>
  <c r="W144" i="3"/>
  <c r="D144" i="3"/>
  <c r="C144" i="3"/>
  <c r="AJ143" i="3"/>
  <c r="AF143" i="3"/>
  <c r="AD143" i="3"/>
  <c r="AI143" i="3" s="1"/>
  <c r="X143" i="3"/>
  <c r="W143" i="3"/>
  <c r="D143" i="3"/>
  <c r="C143" i="3"/>
  <c r="AJ142" i="3"/>
  <c r="AF142" i="3"/>
  <c r="AD142" i="3"/>
  <c r="AI142" i="3" s="1"/>
  <c r="X142" i="3"/>
  <c r="W142" i="3"/>
  <c r="D142" i="3"/>
  <c r="C142" i="3"/>
  <c r="AJ141" i="3"/>
  <c r="AF141" i="3"/>
  <c r="AD141" i="3"/>
  <c r="AI141" i="3" s="1"/>
  <c r="X141" i="3"/>
  <c r="W141" i="3"/>
  <c r="D141" i="3"/>
  <c r="C141" i="3"/>
  <c r="AH140" i="3"/>
  <c r="AF140" i="3"/>
  <c r="AD140" i="3"/>
  <c r="X140" i="3"/>
  <c r="W140" i="3"/>
  <c r="D140" i="3"/>
  <c r="C140" i="3"/>
  <c r="AH139" i="3"/>
  <c r="AF139" i="3"/>
  <c r="AD139" i="3"/>
  <c r="X139" i="3"/>
  <c r="W139" i="3"/>
  <c r="D139" i="3"/>
  <c r="C139" i="3"/>
  <c r="AH138" i="3"/>
  <c r="AF138" i="3"/>
  <c r="AD138" i="3"/>
  <c r="X138" i="3"/>
  <c r="W138" i="3"/>
  <c r="D138" i="3"/>
  <c r="C138" i="3"/>
  <c r="AH137" i="3"/>
  <c r="AF137" i="3"/>
  <c r="AD137" i="3"/>
  <c r="X137" i="3"/>
  <c r="W137" i="3"/>
  <c r="D137" i="3"/>
  <c r="C137" i="3"/>
  <c r="AH136" i="3"/>
  <c r="AF136" i="3"/>
  <c r="AD136" i="3"/>
  <c r="X136" i="3"/>
  <c r="W136" i="3"/>
  <c r="D136" i="3"/>
  <c r="C136" i="3"/>
  <c r="AH135" i="3"/>
  <c r="AF135" i="3"/>
  <c r="AD135" i="3"/>
  <c r="X135" i="3"/>
  <c r="W135" i="3"/>
  <c r="D135" i="3"/>
  <c r="C135" i="3"/>
  <c r="AH134" i="3"/>
  <c r="AF134" i="3"/>
  <c r="AD134" i="3"/>
  <c r="X134" i="3"/>
  <c r="W134" i="3"/>
  <c r="D134" i="3"/>
  <c r="C134" i="3"/>
  <c r="AH133" i="3"/>
  <c r="AF133" i="3"/>
  <c r="AD133" i="3"/>
  <c r="X133" i="3"/>
  <c r="W133" i="3"/>
  <c r="D133" i="3"/>
  <c r="C133" i="3"/>
  <c r="AH132" i="3"/>
  <c r="AF132" i="3"/>
  <c r="AD132" i="3"/>
  <c r="X132" i="3"/>
  <c r="W132" i="3"/>
  <c r="D132" i="3"/>
  <c r="C132" i="3"/>
  <c r="AH131" i="3"/>
  <c r="AF131" i="3"/>
  <c r="AD131" i="3"/>
  <c r="X131" i="3"/>
  <c r="W131" i="3"/>
  <c r="D131" i="3"/>
  <c r="C131" i="3"/>
  <c r="AH130" i="3"/>
  <c r="AF130" i="3"/>
  <c r="AD130" i="3"/>
  <c r="X130" i="3"/>
  <c r="W130" i="3"/>
  <c r="D130" i="3"/>
  <c r="C130" i="3"/>
  <c r="AH129" i="3"/>
  <c r="AF129" i="3"/>
  <c r="AD129" i="3"/>
  <c r="X129" i="3"/>
  <c r="W129" i="3"/>
  <c r="D129" i="3"/>
  <c r="C129" i="3"/>
  <c r="AJ128" i="3"/>
  <c r="AI128" i="3"/>
  <c r="AF128" i="3"/>
  <c r="X128" i="3"/>
  <c r="W128" i="3"/>
  <c r="D128" i="3"/>
  <c r="C128" i="3"/>
  <c r="AJ127" i="3"/>
  <c r="AI127" i="3"/>
  <c r="AF127" i="3"/>
  <c r="X127" i="3"/>
  <c r="W127" i="3"/>
  <c r="D127" i="3"/>
  <c r="C127" i="3"/>
  <c r="AJ126" i="3"/>
  <c r="AI126" i="3"/>
  <c r="AF126" i="3"/>
  <c r="X126" i="3"/>
  <c r="W126" i="3"/>
  <c r="D126" i="3"/>
  <c r="C126" i="3"/>
  <c r="AJ125" i="3"/>
  <c r="AF125" i="3"/>
  <c r="AD125" i="3"/>
  <c r="AI125" i="3" s="1"/>
  <c r="X125" i="3"/>
  <c r="W125" i="3"/>
  <c r="D125" i="3"/>
  <c r="C125" i="3"/>
  <c r="AJ124" i="3"/>
  <c r="AI124" i="3"/>
  <c r="AF124" i="3"/>
  <c r="X124" i="3"/>
  <c r="W124" i="3"/>
  <c r="D124" i="3"/>
  <c r="C124" i="3"/>
  <c r="AJ123" i="3"/>
  <c r="AI123" i="3"/>
  <c r="AF123" i="3"/>
  <c r="X123" i="3"/>
  <c r="W123" i="3"/>
  <c r="D123" i="3"/>
  <c r="C123" i="3"/>
  <c r="AJ122" i="3"/>
  <c r="AI122" i="3"/>
  <c r="AF122" i="3"/>
  <c r="X122" i="3"/>
  <c r="W122" i="3"/>
  <c r="D122" i="3"/>
  <c r="C122" i="3"/>
  <c r="AJ121" i="3"/>
  <c r="AF121" i="3"/>
  <c r="AD121" i="3"/>
  <c r="AI121" i="3" s="1"/>
  <c r="X121" i="3"/>
  <c r="W121" i="3"/>
  <c r="D121" i="3"/>
  <c r="C121" i="3"/>
  <c r="AJ120" i="3"/>
  <c r="AI120" i="3"/>
  <c r="AF120" i="3"/>
  <c r="X120" i="3"/>
  <c r="W120" i="3"/>
  <c r="D120" i="3"/>
  <c r="C120" i="3"/>
  <c r="AJ119" i="3"/>
  <c r="AI119" i="3"/>
  <c r="AF119" i="3"/>
  <c r="X119" i="3"/>
  <c r="W119" i="3"/>
  <c r="D119" i="3"/>
  <c r="C119" i="3"/>
  <c r="AJ118" i="3"/>
  <c r="AI118" i="3"/>
  <c r="AF118" i="3"/>
  <c r="X118" i="3"/>
  <c r="W118" i="3"/>
  <c r="D118" i="3"/>
  <c r="C118" i="3"/>
  <c r="AJ117" i="3"/>
  <c r="AF117" i="3"/>
  <c r="AD117" i="3"/>
  <c r="AI117" i="3" s="1"/>
  <c r="X117" i="3"/>
  <c r="W117" i="3"/>
  <c r="D117" i="3"/>
  <c r="C117" i="3"/>
  <c r="AJ116" i="3"/>
  <c r="AI116" i="3"/>
  <c r="AF116" i="3"/>
  <c r="X116" i="3"/>
  <c r="W116" i="3"/>
  <c r="D116" i="3"/>
  <c r="C116" i="3"/>
  <c r="AJ115" i="3"/>
  <c r="AF115" i="3"/>
  <c r="AD115" i="3"/>
  <c r="AI115" i="3" s="1"/>
  <c r="X115" i="3"/>
  <c r="W115" i="3"/>
  <c r="D115" i="3"/>
  <c r="C115" i="3"/>
  <c r="AJ114" i="3"/>
  <c r="AI114" i="3"/>
  <c r="AF114" i="3"/>
  <c r="X114" i="3"/>
  <c r="W114" i="3"/>
  <c r="D114" i="3"/>
  <c r="C114" i="3"/>
  <c r="AJ113" i="3"/>
  <c r="AF113" i="3"/>
  <c r="AD113" i="3"/>
  <c r="AI113" i="3" s="1"/>
  <c r="X113" i="3"/>
  <c r="W113" i="3"/>
  <c r="D113" i="3"/>
  <c r="C113" i="3"/>
  <c r="AJ112" i="3"/>
  <c r="AF112" i="3"/>
  <c r="AD112" i="3"/>
  <c r="AI112" i="3" s="1"/>
  <c r="X112" i="3"/>
  <c r="W112" i="3"/>
  <c r="D112" i="3"/>
  <c r="C112" i="3"/>
  <c r="AJ111" i="3"/>
  <c r="AI111" i="3"/>
  <c r="AF111" i="3"/>
  <c r="X111" i="3"/>
  <c r="W111" i="3"/>
  <c r="D111" i="3"/>
  <c r="C111" i="3"/>
  <c r="AJ110" i="3"/>
  <c r="AI110" i="3"/>
  <c r="AF110" i="3"/>
  <c r="X110" i="3"/>
  <c r="W110" i="3"/>
  <c r="D110" i="3"/>
  <c r="C110" i="3"/>
  <c r="AJ109" i="3"/>
  <c r="AI109" i="3"/>
  <c r="AF109" i="3"/>
  <c r="X109" i="3"/>
  <c r="W109" i="3"/>
  <c r="D109" i="3"/>
  <c r="C109" i="3"/>
  <c r="AJ108" i="3"/>
  <c r="AF108" i="3"/>
  <c r="AD108" i="3"/>
  <c r="AI108" i="3" s="1"/>
  <c r="X108" i="3"/>
  <c r="W108" i="3"/>
  <c r="D108" i="3"/>
  <c r="C108" i="3"/>
  <c r="AJ107" i="3"/>
  <c r="AI107" i="3"/>
  <c r="AF107" i="3"/>
  <c r="X107" i="3"/>
  <c r="W107" i="3"/>
  <c r="D107" i="3"/>
  <c r="C107" i="3"/>
  <c r="AJ106" i="3"/>
  <c r="AF106" i="3"/>
  <c r="AD106" i="3"/>
  <c r="AI106" i="3" s="1"/>
  <c r="X106" i="3"/>
  <c r="W106" i="3"/>
  <c r="D106" i="3"/>
  <c r="C106" i="3"/>
  <c r="AJ105" i="3"/>
  <c r="AG105" i="3"/>
  <c r="AF105" i="3" s="1"/>
  <c r="AD105" i="3"/>
  <c r="AI105" i="3" s="1"/>
  <c r="X105" i="3"/>
  <c r="W105" i="3"/>
  <c r="D105" i="3"/>
  <c r="C105" i="3"/>
  <c r="AJ104" i="3"/>
  <c r="AI104" i="3"/>
  <c r="X104" i="3"/>
  <c r="W104" i="3"/>
  <c r="D104" i="3"/>
  <c r="C104" i="3"/>
  <c r="AJ103" i="3"/>
  <c r="AI103" i="3"/>
  <c r="X103" i="3"/>
  <c r="W103" i="3"/>
  <c r="D103" i="3"/>
  <c r="C103" i="3"/>
  <c r="AJ102" i="3"/>
  <c r="AI102" i="3"/>
  <c r="X102" i="3"/>
  <c r="W102" i="3"/>
  <c r="D102" i="3"/>
  <c r="C102" i="3"/>
  <c r="AJ101" i="3"/>
  <c r="AG101" i="3"/>
  <c r="AF101" i="3"/>
  <c r="AD101" i="3"/>
  <c r="AI101" i="3" s="1"/>
  <c r="X101" i="3"/>
  <c r="W101" i="3"/>
  <c r="D101" i="3"/>
  <c r="C101" i="3"/>
  <c r="AJ100" i="3"/>
  <c r="AI100" i="3"/>
  <c r="X100" i="3"/>
  <c r="W100" i="3"/>
  <c r="D100" i="3"/>
  <c r="C100" i="3"/>
  <c r="AJ99" i="3"/>
  <c r="AI99" i="3"/>
  <c r="X99" i="3"/>
  <c r="W99" i="3"/>
  <c r="D99" i="3"/>
  <c r="C99" i="3"/>
  <c r="AJ98" i="3"/>
  <c r="AI98" i="3"/>
  <c r="X98" i="3"/>
  <c r="W98" i="3"/>
  <c r="D98" i="3"/>
  <c r="C98" i="3"/>
  <c r="AJ97" i="3"/>
  <c r="AG97" i="3"/>
  <c r="AF97" i="3"/>
  <c r="AD97" i="3"/>
  <c r="AI97" i="3" s="1"/>
  <c r="X97" i="3"/>
  <c r="W97" i="3"/>
  <c r="D97" i="3"/>
  <c r="C97" i="3"/>
  <c r="AJ96" i="3"/>
  <c r="AG96" i="3"/>
  <c r="AF96" i="3"/>
  <c r="AD96" i="3"/>
  <c r="AI96" i="3" s="1"/>
  <c r="X96" i="3"/>
  <c r="W96" i="3"/>
  <c r="D96" i="3"/>
  <c r="C96" i="3"/>
  <c r="AJ95" i="3"/>
  <c r="AG95" i="3"/>
  <c r="AF95" i="3"/>
  <c r="AD95" i="3"/>
  <c r="AI95" i="3" s="1"/>
  <c r="X95" i="3"/>
  <c r="W95" i="3"/>
  <c r="D95" i="3"/>
  <c r="C95" i="3"/>
  <c r="AF94" i="3"/>
  <c r="AE94" i="3"/>
  <c r="AJ94" i="3" s="1"/>
  <c r="AD94" i="3"/>
  <c r="AI94" i="3" s="1"/>
  <c r="X94" i="3"/>
  <c r="W94" i="3"/>
  <c r="D94" i="3"/>
  <c r="C94" i="3"/>
  <c r="AF93" i="3"/>
  <c r="AE93" i="3"/>
  <c r="AJ93" i="3" s="1"/>
  <c r="AD93" i="3"/>
  <c r="AI93" i="3" s="1"/>
  <c r="X93" i="3"/>
  <c r="W93" i="3"/>
  <c r="D93" i="3"/>
  <c r="C93" i="3"/>
  <c r="AJ92" i="3"/>
  <c r="AG92" i="3"/>
  <c r="AF92" i="3"/>
  <c r="AD92" i="3"/>
  <c r="AI92" i="3" s="1"/>
  <c r="X92" i="3"/>
  <c r="W92" i="3"/>
  <c r="D92" i="3"/>
  <c r="C92" i="3"/>
  <c r="AJ91" i="3"/>
  <c r="AG91" i="3"/>
  <c r="AF91" i="3"/>
  <c r="AD91" i="3"/>
  <c r="AI91" i="3" s="1"/>
  <c r="X91" i="3"/>
  <c r="W91" i="3"/>
  <c r="D91" i="3"/>
  <c r="C91" i="3"/>
  <c r="AJ90" i="3"/>
  <c r="AG90" i="3"/>
  <c r="AF90" i="3"/>
  <c r="AD90" i="3"/>
  <c r="AI90" i="3" s="1"/>
  <c r="X90" i="3"/>
  <c r="W90" i="3"/>
  <c r="D90" i="3"/>
  <c r="C90" i="3"/>
  <c r="AF89" i="3"/>
  <c r="AE89" i="3"/>
  <c r="AJ89" i="3" s="1"/>
  <c r="AD89" i="3"/>
  <c r="AI89" i="3" s="1"/>
  <c r="X89" i="3"/>
  <c r="W89" i="3"/>
  <c r="D89" i="3"/>
  <c r="C89" i="3"/>
  <c r="AF88" i="3"/>
  <c r="AE88" i="3"/>
  <c r="AJ88" i="3" s="1"/>
  <c r="AD88" i="3"/>
  <c r="AI88" i="3" s="1"/>
  <c r="X88" i="3"/>
  <c r="W88" i="3"/>
  <c r="D88" i="3"/>
  <c r="C88" i="3"/>
  <c r="X87" i="3"/>
  <c r="W87" i="3"/>
  <c r="D87" i="3"/>
  <c r="C87" i="3"/>
  <c r="AF86" i="3"/>
  <c r="AE86" i="3"/>
  <c r="AJ86" i="3" s="1"/>
  <c r="AD86" i="3"/>
  <c r="AI86" i="3" s="1"/>
  <c r="X86" i="3"/>
  <c r="W86" i="3"/>
  <c r="D86" i="3"/>
  <c r="C86" i="3"/>
  <c r="X85" i="3"/>
  <c r="W85" i="3"/>
  <c r="D85" i="3"/>
  <c r="C85" i="3"/>
  <c r="AF84" i="3"/>
  <c r="AE84" i="3"/>
  <c r="AJ84" i="3" s="1"/>
  <c r="AD84" i="3"/>
  <c r="AI84" i="3" s="1"/>
  <c r="X84" i="3"/>
  <c r="W84" i="3"/>
  <c r="D84" i="3"/>
  <c r="C84" i="3"/>
  <c r="AJ83" i="3"/>
  <c r="AI83" i="3"/>
  <c r="AF83" i="3"/>
  <c r="X83" i="3"/>
  <c r="W83" i="3"/>
  <c r="D83" i="3"/>
  <c r="C83" i="3"/>
  <c r="AF82" i="3"/>
  <c r="AE82" i="3"/>
  <c r="AJ82" i="3" s="1"/>
  <c r="AD82" i="3"/>
  <c r="AI82" i="3" s="1"/>
  <c r="X82" i="3"/>
  <c r="W82" i="3"/>
  <c r="D82" i="3"/>
  <c r="C82" i="3"/>
  <c r="AJ81" i="3"/>
  <c r="AI81" i="3"/>
  <c r="AF81" i="3"/>
  <c r="X81" i="3"/>
  <c r="W81" i="3"/>
  <c r="D81" i="3"/>
  <c r="C81" i="3"/>
  <c r="AF80" i="3"/>
  <c r="AE80" i="3"/>
  <c r="AJ80" i="3" s="1"/>
  <c r="AD80" i="3"/>
  <c r="AI80" i="3" s="1"/>
  <c r="X80" i="3"/>
  <c r="W80" i="3"/>
  <c r="D80" i="3"/>
  <c r="C80" i="3"/>
  <c r="AF79" i="3"/>
  <c r="AE79" i="3"/>
  <c r="AJ79" i="3" s="1"/>
  <c r="AD79" i="3"/>
  <c r="AI79" i="3" s="1"/>
  <c r="X79" i="3"/>
  <c r="W79" i="3"/>
  <c r="D79" i="3"/>
  <c r="C79" i="3"/>
  <c r="AF78" i="3"/>
  <c r="AE78" i="3"/>
  <c r="AJ78" i="3" s="1"/>
  <c r="AD78" i="3"/>
  <c r="AI78" i="3" s="1"/>
  <c r="X78" i="3"/>
  <c r="W78" i="3"/>
  <c r="D78" i="3"/>
  <c r="C78" i="3"/>
  <c r="AJ77" i="3"/>
  <c r="AF77" i="3"/>
  <c r="AD77" i="3"/>
  <c r="AI77" i="3" s="1"/>
  <c r="X77" i="3"/>
  <c r="W77" i="3"/>
  <c r="D77" i="3"/>
  <c r="C77" i="3"/>
  <c r="AF76" i="3"/>
  <c r="AE76" i="3"/>
  <c r="AJ76" i="3" s="1"/>
  <c r="AD76" i="3"/>
  <c r="AI76" i="3" s="1"/>
  <c r="X76" i="3"/>
  <c r="W76" i="3"/>
  <c r="D76" i="3"/>
  <c r="C76" i="3"/>
  <c r="AF75" i="3"/>
  <c r="AE75" i="3"/>
  <c r="AJ75" i="3" s="1"/>
  <c r="AD75" i="3"/>
  <c r="AI75" i="3" s="1"/>
  <c r="X75" i="3"/>
  <c r="W75" i="3"/>
  <c r="D75" i="3"/>
  <c r="C75" i="3"/>
  <c r="AG74" i="3"/>
  <c r="AF74" i="3"/>
  <c r="AE74" i="3"/>
  <c r="AJ74" i="3" s="1"/>
  <c r="AD74" i="3"/>
  <c r="AI74" i="3" s="1"/>
  <c r="X74" i="3"/>
  <c r="W74" i="3"/>
  <c r="D74" i="3"/>
  <c r="C74" i="3"/>
  <c r="AJ73" i="3"/>
  <c r="AG73" i="3"/>
  <c r="AF73" i="3"/>
  <c r="AD73" i="3"/>
  <c r="AI73" i="3" s="1"/>
  <c r="X73" i="3"/>
  <c r="W73" i="3"/>
  <c r="D73" i="3"/>
  <c r="C73" i="3"/>
  <c r="AJ72" i="3"/>
  <c r="AI72" i="3"/>
  <c r="AF72" i="3"/>
  <c r="X72" i="3"/>
  <c r="W72" i="3"/>
  <c r="D72" i="3"/>
  <c r="C72" i="3"/>
  <c r="AH71" i="3"/>
  <c r="AF71" i="3"/>
  <c r="AE71" i="3"/>
  <c r="AD71" i="3"/>
  <c r="X71" i="3"/>
  <c r="W71" i="3"/>
  <c r="D71" i="3"/>
  <c r="C71" i="3"/>
  <c r="AJ70" i="3"/>
  <c r="AI70" i="3"/>
  <c r="AF70" i="3"/>
  <c r="X70" i="3"/>
  <c r="W70" i="3"/>
  <c r="D70" i="3"/>
  <c r="C70" i="3"/>
  <c r="AH69" i="3"/>
  <c r="AF69" i="3"/>
  <c r="AE69" i="3"/>
  <c r="AD69" i="3"/>
  <c r="X69" i="3"/>
  <c r="W69" i="3"/>
  <c r="D69" i="3"/>
  <c r="C69" i="3"/>
  <c r="AJ68" i="3"/>
  <c r="AI68" i="3"/>
  <c r="AF68" i="3"/>
  <c r="X68" i="3"/>
  <c r="W68" i="3"/>
  <c r="D68" i="3"/>
  <c r="C68" i="3"/>
  <c r="AJ67" i="3"/>
  <c r="AF67" i="3"/>
  <c r="AD67" i="3"/>
  <c r="AI67" i="3" s="1"/>
  <c r="X67" i="3"/>
  <c r="W67" i="3"/>
  <c r="D67" i="3"/>
  <c r="C67" i="3"/>
  <c r="AJ66" i="3"/>
  <c r="AI66" i="3"/>
  <c r="AF66" i="3"/>
  <c r="X66" i="3"/>
  <c r="W66" i="3"/>
  <c r="D66" i="3"/>
  <c r="C66" i="3"/>
  <c r="AJ65" i="3"/>
  <c r="AF65" i="3"/>
  <c r="AD65" i="3"/>
  <c r="AI65" i="3" s="1"/>
  <c r="X65" i="3"/>
  <c r="W65" i="3"/>
  <c r="D65" i="3"/>
  <c r="C65" i="3"/>
  <c r="AF64" i="3"/>
  <c r="AE64" i="3"/>
  <c r="AJ64" i="3" s="1"/>
  <c r="AD64" i="3"/>
  <c r="AI64" i="3" s="1"/>
  <c r="X64" i="3"/>
  <c r="W64" i="3"/>
  <c r="D64" i="3"/>
  <c r="C64" i="3"/>
  <c r="AF63" i="3"/>
  <c r="AE63" i="3"/>
  <c r="AJ63" i="3" s="1"/>
  <c r="AD63" i="3"/>
  <c r="AI63" i="3" s="1"/>
  <c r="X63" i="3"/>
  <c r="W63" i="3"/>
  <c r="D63" i="3"/>
  <c r="C63" i="3"/>
  <c r="AF62" i="3"/>
  <c r="AE62" i="3"/>
  <c r="AJ62" i="3" s="1"/>
  <c r="AD62" i="3"/>
  <c r="AI62" i="3" s="1"/>
  <c r="X62" i="3"/>
  <c r="W62" i="3"/>
  <c r="D62" i="3"/>
  <c r="C62" i="3"/>
  <c r="AF61" i="3"/>
  <c r="AE61" i="3"/>
  <c r="AJ61" i="3" s="1"/>
  <c r="AD61" i="3"/>
  <c r="AI61" i="3" s="1"/>
  <c r="X61" i="3"/>
  <c r="W61" i="3"/>
  <c r="D61" i="3"/>
  <c r="C61" i="3"/>
  <c r="AJ60" i="3"/>
  <c r="AG60" i="3"/>
  <c r="AF60" i="3" s="1"/>
  <c r="AD60" i="3"/>
  <c r="AI60" i="3" s="1"/>
  <c r="X60" i="3"/>
  <c r="W60" i="3"/>
  <c r="D60" i="3"/>
  <c r="C60" i="3"/>
  <c r="AJ59" i="3"/>
  <c r="AG59" i="3"/>
  <c r="AF59" i="3"/>
  <c r="AD59" i="3"/>
  <c r="AI59" i="3" s="1"/>
  <c r="X59" i="3"/>
  <c r="W59" i="3"/>
  <c r="D59" i="3"/>
  <c r="C59" i="3"/>
  <c r="AF58" i="3"/>
  <c r="AE58" i="3"/>
  <c r="AJ58" i="3" s="1"/>
  <c r="AD58" i="3"/>
  <c r="AI58" i="3" s="1"/>
  <c r="X58" i="3"/>
  <c r="W58" i="3"/>
  <c r="D58" i="3"/>
  <c r="C58" i="3"/>
  <c r="AJ57" i="3"/>
  <c r="AF57" i="3"/>
  <c r="AD57" i="3"/>
  <c r="AI57" i="3" s="1"/>
  <c r="X57" i="3"/>
  <c r="W57" i="3"/>
  <c r="D57" i="3"/>
  <c r="C57" i="3"/>
  <c r="AJ56" i="3"/>
  <c r="AF56" i="3"/>
  <c r="AD56" i="3"/>
  <c r="AI56" i="3" s="1"/>
  <c r="X56" i="3"/>
  <c r="W56" i="3"/>
  <c r="D56" i="3"/>
  <c r="C56" i="3"/>
  <c r="AJ55" i="3"/>
  <c r="AF55" i="3"/>
  <c r="AD55" i="3"/>
  <c r="AI55" i="3" s="1"/>
  <c r="X55" i="3"/>
  <c r="W55" i="3"/>
  <c r="D55" i="3"/>
  <c r="C55" i="3"/>
  <c r="AJ54" i="3"/>
  <c r="AF54" i="3"/>
  <c r="AD54" i="3"/>
  <c r="AI54" i="3" s="1"/>
  <c r="X54" i="3"/>
  <c r="W54" i="3"/>
  <c r="D54" i="3"/>
  <c r="C54" i="3"/>
  <c r="AJ53" i="3"/>
  <c r="AF53" i="3"/>
  <c r="AD53" i="3"/>
  <c r="AI53" i="3" s="1"/>
  <c r="X53" i="3"/>
  <c r="W53" i="3"/>
  <c r="D53" i="3"/>
  <c r="C53" i="3"/>
  <c r="AJ52" i="3"/>
  <c r="AF52" i="3"/>
  <c r="AD52" i="3"/>
  <c r="AI52" i="3" s="1"/>
  <c r="X52" i="3"/>
  <c r="W52" i="3"/>
  <c r="D52" i="3"/>
  <c r="C52" i="3"/>
  <c r="AF51" i="3"/>
  <c r="AE51" i="3"/>
  <c r="AJ51" i="3" s="1"/>
  <c r="AD51" i="3"/>
  <c r="AI51" i="3" s="1"/>
  <c r="X51" i="3"/>
  <c r="W51" i="3"/>
  <c r="D51" i="3"/>
  <c r="C51" i="3"/>
  <c r="AF50" i="3"/>
  <c r="AE50" i="3"/>
  <c r="AJ50" i="3" s="1"/>
  <c r="AD50" i="3"/>
  <c r="AI50" i="3" s="1"/>
  <c r="X50" i="3"/>
  <c r="W50" i="3"/>
  <c r="D50" i="3"/>
  <c r="C50" i="3"/>
  <c r="AF49" i="3"/>
  <c r="AE49" i="3"/>
  <c r="AJ49" i="3" s="1"/>
  <c r="AD49" i="3"/>
  <c r="AI49" i="3" s="1"/>
  <c r="X49" i="3"/>
  <c r="W49" i="3"/>
  <c r="D49" i="3"/>
  <c r="C49" i="3"/>
  <c r="AF48" i="3"/>
  <c r="AE48" i="3"/>
  <c r="AJ48" i="3" s="1"/>
  <c r="AD48" i="3"/>
  <c r="AI48" i="3" s="1"/>
  <c r="X48" i="3"/>
  <c r="W48" i="3"/>
  <c r="D48" i="3"/>
  <c r="C48" i="3"/>
  <c r="AF47" i="3"/>
  <c r="AE47" i="3"/>
  <c r="AJ47" i="3" s="1"/>
  <c r="AD47" i="3"/>
  <c r="AI47" i="3" s="1"/>
  <c r="X47" i="3"/>
  <c r="W47" i="3"/>
  <c r="D47" i="3"/>
  <c r="C47" i="3"/>
  <c r="AH46" i="3"/>
  <c r="AF46" i="3"/>
  <c r="AE46" i="3"/>
  <c r="AD46" i="3"/>
  <c r="X46" i="3"/>
  <c r="W46" i="3"/>
  <c r="D46" i="3"/>
  <c r="C46" i="3"/>
  <c r="AH45" i="3"/>
  <c r="AF45" i="3"/>
  <c r="AE45" i="3"/>
  <c r="AD45" i="3"/>
  <c r="X45" i="3"/>
  <c r="W45" i="3"/>
  <c r="D45" i="3"/>
  <c r="C45" i="3"/>
  <c r="AJ44" i="3"/>
  <c r="AF44" i="3"/>
  <c r="AD44" i="3"/>
  <c r="AI44" i="3" s="1"/>
  <c r="X44" i="3"/>
  <c r="W44" i="3"/>
  <c r="D44" i="3"/>
  <c r="C44" i="3"/>
  <c r="AJ43" i="3"/>
  <c r="AF43" i="3"/>
  <c r="AD43" i="3"/>
  <c r="AI43" i="3" s="1"/>
  <c r="X43" i="3"/>
  <c r="W43" i="3"/>
  <c r="D43" i="3"/>
  <c r="C43" i="3"/>
  <c r="AJ42" i="3"/>
  <c r="AI42" i="3"/>
  <c r="AF42" i="3"/>
  <c r="X42" i="3"/>
  <c r="W42" i="3"/>
  <c r="D42" i="3"/>
  <c r="C42" i="3"/>
  <c r="AJ41" i="3"/>
  <c r="AI41" i="3"/>
  <c r="AF41" i="3"/>
  <c r="X41" i="3"/>
  <c r="W41" i="3"/>
  <c r="D41" i="3"/>
  <c r="C41" i="3"/>
  <c r="AJ40" i="3"/>
  <c r="AI40" i="3"/>
  <c r="AF40" i="3"/>
  <c r="X40" i="3"/>
  <c r="W40" i="3"/>
  <c r="D40" i="3"/>
  <c r="C40" i="3"/>
  <c r="AJ39" i="3"/>
  <c r="AF39" i="3"/>
  <c r="AD39" i="3"/>
  <c r="AI39" i="3" s="1"/>
  <c r="X39" i="3"/>
  <c r="W39" i="3"/>
  <c r="D39" i="3"/>
  <c r="C39" i="3"/>
  <c r="AJ38" i="3"/>
  <c r="AI38" i="3"/>
  <c r="X38" i="3"/>
  <c r="W38" i="3"/>
  <c r="D38" i="3"/>
  <c r="C38" i="3"/>
  <c r="AJ37" i="3"/>
  <c r="AF37" i="3"/>
  <c r="AD37" i="3"/>
  <c r="AI37" i="3" s="1"/>
  <c r="X37" i="3"/>
  <c r="W37" i="3"/>
  <c r="D37" i="3"/>
  <c r="C37" i="3"/>
  <c r="AJ36" i="3"/>
  <c r="AG36" i="3"/>
  <c r="AF36" i="3"/>
  <c r="AD36" i="3"/>
  <c r="AI36" i="3" s="1"/>
  <c r="X36" i="3"/>
  <c r="W36" i="3"/>
  <c r="D36" i="3"/>
  <c r="C36" i="3"/>
  <c r="AJ35" i="3"/>
  <c r="AI35" i="3"/>
  <c r="X35" i="3"/>
  <c r="W35" i="3"/>
  <c r="D35" i="3"/>
  <c r="C35" i="3"/>
  <c r="AF34" i="3"/>
  <c r="AE34" i="3"/>
  <c r="AJ34" i="3" s="1"/>
  <c r="AD34" i="3"/>
  <c r="AI34" i="3" s="1"/>
  <c r="X34" i="3"/>
  <c r="W34" i="3"/>
  <c r="D34" i="3"/>
  <c r="C34" i="3"/>
  <c r="AJ33" i="3"/>
  <c r="AI33" i="3"/>
  <c r="AF33" i="3"/>
  <c r="X33" i="3"/>
  <c r="W33" i="3"/>
  <c r="D33" i="3"/>
  <c r="C33" i="3"/>
  <c r="AH32" i="3"/>
  <c r="AF32" i="3"/>
  <c r="AE32" i="3"/>
  <c r="AD32" i="3"/>
  <c r="X32" i="3"/>
  <c r="W32" i="3"/>
  <c r="D32" i="3"/>
  <c r="C32" i="3"/>
  <c r="AF31" i="3"/>
  <c r="AE31" i="3"/>
  <c r="AJ31" i="3" s="1"/>
  <c r="AD31" i="3"/>
  <c r="AI31" i="3" s="1"/>
  <c r="X31" i="3"/>
  <c r="W31" i="3"/>
  <c r="D31" i="3"/>
  <c r="C31" i="3"/>
  <c r="AF30" i="3"/>
  <c r="AE30" i="3"/>
  <c r="AJ30" i="3" s="1"/>
  <c r="AD30" i="3"/>
  <c r="AI30" i="3" s="1"/>
  <c r="X30" i="3"/>
  <c r="W30" i="3"/>
  <c r="D30" i="3"/>
  <c r="C30" i="3"/>
  <c r="AJ29" i="3"/>
  <c r="AG29" i="3"/>
  <c r="AF29" i="3"/>
  <c r="AD29" i="3"/>
  <c r="AI29" i="3" s="1"/>
  <c r="X29" i="3"/>
  <c r="W29" i="3"/>
  <c r="D29" i="3"/>
  <c r="C29" i="3"/>
  <c r="AE28" i="3"/>
  <c r="AJ28" i="3" s="1"/>
  <c r="AD28" i="3"/>
  <c r="AI28" i="3" s="1"/>
  <c r="X28" i="3"/>
  <c r="W28" i="3"/>
  <c r="D28" i="3"/>
  <c r="C28" i="3"/>
  <c r="AE27" i="3"/>
  <c r="AJ27" i="3" s="1"/>
  <c r="AD27" i="3"/>
  <c r="AI27" i="3" s="1"/>
  <c r="X27" i="3"/>
  <c r="W27" i="3"/>
  <c r="D27" i="3"/>
  <c r="C27" i="3"/>
  <c r="AE26" i="3"/>
  <c r="AJ26" i="3" s="1"/>
  <c r="AD26" i="3"/>
  <c r="AI26" i="3" s="1"/>
  <c r="X26" i="3"/>
  <c r="W26" i="3"/>
  <c r="D26" i="3"/>
  <c r="C26" i="3"/>
  <c r="AE25" i="3"/>
  <c r="AJ25" i="3" s="1"/>
  <c r="AD25" i="3"/>
  <c r="AI25" i="3" s="1"/>
  <c r="X25" i="3"/>
  <c r="W25" i="3"/>
  <c r="D25" i="3"/>
  <c r="C25" i="3"/>
  <c r="AE24" i="3"/>
  <c r="AJ24" i="3" s="1"/>
  <c r="AD24" i="3"/>
  <c r="AI24" i="3" s="1"/>
  <c r="X24" i="3"/>
  <c r="W24" i="3"/>
  <c r="D24" i="3"/>
  <c r="C24" i="3"/>
  <c r="AF23" i="3"/>
  <c r="AE23" i="3"/>
  <c r="AJ23" i="3" s="1"/>
  <c r="AD23" i="3"/>
  <c r="AI23" i="3" s="1"/>
  <c r="X23" i="3"/>
  <c r="W23" i="3"/>
  <c r="D23" i="3"/>
  <c r="C23" i="3"/>
  <c r="AF22" i="3"/>
  <c r="AE22" i="3"/>
  <c r="AJ22" i="3" s="1"/>
  <c r="AD22" i="3"/>
  <c r="AI22" i="3" s="1"/>
  <c r="X22" i="3"/>
  <c r="W22" i="3"/>
  <c r="D22" i="3"/>
  <c r="C22" i="3"/>
  <c r="AF21" i="3"/>
  <c r="AE21" i="3"/>
  <c r="AJ21" i="3" s="1"/>
  <c r="AD21" i="3"/>
  <c r="AI21" i="3" s="1"/>
  <c r="X21" i="3"/>
  <c r="W21" i="3"/>
  <c r="D21" i="3"/>
  <c r="C21" i="3"/>
  <c r="AF20" i="3"/>
  <c r="AE20" i="3"/>
  <c r="AJ20" i="3" s="1"/>
  <c r="AD20" i="3"/>
  <c r="AI20" i="3" s="1"/>
  <c r="X20" i="3"/>
  <c r="W20" i="3"/>
  <c r="D20" i="3"/>
  <c r="C20" i="3"/>
  <c r="AF19" i="3"/>
  <c r="AE19" i="3"/>
  <c r="AJ19" i="3" s="1"/>
  <c r="AD19" i="3"/>
  <c r="AI19" i="3" s="1"/>
  <c r="X19" i="3"/>
  <c r="W19" i="3"/>
  <c r="D19" i="3"/>
  <c r="C19" i="3"/>
  <c r="AF18" i="3"/>
  <c r="AE18" i="3"/>
  <c r="AJ18" i="3" s="1"/>
  <c r="AD18" i="3"/>
  <c r="AI18" i="3" s="1"/>
  <c r="X18" i="3"/>
  <c r="W18" i="3"/>
  <c r="D18" i="3"/>
  <c r="C18" i="3"/>
  <c r="AF17" i="3"/>
  <c r="AE17" i="3"/>
  <c r="AJ17" i="3" s="1"/>
  <c r="AD17" i="3"/>
  <c r="AI17" i="3" s="1"/>
  <c r="X17" i="3"/>
  <c r="W17" i="3"/>
  <c r="D17" i="3"/>
  <c r="C17" i="3"/>
  <c r="AJ16" i="3"/>
  <c r="AI16" i="3"/>
  <c r="AF16" i="3"/>
  <c r="X16" i="3"/>
  <c r="W16" i="3"/>
  <c r="D16" i="3"/>
  <c r="C16" i="3"/>
  <c r="AF15" i="3"/>
  <c r="AE15" i="3"/>
  <c r="AJ15" i="3" s="1"/>
  <c r="AD15" i="3"/>
  <c r="AI15" i="3" s="1"/>
  <c r="X15" i="3"/>
  <c r="W15" i="3"/>
  <c r="D15" i="3"/>
  <c r="C15" i="3"/>
  <c r="AJ14" i="3"/>
  <c r="AI14" i="3"/>
  <c r="AF14" i="3"/>
  <c r="X14" i="3"/>
  <c r="W14" i="3"/>
  <c r="D14" i="3"/>
  <c r="C14" i="3"/>
  <c r="AJ13" i="3"/>
  <c r="AF13" i="3"/>
  <c r="AD13" i="3"/>
  <c r="AI13" i="3" s="1"/>
  <c r="X13" i="3"/>
  <c r="W13" i="3"/>
  <c r="D13" i="3"/>
  <c r="C13" i="3"/>
  <c r="AJ12" i="3"/>
  <c r="AI12" i="3"/>
  <c r="AF12" i="3"/>
  <c r="X12" i="3"/>
  <c r="W12" i="3"/>
  <c r="D12" i="3"/>
  <c r="C12" i="3"/>
  <c r="AJ11" i="3"/>
  <c r="AF11" i="3"/>
  <c r="AD11" i="3"/>
  <c r="AI11" i="3" s="1"/>
  <c r="X11" i="3"/>
  <c r="W11" i="3"/>
  <c r="D11" i="3"/>
  <c r="C11" i="3"/>
  <c r="AJ10" i="3"/>
  <c r="AI10" i="3"/>
  <c r="AF10" i="3"/>
  <c r="X10" i="3"/>
  <c r="W10" i="3"/>
  <c r="D10" i="3"/>
  <c r="C10" i="3"/>
  <c r="AJ9" i="3"/>
  <c r="AF9" i="3"/>
  <c r="AD9" i="3"/>
  <c r="AI9" i="3" s="1"/>
  <c r="X9" i="3"/>
  <c r="W9" i="3"/>
  <c r="D9" i="3"/>
  <c r="C9" i="3"/>
  <c r="AJ8" i="3"/>
  <c r="AI8" i="3"/>
  <c r="AF8" i="3"/>
  <c r="X8" i="3"/>
  <c r="W8" i="3"/>
  <c r="D8" i="3"/>
  <c r="C8" i="3"/>
  <c r="AJ7" i="3"/>
  <c r="AF7" i="3"/>
  <c r="AD7" i="3"/>
  <c r="AI7" i="3" s="1"/>
  <c r="X7" i="3"/>
  <c r="W7" i="3"/>
  <c r="D7" i="3"/>
  <c r="C7" i="3"/>
  <c r="AF6" i="3"/>
  <c r="AE6" i="3"/>
  <c r="AJ6" i="3" s="1"/>
  <c r="AD6" i="3"/>
  <c r="AI6" i="3" s="1"/>
  <c r="X6" i="3"/>
  <c r="W6" i="3"/>
  <c r="D6" i="3"/>
  <c r="C6" i="3"/>
  <c r="AF5" i="3"/>
  <c r="AE5" i="3"/>
  <c r="AD5" i="3"/>
  <c r="AI5" i="3" s="1"/>
  <c r="X5" i="3"/>
  <c r="W5" i="3"/>
  <c r="D5" i="3"/>
  <c r="C5" i="3"/>
  <c r="AJ4" i="3"/>
  <c r="AG4" i="3"/>
  <c r="AF4" i="3"/>
  <c r="AD4" i="3"/>
  <c r="AI4" i="3" s="1"/>
  <c r="X4" i="3"/>
  <c r="W4" i="3"/>
  <c r="D4" i="3"/>
  <c r="C4" i="3"/>
  <c r="AJ3" i="3"/>
  <c r="AG3" i="3"/>
  <c r="AF3" i="3"/>
  <c r="AD3" i="3"/>
  <c r="AI3" i="3" s="1"/>
  <c r="X3" i="3"/>
  <c r="W3" i="3"/>
  <c r="D3" i="3"/>
  <c r="C3" i="3"/>
  <c r="AJ2" i="3"/>
  <c r="AG2" i="3"/>
  <c r="AF2" i="3"/>
  <c r="AD2" i="3"/>
  <c r="X2" i="3"/>
  <c r="W2" i="3"/>
  <c r="D2" i="3"/>
  <c r="C2" i="3"/>
  <c r="AE207" i="3" l="1"/>
  <c r="AJ207" i="3" s="1"/>
  <c r="AF207" i="3"/>
  <c r="AJ206" i="3"/>
  <c r="AI206" i="3"/>
  <c r="AJ204" i="3"/>
  <c r="AI204" i="3"/>
  <c r="AI200" i="3"/>
  <c r="AJ200" i="3"/>
  <c r="AI176" i="3"/>
  <c r="AJ176" i="3"/>
  <c r="AI175" i="3"/>
  <c r="AJ175" i="3"/>
  <c r="AI174" i="3"/>
  <c r="AJ174" i="3"/>
  <c r="AJ173" i="3"/>
  <c r="AI173" i="3"/>
  <c r="AJ172" i="3"/>
  <c r="AI172" i="3"/>
  <c r="AI171" i="3"/>
  <c r="AJ171" i="3"/>
  <c r="AJ170" i="3"/>
  <c r="AI170" i="3"/>
  <c r="AJ169" i="3"/>
  <c r="AI169" i="3"/>
  <c r="AI168" i="3"/>
  <c r="AJ168" i="3"/>
  <c r="AJ167" i="3"/>
  <c r="AI167" i="3"/>
  <c r="AI166" i="3"/>
  <c r="AJ166" i="3"/>
  <c r="AJ165" i="3"/>
  <c r="AI165" i="3"/>
  <c r="AJ164" i="3"/>
  <c r="AI164" i="3"/>
  <c r="AI163" i="3"/>
  <c r="AJ163" i="3"/>
  <c r="AJ162" i="3"/>
  <c r="AI162" i="3"/>
  <c r="AI161" i="3"/>
  <c r="AJ161" i="3"/>
  <c r="AI160" i="3"/>
  <c r="AJ160" i="3"/>
  <c r="AI159" i="3"/>
  <c r="AJ159" i="3"/>
  <c r="AJ158" i="3"/>
  <c r="AI158" i="3"/>
  <c r="AI157" i="3"/>
  <c r="AJ157" i="3"/>
  <c r="AI156" i="3"/>
  <c r="AJ156" i="3"/>
  <c r="AJ155" i="3"/>
  <c r="AI155" i="3"/>
  <c r="AI154" i="3"/>
  <c r="AJ154" i="3"/>
  <c r="AJ140" i="3"/>
  <c r="AI140" i="3"/>
  <c r="AI139" i="3"/>
  <c r="AJ139" i="3"/>
  <c r="AI138" i="3"/>
  <c r="AJ138" i="3"/>
  <c r="AJ137" i="3"/>
  <c r="AI137" i="3"/>
  <c r="AI136" i="3"/>
  <c r="AJ136" i="3"/>
  <c r="AJ135" i="3"/>
  <c r="AI135" i="3"/>
  <c r="AI134" i="3"/>
  <c r="AJ134" i="3"/>
  <c r="AI133" i="3"/>
  <c r="AJ133" i="3"/>
  <c r="AJ132" i="3"/>
  <c r="AI132" i="3"/>
  <c r="AJ131" i="3"/>
  <c r="AI131" i="3"/>
  <c r="AJ130" i="3"/>
  <c r="AI130" i="3"/>
  <c r="AI129" i="3"/>
  <c r="AJ129" i="3"/>
  <c r="AJ71" i="3"/>
  <c r="AI71" i="3"/>
  <c r="AJ69" i="3"/>
  <c r="AI69" i="3"/>
  <c r="AI46" i="3"/>
  <c r="AJ46" i="3"/>
  <c r="AI45" i="3"/>
  <c r="AJ45" i="3"/>
  <c r="AI32" i="3"/>
  <c r="AJ32" i="3"/>
  <c r="AH292" i="3"/>
  <c r="AJ5" i="3"/>
  <c r="AE292" i="3"/>
  <c r="AD292" i="3"/>
  <c r="AF292" i="3"/>
</calcChain>
</file>

<file path=xl/sharedStrings.xml><?xml version="1.0" encoding="utf-8"?>
<sst xmlns="http://schemas.openxmlformats.org/spreadsheetml/2006/main" count="6187" uniqueCount="811">
  <si>
    <t>point</t>
  </si>
  <si>
    <t>WGS84</t>
  </si>
  <si>
    <t>Liberty Bay</t>
  </si>
  <si>
    <t>Anderson Island</t>
  </si>
  <si>
    <t>Eelgrass Restoration in PS</t>
  </si>
  <si>
    <t>McNeil Island</t>
  </si>
  <si>
    <t>Chico Bay</t>
  </si>
  <si>
    <t>Dyes Inlet</t>
  </si>
  <si>
    <t>Eld Inlet</t>
  </si>
  <si>
    <t>Pickering Passage</t>
  </si>
  <si>
    <t>Case Inlet</t>
  </si>
  <si>
    <t>Elliott Bay</t>
  </si>
  <si>
    <t>Puget Sound Eelgrass Restoration: 3 deltas</t>
  </si>
  <si>
    <t>Elwha Delta</t>
  </si>
  <si>
    <t xml:space="preserve"> </t>
  </si>
  <si>
    <t>Skagit Delta</t>
  </si>
  <si>
    <t>Quilcene Delta</t>
  </si>
  <si>
    <t>USFWS</t>
  </si>
  <si>
    <t>Carr Inlet</t>
  </si>
  <si>
    <t>Drayton Passage</t>
  </si>
  <si>
    <t>Westcott Bay</t>
  </si>
  <si>
    <t>Commencement Bay</t>
  </si>
  <si>
    <t>Quartermaster Harbor</t>
  </si>
  <si>
    <t>King County</t>
  </si>
  <si>
    <t>Dumas Bay</t>
  </si>
  <si>
    <t>planting_location_code</t>
  </si>
  <si>
    <t>planting_relationships</t>
  </si>
  <si>
    <t>Amsterdam Bay - PNNL - shallow - test - 2013</t>
  </si>
  <si>
    <t>Thom, RM, and L Hallum. 1990. Long‐term changes in the areal extent of tidal marshes, eelgrass meadows, and kelp forests of Puget Sound. FRI‐UW‐9008, Fisheries Research Institute, School of Fisheries, University of Washington, Seattle. Pp. 110.</t>
  </si>
  <si>
    <t>CPS</t>
  </si>
  <si>
    <t>20% more ZM</t>
  </si>
  <si>
    <t>WDFW</t>
  </si>
  <si>
    <t>National Estuary Program</t>
  </si>
  <si>
    <t>12-1117</t>
  </si>
  <si>
    <t xml:space="preserve"> IAA 12-316</t>
  </si>
  <si>
    <t>PNNL</t>
  </si>
  <si>
    <t>IAA 12-317</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</si>
  <si>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</si>
  <si>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test</t>
  </si>
  <si>
    <t>staple</t>
  </si>
  <si>
    <t>Thompson Cove</t>
  </si>
  <si>
    <t>Amsterdam Bay - PNNL - deep - test - 2013</t>
  </si>
  <si>
    <t>Anderson Island West - PNNL - test - 2015</t>
  </si>
  <si>
    <t>DNR</t>
  </si>
  <si>
    <t>Aquatic Restoration Program</t>
  </si>
  <si>
    <t>IAA 12-317.1</t>
  </si>
  <si>
    <t>Aston, L.A., A.B. Borde and J. Vavrinec. 2015. Final Summary Report - Eelgrass Restoration in Puget Sound Project Summary. Pacific Northwest National Laboratory, Richland, WA. PNNL-24445.</t>
  </si>
  <si>
    <t>Ketron Island</t>
  </si>
  <si>
    <t>Anderson Island West - PNNL - test - 2016</t>
  </si>
  <si>
    <t>Nisqually Reach</t>
  </si>
  <si>
    <t>USACE</t>
  </si>
  <si>
    <t>W912DW-14-2-0009 (93-099566)</t>
  </si>
  <si>
    <t>IAA 15-45</t>
  </si>
  <si>
    <t>93-099661</t>
  </si>
  <si>
    <t>rebar</t>
  </si>
  <si>
    <t>Sandy Point</t>
  </si>
  <si>
    <t>Anderson Island South - PNNL - test - 2016</t>
  </si>
  <si>
    <t>Also known as Gaeckle 3</t>
  </si>
  <si>
    <t>Anderson Island West - North - south - HC - test - 2017</t>
  </si>
  <si>
    <t>line</t>
  </si>
  <si>
    <t>Eelgrass Restoration in Puget Sound</t>
  </si>
  <si>
    <t>14-02072</t>
  </si>
  <si>
    <t>IAA 15-110</t>
  </si>
  <si>
    <t>Hart Crowser</t>
  </si>
  <si>
    <t>SC 16-17</t>
  </si>
  <si>
    <t>Shannon, J., J. Blanchette and J. Gaeckle. 2018. Eelgrass (Zostera marina) Restoration in Puget Sound, WA. Final Restoration and Monitoring Report (12059-05) for US EPA, Hart Crowser, Edmonds, WA. Pp. 131.</t>
  </si>
  <si>
    <t>turf</t>
  </si>
  <si>
    <t>Rocky Bay</t>
  </si>
  <si>
    <t>Referred to as 'Anderson Island West 1' in final report. Turfs plant 5-15 shoots per staple (X= ~10 shoots/staple). Estimated number of PUs at test-transplant site as 869/10 = 87.</t>
  </si>
  <si>
    <t>Anderson Island West - North - north - HC - test - 2017</t>
  </si>
  <si>
    <t>--</t>
  </si>
  <si>
    <t>Anderson Island West - South - south - HC - test - 2017</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</si>
  <si>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</si>
  <si>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</si>
  <si>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</si>
  <si>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</si>
  <si>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</si>
  <si>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</si>
  <si>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</si>
  <si>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</si>
  <si>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</si>
  <si>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</si>
  <si>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</si>
  <si>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IAA 15-101</t>
  </si>
  <si>
    <t>Site also known as Gaeckle 3, base line runs 320°</t>
  </si>
  <si>
    <t>Amsterdam Bay - PNNL - deeper - test - 2020</t>
  </si>
  <si>
    <t>Eelgrass Recovery in PS</t>
  </si>
  <si>
    <t>180 deg az, sandy with gravel some wispy ulva</t>
  </si>
  <si>
    <t>Anderson Island West - PNNL - test - 2020</t>
  </si>
  <si>
    <t>180deg az, sandy with little bit of ulva</t>
  </si>
  <si>
    <t>Anderson Island Northwest - PNNL - test - 2020</t>
  </si>
  <si>
    <t>170deg az, sandy with non-attached ulva</t>
  </si>
  <si>
    <t>Anderson Island South 1 - west - test - 2021</t>
  </si>
  <si>
    <t>DuPont Wharf</t>
  </si>
  <si>
    <t>Anderson Island South 2 - west - test - 2021</t>
  </si>
  <si>
    <t>Anderson Island South 3 - west - test - 2021</t>
  </si>
  <si>
    <t>Anderson Island - Carlson Bay SE - DNR - test 1 - 2023</t>
  </si>
  <si>
    <t>Blind Bay</t>
  </si>
  <si>
    <t>Blind Bay - DNR - test - 2020</t>
  </si>
  <si>
    <t>SVMP</t>
  </si>
  <si>
    <t>SJS</t>
  </si>
  <si>
    <t>Eelgrass Recovery in the San Juan Islands</t>
  </si>
  <si>
    <t>SRFB - 19-1402</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</si>
  <si>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</si>
  <si>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Fay Bainbridge</t>
  </si>
  <si>
    <t>Henry Island</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</si>
  <si>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</si>
  <si>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Ship Harbor</t>
  </si>
  <si>
    <t>Mixed</t>
  </si>
  <si>
    <t>Chico Bay - PNNL - test - 2015</t>
  </si>
  <si>
    <t>Creosote Point</t>
  </si>
  <si>
    <t>Commencement Bay - PNNL - Test Plot shallow - 2017</t>
  </si>
  <si>
    <t>WA F16AP00163 AL</t>
  </si>
  <si>
    <t>93-094344</t>
  </si>
  <si>
    <t>Commencement Bay - PNNL - Test Plot deep - 2017</t>
  </si>
  <si>
    <t>Commencement Bay - PNNL - large - 2018</t>
  </si>
  <si>
    <t>Planting occurred near 2 test plots so planting was irregular to not overlap with the test plots. See planting diagram</t>
  </si>
  <si>
    <t>Commencement Bay - PNNL - large - 2019</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</si>
  <si>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</si>
  <si>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</si>
  <si>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</si>
  <si>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"mega"-bundles were planted with 260 shoots on 26 staples outside of the plot and just south</t>
  </si>
  <si>
    <t>Delano W T1 - HC - test - 2016</t>
  </si>
  <si>
    <t xml:space="preserve"> IAA 15-110</t>
  </si>
  <si>
    <t>burlap</t>
  </si>
  <si>
    <t>Cutts Island</t>
  </si>
  <si>
    <t>transect line that includes 3 test plots</t>
  </si>
  <si>
    <t>Delano W T2 - HC - test - 2016</t>
  </si>
  <si>
    <t>Delano Beach - SE - HC - large - 2016</t>
  </si>
  <si>
    <t>Delano Beach - SW - HC - large - 2016</t>
  </si>
  <si>
    <t>Delano Beach - NE - HC - large - 2016</t>
  </si>
  <si>
    <t>Delano Beach - NW - HC - large - 2016</t>
  </si>
  <si>
    <t>Delano Beach East - north - HC - test - 2017</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</si>
  <si>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</si>
  <si>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</si>
  <si>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</si>
  <si>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</si>
  <si>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Nearshore Habitat Program</t>
  </si>
  <si>
    <t>transplanted 4, 0.25 m2 patches. 3 patches had 3, 50 cm lengths of rebar each with 25 shoots while 1 patch had 2, 50 cm lengths of rebar each with 25 shoots.</t>
  </si>
  <si>
    <t xml:space="preserve">Delano Beach East - north - HC - test - enhancement </t>
  </si>
  <si>
    <t>transplanted 3, 0.25 m2 patch with 3, 50 cm lengths of rebar each with 25 shoots near north buoy</t>
  </si>
  <si>
    <t>Delano Beach East - PNNL - test - 2020</t>
  </si>
  <si>
    <t>180deg az, sandy with shell hash, some ulva with sand on it and chaetomorpha, firm bottom</t>
  </si>
  <si>
    <t>Delano Beach West - PNNL - test - 2020</t>
  </si>
  <si>
    <t>270deg az, sandy with patches of ulva and other "green stuff"</t>
  </si>
  <si>
    <t>Delano Beach West - PNNL - large - 2021</t>
  </si>
  <si>
    <t>Green Point</t>
  </si>
  <si>
    <t>Delano Beach West - DNR - shallow - test - 2021</t>
  </si>
  <si>
    <t>Delano Beach West - DNR - deep - test - 2021</t>
  </si>
  <si>
    <t>Dumas Bay - KC Zm Restoration - test - 2020</t>
  </si>
  <si>
    <t>East Passage</t>
  </si>
  <si>
    <t>King County Department of Natural Resources and Parks Wastewater Treatment Division</t>
  </si>
  <si>
    <t>93-097520</t>
  </si>
  <si>
    <t>eelgrass harvested from area between Transects B and C at the Dumas Bay SeagrassNet site (WA50.1)</t>
  </si>
  <si>
    <t>Dumas Bay - KC Zm Restoration - test - 2021</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</si>
  <si>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</si>
  <si>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</si>
  <si>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</si>
  <si>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</si>
  <si>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</si>
  <si>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</si>
  <si>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</si>
  <si>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 xml:space="preserve">planted 20 rebar (6, 0.25 m2 plots + 2 rebar) parallel to shore and deeper than 2021 test transplants from 05/26/2021. </t>
  </si>
  <si>
    <t>Eld Inlet - shallow - PNNL - test - 2015</t>
  </si>
  <si>
    <t>SPS</t>
  </si>
  <si>
    <t>Windy Bluff</t>
  </si>
  <si>
    <t>"mega"-bundles were planted with 260 shoots on 26 staples outside of the plot 1 m west of the shallow plot</t>
  </si>
  <si>
    <t>Eld Inlet - deep - PNNL - test - 2015</t>
  </si>
  <si>
    <t>"mega"-bundles were planted nearby, see Eld Inlet shallow</t>
  </si>
  <si>
    <t>Eld Inlet - PNNL - test - 2020</t>
  </si>
  <si>
    <t>160deg az, mixed fines, soft, no algae</t>
  </si>
  <si>
    <t>Elwha Delta - deep west - PNNL - test - 2016</t>
  </si>
  <si>
    <t>Freshwater Bay</t>
  </si>
  <si>
    <t>Elwha Delta - shallow west - PNNL - test - 2016</t>
  </si>
  <si>
    <t>Fudge Point</t>
  </si>
  <si>
    <t>Fudge Point South - north - DNR - rebar test - 2017</t>
  </si>
  <si>
    <t>Fudge Point South - south - HC - test - 2017</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</si>
  <si>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</si>
  <si>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</si>
  <si>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</si>
  <si>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</si>
  <si>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</si>
  <si>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</si>
  <si>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</si>
  <si>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</si>
  <si>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</si>
  <si>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</si>
  <si>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</si>
  <si>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</si>
  <si>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planting depths on slope depth range of -1.2m, MLLW to -2.1m, MLLW</t>
  </si>
  <si>
    <t>Graham Point - DNR - test - chia -2016</t>
  </si>
  <si>
    <t>planted 0.0625 m2 rebar quads at 0 m, -0.2 m, -0.3 m &amp; -0.4 m (4 total 0.0625 m2 quads). Planted slightly shallower than 2015 test plots.</t>
  </si>
  <si>
    <t>Harstine Island</t>
  </si>
  <si>
    <t>Harstine Island - PNNL - Test Plot 2 of 4 (north plot) - 2017</t>
  </si>
  <si>
    <t>S screw anchor for test plot</t>
  </si>
  <si>
    <t>Harstine Island - PNNL - Test Plot 3 of 4 (south plot) - 2017</t>
  </si>
  <si>
    <t>Harstine Island - PNNL - Test Plot 4 of 4 (south of south plot) staples - 2017</t>
  </si>
  <si>
    <t>side by side plantings using 2 methods</t>
  </si>
  <si>
    <t>Harstine Island - PNNL - Test Plot 4 of 4 (south of south plot) rebar - 2017</t>
  </si>
  <si>
    <t>Harstine Island - PNNL - Test Plot 1 of 4 (north of north plot) - 2017</t>
  </si>
  <si>
    <t>Harstine - PNNL - Large Scale 1 - north (deep) - 2018</t>
  </si>
  <si>
    <t>Rocky Point</t>
  </si>
  <si>
    <t>base line runs 30°M; 25 shoots/rebar; 552 rebar planted on the offshore side of the base line, see planting diagram, offshore transect</t>
  </si>
  <si>
    <t>Harstine - PNNL - Large Scale 1 - south (shallow) - 2018</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</si>
  <si>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</si>
  <si>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40 m screw anchor for baseline, but planting stopped at 31 m</t>
  </si>
  <si>
    <t>Harstine Island - PNNL - Large Scale 2 - shallow - 2019</t>
  </si>
  <si>
    <t>Anderson Island, Windy Bluff</t>
  </si>
  <si>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</si>
  <si>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</si>
  <si>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</si>
  <si>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</si>
  <si>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</si>
  <si>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</si>
  <si>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330 deg az, substrate is bare sand, little more current at this site on a rising tide, substrate is more course and sand is not sticky</t>
  </si>
  <si>
    <t>Harstine Island - PNNL - Test Plot 6 (south of south plot) rebar shallow - 2020</t>
  </si>
  <si>
    <t>15deg azimuth, offshore depth 11ft dive computer,</t>
  </si>
  <si>
    <t>Herron Island</t>
  </si>
  <si>
    <t>Herron Island - PNNL - test - 2015</t>
  </si>
  <si>
    <t>"mega"-bundles were planted with 260 shoots on 26 staples outside of the plot and south</t>
  </si>
  <si>
    <t>Hunter Point</t>
  </si>
  <si>
    <t>Edgewater - south - PNNL - test - 2015</t>
  </si>
  <si>
    <t>SW corner of plot</t>
  </si>
  <si>
    <t>Edgewater - north - PNNL - test - 2015</t>
  </si>
  <si>
    <t>SW corner of plot, depth taken at NE corner of plot</t>
  </si>
  <si>
    <t>Edgewater - south - PNNL - test - deep - 2020</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</si>
  <si>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</si>
  <si>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</si>
  <si>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</si>
  <si>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</si>
  <si>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</si>
  <si>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Windy Bluff/Thompson Cove</t>
  </si>
  <si>
    <t>Plants from two donor sites were tested at Joemma Beach State Park. Helical removed from test plot on 7 June 2016.</t>
  </si>
  <si>
    <t>Joemma Beach State Park Mid - PNNL - deep - test - 2013</t>
  </si>
  <si>
    <t>Plants from two donor sites were tested at Joemma State Park</t>
  </si>
  <si>
    <t>Joemma Beach State Park Mid South - W - PNNL - large - 2015</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</si>
  <si>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</si>
  <si>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</si>
  <si>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</si>
  <si>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</si>
  <si>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</si>
  <si>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</si>
  <si>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</si>
  <si>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</si>
  <si>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</si>
  <si>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Aston, L.A., A.B. Borde and J. Vavrinec. 2015. Final Summary Report - Eelgrass Restoration in Puget Sound Project Summary. Pacific Northwest National Laboratory, Sequim, WA. PNNL-24445.</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</si>
  <si>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</si>
  <si>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</si>
  <si>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</si>
  <si>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</si>
  <si>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</si>
  <si>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</si>
  <si>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</si>
  <si>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</si>
  <si>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planned, site is between JSP and Taylor Bay</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</si>
  <si>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</si>
  <si>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</si>
  <si>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</si>
  <si>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</si>
  <si>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</si>
  <si>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 Mid - chia - 2016</t>
  </si>
  <si>
    <t>Planted 9, rebar quads (0.0625 m2) at the south end of Transect 3 at Joemma Beach State Park Mid South - PNNL - large - 2015.</t>
  </si>
  <si>
    <t>Joemma Beach State Park North - south - HC - test 1 - 2017</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</si>
  <si>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</si>
  <si>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</si>
  <si>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</si>
  <si>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</si>
  <si>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</si>
  <si>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</si>
  <si>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</si>
  <si>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</si>
  <si>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</si>
  <si>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</si>
  <si>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</si>
  <si>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</si>
  <si>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</si>
  <si>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</si>
  <si>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</si>
  <si>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</si>
  <si>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</si>
  <si>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</si>
  <si>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</si>
  <si>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</si>
  <si>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</si>
  <si>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</si>
  <si>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BESE: Biodegradable ecosystem engineering elements</t>
  </si>
  <si>
    <t>Biodegradable ecosystem engineering elements (BESE) for Marjolijn Christianen, Wageningen University &amp; Research, Netherlands. Overall area was 1 m2. Actual was 0.1 m2 (10 x 10 cm area in center of BESE. 3 planting units with 4 shoots each. DuPont Wharf shoots.</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</si>
  <si>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</si>
  <si>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</si>
  <si>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</si>
  <si>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</si>
  <si>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</si>
  <si>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</si>
  <si>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</si>
  <si>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</si>
  <si>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</si>
  <si>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</si>
  <si>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</si>
  <si>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</si>
  <si>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Zm Restoration Methods Assessment</t>
  </si>
  <si>
    <t>overall area was 10 m x 4 m (40 m2), Actual area was 5 m2 (20, 0.25 m2 plots)</t>
  </si>
  <si>
    <t>Joemma Beach State Park North - SW - DNR - methods - 2017</t>
  </si>
  <si>
    <t>washer</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</si>
  <si>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</si>
  <si>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</si>
  <si>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</si>
  <si>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</si>
  <si>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</si>
  <si>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</si>
  <si>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</si>
  <si>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</si>
  <si>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</si>
  <si>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</si>
  <si>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</si>
  <si>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 xml:space="preserve">4, 50 cm long rebar with 20 shoots attached to each placed between Transects 4 &amp; 5 of JBSP Mid South - PNNL - large - 2015, approximately 10 m from southern end of transects. </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</si>
  <si>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</si>
  <si>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</si>
  <si>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</si>
  <si>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Joemma Beach State Park Mid - DNR - BESE v1 - 1 - Aboveground (AG)</t>
  </si>
  <si>
    <t>BESE setup version 1 - setup was incorrect. Rather than removing all the eelgrass, it was left in place and new BESEs set just westward. 3 planting units with 4 shoots each. Dumas Bay shoots.</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</si>
  <si>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</si>
  <si>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</si>
  <si>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</si>
  <si>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</si>
  <si>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</si>
  <si>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</si>
  <si>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</si>
  <si>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</si>
  <si>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</si>
  <si>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</si>
  <si>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</si>
  <si>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</si>
  <si>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</si>
  <si>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3, 50 cm long rebar with 20 shoots attached to each placed between Transects 3 &amp; 4 of JBSP Mid South - PNNL - large - 2015. These plantings are new and between transects 3 &amp; 4.</t>
  </si>
  <si>
    <t>Joemma Beach State Park - Mid - Rebar 1 - 2018</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</si>
  <si>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</si>
  <si>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</si>
  <si>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</si>
  <si>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</si>
  <si>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</si>
  <si>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Joemma Beach State Park - Mid - Rebar 2 - 2018</t>
  </si>
  <si>
    <t>Transplanted 3, 50 cm long lengths of rebar with 21 shoots each in a 0.25 m2 area.  3 replicates total along a 16 m transect between the north and south points.</t>
  </si>
  <si>
    <t>Joemma Beach State Park - Mid - Rebar 3 - 2018</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</si>
  <si>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</si>
  <si>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</si>
  <si>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</si>
  <si>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</si>
  <si>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Planted 4, 0.25 m2 plots of 3 rebar each with Dumas Bay Zm just shoreward of the 2018 Rebar-Puck transplants.</t>
  </si>
  <si>
    <t>Joemma Beach State Park South of South- PNNL - test - 2020</t>
  </si>
  <si>
    <t>130deg az, sed sandy, wispy ulva, 15' depth baseline and 17' depth offshore at 1235, Whiskey Beach Ct SW is the nearest road so planting location is WHB_test_1</t>
  </si>
  <si>
    <t>Joemma Beach State Park - Mid - Rebar - 2021</t>
  </si>
  <si>
    <t xml:space="preserve">Planted just south of Joemma Beach State Park South - SE - HC - large 1 - 2016. </t>
  </si>
  <si>
    <t>Joemma Beach State Park - Mid - Rebar - 2022</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</si>
  <si>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</si>
  <si>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</si>
  <si>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</si>
  <si>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</si>
  <si>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</si>
  <si>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</si>
  <si>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</si>
  <si>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300 deg az, deep sand good current to keep algae away* this was at the slack tide</t>
  </si>
  <si>
    <t>Liberty Bay East - PNNL - test - 2013</t>
  </si>
  <si>
    <t>Sandy Hook</t>
  </si>
  <si>
    <t>Liberty Bay West - PNNL - test - 2013</t>
  </si>
  <si>
    <t>McDermott Point</t>
  </si>
  <si>
    <t>McDermott Point South - south - HC - test - 2017</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</si>
  <si>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</si>
  <si>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</si>
  <si>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</si>
  <si>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</si>
  <si>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</si>
  <si>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</si>
  <si>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200deg az , sandy with patchy ulva but not much, fist-sized pockmarks possibly bivalves</t>
  </si>
  <si>
    <t>McNeil Island - north - PNNL - test - 2015</t>
  </si>
  <si>
    <t>South Shore -PNNL - test - 1 - (eastern most) - 2016</t>
  </si>
  <si>
    <t>South Shore - PNNL - test - 2  - (middle) - 2016</t>
  </si>
  <si>
    <t>South Shore - PNNL - test - 3  - (western most) - 2016</t>
  </si>
  <si>
    <t>Still Harbor - PNNL - test - 1  - (southern most) - 2016</t>
  </si>
  <si>
    <t>Still Harbor - PNNL - test - 2  - rebar (northern most) - 2016</t>
  </si>
  <si>
    <t xml:space="preserve">side by side plantings using 2 methods. </t>
  </si>
  <si>
    <t>Still Harbor - PNNL - test - 2  - staple (northern most) - 2016</t>
  </si>
  <si>
    <t>McNeil Island North - PNNL - test - 1 - 2017</t>
  </si>
  <si>
    <t>McNeil Island North - PNNL - test - 2 - 2017</t>
  </si>
  <si>
    <t>McNeil Island South - mid plot - PNNL - large - 2017</t>
  </si>
  <si>
    <t>McNeil Island South - east plot - PNNL - large - 2017</t>
  </si>
  <si>
    <t>screw anchor at 0m and 16.5 m but only planted through 7.5m  because test plot not as successful as other test plots</t>
  </si>
  <si>
    <t>McNeil Island South - west plot - PNNL - large - 2017</t>
  </si>
  <si>
    <t>screw anchors at 0m and 25m</t>
  </si>
  <si>
    <t>Milwaukee Dock</t>
  </si>
  <si>
    <t>Milwaukee Dock southern depression - PNNL - test - anchor1 - 2017</t>
  </si>
  <si>
    <t>Eagle Harbor</t>
  </si>
  <si>
    <t>Testing to see if rebar will hold better than failed staples at this site. See planting diagram</t>
  </si>
  <si>
    <t>Milwaukee Dock southern depression - PNNL - test - anchor3 - 2017</t>
  </si>
  <si>
    <t>Myrtle Edwards</t>
  </si>
  <si>
    <t>Myrtle Edwards - DNR - test - DW - 2021</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</si>
  <si>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</si>
  <si>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</si>
  <si>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</si>
  <si>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</si>
  <si>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 xml:space="preserve">planted 2, 0.25 m2 plots of 3 rebar each with DuPont Wharf Zm near remaining 3 shoots from 2021 test transplant. Transplants were adjacent to rip rap. </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</si>
  <si>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</si>
  <si>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</si>
  <si>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</si>
  <si>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</si>
  <si>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</si>
  <si>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</si>
  <si>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</si>
  <si>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</si>
  <si>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</si>
  <si>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</si>
  <si>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Port Gamble Bay</t>
  </si>
  <si>
    <t>Port Gamble Bay - PNNL - test 5 - 2014</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</si>
  <si>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</si>
  <si>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HDC</t>
  </si>
  <si>
    <t>Port Gamble Bay Eelgrass Restoration Project</t>
  </si>
  <si>
    <t>Ecology</t>
  </si>
  <si>
    <t>Toxics Cleanup Program</t>
  </si>
  <si>
    <t>C1400158</t>
  </si>
  <si>
    <t xml:space="preserve"> 14-147</t>
  </si>
  <si>
    <t>IAA 14-293</t>
  </si>
  <si>
    <t>Vavrinec, J. and A.B. Borde. 2015. Port Gamble eelgrass restoration project summary. Prepared for the Washington State Department of Ecology contracts IAA C1400158 and IAA 14-147. Pacific Northwest National Laboratory, Richland, WA. PNNL-24432.</t>
  </si>
  <si>
    <t>Point Julia</t>
  </si>
  <si>
    <t>Port Gamble Bay - PNNL - test 2 - 2014</t>
  </si>
  <si>
    <t>Port Gamble Bay - PNNL - test 3 - 2014</t>
  </si>
  <si>
    <t>Port Gamble Bay - PNNL - test 4 - 2014</t>
  </si>
  <si>
    <t>Port Gamble Bay - PNNL - test 1 - 2014</t>
  </si>
  <si>
    <t>Port Gamble Bay - PNNL - test 6 - 2014</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</si>
  <si>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</si>
  <si>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</si>
  <si>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</si>
  <si>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</si>
  <si>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</si>
  <si>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</si>
  <si>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</si>
  <si>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</si>
  <si>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</si>
  <si>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</si>
  <si>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</si>
  <si>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</si>
  <si>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</si>
  <si>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</si>
  <si>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</si>
  <si>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</si>
  <si>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Quartermaster Harbor - PNNL - Test Plot 1S - 2018</t>
  </si>
  <si>
    <t>base line runs 230°M; 20 shoots/rebar; 30 rebar planted on the offshore side of baseline</t>
  </si>
  <si>
    <t>Quartermaster Harbor - PNNL - Test Plot 1D - 2018</t>
  </si>
  <si>
    <t>base line runs 240°M; 20 shoots/rebar; 30 rebar planted on the offshore side of baseline</t>
  </si>
  <si>
    <t>Quartermaster Harbor - PNNL - Test Plot 4S - 2018</t>
  </si>
  <si>
    <t>base line runs 90°M; 20 shoots/rebar; 30 rebar planted on the offshore side of baseline</t>
  </si>
  <si>
    <t>Quartermaster Harbor - PNNL - Test Plot 4D - 2018</t>
  </si>
  <si>
    <t>Quartermaster Harbor - PNNL - Test Plot 5S - 2018</t>
  </si>
  <si>
    <t>Quartermaster Harbor - PNNL - Test Plot 5D - 2018</t>
  </si>
  <si>
    <t>Quartermaster Harbor - PNNL - Test Plot 2D - 2018</t>
  </si>
  <si>
    <t>base line runs 305°M; 20 shoots/rebar; 30 rebar planted on the offshore side of baseline</t>
  </si>
  <si>
    <t>Quartermaster Harbor - PNNL - Test Plot 3S - 2018</t>
  </si>
  <si>
    <t>base line runs 40°M; 20 shoots/rebar; 30 rebar planted on the offshore side of baseline</t>
  </si>
  <si>
    <t>Quartermaster Harbor - PNNL - Test Plot 3D - 2018</t>
  </si>
  <si>
    <t>base line runs 25°M;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</si>
  <si>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</si>
  <si>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</si>
  <si>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</si>
  <si>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</si>
  <si>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Quartermaster Harbor - PNNL - Test Plot 5a - 2021</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</si>
  <si>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</si>
  <si>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</si>
  <si>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</si>
  <si>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</si>
  <si>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</si>
  <si>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</si>
  <si>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</si>
  <si>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</si>
  <si>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</si>
  <si>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</si>
  <si>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</si>
  <si>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</si>
  <si>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</si>
  <si>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</si>
  <si>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</si>
  <si>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</si>
  <si>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</si>
  <si>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 xml:space="preserve">Shine Beach </t>
  </si>
  <si>
    <t>Shine Beach - Squamish Harbor - DNR - test 1 - 2023</t>
  </si>
  <si>
    <t>Squamish Harbor</t>
  </si>
  <si>
    <t>Shine Beach</t>
  </si>
  <si>
    <t>Skagit Delta - PNNL - test - 1 - 2016</t>
  </si>
  <si>
    <t>Thom, RM, and L Hallum. 1990. Long‐term changes in the areal extent of tidal marshes, eelgrass meadows, and kelp forests of Puget Sound. FRI‐UW‐9008, Fisheries Research Institute, School of Fisheries, University of Washington, Seattle. Pp. 110.
SVMP Program</t>
  </si>
  <si>
    <t xml:space="preserve">Skagit Bay </t>
  </si>
  <si>
    <t>SWH</t>
  </si>
  <si>
    <t>Skagit Bay</t>
  </si>
  <si>
    <t>screw anchors 3 meters apart</t>
  </si>
  <si>
    <t>Skagit Delta - PNNL - test - 2 - 2016</t>
  </si>
  <si>
    <t>screw anchors 2 meters apart</t>
  </si>
  <si>
    <t>Skagit Delta - PNNL - test - 5 - 2016</t>
  </si>
  <si>
    <t>screw anchors 1.5 meters apart</t>
  </si>
  <si>
    <t>Skagit Delta - PNNL - test - 6 - 2016</t>
  </si>
  <si>
    <t>Stretch Island</t>
  </si>
  <si>
    <t>Stretch Island - PNNL - test - 2015</t>
  </si>
  <si>
    <t>"mega"-bundles were planted with 260 shoots on 26 staples outside of the plot 4 m west of the SW corner, at -1.5m, MLLW</t>
  </si>
  <si>
    <t>Taylor Bay</t>
  </si>
  <si>
    <t>Taylor Bay North - HC - test - 2016</t>
  </si>
  <si>
    <t>Taylor Bay South - HC - test - 2016</t>
  </si>
  <si>
    <t>Westcott Bay East - PNNL - test - 2013</t>
  </si>
  <si>
    <t>PNNL - MSL Tanks</t>
  </si>
  <si>
    <t>head of bay, planted along a depth gradient from -4.0' to -6.0'</t>
  </si>
  <si>
    <t>Westcott Bay West - PNNL - test - 2013</t>
  </si>
  <si>
    <t>middle of bay, planted along a depth gradient from -5.0' to -9.0'</t>
  </si>
  <si>
    <t>Westcott Bay - PNNL - Test Plot A - 2017</t>
  </si>
  <si>
    <t>Bell Point, Stuart Island</t>
  </si>
  <si>
    <t>Westcott Bay - PNNL - Test Plot B - 2017</t>
  </si>
  <si>
    <t>Bell Point</t>
  </si>
  <si>
    <t>Westcott Bay - PNNL - Test Plot C - 2017</t>
  </si>
  <si>
    <t>Mitchell Bay</t>
  </si>
  <si>
    <t>Westcott Bay - PNNL - Test Plot D - 2017</t>
  </si>
  <si>
    <t>Westcott Bay - Bell Point North - DNR - test - 2020-Dumas</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</si>
  <si>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</si>
  <si>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</si>
  <si>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</si>
  <si>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</si>
  <si>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</si>
  <si>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</si>
  <si>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</si>
  <si>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</si>
  <si>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personal observation</t>
  </si>
  <si>
    <t>Dana Passage</t>
  </si>
  <si>
    <t>Zangle Cove - NW - PNNL - large - 2015</t>
  </si>
  <si>
    <t>See planting diagram</t>
  </si>
  <si>
    <t>Zangle Cove - NE - PNNL - large - 2015</t>
  </si>
  <si>
    <t>Zangle Cove - SE - PNNL - large - 2015</t>
  </si>
  <si>
    <t>Zangle Cove - SW - PNNL - large - 2015</t>
  </si>
  <si>
    <t>Zangle Cove - SW - PNNL - test - 2015</t>
  </si>
  <si>
    <t>Zangle Cove - DNR - test - 1 Chia - 2016</t>
  </si>
  <si>
    <t>1, 0.0625 m2 rebar quads planted and PAR sensor installed ~ 2 m away</t>
  </si>
  <si>
    <t>Zangle Cove - DNR - test - 4 Chia - 2016</t>
  </si>
  <si>
    <t>4, 0.0625 m2 rebar quads planted (chia pets)</t>
  </si>
  <si>
    <t>total shoots</t>
  </si>
  <si>
    <t>AMS_shallow</t>
  </si>
  <si>
    <t>single</t>
  </si>
  <si>
    <t>retain</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</si>
  <si>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</si>
  <si>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</si>
  <si>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</si>
  <si>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</si>
  <si>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</si>
  <si>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</si>
  <si>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</si>
  <si>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</si>
  <si>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</si>
  <si>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</si>
  <si>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</si>
  <si>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</si>
  <si>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</si>
  <si>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</si>
  <si>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</si>
  <si>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</si>
  <si>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</si>
  <si>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</si>
  <si>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</si>
  <si>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</si>
  <si>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</si>
  <si>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</si>
  <si>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</si>
  <si>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HPT_south_1</t>
  </si>
  <si>
    <t>added 1</t>
  </si>
  <si>
    <t>HPT_north_2</t>
  </si>
  <si>
    <t>added 2</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</si>
  <si>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</si>
  <si>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</si>
  <si>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</si>
  <si>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</si>
  <si>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</si>
  <si>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</si>
  <si>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</si>
  <si>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</si>
  <si>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</si>
  <si>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</si>
  <si>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</si>
  <si>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</si>
  <si>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</si>
  <si>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</si>
  <si>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</si>
  <si>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</si>
  <si>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</si>
  <si>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</si>
  <si>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</si>
  <si>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</si>
  <si>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</si>
  <si>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</si>
  <si>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drop</t>
  </si>
  <si>
    <t>JSP_north</t>
  </si>
  <si>
    <t>JSP_south_P1</t>
  </si>
  <si>
    <t>MCN_south_1</t>
  </si>
  <si>
    <t>MCN_south_2</t>
  </si>
  <si>
    <t>MCN_south_3</t>
  </si>
  <si>
    <t>MCN_still_1</t>
  </si>
  <si>
    <t>MCN_still_2</t>
  </si>
  <si>
    <t>colocated</t>
  </si>
  <si>
    <t>PEN_L1</t>
  </si>
  <si>
    <t>QLC_north1</t>
  </si>
  <si>
    <t>point?</t>
  </si>
  <si>
    <t>QLC_north2</t>
  </si>
  <si>
    <t>QLC_north3</t>
  </si>
  <si>
    <t>QLC_mid1</t>
  </si>
  <si>
    <t>QLC_mid2</t>
  </si>
  <si>
    <t>QLC_mid3</t>
  </si>
  <si>
    <t>QLC_south1</t>
  </si>
  <si>
    <t>QLC_south2</t>
  </si>
  <si>
    <t>QLC_south3</t>
  </si>
  <si>
    <t>SKG_1</t>
  </si>
  <si>
    <t>SKG_2</t>
  </si>
  <si>
    <t>SKG_5</t>
  </si>
  <si>
    <t>SKG_6</t>
  </si>
  <si>
    <t>TAY_L1</t>
  </si>
  <si>
    <t>line?</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</si>
  <si>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</si>
  <si>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</si>
  <si>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</si>
  <si>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</si>
  <si>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</si>
  <si>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</si>
  <si>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</si>
  <si>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</si>
  <si>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</si>
  <si>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</si>
  <si>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</si>
  <si>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</si>
  <si>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</si>
  <si>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</si>
  <si>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</si>
  <si>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</si>
  <si>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</si>
  <si>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</si>
  <si>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</si>
  <si>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</si>
  <si>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</si>
  <si>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</si>
  <si>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</si>
  <si>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</si>
  <si>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</si>
  <si>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</si>
  <si>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</si>
  <si>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</si>
  <si>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</si>
  <si>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</si>
  <si>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</si>
  <si>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</si>
  <si>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</si>
  <si>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</si>
  <si>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</si>
  <si>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</si>
  <si>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</si>
  <si>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</si>
  <si>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</si>
  <si>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</si>
  <si>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</si>
  <si>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</si>
  <si>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</si>
  <si>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</si>
  <si>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</si>
  <si>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</si>
  <si>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</si>
  <si>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</si>
  <si>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</si>
  <si>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</si>
  <si>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</si>
  <si>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</si>
  <si>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</si>
  <si>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</si>
  <si>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</si>
  <si>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</si>
  <si>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</si>
  <si>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</si>
  <si>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</si>
  <si>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</si>
  <si>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</si>
  <si>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</si>
  <si>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</si>
  <si>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</si>
  <si>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</si>
  <si>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</si>
  <si>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</si>
  <si>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</si>
  <si>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</si>
  <si>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</si>
  <si>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</si>
  <si>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</si>
  <si>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</si>
  <si>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</si>
  <si>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</si>
  <si>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</si>
  <si>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</si>
  <si>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</si>
  <si>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</si>
  <si>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</si>
  <si>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</si>
  <si>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</si>
  <si>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</si>
  <si>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</si>
  <si>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</si>
  <si>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</si>
  <si>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</si>
  <si>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</si>
  <si>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</si>
  <si>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</si>
  <si>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</si>
  <si>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</si>
  <si>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</si>
  <si>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</si>
  <si>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</si>
  <si>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</si>
  <si>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</si>
  <si>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</si>
  <si>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</si>
  <si>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</si>
  <si>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</si>
  <si>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</si>
  <si>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</si>
  <si>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BB_test_1</t>
  </si>
  <si>
    <t>COM_L2</t>
  </si>
  <si>
    <t>DEL_east_1</t>
  </si>
  <si>
    <t>DEL_west_1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</si>
  <si>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</si>
  <si>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</si>
  <si>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</si>
  <si>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</si>
  <si>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</si>
  <si>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</si>
  <si>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</si>
  <si>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</si>
  <si>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</si>
  <si>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</si>
  <si>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</si>
  <si>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</si>
  <si>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</si>
  <si>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</si>
  <si>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</si>
  <si>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</si>
  <si>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</si>
  <si>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</si>
  <si>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repeated HAR_4 - this is rebar, other is staples?</t>
  </si>
  <si>
    <t>HPT_south_2</t>
  </si>
  <si>
    <t>JSP_chia_1</t>
  </si>
  <si>
    <t>not sure what to do with this</t>
  </si>
  <si>
    <t>MCD_1</t>
  </si>
  <si>
    <t>SHB_1</t>
  </si>
  <si>
    <t>OTB_1</t>
  </si>
  <si>
    <t>MRE_1</t>
  </si>
  <si>
    <t xml:space="preserve">giving yr1, 2021, _1 </t>
  </si>
  <si>
    <t>MRE_2</t>
  </si>
  <si>
    <t>giving yr2, 2022, _2</t>
  </si>
  <si>
    <t>AMS_deeper</t>
  </si>
  <si>
    <t>AND_west3</t>
  </si>
  <si>
    <t>curious why Large Scale are indicated as L, whereas Test plots are just a #. Sometimes with a space between the previous descriptor or no space???</t>
  </si>
  <si>
    <t>AND_nw1</t>
  </si>
  <si>
    <t>AND_west4</t>
  </si>
  <si>
    <t>AND_west5</t>
  </si>
  <si>
    <t>AND_west6</t>
  </si>
  <si>
    <t>AND_se1</t>
  </si>
  <si>
    <t>KYP_dog1</t>
  </si>
  <si>
    <t>WES_test_1</t>
  </si>
  <si>
    <t>2020 transect with multiple donor sources. Similar effort completed in Blind Bay</t>
  </si>
  <si>
    <t>planting location code is similar to code for Blind Bay (BB_test_1)</t>
  </si>
  <si>
    <t>WHB_test_1</t>
  </si>
  <si>
    <t>JSP_mid_4</t>
  </si>
  <si>
    <t>JSP_mid_connect</t>
  </si>
  <si>
    <t>this was 4 small, 0.25m2, plots connecting HC2016 with PNNL2015. Is this considered a point or line?</t>
  </si>
  <si>
    <t>HC_off_1</t>
  </si>
  <si>
    <t>HC_off_2</t>
  </si>
  <si>
    <t>JSP_south_test</t>
  </si>
  <si>
    <t>planted south of HC2016</t>
  </si>
  <si>
    <t>these transplants were planted in 2021 and are a repeat of previous transplant plots that were planted in just 2018. How do we account for this repeat transplant that occurred in roughly the same location but a different year (2018 vs 2021)?</t>
  </si>
  <si>
    <t>other challenge is there are 4 - 4S locations, 2 - 5a locations, and 1 additional 4S for 2022</t>
  </si>
  <si>
    <t>copies the 2018 planting_location_code</t>
  </si>
  <si>
    <t>QMH_5a</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</si>
  <si>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</si>
  <si>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</si>
  <si>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</si>
  <si>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site_name</t>
  </si>
  <si>
    <t>water_body</t>
  </si>
  <si>
    <t>datum</t>
  </si>
  <si>
    <t>notes</t>
  </si>
  <si>
    <t>longitude</t>
  </si>
  <si>
    <t>latitude</t>
  </si>
  <si>
    <t>elevation_m_MLLW</t>
  </si>
  <si>
    <t>site_location</t>
  </si>
  <si>
    <t>year</t>
  </si>
  <si>
    <t>historical_presence_source</t>
  </si>
  <si>
    <t>planting_geometry</t>
  </si>
  <si>
    <t>SVMP_region</t>
  </si>
  <si>
    <t>project_name</t>
  </si>
  <si>
    <t>funding_source</t>
  </si>
  <si>
    <t>funding_source_program</t>
  </si>
  <si>
    <t>contract_sponsor_number_incoming_funds</t>
  </si>
  <si>
    <t>contract_DNR_number_incoming_funds</t>
  </si>
  <si>
    <t>contractor_name</t>
  </si>
  <si>
    <t>contract_number_outgoing_funds</t>
  </si>
  <si>
    <t>citation</t>
  </si>
  <si>
    <t>activity_type</t>
  </si>
  <si>
    <t>activity_filter</t>
  </si>
  <si>
    <t>planting_date</t>
  </si>
  <si>
    <t>record_retain_drop</t>
  </si>
  <si>
    <t>planting_method</t>
  </si>
  <si>
    <t>parallel_side_m</t>
  </si>
  <si>
    <t>perpendicular_side_m</t>
  </si>
  <si>
    <t>plot_area_m2</t>
  </si>
  <si>
    <t>planted_area_m2</t>
  </si>
  <si>
    <t>effective_area_planted_m2</t>
  </si>
  <si>
    <t>number_planting_units</t>
  </si>
  <si>
    <t>number_shoots</t>
  </si>
  <si>
    <t>plot_shoot_density_per_m2</t>
  </si>
  <si>
    <t>donor_site_name</t>
  </si>
  <si>
    <r>
      <t>(shoots m</t>
    </r>
    <r>
      <rPr>
        <vertAlign val="superscript"/>
        <sz val="11"/>
        <color theme="1"/>
        <rFont val="Aptos Narrow"/>
        <family val="2"/>
        <scheme val="minor"/>
      </rPr>
      <t>-2</t>
    </r>
    <r>
      <rPr>
        <sz val="11"/>
        <color theme="1"/>
        <rFont val="Aptos Narrow"/>
        <family val="2"/>
        <scheme val="minor"/>
      </rPr>
      <t xml:space="preserve"> of planted area)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</si>
</sst>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00"/>
    <numFmt numFmtId="165" formatCode="0.0"/>
    <numFmt numFmtId="166" formatCode="yyyy\-mm\-dd"/>
    <numFmt numFmtId="167" formatCode="_(* #,##0_);_(* \(#,##0\);_(* &quot;-&quot;??_);_(@_)"/>
    <numFmt numFmtId="168" formatCode="0.000000"/>
  </numFmts>
  <fonts count="13" x14ac:knownFonts="1">
    <font>
      <sz val="11"/>
      <color theme="1"/>
      <name val="Aptos Narrow"/>
      <family val="2"/>
      <scheme val="minor"/>
    </font>
    <font>
      <sz val="11"/>
      <color theme="1"/>
      <name val="Aptos Narrow"/>
      <family val="2"/>
      <scheme val="minor"/>
    </font>
    <font>
      <sz val="11"/>
      <color rgb="FF9C0006"/>
      <name val="Aptos Narrow"/>
      <family val="2"/>
      <scheme val="minor"/>
    </font>
    <font>
      <b/>
      <sz val="10"/>
      <color theme="1"/>
      <name val="Aptos Narrow"/>
      <family val="2"/>
      <scheme val="minor"/>
    </font>
    <font>
      <sz val="11"/>
      <name val="Aptos Narrow"/>
      <family val="2"/>
      <scheme val="minor"/>
    </font>
    <font>
      <sz val="11"/>
      <color rgb="FF000000"/>
      <name val="Calibri"/>
      <family val="2"/>
    </font>
    <font>
      <sz val="11"/>
      <name val="Calibri"/>
      <family val="2"/>
    </font>
    <font>
      <sz val="9"/>
      <color rgb="FF000000"/>
      <name val="Aptos Narrow"/>
      <family val="2"/>
      <scheme val="minor"/>
    </font>
    <font>
      <sz val="11"/>
      <color rgb="FF000000"/>
      <name val="Aptos Narrow"/>
      <family val="2"/>
      <scheme val="minor"/>
    </font>
    <font>
      <sz val="11"/>
      <color theme="1"/>
      <name val="Calibri"/>
      <family val="2"/>
    </font>
    <font>
      <b/>
      <sz val="11"/>
      <color rgb="FFFF0000"/>
      <name val="Aptos Narrow"/>
      <family val="2"/>
      <scheme val="minor"/>
    </font>
    <font>
      <vertAlign val="superscript"/>
      <sz val="11"/>
      <color theme="1"/>
      <name val="Aptos Narrow"/>
      <family val="2"/>
      <scheme val="minor"/>
    </font>
    <font>
      <sz val="11"/>
      <color rgb="FF9C6500"/>
      <name val="Aptos Narrow"/>
      <family val="2"/>
      <scheme val="minor"/>
    </font>
  </fonts>
  <fills count="6">
    <fill>
      <patternFill patternType="none"/>
    </fill>
    <fill>
      <patternFill patternType="gray125"/>
    </fill>
    <fill>
      <patternFill patternType="solid">
        <fgColor rgb="FFFFC7CE"/>
      </patternFill>
    </fill>
    <fill>
      <patternFill patternType="solid">
        <fgColor rgb="FFFFEB9C"/>
      </patternFill>
    </fill>
    <fill>
      <patternFill patternType="solid">
        <fgColor theme="8" tint="0.79998168889431442"/>
        <bgColor indexed="64"/>
      </patternFill>
    </fill>
    <fill>
      <patternFill patternType="solid">
        <fgColor theme="2" tint="-9.9978637043366805E-2"/>
        <bgColor indexed="64"/>
      </patternFill>
    </fill>
  </fills>
  <borders count="2">
    <border>
      <left/>
      <right/>
      <top/>
      <bottom/>
      <diagonal/>
    </border>
    <border>
      <left style="thin">
        <color theme="8"/>
      </left>
      <right style="thin">
        <color theme="8"/>
      </right>
      <top style="thin">
        <color theme="8"/>
      </top>
      <bottom style="thin">
        <color theme="8"/>
      </bottom>
      <diagonal/>
    </border>
  </borders>
  <cellStyleXfs count="6">
    <xf numFmtId="0" fontId="0" fillId="0" borderId="0"/>
    <xf numFmtId="43" fontId="1" fillId="0" borderId="0" applyFont="0" applyFill="0" applyBorder="0" applyAlignment="0" applyProtection="0"/>
    <xf numFmtId="0" fontId="2" fillId="2" borderId="0" applyNumberFormat="0" applyBorder="0" applyAlignment="0" applyProtection="0"/>
    <xf numFmtId="0" fontId="5" fillId="0" borderId="0"/>
    <xf numFmtId="0" fontId="5" fillId="0" borderId="0"/>
    <xf numFmtId="0" fontId="12" fillId="3" borderId="0" applyNumberFormat="0" applyBorder="0" applyAlignment="0" applyProtection="0"/>
  </cellStyleXfs>
  <cellXfs count="73">
    <xf numFmtId="0" fontId="0" fillId="0" borderId="0" xfId="0"/>
    <xf numFmtId="166" fontId="4" fillId="0" borderId="0" xfId="0" applyNumberFormat="1" applyFont="1"/>
    <xf numFmtId="0" fontId="0" fillId="0" borderId="0" xfId="0" applyAlignment="1">
      <alignment horizontal="center" vertical="center"/>
    </xf>
    <xf numFmtId="0" fontId="0" fillId="0" borderId="0" xfId="0" applyAlignment="1">
      <alignment horizontal="left"/>
    </xf>
    <xf numFmtId="0" fontId="4" fillId="0" borderId="0" xfId="0" applyFont="1"/>
    <xf numFmtId="0" fontId="3" fillId="0" borderId="0" xfId="0" applyFont="1"/>
    <xf numFmtId="0" fontId="4" fillId="0" borderId="0" xfId="0" applyFont="1" applyAlignment="1">
      <alignment horizontal="left"/>
    </xf>
    <xf numFmtId="0" fontId="4" fillId="0" borderId="0" xfId="2" applyFont="1" applyFill="1" applyBorder="1"/>
    <xf numFmtId="0" fontId="0" fillId="0" borderId="0" xfId="0" applyAlignment="1">
      <alignment horizontal="left" vertical="center"/>
    </xf>
    <xf numFmtId="0" fontId="0" fillId="4" borderId="1" xfId="0" applyFill="1" applyBorder="1"/>
    <xf numFmtId="166" fontId="0" fillId="0" borderId="0" xfId="0" applyNumberFormat="1"/>
    <xf numFmtId="164" fontId="0" fillId="0" borderId="0" xfId="0" applyNumberFormat="1"/>
    <xf numFmtId="165" fontId="0" fillId="0" borderId="0" xfId="0" applyNumberFormat="1"/>
    <xf numFmtId="3" fontId="0" fillId="0" borderId="0" xfId="0" applyNumberFormat="1"/>
    <xf numFmtId="2" fontId="4" fillId="0" borderId="0" xfId="0" applyNumberFormat="1" applyFont="1"/>
    <xf numFmtId="1" fontId="0" fillId="0" borderId="0" xfId="0" applyNumberFormat="1"/>
    <xf numFmtId="0" fontId="0" fillId="0" borderId="0" xfId="0" applyAlignment="1">
      <alignment vertical="center"/>
    </xf>
    <xf numFmtId="164" fontId="4" fillId="0" borderId="0" xfId="0" applyNumberFormat="1" applyFont="1"/>
    <xf numFmtId="164" fontId="0" fillId="0" borderId="0" xfId="0" applyNumberFormat="1" applyAlignment="1">
      <alignment vertical="center"/>
    </xf>
    <xf numFmtId="0" fontId="5" fillId="0" borderId="0" xfId="0" applyFont="1" applyAlignment="1">
      <alignment horizontal="left" vertical="center"/>
    </xf>
    <xf numFmtId="0" fontId="0" fillId="0" borderId="0" xfId="0" quotePrefix="1"/>
    <xf numFmtId="1" fontId="0" fillId="0" borderId="0" xfId="1" applyNumberFormat="1" applyFont="1" applyBorder="1"/>
    <xf numFmtId="0" fontId="4" fillId="0" borderId="0" xfId="0" applyFont="1" applyAlignment="1">
      <alignment vertical="center"/>
    </xf>
    <xf numFmtId="165" fontId="4" fillId="0" borderId="0" xfId="0" applyNumberFormat="1" applyFont="1"/>
    <xf numFmtId="1" fontId="4" fillId="0" borderId="0" xfId="0" applyNumberFormat="1" applyFont="1"/>
    <xf numFmtId="1" fontId="4" fillId="0" borderId="0" xfId="1" applyNumberFormat="1" applyFont="1" applyFill="1" applyBorder="1"/>
    <xf numFmtId="0" fontId="6" fillId="0" borderId="0" xfId="0" applyFont="1" applyAlignment="1">
      <alignment horizontal="left" vertical="center"/>
    </xf>
    <xf numFmtId="166" fontId="4" fillId="0" borderId="0" xfId="2" applyNumberFormat="1" applyFont="1" applyFill="1"/>
    <xf numFmtId="1" fontId="0" fillId="0" borderId="0" xfId="1" applyNumberFormat="1" applyFont="1" applyFill="1" applyBorder="1"/>
    <xf numFmtId="3" fontId="0" fillId="0" borderId="0" xfId="1" applyNumberFormat="1" applyFont="1" applyFill="1" applyBorder="1"/>
    <xf numFmtId="0" fontId="4" fillId="0" borderId="0" xfId="2" applyFont="1" applyFill="1"/>
    <xf numFmtId="0" fontId="2" fillId="0" borderId="0" xfId="2" applyFill="1"/>
    <xf numFmtId="164" fontId="4" fillId="0" borderId="0" xfId="2" applyNumberFormat="1" applyFont="1" applyFill="1"/>
    <xf numFmtId="165" fontId="4" fillId="0" borderId="0" xfId="2" applyNumberFormat="1" applyFont="1" applyFill="1"/>
    <xf numFmtId="1" fontId="4" fillId="0" borderId="0" xfId="2" applyNumberFormat="1" applyFont="1" applyFill="1"/>
    <xf numFmtId="1" fontId="4" fillId="0" borderId="0" xfId="1" applyNumberFormat="1" applyFont="1" applyFill="1"/>
    <xf numFmtId="0" fontId="4" fillId="0" borderId="0" xfId="2" applyFont="1" applyFill="1" applyAlignment="1">
      <alignment horizontal="left"/>
    </xf>
    <xf numFmtId="0" fontId="4" fillId="0" borderId="0" xfId="2" quotePrefix="1" applyFont="1" applyFill="1"/>
    <xf numFmtId="3" fontId="0" fillId="0" borderId="0" xfId="1" applyNumberFormat="1" applyFont="1" applyBorder="1"/>
    <xf numFmtId="0" fontId="6" fillId="0" borderId="0" xfId="0" applyFont="1"/>
    <xf numFmtId="0" fontId="6" fillId="0" borderId="0" xfId="0" applyFont="1" applyAlignment="1">
      <alignment horizontal="left"/>
    </xf>
    <xf numFmtId="165" fontId="7" fillId="0" borderId="0" xfId="0" applyNumberFormat="1" applyFont="1" applyAlignment="1">
      <alignment vertical="center"/>
    </xf>
    <xf numFmtId="1" fontId="4" fillId="0" borderId="0" xfId="2" applyNumberFormat="1" applyFont="1" applyFill="1" applyBorder="1"/>
    <xf numFmtId="2" fontId="4" fillId="0" borderId="0" xfId="0" applyNumberFormat="1" applyFont="1" applyAlignment="1">
      <alignment vertical="top"/>
    </xf>
    <xf numFmtId="0" fontId="8" fillId="0" borderId="0" xfId="0" applyFont="1" applyAlignment="1">
      <alignment horizontal="right" vertical="center"/>
    </xf>
    <xf numFmtId="0" fontId="0" fillId="0" borderId="0" xfId="0" applyAlignment="1">
      <alignment horizontal="right"/>
    </xf>
    <xf numFmtId="1" fontId="0" fillId="0" borderId="0" xfId="0" applyNumberFormat="1" applyAlignment="1">
      <alignment horizontal="right"/>
    </xf>
    <xf numFmtId="0" fontId="4" fillId="0" borderId="0" xfId="0" quotePrefix="1" applyFont="1"/>
    <xf numFmtId="0" fontId="5" fillId="0" borderId="0" xfId="0" applyFont="1" applyAlignment="1">
      <alignment horizontal="left" vertical="center" wrapText="1"/>
    </xf>
    <xf numFmtId="0" fontId="0" fillId="0" borderId="0" xfId="1" applyNumberFormat="1" applyFont="1" applyBorder="1"/>
    <xf numFmtId="167" fontId="0" fillId="0" borderId="0" xfId="1" applyNumberFormat="1" applyFont="1" applyBorder="1"/>
    <xf numFmtId="3" fontId="4" fillId="0" borderId="0" xfId="2" applyNumberFormat="1" applyFont="1" applyFill="1"/>
    <xf numFmtId="166" fontId="4" fillId="0" borderId="0" xfId="2" applyNumberFormat="1" applyFont="1" applyFill="1" applyBorder="1"/>
    <xf numFmtId="164" fontId="4" fillId="0" borderId="0" xfId="2" applyNumberFormat="1" applyFont="1" applyFill="1" applyBorder="1" applyAlignment="1"/>
    <xf numFmtId="0" fontId="4" fillId="0" borderId="0" xfId="2" applyFont="1" applyFill="1" applyBorder="1" applyAlignment="1">
      <alignment vertical="center"/>
    </xf>
    <xf numFmtId="165" fontId="4" fillId="0" borderId="0" xfId="2" applyNumberFormat="1" applyFont="1" applyFill="1" applyBorder="1"/>
    <xf numFmtId="0" fontId="4" fillId="0" borderId="0" xfId="2" applyFont="1" applyFill="1" applyAlignment="1">
      <alignment horizontal="left" vertical="center"/>
    </xf>
    <xf numFmtId="0" fontId="4" fillId="0" borderId="0" xfId="2" quotePrefix="1" applyFont="1" applyFill="1" applyBorder="1"/>
    <xf numFmtId="0" fontId="8" fillId="0" borderId="0" xfId="0" applyFont="1" applyAlignment="1">
      <alignment horizontal="left" vertical="center"/>
    </xf>
    <xf numFmtId="2" fontId="0" fillId="0" borderId="0" xfId="0" applyNumberFormat="1"/>
    <xf numFmtId="0" fontId="10" fillId="0" borderId="0" xfId="0" applyFont="1"/>
    <xf numFmtId="0" fontId="4" fillId="5" borderId="0" xfId="0" applyFont="1" applyFill="1"/>
    <xf numFmtId="0" fontId="0" fillId="4" borderId="0" xfId="0" applyFill="1"/>
    <xf numFmtId="0" fontId="0" fillId="5" borderId="0" xfId="0" applyFill="1"/>
    <xf numFmtId="164" fontId="4" fillId="0" borderId="0" xfId="0" applyNumberFormat="1" applyFont="1" applyAlignment="1">
      <alignment vertical="top"/>
    </xf>
    <xf numFmtId="164" fontId="6" fillId="0" borderId="0" xfId="0" applyNumberFormat="1" applyFont="1"/>
    <xf numFmtId="164" fontId="6" fillId="0" borderId="0" xfId="0" quotePrefix="1" applyNumberFormat="1" applyFont="1"/>
    <xf numFmtId="164" fontId="0" fillId="0" borderId="0" xfId="0" applyNumberFormat="1" applyAlignment="1">
      <alignment horizontal="right"/>
    </xf>
    <xf numFmtId="164" fontId="4" fillId="0" borderId="0" xfId="0" applyNumberFormat="1" applyFont="1" applyAlignment="1">
      <alignment vertical="center"/>
    </xf>
    <xf numFmtId="168" fontId="0" fillId="0" borderId="0" xfId="0" applyNumberFormat="1"/>
    <xf numFmtId="164" fontId="4" fillId="0" borderId="0" xfId="0" applyNumberFormat="1" applyFont="1" applyAlignment="1">
      <alignment horizontal="right" vertical="top"/>
    </xf>
    <xf numFmtId="0" fontId="0" fillId="0" borderId="0" xfId="0" applyAlignment="1">
      <alignment horizontal="center" vertical="center" wrapText="1"/>
    </xf>
    <xf numFmtId="0" fontId="0" fillId="0" borderId="0" xfId="0" applyAlignment="1">
      <alignment vertical="center" wrapText="1"/>
    </xf>
  </cellXfs>
  <cellStyles count="6">
    <cellStyle name="Bad" xfId="2" builtinId="27"/>
    <cellStyle name="Comma" xfId="1" builtinId="3"/>
    <cellStyle name="Neutral 2" xfId="5" xr:uid="{6613A5BA-1744-45A5-BED9-8E9A90FDBCCD}"/>
    <cellStyle name="Normal" xfId="0" builtinId="0"/>
    <cellStyle name="Normal 2" xfId="3" xr:uid="{BD6ACADE-908F-4896-BD8F-2155F0CA765E}"/>
    <cellStyle name="Normal 4" xfId="4" xr:uid="{9CCCBD78-68D5-4EF7-A153-A9BBE84813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K:\projects\Eelgrass_Restoration\Restoration_Storymap\2025_09_data_prep\source_data\Eelgrass%20Restoration%20Matrix_2021_0113abb_jg_pd_v1_pd.xlsx" TargetMode="External"/><Relationship Id="rId1" Type="http://schemas.openxmlformats.org/officeDocument/2006/relationships/externalLinkPath" Target="Eelgrass%20Restoration%20Matrix_2021_0113abb_jg_pd_v1_p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Data_dictionary"/>
      <sheetName val="Assessments"/>
      <sheetName val="Planting GPS Points"/>
      <sheetName val="Plantings"/>
      <sheetName val="Monitoring"/>
      <sheetName val="Donor Sites"/>
      <sheetName val="Sensors"/>
      <sheetName val="Questions &amp; Follow-up"/>
      <sheetName val="Missing Data"/>
      <sheetName val="SuccessRates"/>
    </sheetNames>
    <sheetDataSet>
      <sheetData sheetId="0" refreshError="1"/>
      <sheetData sheetId="1" refreshError="1"/>
      <sheetData sheetId="2" refreshError="1"/>
      <sheetData sheetId="3">
        <row r="5">
          <cell r="B5" t="str">
            <v>Anderson Island West - PNNL - test - 2015</v>
          </cell>
          <cell r="C5" t="str">
            <v>AND_west1</v>
          </cell>
          <cell r="D5" t="str">
            <v>single</v>
          </cell>
          <cell r="E5">
            <v>2015</v>
          </cell>
          <cell r="F5" t="str">
            <v>Thom, RM, and L Hallum. 1990. Long‐term changes in the areal extent of tidal marshes, eelgrass meadows, and kelp forests of Puget Sound. FRI‐UW‐9008, Fisheries Research Institute, School of Fisheries, University of Washington, Seattle. Pp. 110.</v>
          </cell>
          <cell r="G5" t="str">
            <v>point</v>
          </cell>
          <cell r="H5" t="str">
            <v>Drayton Passage</v>
          </cell>
          <cell r="I5" t="str">
            <v>CPS</v>
          </cell>
          <cell r="J5" t="str">
            <v>Eelgrass Restoration in PS</v>
          </cell>
          <cell r="K5" t="str">
            <v>DNR</v>
          </cell>
          <cell r="L5" t="str">
            <v>Aquatic Restoration Program</v>
          </cell>
          <cell r="O5" t="str">
            <v>PNNL</v>
          </cell>
          <cell r="P5" t="str">
            <v>IAA 12-317.1</v>
          </cell>
          <cell r="Q5" t="str">
            <v>Aston, L.A., A.B. Borde and J. Vavrinec. 2015. Final Summary Report - Eelgrass Restoration in Puget Sound Project Summary. Pacific Northwest National Laboratory, Richland, WA. PNNL-24445.</v>
          </cell>
          <cell r="R5" t="str">
            <v>test</v>
          </cell>
          <cell r="S5" t="str">
            <v>test</v>
          </cell>
          <cell r="T5">
            <v>42062</v>
          </cell>
          <cell r="U5">
            <v>47.170783333333333</v>
          </cell>
          <cell r="V5">
            <v>-122.72888333333333</v>
          </cell>
          <cell r="W5" t="str">
            <v>point</v>
          </cell>
          <cell r="X5" t="str">
            <v>retain</v>
          </cell>
          <cell r="Y5" t="str">
            <v>WGS84</v>
          </cell>
          <cell r="Z5">
            <v>-0.8</v>
          </cell>
          <cell r="AA5" t="str">
            <v>staple</v>
          </cell>
          <cell r="AB5">
            <v>5</v>
          </cell>
          <cell r="AC5">
            <v>5</v>
          </cell>
          <cell r="AD5">
            <v>25</v>
          </cell>
          <cell r="AE5">
            <v>25</v>
          </cell>
          <cell r="AF5">
            <v>0.625</v>
          </cell>
          <cell r="AG5">
            <v>125</v>
          </cell>
          <cell r="AH5">
            <v>500</v>
          </cell>
          <cell r="AI5">
            <v>20</v>
          </cell>
          <cell r="AJ5">
            <v>20</v>
          </cell>
          <cell r="AK5" t="str">
            <v>Ketron Island</v>
          </cell>
        </row>
        <row r="6">
          <cell r="B6" t="str">
            <v>Anderson Island West - PNNL - test - 2016</v>
          </cell>
          <cell r="C6" t="str">
            <v>AND_west2</v>
          </cell>
          <cell r="D6" t="str">
            <v>single</v>
          </cell>
          <cell r="E6">
            <v>2016</v>
          </cell>
          <cell r="F6" t="str">
            <v>Thom, RM, and L Hallum. 1990. Long‐term changes in the areal extent of tidal marshes, eelgrass meadows, and kelp forests of Puget Sound. FRI‐UW‐9008, Fisheries Research Institute, School of Fisheries, University of Washington, Seattle. Pp. 110.</v>
          </cell>
          <cell r="G6" t="str">
            <v>point</v>
          </cell>
          <cell r="H6" t="str">
            <v>Nisqually Reach</v>
          </cell>
          <cell r="I6" t="str">
            <v>CPS</v>
          </cell>
          <cell r="J6" t="str">
            <v>Puget Sound Eelgrass Restoration: 3 deltas</v>
          </cell>
          <cell r="K6" t="str">
            <v>USACE</v>
          </cell>
          <cell r="L6" t="str">
            <v>USACE</v>
          </cell>
          <cell r="M6" t="str">
            <v>W912DW-14-2-0009 (93-099566)</v>
          </cell>
          <cell r="N6" t="str">
            <v>IAA 15-45</v>
          </cell>
          <cell r="O6" t="str">
            <v>PNNL</v>
          </cell>
          <cell r="P6" t="str">
            <v>93-099661</v>
          </cell>
          <cell r="R6" t="str">
            <v>test</v>
          </cell>
          <cell r="S6" t="str">
            <v>test</v>
          </cell>
          <cell r="T6">
            <v>42633</v>
          </cell>
          <cell r="U6">
            <v>47.17093333333333</v>
          </cell>
          <cell r="V6">
            <v>-122.72905</v>
          </cell>
          <cell r="W6" t="str">
            <v>point</v>
          </cell>
          <cell r="X6" t="str">
            <v>retain</v>
          </cell>
          <cell r="Y6" t="str">
            <v>WGS84</v>
          </cell>
          <cell r="Z6">
            <v>-1.7</v>
          </cell>
          <cell r="AA6" t="str">
            <v>rebar</v>
          </cell>
          <cell r="AB6">
            <v>2.5</v>
          </cell>
          <cell r="AC6">
            <v>2.5</v>
          </cell>
          <cell r="AD6">
            <v>6.25</v>
          </cell>
          <cell r="AE6">
            <v>5</v>
          </cell>
          <cell r="AF6">
            <v>0.5</v>
          </cell>
          <cell r="AG6">
            <v>20</v>
          </cell>
          <cell r="AH6">
            <v>500</v>
          </cell>
          <cell r="AI6">
            <v>80</v>
          </cell>
          <cell r="AJ6">
            <v>100</v>
          </cell>
          <cell r="AK6" t="str">
            <v>Sandy Point</v>
          </cell>
        </row>
        <row r="7">
          <cell r="B7" t="str">
            <v>Anderson Island South - PNNL - test - 2016</v>
          </cell>
          <cell r="C7" t="str">
            <v>AND_south1</v>
          </cell>
          <cell r="D7" t="str">
            <v>single</v>
          </cell>
          <cell r="E7">
            <v>2016</v>
          </cell>
          <cell r="F7" t="str">
            <v>Thom, RM, and L Hallum. 1990. Long‐term changes in the areal extent of tidal marshes, eelgrass meadows, and kelp forests of Puget Sound. FRI‐UW‐9008, Fisheries Research Institute, School of Fisheries, University of Washington, Seattle. Pp. 110.</v>
          </cell>
          <cell r="G7" t="str">
            <v>point</v>
          </cell>
          <cell r="H7" t="str">
            <v>Nisqually Reach</v>
          </cell>
          <cell r="I7" t="str">
            <v>CPS</v>
          </cell>
          <cell r="J7" t="str">
            <v>Puget Sound Eelgrass Restoration: 3 deltas</v>
          </cell>
          <cell r="K7" t="str">
            <v>USACE</v>
          </cell>
          <cell r="L7" t="str">
            <v>USACE</v>
          </cell>
          <cell r="M7" t="str">
            <v>W912DW-14-2-0009 (93-099566)</v>
          </cell>
          <cell r="N7" t="str">
            <v>IAA 15-45</v>
          </cell>
          <cell r="O7" t="str">
            <v>PNNL</v>
          </cell>
          <cell r="P7" t="str">
            <v>93-099661</v>
          </cell>
          <cell r="R7" t="str">
            <v>test</v>
          </cell>
          <cell r="S7" t="str">
            <v>test</v>
          </cell>
          <cell r="T7">
            <v>42633</v>
          </cell>
          <cell r="U7">
            <v>47.132633329999997</v>
          </cell>
          <cell r="V7">
            <v>-122.7181167</v>
          </cell>
          <cell r="W7" t="str">
            <v>point</v>
          </cell>
          <cell r="X7" t="str">
            <v>retain</v>
          </cell>
          <cell r="Y7" t="str">
            <v>WGS84</v>
          </cell>
          <cell r="Z7">
            <v>-1.9</v>
          </cell>
          <cell r="AA7" t="str">
            <v>rebar</v>
          </cell>
          <cell r="AB7">
            <v>2.5</v>
          </cell>
          <cell r="AC7">
            <v>2.5</v>
          </cell>
          <cell r="AD7">
            <v>6.25</v>
          </cell>
          <cell r="AE7">
            <v>5</v>
          </cell>
          <cell r="AF7">
            <v>0.5</v>
          </cell>
          <cell r="AG7">
            <v>20</v>
          </cell>
          <cell r="AH7">
            <v>500</v>
          </cell>
          <cell r="AI7">
            <v>80</v>
          </cell>
          <cell r="AJ7">
            <v>100</v>
          </cell>
          <cell r="AK7" t="str">
            <v>Sandy Point</v>
          </cell>
          <cell r="AL7" t="str">
            <v>Also known as Gaeckle 3</v>
          </cell>
        </row>
        <row r="8">
          <cell r="B8" t="str">
            <v>Anderson Island West - North - south - HC - test - 2017</v>
          </cell>
          <cell r="C8" t="str">
            <v>AND_west_L1</v>
          </cell>
          <cell r="D8" t="str">
            <v>single</v>
          </cell>
          <cell r="E8">
            <v>2017</v>
          </cell>
          <cell r="F8" t="str">
            <v>Thom, RM, and L Hallum. 1990. Long‐term changes in the areal extent of tidal marshes, eelgrass meadows, and kelp forests of Puget Sound. FRI‐UW‐9008, Fisheries Research Institute, School of Fisheries, University of Washington, Seattle. Pp. 110.</v>
          </cell>
          <cell r="G8" t="str">
            <v>line</v>
          </cell>
          <cell r="H8" t="str">
            <v>Drayton Passage</v>
          </cell>
          <cell r="I8" t="str">
            <v>CPS</v>
          </cell>
          <cell r="J8" t="str">
            <v>Eelgrass Restoration in Puget Sound</v>
          </cell>
          <cell r="K8" t="str">
            <v>WDFW</v>
          </cell>
          <cell r="L8" t="str">
            <v>National Estuary Program</v>
          </cell>
          <cell r="M8" t="str">
            <v>14-02072</v>
          </cell>
          <cell r="N8" t="str">
            <v>IAA 15-110</v>
          </cell>
          <cell r="O8" t="str">
            <v>Hart Crowser</v>
          </cell>
          <cell r="P8" t="str">
            <v>SC 16-17</v>
          </cell>
          <cell r="Q8" t="str">
            <v>Shannon, J., J. Blanchette and J. Gaeckle. 2018. Eelgrass (Zostera marina) Restoration in Puget Sound, WA. Final Restoration and Monitoring Report (12059-05) for US EPA, Hart Crowser, Edmonds, WA. Pp. 131.</v>
          </cell>
          <cell r="R8" t="str">
            <v>test</v>
          </cell>
          <cell r="S8" t="str">
            <v>test</v>
          </cell>
          <cell r="T8">
            <v>42860</v>
          </cell>
          <cell r="U8">
            <v>47.181829999999998</v>
          </cell>
          <cell r="V8">
            <v>-122.71405</v>
          </cell>
          <cell r="W8" t="str">
            <v>line</v>
          </cell>
          <cell r="X8" t="str">
            <v>retain</v>
          </cell>
          <cell r="Y8" t="str">
            <v>WGS84</v>
          </cell>
          <cell r="Z8">
            <v>-1.6</v>
          </cell>
          <cell r="AA8" t="str">
            <v>turf</v>
          </cell>
          <cell r="AB8">
            <v>10</v>
          </cell>
          <cell r="AC8">
            <v>1</v>
          </cell>
          <cell r="AD8">
            <v>10</v>
          </cell>
          <cell r="AE8">
            <v>6</v>
          </cell>
          <cell r="AF8">
            <v>0.87</v>
          </cell>
          <cell r="AG8">
            <v>87</v>
          </cell>
          <cell r="AH8">
            <v>869</v>
          </cell>
          <cell r="AI8">
            <v>86.9</v>
          </cell>
          <cell r="AJ8">
            <v>144.83333333333334</v>
          </cell>
          <cell r="AK8" t="str">
            <v>Rocky Bay</v>
          </cell>
          <cell r="AL8" t="str">
            <v>Referred to as 'Anderson Island West 1' in final report. Turfs plant 5-15 shoots per staple (X= ~10 shoots/staple). Estimated number of PUs at test-transplant site as 869/10 = 87.</v>
          </cell>
        </row>
        <row r="9">
          <cell r="B9" t="str">
            <v>Anderson Island West - North - north - HC - test - 2017</v>
          </cell>
          <cell r="C9" t="str">
            <v>AND_west_L1</v>
          </cell>
          <cell r="D9" t="str">
            <v>single</v>
          </cell>
          <cell r="E9">
            <v>2017</v>
          </cell>
          <cell r="F9" t="str">
            <v>Thom, RM, and L Hallum. 1990. Long‐term changes in the areal extent of tidal marshes, eelgrass meadows, and kelp forests of Puget Sound. FRI‐UW‐9008, Fisheries Research Institute, School of Fisheries, University of Washington, Seattle. Pp. 110.</v>
          </cell>
          <cell r="G9" t="str">
            <v>line</v>
          </cell>
          <cell r="H9" t="str">
            <v>Drayton Passage</v>
          </cell>
          <cell r="I9" t="str">
            <v>CPS</v>
          </cell>
          <cell r="J9" t="str">
            <v>Eelgrass Restoration in Puget Sound</v>
          </cell>
          <cell r="K9" t="str">
            <v>WDFW</v>
          </cell>
          <cell r="L9" t="str">
            <v>National Estuary Program</v>
          </cell>
          <cell r="M9" t="str">
            <v>14-02072</v>
          </cell>
          <cell r="N9" t="str">
            <v>IAA 15-110</v>
          </cell>
          <cell r="O9" t="str">
            <v>Hart Crowser</v>
          </cell>
          <cell r="P9" t="str">
            <v>SC 16-17</v>
          </cell>
          <cell r="Q9" t="str">
            <v>Shannon, J., J. Blanchette and J. Gaeckle. 2018. Eelgrass (Zostera marina) Restoration in Puget Sound, WA. Final Restoration and Monitoring Report (12059-05) for US EPA, Hart Crowser, Edmonds, WA. Pp. 131.</v>
          </cell>
          <cell r="R9" t="str">
            <v>test</v>
          </cell>
          <cell r="S9" t="str">
            <v>--</v>
          </cell>
          <cell r="T9">
            <v>42860</v>
          </cell>
          <cell r="U9">
            <v>47.18186</v>
          </cell>
          <cell r="V9">
            <v>-122.71402999999999</v>
          </cell>
          <cell r="W9" t="str">
            <v>line</v>
          </cell>
          <cell r="X9" t="str">
            <v>retain</v>
          </cell>
          <cell r="Y9" t="str">
            <v>WGS84</v>
          </cell>
          <cell r="AF9" t="str">
            <v/>
          </cell>
          <cell r="AI9" t="str">
            <v/>
          </cell>
          <cell r="AJ9" t="str">
            <v/>
          </cell>
        </row>
        <row r="10">
          <cell r="B10" t="str">
            <v>Anderson Island West - South - south - HC - test - 2017</v>
          </cell>
          <cell r="C10" t="str">
            <v>AND_south_L1</v>
          </cell>
          <cell r="D10" t="str">
            <v>single</v>
          </cell>
          <cell r="E10">
            <v>2017</v>
          </cell>
          <cell r="F10" t="str">
            <v>Thom, RM, and L Hallum. 1990. Long‐term changes in the areal extent of tidal marshes, eelgrass meadows, and kelp forests of Puget Sound. FRI‐UW‐9008, Fisheries Research Institute, School of Fisheries, University of Washington, Seattle. Pp. 110.</v>
          </cell>
          <cell r="G10" t="str">
            <v>line</v>
          </cell>
          <cell r="H10" t="str">
            <v>Drayton Passage</v>
          </cell>
          <cell r="I10" t="str">
            <v>CPS</v>
          </cell>
          <cell r="J10" t="str">
            <v>Eelgrass Restoration in Puget Sound</v>
          </cell>
          <cell r="K10" t="str">
            <v>WDFW</v>
          </cell>
          <cell r="L10" t="str">
            <v>National Estuary Program</v>
          </cell>
          <cell r="M10" t="str">
            <v>14-02072</v>
          </cell>
          <cell r="N10" t="str">
            <v>IAA 15-110</v>
          </cell>
          <cell r="O10" t="str">
            <v>Hart Crowser</v>
          </cell>
          <cell r="P10" t="str">
            <v>SC 16-17</v>
          </cell>
          <cell r="Q10" t="str">
            <v>Shannon, J., J. Blanchette and J. Gaeckle. 2018. Eelgrass (Zostera marina) Restoration in Puget Sound, WA. Final Restoration and Monitoring Report (12059-05) for US EPA, Hart Crowser, Edmonds, WA. Pp. 131.</v>
          </cell>
          <cell r="R10" t="str">
            <v>test</v>
          </cell>
          <cell r="S10" t="str">
            <v>test</v>
          </cell>
          <cell r="T10">
            <v>42860</v>
          </cell>
          <cell r="U10">
            <v>47.176900000000003</v>
          </cell>
          <cell r="V10">
            <v>-122.7251</v>
          </cell>
          <cell r="W10" t="str">
            <v>line</v>
          </cell>
          <cell r="X10" t="str">
            <v>retain</v>
          </cell>
          <cell r="Y10" t="str">
            <v>WGS84</v>
          </cell>
          <cell r="Z10">
            <v>-1.6</v>
          </cell>
          <cell r="AA10" t="str">
            <v>turf</v>
          </cell>
          <cell r="AB10">
            <v>10</v>
          </cell>
          <cell r="AC10">
            <v>1</v>
          </cell>
          <cell r="AD10">
            <v>10</v>
          </cell>
          <cell r="AE10">
            <v>6</v>
          </cell>
          <cell r="AF10">
            <v>0.87</v>
          </cell>
          <cell r="AG10">
            <v>87</v>
          </cell>
          <cell r="AH10">
            <v>869</v>
          </cell>
          <cell r="AI10">
            <v>86.9</v>
          </cell>
          <cell r="AJ10">
            <v>144.83333333333334</v>
          </cell>
          <cell r="AK10" t="str">
            <v>Rocky Bay</v>
          </cell>
          <cell r="AL10" t="str">
            <v>Referred to as 'Anderson Island West 2' in final report. Turfs plant 5-15 shoots per staple (X= ~10 shoots/staple). Estimated number of PUs at test-transplant site as 869/10 = 87.</v>
          </cell>
        </row>
        <row r="11">
          <cell r="B11" t="str">
            <v>Anderson Island West - South - north - HC - test - 2017</v>
          </cell>
          <cell r="C11" t="str">
            <v>AND_south_L1</v>
          </cell>
          <cell r="D11" t="str">
            <v>single</v>
          </cell>
          <cell r="E11">
            <v>2017</v>
          </cell>
          <cell r="F11" t="str">
            <v>Thom, RM, and L Hallum. 1990. Long‐term changes in the areal extent of tidal marshes, eelgrass meadows, and kelp forests of Puget Sound. FRI‐UW‐9008, Fisheries Research Institute, School of Fisheries, University of Washington, Seattle. Pp. 110.</v>
          </cell>
          <cell r="G11" t="str">
            <v>line</v>
          </cell>
          <cell r="H11" t="str">
            <v>Drayton Passage</v>
          </cell>
          <cell r="I11" t="str">
            <v>CPS</v>
          </cell>
          <cell r="J11" t="str">
            <v>Eelgrass Restoration in Puget Sound</v>
          </cell>
          <cell r="K11" t="str">
            <v>WDFW</v>
          </cell>
          <cell r="L11" t="str">
            <v>National Estuary Program</v>
          </cell>
          <cell r="M11" t="str">
            <v>14-02072</v>
          </cell>
          <cell r="N11" t="str">
            <v>IAA 15-110</v>
          </cell>
          <cell r="O11" t="str">
            <v>Hart Crowser</v>
          </cell>
          <cell r="P11" t="str">
            <v>SC 16-17</v>
          </cell>
          <cell r="Q11" t="str">
            <v>Shannon, J., J. Blanchette and J. Gaeckle. 2018. Eelgrass (Zostera marina) Restoration in Puget Sound, WA. Final Restoration and Monitoring Report (12059-05) for US EPA, Hart Crowser, Edmonds, WA. Pp. 131.</v>
          </cell>
          <cell r="R11" t="str">
            <v>test</v>
          </cell>
          <cell r="S11" t="str">
            <v>--</v>
          </cell>
          <cell r="T11">
            <v>42860</v>
          </cell>
          <cell r="U11">
            <v>47.176929999999999</v>
          </cell>
          <cell r="V11">
            <v>-122.72505</v>
          </cell>
          <cell r="W11" t="str">
            <v>line</v>
          </cell>
          <cell r="X11" t="str">
            <v>retain</v>
          </cell>
          <cell r="Y11" t="str">
            <v>WGS84</v>
          </cell>
          <cell r="AF11" t="str">
            <v/>
          </cell>
          <cell r="AI11" t="str">
            <v/>
          </cell>
          <cell r="AJ11" t="str">
            <v/>
          </cell>
        </row>
        <row r="12">
          <cell r="B12" t="str">
            <v>Anderson Island South 1 - west - HC - large - 2017</v>
          </cell>
          <cell r="C12" t="str">
            <v>AND_south_L2</v>
          </cell>
          <cell r="D12" t="str">
            <v>single</v>
          </cell>
          <cell r="E12">
            <v>2017</v>
          </cell>
          <cell r="F12" t="str">
            <v>Thom, RM, and L Hallum. 1990. Long‐term changes in the areal extent of tidal marshes, eelgrass meadows, and kelp forests of Puget Sound. FRI‐UW‐9008, Fisheries Research Institute, School of Fisheries, University of Washington, Seattle. Pp. 110.</v>
          </cell>
          <cell r="G12" t="str">
            <v>polygon</v>
          </cell>
          <cell r="H12" t="str">
            <v>Nisqually Reach</v>
          </cell>
          <cell r="I12" t="str">
            <v>CPS</v>
          </cell>
          <cell r="J12" t="str">
            <v>Eelgrass Restoration in Puget Sound</v>
          </cell>
          <cell r="K12" t="str">
            <v>WDFW</v>
          </cell>
          <cell r="L12" t="str">
            <v>National Estuary Program</v>
          </cell>
          <cell r="M12" t="str">
            <v>14-02072</v>
          </cell>
          <cell r="N12" t="str">
            <v>IAA 15-110</v>
          </cell>
          <cell r="O12" t="str">
            <v>Hart Crowser</v>
          </cell>
          <cell r="P12" t="str">
            <v>SC 16-17</v>
          </cell>
          <cell r="Q12" t="str">
            <v>Shannon, J., J. Blanchette and J. Gaeckle. 2018. Eelgrass (Zostera marina) Restoration in Puget Sound, WA. Final Restoration and Monitoring Report (12059-05) for US EPA, Hart Crowser, Edmonds, WA. Pp. 131.</v>
          </cell>
          <cell r="R12" t="str">
            <v>large scale</v>
          </cell>
          <cell r="S12" t="str">
            <v>large scale</v>
          </cell>
          <cell r="T12">
            <v>42888</v>
          </cell>
          <cell r="U12">
            <v>47.138750000000002</v>
          </cell>
          <cell r="V12">
            <v>-122.725111</v>
          </cell>
          <cell r="W12" t="str">
            <v>line</v>
          </cell>
          <cell r="X12" t="str">
            <v>retain</v>
          </cell>
          <cell r="Y12" t="str">
            <v>WGS84</v>
          </cell>
          <cell r="Z12">
            <v>-1.6</v>
          </cell>
          <cell r="AA12" t="str">
            <v>turf</v>
          </cell>
          <cell r="AB12">
            <v>40</v>
          </cell>
          <cell r="AC12">
            <v>4</v>
          </cell>
          <cell r="AD12">
            <v>160</v>
          </cell>
          <cell r="AE12">
            <v>155</v>
          </cell>
          <cell r="AF12">
            <v>20.5</v>
          </cell>
          <cell r="AG12">
            <v>2050</v>
          </cell>
          <cell r="AH12">
            <v>20500</v>
          </cell>
          <cell r="AI12">
            <v>128.125</v>
          </cell>
          <cell r="AJ12">
            <v>132.25806451612902</v>
          </cell>
          <cell r="AK12" t="str">
            <v>Rocky Bay</v>
          </cell>
          <cell r="AL12" t="str">
            <v>large scale area of 40 m X 4 m (160 m2). Planted with plants from Rocky Bay. Turfs plant 5-15 shoots per staple (X= ~10 shoots/staple). Estimated number of PUs at test-transplant site as 20500/10 = 2050.</v>
          </cell>
        </row>
        <row r="13">
          <cell r="B13" t="str">
            <v>Anderson Island South 1 - east - HC - large - 2017</v>
          </cell>
          <cell r="C13" t="str">
            <v>AND_south_L2</v>
          </cell>
          <cell r="D13" t="str">
            <v>single</v>
          </cell>
          <cell r="E13">
            <v>2017</v>
          </cell>
          <cell r="F13" t="str">
            <v>Thom, RM, and L Hallum. 1990. Long‐term changes in the areal extent of tidal marshes, eelgrass meadows, and kelp forests of Puget Sound. FRI‐UW‐9008, Fisheries Research Institute, School of Fisheries, University of Washington, Seattle. Pp. 110.</v>
          </cell>
          <cell r="G13" t="str">
            <v>polygon</v>
          </cell>
          <cell r="H13" t="str">
            <v>Nisqually Reach</v>
          </cell>
          <cell r="I13" t="str">
            <v>CPS</v>
          </cell>
          <cell r="J13" t="str">
            <v>Eelgrass Restoration in Puget Sound</v>
          </cell>
          <cell r="K13" t="str">
            <v>WDFW</v>
          </cell>
          <cell r="L13" t="str">
            <v>National Estuary Program</v>
          </cell>
          <cell r="M13" t="str">
            <v>14-02072</v>
          </cell>
          <cell r="N13" t="str">
            <v>IAA 15-110</v>
          </cell>
          <cell r="O13" t="str">
            <v>Hart Crowser</v>
          </cell>
          <cell r="P13" t="str">
            <v>SC 16-17</v>
          </cell>
          <cell r="Q13" t="str">
            <v>Shannon, J., J. Blanchette and J. Gaeckle. 2018. Eelgrass (Zostera marina) Restoration in Puget Sound, WA. Final Restoration and Monitoring Report (12059-05) for US EPA, Hart Crowser, Edmonds, WA. Pp. 131.</v>
          </cell>
          <cell r="R13" t="str">
            <v>large scale</v>
          </cell>
          <cell r="S13" t="str">
            <v>--</v>
          </cell>
          <cell r="T13">
            <v>42888</v>
          </cell>
          <cell r="U13">
            <v>47.138916999999999</v>
          </cell>
          <cell r="V13">
            <v>-122.725556</v>
          </cell>
          <cell r="W13" t="str">
            <v>line</v>
          </cell>
          <cell r="X13" t="str">
            <v>retain</v>
          </cell>
          <cell r="Y13" t="str">
            <v>WGS84</v>
          </cell>
          <cell r="AF13" t="str">
            <v/>
          </cell>
          <cell r="AI13" t="str">
            <v/>
          </cell>
          <cell r="AJ13" t="str">
            <v/>
          </cell>
        </row>
        <row r="14">
          <cell r="B14" t="str">
            <v>Anderson Island South 2 - west - HC - large - 2017</v>
          </cell>
          <cell r="C14" t="str">
            <v>AND_south_L3</v>
          </cell>
          <cell r="D14" t="str">
            <v>single</v>
          </cell>
          <cell r="E14">
            <v>2017</v>
          </cell>
          <cell r="F14" t="str">
            <v>Thom, RM, and L Hallum. 1990. Long‐term changes in the areal extent of tidal marshes, eelgrass meadows, and kelp forests of Puget Sound. FRI‐UW‐9008, Fisheries Research Institute, School of Fisheries, University of Washington, Seattle. Pp. 110.</v>
          </cell>
          <cell r="G14" t="str">
            <v>polygon</v>
          </cell>
          <cell r="H14" t="str">
            <v>Nisqually Reach</v>
          </cell>
          <cell r="I14" t="str">
            <v>CPS</v>
          </cell>
          <cell r="J14" t="str">
            <v>Eelgrass Restoration in Puget Sound</v>
          </cell>
          <cell r="K14" t="str">
            <v>WDFW</v>
          </cell>
          <cell r="L14" t="str">
            <v>National Estuary Program</v>
          </cell>
          <cell r="M14" t="str">
            <v>14-02072</v>
          </cell>
          <cell r="N14" t="str">
            <v>IAA 15-110</v>
          </cell>
          <cell r="O14" t="str">
            <v>Hart Crowser</v>
          </cell>
          <cell r="P14" t="str">
            <v>SC 16-17</v>
          </cell>
          <cell r="Q14" t="str">
            <v>Shannon, J., J. Blanchette and J. Gaeckle. 2018. Eelgrass (Zostera marina) Restoration in Puget Sound, WA. Final Restoration and Monitoring Report (12059-05) for US EPA, Hart Crowser, Edmonds, WA. Pp. 131.</v>
          </cell>
          <cell r="R14" t="str">
            <v>large scale</v>
          </cell>
          <cell r="S14" t="str">
            <v>large scale</v>
          </cell>
          <cell r="T14">
            <v>42890</v>
          </cell>
          <cell r="U14">
            <v>47.138249999999999</v>
          </cell>
          <cell r="V14">
            <v>-122.72369399999999</v>
          </cell>
          <cell r="W14" t="str">
            <v>line</v>
          </cell>
          <cell r="X14" t="str">
            <v>retain</v>
          </cell>
          <cell r="Y14" t="str">
            <v>WGS84</v>
          </cell>
          <cell r="Z14">
            <v>-1.6</v>
          </cell>
          <cell r="AA14" t="str">
            <v>turf</v>
          </cell>
          <cell r="AB14">
            <v>40</v>
          </cell>
          <cell r="AC14">
            <v>4</v>
          </cell>
          <cell r="AD14">
            <v>160</v>
          </cell>
          <cell r="AE14">
            <v>160</v>
          </cell>
          <cell r="AF14">
            <v>24.830000000000002</v>
          </cell>
          <cell r="AG14">
            <v>2483</v>
          </cell>
          <cell r="AH14">
            <v>24830</v>
          </cell>
          <cell r="AI14">
            <v>155.1875</v>
          </cell>
          <cell r="AJ14">
            <v>155.1875</v>
          </cell>
          <cell r="AK14" t="str">
            <v>Rocky Bay</v>
          </cell>
          <cell r="AL14" t="str">
            <v>large scale area of 40 m X 4 m (160 m2). Planted with plants from Rocky Bay. Planted with plants from Rocky Bay. Turfs plant 5-15 shoots per staple (X= ~10 shoots/staple). Estimated number of PUs at test-transplant site as 24,830/10 = 2483.</v>
          </cell>
        </row>
        <row r="15">
          <cell r="B15" t="str">
            <v>Anderson Island South 2 - east - HC - large - 2017</v>
          </cell>
          <cell r="C15" t="str">
            <v>AND_south_L3</v>
          </cell>
          <cell r="D15" t="str">
            <v>single</v>
          </cell>
          <cell r="E15">
            <v>2017</v>
          </cell>
          <cell r="F15" t="str">
            <v>Thom, RM, and L Hallum. 1990. Long‐term changes in the areal extent of tidal marshes, eelgrass meadows, and kelp forests of Puget Sound. FRI‐UW‐9008, Fisheries Research Institute, School of Fisheries, University of Washington, Seattle. Pp. 110.</v>
          </cell>
          <cell r="G15" t="str">
            <v>polygon</v>
          </cell>
          <cell r="H15" t="str">
            <v>Nisqually Reach</v>
          </cell>
          <cell r="I15" t="str">
            <v>CPS</v>
          </cell>
          <cell r="J15" t="str">
            <v>Eelgrass Restoration in Puget Sound</v>
          </cell>
          <cell r="K15" t="str">
            <v>WDFW</v>
          </cell>
          <cell r="L15" t="str">
            <v>National Estuary Program</v>
          </cell>
          <cell r="M15" t="str">
            <v>14-02072</v>
          </cell>
          <cell r="N15" t="str">
            <v>IAA 15-110</v>
          </cell>
          <cell r="O15" t="str">
            <v>Hart Crowser</v>
          </cell>
          <cell r="P15" t="str">
            <v>SC 16-17</v>
          </cell>
          <cell r="Q15" t="str">
            <v>Shannon, J., J. Blanchette and J. Gaeckle. 2018. Eelgrass (Zostera marina) Restoration in Puget Sound, WA. Final Restoration and Monitoring Report (12059-05) for US EPA, Hart Crowser, Edmonds, WA. Pp. 131.</v>
          </cell>
          <cell r="R15" t="str">
            <v>large scale</v>
          </cell>
          <cell r="S15" t="str">
            <v>--</v>
          </cell>
          <cell r="T15">
            <v>42890</v>
          </cell>
          <cell r="U15">
            <v>47.138444</v>
          </cell>
          <cell r="V15">
            <v>-122.72416699999999</v>
          </cell>
          <cell r="W15" t="str">
            <v>line</v>
          </cell>
          <cell r="X15" t="str">
            <v>retain</v>
          </cell>
          <cell r="Y15" t="str">
            <v>WGS84</v>
          </cell>
          <cell r="AF15" t="str">
            <v/>
          </cell>
          <cell r="AI15" t="str">
            <v/>
          </cell>
          <cell r="AJ15" t="str">
            <v/>
          </cell>
        </row>
        <row r="16">
          <cell r="B16" t="str">
            <v>Anderson Island South 3 - east - PNNL - large - 2017</v>
          </cell>
          <cell r="C16" t="str">
            <v>AND_south_L4</v>
          </cell>
          <cell r="D16" t="str">
            <v>single</v>
          </cell>
          <cell r="E16">
            <v>2017</v>
          </cell>
          <cell r="F16" t="str">
            <v>Thom, RM, and L Hallum. 1990. Long‐term changes in the areal extent of tidal marshes, eelgrass meadows, and kelp forests of Puget Sound. FRI‐UW‐9008, Fisheries Research Institute, School of Fisheries, University of Washington, Seattle. Pp. 110.</v>
          </cell>
          <cell r="G16" t="str">
            <v>line</v>
          </cell>
          <cell r="H16" t="str">
            <v>Nisqually Reach</v>
          </cell>
          <cell r="I16" t="str">
            <v>CPS</v>
          </cell>
          <cell r="J16" t="str">
            <v>Puget Sound Eelgrass Restoration: 3 deltas</v>
          </cell>
          <cell r="K16" t="str">
            <v>USACE</v>
          </cell>
          <cell r="L16" t="str">
            <v>USACE</v>
          </cell>
          <cell r="M16" t="str">
            <v>W912DW-14-2-0009 (93-099566)</v>
          </cell>
          <cell r="N16" t="str">
            <v>IAA 15-45</v>
          </cell>
          <cell r="O16" t="str">
            <v>PNNL</v>
          </cell>
          <cell r="P16" t="str">
            <v>IAA 15-101</v>
          </cell>
          <cell r="R16" t="str">
            <v>large scale</v>
          </cell>
          <cell r="S16" t="str">
            <v>large scale</v>
          </cell>
          <cell r="T16">
            <v>42955</v>
          </cell>
          <cell r="U16">
            <v>47.132633329999997</v>
          </cell>
          <cell r="V16">
            <v>-122.7181167</v>
          </cell>
          <cell r="W16" t="str">
            <v>line</v>
          </cell>
          <cell r="X16" t="str">
            <v>retain</v>
          </cell>
          <cell r="Y16" t="str">
            <v>WGS84</v>
          </cell>
          <cell r="Z16">
            <v>-1.31064</v>
          </cell>
          <cell r="AA16" t="str">
            <v>rebar</v>
          </cell>
          <cell r="AB16">
            <v>30</v>
          </cell>
          <cell r="AC16">
            <v>5</v>
          </cell>
          <cell r="AD16">
            <v>150</v>
          </cell>
          <cell r="AE16">
            <v>105.25</v>
          </cell>
          <cell r="AF16">
            <v>10.525</v>
          </cell>
          <cell r="AG16">
            <v>421</v>
          </cell>
          <cell r="AH16">
            <v>10525</v>
          </cell>
          <cell r="AI16">
            <v>70.166666666666671</v>
          </cell>
          <cell r="AJ16">
            <v>100</v>
          </cell>
          <cell r="AK16" t="str">
            <v>Thompson Cove</v>
          </cell>
          <cell r="AL16" t="str">
            <v>Site also known as Gaeckle 3, base line runs 320°</v>
          </cell>
        </row>
        <row r="17">
          <cell r="B17" t="str">
            <v>Anderson Island South 3 - east - PNNL - large - 2017</v>
          </cell>
          <cell r="C17" t="str">
            <v>AND_south_L4</v>
          </cell>
          <cell r="D17" t="str">
            <v>single</v>
          </cell>
          <cell r="E17">
            <v>2017</v>
          </cell>
          <cell r="F17" t="str">
            <v>Thom, RM, and L Hallum. 1990. Long‐term changes in the areal extent of tidal marshes, eelgrass meadows, and kelp forests of Puget Sound. FRI‐UW‐9008, Fisheries Research Institute, School of Fisheries, University of Washington, Seattle. Pp. 110.</v>
          </cell>
          <cell r="G17" t="str">
            <v>line</v>
          </cell>
          <cell r="H17" t="str">
            <v>Nisqually Reach</v>
          </cell>
          <cell r="I17" t="str">
            <v>CPS</v>
          </cell>
          <cell r="J17" t="str">
            <v>Puget Sound Eelgrass Restoration: 3 deltas</v>
          </cell>
          <cell r="K17" t="str">
            <v>USACE</v>
          </cell>
          <cell r="L17" t="str">
            <v>USACE</v>
          </cell>
          <cell r="M17" t="str">
            <v>W912DW-14-2-0009 (93-099566)</v>
          </cell>
          <cell r="N17" t="str">
            <v>IAA 15-45</v>
          </cell>
          <cell r="O17" t="str">
            <v>PNNL</v>
          </cell>
          <cell r="P17" t="str">
            <v>IAA 15-101</v>
          </cell>
          <cell r="R17" t="str">
            <v>large scale</v>
          </cell>
          <cell r="S17" t="str">
            <v>--</v>
          </cell>
          <cell r="T17">
            <v>42955</v>
          </cell>
          <cell r="U17">
            <v>47.132379999999998</v>
          </cell>
          <cell r="V17">
            <v>-122.71795</v>
          </cell>
          <cell r="W17" t="str">
            <v>line</v>
          </cell>
          <cell r="X17" t="str">
            <v>retain</v>
          </cell>
          <cell r="Y17" t="str">
            <v>WGS84</v>
          </cell>
          <cell r="AF17" t="str">
            <v/>
          </cell>
          <cell r="AI17" t="str">
            <v/>
          </cell>
          <cell r="AJ17" t="str">
            <v/>
          </cell>
        </row>
        <row r="18">
          <cell r="B18" t="str">
            <v>Amsterdam Bay - PNNL - deeper - test - 2020</v>
          </cell>
          <cell r="C18" t="str">
            <v>AMS_deeper</v>
          </cell>
          <cell r="D18" t="str">
            <v>single</v>
          </cell>
          <cell r="E18">
            <v>2020</v>
          </cell>
          <cell r="F18" t="str">
            <v>Thom, RM, and L Hallum. 1990. Long‐term changes in the areal extent of tidal marshes, eelgrass meadows, and kelp forests of Puget Sound. FRI‐UW‐9008, Fisheries Research Institute, School of Fisheries, University of Washington, Seattle. Pp. 110.</v>
          </cell>
          <cell r="G18" t="str">
            <v>point</v>
          </cell>
          <cell r="H18" t="str">
            <v>Drayton Passage</v>
          </cell>
          <cell r="I18" t="str">
            <v>CPS</v>
          </cell>
          <cell r="J18" t="str">
            <v>Eelgrass Recovery in PS</v>
          </cell>
          <cell r="K18" t="str">
            <v>USACE</v>
          </cell>
          <cell r="L18" t="str">
            <v>USACE</v>
          </cell>
          <cell r="M18" t="str">
            <v>W912DW-14-2-0009 (93-099566)</v>
          </cell>
          <cell r="N18" t="str">
            <v>IAA 15-45</v>
          </cell>
          <cell r="O18" t="str">
            <v>PNNL</v>
          </cell>
          <cell r="R18" t="str">
            <v>test</v>
          </cell>
          <cell r="S18" t="str">
            <v>test</v>
          </cell>
          <cell r="T18">
            <v>44012</v>
          </cell>
          <cell r="U18">
            <v>47.160375999999999</v>
          </cell>
          <cell r="V18">
            <v>-122.72771659999999</v>
          </cell>
          <cell r="W18" t="str">
            <v>point</v>
          </cell>
          <cell r="X18" t="str">
            <v>retain</v>
          </cell>
          <cell r="Y18" t="str">
            <v>WGS84</v>
          </cell>
          <cell r="Z18">
            <v>-1.1000000000000001</v>
          </cell>
          <cell r="AA18" t="str">
            <v>rebar</v>
          </cell>
          <cell r="AB18">
            <v>2.5</v>
          </cell>
          <cell r="AC18">
            <v>2.5</v>
          </cell>
          <cell r="AD18">
            <v>6.25</v>
          </cell>
          <cell r="AE18">
            <v>4.75</v>
          </cell>
          <cell r="AF18">
            <v>0.47500000000000003</v>
          </cell>
          <cell r="AG18">
            <v>19</v>
          </cell>
          <cell r="AH18">
            <v>475</v>
          </cell>
          <cell r="AI18">
            <v>76</v>
          </cell>
          <cell r="AJ18">
            <v>100</v>
          </cell>
          <cell r="AK18" t="str">
            <v>Anderson Island</v>
          </cell>
          <cell r="AL18" t="str">
            <v>180 deg az, sandy with gravel some wispy ulva</v>
          </cell>
        </row>
        <row r="19">
          <cell r="B19" t="str">
            <v>Anderson Island West - PNNL - test - 2020</v>
          </cell>
          <cell r="C19" t="str">
            <v>AND_west3</v>
          </cell>
          <cell r="D19" t="str">
            <v>single</v>
          </cell>
          <cell r="E19">
            <v>2020</v>
          </cell>
          <cell r="F19" t="str">
            <v>Thom, RM, and L Hallum. 1990. Long‐term changes in the areal extent of tidal marshes, eelgrass meadows, and kelp forests of Puget Sound. FRI‐UW‐9008, Fisheries Research Institute, School of Fisheries, University of Washington, Seattle. Pp. 110.</v>
          </cell>
          <cell r="G19" t="str">
            <v>point</v>
          </cell>
          <cell r="H19" t="str">
            <v>Drayton Passage</v>
          </cell>
          <cell r="I19" t="str">
            <v>CPS</v>
          </cell>
          <cell r="J19" t="str">
            <v>Eelgrass Recovery in PS</v>
          </cell>
          <cell r="K19" t="str">
            <v>USACE</v>
          </cell>
          <cell r="L19" t="str">
            <v>USACE</v>
          </cell>
          <cell r="M19" t="str">
            <v>W912DW-14-2-0009 (93-099566)</v>
          </cell>
          <cell r="N19" t="str">
            <v>IAA 15-45</v>
          </cell>
          <cell r="O19" t="str">
            <v>PNNL</v>
          </cell>
          <cell r="R19" t="str">
            <v>test</v>
          </cell>
          <cell r="S19" t="str">
            <v>test</v>
          </cell>
          <cell r="T19">
            <v>44013</v>
          </cell>
          <cell r="U19">
            <v>47.172138166000003</v>
          </cell>
          <cell r="V19">
            <v>-122.7279458</v>
          </cell>
          <cell r="W19" t="str">
            <v>point</v>
          </cell>
          <cell r="X19" t="str">
            <v>retain</v>
          </cell>
          <cell r="Y19" t="str">
            <v>WGS84</v>
          </cell>
          <cell r="Z19">
            <v>-1.2</v>
          </cell>
          <cell r="AA19" t="str">
            <v>rebar</v>
          </cell>
          <cell r="AB19">
            <v>3</v>
          </cell>
          <cell r="AC19">
            <v>2.5</v>
          </cell>
          <cell r="AD19">
            <v>7.5</v>
          </cell>
          <cell r="AE19">
            <v>6.25</v>
          </cell>
          <cell r="AF19">
            <v>0.625</v>
          </cell>
          <cell r="AG19">
            <v>25</v>
          </cell>
          <cell r="AH19">
            <v>625</v>
          </cell>
          <cell r="AI19">
            <v>83.333333333333329</v>
          </cell>
          <cell r="AJ19">
            <v>100</v>
          </cell>
          <cell r="AK19" t="str">
            <v>Anderson Island</v>
          </cell>
          <cell r="AL19" t="str">
            <v>180deg az, sandy with little bit of ulva</v>
          </cell>
        </row>
        <row r="20">
          <cell r="B20" t="str">
            <v>Anderson Island Northwest - PNNL - test - 2020</v>
          </cell>
          <cell r="C20" t="str">
            <v>AND_nw1</v>
          </cell>
          <cell r="D20" t="str">
            <v>single</v>
          </cell>
          <cell r="E20">
            <v>2020</v>
          </cell>
          <cell r="F20" t="str">
            <v>Thom, RM, and L Hallum. 1990. Long‐term changes in the areal extent of tidal marshes, eelgrass meadows, and kelp forests of Puget Sound. FRI‐UW‐9008, Fisheries Research Institute, School of Fisheries, University of Washington, Seattle. Pp. 110.</v>
          </cell>
          <cell r="G20" t="str">
            <v>point</v>
          </cell>
          <cell r="H20" t="str">
            <v>Drayton Passage</v>
          </cell>
          <cell r="I20" t="str">
            <v>CPS</v>
          </cell>
          <cell r="J20" t="str">
            <v>Eelgrass Recovery in PS</v>
          </cell>
          <cell r="K20" t="str">
            <v>USACE</v>
          </cell>
          <cell r="L20" t="str">
            <v>USACE</v>
          </cell>
          <cell r="M20" t="str">
            <v>W912DW-14-2-0009 (93-099566)</v>
          </cell>
          <cell r="N20" t="str">
            <v>IAA 15-45</v>
          </cell>
          <cell r="O20" t="str">
            <v>PNNL</v>
          </cell>
          <cell r="R20" t="str">
            <v>test</v>
          </cell>
          <cell r="S20" t="str">
            <v>test</v>
          </cell>
          <cell r="T20">
            <v>44012</v>
          </cell>
          <cell r="U20">
            <v>47.182099999999998</v>
          </cell>
          <cell r="V20">
            <v>-122.71379159999999</v>
          </cell>
          <cell r="W20" t="str">
            <v>point</v>
          </cell>
          <cell r="X20" t="str">
            <v>retain</v>
          </cell>
          <cell r="Y20" t="str">
            <v>WGS84</v>
          </cell>
          <cell r="Z20">
            <v>-1.3</v>
          </cell>
          <cell r="AA20" t="str">
            <v>rebar</v>
          </cell>
          <cell r="AB20">
            <v>2.5</v>
          </cell>
          <cell r="AC20">
            <v>2.5</v>
          </cell>
          <cell r="AD20">
            <v>6.25</v>
          </cell>
          <cell r="AE20">
            <v>5</v>
          </cell>
          <cell r="AF20">
            <v>0.5</v>
          </cell>
          <cell r="AG20">
            <v>20</v>
          </cell>
          <cell r="AH20">
            <v>500</v>
          </cell>
          <cell r="AI20">
            <v>80</v>
          </cell>
          <cell r="AJ20">
            <v>100</v>
          </cell>
          <cell r="AK20" t="str">
            <v>Anderson Island</v>
          </cell>
          <cell r="AL20" t="str">
            <v>170deg az, sandy with non-attached ulva</v>
          </cell>
        </row>
        <row r="21">
          <cell r="B21" t="str">
            <v>Anderson Island South 1 - west - test - 2021</v>
          </cell>
          <cell r="C21" t="str">
            <v>AND_west4</v>
          </cell>
          <cell r="D21" t="str">
            <v>single</v>
          </cell>
          <cell r="E21">
            <v>2021</v>
          </cell>
          <cell r="R21" t="str">
            <v>test</v>
          </cell>
          <cell r="S21" t="str">
            <v>test</v>
          </cell>
          <cell r="T21">
            <v>44369</v>
          </cell>
          <cell r="W21" t="str">
            <v>point</v>
          </cell>
          <cell r="X21" t="str">
            <v>retain</v>
          </cell>
          <cell r="Y21" t="str">
            <v>WGS84</v>
          </cell>
          <cell r="Z21">
            <v>-1.5</v>
          </cell>
          <cell r="AA21" t="str">
            <v>rebar</v>
          </cell>
          <cell r="AB21">
            <v>3.5</v>
          </cell>
          <cell r="AC21">
            <v>0.5</v>
          </cell>
          <cell r="AD21">
            <v>1.75</v>
          </cell>
          <cell r="AE21">
            <v>2.25</v>
          </cell>
          <cell r="AF21">
            <v>0.22500000000000001</v>
          </cell>
          <cell r="AG21">
            <v>9</v>
          </cell>
          <cell r="AH21">
            <v>135</v>
          </cell>
          <cell r="AI21">
            <v>77.142857142857139</v>
          </cell>
          <cell r="AJ21">
            <v>60</v>
          </cell>
          <cell r="AK21" t="str">
            <v>DuPont Wharf</v>
          </cell>
        </row>
        <row r="22">
          <cell r="B22" t="str">
            <v>Anderson Island South 2 - west - test - 2021</v>
          </cell>
          <cell r="C22" t="str">
            <v>AND_west5</v>
          </cell>
          <cell r="D22" t="str">
            <v>single</v>
          </cell>
          <cell r="E22">
            <v>2021</v>
          </cell>
          <cell r="R22" t="str">
            <v>test</v>
          </cell>
          <cell r="S22" t="str">
            <v>test</v>
          </cell>
          <cell r="T22">
            <v>44372</v>
          </cell>
          <cell r="W22" t="str">
            <v>point</v>
          </cell>
          <cell r="X22" t="str">
            <v>retain</v>
          </cell>
          <cell r="Y22" t="str">
            <v>WGS84</v>
          </cell>
          <cell r="Z22">
            <v>-1.5</v>
          </cell>
          <cell r="AA22" t="str">
            <v>rebar</v>
          </cell>
          <cell r="AB22">
            <v>3.5</v>
          </cell>
          <cell r="AC22">
            <v>0.5</v>
          </cell>
          <cell r="AD22">
            <v>1.75</v>
          </cell>
          <cell r="AE22">
            <v>2.25</v>
          </cell>
          <cell r="AF22">
            <v>0.22500000000000001</v>
          </cell>
          <cell r="AG22">
            <v>9</v>
          </cell>
          <cell r="AH22">
            <v>135</v>
          </cell>
          <cell r="AI22">
            <v>77.142857142857139</v>
          </cell>
          <cell r="AJ22">
            <v>60</v>
          </cell>
          <cell r="AK22" t="str">
            <v>DuPont Wharf</v>
          </cell>
        </row>
        <row r="23">
          <cell r="B23" t="str">
            <v>Anderson Island South 3 - west - test - 2021</v>
          </cell>
          <cell r="C23" t="str">
            <v>AND_west6</v>
          </cell>
          <cell r="D23" t="str">
            <v>single</v>
          </cell>
          <cell r="E23">
            <v>2021</v>
          </cell>
          <cell r="R23" t="str">
            <v>test</v>
          </cell>
          <cell r="S23" t="str">
            <v>test</v>
          </cell>
          <cell r="T23">
            <v>44372</v>
          </cell>
          <cell r="W23" t="str">
            <v>point</v>
          </cell>
          <cell r="X23" t="str">
            <v>retain</v>
          </cell>
          <cell r="Y23" t="str">
            <v>WGS84</v>
          </cell>
          <cell r="Z23">
            <v>-1.5</v>
          </cell>
          <cell r="AA23" t="str">
            <v>rebar</v>
          </cell>
          <cell r="AB23">
            <v>3.5</v>
          </cell>
          <cell r="AC23">
            <v>0.5</v>
          </cell>
          <cell r="AD23">
            <v>1.75</v>
          </cell>
          <cell r="AE23">
            <v>2.25</v>
          </cell>
          <cell r="AF23">
            <v>0.22500000000000001</v>
          </cell>
          <cell r="AG23">
            <v>9</v>
          </cell>
          <cell r="AH23">
            <v>135</v>
          </cell>
          <cell r="AI23">
            <v>77.142857142857139</v>
          </cell>
          <cell r="AJ23">
            <v>60</v>
          </cell>
          <cell r="AK23" t="str">
            <v>DuPont Wharf</v>
          </cell>
        </row>
        <row r="24">
          <cell r="B24" t="str">
            <v>Anderson Island - Carlson Bay SE - DNR - test 1 - 2023</v>
          </cell>
          <cell r="C24" t="str">
            <v>AND_se1</v>
          </cell>
          <cell r="D24" t="str">
            <v>single</v>
          </cell>
          <cell r="E24">
            <v>2023</v>
          </cell>
          <cell r="G24" t="str">
            <v>point</v>
          </cell>
          <cell r="H24" t="str">
            <v>Case Inlet</v>
          </cell>
          <cell r="I24" t="str">
            <v>CPS</v>
          </cell>
          <cell r="R24" t="str">
            <v>test</v>
          </cell>
          <cell r="S24" t="str">
            <v>test</v>
          </cell>
          <cell r="T24">
            <v>45082</v>
          </cell>
          <cell r="U24">
            <v>47.141539999999999</v>
          </cell>
          <cell r="V24">
            <v>-122.73026</v>
          </cell>
          <cell r="W24" t="str">
            <v>point</v>
          </cell>
          <cell r="X24" t="str">
            <v>retain</v>
          </cell>
          <cell r="Y24" t="str">
            <v>WGS84</v>
          </cell>
          <cell r="Z24">
            <v>-1.5</v>
          </cell>
          <cell r="AA24" t="str">
            <v>rebar</v>
          </cell>
          <cell r="AB24">
            <v>1.5</v>
          </cell>
          <cell r="AC24">
            <v>0.5</v>
          </cell>
          <cell r="AD24">
            <v>0.75</v>
          </cell>
          <cell r="AE24">
            <v>2.25</v>
          </cell>
          <cell r="AF24">
            <v>0.22500000000000001</v>
          </cell>
          <cell r="AG24">
            <v>9</v>
          </cell>
          <cell r="AH24">
            <v>150</v>
          </cell>
          <cell r="AI24">
            <v>200</v>
          </cell>
          <cell r="AJ24">
            <v>66.666666666666671</v>
          </cell>
          <cell r="AK24" t="str">
            <v>DuPont Wharf</v>
          </cell>
        </row>
        <row r="25">
          <cell r="B25" t="str">
            <v>Blind Bay - DNR - test - 2020</v>
          </cell>
          <cell r="C25" t="str">
            <v>BB_test_1</v>
          </cell>
          <cell r="D25" t="str">
            <v>single</v>
          </cell>
          <cell r="E25">
            <v>2020</v>
          </cell>
          <cell r="F25" t="str">
            <v>SVMP</v>
          </cell>
          <cell r="G25" t="str">
            <v>line</v>
          </cell>
          <cell r="H25" t="str">
            <v>Blind Bay</v>
          </cell>
          <cell r="I25" t="str">
            <v>SJS</v>
          </cell>
          <cell r="J25" t="str">
            <v>Eelgrass Recovery in the San Juan Islands</v>
          </cell>
          <cell r="K25" t="str">
            <v>DNR</v>
          </cell>
          <cell r="L25" t="str">
            <v>SRFB - 19-1402</v>
          </cell>
          <cell r="R25" t="str">
            <v>test</v>
          </cell>
          <cell r="S25" t="str">
            <v>test</v>
          </cell>
          <cell r="T25">
            <v>44045</v>
          </cell>
          <cell r="U25">
            <v>48.578159999999997</v>
          </cell>
          <cell r="V25">
            <v>-122.94099</v>
          </cell>
          <cell r="W25" t="str">
            <v>line</v>
          </cell>
          <cell r="X25" t="str">
            <v>retain</v>
          </cell>
          <cell r="Y25" t="str">
            <v>WGS84</v>
          </cell>
          <cell r="Z25">
            <v>-1.7</v>
          </cell>
          <cell r="AA25" t="str">
            <v>rebar</v>
          </cell>
          <cell r="AB25">
            <v>14</v>
          </cell>
          <cell r="AC25">
            <v>1</v>
          </cell>
          <cell r="AD25">
            <v>14</v>
          </cell>
          <cell r="AE25">
            <v>4</v>
          </cell>
          <cell r="AF25">
            <v>0.4</v>
          </cell>
          <cell r="AG25">
            <v>16</v>
          </cell>
          <cell r="AH25">
            <v>320</v>
          </cell>
          <cell r="AI25">
            <v>22.857142857142858</v>
          </cell>
          <cell r="AJ25">
            <v>80</v>
          </cell>
          <cell r="AK25" t="str">
            <v>Dumas Bay</v>
          </cell>
          <cell r="AL25" t="str">
            <v>GPS marks the 0 m helical anchor. Another helical is set at 14 m (48.57810 -122.94094). Planting started at 2 m and ended at 10 m to keep transplants 2 m away from helicals at the end of the 14 m transect. Eelgrass harvested from the Shannon Point Marine Center mesocosms on 31 Jul 2020.</v>
          </cell>
        </row>
        <row r="26">
          <cell r="B26" t="str">
            <v>Blind Bay - DNR - test - 2020</v>
          </cell>
          <cell r="C26" t="str">
            <v>BB_test_1</v>
          </cell>
          <cell r="D26" t="str">
            <v>single</v>
          </cell>
          <cell r="E26">
            <v>2020</v>
          </cell>
          <cell r="F26" t="str">
            <v>SVMP</v>
          </cell>
          <cell r="G26" t="str">
            <v>line</v>
          </cell>
          <cell r="H26" t="str">
            <v>Blind Bay</v>
          </cell>
          <cell r="I26" t="str">
            <v>SJS</v>
          </cell>
          <cell r="J26" t="str">
            <v>Eelgrass Recovery in the San Juan Islands</v>
          </cell>
          <cell r="K26" t="str">
            <v>DNR</v>
          </cell>
          <cell r="L26" t="str">
            <v>SRFB - 19-1402</v>
          </cell>
          <cell r="R26" t="str">
            <v>test</v>
          </cell>
          <cell r="S26" t="str">
            <v>test</v>
          </cell>
          <cell r="T26">
            <v>44045</v>
          </cell>
          <cell r="U26">
            <v>48.578159999999997</v>
          </cell>
          <cell r="V26">
            <v>-122.94099</v>
          </cell>
          <cell r="W26" t="str">
            <v>line</v>
          </cell>
          <cell r="X26" t="str">
            <v>retain</v>
          </cell>
          <cell r="Y26" t="str">
            <v>WGS84</v>
          </cell>
          <cell r="Z26">
            <v>-1.7</v>
          </cell>
          <cell r="AA26" t="str">
            <v>rebar</v>
          </cell>
          <cell r="AB26">
            <v>14</v>
          </cell>
          <cell r="AC26">
            <v>1</v>
          </cell>
          <cell r="AD26">
            <v>14</v>
          </cell>
          <cell r="AE26">
            <v>0.75</v>
          </cell>
          <cell r="AF26">
            <v>7.4999999999999997E-2</v>
          </cell>
          <cell r="AG26">
            <v>3</v>
          </cell>
          <cell r="AH26">
            <v>60</v>
          </cell>
          <cell r="AI26">
            <v>4.2857142857142856</v>
          </cell>
          <cell r="AJ26">
            <v>80</v>
          </cell>
          <cell r="AK26" t="str">
            <v>Fay Bainbridge</v>
          </cell>
          <cell r="AL26" t="str">
            <v>GPS marks the 0 m helical anchor. Another helical is set at 14 m (48.57810 -122.94094). Planting started at 2 m and ended at 10 m to keep transplants 2 m away from helicals at the end of the 14 m transect. Eelgrass harvested from the Shannon Point Marine Center mesocosms on 31 Jul 2020.</v>
          </cell>
        </row>
        <row r="27">
          <cell r="B27" t="str">
            <v>Blind Bay - DNR - test - 2020</v>
          </cell>
          <cell r="C27" t="str">
            <v>BB_test_1</v>
          </cell>
          <cell r="D27" t="str">
            <v>single</v>
          </cell>
          <cell r="E27">
            <v>2020</v>
          </cell>
          <cell r="F27" t="str">
            <v>SVMP</v>
          </cell>
          <cell r="G27" t="str">
            <v>line</v>
          </cell>
          <cell r="H27" t="str">
            <v>Blind Bay</v>
          </cell>
          <cell r="I27" t="str">
            <v>SJS</v>
          </cell>
          <cell r="J27" t="str">
            <v>Eelgrass Recovery in the San Juan Islands</v>
          </cell>
          <cell r="K27" t="str">
            <v>DNR</v>
          </cell>
          <cell r="L27" t="str">
            <v>SRFB - 19-1402</v>
          </cell>
          <cell r="R27" t="str">
            <v>test</v>
          </cell>
          <cell r="S27" t="str">
            <v>test</v>
          </cell>
          <cell r="T27">
            <v>44045</v>
          </cell>
          <cell r="U27">
            <v>48.578159999999997</v>
          </cell>
          <cell r="V27">
            <v>-122.94099</v>
          </cell>
          <cell r="W27" t="str">
            <v>line</v>
          </cell>
          <cell r="X27" t="str">
            <v>retain</v>
          </cell>
          <cell r="Y27" t="str">
            <v>WGS84</v>
          </cell>
          <cell r="Z27">
            <v>-1.7</v>
          </cell>
          <cell r="AA27" t="str">
            <v>rebar</v>
          </cell>
          <cell r="AB27">
            <v>14</v>
          </cell>
          <cell r="AC27">
            <v>1</v>
          </cell>
          <cell r="AD27">
            <v>14</v>
          </cell>
          <cell r="AE27">
            <v>2.25</v>
          </cell>
          <cell r="AF27">
            <v>0.22500000000000001</v>
          </cell>
          <cell r="AG27">
            <v>9</v>
          </cell>
          <cell r="AH27">
            <v>135</v>
          </cell>
          <cell r="AI27">
            <v>9.6428571428571423</v>
          </cell>
          <cell r="AJ27">
            <v>60</v>
          </cell>
          <cell r="AK27" t="str">
            <v>Henry Island</v>
          </cell>
          <cell r="AL27" t="str">
            <v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v>
          </cell>
        </row>
        <row r="28">
          <cell r="B28" t="str">
            <v>Blind Bay - DNR - test - 2020</v>
          </cell>
          <cell r="C28" t="str">
            <v>BB_test_1</v>
          </cell>
          <cell r="D28" t="str">
            <v>single</v>
          </cell>
          <cell r="E28">
            <v>2020</v>
          </cell>
          <cell r="F28" t="str">
            <v>SVMP</v>
          </cell>
          <cell r="G28" t="str">
            <v>line</v>
          </cell>
          <cell r="H28" t="str">
            <v>Blind Bay</v>
          </cell>
          <cell r="I28" t="str">
            <v>SJS</v>
          </cell>
          <cell r="J28" t="str">
            <v>Eelgrass Recovery in the San Juan Islands</v>
          </cell>
          <cell r="K28" t="str">
            <v>DNR</v>
          </cell>
          <cell r="L28" t="str">
            <v>SRFB - 19-1402</v>
          </cell>
          <cell r="R28" t="str">
            <v>test</v>
          </cell>
          <cell r="S28" t="str">
            <v>test</v>
          </cell>
          <cell r="T28">
            <v>44045</v>
          </cell>
          <cell r="U28">
            <v>48.578159999999997</v>
          </cell>
          <cell r="V28">
            <v>-122.94099</v>
          </cell>
          <cell r="W28" t="str">
            <v>line</v>
          </cell>
          <cell r="X28" t="str">
            <v>retain</v>
          </cell>
          <cell r="Y28" t="str">
            <v>WGS84</v>
          </cell>
          <cell r="Z28">
            <v>-1.7</v>
          </cell>
          <cell r="AA28" t="str">
            <v>rebar</v>
          </cell>
          <cell r="AB28">
            <v>14</v>
          </cell>
          <cell r="AC28">
            <v>1</v>
          </cell>
          <cell r="AD28">
            <v>14</v>
          </cell>
          <cell r="AE28">
            <v>3.75</v>
          </cell>
          <cell r="AF28">
            <v>0.375</v>
          </cell>
          <cell r="AG28">
            <v>15</v>
          </cell>
          <cell r="AH28">
            <v>210</v>
          </cell>
          <cell r="AI28">
            <v>15</v>
          </cell>
          <cell r="AJ28">
            <v>56</v>
          </cell>
          <cell r="AK28" t="str">
            <v>Ship Harbor</v>
          </cell>
          <cell r="AL28" t="str">
            <v>GPS marks the 0 m helical anchor. Another helical is set at 14 m (48.57810 -122.94094). Planting started at 2 m and ended at 10 m to keep transplants 2 m away from helicals at the end of the 14 m transect. Eelgrass harvested from the Shannon Point Marine Center mesocosms on 31 Jul 2020.</v>
          </cell>
        </row>
        <row r="29">
          <cell r="B29" t="str">
            <v>Blind Bay - DNR - test - 2020</v>
          </cell>
          <cell r="C29" t="str">
            <v>BB_test_1</v>
          </cell>
          <cell r="D29" t="str">
            <v>single</v>
          </cell>
          <cell r="E29">
            <v>2020</v>
          </cell>
          <cell r="F29" t="str">
            <v>SVMP</v>
          </cell>
          <cell r="G29" t="str">
            <v>line</v>
          </cell>
          <cell r="H29" t="str">
            <v>Blind Bay</v>
          </cell>
          <cell r="I29" t="str">
            <v>SJS</v>
          </cell>
          <cell r="J29" t="str">
            <v>Eelgrass Recovery in the San Juan Islands</v>
          </cell>
          <cell r="K29" t="str">
            <v>DNR</v>
          </cell>
          <cell r="L29" t="str">
            <v>SRFB - 19-1402</v>
          </cell>
          <cell r="R29" t="str">
            <v>test</v>
          </cell>
          <cell r="S29" t="str">
            <v>test</v>
          </cell>
          <cell r="T29">
            <v>44045</v>
          </cell>
          <cell r="U29">
            <v>48.578159999999997</v>
          </cell>
          <cell r="V29">
            <v>-122.94099</v>
          </cell>
          <cell r="W29" t="str">
            <v>line</v>
          </cell>
          <cell r="X29" t="str">
            <v>retain</v>
          </cell>
          <cell r="Y29" t="str">
            <v>WGS84</v>
          </cell>
          <cell r="Z29">
            <v>-1.7</v>
          </cell>
          <cell r="AA29" t="str">
            <v>rebar</v>
          </cell>
          <cell r="AB29">
            <v>14</v>
          </cell>
          <cell r="AC29">
            <v>1</v>
          </cell>
          <cell r="AD29">
            <v>14</v>
          </cell>
          <cell r="AE29">
            <v>1.75</v>
          </cell>
          <cell r="AF29">
            <v>0.17499999999999999</v>
          </cell>
          <cell r="AG29">
            <v>7</v>
          </cell>
          <cell r="AH29">
            <v>175</v>
          </cell>
          <cell r="AI29">
            <v>12.5</v>
          </cell>
          <cell r="AJ29">
            <v>100</v>
          </cell>
          <cell r="AK29" t="str">
            <v>Mixed</v>
          </cell>
          <cell r="AL29" t="str">
            <v>GPS marks the 0 m helical anchor. Another helical is set at 14 m (48.57810 -122.94094). Planting started at 2 m and ended at 10 m to keep transplants 2 m away from helicals at the end of the 14 m transect. Eelgrass harvested from the Shannon Point Marine Center mesocosms on 31 Jul 2020.</v>
          </cell>
        </row>
        <row r="30">
          <cell r="B30" t="str">
            <v>Chico Bay - PNNL - test - 2015</v>
          </cell>
          <cell r="C30" t="str">
            <v>CHC</v>
          </cell>
          <cell r="D30" t="str">
            <v>single</v>
          </cell>
          <cell r="E30">
            <v>2015</v>
          </cell>
          <cell r="G30" t="str">
            <v>point</v>
          </cell>
          <cell r="H30" t="str">
            <v>Dyes Inlet</v>
          </cell>
          <cell r="I30" t="str">
            <v>CPS</v>
          </cell>
          <cell r="J30" t="str">
            <v>Eelgrass Restoration in PS</v>
          </cell>
          <cell r="K30" t="str">
            <v>DNR</v>
          </cell>
          <cell r="L30" t="str">
            <v>Aquatic Restoration Program</v>
          </cell>
          <cell r="O30" t="str">
            <v>PNNL</v>
          </cell>
          <cell r="P30" t="str">
            <v>IAA 12-317.1</v>
          </cell>
          <cell r="Q30" t="str">
            <v>Aston, L.A., A.B. Borde and J. Vavrinec. 2015. Final Summary Report - Eelgrass Restoration in Puget Sound Project Summary. Pacific Northwest National Laboratory, Richland, WA. PNNL-24445.</v>
          </cell>
          <cell r="R30" t="str">
            <v>test</v>
          </cell>
          <cell r="S30" t="str">
            <v>test</v>
          </cell>
          <cell r="T30">
            <v>42053</v>
          </cell>
          <cell r="U30">
            <v>47.606483333333337</v>
          </cell>
          <cell r="V30">
            <v>-122.69918333333334</v>
          </cell>
          <cell r="W30" t="str">
            <v>point</v>
          </cell>
          <cell r="X30" t="str">
            <v>retain</v>
          </cell>
          <cell r="Y30" t="str">
            <v>WGS84</v>
          </cell>
          <cell r="Z30">
            <v>-0.85343999999999987</v>
          </cell>
          <cell r="AA30" t="str">
            <v>staple</v>
          </cell>
          <cell r="AB30">
            <v>5</v>
          </cell>
          <cell r="AC30">
            <v>5</v>
          </cell>
          <cell r="AD30">
            <v>25</v>
          </cell>
          <cell r="AE30">
            <v>25</v>
          </cell>
          <cell r="AF30">
            <v>0.625</v>
          </cell>
          <cell r="AG30">
            <v>125</v>
          </cell>
          <cell r="AH30">
            <v>500</v>
          </cell>
          <cell r="AI30">
            <v>20</v>
          </cell>
          <cell r="AJ30">
            <v>20</v>
          </cell>
          <cell r="AK30" t="str">
            <v>Creosote Point</v>
          </cell>
        </row>
        <row r="31">
          <cell r="B31" t="str">
            <v>Commencement Bay - PNNL - Test Plot shallow - 2017</v>
          </cell>
          <cell r="C31" t="str">
            <v>COM_shallow</v>
          </cell>
          <cell r="D31" t="str">
            <v>single</v>
          </cell>
          <cell r="E31">
            <v>2017</v>
          </cell>
          <cell r="G31" t="str">
            <v>point</v>
          </cell>
          <cell r="H31" t="str">
            <v>Commencement Bay</v>
          </cell>
          <cell r="I31" t="str">
            <v>CPS</v>
          </cell>
          <cell r="J31" t="str">
            <v>Eelgrass Recovery in PS</v>
          </cell>
          <cell r="K31" t="str">
            <v>USFWS</v>
          </cell>
          <cell r="L31" t="str">
            <v>USFWS</v>
          </cell>
          <cell r="M31" t="str">
            <v>WA F16AP00163 AL</v>
          </cell>
          <cell r="O31" t="str">
            <v>PNNL</v>
          </cell>
          <cell r="P31" t="str">
            <v>93-094344</v>
          </cell>
          <cell r="R31" t="str">
            <v>test</v>
          </cell>
          <cell r="S31" t="str">
            <v>test</v>
          </cell>
          <cell r="T31">
            <v>42978</v>
          </cell>
          <cell r="U31">
            <v>47.276260000000001</v>
          </cell>
          <cell r="V31">
            <v>-122.4636385</v>
          </cell>
          <cell r="W31" t="str">
            <v>point</v>
          </cell>
          <cell r="X31" t="str">
            <v>retain</v>
          </cell>
          <cell r="Y31" t="str">
            <v>WGS84</v>
          </cell>
          <cell r="Z31">
            <v>-1.524</v>
          </cell>
          <cell r="AA31" t="str">
            <v>rebar</v>
          </cell>
          <cell r="AB31">
            <v>2.5</v>
          </cell>
          <cell r="AC31">
            <v>2.5</v>
          </cell>
          <cell r="AD31">
            <v>6.25</v>
          </cell>
          <cell r="AE31">
            <v>5</v>
          </cell>
          <cell r="AF31">
            <v>0.5</v>
          </cell>
          <cell r="AG31">
            <v>20</v>
          </cell>
          <cell r="AH31">
            <v>500</v>
          </cell>
          <cell r="AI31">
            <v>80</v>
          </cell>
          <cell r="AJ31">
            <v>100</v>
          </cell>
          <cell r="AK31" t="str">
            <v>Creosote Point</v>
          </cell>
        </row>
        <row r="32">
          <cell r="B32" t="str">
            <v>Commencement Bay - PNNL - Test Plot deep - 2017</v>
          </cell>
          <cell r="C32" t="str">
            <v>COM_deep</v>
          </cell>
          <cell r="D32" t="str">
            <v>single</v>
          </cell>
          <cell r="E32">
            <v>2017</v>
          </cell>
          <cell r="G32" t="str">
            <v>point</v>
          </cell>
          <cell r="H32" t="str">
            <v>Commencement Bay</v>
          </cell>
          <cell r="I32" t="str">
            <v>CPS</v>
          </cell>
          <cell r="J32" t="str">
            <v>Eelgrass Recovery in PS</v>
          </cell>
          <cell r="K32" t="str">
            <v>USFWS</v>
          </cell>
          <cell r="L32" t="str">
            <v>USFWS</v>
          </cell>
          <cell r="M32" t="str">
            <v>WA F16AP00163 AL</v>
          </cell>
          <cell r="O32" t="str">
            <v>PNNL</v>
          </cell>
          <cell r="P32" t="str">
            <v>93-094344</v>
          </cell>
          <cell r="R32" t="str">
            <v>test</v>
          </cell>
          <cell r="S32" t="str">
            <v>test</v>
          </cell>
          <cell r="T32">
            <v>42978</v>
          </cell>
          <cell r="U32">
            <v>47.276316666666666</v>
          </cell>
          <cell r="V32">
            <v>-122.46373333333334</v>
          </cell>
          <cell r="W32" t="str">
            <v>point</v>
          </cell>
          <cell r="X32" t="str">
            <v>retain</v>
          </cell>
          <cell r="Y32" t="str">
            <v>WGS84</v>
          </cell>
          <cell r="Z32">
            <v>-2.4384000000000001</v>
          </cell>
          <cell r="AA32" t="str">
            <v>rebar</v>
          </cell>
          <cell r="AB32">
            <v>2.5</v>
          </cell>
          <cell r="AC32">
            <v>2.5</v>
          </cell>
          <cell r="AD32">
            <v>6.25</v>
          </cell>
          <cell r="AE32">
            <v>5</v>
          </cell>
          <cell r="AF32">
            <v>0.5</v>
          </cell>
          <cell r="AG32">
            <v>20</v>
          </cell>
          <cell r="AH32">
            <v>500</v>
          </cell>
          <cell r="AI32">
            <v>80</v>
          </cell>
          <cell r="AJ32">
            <v>100</v>
          </cell>
          <cell r="AK32" t="str">
            <v>Creosote Point</v>
          </cell>
        </row>
        <row r="33">
          <cell r="B33" t="str">
            <v>Commencement Bay - PNNL - large - 2018</v>
          </cell>
          <cell r="C33" t="str">
            <v>COM_L1</v>
          </cell>
          <cell r="D33" t="str">
            <v>single</v>
          </cell>
          <cell r="E33">
            <v>2018</v>
          </cell>
          <cell r="G33" t="str">
            <v>line</v>
          </cell>
          <cell r="H33" t="str">
            <v>Commencement Bay</v>
          </cell>
          <cell r="I33" t="str">
            <v>CPS</v>
          </cell>
          <cell r="J33" t="str">
            <v>Eelgrass Recovery in PS</v>
          </cell>
          <cell r="K33" t="str">
            <v>USFWS</v>
          </cell>
          <cell r="L33" t="str">
            <v>USFWS</v>
          </cell>
          <cell r="M33" t="str">
            <v>WA F16AP00163 AL</v>
          </cell>
          <cell r="O33" t="str">
            <v>PNNL</v>
          </cell>
          <cell r="P33" t="str">
            <v>93-094344</v>
          </cell>
          <cell r="R33" t="str">
            <v>large scale</v>
          </cell>
          <cell r="S33" t="str">
            <v>large scale</v>
          </cell>
          <cell r="T33">
            <v>43277</v>
          </cell>
          <cell r="U33">
            <v>47.276299999999999</v>
          </cell>
          <cell r="V33">
            <v>-122.4636</v>
          </cell>
          <cell r="W33" t="str">
            <v>line</v>
          </cell>
          <cell r="X33" t="str">
            <v>retain</v>
          </cell>
          <cell r="Y33" t="str">
            <v>WGS84</v>
          </cell>
          <cell r="Z33">
            <v>-2.4384000000000001</v>
          </cell>
          <cell r="AA33" t="str">
            <v>rebar</v>
          </cell>
          <cell r="AB33">
            <v>19</v>
          </cell>
          <cell r="AC33">
            <v>10</v>
          </cell>
          <cell r="AD33">
            <v>190</v>
          </cell>
          <cell r="AE33">
            <v>108.25</v>
          </cell>
          <cell r="AF33">
            <v>10.825000000000001</v>
          </cell>
          <cell r="AG33">
            <v>433</v>
          </cell>
          <cell r="AH33">
            <v>10825</v>
          </cell>
          <cell r="AI33">
            <v>56.973684210526315</v>
          </cell>
          <cell r="AJ33">
            <v>100</v>
          </cell>
          <cell r="AK33" t="str">
            <v>Dumas Bay</v>
          </cell>
          <cell r="AL33" t="str">
            <v>Planting occurred near 2 test plots so planting was irregular to not overlap with the test plots. See planting diagram</v>
          </cell>
        </row>
        <row r="34">
          <cell r="B34" t="str">
            <v>Commencement Bay - PNNL - large - 2018</v>
          </cell>
          <cell r="C34" t="str">
            <v>COM_L1</v>
          </cell>
          <cell r="D34" t="str">
            <v>single</v>
          </cell>
          <cell r="E34">
            <v>2018</v>
          </cell>
          <cell r="G34" t="str">
            <v>line</v>
          </cell>
          <cell r="H34" t="str">
            <v>Commencement Bay</v>
          </cell>
          <cell r="I34" t="str">
            <v>CPS</v>
          </cell>
          <cell r="J34" t="str">
            <v>Eelgrass Recovery in PS</v>
          </cell>
          <cell r="K34" t="str">
            <v>USFWS</v>
          </cell>
          <cell r="L34" t="str">
            <v>USFWS</v>
          </cell>
          <cell r="M34" t="str">
            <v>WA F16AP00163 AL</v>
          </cell>
          <cell r="O34" t="str">
            <v>PNNL</v>
          </cell>
          <cell r="P34" t="str">
            <v>93-094344</v>
          </cell>
          <cell r="R34" t="str">
            <v>large scale</v>
          </cell>
          <cell r="S34" t="str">
            <v>--</v>
          </cell>
          <cell r="T34">
            <v>43277</v>
          </cell>
          <cell r="U34">
            <v>47.276319999999998</v>
          </cell>
          <cell r="V34">
            <v>-122.46381</v>
          </cell>
          <cell r="W34" t="str">
            <v>line</v>
          </cell>
          <cell r="X34" t="str">
            <v>retain</v>
          </cell>
          <cell r="Y34" t="str">
            <v>WGS84</v>
          </cell>
          <cell r="AF34" t="str">
            <v/>
          </cell>
          <cell r="AI34" t="str">
            <v/>
          </cell>
          <cell r="AJ34" t="str">
            <v/>
          </cell>
        </row>
        <row r="35">
          <cell r="B35" t="str">
            <v>Commencement Bay - PNNL - large - 2019</v>
          </cell>
          <cell r="C35" t="str">
            <v>COM_L2</v>
          </cell>
          <cell r="D35" t="str">
            <v>single</v>
          </cell>
          <cell r="E35">
            <v>2019</v>
          </cell>
          <cell r="G35" t="str">
            <v>line</v>
          </cell>
          <cell r="H35" t="str">
            <v>Commencement Bay</v>
          </cell>
          <cell r="I35" t="str">
            <v>CPS</v>
          </cell>
          <cell r="J35" t="str">
            <v>Eelgrass Recovery in PS</v>
          </cell>
          <cell r="K35" t="str">
            <v>USACE</v>
          </cell>
          <cell r="L35" t="str">
            <v>USACE</v>
          </cell>
          <cell r="M35" t="str">
            <v>W912DW-14-2-0009 (93-099566)</v>
          </cell>
          <cell r="N35" t="str">
            <v>IAA 15-45</v>
          </cell>
          <cell r="O35" t="str">
            <v>PNNL</v>
          </cell>
          <cell r="P35" t="str">
            <v>93-099661</v>
          </cell>
          <cell r="R35" t="str">
            <v>large scale</v>
          </cell>
          <cell r="S35" t="str">
            <v>large scale</v>
          </cell>
          <cell r="T35">
            <v>43625</v>
          </cell>
          <cell r="U35">
            <v>47.276290000000003</v>
          </cell>
          <cell r="V35">
            <v>-122.46335999999999</v>
          </cell>
          <cell r="W35" t="str">
            <v>line</v>
          </cell>
          <cell r="X35" t="str">
            <v>retain</v>
          </cell>
          <cell r="Y35" t="str">
            <v>WGS84</v>
          </cell>
          <cell r="Z35">
            <v>-2.4</v>
          </cell>
          <cell r="AA35" t="str">
            <v>rebar</v>
          </cell>
          <cell r="AB35">
            <v>27</v>
          </cell>
          <cell r="AC35">
            <v>10</v>
          </cell>
          <cell r="AD35">
            <v>270</v>
          </cell>
          <cell r="AE35">
            <v>164</v>
          </cell>
          <cell r="AF35">
            <v>16.400000000000002</v>
          </cell>
          <cell r="AG35">
            <v>656</v>
          </cell>
          <cell r="AH35">
            <v>16400</v>
          </cell>
          <cell r="AI35">
            <v>60.74074074074074</v>
          </cell>
          <cell r="AJ35">
            <v>100</v>
          </cell>
          <cell r="AK35" t="str">
            <v>Dumas Bay</v>
          </cell>
          <cell r="AL35" t="str">
            <v>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v>
          </cell>
        </row>
        <row r="36">
          <cell r="B36" t="str">
            <v>Commencement Bay - PNNL - large - 2019</v>
          </cell>
          <cell r="C36" t="str">
            <v>COM_L2</v>
          </cell>
          <cell r="D36" t="str">
            <v>single</v>
          </cell>
          <cell r="E36">
            <v>2019</v>
          </cell>
          <cell r="G36" t="str">
            <v>line</v>
          </cell>
          <cell r="H36" t="str">
            <v>Commencement Bay</v>
          </cell>
          <cell r="I36" t="str">
            <v>CPS</v>
          </cell>
          <cell r="J36" t="str">
            <v>Eelgrass Recovery in PS</v>
          </cell>
          <cell r="K36" t="str">
            <v>USACE</v>
          </cell>
          <cell r="L36" t="str">
            <v>USACE</v>
          </cell>
          <cell r="M36" t="str">
            <v>W912DW-14-2-0009 (93-099566)</v>
          </cell>
          <cell r="N36" t="str">
            <v>IAA 15-45</v>
          </cell>
          <cell r="O36" t="str">
            <v>PNNL</v>
          </cell>
          <cell r="P36" t="str">
            <v>93-099661</v>
          </cell>
          <cell r="R36" t="str">
            <v>large scale</v>
          </cell>
          <cell r="S36" t="str">
            <v>--</v>
          </cell>
          <cell r="T36">
            <v>43625</v>
          </cell>
          <cell r="U36">
            <v>47.276294999999998</v>
          </cell>
          <cell r="V36">
            <v>-122.463595</v>
          </cell>
          <cell r="W36" t="str">
            <v>line</v>
          </cell>
          <cell r="X36" t="str">
            <v>retain</v>
          </cell>
          <cell r="Y36" t="str">
            <v>WGS84</v>
          </cell>
          <cell r="Z36">
            <v>-2.6</v>
          </cell>
          <cell r="AI36" t="str">
            <v/>
          </cell>
          <cell r="AJ36" t="str">
            <v/>
          </cell>
        </row>
        <row r="37">
          <cell r="B37" t="str">
            <v>Delano Beach - PNNL - test - 2015</v>
          </cell>
          <cell r="C37" t="str">
            <v>DEL_1</v>
          </cell>
          <cell r="D37" t="str">
            <v>initial</v>
          </cell>
          <cell r="E37">
            <v>2015</v>
          </cell>
          <cell r="F37" t="str">
            <v>Thom, RM, and L Hallum. 1990. Long‐term changes in the areal extent of tidal marshes, eelgrass meadows, and kelp forests of Puget Sound. FRI‐UW‐9008, Fisheries Research Institute, School of Fisheries, University of Washington, Seattle. Pp. 110.</v>
          </cell>
          <cell r="G37" t="str">
            <v>point</v>
          </cell>
          <cell r="H37" t="str">
            <v>Carr Inlet</v>
          </cell>
          <cell r="I37" t="str">
            <v>CPS</v>
          </cell>
          <cell r="J37" t="str">
            <v>Eelgrass Restoration in PS</v>
          </cell>
          <cell r="K37" t="str">
            <v>DNR</v>
          </cell>
          <cell r="L37" t="str">
            <v>Aquatic Restoration Program</v>
          </cell>
          <cell r="O37" t="str">
            <v>PNNL</v>
          </cell>
          <cell r="P37" t="str">
            <v>IAA 12-317.1</v>
          </cell>
          <cell r="Q37" t="str">
            <v>Aston, L.A., A.B. Borde and J. Vavrinec. 2015. Final Summary Report - Eelgrass Restoration in Puget Sound Project Summary. Pacific Northwest National Laboratory, Richland, WA. PNNL-24445.</v>
          </cell>
          <cell r="R37" t="str">
            <v>test</v>
          </cell>
          <cell r="S37" t="str">
            <v>test</v>
          </cell>
          <cell r="T37">
            <v>42061</v>
          </cell>
          <cell r="U37">
            <v>47.254983333333335</v>
          </cell>
          <cell r="V37">
            <v>-122.73711666666667</v>
          </cell>
          <cell r="W37" t="str">
            <v>point</v>
          </cell>
          <cell r="X37" t="str">
            <v>retain</v>
          </cell>
          <cell r="Y37" t="str">
            <v>WGS84</v>
          </cell>
          <cell r="Z37">
            <v>-2.3469600000000002</v>
          </cell>
          <cell r="AA37" t="str">
            <v>staple</v>
          </cell>
          <cell r="AB37">
            <v>5</v>
          </cell>
          <cell r="AC37">
            <v>5</v>
          </cell>
          <cell r="AD37">
            <v>25</v>
          </cell>
          <cell r="AE37">
            <v>25</v>
          </cell>
          <cell r="AF37">
            <v>0.625</v>
          </cell>
          <cell r="AG37">
            <v>125</v>
          </cell>
          <cell r="AH37">
            <v>500</v>
          </cell>
          <cell r="AI37">
            <v>20</v>
          </cell>
          <cell r="AJ37">
            <v>20</v>
          </cell>
          <cell r="AK37" t="str">
            <v>Ketron Island</v>
          </cell>
          <cell r="AL37" t="str">
            <v>"mega"-bundles were planted with 260 shoots on 26 staples outside of the plot and just south</v>
          </cell>
        </row>
        <row r="38">
          <cell r="B38" t="str">
            <v>Delano W T1 - HC - test - 2016</v>
          </cell>
          <cell r="C38" t="str">
            <v>DEL_L1</v>
          </cell>
          <cell r="D38" t="str">
            <v>single</v>
          </cell>
          <cell r="E38">
            <v>2016</v>
          </cell>
          <cell r="F38" t="str">
            <v>Thom, RM, and L Hallum. 1990. Long‐term changes in the areal extent of tidal marshes, eelgrass meadows, and kelp forests of Puget Sound. FRI‐UW‐9008, Fisheries Research Institute, School of Fisheries, University of Washington, Seattle. Pp. 110.</v>
          </cell>
          <cell r="G38" t="str">
            <v>line</v>
          </cell>
          <cell r="H38" t="str">
            <v>Carr Inlet</v>
          </cell>
          <cell r="I38" t="str">
            <v>CPS</v>
          </cell>
          <cell r="J38" t="str">
            <v>Eelgrass Restoration in Puget Sound</v>
          </cell>
          <cell r="K38" t="str">
            <v>WDFW</v>
          </cell>
          <cell r="L38" t="str">
            <v>National Estuary Program</v>
          </cell>
          <cell r="M38" t="str">
            <v>14-02072</v>
          </cell>
          <cell r="N38" t="str">
            <v xml:space="preserve"> IAA 15-110</v>
          </cell>
          <cell r="O38" t="str">
            <v>Hart Crowser</v>
          </cell>
          <cell r="P38" t="str">
            <v>SC 16-17</v>
          </cell>
          <cell r="Q38" t="str">
            <v>Shannon, J., J. Blanchette and J. Gaeckle. 2018. Eelgrass (Zostera marina) Restoration in Puget Sound, WA. Final Restoration and Monitoring Report (12059-05) for US EPA, Hart Crowser, Edmonds, WA. Pp. 131.</v>
          </cell>
          <cell r="R38" t="str">
            <v>test</v>
          </cell>
          <cell r="S38" t="str">
            <v>test</v>
          </cell>
          <cell r="T38">
            <v>42481</v>
          </cell>
          <cell r="U38">
            <v>47.258040352777776</v>
          </cell>
          <cell r="V38">
            <v>-122.73927132222222</v>
          </cell>
          <cell r="W38" t="str">
            <v>line</v>
          </cell>
          <cell r="X38" t="str">
            <v>retain</v>
          </cell>
          <cell r="Y38" t="str">
            <v>WGS84</v>
          </cell>
          <cell r="Z38">
            <v>-2</v>
          </cell>
          <cell r="AA38" t="str">
            <v>burlap</v>
          </cell>
          <cell r="AB38">
            <v>25</v>
          </cell>
          <cell r="AC38">
            <v>5</v>
          </cell>
          <cell r="AD38">
            <v>125</v>
          </cell>
          <cell r="AE38">
            <v>75</v>
          </cell>
          <cell r="AF38">
            <v>9.75</v>
          </cell>
          <cell r="AG38">
            <v>156</v>
          </cell>
          <cell r="AH38">
            <v>780</v>
          </cell>
          <cell r="AI38">
            <v>6.24</v>
          </cell>
          <cell r="AJ38">
            <v>10.4</v>
          </cell>
          <cell r="AK38" t="str">
            <v>Cutts Island</v>
          </cell>
          <cell r="AL38" t="str">
            <v>transect line that includes 3 test plots</v>
          </cell>
        </row>
        <row r="39">
          <cell r="B39" t="str">
            <v>Delano W T2 - HC - test - 2016</v>
          </cell>
          <cell r="C39" t="str">
            <v>DEL_L1</v>
          </cell>
          <cell r="D39" t="str">
            <v>single</v>
          </cell>
          <cell r="E39">
            <v>2016</v>
          </cell>
          <cell r="F39" t="str">
            <v>Thom, RM, and L Hallum. 1990. Long‐term changes in the areal extent of tidal marshes, eelgrass meadows, and kelp forests of Puget Sound. FRI‐UW‐9008, Fisheries Research Institute, School of Fisheries, University of Washington, Seattle. Pp. 110.</v>
          </cell>
          <cell r="G39" t="str">
            <v>line</v>
          </cell>
          <cell r="H39" t="str">
            <v>Carr Inlet</v>
          </cell>
          <cell r="I39" t="str">
            <v>CPS</v>
          </cell>
          <cell r="J39" t="str">
            <v>Eelgrass Restoration in Puget Sound</v>
          </cell>
          <cell r="K39" t="str">
            <v>WDFW</v>
          </cell>
          <cell r="L39" t="str">
            <v>National Estuary Program</v>
          </cell>
          <cell r="M39" t="str">
            <v>14-02072</v>
          </cell>
          <cell r="N39" t="str">
            <v xml:space="preserve"> IAA 15-110</v>
          </cell>
          <cell r="O39" t="str">
            <v>Hart Crowser</v>
          </cell>
          <cell r="P39" t="str">
            <v>SC 16-17</v>
          </cell>
          <cell r="Q39" t="str">
            <v>Shannon, J., J. Blanchette and J. Gaeckle. 2018. Eelgrass (Zostera marina) Restoration in Puget Sound, WA. Final Restoration and Monitoring Report (12059-05) for US EPA, Hart Crowser, Edmonds, WA. Pp. 131.</v>
          </cell>
          <cell r="R39" t="str">
            <v>test</v>
          </cell>
          <cell r="S39" t="str">
            <v>--</v>
          </cell>
          <cell r="T39">
            <v>42481</v>
          </cell>
          <cell r="U39">
            <v>47.258279688888891</v>
          </cell>
          <cell r="V39">
            <v>-122.7380948</v>
          </cell>
          <cell r="W39" t="str">
            <v>line</v>
          </cell>
          <cell r="X39" t="str">
            <v>retain</v>
          </cell>
          <cell r="Y39" t="str">
            <v>WGS84</v>
          </cell>
          <cell r="Z39">
            <v>-2</v>
          </cell>
          <cell r="AA39" t="str">
            <v>burlap</v>
          </cell>
          <cell r="AI39" t="str">
            <v/>
          </cell>
          <cell r="AJ39" t="str">
            <v/>
          </cell>
        </row>
        <row r="40">
          <cell r="B40" t="str">
            <v>Delano Beach - SE - HC - large - 2016</v>
          </cell>
          <cell r="C40" t="str">
            <v>DEL_P1</v>
          </cell>
          <cell r="D40" t="str">
            <v>single</v>
          </cell>
          <cell r="E40">
            <v>2016</v>
          </cell>
          <cell r="F40" t="str">
            <v>Thom, RM, and L Hallum. 1990. Long‐term changes in the areal extent of tidal marshes, eelgrass meadows, and kelp forests of Puget Sound. FRI‐UW‐9008, Fisheries Research Institute, School of Fisheries, University of Washington, Seattle. Pp. 110.</v>
          </cell>
          <cell r="G40" t="str">
            <v>polygon</v>
          </cell>
          <cell r="H40" t="str">
            <v>Carr Inlet</v>
          </cell>
          <cell r="I40" t="str">
            <v>CPS</v>
          </cell>
          <cell r="J40" t="str">
            <v>Eelgrass Restoration in Puget Sound</v>
          </cell>
          <cell r="K40" t="str">
            <v>WDFW</v>
          </cell>
          <cell r="L40" t="str">
            <v>National Estuary Program</v>
          </cell>
          <cell r="M40" t="str">
            <v>14-02072</v>
          </cell>
          <cell r="N40" t="str">
            <v xml:space="preserve"> IAA 15-110</v>
          </cell>
          <cell r="O40" t="str">
            <v>Hart Crowser</v>
          </cell>
          <cell r="P40" t="str">
            <v>SC 16-17</v>
          </cell>
          <cell r="Q40" t="str">
            <v>Shannon, J., J. Blanchette and J. Gaeckle. 2018. Eelgrass (Zostera marina) Restoration in Puget Sound, WA. Final Restoration and Monitoring Report (12059-05) for US EPA, Hart Crowser, Edmonds, WA. Pp. 131.</v>
          </cell>
          <cell r="R40" t="str">
            <v>large scale</v>
          </cell>
          <cell r="S40" t="str">
            <v>large scale</v>
          </cell>
          <cell r="T40">
            <v>42535</v>
          </cell>
          <cell r="U40">
            <v>47.257533000000002</v>
          </cell>
          <cell r="V40">
            <v>-122.73820383333333</v>
          </cell>
          <cell r="W40" t="str">
            <v>polygon</v>
          </cell>
          <cell r="X40" t="str">
            <v>retain</v>
          </cell>
          <cell r="Y40" t="str">
            <v>WGS84</v>
          </cell>
          <cell r="Z40">
            <v>-2</v>
          </cell>
          <cell r="AA40" t="str">
            <v>burlap</v>
          </cell>
          <cell r="AB40">
            <v>35</v>
          </cell>
          <cell r="AC40">
            <v>6</v>
          </cell>
          <cell r="AD40">
            <v>210</v>
          </cell>
          <cell r="AE40">
            <v>50.4</v>
          </cell>
          <cell r="AF40">
            <v>78.75</v>
          </cell>
          <cell r="AG40">
            <v>1260</v>
          </cell>
          <cell r="AH40">
            <v>20850</v>
          </cell>
          <cell r="AI40">
            <v>99.285714285714292</v>
          </cell>
          <cell r="AJ40">
            <v>413.6904761904762</v>
          </cell>
          <cell r="AK40" t="str">
            <v>Cutts Island</v>
          </cell>
        </row>
        <row r="41">
          <cell r="B41" t="str">
            <v>Delano Beach - SW - HC - large - 2016</v>
          </cell>
          <cell r="C41" t="str">
            <v>DEL_P1</v>
          </cell>
          <cell r="D41" t="str">
            <v>single</v>
          </cell>
          <cell r="E41">
            <v>2016</v>
          </cell>
          <cell r="F41" t="str">
            <v>Thom, RM, and L Hallum. 1990. Long‐term changes in the areal extent of tidal marshes, eelgrass meadows, and kelp forests of Puget Sound. FRI‐UW‐9008, Fisheries Research Institute, School of Fisheries, University of Washington, Seattle. Pp. 110.</v>
          </cell>
          <cell r="G41" t="str">
            <v>polygon</v>
          </cell>
          <cell r="H41" t="str">
            <v>Carr Inlet</v>
          </cell>
          <cell r="I41" t="str">
            <v>CPS</v>
          </cell>
          <cell r="J41" t="str">
            <v>Eelgrass Restoration in Puget Sound</v>
          </cell>
          <cell r="K41" t="str">
            <v>WDFW</v>
          </cell>
          <cell r="L41" t="str">
            <v>National Estuary Program</v>
          </cell>
          <cell r="M41" t="str">
            <v>14-02072</v>
          </cell>
          <cell r="N41" t="str">
            <v xml:space="preserve"> IAA 15-110</v>
          </cell>
          <cell r="O41" t="str">
            <v>Hart Crowser</v>
          </cell>
          <cell r="P41" t="str">
            <v>SC 16-17</v>
          </cell>
          <cell r="Q41" t="str">
            <v>Shannon, J., J. Blanchette and J. Gaeckle. 2018. Eelgrass (Zostera marina) Restoration in Puget Sound, WA. Final Restoration and Monitoring Report (12059-05) for US EPA, Hart Crowser, Edmonds, WA. Pp. 131.</v>
          </cell>
          <cell r="R41" t="str">
            <v>large scale</v>
          </cell>
          <cell r="S41" t="str">
            <v>--</v>
          </cell>
          <cell r="T41">
            <v>42535</v>
          </cell>
          <cell r="U41">
            <v>47.257536833333333</v>
          </cell>
          <cell r="V41">
            <v>-122.73813800000001</v>
          </cell>
          <cell r="W41" t="str">
            <v>polygon</v>
          </cell>
          <cell r="X41" t="str">
            <v>retain</v>
          </cell>
          <cell r="Y41" t="str">
            <v>WGS84</v>
          </cell>
          <cell r="AF41" t="str">
            <v/>
          </cell>
          <cell r="AI41" t="str">
            <v/>
          </cell>
          <cell r="AJ41" t="str">
            <v/>
          </cell>
        </row>
        <row r="42">
          <cell r="B42" t="str">
            <v>Delano Beach - NE - HC - large - 2016</v>
          </cell>
          <cell r="C42" t="str">
            <v>DEL_P1</v>
          </cell>
          <cell r="D42" t="str">
            <v>single</v>
          </cell>
          <cell r="E42">
            <v>2016</v>
          </cell>
          <cell r="F42" t="str">
            <v>Thom, RM, and L Hallum. 1990. Long‐term changes in the areal extent of tidal marshes, eelgrass meadows, and kelp forests of Puget Sound. FRI‐UW‐9008, Fisheries Research Institute, School of Fisheries, University of Washington, Seattle. Pp. 110.</v>
          </cell>
          <cell r="G42" t="str">
            <v>polygon</v>
          </cell>
          <cell r="H42" t="str">
            <v>Carr Inlet</v>
          </cell>
          <cell r="I42" t="str">
            <v>CPS</v>
          </cell>
          <cell r="J42" t="str">
            <v>Eelgrass Restoration in Puget Sound</v>
          </cell>
          <cell r="K42" t="str">
            <v>WDFW</v>
          </cell>
          <cell r="L42" t="str">
            <v>National Estuary Program</v>
          </cell>
          <cell r="M42" t="str">
            <v>14-02072</v>
          </cell>
          <cell r="N42" t="str">
            <v xml:space="preserve"> IAA 15-110</v>
          </cell>
          <cell r="O42" t="str">
            <v>Hart Crowser</v>
          </cell>
          <cell r="P42" t="str">
            <v>SC 16-17</v>
          </cell>
          <cell r="Q42" t="str">
            <v>Shannon, J., J. Blanchette and J. Gaeckle. 2018. Eelgrass (Zostera marina) Restoration in Puget Sound, WA. Final Restoration and Monitoring Report (12059-05) for US EPA, Hart Crowser, Edmonds, WA. Pp. 131.</v>
          </cell>
          <cell r="R42" t="str">
            <v>large scale</v>
          </cell>
          <cell r="S42" t="str">
            <v>--</v>
          </cell>
          <cell r="T42">
            <v>42535</v>
          </cell>
          <cell r="U42">
            <v>47.25784183333333</v>
          </cell>
          <cell r="V42">
            <v>-122.73817200000001</v>
          </cell>
          <cell r="W42" t="str">
            <v>polygon</v>
          </cell>
          <cell r="X42" t="str">
            <v>retain</v>
          </cell>
          <cell r="Y42" t="str">
            <v>WGS84</v>
          </cell>
          <cell r="AF42" t="str">
            <v/>
          </cell>
          <cell r="AI42" t="str">
            <v/>
          </cell>
          <cell r="AJ42" t="str">
            <v/>
          </cell>
        </row>
        <row r="43">
          <cell r="B43" t="str">
            <v>Delano Beach - NW - HC - large - 2016</v>
          </cell>
          <cell r="C43" t="str">
            <v>DEL_P1</v>
          </cell>
          <cell r="D43" t="str">
            <v>single</v>
          </cell>
          <cell r="E43">
            <v>2016</v>
          </cell>
          <cell r="F43" t="str">
            <v>Thom, RM, and L Hallum. 1990. Long‐term changes in the areal extent of tidal marshes, eelgrass meadows, and kelp forests of Puget Sound. FRI‐UW‐9008, Fisheries Research Institute, School of Fisheries, University of Washington, Seattle. Pp. 110.</v>
          </cell>
          <cell r="G43" t="str">
            <v>polygon</v>
          </cell>
          <cell r="H43" t="str">
            <v>Carr Inlet</v>
          </cell>
          <cell r="I43" t="str">
            <v>CPS</v>
          </cell>
          <cell r="J43" t="str">
            <v>Eelgrass Restoration in Puget Sound</v>
          </cell>
          <cell r="K43" t="str">
            <v>WDFW</v>
          </cell>
          <cell r="L43" t="str">
            <v>National Estuary Program</v>
          </cell>
          <cell r="M43" t="str">
            <v>14-02072</v>
          </cell>
          <cell r="N43" t="str">
            <v xml:space="preserve"> IAA 15-110</v>
          </cell>
          <cell r="O43" t="str">
            <v>Hart Crowser</v>
          </cell>
          <cell r="P43" t="str">
            <v>SC 16-17</v>
          </cell>
          <cell r="Q43" t="str">
            <v>Shannon, J., J. Blanchette and J. Gaeckle. 2018. Eelgrass (Zostera marina) Restoration in Puget Sound, WA. Final Restoration and Monitoring Report (12059-05) for US EPA, Hart Crowser, Edmonds, WA. Pp. 131.</v>
          </cell>
          <cell r="R43" t="str">
            <v>large scale</v>
          </cell>
          <cell r="S43" t="str">
            <v>--</v>
          </cell>
          <cell r="T43">
            <v>42535</v>
          </cell>
          <cell r="U43">
            <v>47.257838833333331</v>
          </cell>
          <cell r="V43">
            <v>-122.73823783333333</v>
          </cell>
          <cell r="W43" t="str">
            <v>polygon</v>
          </cell>
          <cell r="X43" t="str">
            <v>retain</v>
          </cell>
          <cell r="Y43" t="str">
            <v>WGS84</v>
          </cell>
          <cell r="AF43" t="str">
            <v/>
          </cell>
          <cell r="AI43" t="str">
            <v/>
          </cell>
          <cell r="AJ43" t="str">
            <v/>
          </cell>
        </row>
        <row r="44">
          <cell r="B44" t="str">
            <v>Delano Beach East - north - HC - test - 2017</v>
          </cell>
          <cell r="C44" t="str">
            <v>DEL_3</v>
          </cell>
          <cell r="D44" t="str">
            <v>initial</v>
          </cell>
          <cell r="E44">
            <v>2017</v>
          </cell>
          <cell r="F44" t="str">
            <v>Thom, RM, and L Hallum. 1990. Long‐term changes in the areal extent of tidal marshes, eelgrass meadows, and kelp forests of Puget Sound. FRI‐UW‐9008, Fisheries Research Institute, School of Fisheries, University of Washington, Seattle. Pp. 110.</v>
          </cell>
          <cell r="G44" t="str">
            <v>point</v>
          </cell>
          <cell r="H44" t="str">
            <v>Carr Inlet</v>
          </cell>
          <cell r="I44" t="str">
            <v>CPS</v>
          </cell>
          <cell r="J44" t="str">
            <v>Eelgrass Restoration in Puget Sound</v>
          </cell>
          <cell r="K44" t="str">
            <v>WDFW</v>
          </cell>
          <cell r="L44" t="str">
            <v>National Estuary Program</v>
          </cell>
          <cell r="M44" t="str">
            <v>14-02072</v>
          </cell>
          <cell r="N44" t="str">
            <v>IAA 15-110</v>
          </cell>
          <cell r="O44" t="str">
            <v>Hart Crowser</v>
          </cell>
          <cell r="P44" t="str">
            <v>SC 16-17</v>
          </cell>
          <cell r="Q44" t="str">
            <v>Shannon, J., J. Blanchette and J. Gaeckle. 2018. Eelgrass (Zostera marina) Restoration in Puget Sound, WA. Final Restoration and Monitoring Report (12059-05) for US EPA, Hart Crowser, Edmonds, WA. Pp. 131.</v>
          </cell>
          <cell r="R44" t="str">
            <v>test</v>
          </cell>
          <cell r="S44" t="str">
            <v>test</v>
          </cell>
          <cell r="T44">
            <v>42933</v>
          </cell>
          <cell r="U44">
            <v>47.249850000000002</v>
          </cell>
          <cell r="V44">
            <v>-122.72317</v>
          </cell>
          <cell r="W44" t="str">
            <v>point</v>
          </cell>
          <cell r="X44" t="str">
            <v>retain</v>
          </cell>
          <cell r="Y44" t="str">
            <v>WGS84</v>
          </cell>
          <cell r="Z44">
            <v>-1.6</v>
          </cell>
          <cell r="AA44" t="str">
            <v>turf</v>
          </cell>
          <cell r="AB44">
            <v>10</v>
          </cell>
          <cell r="AC44">
            <v>1</v>
          </cell>
          <cell r="AD44">
            <v>10</v>
          </cell>
          <cell r="AE44">
            <v>6</v>
          </cell>
          <cell r="AF44">
            <v>1.67</v>
          </cell>
          <cell r="AG44">
            <v>167</v>
          </cell>
          <cell r="AH44">
            <v>1172</v>
          </cell>
          <cell r="AI44">
            <v>117.2</v>
          </cell>
          <cell r="AJ44">
            <v>195.33333333333334</v>
          </cell>
          <cell r="AK44" t="str">
            <v>Cutts Island</v>
          </cell>
          <cell r="AL44" t="str">
            <v>Referred to as 'South Head 1' in final report. Turfs plant 5-15 shoots per staple (X= ~7 shoots/staple because donor site was Cutts Island with larger Zm than Rocky Bay). Estimated number of PUs at test-transplant site as 1172/7 = 167.</v>
          </cell>
        </row>
        <row r="45">
          <cell r="B45" t="str">
            <v>Delano Beach East - south - HC - test - 2017</v>
          </cell>
          <cell r="C45" t="str">
            <v>DEL_2</v>
          </cell>
          <cell r="D45" t="str">
            <v>single</v>
          </cell>
          <cell r="E45">
            <v>2017</v>
          </cell>
          <cell r="F45" t="str">
            <v>Thom, RM, and L Hallum. 1990. Long‐term changes in the areal extent of tidal marshes, eelgrass meadows, and kelp forests of Puget Sound. FRI‐UW‐9008, Fisheries Research Institute, School of Fisheries, University of Washington, Seattle. Pp. 110.</v>
          </cell>
          <cell r="G45" t="str">
            <v>point</v>
          </cell>
          <cell r="H45" t="str">
            <v>Carr Inlet</v>
          </cell>
          <cell r="I45" t="str">
            <v>CPS</v>
          </cell>
          <cell r="J45" t="str">
            <v>Eelgrass Restoration in Puget Sound</v>
          </cell>
          <cell r="K45" t="str">
            <v>WDFW</v>
          </cell>
          <cell r="L45" t="str">
            <v>National Estuary Program</v>
          </cell>
          <cell r="M45" t="str">
            <v>14-02072</v>
          </cell>
          <cell r="N45" t="str">
            <v>IAA 15-110</v>
          </cell>
          <cell r="O45" t="str">
            <v>Hart Crowser</v>
          </cell>
          <cell r="P45" t="str">
            <v>SC 16-17</v>
          </cell>
          <cell r="Q45" t="str">
            <v>Shannon, J., J. Blanchette and J. Gaeckle. 2018. Eelgrass (Zostera marina) Restoration in Puget Sound, WA. Final Restoration and Monitoring Report (12059-05) for US EPA, Hart Crowser, Edmonds, WA. Pp. 131.</v>
          </cell>
          <cell r="R45" t="str">
            <v>test</v>
          </cell>
          <cell r="S45" t="str">
            <v>test</v>
          </cell>
          <cell r="T45">
            <v>42933</v>
          </cell>
          <cell r="U45">
            <v>47.249630000000003</v>
          </cell>
          <cell r="V45">
            <v>-122.72338000000001</v>
          </cell>
          <cell r="W45" t="str">
            <v>point</v>
          </cell>
          <cell r="X45" t="str">
            <v>retain</v>
          </cell>
          <cell r="Y45" t="str">
            <v>WGS84</v>
          </cell>
          <cell r="Z45">
            <v>-1.6</v>
          </cell>
          <cell r="AA45" t="str">
            <v>turf</v>
          </cell>
          <cell r="AB45">
            <v>10</v>
          </cell>
          <cell r="AC45">
            <v>1</v>
          </cell>
          <cell r="AD45">
            <v>10</v>
          </cell>
          <cell r="AE45">
            <v>6</v>
          </cell>
          <cell r="AF45">
            <v>1.45</v>
          </cell>
          <cell r="AG45">
            <v>145</v>
          </cell>
          <cell r="AH45">
            <v>1015</v>
          </cell>
          <cell r="AI45">
            <v>101.5</v>
          </cell>
          <cell r="AJ45">
            <v>169.16666666666666</v>
          </cell>
          <cell r="AK45" t="str">
            <v>Cutts Island</v>
          </cell>
          <cell r="AL45" t="str">
            <v>Referred to as 'South Head 2' in final report. Turfs plant 5-15 shoots per staple (X= ~7 shoots/staple because donor site was Cutts Island with larger Zm than Rocky Bay). Estimated number of PUs at test-transplant site as 1015/7 = 145.</v>
          </cell>
        </row>
        <row r="46">
          <cell r="B46" t="str">
            <v>Delano Beach - PNNL - test - enhancement</v>
          </cell>
          <cell r="C46" t="str">
            <v>DEL_1</v>
          </cell>
          <cell r="D46" t="str">
            <v>repeat</v>
          </cell>
          <cell r="E46">
            <v>2018</v>
          </cell>
          <cell r="F46" t="str">
            <v>Thom, RM, and L Hallum. 1990. Long‐term changes in the areal extent of tidal marshes, eelgrass meadows, and kelp forests of Puget Sound. FRI‐UW‐9008, Fisheries Research Institute, School of Fisheries, University of Washington, Seattle. Pp. 110.</v>
          </cell>
          <cell r="G46" t="str">
            <v>point</v>
          </cell>
          <cell r="H46" t="str">
            <v>Carr Inlet</v>
          </cell>
          <cell r="I46" t="str">
            <v>CPS</v>
          </cell>
          <cell r="J46" t="str">
            <v>DNR</v>
          </cell>
          <cell r="K46" t="str">
            <v>DNR</v>
          </cell>
          <cell r="L46" t="str">
            <v>Nearshore Habitat Program</v>
          </cell>
          <cell r="R46" t="str">
            <v>test</v>
          </cell>
          <cell r="S46" t="str">
            <v>test</v>
          </cell>
          <cell r="T46">
            <v>43279</v>
          </cell>
          <cell r="U46">
            <v>47.254983333333335</v>
          </cell>
          <cell r="V46">
            <v>-122.73711666666667</v>
          </cell>
          <cell r="W46" t="str">
            <v>point</v>
          </cell>
          <cell r="X46" t="str">
            <v>retain</v>
          </cell>
          <cell r="Y46" t="str">
            <v>WGS84</v>
          </cell>
          <cell r="Z46">
            <v>-2.3469600000000002</v>
          </cell>
          <cell r="AA46" t="str">
            <v>rebar</v>
          </cell>
          <cell r="AB46">
            <v>5</v>
          </cell>
          <cell r="AC46">
            <v>0.5</v>
          </cell>
          <cell r="AD46">
            <v>2.5</v>
          </cell>
          <cell r="AE46">
            <v>2.75</v>
          </cell>
          <cell r="AF46">
            <v>0.27500000000000002</v>
          </cell>
          <cell r="AG46">
            <v>11</v>
          </cell>
          <cell r="AH46">
            <v>275</v>
          </cell>
          <cell r="AI46">
            <v>110</v>
          </cell>
          <cell r="AJ46">
            <v>100</v>
          </cell>
          <cell r="AK46" t="str">
            <v>DuPont Wharf</v>
          </cell>
          <cell r="AL46" t="str">
            <v>transplanted 4, 0.25 m2 patches. 3 patches had 3, 50 cm lengths of rebar each with 25 shoots while 1 patch had 2, 50 cm lengths of rebar each with 25 shoots.</v>
          </cell>
        </row>
        <row r="47">
          <cell r="B47" t="str">
            <v xml:space="preserve">Delano Beach East - north - HC - test - enhancement </v>
          </cell>
          <cell r="C47" t="str">
            <v>DEL_3</v>
          </cell>
          <cell r="D47" t="str">
            <v>repeat</v>
          </cell>
          <cell r="E47">
            <v>2018</v>
          </cell>
          <cell r="F47" t="str">
            <v>Thom, RM, and L Hallum. 1990. Long‐term changes in the areal extent of tidal marshes, eelgrass meadows, and kelp forests of Puget Sound. FRI‐UW‐9008, Fisheries Research Institute, School of Fisheries, University of Washington, Seattle. Pp. 110.</v>
          </cell>
          <cell r="G47" t="str">
            <v>point</v>
          </cell>
          <cell r="H47" t="str">
            <v>Carr Inlet</v>
          </cell>
          <cell r="I47" t="str">
            <v>CPS</v>
          </cell>
          <cell r="J47" t="str">
            <v>DNR</v>
          </cell>
          <cell r="K47" t="str">
            <v>DNR</v>
          </cell>
          <cell r="L47" t="str">
            <v>Nearshore Habitat Program</v>
          </cell>
          <cell r="R47" t="str">
            <v>test</v>
          </cell>
          <cell r="S47" t="str">
            <v>test</v>
          </cell>
          <cell r="T47">
            <v>43279</v>
          </cell>
          <cell r="U47">
            <v>47.249850000000002</v>
          </cell>
          <cell r="V47">
            <v>-122.72317</v>
          </cell>
          <cell r="W47" t="str">
            <v>point</v>
          </cell>
          <cell r="X47" t="str">
            <v>retain</v>
          </cell>
          <cell r="Y47" t="str">
            <v>WGS84</v>
          </cell>
          <cell r="Z47">
            <v>-1.6</v>
          </cell>
          <cell r="AA47" t="str">
            <v>rebar</v>
          </cell>
          <cell r="AB47">
            <v>5</v>
          </cell>
          <cell r="AC47">
            <v>0.5</v>
          </cell>
          <cell r="AD47">
            <v>2.5</v>
          </cell>
          <cell r="AE47">
            <v>2.25</v>
          </cell>
          <cell r="AF47">
            <v>0.22500000000000001</v>
          </cell>
          <cell r="AG47">
            <v>9</v>
          </cell>
          <cell r="AH47">
            <v>225</v>
          </cell>
          <cell r="AI47">
            <v>90</v>
          </cell>
          <cell r="AJ47">
            <v>100</v>
          </cell>
          <cell r="AK47" t="str">
            <v>DuPont Wharf</v>
          </cell>
          <cell r="AL47" t="str">
            <v>transplanted 3, 0.25 m2 patch with 3, 50 cm lengths of rebar each with 25 shoots near north buoy</v>
          </cell>
        </row>
        <row r="48">
          <cell r="B48" t="str">
            <v>Delano Beach East - PNNL - test - 2020</v>
          </cell>
          <cell r="C48" t="str">
            <v>DEL_east_1</v>
          </cell>
          <cell r="D48" t="str">
            <v>single</v>
          </cell>
          <cell r="E48">
            <v>2020</v>
          </cell>
          <cell r="F48" t="str">
            <v>Thom, RM, and L Hallum. 1990. Long‐term changes in the areal extent of tidal marshes, eelgrass meadows, and kelp forests of Puget Sound. FRI‐UW‐9008, Fisheries Research Institute, School of Fisheries, University of Washington, Seattle. Pp. 110.</v>
          </cell>
          <cell r="G48" t="str">
            <v>point</v>
          </cell>
          <cell r="H48" t="str">
            <v>Carr Inlet</v>
          </cell>
          <cell r="I48" t="str">
            <v>CPS</v>
          </cell>
          <cell r="J48" t="str">
            <v>Eelgrass Recovery in PS</v>
          </cell>
          <cell r="K48" t="str">
            <v>USACE</v>
          </cell>
          <cell r="L48" t="str">
            <v>USACE</v>
          </cell>
          <cell r="M48" t="str">
            <v>W912DW-14-2-0009 (93-099566)</v>
          </cell>
          <cell r="N48" t="str">
            <v>IAA 15-45</v>
          </cell>
          <cell r="O48" t="str">
            <v>PNNL</v>
          </cell>
          <cell r="R48" t="str">
            <v>test</v>
          </cell>
          <cell r="S48" t="str">
            <v>test</v>
          </cell>
          <cell r="T48">
            <v>44013</v>
          </cell>
          <cell r="U48">
            <v>47.249993000000003</v>
          </cell>
          <cell r="V48">
            <v>-122.7228933</v>
          </cell>
          <cell r="W48" t="str">
            <v>point</v>
          </cell>
          <cell r="X48" t="str">
            <v>retain</v>
          </cell>
          <cell r="Y48" t="str">
            <v>WGS84</v>
          </cell>
          <cell r="Z48">
            <v>-1.2</v>
          </cell>
          <cell r="AA48" t="str">
            <v>rebar</v>
          </cell>
          <cell r="AB48">
            <v>2.5</v>
          </cell>
          <cell r="AC48">
            <v>2.5</v>
          </cell>
          <cell r="AD48">
            <v>6.25</v>
          </cell>
          <cell r="AE48">
            <v>6.25</v>
          </cell>
          <cell r="AF48">
            <v>0.625</v>
          </cell>
          <cell r="AG48">
            <v>25</v>
          </cell>
          <cell r="AH48">
            <v>625</v>
          </cell>
          <cell r="AI48">
            <v>100</v>
          </cell>
          <cell r="AJ48">
            <v>100</v>
          </cell>
          <cell r="AK48" t="str">
            <v>Anderson Island</v>
          </cell>
          <cell r="AL48" t="str">
            <v>180deg az, sandy with shell hash, some ulva with sand on it and chaetomorpha, firm bottom</v>
          </cell>
        </row>
        <row r="49">
          <cell r="B49" t="str">
            <v>Delano Beach West - PNNL - test - 2020</v>
          </cell>
          <cell r="C49" t="str">
            <v>DEL_west_1</v>
          </cell>
          <cell r="D49" t="str">
            <v>single</v>
          </cell>
          <cell r="E49">
            <v>2020</v>
          </cell>
          <cell r="F49" t="str">
            <v>Thom, RM, and L Hallum. 1990. Long‐term changes in the areal extent of tidal marshes, eelgrass meadows, and kelp forests of Puget Sound. FRI‐UW‐9008, Fisheries Research Institute, School of Fisheries, University of Washington, Seattle. Pp. 110.</v>
          </cell>
          <cell r="G49" t="str">
            <v>point</v>
          </cell>
          <cell r="H49" t="str">
            <v>Carr Inlet</v>
          </cell>
          <cell r="I49" t="str">
            <v>CPS</v>
          </cell>
          <cell r="J49" t="str">
            <v>Eelgrass Recovery in PS</v>
          </cell>
          <cell r="K49" t="str">
            <v>USACE</v>
          </cell>
          <cell r="L49" t="str">
            <v>USACE</v>
          </cell>
          <cell r="M49" t="str">
            <v>W912DW-14-2-0009 (93-099566)</v>
          </cell>
          <cell r="N49" t="str">
            <v>IAA 15-45</v>
          </cell>
          <cell r="O49" t="str">
            <v>PNNL</v>
          </cell>
          <cell r="R49" t="str">
            <v>test</v>
          </cell>
          <cell r="S49" t="str">
            <v>test</v>
          </cell>
          <cell r="T49">
            <v>44013</v>
          </cell>
          <cell r="U49">
            <v>47.252598300000002</v>
          </cell>
          <cell r="V49">
            <v>-122.73546829999999</v>
          </cell>
          <cell r="W49" t="str">
            <v>point</v>
          </cell>
          <cell r="X49" t="str">
            <v>retain</v>
          </cell>
          <cell r="Y49" t="str">
            <v>WGS84</v>
          </cell>
          <cell r="Z49">
            <v>-1.6</v>
          </cell>
          <cell r="AA49" t="str">
            <v>rebar</v>
          </cell>
          <cell r="AB49">
            <v>3</v>
          </cell>
          <cell r="AC49">
            <v>2.5</v>
          </cell>
          <cell r="AD49">
            <v>7.5</v>
          </cell>
          <cell r="AE49">
            <v>6.75</v>
          </cell>
          <cell r="AF49">
            <v>0.67500000000000004</v>
          </cell>
          <cell r="AG49">
            <v>27</v>
          </cell>
          <cell r="AH49">
            <v>692</v>
          </cell>
          <cell r="AI49">
            <v>92.266666666666666</v>
          </cell>
          <cell r="AJ49">
            <v>102.51851851851852</v>
          </cell>
          <cell r="AK49" t="str">
            <v>Anderson Island</v>
          </cell>
          <cell r="AL49" t="str">
            <v>270deg az, sandy with patches of ulva and other "green stuff"</v>
          </cell>
        </row>
        <row r="50">
          <cell r="B50" t="str">
            <v>Delano Beach West - PNNL - large - 2021</v>
          </cell>
          <cell r="C50" t="str">
            <v>DEL_L</v>
          </cell>
          <cell r="D50" t="str">
            <v>single</v>
          </cell>
          <cell r="E50">
            <v>2021</v>
          </cell>
          <cell r="F50" t="str">
            <v>Thom, RM, and L Hallum. 1990. Long‐term changes in the areal extent of tidal marshes, eelgrass meadows, and kelp forests of Puget Sound. FRI‐UW‐9008, Fisheries Research Institute, School of Fisheries, University of Washington, Seattle. Pp. 110.</v>
          </cell>
          <cell r="G50" t="str">
            <v>point</v>
          </cell>
          <cell r="H50" t="str">
            <v>Carr Inlet</v>
          </cell>
          <cell r="I50" t="str">
            <v>CPS</v>
          </cell>
          <cell r="J50" t="str">
            <v>Eelgrass Recovery in PS</v>
          </cell>
          <cell r="K50" t="str">
            <v>USACE</v>
          </cell>
          <cell r="L50" t="str">
            <v>USACE</v>
          </cell>
          <cell r="M50" t="str">
            <v>W912DW-14-2-0009 (93-099566)</v>
          </cell>
          <cell r="N50" t="str">
            <v>IAA 15-45</v>
          </cell>
          <cell r="O50" t="str">
            <v>PNNL</v>
          </cell>
          <cell r="R50" t="str">
            <v>large scale</v>
          </cell>
          <cell r="S50" t="str">
            <v>large scale</v>
          </cell>
          <cell r="T50">
            <v>44350</v>
          </cell>
          <cell r="U50">
            <v>47.252598300000002</v>
          </cell>
          <cell r="V50">
            <v>-122.73546829999999</v>
          </cell>
          <cell r="W50" t="str">
            <v>point</v>
          </cell>
          <cell r="X50" t="str">
            <v>retain</v>
          </cell>
          <cell r="Y50" t="str">
            <v>WGS84</v>
          </cell>
          <cell r="Z50">
            <v>-1.3</v>
          </cell>
          <cell r="AA50" t="str">
            <v>rebar</v>
          </cell>
          <cell r="AB50">
            <v>50</v>
          </cell>
          <cell r="AC50">
            <v>5</v>
          </cell>
          <cell r="AD50">
            <v>250</v>
          </cell>
          <cell r="AE50">
            <v>149.25</v>
          </cell>
          <cell r="AF50">
            <v>14.925000000000001</v>
          </cell>
          <cell r="AG50">
            <v>597</v>
          </cell>
          <cell r="AH50">
            <v>12305</v>
          </cell>
          <cell r="AI50">
            <v>49.22</v>
          </cell>
          <cell r="AJ50">
            <v>82.44556113902847</v>
          </cell>
          <cell r="AK50" t="str">
            <v>Green Point</v>
          </cell>
        </row>
        <row r="51">
          <cell r="B51" t="str">
            <v>Delano Beach West - DNR - shallow - test - 2021</v>
          </cell>
          <cell r="C51" t="str">
            <v>DEL_west_shallow_1</v>
          </cell>
          <cell r="D51" t="str">
            <v>single</v>
          </cell>
          <cell r="E51">
            <v>2021</v>
          </cell>
          <cell r="J51" t="str">
            <v>DNR</v>
          </cell>
          <cell r="K51" t="str">
            <v>DNR</v>
          </cell>
          <cell r="R51" t="str">
            <v>test</v>
          </cell>
          <cell r="S51" t="str">
            <v>test</v>
          </cell>
          <cell r="T51">
            <v>44370</v>
          </cell>
          <cell r="W51" t="str">
            <v>point</v>
          </cell>
          <cell r="X51" t="str">
            <v>retain</v>
          </cell>
          <cell r="Y51" t="str">
            <v>WGS84</v>
          </cell>
          <cell r="Z51">
            <v>-1.524</v>
          </cell>
          <cell r="AA51" t="str">
            <v>rebar</v>
          </cell>
          <cell r="AB51">
            <v>1.5</v>
          </cell>
          <cell r="AC51">
            <v>1</v>
          </cell>
          <cell r="AD51">
            <v>1.5</v>
          </cell>
          <cell r="AE51">
            <v>4.5</v>
          </cell>
          <cell r="AF51">
            <v>0.45</v>
          </cell>
          <cell r="AG51">
            <v>18</v>
          </cell>
          <cell r="AH51">
            <v>270</v>
          </cell>
          <cell r="AI51">
            <v>180</v>
          </cell>
          <cell r="AJ51">
            <v>60</v>
          </cell>
          <cell r="AK51" t="str">
            <v>DuPont Wharf</v>
          </cell>
        </row>
        <row r="52">
          <cell r="B52" t="str">
            <v>Delano Beach West - DNR - deep - test - 2021</v>
          </cell>
          <cell r="C52" t="str">
            <v>DEL_west_deep_1</v>
          </cell>
          <cell r="D52" t="str">
            <v>single</v>
          </cell>
          <cell r="E52">
            <v>2021</v>
          </cell>
          <cell r="J52" t="str">
            <v>DNR</v>
          </cell>
          <cell r="K52" t="str">
            <v>DNR</v>
          </cell>
          <cell r="R52" t="str">
            <v>test</v>
          </cell>
          <cell r="S52" t="str">
            <v>test</v>
          </cell>
          <cell r="T52">
            <v>44370</v>
          </cell>
          <cell r="W52" t="str">
            <v>point</v>
          </cell>
          <cell r="X52" t="str">
            <v>retain</v>
          </cell>
          <cell r="Y52" t="str">
            <v>WGS84</v>
          </cell>
          <cell r="Z52">
            <v>-1.524</v>
          </cell>
          <cell r="AA52" t="str">
            <v>rebar</v>
          </cell>
          <cell r="AB52">
            <v>1</v>
          </cell>
          <cell r="AC52">
            <v>1</v>
          </cell>
          <cell r="AD52">
            <v>1</v>
          </cell>
          <cell r="AE52">
            <v>3</v>
          </cell>
          <cell r="AF52">
            <v>0.30000000000000004</v>
          </cell>
          <cell r="AG52">
            <v>12</v>
          </cell>
          <cell r="AH52">
            <v>180</v>
          </cell>
          <cell r="AI52">
            <v>180</v>
          </cell>
          <cell r="AJ52">
            <v>60</v>
          </cell>
          <cell r="AK52" t="str">
            <v>DuPont Wharf</v>
          </cell>
        </row>
        <row r="53">
          <cell r="B53" t="str">
            <v>Dumas Bay - KC Zm Restoration - test - 2020</v>
          </cell>
          <cell r="C53" t="str">
            <v>DB_test_1</v>
          </cell>
          <cell r="D53" t="str">
            <v>single</v>
          </cell>
          <cell r="E53">
            <v>2020</v>
          </cell>
          <cell r="F53" t="str">
            <v>SVMP</v>
          </cell>
          <cell r="G53" t="str">
            <v>point</v>
          </cell>
          <cell r="H53" t="str">
            <v>East Passage</v>
          </cell>
          <cell r="I53" t="str">
            <v>CPS</v>
          </cell>
          <cell r="J53" t="str">
            <v>King County</v>
          </cell>
          <cell r="K53" t="str">
            <v>King County</v>
          </cell>
          <cell r="L53" t="str">
            <v>King County Department of Natural Resources and Parks Wastewater Treatment Division</v>
          </cell>
          <cell r="N53" t="str">
            <v>93-097520</v>
          </cell>
          <cell r="R53" t="str">
            <v>test</v>
          </cell>
          <cell r="S53" t="str">
            <v>test</v>
          </cell>
          <cell r="T53">
            <v>44018</v>
          </cell>
          <cell r="U53">
            <v>47.329329999999999</v>
          </cell>
          <cell r="V53">
            <v>-122.38615</v>
          </cell>
          <cell r="W53" t="str">
            <v>point</v>
          </cell>
          <cell r="X53" t="str">
            <v>retain</v>
          </cell>
          <cell r="Y53" t="str">
            <v>WGS84</v>
          </cell>
          <cell r="Z53">
            <v>-1.6</v>
          </cell>
          <cell r="AA53" t="str">
            <v>rebar</v>
          </cell>
          <cell r="AB53">
            <v>3.5</v>
          </cell>
          <cell r="AC53">
            <v>3.5</v>
          </cell>
          <cell r="AD53">
            <v>12.25</v>
          </cell>
          <cell r="AE53">
            <v>1.5</v>
          </cell>
          <cell r="AF53">
            <v>0.45</v>
          </cell>
          <cell r="AG53">
            <v>18</v>
          </cell>
          <cell r="AH53">
            <v>300</v>
          </cell>
          <cell r="AI53">
            <v>24.489795918367346</v>
          </cell>
          <cell r="AJ53">
            <v>200</v>
          </cell>
          <cell r="AK53" t="str">
            <v>Dumas Bay</v>
          </cell>
          <cell r="AL53" t="str">
            <v>eelgrass harvested from area between Transects B and C at the Dumas Bay SeagrassNet site (WA50.1)</v>
          </cell>
        </row>
        <row r="54">
          <cell r="B54" t="str">
            <v>Dumas Bay - KC Zm Restoration - test - 2021</v>
          </cell>
          <cell r="C54" t="str">
            <v>DB_test_2</v>
          </cell>
          <cell r="D54" t="str">
            <v>single</v>
          </cell>
          <cell r="E54">
            <v>2021</v>
          </cell>
          <cell r="F54" t="str">
            <v>SVMP</v>
          </cell>
          <cell r="G54" t="str">
            <v>point</v>
          </cell>
          <cell r="H54" t="str">
            <v>East Passage</v>
          </cell>
          <cell r="I54" t="str">
            <v>CPS</v>
          </cell>
          <cell r="J54" t="str">
            <v>King County</v>
          </cell>
          <cell r="K54" t="str">
            <v>King County</v>
          </cell>
          <cell r="L54" t="str">
            <v>King County Department of Natural Resources and Parks Wastewater Treatment Division</v>
          </cell>
          <cell r="N54" t="str">
            <v>93-097520</v>
          </cell>
          <cell r="R54" t="str">
            <v>test</v>
          </cell>
          <cell r="S54" t="str">
            <v>test</v>
          </cell>
          <cell r="T54">
            <v>44314</v>
          </cell>
          <cell r="U54">
            <v>47.329329999999999</v>
          </cell>
          <cell r="V54">
            <v>-122.38615</v>
          </cell>
          <cell r="W54" t="str">
            <v>point</v>
          </cell>
          <cell r="X54" t="str">
            <v>retain</v>
          </cell>
          <cell r="Y54" t="str">
            <v>WGS84</v>
          </cell>
          <cell r="Z54">
            <v>-1.6</v>
          </cell>
          <cell r="AA54" t="str">
            <v>rebar</v>
          </cell>
          <cell r="AB54">
            <v>3.5</v>
          </cell>
          <cell r="AC54">
            <v>3.5</v>
          </cell>
          <cell r="AD54">
            <v>12.25</v>
          </cell>
          <cell r="AE54">
            <v>1</v>
          </cell>
          <cell r="AF54">
            <v>0.30000000000000004</v>
          </cell>
          <cell r="AG54">
            <v>12</v>
          </cell>
          <cell r="AH54">
            <v>300</v>
          </cell>
          <cell r="AI54">
            <v>24.489795918367346</v>
          </cell>
          <cell r="AJ54">
            <v>300</v>
          </cell>
          <cell r="AK54" t="str">
            <v>Dumas Bay</v>
          </cell>
          <cell r="AL54" t="str">
            <v>2020 test transplants were present so decided to add to the site. Eelgrass harvested from area between Transects B and C at the Dumas Bay SeagrassNet site (WA50.1)</v>
          </cell>
        </row>
        <row r="55">
          <cell r="B55" t="str">
            <v>Dumas Bay - KC Zm Restoration - test - 2021</v>
          </cell>
          <cell r="C55" t="str">
            <v>DB_test_2</v>
          </cell>
          <cell r="D55" t="str">
            <v>single</v>
          </cell>
          <cell r="E55">
            <v>2021</v>
          </cell>
          <cell r="F55" t="str">
            <v>SVMP</v>
          </cell>
          <cell r="G55" t="str">
            <v>point</v>
          </cell>
          <cell r="H55" t="str">
            <v>East Passage</v>
          </cell>
          <cell r="I55" t="str">
            <v>CPS</v>
          </cell>
          <cell r="J55" t="str">
            <v>King County</v>
          </cell>
          <cell r="K55" t="str">
            <v>King County</v>
          </cell>
          <cell r="L55" t="str">
            <v>King County Department of Natural Resources and Parks Wastewater Treatment Division</v>
          </cell>
          <cell r="N55" t="str">
            <v>93-097520</v>
          </cell>
          <cell r="R55" t="str">
            <v>test</v>
          </cell>
          <cell r="S55" t="str">
            <v>test</v>
          </cell>
          <cell r="T55">
            <v>44329</v>
          </cell>
          <cell r="U55">
            <v>47.329329999999999</v>
          </cell>
          <cell r="V55">
            <v>-122.38615</v>
          </cell>
          <cell r="W55" t="str">
            <v>point</v>
          </cell>
          <cell r="X55" t="str">
            <v>retain</v>
          </cell>
          <cell r="Y55" t="str">
            <v>WGS84</v>
          </cell>
          <cell r="Z55">
            <v>-1.6</v>
          </cell>
          <cell r="AA55" t="str">
            <v>rebar</v>
          </cell>
          <cell r="AB55">
            <v>3.5</v>
          </cell>
          <cell r="AC55">
            <v>0.5</v>
          </cell>
          <cell r="AD55">
            <v>1.75</v>
          </cell>
          <cell r="AE55">
            <v>0.75</v>
          </cell>
          <cell r="AF55">
            <v>0.22500000000000001</v>
          </cell>
          <cell r="AG55">
            <v>9</v>
          </cell>
          <cell r="AH55">
            <v>180</v>
          </cell>
          <cell r="AI55">
            <v>102.85714285714286</v>
          </cell>
          <cell r="AJ55">
            <v>240</v>
          </cell>
          <cell r="AK55" t="str">
            <v>DuPont Wharf</v>
          </cell>
          <cell r="AL55" t="str">
            <v>Planted on plot southwest of light sensor location, then one deeper from there and one plot shallower from there</v>
          </cell>
        </row>
        <row r="56">
          <cell r="B56" t="str">
            <v>Dumas Bay - KC Zm Restoration - test - 2021</v>
          </cell>
          <cell r="C56" t="str">
            <v>DB_test_2</v>
          </cell>
          <cell r="D56" t="str">
            <v>single</v>
          </cell>
          <cell r="E56">
            <v>2021</v>
          </cell>
          <cell r="F56" t="str">
            <v>SVMP</v>
          </cell>
          <cell r="G56" t="str">
            <v>point</v>
          </cell>
          <cell r="H56" t="str">
            <v>East Passage</v>
          </cell>
          <cell r="I56" t="str">
            <v>CPS</v>
          </cell>
          <cell r="J56" t="str">
            <v>King County</v>
          </cell>
          <cell r="K56" t="str">
            <v>King County</v>
          </cell>
          <cell r="L56" t="str">
            <v>King County Department of Natural Resources and Parks Wastewater Treatment Division</v>
          </cell>
          <cell r="N56" t="str">
            <v>93-097520</v>
          </cell>
          <cell r="R56" t="str">
            <v>test</v>
          </cell>
          <cell r="S56" t="str">
            <v>test</v>
          </cell>
          <cell r="T56">
            <v>44342</v>
          </cell>
          <cell r="U56">
            <v>47.329329999999999</v>
          </cell>
          <cell r="V56">
            <v>-122.38615</v>
          </cell>
          <cell r="W56" t="str">
            <v>point</v>
          </cell>
          <cell r="X56" t="str">
            <v>retain</v>
          </cell>
          <cell r="Y56" t="str">
            <v>WGS84</v>
          </cell>
          <cell r="Z56">
            <v>-1.6</v>
          </cell>
          <cell r="AA56" t="str">
            <v>rebar</v>
          </cell>
          <cell r="AB56">
            <v>3.5</v>
          </cell>
          <cell r="AC56">
            <v>0.5</v>
          </cell>
          <cell r="AD56">
            <v>1.75</v>
          </cell>
          <cell r="AE56">
            <v>0.75</v>
          </cell>
          <cell r="AF56">
            <v>0.22500000000000001</v>
          </cell>
          <cell r="AG56">
            <v>9</v>
          </cell>
          <cell r="AH56">
            <v>180</v>
          </cell>
          <cell r="AI56">
            <v>102.85714285714286</v>
          </cell>
          <cell r="AJ56">
            <v>240</v>
          </cell>
          <cell r="AK56" t="str">
            <v>DuPont Wharf</v>
          </cell>
          <cell r="AL56" t="str">
            <v>Planted on plot ENE of light sensor location. 3 plots of 3 rebar planted at 5m, 6m and 7m ENE of light sensor</v>
          </cell>
        </row>
        <row r="57">
          <cell r="B57" t="str">
            <v>Dumas Bay - KC Zm Restoration - test - 2021</v>
          </cell>
          <cell r="C57" t="str">
            <v>DB_test_2</v>
          </cell>
          <cell r="D57" t="str">
            <v>single</v>
          </cell>
          <cell r="E57">
            <v>2021</v>
          </cell>
          <cell r="F57" t="str">
            <v>SVMP</v>
          </cell>
          <cell r="G57" t="str">
            <v>point</v>
          </cell>
          <cell r="H57" t="str">
            <v>East Passage</v>
          </cell>
          <cell r="I57" t="str">
            <v>CPS</v>
          </cell>
          <cell r="J57" t="str">
            <v>King County</v>
          </cell>
          <cell r="K57" t="str">
            <v>King County</v>
          </cell>
          <cell r="L57" t="str">
            <v>King County Department of Natural Resources and Parks Wastewater Treatment Division</v>
          </cell>
          <cell r="N57" t="str">
            <v>93-097520</v>
          </cell>
          <cell r="R57" t="str">
            <v>test</v>
          </cell>
          <cell r="S57" t="str">
            <v>test</v>
          </cell>
          <cell r="T57">
            <v>44373</v>
          </cell>
          <cell r="U57">
            <v>47.329329999999999</v>
          </cell>
          <cell r="V57">
            <v>-122.38615</v>
          </cell>
          <cell r="W57" t="str">
            <v>point</v>
          </cell>
          <cell r="X57" t="str">
            <v>retain</v>
          </cell>
          <cell r="Y57" t="str">
            <v>WGS84</v>
          </cell>
          <cell r="Z57">
            <v>-1.6</v>
          </cell>
          <cell r="AA57" t="str">
            <v>rebar</v>
          </cell>
          <cell r="AB57">
            <v>3.5</v>
          </cell>
          <cell r="AC57">
            <v>2</v>
          </cell>
          <cell r="AD57">
            <v>7</v>
          </cell>
          <cell r="AE57">
            <v>1.5</v>
          </cell>
          <cell r="AF57">
            <v>0.45</v>
          </cell>
          <cell r="AG57">
            <v>18</v>
          </cell>
          <cell r="AH57">
            <v>270</v>
          </cell>
          <cell r="AI57">
            <v>38.571428571428569</v>
          </cell>
          <cell r="AJ57">
            <v>180</v>
          </cell>
          <cell r="AK57" t="str">
            <v>DuPont Wharf</v>
          </cell>
          <cell r="AL57" t="str">
            <v>planted in parallel groups of 3 in line with transplants from May. One row set 1 m further offshore than the shallow row.</v>
          </cell>
        </row>
        <row r="58">
          <cell r="B58" t="str">
            <v>Dumas Bay - KC Zm Restoration - test 2 - 2022</v>
          </cell>
          <cell r="C58" t="str">
            <v>DB_test_6</v>
          </cell>
          <cell r="D58" t="str">
            <v>single</v>
          </cell>
          <cell r="E58">
            <v>2022</v>
          </cell>
          <cell r="F58" t="str">
            <v>SVMP</v>
          </cell>
          <cell r="G58" t="str">
            <v>point</v>
          </cell>
          <cell r="H58" t="str">
            <v>East Passage</v>
          </cell>
          <cell r="I58" t="str">
            <v>CPS</v>
          </cell>
          <cell r="J58" t="str">
            <v>King County</v>
          </cell>
          <cell r="K58" t="str">
            <v>King County</v>
          </cell>
          <cell r="L58" t="str">
            <v>King County Department of Natural Resources and Parks Wastewater Treatment Division</v>
          </cell>
          <cell r="N58" t="str">
            <v>93-097520</v>
          </cell>
          <cell r="R58" t="str">
            <v>test</v>
          </cell>
          <cell r="S58" t="str">
            <v>test</v>
          </cell>
          <cell r="T58">
            <v>44728</v>
          </cell>
          <cell r="U58">
            <v>47.329329999999999</v>
          </cell>
          <cell r="V58">
            <v>-122.38615</v>
          </cell>
          <cell r="W58" t="str">
            <v>point</v>
          </cell>
          <cell r="X58" t="str">
            <v>retain</v>
          </cell>
          <cell r="Y58" t="str">
            <v>WGS84</v>
          </cell>
          <cell r="Z58">
            <v>-1.6</v>
          </cell>
          <cell r="AA58" t="str">
            <v>rebar</v>
          </cell>
          <cell r="AB58">
            <v>10</v>
          </cell>
          <cell r="AC58">
            <v>1</v>
          </cell>
          <cell r="AD58">
            <v>10</v>
          </cell>
          <cell r="AE58">
            <v>5</v>
          </cell>
          <cell r="AF58">
            <v>1.5</v>
          </cell>
          <cell r="AG58">
            <v>60</v>
          </cell>
          <cell r="AH58">
            <v>720</v>
          </cell>
          <cell r="AI58">
            <v>72</v>
          </cell>
          <cell r="AJ58">
            <v>144</v>
          </cell>
          <cell r="AK58" t="str">
            <v>DuPont Wharf</v>
          </cell>
          <cell r="AL58" t="str">
            <v>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v>
          </cell>
        </row>
        <row r="59">
          <cell r="B59" t="str">
            <v>Dumas Bay - KC Zm Restoration - test 1 - 2022</v>
          </cell>
          <cell r="C59" t="str">
            <v>DB_test_7</v>
          </cell>
          <cell r="D59" t="str">
            <v>single</v>
          </cell>
          <cell r="E59">
            <v>2022</v>
          </cell>
          <cell r="F59" t="str">
            <v>SVMP</v>
          </cell>
          <cell r="G59" t="str">
            <v>point</v>
          </cell>
          <cell r="H59" t="str">
            <v>East Passage</v>
          </cell>
          <cell r="I59" t="str">
            <v>CPS</v>
          </cell>
          <cell r="J59" t="str">
            <v>King County</v>
          </cell>
          <cell r="K59" t="str">
            <v>King County</v>
          </cell>
          <cell r="L59" t="str">
            <v>King County Department of Natural Resources and Parks Wastewater Treatment Division</v>
          </cell>
          <cell r="N59" t="str">
            <v>93-097520</v>
          </cell>
          <cell r="R59" t="str">
            <v>test</v>
          </cell>
          <cell r="S59" t="str">
            <v>test</v>
          </cell>
          <cell r="T59">
            <v>44700</v>
          </cell>
          <cell r="U59">
            <v>47.329329999999999</v>
          </cell>
          <cell r="V59">
            <v>-122.38615</v>
          </cell>
          <cell r="W59" t="str">
            <v>point</v>
          </cell>
          <cell r="X59" t="str">
            <v>retain</v>
          </cell>
          <cell r="Y59" t="str">
            <v>WGS84</v>
          </cell>
          <cell r="Z59">
            <v>-1.6</v>
          </cell>
          <cell r="AA59" t="str">
            <v>rebar</v>
          </cell>
          <cell r="AB59">
            <v>3</v>
          </cell>
          <cell r="AC59">
            <v>0.5</v>
          </cell>
          <cell r="AD59">
            <v>1.5</v>
          </cell>
          <cell r="AE59">
            <v>5</v>
          </cell>
          <cell r="AF59">
            <v>0.5</v>
          </cell>
          <cell r="AG59">
            <v>20</v>
          </cell>
          <cell r="AH59">
            <v>400</v>
          </cell>
          <cell r="AI59">
            <v>266.66666666666669</v>
          </cell>
          <cell r="AJ59">
            <v>80</v>
          </cell>
          <cell r="AK59" t="str">
            <v>DuPont Wharf</v>
          </cell>
          <cell r="AL59" t="str">
            <v xml:space="preserve">planted 20 rebar (6, 0.25 m2 plots + 2 rebar) parallel to shore and deeper than 2021 test transplants from 05/26/2021. </v>
          </cell>
        </row>
        <row r="60">
          <cell r="B60" t="str">
            <v>Eld Inlet - shallow - PNNL - test - 2015</v>
          </cell>
          <cell r="C60" t="str">
            <v>ELD_shallow</v>
          </cell>
          <cell r="D60" t="str">
            <v>single</v>
          </cell>
          <cell r="E60">
            <v>2015</v>
          </cell>
          <cell r="G60" t="str">
            <v>point</v>
          </cell>
          <cell r="H60" t="str">
            <v>Eld Inlet</v>
          </cell>
          <cell r="I60" t="str">
            <v>SPS</v>
          </cell>
          <cell r="J60" t="str">
            <v>Eelgrass Restoration in PS</v>
          </cell>
          <cell r="K60" t="str">
            <v>DNR</v>
          </cell>
          <cell r="L60" t="str">
            <v>Aquatic Restoration Program</v>
          </cell>
          <cell r="O60" t="str">
            <v>PNNL</v>
          </cell>
          <cell r="P60" t="str">
            <v>IAA 12-317.1</v>
          </cell>
          <cell r="Q60" t="str">
            <v>Aston, L.A., A.B. Borde and J. Vavrinec. 2015. Final Summary Report - Eelgrass Restoration in Puget Sound Project Summary. Pacific Northwest National Laboratory, Richland, WA. PNNL-24445.</v>
          </cell>
          <cell r="R60" t="str">
            <v>test</v>
          </cell>
          <cell r="S60" t="str">
            <v>test</v>
          </cell>
          <cell r="T60">
            <v>42075</v>
          </cell>
          <cell r="U60">
            <v>47.0974</v>
          </cell>
          <cell r="V60">
            <v>-122.95525000000001</v>
          </cell>
          <cell r="W60" t="str">
            <v>point</v>
          </cell>
          <cell r="X60" t="str">
            <v>retain</v>
          </cell>
          <cell r="Y60" t="str">
            <v>WGS84</v>
          </cell>
          <cell r="Z60">
            <v>-1.0668</v>
          </cell>
          <cell r="AA60" t="str">
            <v>staple</v>
          </cell>
          <cell r="AB60">
            <v>5</v>
          </cell>
          <cell r="AC60">
            <v>5</v>
          </cell>
          <cell r="AD60">
            <v>25</v>
          </cell>
          <cell r="AE60">
            <v>25</v>
          </cell>
          <cell r="AF60">
            <v>0.625</v>
          </cell>
          <cell r="AG60">
            <v>125</v>
          </cell>
          <cell r="AH60">
            <v>500</v>
          </cell>
          <cell r="AI60">
            <v>20</v>
          </cell>
          <cell r="AJ60">
            <v>20</v>
          </cell>
          <cell r="AK60" t="str">
            <v>Windy Bluff</v>
          </cell>
          <cell r="AL60" t="str">
            <v>"mega"-bundles were planted with 260 shoots on 26 staples outside of the plot 1 m west of the shallow plot</v>
          </cell>
        </row>
        <row r="61">
          <cell r="B61" t="str">
            <v>Eld Inlet - deep - PNNL - test - 2015</v>
          </cell>
          <cell r="C61" t="str">
            <v>ELD_deep</v>
          </cell>
          <cell r="D61" t="str">
            <v>single</v>
          </cell>
          <cell r="E61">
            <v>2015</v>
          </cell>
          <cell r="G61" t="str">
            <v>point</v>
          </cell>
          <cell r="H61" t="str">
            <v>Eld Inlet</v>
          </cell>
          <cell r="I61" t="str">
            <v>SPS</v>
          </cell>
          <cell r="J61" t="str">
            <v>Eelgrass Restoration in PS</v>
          </cell>
          <cell r="K61" t="str">
            <v>DNR</v>
          </cell>
          <cell r="L61" t="str">
            <v>Aquatic Restoration Program</v>
          </cell>
          <cell r="O61" t="str">
            <v>PNNL</v>
          </cell>
          <cell r="P61" t="str">
            <v>IAA 12-317.1</v>
          </cell>
          <cell r="Q61" t="str">
            <v>Aston, L.A., A.B. Borde and J. Vavrinec. 2015. Final Summary Report - Eelgrass Restoration in Puget Sound Project Summary. Pacific Northwest National Laboratory, Richland, WA. PNNL-24445.</v>
          </cell>
          <cell r="R61" t="str">
            <v>test</v>
          </cell>
          <cell r="S61" t="str">
            <v>test</v>
          </cell>
          <cell r="T61">
            <v>42075</v>
          </cell>
          <cell r="U61">
            <v>47.097516666666664</v>
          </cell>
          <cell r="V61">
            <v>-122.95535</v>
          </cell>
          <cell r="W61" t="str">
            <v>point</v>
          </cell>
          <cell r="X61" t="str">
            <v>retain</v>
          </cell>
          <cell r="Y61" t="str">
            <v>WGS84</v>
          </cell>
          <cell r="Z61">
            <v>-2.1335999999999999</v>
          </cell>
          <cell r="AA61" t="str">
            <v>staple</v>
          </cell>
          <cell r="AB61">
            <v>5</v>
          </cell>
          <cell r="AC61">
            <v>5</v>
          </cell>
          <cell r="AD61">
            <v>25</v>
          </cell>
          <cell r="AE61">
            <v>25</v>
          </cell>
          <cell r="AF61">
            <v>0.625</v>
          </cell>
          <cell r="AG61">
            <v>125</v>
          </cell>
          <cell r="AH61">
            <v>500</v>
          </cell>
          <cell r="AI61">
            <v>20</v>
          </cell>
          <cell r="AJ61">
            <v>20</v>
          </cell>
          <cell r="AK61" t="str">
            <v>Windy Bluff</v>
          </cell>
          <cell r="AL61" t="str">
            <v>"mega"-bundles were planted nearby, see Eld Inlet shallow</v>
          </cell>
        </row>
        <row r="62">
          <cell r="B62" t="str">
            <v>Eld Inlet - PNNL - test - 2020</v>
          </cell>
          <cell r="C62" t="str">
            <v>ELD</v>
          </cell>
          <cell r="D62" t="str">
            <v>single</v>
          </cell>
          <cell r="E62">
            <v>2020</v>
          </cell>
          <cell r="G62" t="str">
            <v>point</v>
          </cell>
          <cell r="H62" t="str">
            <v>Eld Inlet</v>
          </cell>
          <cell r="I62" t="str">
            <v>SPS</v>
          </cell>
          <cell r="J62" t="str">
            <v>Eelgrass Recovery in PS</v>
          </cell>
          <cell r="K62" t="str">
            <v>USACE</v>
          </cell>
          <cell r="L62" t="str">
            <v>USACE</v>
          </cell>
          <cell r="M62" t="str">
            <v>W912DW-14-2-0009 (93-099566)</v>
          </cell>
          <cell r="N62" t="str">
            <v>IAA 15-45</v>
          </cell>
          <cell r="O62" t="str">
            <v>PNNL</v>
          </cell>
          <cell r="R62" t="str">
            <v>test</v>
          </cell>
          <cell r="S62" t="str">
            <v>test</v>
          </cell>
          <cell r="T62">
            <v>44013</v>
          </cell>
          <cell r="U62">
            <v>47.121210165999997</v>
          </cell>
          <cell r="V62">
            <v>-122.9437588</v>
          </cell>
          <cell r="W62" t="str">
            <v>point</v>
          </cell>
          <cell r="X62" t="str">
            <v>retain</v>
          </cell>
          <cell r="Y62" t="str">
            <v>WGS84</v>
          </cell>
          <cell r="Z62">
            <v>-1.6</v>
          </cell>
          <cell r="AA62" t="str">
            <v>rebar</v>
          </cell>
          <cell r="AB62">
            <v>3</v>
          </cell>
          <cell r="AC62">
            <v>2.5</v>
          </cell>
          <cell r="AD62">
            <v>7.5</v>
          </cell>
          <cell r="AE62">
            <v>6.25</v>
          </cell>
          <cell r="AF62">
            <v>0.625</v>
          </cell>
          <cell r="AG62">
            <v>25</v>
          </cell>
          <cell r="AH62">
            <v>625</v>
          </cell>
          <cell r="AI62">
            <v>83.333333333333329</v>
          </cell>
          <cell r="AJ62">
            <v>100</v>
          </cell>
          <cell r="AK62" t="str">
            <v>Anderson Island</v>
          </cell>
          <cell r="AL62" t="str">
            <v>160deg az, mixed fines, soft, no algae</v>
          </cell>
        </row>
        <row r="63">
          <cell r="B63" t="str">
            <v>Elwha Delta - deep west - PNNL - test - 2016</v>
          </cell>
          <cell r="C63" t="str">
            <v>ELW_deep_west</v>
          </cell>
          <cell r="D63" t="str">
            <v>single</v>
          </cell>
          <cell r="E63">
            <v>2016</v>
          </cell>
          <cell r="G63" t="str">
            <v>point</v>
          </cell>
          <cell r="H63" t="str">
            <v>Elwha Delta</v>
          </cell>
          <cell r="I63" t="str">
            <v>SJS</v>
          </cell>
          <cell r="J63" t="str">
            <v>Puget Sound Eelgrass Restoration: 3 deltas</v>
          </cell>
          <cell r="K63" t="str">
            <v>USACE</v>
          </cell>
          <cell r="L63" t="str">
            <v>USACE</v>
          </cell>
          <cell r="M63" t="str">
            <v>W912DW-14-2-0009 (93-099566)</v>
          </cell>
          <cell r="N63" t="str">
            <v>IAA 15-45</v>
          </cell>
          <cell r="O63" t="str">
            <v>PNNL</v>
          </cell>
          <cell r="P63" t="str">
            <v>93-099661</v>
          </cell>
          <cell r="R63" t="str">
            <v>test</v>
          </cell>
          <cell r="S63" t="str">
            <v>test</v>
          </cell>
          <cell r="T63">
            <v>42593</v>
          </cell>
          <cell r="U63">
            <v>48.137500000000003</v>
          </cell>
          <cell r="V63">
            <v>-123.587</v>
          </cell>
          <cell r="W63" t="str">
            <v>point</v>
          </cell>
          <cell r="X63" t="str">
            <v>retain</v>
          </cell>
          <cell r="Y63" t="str">
            <v>WGS84</v>
          </cell>
          <cell r="Z63">
            <v>-4.7</v>
          </cell>
          <cell r="AA63" t="str">
            <v>rebar</v>
          </cell>
          <cell r="AB63">
            <v>2</v>
          </cell>
          <cell r="AC63">
            <v>2</v>
          </cell>
          <cell r="AD63">
            <v>4</v>
          </cell>
          <cell r="AE63">
            <v>5</v>
          </cell>
          <cell r="AF63">
            <v>0.5</v>
          </cell>
          <cell r="AG63">
            <v>20</v>
          </cell>
          <cell r="AH63">
            <v>500</v>
          </cell>
          <cell r="AI63">
            <v>125</v>
          </cell>
          <cell r="AJ63">
            <v>100</v>
          </cell>
          <cell r="AK63" t="str">
            <v>Freshwater Bay</v>
          </cell>
        </row>
        <row r="64">
          <cell r="B64" t="str">
            <v>Elwha Delta - shallow west - PNNL - test - 2016</v>
          </cell>
          <cell r="C64" t="str">
            <v>ELW_shallow_west</v>
          </cell>
          <cell r="D64" t="str">
            <v>single</v>
          </cell>
          <cell r="E64">
            <v>2016</v>
          </cell>
          <cell r="G64" t="str">
            <v>point</v>
          </cell>
          <cell r="H64" t="str">
            <v>Elwha Delta</v>
          </cell>
          <cell r="I64" t="str">
            <v>SJS</v>
          </cell>
          <cell r="J64" t="str">
            <v>Puget Sound Eelgrass Restoration: 3 deltas</v>
          </cell>
          <cell r="K64" t="str">
            <v>USACE</v>
          </cell>
          <cell r="L64" t="str">
            <v>USACE</v>
          </cell>
          <cell r="M64" t="str">
            <v>W912DW-14-2-0009 (93-099566)</v>
          </cell>
          <cell r="N64" t="str">
            <v>IAA 15-45</v>
          </cell>
          <cell r="O64" t="str">
            <v>PNNL</v>
          </cell>
          <cell r="P64" t="str">
            <v>93-099661</v>
          </cell>
          <cell r="R64" t="str">
            <v>test</v>
          </cell>
          <cell r="S64" t="str">
            <v>test</v>
          </cell>
          <cell r="T64">
            <v>42593</v>
          </cell>
          <cell r="U64">
            <v>48.1372</v>
          </cell>
          <cell r="V64">
            <v>-123.5869</v>
          </cell>
          <cell r="W64" t="str">
            <v>point</v>
          </cell>
          <cell r="X64" t="str">
            <v>retain</v>
          </cell>
          <cell r="Y64" t="str">
            <v>WGS84</v>
          </cell>
          <cell r="Z64">
            <v>-3.9</v>
          </cell>
          <cell r="AA64" t="str">
            <v>rebar</v>
          </cell>
          <cell r="AB64">
            <v>2</v>
          </cell>
          <cell r="AC64">
            <v>2</v>
          </cell>
          <cell r="AD64">
            <v>4</v>
          </cell>
          <cell r="AE64">
            <v>5.5</v>
          </cell>
          <cell r="AF64">
            <v>0.55000000000000004</v>
          </cell>
          <cell r="AG64">
            <v>22</v>
          </cell>
          <cell r="AH64">
            <v>550</v>
          </cell>
          <cell r="AI64">
            <v>137.5</v>
          </cell>
          <cell r="AJ64">
            <v>100</v>
          </cell>
          <cell r="AK64" t="str">
            <v>Freshwater Bay</v>
          </cell>
        </row>
        <row r="65">
          <cell r="B65" t="str">
            <v>Fudge Point South - north - DNR - rebar test - 2017</v>
          </cell>
          <cell r="C65" t="str">
            <v>FDG_1</v>
          </cell>
          <cell r="D65" t="str">
            <v>single</v>
          </cell>
          <cell r="E65">
            <v>2017</v>
          </cell>
          <cell r="F65" t="str">
            <v>Thom, RM, and L Hallum. 1990. Long‐term changes in the areal extent of tidal marshes, eelgrass meadows, and kelp forests of Puget Sound. FRI‐UW‐9008, Fisheries Research Institute, School of Fisheries, University of Washington, Seattle. Pp. 110.</v>
          </cell>
          <cell r="G65" t="str">
            <v>point</v>
          </cell>
          <cell r="H65" t="str">
            <v>Case Inlet</v>
          </cell>
          <cell r="I65" t="str">
            <v>CPS</v>
          </cell>
          <cell r="J65" t="str">
            <v>DNR</v>
          </cell>
          <cell r="K65" t="str">
            <v>DNR</v>
          </cell>
          <cell r="L65" t="str">
            <v>Nearshore Habitat Program</v>
          </cell>
          <cell r="R65" t="str">
            <v>test</v>
          </cell>
          <cell r="S65" t="str">
            <v>test</v>
          </cell>
          <cell r="T65">
            <v>42935</v>
          </cell>
          <cell r="U65">
            <v>47.237259999999999</v>
          </cell>
          <cell r="V65">
            <v>-122.86145</v>
          </cell>
          <cell r="W65" t="str">
            <v>point</v>
          </cell>
          <cell r="X65" t="str">
            <v>retain</v>
          </cell>
          <cell r="Y65" t="str">
            <v>WGS84</v>
          </cell>
          <cell r="Z65">
            <v>-1.95</v>
          </cell>
          <cell r="AA65" t="str">
            <v>rebar</v>
          </cell>
          <cell r="AB65">
            <v>1</v>
          </cell>
          <cell r="AC65">
            <v>1</v>
          </cell>
          <cell r="AD65">
            <v>1</v>
          </cell>
          <cell r="AE65">
            <v>1.25</v>
          </cell>
          <cell r="AF65">
            <v>0.125</v>
          </cell>
          <cell r="AG65">
            <v>5</v>
          </cell>
          <cell r="AH65">
            <v>250</v>
          </cell>
          <cell r="AI65">
            <v>250</v>
          </cell>
          <cell r="AJ65">
            <v>200</v>
          </cell>
          <cell r="AK65" t="str">
            <v>Rocky Bay</v>
          </cell>
        </row>
        <row r="66">
          <cell r="B66" t="str">
            <v>Fudge Point South - south - HC - test - 2017</v>
          </cell>
          <cell r="C66" t="str">
            <v>FDG_L1</v>
          </cell>
          <cell r="D66" t="str">
            <v>initial</v>
          </cell>
          <cell r="E66">
            <v>2017</v>
          </cell>
          <cell r="F66" t="str">
            <v>Thom, RM, and L Hallum. 1990. Long‐term changes in the areal extent of tidal marshes, eelgrass meadows, and kelp forests of Puget Sound. FRI‐UW‐9008, Fisheries Research Institute, School of Fisheries, University of Washington, Seattle. Pp. 110.</v>
          </cell>
          <cell r="G66" t="str">
            <v>line</v>
          </cell>
          <cell r="H66" t="str">
            <v>Case Inlet</v>
          </cell>
          <cell r="I66" t="str">
            <v>CPS</v>
          </cell>
          <cell r="J66" t="str">
            <v>Eelgrass Restoration in Puget Sound</v>
          </cell>
          <cell r="K66" t="str">
            <v>WDFW</v>
          </cell>
          <cell r="L66" t="str">
            <v>National Estuary Program</v>
          </cell>
          <cell r="M66" t="str">
            <v>14-02072</v>
          </cell>
          <cell r="N66" t="str">
            <v>IAA 15-110</v>
          </cell>
          <cell r="O66" t="str">
            <v>Hart Crowser</v>
          </cell>
          <cell r="P66" t="str">
            <v>SC 16-17</v>
          </cell>
          <cell r="Q66" t="str">
            <v>Shannon, J., J. Blanchette and J. Gaeckle. 2018. Eelgrass (Zostera marina) Restoration in Puget Sound, WA. Final Restoration and Monitoring Report (12059-05) for US EPA, Hart Crowser, Edmonds, WA. Pp. 131.</v>
          </cell>
          <cell r="R66" t="str">
            <v>test</v>
          </cell>
          <cell r="S66" t="str">
            <v>test</v>
          </cell>
          <cell r="T66">
            <v>42935</v>
          </cell>
          <cell r="U66">
            <v>47.237250000000003</v>
          </cell>
          <cell r="V66">
            <v>-122.86138</v>
          </cell>
          <cell r="W66" t="str">
            <v>line</v>
          </cell>
          <cell r="X66" t="str">
            <v>retain</v>
          </cell>
          <cell r="Y66" t="str">
            <v>WGS84</v>
          </cell>
          <cell r="Z66">
            <v>-1.95</v>
          </cell>
          <cell r="AA66" t="str">
            <v>turf</v>
          </cell>
          <cell r="AB66">
            <v>10</v>
          </cell>
          <cell r="AC66">
            <v>1</v>
          </cell>
          <cell r="AD66">
            <v>10</v>
          </cell>
          <cell r="AE66">
            <v>6</v>
          </cell>
          <cell r="AF66">
            <v>1.06</v>
          </cell>
          <cell r="AG66">
            <v>106</v>
          </cell>
          <cell r="AH66">
            <v>1056</v>
          </cell>
          <cell r="AI66">
            <v>105.6</v>
          </cell>
          <cell r="AJ66">
            <v>176</v>
          </cell>
          <cell r="AK66" t="str">
            <v>Rocky Bay</v>
          </cell>
          <cell r="AL66" t="str">
            <v>Referred to as 'Fudge Point 2' in final report. Turfs plant 5-15 shoots per staple (X= ~10 shoots/staple b/c donor site was Rocky Bay). Estimated number of PUs at test-transplant site as 1056/10 = 105</v>
          </cell>
        </row>
        <row r="67">
          <cell r="B67" t="str">
            <v>Fudge Point South - north - HC test - 2017</v>
          </cell>
          <cell r="C67" t="str">
            <v>FDG_L1</v>
          </cell>
          <cell r="D67" t="str">
            <v>initial</v>
          </cell>
          <cell r="E67">
            <v>2017</v>
          </cell>
          <cell r="F67" t="str">
            <v>Thom, RM, and L Hallum. 1990. Long‐term changes in the areal extent of tidal marshes, eelgrass meadows, and kelp forests of Puget Sound. FRI‐UW‐9008, Fisheries Research Institute, School of Fisheries, University of Washington, Seattle. Pp. 110.</v>
          </cell>
          <cell r="G67" t="str">
            <v>line</v>
          </cell>
          <cell r="H67" t="str">
            <v>Case Inlet</v>
          </cell>
          <cell r="I67" t="str">
            <v>CPS</v>
          </cell>
          <cell r="J67" t="str">
            <v>Eelgrass Restoration in Puget Sound</v>
          </cell>
          <cell r="K67" t="str">
            <v>WDFW</v>
          </cell>
          <cell r="L67" t="str">
            <v>National Estuary Program</v>
          </cell>
          <cell r="M67" t="str">
            <v>14-02072</v>
          </cell>
          <cell r="N67" t="str">
            <v>IAA 15-110</v>
          </cell>
          <cell r="O67" t="str">
            <v>Hart Crowser</v>
          </cell>
          <cell r="P67" t="str">
            <v>SC 16-17</v>
          </cell>
          <cell r="Q67" t="str">
            <v>Shannon, J., J. Blanchette and J. Gaeckle. 2018. Eelgrass (Zostera marina) Restoration in Puget Sound, WA. Final Restoration and Monitoring Report (12059-05) for US EPA, Hart Crowser, Edmonds, WA. Pp. 131.</v>
          </cell>
          <cell r="R67" t="str">
            <v>test</v>
          </cell>
          <cell r="S67" t="str">
            <v>--</v>
          </cell>
          <cell r="T67">
            <v>42935</v>
          </cell>
          <cell r="U67">
            <v>47.237259999999999</v>
          </cell>
          <cell r="V67">
            <v>-122.86145</v>
          </cell>
          <cell r="W67" t="str">
            <v>line</v>
          </cell>
          <cell r="X67" t="str">
            <v>retain</v>
          </cell>
          <cell r="Y67" t="str">
            <v>WGS84</v>
          </cell>
          <cell r="AF67" t="str">
            <v/>
          </cell>
          <cell r="AI67" t="str">
            <v/>
          </cell>
          <cell r="AJ67" t="str">
            <v/>
          </cell>
        </row>
        <row r="68">
          <cell r="B68" t="str">
            <v>Fudge Point North - south - HC - test - 2017</v>
          </cell>
          <cell r="C68" t="str">
            <v>FDG_L2</v>
          </cell>
          <cell r="D68" t="str">
            <v>initial</v>
          </cell>
          <cell r="E68">
            <v>2017</v>
          </cell>
          <cell r="F68" t="str">
            <v>Thom, RM, and L Hallum. 1990. Long‐term changes in the areal extent of tidal marshes, eelgrass meadows, and kelp forests of Puget Sound. FRI‐UW‐9008, Fisheries Research Institute, School of Fisheries, University of Washington, Seattle. Pp. 110.</v>
          </cell>
          <cell r="G68" t="str">
            <v>line</v>
          </cell>
          <cell r="H68" t="str">
            <v>Case Inlet</v>
          </cell>
          <cell r="I68" t="str">
            <v>CPS</v>
          </cell>
          <cell r="J68" t="str">
            <v>Eelgrass Restoration in Puget Sound</v>
          </cell>
          <cell r="K68" t="str">
            <v>WDFW</v>
          </cell>
          <cell r="L68" t="str">
            <v>National Estuary Program</v>
          </cell>
          <cell r="M68" t="str">
            <v>14-02072</v>
          </cell>
          <cell r="N68" t="str">
            <v>IAA 15-110</v>
          </cell>
          <cell r="O68" t="str">
            <v>Hart Crowser</v>
          </cell>
          <cell r="P68" t="str">
            <v>SC 16-17</v>
          </cell>
          <cell r="Q68" t="str">
            <v>Shannon, J., J. Blanchette and J. Gaeckle. 2018. Eelgrass (Zostera marina) Restoration in Puget Sound, WA. Final Restoration and Monitoring Report (12059-05) for US EPA, Hart Crowser, Edmonds, WA. Pp. 131.</v>
          </cell>
          <cell r="R68" t="str">
            <v>test</v>
          </cell>
          <cell r="S68" t="str">
            <v>test</v>
          </cell>
          <cell r="T68">
            <v>42935</v>
          </cell>
          <cell r="U68">
            <v>47.237659999999998</v>
          </cell>
          <cell r="V68">
            <v>-122.86239999999999</v>
          </cell>
          <cell r="W68" t="str">
            <v>line</v>
          </cell>
          <cell r="X68" t="str">
            <v>retain</v>
          </cell>
          <cell r="Y68" t="str">
            <v>WGS84</v>
          </cell>
          <cell r="Z68">
            <v>-1.95</v>
          </cell>
          <cell r="AA68" t="str">
            <v>turf</v>
          </cell>
          <cell r="AB68">
            <v>10</v>
          </cell>
          <cell r="AC68">
            <v>1</v>
          </cell>
          <cell r="AD68">
            <v>10</v>
          </cell>
          <cell r="AE68">
            <v>6</v>
          </cell>
          <cell r="AF68">
            <v>1.1599999999999999</v>
          </cell>
          <cell r="AG68">
            <v>116</v>
          </cell>
          <cell r="AH68">
            <v>1160</v>
          </cell>
          <cell r="AI68">
            <v>116</v>
          </cell>
          <cell r="AJ68">
            <v>193.33333333333334</v>
          </cell>
          <cell r="AK68" t="str">
            <v>Rocky Bay</v>
          </cell>
          <cell r="AL68" t="str">
            <v>Referred to as 'Fudge Point 1' in final report. Turfs plant 5-15 shoots per staple (X= ~10 shoots/staple b/c donor site was Rocky Bay). Estimated number of PUs at test-transplant site as 1160/10 = 116</v>
          </cell>
        </row>
        <row r="69">
          <cell r="B69" t="str">
            <v>Fudge Point North - north - HC - test - 2017</v>
          </cell>
          <cell r="C69" t="str">
            <v>FDG_L2</v>
          </cell>
          <cell r="D69" t="str">
            <v>initial</v>
          </cell>
          <cell r="E69">
            <v>2017</v>
          </cell>
          <cell r="F69" t="str">
            <v>Thom, RM, and L Hallum. 1990. Long‐term changes in the areal extent of tidal marshes, eelgrass meadows, and kelp forests of Puget Sound. FRI‐UW‐9008, Fisheries Research Institute, School of Fisheries, University of Washington, Seattle. Pp. 110.</v>
          </cell>
          <cell r="G69" t="str">
            <v>line</v>
          </cell>
          <cell r="H69" t="str">
            <v>Case Inlet</v>
          </cell>
          <cell r="I69" t="str">
            <v>CPS</v>
          </cell>
          <cell r="J69" t="str">
            <v>Eelgrass Restoration in Puget Sound</v>
          </cell>
          <cell r="K69" t="str">
            <v>WDFW</v>
          </cell>
          <cell r="L69" t="str">
            <v>National Estuary Program</v>
          </cell>
          <cell r="M69" t="str">
            <v>14-02072</v>
          </cell>
          <cell r="N69" t="str">
            <v>IAA 15-110</v>
          </cell>
          <cell r="O69" t="str">
            <v>Hart Crowser</v>
          </cell>
          <cell r="P69" t="str">
            <v>SC 16-17</v>
          </cell>
          <cell r="Q69" t="str">
            <v>Shannon, J., J. Blanchette and J. Gaeckle. 2018. Eelgrass (Zostera marina) Restoration in Puget Sound, WA. Final Restoration and Monitoring Report (12059-05) for US EPA, Hart Crowser, Edmonds, WA. Pp. 131.</v>
          </cell>
          <cell r="R69" t="str">
            <v>test</v>
          </cell>
          <cell r="S69" t="str">
            <v>--</v>
          </cell>
          <cell r="T69">
            <v>42935</v>
          </cell>
          <cell r="U69">
            <v>47.237740000000002</v>
          </cell>
          <cell r="V69">
            <v>-122.86269</v>
          </cell>
          <cell r="W69" t="str">
            <v>line</v>
          </cell>
          <cell r="X69" t="str">
            <v>retain</v>
          </cell>
          <cell r="Y69" t="str">
            <v>WGS84</v>
          </cell>
          <cell r="AF69" t="str">
            <v/>
          </cell>
          <cell r="AI69" t="str">
            <v/>
          </cell>
          <cell r="AJ69" t="str">
            <v/>
          </cell>
        </row>
        <row r="70">
          <cell r="B70" t="str">
            <v>Fudge Point South - south - HC - test - 2018</v>
          </cell>
          <cell r="C70" t="str">
            <v>FDG_L1</v>
          </cell>
          <cell r="D70" t="str">
            <v>repeat</v>
          </cell>
          <cell r="E70">
            <v>2018</v>
          </cell>
          <cell r="F70" t="str">
            <v>Thom, RM, and L Hallum. 1990. Long‐term changes in the areal extent of tidal marshes, eelgrass meadows, and kelp forests of Puget Sound. FRI‐UW‐9008, Fisheries Research Institute, School of Fisheries, University of Washington, Seattle. Pp. 110.</v>
          </cell>
          <cell r="G70" t="str">
            <v>line</v>
          </cell>
          <cell r="H70" t="str">
            <v>Case Inlet</v>
          </cell>
          <cell r="I70" t="str">
            <v>CPS</v>
          </cell>
          <cell r="J70" t="str">
            <v>DNR</v>
          </cell>
          <cell r="K70" t="str">
            <v>DNR</v>
          </cell>
          <cell r="L70" t="str">
            <v>Nearshore Habitat Program</v>
          </cell>
          <cell r="R70" t="str">
            <v>test</v>
          </cell>
          <cell r="S70" t="str">
            <v>test</v>
          </cell>
          <cell r="T70">
            <v>43263</v>
          </cell>
          <cell r="U70">
            <v>47.237250000000003</v>
          </cell>
          <cell r="V70">
            <v>-122.86138</v>
          </cell>
          <cell r="W70" t="str">
            <v>line</v>
          </cell>
          <cell r="X70" t="str">
            <v>retain</v>
          </cell>
          <cell r="Y70" t="str">
            <v>WGS84</v>
          </cell>
          <cell r="Z70">
            <v>-1.95</v>
          </cell>
          <cell r="AA70" t="str">
            <v>rebar</v>
          </cell>
          <cell r="AB70">
            <v>10</v>
          </cell>
          <cell r="AC70">
            <v>0.5</v>
          </cell>
          <cell r="AD70">
            <v>5</v>
          </cell>
          <cell r="AE70">
            <v>2.25</v>
          </cell>
          <cell r="AF70">
            <v>0.22500000000000001</v>
          </cell>
          <cell r="AG70">
            <v>9</v>
          </cell>
          <cell r="AH70">
            <v>225</v>
          </cell>
          <cell r="AI70">
            <v>45</v>
          </cell>
          <cell r="AJ70">
            <v>100</v>
          </cell>
          <cell r="AK70" t="str">
            <v>DuPont Wharf</v>
          </cell>
          <cell r="AL70" t="str">
            <v>Same location as 2017 Fudge Point test transplant sites, just different donor plants. Screw anchor at 0 and 10 m, planted at 1, 5, and 9 meters between screw anchor</v>
          </cell>
        </row>
        <row r="71">
          <cell r="B71" t="str">
            <v>Fudge Point South - north - HC test - 2018</v>
          </cell>
          <cell r="C71" t="str">
            <v>FDG_L1</v>
          </cell>
          <cell r="D71" t="str">
            <v>repeat</v>
          </cell>
          <cell r="E71">
            <v>2018</v>
          </cell>
          <cell r="F71" t="str">
            <v>Thom, RM, and L Hallum. 1990. Long‐term changes in the areal extent of tidal marshes, eelgrass meadows, and kelp forests of Puget Sound. FRI‐UW‐9008, Fisheries Research Institute, School of Fisheries, University of Washington, Seattle. Pp. 110.</v>
          </cell>
          <cell r="G71" t="str">
            <v>line</v>
          </cell>
          <cell r="H71" t="str">
            <v>Case Inlet</v>
          </cell>
          <cell r="I71" t="str">
            <v>CPS</v>
          </cell>
          <cell r="J71" t="str">
            <v>DNR</v>
          </cell>
          <cell r="K71" t="str">
            <v>DNR</v>
          </cell>
          <cell r="L71" t="str">
            <v>Nearshore Habitat Program</v>
          </cell>
          <cell r="R71" t="str">
            <v>test</v>
          </cell>
          <cell r="S71" t="str">
            <v>--</v>
          </cell>
          <cell r="T71">
            <v>43263</v>
          </cell>
          <cell r="U71">
            <v>47.237259999999999</v>
          </cell>
          <cell r="V71">
            <v>-122.86145</v>
          </cell>
          <cell r="W71" t="str">
            <v>line</v>
          </cell>
          <cell r="X71" t="str">
            <v>retain</v>
          </cell>
          <cell r="Y71" t="str">
            <v>WGS84</v>
          </cell>
          <cell r="AF71" t="str">
            <v/>
          </cell>
          <cell r="AI71" t="str">
            <v/>
          </cell>
          <cell r="AJ71" t="str">
            <v/>
          </cell>
        </row>
        <row r="72">
          <cell r="B72" t="str">
            <v>Fudge Point North - south - HC - test - 2018</v>
          </cell>
          <cell r="C72" t="str">
            <v>FDG_L2</v>
          </cell>
          <cell r="D72" t="str">
            <v>repeat</v>
          </cell>
          <cell r="E72">
            <v>2018</v>
          </cell>
          <cell r="F72" t="str">
            <v>Thom, RM, and L Hallum. 1990. Long‐term changes in the areal extent of tidal marshes, eelgrass meadows, and kelp forests of Puget Sound. FRI‐UW‐9008, Fisheries Research Institute, School of Fisheries, University of Washington, Seattle. Pp. 110.</v>
          </cell>
          <cell r="G72" t="str">
            <v>line</v>
          </cell>
          <cell r="H72" t="str">
            <v>Case Inlet</v>
          </cell>
          <cell r="I72" t="str">
            <v>CPS</v>
          </cell>
          <cell r="J72" t="str">
            <v>DNR</v>
          </cell>
          <cell r="K72" t="str">
            <v>DNR</v>
          </cell>
          <cell r="L72" t="str">
            <v>Nearshore Habitat Program</v>
          </cell>
          <cell r="R72" t="str">
            <v>test</v>
          </cell>
          <cell r="S72" t="str">
            <v>test</v>
          </cell>
          <cell r="T72">
            <v>43263</v>
          </cell>
          <cell r="U72">
            <v>47.237659999999998</v>
          </cell>
          <cell r="V72">
            <v>-122.86239999999999</v>
          </cell>
          <cell r="W72" t="str">
            <v>line</v>
          </cell>
          <cell r="X72" t="str">
            <v>retain</v>
          </cell>
          <cell r="Y72" t="str">
            <v>WGS84</v>
          </cell>
          <cell r="Z72">
            <v>-1.95</v>
          </cell>
          <cell r="AA72" t="str">
            <v>rebar</v>
          </cell>
          <cell r="AB72">
            <v>10</v>
          </cell>
          <cell r="AC72">
            <v>0.5</v>
          </cell>
          <cell r="AD72">
            <v>5</v>
          </cell>
          <cell r="AE72">
            <v>2.25</v>
          </cell>
          <cell r="AF72">
            <v>0.22500000000000001</v>
          </cell>
          <cell r="AG72">
            <v>9</v>
          </cell>
          <cell r="AH72">
            <v>225</v>
          </cell>
          <cell r="AI72">
            <v>45</v>
          </cell>
          <cell r="AJ72">
            <v>100</v>
          </cell>
          <cell r="AK72" t="str">
            <v>DuPont Wharf</v>
          </cell>
          <cell r="AL72" t="str">
            <v>Same location as 2017 Fudge Point test transplant sites, just different donor plants. Screw anchor at 0 and 10 m, planted at 1, 5, and 9 meters between screw anchor</v>
          </cell>
        </row>
        <row r="73">
          <cell r="B73" t="str">
            <v>Fudge Point North - north - HC - test - 2018</v>
          </cell>
          <cell r="C73" t="str">
            <v>FDG_L2</v>
          </cell>
          <cell r="D73" t="str">
            <v>repeat</v>
          </cell>
          <cell r="E73">
            <v>2018</v>
          </cell>
          <cell r="F73" t="str">
            <v>Thom, RM, and L Hallum. 1990. Long‐term changes in the areal extent of tidal marshes, eelgrass meadows, and kelp forests of Puget Sound. FRI‐UW‐9008, Fisheries Research Institute, School of Fisheries, University of Washington, Seattle. Pp. 110.</v>
          </cell>
          <cell r="G73" t="str">
            <v>line</v>
          </cell>
          <cell r="H73" t="str">
            <v>Case Inlet</v>
          </cell>
          <cell r="I73" t="str">
            <v>CPS</v>
          </cell>
          <cell r="J73" t="str">
            <v>DNR</v>
          </cell>
          <cell r="K73" t="str">
            <v>DNR</v>
          </cell>
          <cell r="L73" t="str">
            <v>Nearshore Habitat Program</v>
          </cell>
          <cell r="R73" t="str">
            <v>test</v>
          </cell>
          <cell r="S73" t="str">
            <v>--</v>
          </cell>
          <cell r="T73">
            <v>43263</v>
          </cell>
          <cell r="U73">
            <v>47.237740000000002</v>
          </cell>
          <cell r="V73">
            <v>-122.86269</v>
          </cell>
          <cell r="W73" t="str">
            <v>line</v>
          </cell>
          <cell r="X73" t="str">
            <v>retain</v>
          </cell>
          <cell r="Y73" t="str">
            <v>WGS84</v>
          </cell>
          <cell r="AF73" t="str">
            <v/>
          </cell>
          <cell r="AI73" t="str">
            <v/>
          </cell>
          <cell r="AJ73" t="str">
            <v/>
          </cell>
        </row>
        <row r="74">
          <cell r="B74" t="str">
            <v>Graham Point - PNNL - test - 2015</v>
          </cell>
          <cell r="C74" t="str">
            <v>GRA_1</v>
          </cell>
          <cell r="D74" t="str">
            <v>single</v>
          </cell>
          <cell r="E74">
            <v>2015</v>
          </cell>
          <cell r="G74" t="str">
            <v>point</v>
          </cell>
          <cell r="H74" t="str">
            <v>Pickering Passage</v>
          </cell>
          <cell r="I74" t="str">
            <v>SPS</v>
          </cell>
          <cell r="J74" t="str">
            <v>Eelgrass Restoration in PS</v>
          </cell>
          <cell r="K74" t="str">
            <v>DNR</v>
          </cell>
          <cell r="L74" t="str">
            <v>Aquatic Restoration Program</v>
          </cell>
          <cell r="O74" t="str">
            <v>PNNL</v>
          </cell>
          <cell r="P74" t="str">
            <v>IAA 12-317.1</v>
          </cell>
          <cell r="Q74" t="str">
            <v>Aston, L.A., A.B. Borde and J. Vavrinec. 2015. Final Summary Report - Eelgrass Restoration in Puget Sound Project Summary. Pacific Northwest National Laboratory, Richland, WA. PNNL-24445.</v>
          </cell>
          <cell r="R74" t="str">
            <v>test</v>
          </cell>
          <cell r="S74" t="str">
            <v>test</v>
          </cell>
          <cell r="T74">
            <v>42075</v>
          </cell>
          <cell r="U74">
            <v>47.251947999999999</v>
          </cell>
          <cell r="V74">
            <v>-122.92783300000001</v>
          </cell>
          <cell r="W74" t="str">
            <v>point</v>
          </cell>
          <cell r="X74" t="str">
            <v>retain</v>
          </cell>
          <cell r="Y74" t="str">
            <v>WGS84</v>
          </cell>
          <cell r="Z74">
            <v>-1.2</v>
          </cell>
          <cell r="AA74" t="str">
            <v>staple</v>
          </cell>
          <cell r="AB74">
            <v>5</v>
          </cell>
          <cell r="AC74">
            <v>5</v>
          </cell>
          <cell r="AD74">
            <v>25</v>
          </cell>
          <cell r="AE74">
            <v>25</v>
          </cell>
          <cell r="AF74">
            <v>0.625</v>
          </cell>
          <cell r="AG74">
            <v>125</v>
          </cell>
          <cell r="AH74">
            <v>500</v>
          </cell>
          <cell r="AI74">
            <v>20</v>
          </cell>
          <cell r="AJ74">
            <v>20</v>
          </cell>
          <cell r="AK74" t="str">
            <v>Windy Bluff</v>
          </cell>
          <cell r="AL74" t="str">
            <v>planting depths on slope depth range of -1.2m, MLLW to -2.1m, MLLW</v>
          </cell>
        </row>
        <row r="75">
          <cell r="B75" t="str">
            <v>Graham Point - DNR - test - chia -2016</v>
          </cell>
          <cell r="C75" t="str">
            <v>GRA_2</v>
          </cell>
          <cell r="D75" t="str">
            <v>single</v>
          </cell>
          <cell r="E75">
            <v>2016</v>
          </cell>
          <cell r="G75" t="str">
            <v>point</v>
          </cell>
          <cell r="H75" t="str">
            <v>Pickering Passage</v>
          </cell>
          <cell r="I75" t="str">
            <v>SPS</v>
          </cell>
          <cell r="K75" t="str">
            <v>DNR</v>
          </cell>
          <cell r="L75" t="str">
            <v>Nearshore Habitat Program</v>
          </cell>
          <cell r="R75" t="str">
            <v>test</v>
          </cell>
          <cell r="S75" t="str">
            <v>test</v>
          </cell>
          <cell r="T75">
            <v>42572</v>
          </cell>
          <cell r="U75">
            <v>47.251947999999999</v>
          </cell>
          <cell r="V75">
            <v>-122.92783300000001</v>
          </cell>
          <cell r="W75" t="str">
            <v>point</v>
          </cell>
          <cell r="X75" t="str">
            <v>drop</v>
          </cell>
          <cell r="Y75" t="str">
            <v>WGS84</v>
          </cell>
          <cell r="Z75">
            <v>-0.2</v>
          </cell>
          <cell r="AA75" t="str">
            <v>rebar</v>
          </cell>
          <cell r="AB75">
            <v>0.25</v>
          </cell>
          <cell r="AC75">
            <v>9</v>
          </cell>
          <cell r="AD75">
            <v>2.25</v>
          </cell>
          <cell r="AE75">
            <v>12.5625</v>
          </cell>
          <cell r="AF75">
            <v>1.2562500000000001</v>
          </cell>
          <cell r="AG75">
            <v>50.25</v>
          </cell>
          <cell r="AH75">
            <v>201</v>
          </cell>
          <cell r="AI75">
            <v>89.333333333333329</v>
          </cell>
          <cell r="AJ75">
            <v>16</v>
          </cell>
          <cell r="AK75" t="str">
            <v>DuPont Wharf</v>
          </cell>
          <cell r="AL75" t="str">
            <v>planted 0.0625 m2 rebar quads at 0 m, -0.2 m, -0.3 m &amp; -0.4 m (4 total 0.0625 m2 quads). Planted slightly shallower than 2015 test plots.</v>
          </cell>
        </row>
        <row r="76">
          <cell r="B76" t="str">
            <v>Harstine Island - PNNL - Test Plot 2 of 4 (north plot) - 2017</v>
          </cell>
          <cell r="C76" t="str">
            <v>HAR_2</v>
          </cell>
          <cell r="D76" t="str">
            <v>single</v>
          </cell>
          <cell r="E76">
            <v>2017</v>
          </cell>
          <cell r="G76" t="str">
            <v>point</v>
          </cell>
          <cell r="H76" t="str">
            <v>Case Inlet</v>
          </cell>
          <cell r="I76" t="str">
            <v>CPS</v>
          </cell>
          <cell r="J76" t="str">
            <v>Eelgrass Recovery in PS</v>
          </cell>
          <cell r="K76" t="str">
            <v>USFWS</v>
          </cell>
          <cell r="L76" t="str">
            <v>USFWS</v>
          </cell>
          <cell r="M76" t="str">
            <v>WA F16AP00163 AL</v>
          </cell>
          <cell r="O76" t="str">
            <v>PNNL</v>
          </cell>
          <cell r="P76" t="str">
            <v>93-094344</v>
          </cell>
          <cell r="R76" t="str">
            <v>test</v>
          </cell>
          <cell r="S76" t="str">
            <v>test</v>
          </cell>
          <cell r="T76">
            <v>42893</v>
          </cell>
          <cell r="U76">
            <v>47.294034213000003</v>
          </cell>
          <cell r="V76">
            <v>-122.85419904600001</v>
          </cell>
          <cell r="W76" t="str">
            <v>point</v>
          </cell>
          <cell r="X76" t="str">
            <v>retain</v>
          </cell>
          <cell r="Y76" t="str">
            <v>WGS84</v>
          </cell>
          <cell r="Z76">
            <v>-0.9</v>
          </cell>
          <cell r="AA76" t="str">
            <v>rebar</v>
          </cell>
          <cell r="AB76">
            <v>3</v>
          </cell>
          <cell r="AC76">
            <v>2</v>
          </cell>
          <cell r="AD76">
            <v>6</v>
          </cell>
          <cell r="AE76">
            <v>5</v>
          </cell>
          <cell r="AF76">
            <v>0.5</v>
          </cell>
          <cell r="AG76">
            <v>20</v>
          </cell>
          <cell r="AH76">
            <v>1000</v>
          </cell>
          <cell r="AI76">
            <v>166.66666666666666</v>
          </cell>
          <cell r="AJ76">
            <v>200</v>
          </cell>
          <cell r="AK76" t="str">
            <v>Windy Bluff</v>
          </cell>
          <cell r="AL76" t="str">
            <v>S screw anchor for test plot</v>
          </cell>
        </row>
        <row r="77">
          <cell r="B77" t="str">
            <v>Harstine Island - PNNL - Test Plot 3 of 4 (south plot) - 2017</v>
          </cell>
          <cell r="C77" t="str">
            <v>HAR_3</v>
          </cell>
          <cell r="D77" t="str">
            <v>single</v>
          </cell>
          <cell r="E77">
            <v>2017</v>
          </cell>
          <cell r="G77" t="str">
            <v>point</v>
          </cell>
          <cell r="H77" t="str">
            <v>Case Inlet</v>
          </cell>
          <cell r="I77" t="str">
            <v>CPS</v>
          </cell>
          <cell r="J77" t="str">
            <v>Eelgrass Recovery in PS</v>
          </cell>
          <cell r="K77" t="str">
            <v>USFWS</v>
          </cell>
          <cell r="L77" t="str">
            <v>USFWS</v>
          </cell>
          <cell r="M77" t="str">
            <v>WA F16AP00163 AL</v>
          </cell>
          <cell r="O77" t="str">
            <v>PNNL</v>
          </cell>
          <cell r="P77" t="str">
            <v>93-094344</v>
          </cell>
          <cell r="R77" t="str">
            <v>test</v>
          </cell>
          <cell r="S77" t="str">
            <v>test</v>
          </cell>
          <cell r="T77">
            <v>42893</v>
          </cell>
          <cell r="U77">
            <v>47.293667186999997</v>
          </cell>
          <cell r="V77">
            <v>-122.85460205699999</v>
          </cell>
          <cell r="W77" t="str">
            <v>point</v>
          </cell>
          <cell r="X77" t="str">
            <v>retain</v>
          </cell>
          <cell r="Y77" t="str">
            <v>WGS84</v>
          </cell>
          <cell r="Z77">
            <v>-1</v>
          </cell>
          <cell r="AA77" t="str">
            <v>rebar</v>
          </cell>
          <cell r="AB77">
            <v>3</v>
          </cell>
          <cell r="AC77">
            <v>2</v>
          </cell>
          <cell r="AD77">
            <v>6</v>
          </cell>
          <cell r="AE77">
            <v>5</v>
          </cell>
          <cell r="AF77">
            <v>0.5</v>
          </cell>
          <cell r="AG77">
            <v>20</v>
          </cell>
          <cell r="AH77">
            <v>1000</v>
          </cell>
          <cell r="AI77">
            <v>166.66666666666666</v>
          </cell>
          <cell r="AJ77">
            <v>200</v>
          </cell>
          <cell r="AK77" t="str">
            <v>Windy Bluff</v>
          </cell>
          <cell r="AL77" t="str">
            <v>S screw anchor for test plot</v>
          </cell>
        </row>
        <row r="78">
          <cell r="B78" t="str">
            <v>Harstine Island - PNNL - Test Plot 4 of 4 (south of south plot) staples - 2017</v>
          </cell>
          <cell r="C78" t="str">
            <v>HAR_4</v>
          </cell>
          <cell r="D78" t="str">
            <v>single</v>
          </cell>
          <cell r="E78">
            <v>2017</v>
          </cell>
          <cell r="G78" t="str">
            <v>point</v>
          </cell>
          <cell r="H78" t="str">
            <v>Case Inlet</v>
          </cell>
          <cell r="I78" t="str">
            <v>CPS</v>
          </cell>
          <cell r="J78" t="str">
            <v>Eelgrass Recovery in PS</v>
          </cell>
          <cell r="K78" t="str">
            <v>USFWS</v>
          </cell>
          <cell r="L78" t="str">
            <v>USFWS</v>
          </cell>
          <cell r="M78" t="str">
            <v>WA F16AP00163 AL</v>
          </cell>
          <cell r="O78" t="str">
            <v>PNNL</v>
          </cell>
          <cell r="P78" t="str">
            <v>93-094344</v>
          </cell>
          <cell r="R78" t="str">
            <v>test</v>
          </cell>
          <cell r="S78" t="str">
            <v>test</v>
          </cell>
          <cell r="T78">
            <v>42893</v>
          </cell>
          <cell r="U78">
            <v>47.291899999999998</v>
          </cell>
          <cell r="V78">
            <v>-122.85523333333333</v>
          </cell>
          <cell r="W78" t="str">
            <v>point</v>
          </cell>
          <cell r="X78" t="str">
            <v>retain</v>
          </cell>
          <cell r="Y78" t="str">
            <v>WGS84</v>
          </cell>
          <cell r="Z78">
            <v>-2.9778959999999999</v>
          </cell>
          <cell r="AA78" t="str">
            <v>staple</v>
          </cell>
          <cell r="AB78">
            <v>2.5</v>
          </cell>
          <cell r="AC78">
            <v>2</v>
          </cell>
          <cell r="AD78">
            <v>5</v>
          </cell>
          <cell r="AE78">
            <v>5</v>
          </cell>
          <cell r="AF78">
            <v>0.5</v>
          </cell>
          <cell r="AG78">
            <v>100</v>
          </cell>
          <cell r="AH78">
            <v>800</v>
          </cell>
          <cell r="AI78">
            <v>160</v>
          </cell>
          <cell r="AJ78">
            <v>160</v>
          </cell>
          <cell r="AK78" t="str">
            <v>Windy Bluff</v>
          </cell>
          <cell r="AL78" t="str">
            <v>side by side plantings using 2 methods</v>
          </cell>
        </row>
        <row r="79">
          <cell r="B79" t="str">
            <v>Harstine Island - PNNL - Test Plot 4 of 4 (south of south plot) rebar - 2017</v>
          </cell>
          <cell r="C79" t="str">
            <v>HAR_4</v>
          </cell>
          <cell r="D79" t="str">
            <v>single</v>
          </cell>
          <cell r="E79">
            <v>2017</v>
          </cell>
          <cell r="G79" t="str">
            <v>point</v>
          </cell>
          <cell r="H79" t="str">
            <v>Case Inlet</v>
          </cell>
          <cell r="I79" t="str">
            <v>CPS</v>
          </cell>
          <cell r="J79" t="str">
            <v>Eelgrass Recovery in PS</v>
          </cell>
          <cell r="K79" t="str">
            <v>USFWS</v>
          </cell>
          <cell r="L79" t="str">
            <v>USFWS</v>
          </cell>
          <cell r="M79" t="str">
            <v>WA F16AP00163 AL</v>
          </cell>
          <cell r="O79" t="str">
            <v>PNNL</v>
          </cell>
          <cell r="P79" t="str">
            <v>93-094344</v>
          </cell>
          <cell r="R79" t="str">
            <v>test</v>
          </cell>
          <cell r="S79" t="str">
            <v>test</v>
          </cell>
          <cell r="T79">
            <v>42893</v>
          </cell>
          <cell r="U79">
            <v>47.291899999999998</v>
          </cell>
          <cell r="V79">
            <v>-122.85523333333333</v>
          </cell>
          <cell r="W79" t="str">
            <v>point</v>
          </cell>
          <cell r="X79" t="str">
            <v>retain</v>
          </cell>
          <cell r="Y79" t="str">
            <v>WGS84</v>
          </cell>
          <cell r="Z79">
            <v>-2.9778959999999999</v>
          </cell>
          <cell r="AA79" t="str">
            <v>rebar</v>
          </cell>
          <cell r="AB79">
            <v>3</v>
          </cell>
          <cell r="AC79">
            <v>2</v>
          </cell>
          <cell r="AD79">
            <v>6</v>
          </cell>
          <cell r="AE79">
            <v>5</v>
          </cell>
          <cell r="AF79">
            <v>0.5</v>
          </cell>
          <cell r="AG79">
            <v>20</v>
          </cell>
          <cell r="AH79">
            <v>1000</v>
          </cell>
          <cell r="AI79">
            <v>166.66666666666666</v>
          </cell>
          <cell r="AJ79">
            <v>200</v>
          </cell>
          <cell r="AK79" t="str">
            <v>Windy Bluff</v>
          </cell>
          <cell r="AL79" t="str">
            <v>side by side plantings using 2 methods</v>
          </cell>
        </row>
        <row r="80">
          <cell r="B80" t="str">
            <v>Harstine Island - PNNL - Test Plot 1 of 4 (north of north plot) - 2017</v>
          </cell>
          <cell r="C80" t="str">
            <v>HAR_1</v>
          </cell>
          <cell r="D80" t="str">
            <v>single</v>
          </cell>
          <cell r="E80">
            <v>2017</v>
          </cell>
          <cell r="G80" t="str">
            <v>point</v>
          </cell>
          <cell r="H80" t="str">
            <v>Case Inlet</v>
          </cell>
          <cell r="I80" t="str">
            <v>CPS</v>
          </cell>
          <cell r="J80" t="str">
            <v>Eelgrass Recovery in PS</v>
          </cell>
          <cell r="K80" t="str">
            <v>USFWS</v>
          </cell>
          <cell r="L80" t="str">
            <v>USFWS</v>
          </cell>
          <cell r="M80" t="str">
            <v>WA F16AP00163 AL</v>
          </cell>
          <cell r="O80" t="str">
            <v>PNNL</v>
          </cell>
          <cell r="P80" t="str">
            <v>93-094344</v>
          </cell>
          <cell r="R80" t="str">
            <v>test</v>
          </cell>
          <cell r="S80" t="str">
            <v>test</v>
          </cell>
          <cell r="T80">
            <v>42893</v>
          </cell>
          <cell r="U80">
            <v>47.295516666666664</v>
          </cell>
          <cell r="V80">
            <v>-122.8494</v>
          </cell>
          <cell r="W80" t="str">
            <v>point</v>
          </cell>
          <cell r="X80" t="str">
            <v>retain</v>
          </cell>
          <cell r="Y80" t="str">
            <v>WGS84</v>
          </cell>
          <cell r="Z80">
            <v>-2.8041599999999995</v>
          </cell>
          <cell r="AA80" t="str">
            <v>rebar</v>
          </cell>
          <cell r="AB80">
            <v>3</v>
          </cell>
          <cell r="AC80">
            <v>2</v>
          </cell>
          <cell r="AD80">
            <v>6</v>
          </cell>
          <cell r="AE80">
            <v>5</v>
          </cell>
          <cell r="AF80">
            <v>0.5</v>
          </cell>
          <cell r="AG80">
            <v>20</v>
          </cell>
          <cell r="AH80">
            <v>1000</v>
          </cell>
          <cell r="AI80">
            <v>166.66666666666666</v>
          </cell>
          <cell r="AJ80">
            <v>200</v>
          </cell>
          <cell r="AK80" t="str">
            <v>Windy Bluff</v>
          </cell>
        </row>
        <row r="81">
          <cell r="B81" t="str">
            <v>Harstine - PNNL - Large Scale 1 - north (deep) - 2018</v>
          </cell>
          <cell r="C81" t="str">
            <v>HAR_deep_L1</v>
          </cell>
          <cell r="D81" t="str">
            <v>single</v>
          </cell>
          <cell r="E81">
            <v>2018</v>
          </cell>
          <cell r="G81" t="str">
            <v>line</v>
          </cell>
          <cell r="H81" t="str">
            <v>Case Inlet</v>
          </cell>
          <cell r="I81" t="str">
            <v>CPS</v>
          </cell>
          <cell r="J81" t="str">
            <v>Eelgrass Recovery in PS</v>
          </cell>
          <cell r="K81" t="str">
            <v>USFWS</v>
          </cell>
          <cell r="L81" t="str">
            <v>USFWS</v>
          </cell>
          <cell r="M81" t="str">
            <v>WA F16AP00163 AL</v>
          </cell>
          <cell r="O81" t="str">
            <v>PNNL</v>
          </cell>
          <cell r="P81" t="str">
            <v>93-094344</v>
          </cell>
          <cell r="R81" t="str">
            <v>large scale</v>
          </cell>
          <cell r="S81" t="str">
            <v>large scale</v>
          </cell>
          <cell r="T81">
            <v>43235</v>
          </cell>
          <cell r="U81">
            <v>47.293819999999997</v>
          </cell>
          <cell r="V81">
            <v>-122.85419</v>
          </cell>
          <cell r="W81" t="str">
            <v>line</v>
          </cell>
          <cell r="X81" t="str">
            <v>retain</v>
          </cell>
          <cell r="Y81" t="str">
            <v>WGS84</v>
          </cell>
          <cell r="Z81">
            <v>-1.524</v>
          </cell>
          <cell r="AA81" t="str">
            <v>rebar</v>
          </cell>
          <cell r="AB81">
            <v>42</v>
          </cell>
          <cell r="AC81">
            <v>5</v>
          </cell>
          <cell r="AD81">
            <v>210</v>
          </cell>
          <cell r="AE81">
            <v>138</v>
          </cell>
          <cell r="AF81">
            <v>13.8</v>
          </cell>
          <cell r="AG81">
            <v>552</v>
          </cell>
          <cell r="AH81">
            <v>13800</v>
          </cell>
          <cell r="AI81">
            <v>65.714285714285708</v>
          </cell>
          <cell r="AJ81">
            <v>100</v>
          </cell>
          <cell r="AK81" t="str">
            <v>Rocky Point</v>
          </cell>
          <cell r="AL81" t="str">
            <v>base line runs 30°M; 25 shoots/rebar; 552 rebar planted on the offshore side of the base line, see planting diagram, offshore transect</v>
          </cell>
        </row>
        <row r="82">
          <cell r="B82" t="str">
            <v>Harstine - PNNL - Large Scale 1 - north (deep) - 2018</v>
          </cell>
          <cell r="C82" t="str">
            <v>HAR_deep_L1</v>
          </cell>
          <cell r="D82" t="str">
            <v>single</v>
          </cell>
          <cell r="E82">
            <v>2018</v>
          </cell>
          <cell r="G82" t="str">
            <v>line</v>
          </cell>
          <cell r="H82" t="str">
            <v>Case Inlet</v>
          </cell>
          <cell r="I82" t="str">
            <v>CPS</v>
          </cell>
          <cell r="J82" t="str">
            <v>Eelgrass Recovery in PS</v>
          </cell>
          <cell r="K82" t="str">
            <v>USFWS</v>
          </cell>
          <cell r="L82" t="str">
            <v>USFWS</v>
          </cell>
          <cell r="M82" t="str">
            <v>WA F16AP00163 AL</v>
          </cell>
          <cell r="O82" t="str">
            <v>PNNL</v>
          </cell>
          <cell r="P82" t="str">
            <v>93-094344</v>
          </cell>
          <cell r="R82" t="str">
            <v>large scale</v>
          </cell>
          <cell r="S82" t="str">
            <v>--</v>
          </cell>
          <cell r="T82">
            <v>43235</v>
          </cell>
          <cell r="U82">
            <v>47.294110000000003</v>
          </cell>
          <cell r="V82">
            <v>-122.85389000000001</v>
          </cell>
          <cell r="W82" t="str">
            <v>line</v>
          </cell>
          <cell r="X82" t="str">
            <v>retain</v>
          </cell>
          <cell r="Y82" t="str">
            <v>WGS84</v>
          </cell>
          <cell r="AF82" t="str">
            <v/>
          </cell>
          <cell r="AI82" t="str">
            <v/>
          </cell>
          <cell r="AJ82" t="str">
            <v/>
          </cell>
        </row>
        <row r="83">
          <cell r="B83" t="str">
            <v>Harstine - PNNL - Large Scale 1 - south (shallow) - 2018</v>
          </cell>
          <cell r="C83" t="str">
            <v>HAR_shallow_L1</v>
          </cell>
          <cell r="D83" t="str">
            <v>single</v>
          </cell>
          <cell r="E83">
            <v>2018</v>
          </cell>
          <cell r="G83" t="str">
            <v>line</v>
          </cell>
          <cell r="H83" t="str">
            <v>Case Inlet</v>
          </cell>
          <cell r="I83" t="str">
            <v>CPS</v>
          </cell>
          <cell r="J83" t="str">
            <v>Puget Sound Eelgrass Restoration: 3 deltas</v>
          </cell>
          <cell r="K83" t="str">
            <v>USACE</v>
          </cell>
          <cell r="L83" t="str">
            <v>USACE</v>
          </cell>
          <cell r="M83" t="str">
            <v>W912DW-14-2-0009 (93-099566)</v>
          </cell>
          <cell r="N83" t="str">
            <v>IAA 15-45</v>
          </cell>
          <cell r="O83" t="str">
            <v>PNNL</v>
          </cell>
          <cell r="P83" t="str">
            <v>93-099661</v>
          </cell>
          <cell r="R83" t="str">
            <v>large scale</v>
          </cell>
          <cell r="S83" t="str">
            <v>large scale</v>
          </cell>
          <cell r="T83">
            <v>43265</v>
          </cell>
          <cell r="U83">
            <v>47.293693353000002</v>
          </cell>
          <cell r="V83">
            <v>-122.854603497</v>
          </cell>
          <cell r="W83" t="str">
            <v>line</v>
          </cell>
          <cell r="X83" t="str">
            <v>retain</v>
          </cell>
          <cell r="Y83" t="str">
            <v>WGS84</v>
          </cell>
          <cell r="Z83">
            <v>-1</v>
          </cell>
          <cell r="AA83" t="str">
            <v>rebar</v>
          </cell>
          <cell r="AB83">
            <v>31</v>
          </cell>
          <cell r="AC83">
            <v>5</v>
          </cell>
          <cell r="AD83">
            <v>155</v>
          </cell>
          <cell r="AE83">
            <v>97</v>
          </cell>
          <cell r="AF83">
            <v>9.7000000000000011</v>
          </cell>
          <cell r="AG83">
            <v>388</v>
          </cell>
          <cell r="AH83">
            <v>9688</v>
          </cell>
          <cell r="AI83">
            <v>62.50322580645161</v>
          </cell>
          <cell r="AJ83">
            <v>99.876288659793815</v>
          </cell>
          <cell r="AK83" t="str">
            <v>Windy Bluff</v>
          </cell>
          <cell r="AL83" t="str">
            <v>0 m screw anchor (also N screw anchor of 2017 test plot 3), baseline runs 15°M, planting started at 3m, second screw anchor placed 40m from the first but planting stopped at 31m. Planted in blocks of 4 rows perpendicular to the baseline; each row seperated by 0.5 m and each block seperated by 1.5 m. Rows extended 5 m perpendicular to baseline.</v>
          </cell>
        </row>
        <row r="84">
          <cell r="B84" t="str">
            <v>Harstine - PNNL - Large Scale 1 - south (shallow) - 2018</v>
          </cell>
          <cell r="C84" t="str">
            <v>HAR_shallow_L1</v>
          </cell>
          <cell r="D84" t="str">
            <v>single</v>
          </cell>
          <cell r="E84">
            <v>2018</v>
          </cell>
          <cell r="G84" t="str">
            <v>line</v>
          </cell>
          <cell r="H84" t="str">
            <v>Case Inlet</v>
          </cell>
          <cell r="I84" t="str">
            <v>CPS</v>
          </cell>
          <cell r="J84" t="str">
            <v>Puget Sound Eelgrass Restoration: 3 deltas</v>
          </cell>
          <cell r="K84" t="str">
            <v>USACE</v>
          </cell>
          <cell r="L84" t="str">
            <v>USACE</v>
          </cell>
          <cell r="M84" t="str">
            <v>W912DW-14-2-0009 (93-099566)</v>
          </cell>
          <cell r="N84" t="str">
            <v>IAA 15-45</v>
          </cell>
          <cell r="O84" t="str">
            <v>PNNL</v>
          </cell>
          <cell r="P84" t="str">
            <v>93-099661</v>
          </cell>
          <cell r="R84" t="str">
            <v>large scale</v>
          </cell>
          <cell r="S84" t="str">
            <v>--</v>
          </cell>
          <cell r="T84">
            <v>43265</v>
          </cell>
          <cell r="U84">
            <v>47.293960576000003</v>
          </cell>
          <cell r="V84">
            <v>-122.854260041</v>
          </cell>
          <cell r="W84" t="str">
            <v>line</v>
          </cell>
          <cell r="X84" t="str">
            <v>retain</v>
          </cell>
          <cell r="Y84" t="str">
            <v>WGS84</v>
          </cell>
          <cell r="Z84">
            <v>-0.9</v>
          </cell>
          <cell r="AF84" t="str">
            <v/>
          </cell>
          <cell r="AI84" t="str">
            <v/>
          </cell>
          <cell r="AJ84" t="str">
            <v/>
          </cell>
          <cell r="AL84" t="str">
            <v>40 m screw anchor for baseline, but planting stopped at 31 m</v>
          </cell>
        </row>
        <row r="85">
          <cell r="B85" t="str">
            <v>Harstine Island - PNNL - Large Scale 2 - shallow - 2019</v>
          </cell>
          <cell r="C85" t="str">
            <v>HAR_shallow_L2</v>
          </cell>
          <cell r="D85" t="str">
            <v>single</v>
          </cell>
          <cell r="E85">
            <v>2019</v>
          </cell>
          <cell r="G85" t="str">
            <v>line</v>
          </cell>
          <cell r="H85" t="str">
            <v>Case Inlet</v>
          </cell>
          <cell r="I85" t="str">
            <v>CPS</v>
          </cell>
          <cell r="J85" t="str">
            <v>Eelgrass Recovery in PS</v>
          </cell>
          <cell r="K85" t="str">
            <v>USFWS</v>
          </cell>
          <cell r="L85" t="str">
            <v>USFWS</v>
          </cell>
          <cell r="M85" t="str">
            <v>WA F16AP00163 AL</v>
          </cell>
          <cell r="O85" t="str">
            <v>PNNL</v>
          </cell>
          <cell r="P85" t="str">
            <v>93-094344</v>
          </cell>
          <cell r="R85" t="str">
            <v>large scale</v>
          </cell>
          <cell r="S85" t="str">
            <v>large scale</v>
          </cell>
          <cell r="T85">
            <v>43599</v>
          </cell>
          <cell r="U85">
            <v>47.294047956</v>
          </cell>
          <cell r="V85">
            <v>-122.854168074</v>
          </cell>
          <cell r="W85" t="str">
            <v>line</v>
          </cell>
          <cell r="X85" t="str">
            <v>retain</v>
          </cell>
          <cell r="Y85" t="str">
            <v>WGS84</v>
          </cell>
          <cell r="Z85">
            <v>-0.9</v>
          </cell>
          <cell r="AA85" t="str">
            <v>rebar</v>
          </cell>
          <cell r="AB85">
            <v>39</v>
          </cell>
          <cell r="AC85">
            <v>6</v>
          </cell>
          <cell r="AD85">
            <v>234</v>
          </cell>
          <cell r="AE85">
            <v>136.75</v>
          </cell>
          <cell r="AF85">
            <v>13.675000000000001</v>
          </cell>
          <cell r="AG85">
            <v>547</v>
          </cell>
          <cell r="AH85">
            <v>13320</v>
          </cell>
          <cell r="AI85">
            <v>56.92307692307692</v>
          </cell>
          <cell r="AJ85">
            <v>97.404021937842785</v>
          </cell>
          <cell r="AK85" t="str">
            <v>Anderson Island, Windy Bluff</v>
          </cell>
          <cell r="AL85" t="str">
            <v>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v>
          </cell>
        </row>
        <row r="86">
          <cell r="B86" t="str">
            <v>Harstine Island - PNNL - Large Scale 2 - shallow - 2019</v>
          </cell>
          <cell r="C86" t="str">
            <v>HAR_shallow_L2</v>
          </cell>
          <cell r="D86" t="str">
            <v>single</v>
          </cell>
          <cell r="E86">
            <v>2019</v>
          </cell>
          <cell r="G86" t="str">
            <v>line</v>
          </cell>
          <cell r="H86" t="str">
            <v>Case Inlet</v>
          </cell>
          <cell r="I86" t="str">
            <v>CPS</v>
          </cell>
          <cell r="J86" t="str">
            <v>Eelgrass Recovery in PS</v>
          </cell>
          <cell r="K86" t="str">
            <v>USFWS</v>
          </cell>
          <cell r="L86" t="str">
            <v>USFWS</v>
          </cell>
          <cell r="M86" t="str">
            <v>WA F16AP00163 AL</v>
          </cell>
          <cell r="O86" t="str">
            <v>PNNL</v>
          </cell>
          <cell r="P86" t="str">
            <v>93-094344</v>
          </cell>
          <cell r="R86" t="str">
            <v>large scale</v>
          </cell>
          <cell r="S86" t="str">
            <v>--</v>
          </cell>
          <cell r="T86">
            <v>43599</v>
          </cell>
          <cell r="U86">
            <v>47.294176696000001</v>
          </cell>
          <cell r="V86">
            <v>-122.85368944299999</v>
          </cell>
          <cell r="W86" t="str">
            <v>line</v>
          </cell>
          <cell r="X86" t="str">
            <v>retain</v>
          </cell>
          <cell r="Y86" t="str">
            <v>WGS84</v>
          </cell>
          <cell r="Z86">
            <v>-1.2</v>
          </cell>
          <cell r="AL86" t="str">
            <v>40 m screw anchor, but planting stopped at 31 m.</v>
          </cell>
        </row>
        <row r="87">
          <cell r="B87" t="str">
            <v>Harstine Island - PNNL - Large Scale 3 - shallow - 2020</v>
          </cell>
          <cell r="C87" t="str">
            <v>HAR_shallow_L3</v>
          </cell>
          <cell r="D87" t="str">
            <v>single</v>
          </cell>
          <cell r="E87">
            <v>2020</v>
          </cell>
          <cell r="G87" t="str">
            <v>line</v>
          </cell>
          <cell r="H87" t="str">
            <v>Case Inlet</v>
          </cell>
          <cell r="I87" t="str">
            <v>CPS</v>
          </cell>
          <cell r="J87" t="str">
            <v>Eelgrass Recovery in PS</v>
          </cell>
          <cell r="K87" t="str">
            <v>USFWS</v>
          </cell>
          <cell r="L87" t="str">
            <v>USFWS</v>
          </cell>
          <cell r="M87" t="str">
            <v>WA F16AP00163 AL</v>
          </cell>
          <cell r="O87" t="str">
            <v>PNNL</v>
          </cell>
          <cell r="R87" t="str">
            <v>large scale</v>
          </cell>
          <cell r="S87" t="str">
            <v>large scale</v>
          </cell>
          <cell r="T87">
            <v>43983</v>
          </cell>
          <cell r="U87">
            <v>47.293015107999999</v>
          </cell>
          <cell r="V87">
            <v>-122.855246839</v>
          </cell>
          <cell r="W87" t="str">
            <v>line</v>
          </cell>
          <cell r="X87" t="str">
            <v>retain</v>
          </cell>
          <cell r="Y87" t="str">
            <v>WGS84</v>
          </cell>
          <cell r="Z87">
            <v>-0.9</v>
          </cell>
          <cell r="AA87" t="str">
            <v>rebar</v>
          </cell>
          <cell r="AB87">
            <v>32</v>
          </cell>
          <cell r="AC87">
            <v>6</v>
          </cell>
          <cell r="AD87">
            <v>192</v>
          </cell>
          <cell r="AE87">
            <v>118.5</v>
          </cell>
          <cell r="AF87">
            <v>11.850000000000001</v>
          </cell>
          <cell r="AG87">
            <v>474</v>
          </cell>
          <cell r="AH87">
            <v>11390</v>
          </cell>
          <cell r="AI87">
            <v>59.322916666666664</v>
          </cell>
          <cell r="AJ87">
            <v>96.118143459915615</v>
          </cell>
          <cell r="AK87" t="str">
            <v>Anderson Island, Windy Bluff</v>
          </cell>
          <cell r="AL87" t="str">
            <v>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v>
          </cell>
        </row>
        <row r="88">
          <cell r="B88" t="str">
            <v>Harstine Island - PNNL - Large Scale 3 - shallow - 2020</v>
          </cell>
          <cell r="C88" t="str">
            <v>HAR_shallow_L3</v>
          </cell>
          <cell r="D88" t="str">
            <v>single</v>
          </cell>
          <cell r="E88">
            <v>2020</v>
          </cell>
          <cell r="G88" t="str">
            <v>line</v>
          </cell>
          <cell r="H88" t="str">
            <v>Case Inlet</v>
          </cell>
          <cell r="I88" t="str">
            <v>CPS</v>
          </cell>
          <cell r="J88" t="str">
            <v>Eelgrass Recovery in PS</v>
          </cell>
          <cell r="K88" t="str">
            <v>USFWS</v>
          </cell>
          <cell r="L88" t="str">
            <v>USFWS</v>
          </cell>
          <cell r="M88" t="str">
            <v>WA F16AP00163 AL</v>
          </cell>
          <cell r="O88" t="str">
            <v>PNNL</v>
          </cell>
          <cell r="R88" t="str">
            <v>large scale</v>
          </cell>
          <cell r="S88" t="str">
            <v>--</v>
          </cell>
          <cell r="T88">
            <v>43983</v>
          </cell>
          <cell r="U88">
            <v>47.293316236000003</v>
          </cell>
          <cell r="V88">
            <v>-122.854970201</v>
          </cell>
          <cell r="W88" t="str">
            <v>line</v>
          </cell>
          <cell r="X88" t="str">
            <v>retain</v>
          </cell>
          <cell r="Y88" t="str">
            <v>WGS84</v>
          </cell>
          <cell r="Z88">
            <v>-1</v>
          </cell>
          <cell r="AL88" t="str">
            <v>40 m screw anchor, but planting stopped at 32 m.</v>
          </cell>
        </row>
        <row r="89">
          <cell r="B89" t="str">
            <v>Harstine Island - PNNL - Test Plot 5 (north of north plot) rebar shallow- 2020</v>
          </cell>
          <cell r="C89" t="str">
            <v>HAR_5</v>
          </cell>
          <cell r="D89" t="str">
            <v>single</v>
          </cell>
          <cell r="E89">
            <v>2020</v>
          </cell>
          <cell r="G89" t="str">
            <v>point</v>
          </cell>
          <cell r="H89" t="str">
            <v>Case Inlet</v>
          </cell>
          <cell r="I89" t="str">
            <v>CPS</v>
          </cell>
          <cell r="J89" t="str">
            <v>Eelgrass Recovery in PS</v>
          </cell>
          <cell r="K89" t="str">
            <v>USACE</v>
          </cell>
          <cell r="L89" t="str">
            <v>USACE</v>
          </cell>
          <cell r="M89" t="str">
            <v>W912DW-14-2-0009 (93-099566)</v>
          </cell>
          <cell r="N89" t="str">
            <v>IAA 15-45</v>
          </cell>
          <cell r="O89" t="str">
            <v>PNNL</v>
          </cell>
          <cell r="R89" t="str">
            <v>test</v>
          </cell>
          <cell r="S89" t="str">
            <v>test</v>
          </cell>
          <cell r="T89">
            <v>44011</v>
          </cell>
          <cell r="U89">
            <v>47.295769999999997</v>
          </cell>
          <cell r="V89">
            <v>-122.84945999999999</v>
          </cell>
          <cell r="W89" t="str">
            <v>point</v>
          </cell>
          <cell r="X89" t="str">
            <v>retain</v>
          </cell>
          <cell r="Y89" t="str">
            <v>WGS84</v>
          </cell>
          <cell r="Z89">
            <v>-1.2</v>
          </cell>
          <cell r="AA89" t="str">
            <v>rebar</v>
          </cell>
          <cell r="AB89">
            <v>2.5</v>
          </cell>
          <cell r="AC89">
            <v>2.5</v>
          </cell>
          <cell r="AD89">
            <v>6.25</v>
          </cell>
          <cell r="AE89">
            <v>5</v>
          </cell>
          <cell r="AF89">
            <v>0.5</v>
          </cell>
          <cell r="AG89">
            <v>20</v>
          </cell>
          <cell r="AH89">
            <v>500</v>
          </cell>
          <cell r="AI89">
            <v>80</v>
          </cell>
          <cell r="AJ89">
            <v>100</v>
          </cell>
          <cell r="AK89" t="str">
            <v>Rocky Bay</v>
          </cell>
          <cell r="AL89" t="str">
            <v>330 deg az, substrate is bare sand, little more current at this site on a rising tide, substrate is more course and sand is not sticky</v>
          </cell>
        </row>
        <row r="90">
          <cell r="B90" t="str">
            <v>Harstine Island - PNNL - Test Plot 6 (south of south plot) rebar shallow - 2020</v>
          </cell>
          <cell r="C90" t="str">
            <v>HAR_6</v>
          </cell>
          <cell r="D90" t="str">
            <v>single</v>
          </cell>
          <cell r="E90">
            <v>2020</v>
          </cell>
          <cell r="G90" t="str">
            <v>point</v>
          </cell>
          <cell r="H90" t="str">
            <v>Case Inlet</v>
          </cell>
          <cell r="I90" t="str">
            <v>CPS</v>
          </cell>
          <cell r="J90" t="str">
            <v>Eelgrass Recovery in PS</v>
          </cell>
          <cell r="K90" t="str">
            <v>USACE</v>
          </cell>
          <cell r="L90" t="str">
            <v>USACE</v>
          </cell>
          <cell r="M90" t="str">
            <v>W912DW-14-2-0009 (93-099566)</v>
          </cell>
          <cell r="N90" t="str">
            <v>IAA 15-45</v>
          </cell>
          <cell r="O90" t="str">
            <v>PNNL</v>
          </cell>
          <cell r="R90" t="str">
            <v>test</v>
          </cell>
          <cell r="S90" t="str">
            <v>test</v>
          </cell>
          <cell r="T90">
            <v>44011</v>
          </cell>
          <cell r="U90">
            <v>47.292029999999997</v>
          </cell>
          <cell r="V90">
            <v>-122.8555666</v>
          </cell>
          <cell r="W90" t="str">
            <v>point</v>
          </cell>
          <cell r="X90" t="str">
            <v>retain</v>
          </cell>
          <cell r="Y90" t="str">
            <v>WGS84</v>
          </cell>
          <cell r="Z90">
            <v>-1.1000000000000001</v>
          </cell>
          <cell r="AA90" t="str">
            <v>rebar</v>
          </cell>
          <cell r="AB90">
            <v>2.5</v>
          </cell>
          <cell r="AC90">
            <v>2.5</v>
          </cell>
          <cell r="AD90">
            <v>6.25</v>
          </cell>
          <cell r="AE90">
            <v>5</v>
          </cell>
          <cell r="AF90">
            <v>0.5</v>
          </cell>
          <cell r="AG90">
            <v>20</v>
          </cell>
          <cell r="AH90">
            <v>500</v>
          </cell>
          <cell r="AI90">
            <v>80</v>
          </cell>
          <cell r="AJ90">
            <v>100</v>
          </cell>
          <cell r="AK90" t="str">
            <v>Rocky Bay</v>
          </cell>
          <cell r="AL90" t="str">
            <v>15deg azimuth, offshore depth 11ft dive computer,</v>
          </cell>
        </row>
        <row r="91">
          <cell r="B91" t="str">
            <v>Herron Island - PNNL - test - 2015</v>
          </cell>
          <cell r="C91" t="str">
            <v>HRI</v>
          </cell>
          <cell r="D91" t="str">
            <v>single</v>
          </cell>
          <cell r="E91">
            <v>2015</v>
          </cell>
          <cell r="G91" t="str">
            <v>point</v>
          </cell>
          <cell r="H91" t="str">
            <v>Case Inlet</v>
          </cell>
          <cell r="I91" t="str">
            <v>CPS</v>
          </cell>
          <cell r="J91" t="str">
            <v>Eelgrass Restoration in PS</v>
          </cell>
          <cell r="K91" t="str">
            <v>DNR</v>
          </cell>
          <cell r="L91" t="str">
            <v>Aquatic Restoration Program</v>
          </cell>
          <cell r="O91" t="str">
            <v>PNNL</v>
          </cell>
          <cell r="P91" t="str">
            <v>IAA 12-317.1</v>
          </cell>
          <cell r="Q91" t="str">
            <v>Aston, L.A., A.B. Borde and J. Vavrinec. 2015. Final Summary Report - Eelgrass Restoration in Puget Sound Project Summary. Pacific Northwest National Laboratory, Richland, WA. PNNL-24445.</v>
          </cell>
          <cell r="R91" t="str">
            <v>test</v>
          </cell>
          <cell r="S91" t="str">
            <v>test</v>
          </cell>
          <cell r="T91">
            <v>42075</v>
          </cell>
          <cell r="U91">
            <v>47.279499000000001</v>
          </cell>
          <cell r="V91">
            <v>-122.809296</v>
          </cell>
          <cell r="W91" t="str">
            <v>point</v>
          </cell>
          <cell r="X91" t="str">
            <v>retain</v>
          </cell>
          <cell r="Y91" t="str">
            <v>WGS84</v>
          </cell>
          <cell r="Z91">
            <v>-1.2</v>
          </cell>
          <cell r="AA91" t="str">
            <v>staple</v>
          </cell>
          <cell r="AB91">
            <v>5</v>
          </cell>
          <cell r="AC91">
            <v>5</v>
          </cell>
          <cell r="AD91">
            <v>25</v>
          </cell>
          <cell r="AE91">
            <v>25</v>
          </cell>
          <cell r="AF91">
            <v>0.625</v>
          </cell>
          <cell r="AG91">
            <v>125</v>
          </cell>
          <cell r="AH91">
            <v>500</v>
          </cell>
          <cell r="AI91">
            <v>20</v>
          </cell>
          <cell r="AJ91">
            <v>20</v>
          </cell>
          <cell r="AK91" t="str">
            <v>Windy Bluff</v>
          </cell>
          <cell r="AL91" t="str">
            <v>"mega"-bundles were planted with 260 shoots on 26 staples outside of the plot and south</v>
          </cell>
        </row>
        <row r="92">
          <cell r="B92" t="str">
            <v>Edgewater - south - PNNL - test - 2015</v>
          </cell>
          <cell r="C92" t="str">
            <v>HPT_south_1</v>
          </cell>
          <cell r="D92" t="str">
            <v>single</v>
          </cell>
          <cell r="E92">
            <v>2015</v>
          </cell>
          <cell r="G92" t="str">
            <v>point</v>
          </cell>
          <cell r="H92" t="str">
            <v>Eld Inlet</v>
          </cell>
          <cell r="I92" t="str">
            <v>SPS</v>
          </cell>
          <cell r="J92" t="str">
            <v>Eelgrass Restoration in PS</v>
          </cell>
          <cell r="K92" t="str">
            <v>DNR</v>
          </cell>
          <cell r="L92" t="str">
            <v>Aquatic Restoration Program</v>
          </cell>
          <cell r="O92" t="str">
            <v>PNNL</v>
          </cell>
          <cell r="P92" t="str">
            <v>IAA 12-317.1</v>
          </cell>
          <cell r="Q92" t="str">
            <v>Aston, L.A., A.B. Borde and J. Vavrinec. 2015. Final Summary Report - Eelgrass Restoration in Puget Sound Project Summary. Pacific Northwest National Laboratory, Richland, WA. PNNL-24445.</v>
          </cell>
          <cell r="R92" t="str">
            <v>test</v>
          </cell>
          <cell r="S92" t="str">
            <v>test</v>
          </cell>
          <cell r="T92">
            <v>42142</v>
          </cell>
          <cell r="U92">
            <v>47.151866666666663</v>
          </cell>
          <cell r="V92">
            <v>-122.92978333333333</v>
          </cell>
          <cell r="W92" t="str">
            <v>point</v>
          </cell>
          <cell r="X92" t="str">
            <v>retain</v>
          </cell>
          <cell r="Y92" t="str">
            <v>WGS84</v>
          </cell>
          <cell r="Z92">
            <v>-1.0668</v>
          </cell>
          <cell r="AA92" t="str">
            <v>staple</v>
          </cell>
          <cell r="AB92">
            <v>5</v>
          </cell>
          <cell r="AC92">
            <v>5</v>
          </cell>
          <cell r="AD92">
            <v>25</v>
          </cell>
          <cell r="AE92">
            <v>25</v>
          </cell>
          <cell r="AF92">
            <v>0.625</v>
          </cell>
          <cell r="AG92">
            <v>125</v>
          </cell>
          <cell r="AH92">
            <v>500</v>
          </cell>
          <cell r="AI92">
            <v>20</v>
          </cell>
          <cell r="AJ92">
            <v>20</v>
          </cell>
          <cell r="AK92" t="str">
            <v>Thompson Cove</v>
          </cell>
          <cell r="AL92" t="str">
            <v>SW corner of plot</v>
          </cell>
        </row>
        <row r="93">
          <cell r="B93" t="str">
            <v>Edgewater - north - PNNL - test - 2015</v>
          </cell>
          <cell r="C93" t="str">
            <v>HPT_north_2</v>
          </cell>
          <cell r="D93" t="str">
            <v>single</v>
          </cell>
          <cell r="E93">
            <v>2015</v>
          </cell>
          <cell r="G93" t="str">
            <v>point</v>
          </cell>
          <cell r="H93" t="str">
            <v>Eld Inlet</v>
          </cell>
          <cell r="I93" t="str">
            <v>SPS</v>
          </cell>
          <cell r="J93" t="str">
            <v>Eelgrass Restoration in PS</v>
          </cell>
          <cell r="K93" t="str">
            <v>DNR</v>
          </cell>
          <cell r="L93" t="str">
            <v>Aquatic Restoration Program</v>
          </cell>
          <cell r="O93" t="str">
            <v>PNNL</v>
          </cell>
          <cell r="P93" t="str">
            <v>IAA 12-317.1</v>
          </cell>
          <cell r="Q93" t="str">
            <v>Aston, L.A., A.B. Borde and J. Vavrinec. 2015. Final Summary Report - Eelgrass Restoration in Puget Sound Project Summary. Pacific Northwest National Laboratory, Richland, WA. PNNL-24445.</v>
          </cell>
          <cell r="R93" t="str">
            <v>test</v>
          </cell>
          <cell r="S93" t="str">
            <v>test</v>
          </cell>
          <cell r="T93">
            <v>42142</v>
          </cell>
          <cell r="U93">
            <v>47.155000000000001</v>
          </cell>
          <cell r="V93">
            <v>-122.92618333333333</v>
          </cell>
          <cell r="W93" t="str">
            <v>point</v>
          </cell>
          <cell r="X93" t="str">
            <v>retain</v>
          </cell>
          <cell r="Y93" t="str">
            <v>WGS84</v>
          </cell>
          <cell r="Z93">
            <v>-1.3715999999999999</v>
          </cell>
          <cell r="AA93" t="str">
            <v>staple</v>
          </cell>
          <cell r="AB93">
            <v>5</v>
          </cell>
          <cell r="AC93">
            <v>5</v>
          </cell>
          <cell r="AD93">
            <v>25</v>
          </cell>
          <cell r="AE93">
            <v>25</v>
          </cell>
          <cell r="AF93">
            <v>0.625</v>
          </cell>
          <cell r="AG93">
            <v>125</v>
          </cell>
          <cell r="AH93">
            <v>500</v>
          </cell>
          <cell r="AI93">
            <v>20</v>
          </cell>
          <cell r="AJ93">
            <v>20</v>
          </cell>
          <cell r="AK93" t="str">
            <v>Thompson Cove</v>
          </cell>
          <cell r="AL93" t="str">
            <v>SW corner of plot, depth taken at NE corner of plot</v>
          </cell>
        </row>
        <row r="94">
          <cell r="B94" t="str">
            <v>Edgewater - south - PNNL - test - deep - 2020</v>
          </cell>
          <cell r="C94" t="str">
            <v>HPT_south_2</v>
          </cell>
          <cell r="D94" t="str">
            <v>single</v>
          </cell>
          <cell r="E94">
            <v>2020</v>
          </cell>
          <cell r="G94" t="str">
            <v>point</v>
          </cell>
          <cell r="H94" t="str">
            <v>Eld Inlet</v>
          </cell>
          <cell r="I94" t="str">
            <v>SPS</v>
          </cell>
          <cell r="J94" t="str">
            <v>Eelgrass Recovery in PS</v>
          </cell>
          <cell r="K94" t="str">
            <v>USACE</v>
          </cell>
          <cell r="L94" t="str">
            <v>USACE</v>
          </cell>
          <cell r="M94" t="str">
            <v>W912DW-14-2-0009 (93-099566)</v>
          </cell>
          <cell r="N94" t="str">
            <v>IAA 15-45</v>
          </cell>
          <cell r="O94" t="str">
            <v>PNNL</v>
          </cell>
          <cell r="R94" t="str">
            <v>test</v>
          </cell>
          <cell r="S94" t="str">
            <v>test</v>
          </cell>
          <cell r="T94">
            <v>44011</v>
          </cell>
          <cell r="U94">
            <v>47.151893000000001</v>
          </cell>
          <cell r="V94">
            <v>-122.92966</v>
          </cell>
          <cell r="W94" t="str">
            <v>point</v>
          </cell>
          <cell r="X94" t="str">
            <v>retain</v>
          </cell>
          <cell r="Y94" t="str">
            <v>WGS84</v>
          </cell>
          <cell r="Z94">
            <v>-1.5</v>
          </cell>
          <cell r="AA94" t="str">
            <v>rebar</v>
          </cell>
          <cell r="AB94">
            <v>2.5</v>
          </cell>
          <cell r="AC94">
            <v>2.5</v>
          </cell>
          <cell r="AD94">
            <v>6.25</v>
          </cell>
          <cell r="AE94">
            <v>5</v>
          </cell>
          <cell r="AF94">
            <v>0.5</v>
          </cell>
          <cell r="AG94">
            <v>20</v>
          </cell>
          <cell r="AH94">
            <v>500</v>
          </cell>
          <cell r="AI94">
            <v>80</v>
          </cell>
          <cell r="AJ94">
            <v>100</v>
          </cell>
          <cell r="AK94" t="str">
            <v>Rocky Bay</v>
          </cell>
          <cell r="AL94" t="str">
            <v>10deg az, course and compacted sand with lots of fines, lots of algae but still lots of sand visible</v>
          </cell>
        </row>
        <row r="95">
          <cell r="B95" t="str">
            <v>Edgewater - north - PNNL - test - deep - 2020</v>
          </cell>
          <cell r="C95" t="str">
            <v>HPT_north_2</v>
          </cell>
          <cell r="D95" t="str">
            <v>single</v>
          </cell>
          <cell r="E95">
            <v>2020</v>
          </cell>
          <cell r="G95" t="str">
            <v>point</v>
          </cell>
          <cell r="H95" t="str">
            <v>Eld Inlet</v>
          </cell>
          <cell r="I95" t="str">
            <v>SPS</v>
          </cell>
          <cell r="J95" t="str">
            <v>Eelgrass Recovery in PS</v>
          </cell>
          <cell r="K95" t="str">
            <v>USACE</v>
          </cell>
          <cell r="L95" t="str">
            <v>USACE</v>
          </cell>
          <cell r="M95" t="str">
            <v>W912DW-14-2-0009 (93-099566)</v>
          </cell>
          <cell r="N95" t="str">
            <v>IAA 15-45</v>
          </cell>
          <cell r="O95" t="str">
            <v>PNNL</v>
          </cell>
          <cell r="R95" t="str">
            <v>test</v>
          </cell>
          <cell r="S95" t="str">
            <v>test</v>
          </cell>
          <cell r="T95">
            <v>44011</v>
          </cell>
          <cell r="U95">
            <v>47.154924999999999</v>
          </cell>
          <cell r="V95">
            <v>-122.9261166</v>
          </cell>
          <cell r="W95" t="str">
            <v>point</v>
          </cell>
          <cell r="X95" t="str">
            <v>retain</v>
          </cell>
          <cell r="Y95" t="str">
            <v>WGS84</v>
          </cell>
          <cell r="Z95">
            <v>-1.5</v>
          </cell>
          <cell r="AA95" t="str">
            <v>rebar</v>
          </cell>
          <cell r="AB95">
            <v>3</v>
          </cell>
          <cell r="AC95">
            <v>2.5</v>
          </cell>
          <cell r="AD95">
            <v>7.5</v>
          </cell>
          <cell r="AE95">
            <v>6</v>
          </cell>
          <cell r="AF95">
            <v>0.60000000000000009</v>
          </cell>
          <cell r="AG95">
            <v>24</v>
          </cell>
          <cell r="AH95">
            <v>600</v>
          </cell>
          <cell r="AI95">
            <v>80</v>
          </cell>
          <cell r="AJ95">
            <v>100</v>
          </cell>
          <cell r="AK95" t="str">
            <v>Rocky Bay</v>
          </cell>
          <cell r="AL95" t="str">
            <v>4 extra rebar planted at this site, 60 deg az, mixed fines fairly compact some kelp but can see mostly sand, baseline 14' offshore 15'</v>
          </cell>
        </row>
        <row r="96">
          <cell r="B96" t="str">
            <v>Joemma Beach State Park Mid - PNNL - shallow - test - 2013</v>
          </cell>
          <cell r="C96" t="str">
            <v>JSP_mid_shallow</v>
          </cell>
          <cell r="D96" t="str">
            <v>single</v>
          </cell>
          <cell r="E96">
            <v>2013</v>
          </cell>
          <cell r="G96" t="str">
            <v>point</v>
          </cell>
          <cell r="H96" t="str">
            <v>Case Inlet</v>
          </cell>
          <cell r="I96" t="str">
            <v>CPS</v>
          </cell>
          <cell r="J96" t="str">
            <v>20% more ZM</v>
          </cell>
          <cell r="K96" t="str">
            <v>WDFW</v>
          </cell>
          <cell r="L96" t="str">
            <v>National Estuary Program</v>
          </cell>
          <cell r="M96" t="str">
            <v>12-1117</v>
          </cell>
          <cell r="N96" t="str">
            <v xml:space="preserve"> IAA 12-316</v>
          </cell>
          <cell r="O96" t="str">
            <v>PNNL</v>
          </cell>
          <cell r="P96" t="str">
            <v>IAA 12-317</v>
          </cell>
          <cell r="Q96" t="str">
            <v>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v>
          </cell>
          <cell r="R96" t="str">
            <v>test</v>
          </cell>
          <cell r="S96" t="str">
            <v>test</v>
          </cell>
          <cell r="T96">
            <v>41430</v>
          </cell>
          <cell r="U96">
            <v>47.22228333333333</v>
          </cell>
          <cell r="V96">
            <v>-122.80965</v>
          </cell>
          <cell r="W96" t="str">
            <v>point</v>
          </cell>
          <cell r="X96" t="str">
            <v>retain</v>
          </cell>
          <cell r="Y96" t="str">
            <v>WGS84</v>
          </cell>
          <cell r="Z96">
            <v>-0.91439999999999999</v>
          </cell>
          <cell r="AA96" t="str">
            <v>staple</v>
          </cell>
          <cell r="AB96">
            <v>6</v>
          </cell>
          <cell r="AC96">
            <v>6</v>
          </cell>
          <cell r="AD96">
            <v>36</v>
          </cell>
          <cell r="AE96">
            <v>36</v>
          </cell>
          <cell r="AF96">
            <v>0.89</v>
          </cell>
          <cell r="AG96">
            <v>178</v>
          </cell>
          <cell r="AH96">
            <v>712</v>
          </cell>
          <cell r="AI96">
            <v>19.777777777777779</v>
          </cell>
          <cell r="AJ96">
            <v>19.777777777777779</v>
          </cell>
          <cell r="AK96" t="str">
            <v>Windy Bluff/Thompson Cove</v>
          </cell>
          <cell r="AL96" t="str">
            <v>Plants from two donor sites were tested at Joemma Beach State Park. Helical removed from test plot on 7 June 2016.</v>
          </cell>
        </row>
        <row r="97">
          <cell r="B97" t="str">
            <v>Joemma Beach State Park Mid - PNNL - deep - test - 2013</v>
          </cell>
          <cell r="C97" t="str">
            <v>JSP_mid_deep</v>
          </cell>
          <cell r="D97" t="str">
            <v>single</v>
          </cell>
          <cell r="E97">
            <v>2013</v>
          </cell>
          <cell r="G97" t="str">
            <v>point</v>
          </cell>
          <cell r="H97" t="str">
            <v>Case Inlet</v>
          </cell>
          <cell r="I97" t="str">
            <v>CPS</v>
          </cell>
          <cell r="J97" t="str">
            <v>20% more ZM</v>
          </cell>
          <cell r="K97" t="str">
            <v>WDFW</v>
          </cell>
          <cell r="L97" t="str">
            <v>National Estuary Program</v>
          </cell>
          <cell r="M97" t="str">
            <v>12-1117</v>
          </cell>
          <cell r="N97" t="str">
            <v xml:space="preserve"> IAA 12-316</v>
          </cell>
          <cell r="O97" t="str">
            <v>PNNL</v>
          </cell>
          <cell r="P97" t="str">
            <v>IAA 12-317</v>
          </cell>
          <cell r="Q97" t="str">
            <v>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v>
          </cell>
          <cell r="R97" t="str">
            <v>test</v>
          </cell>
          <cell r="S97" t="str">
            <v>test</v>
          </cell>
          <cell r="T97">
            <v>41430</v>
          </cell>
          <cell r="U97">
            <v>47.222016666666669</v>
          </cell>
          <cell r="V97">
            <v>-122.81008333333334</v>
          </cell>
          <cell r="W97" t="str">
            <v>point</v>
          </cell>
          <cell r="X97" t="str">
            <v>retain</v>
          </cell>
          <cell r="Y97" t="str">
            <v>WGS84</v>
          </cell>
          <cell r="Z97">
            <v>-1.524</v>
          </cell>
          <cell r="AA97" t="str">
            <v>staple</v>
          </cell>
          <cell r="AB97">
            <v>6</v>
          </cell>
          <cell r="AC97">
            <v>6</v>
          </cell>
          <cell r="AD97">
            <v>36</v>
          </cell>
          <cell r="AE97">
            <v>36</v>
          </cell>
          <cell r="AF97">
            <v>0.89</v>
          </cell>
          <cell r="AG97">
            <v>178</v>
          </cell>
          <cell r="AH97">
            <v>712</v>
          </cell>
          <cell r="AI97">
            <v>19.777777777777779</v>
          </cell>
          <cell r="AJ97">
            <v>19.777777777777779</v>
          </cell>
          <cell r="AK97" t="str">
            <v>Windy Bluff/Thompson Cove</v>
          </cell>
          <cell r="AL97" t="str">
            <v>Plants from two donor sites were tested at Joemma State Park</v>
          </cell>
        </row>
        <row r="98">
          <cell r="B98" t="str">
            <v>Joemma Beach State Park Mid South - W - PNNL - large - 2015</v>
          </cell>
          <cell r="C98" t="str">
            <v>JSP_mid_south_P1</v>
          </cell>
          <cell r="D98" t="str">
            <v>single</v>
          </cell>
          <cell r="E98">
            <v>2015</v>
          </cell>
          <cell r="G98" t="str">
            <v>polygon</v>
          </cell>
          <cell r="H98" t="str">
            <v>Case Inlet</v>
          </cell>
          <cell r="I98" t="str">
            <v>CPS</v>
          </cell>
          <cell r="J98" t="str">
            <v>Eelgrass Restoration in PS</v>
          </cell>
          <cell r="K98" t="str">
            <v>DNR</v>
          </cell>
          <cell r="L98" t="str">
            <v>Aquatic Restoration Program</v>
          </cell>
          <cell r="O98" t="str">
            <v>PNNL</v>
          </cell>
          <cell r="P98" t="str">
            <v>IAA 12-317.1</v>
          </cell>
          <cell r="Q98" t="str">
            <v>Aston, L.A., A.B. Borde and J. Vavrinec. 2015. Final Summary Report - Eelgrass Restoration in Puget Sound Project Summary. Pacific Northwest National Laboratory, Richland, WA. PNNL-24445.</v>
          </cell>
          <cell r="R98" t="str">
            <v>large scale</v>
          </cell>
          <cell r="S98" t="str">
            <v>large scale</v>
          </cell>
          <cell r="T98">
            <v>42141</v>
          </cell>
          <cell r="U98">
            <v>47.222349999999999</v>
          </cell>
          <cell r="V98">
            <v>-122.8105</v>
          </cell>
          <cell r="W98" t="str">
            <v>polygon</v>
          </cell>
          <cell r="X98" t="str">
            <v>retain</v>
          </cell>
          <cell r="Y98" t="str">
            <v>WGS84</v>
          </cell>
          <cell r="AA98" t="str">
            <v>staple</v>
          </cell>
          <cell r="AB98">
            <v>50</v>
          </cell>
          <cell r="AC98">
            <v>40</v>
          </cell>
          <cell r="AD98">
            <v>2000</v>
          </cell>
          <cell r="AE98">
            <v>126.25</v>
          </cell>
          <cell r="AF98">
            <v>12.75</v>
          </cell>
          <cell r="AG98">
            <v>2550</v>
          </cell>
          <cell r="AH98">
            <v>10200</v>
          </cell>
          <cell r="AI98">
            <v>5.0999999999999996</v>
          </cell>
          <cell r="AJ98">
            <v>80.792079207920793</v>
          </cell>
          <cell r="AK98" t="str">
            <v>Windy Bluff and Thompson Cove</v>
          </cell>
          <cell r="AL98" t="str">
            <v>north corner, south plot. Most offshore transect was all Thompson Cove plants, most onshore line was all Windy Bluff plants, south end of the plot was all Windy Bluff plants, north end of the plot was all Thompson Cove plants. See diagram.</v>
          </cell>
        </row>
        <row r="99">
          <cell r="B99" t="str">
            <v>Joemma Beach State Park Mid South - N - PNNL - large - 2015</v>
          </cell>
          <cell r="C99" t="str">
            <v>JSP_mid_south_P1</v>
          </cell>
          <cell r="D99" t="str">
            <v>single</v>
          </cell>
          <cell r="E99">
            <v>2015</v>
          </cell>
          <cell r="G99" t="str">
            <v>polygon</v>
          </cell>
          <cell r="H99" t="str">
            <v>Case Inlet</v>
          </cell>
          <cell r="I99" t="str">
            <v>CPS</v>
          </cell>
          <cell r="J99" t="str">
            <v>Eelgrass Restoration in PS</v>
          </cell>
          <cell r="K99" t="str">
            <v>DNR</v>
          </cell>
          <cell r="L99" t="str">
            <v>Aquatic Restoration Program</v>
          </cell>
          <cell r="O99" t="str">
            <v>PNNL</v>
          </cell>
          <cell r="P99" t="str">
            <v>IAA 12-317.1</v>
          </cell>
          <cell r="Q99" t="str">
            <v>Aston, L.A., A.B. Borde and J. Vavrinec. 2015. Final Summary Report - Eelgrass Restoration in Puget Sound Project Summary. Pacific Northwest National Laboratory, Richland, WA. PNNL-24445.</v>
          </cell>
          <cell r="R99" t="str">
            <v>large scale</v>
          </cell>
          <cell r="S99" t="str">
            <v>--</v>
          </cell>
          <cell r="T99">
            <v>42141</v>
          </cell>
          <cell r="U99">
            <v>47.222516666666664</v>
          </cell>
          <cell r="V99">
            <v>-122.81003333333334</v>
          </cell>
          <cell r="W99" t="str">
            <v>polygon</v>
          </cell>
          <cell r="X99" t="str">
            <v>retain</v>
          </cell>
          <cell r="Y99" t="str">
            <v>WGS84</v>
          </cell>
          <cell r="AA99" t="str">
            <v>staple</v>
          </cell>
          <cell r="AI99" t="str">
            <v/>
          </cell>
          <cell r="AJ99" t="str">
            <v/>
          </cell>
          <cell r="AL99" t="str">
            <v>east corner, south plot</v>
          </cell>
        </row>
        <row r="100">
          <cell r="B100" t="str">
            <v>Joemma Beach State Park Mid South - E - PNNL - large - 2015</v>
          </cell>
          <cell r="C100" t="str">
            <v>JSP_mid_south_P1</v>
          </cell>
          <cell r="D100" t="str">
            <v>single</v>
          </cell>
          <cell r="E100">
            <v>2015</v>
          </cell>
          <cell r="G100" t="str">
            <v>polygon</v>
          </cell>
          <cell r="H100" t="str">
            <v>Case Inlet</v>
          </cell>
          <cell r="I100" t="str">
            <v>CPS</v>
          </cell>
          <cell r="J100" t="str">
            <v>Eelgrass Restoration in PS</v>
          </cell>
          <cell r="K100" t="str">
            <v>DNR</v>
          </cell>
          <cell r="L100" t="str">
            <v>Aquatic Restoration Program</v>
          </cell>
          <cell r="O100" t="str">
            <v>PNNL</v>
          </cell>
          <cell r="P100" t="str">
            <v>IAA 12-317.1</v>
          </cell>
          <cell r="Q100" t="str">
            <v>Aston, L.A., A.B. Borde and J. Vavrinec. 2015. Final Summary Report - Eelgrass Restoration in Puget Sound Project Summary. Pacific Northwest National Laboratory, Richland, WA. PNNL-24445.</v>
          </cell>
          <cell r="R100" t="str">
            <v>large scale</v>
          </cell>
          <cell r="S100" t="str">
            <v>--</v>
          </cell>
          <cell r="T100">
            <v>42141</v>
          </cell>
          <cell r="U100">
            <v>47.222149999999999</v>
          </cell>
          <cell r="V100">
            <v>-122.80966666666667</v>
          </cell>
          <cell r="W100" t="str">
            <v>polygon</v>
          </cell>
          <cell r="X100" t="str">
            <v>retain</v>
          </cell>
          <cell r="Y100" t="str">
            <v>WGS84</v>
          </cell>
          <cell r="Z100">
            <v>-0.91439999999999999</v>
          </cell>
          <cell r="AA100" t="str">
            <v>staple</v>
          </cell>
          <cell r="AI100" t="str">
            <v/>
          </cell>
          <cell r="AJ100" t="str">
            <v/>
          </cell>
          <cell r="AL100" t="str">
            <v>south corner, south plot</v>
          </cell>
        </row>
        <row r="101">
          <cell r="B101" t="str">
            <v>Joemma Beach State Park Mid South - S - PNNL - large - 2015</v>
          </cell>
          <cell r="C101" t="str">
            <v>JSP_mid_south_P1</v>
          </cell>
          <cell r="D101" t="str">
            <v>single</v>
          </cell>
          <cell r="E101">
            <v>2015</v>
          </cell>
          <cell r="G101" t="str">
            <v>polygon</v>
          </cell>
          <cell r="H101" t="str">
            <v>Case Inlet</v>
          </cell>
          <cell r="I101" t="str">
            <v>CPS</v>
          </cell>
          <cell r="J101" t="str">
            <v>Eelgrass Restoration in PS</v>
          </cell>
          <cell r="K101" t="str">
            <v>DNR</v>
          </cell>
          <cell r="L101" t="str">
            <v>Aquatic Restoration Program</v>
          </cell>
          <cell r="O101" t="str">
            <v>PNNL</v>
          </cell>
          <cell r="P101" t="str">
            <v>IAA 12-317.1</v>
          </cell>
          <cell r="Q101" t="str">
            <v>Aston, L.A., A.B. Borde and J. Vavrinec. 2015. Final Summary Report - Eelgrass Restoration in Puget Sound Project Summary. Pacific Northwest National Laboratory, Richland, WA. PNNL-24445.</v>
          </cell>
          <cell r="R101" t="str">
            <v>large scale</v>
          </cell>
          <cell r="S101" t="str">
            <v>--</v>
          </cell>
          <cell r="T101">
            <v>42141</v>
          </cell>
          <cell r="U101">
            <v>47.222000000000001</v>
          </cell>
          <cell r="V101">
            <v>-122.81008333333334</v>
          </cell>
          <cell r="W101" t="str">
            <v>polygon</v>
          </cell>
          <cell r="X101" t="str">
            <v>retain</v>
          </cell>
          <cell r="Y101" t="str">
            <v>WGS84</v>
          </cell>
          <cell r="Z101">
            <v>-1.524</v>
          </cell>
          <cell r="AA101" t="str">
            <v>staple</v>
          </cell>
          <cell r="AI101" t="str">
            <v/>
          </cell>
          <cell r="AJ101" t="str">
            <v/>
          </cell>
          <cell r="AL101" t="str">
            <v>west corner, south plot</v>
          </cell>
        </row>
        <row r="102">
          <cell r="B102" t="str">
            <v>Joemma Beach State Park Mid North - NW - PNNL - large - 2015</v>
          </cell>
          <cell r="C102" t="str">
            <v>JSP_mid_north_P1</v>
          </cell>
          <cell r="D102" t="str">
            <v>single</v>
          </cell>
          <cell r="E102">
            <v>2015</v>
          </cell>
          <cell r="G102" t="str">
            <v>polygon</v>
          </cell>
          <cell r="H102" t="str">
            <v>Case Inlet</v>
          </cell>
          <cell r="I102" t="str">
            <v>CPS</v>
          </cell>
          <cell r="J102" t="str">
            <v>Eelgrass Restoration in PS</v>
          </cell>
          <cell r="K102" t="str">
            <v>DNR</v>
          </cell>
          <cell r="L102" t="str">
            <v>Aquatic Restoration Program</v>
          </cell>
          <cell r="O102" t="str">
            <v>PNNL</v>
          </cell>
          <cell r="P102" t="str">
            <v>IAA 12-317.1</v>
          </cell>
          <cell r="Q102" t="str">
            <v>Aston, L.A., A.B. Borde and J. Vavrinec. 2015. Final Summary Report - Eelgrass Restoration in Puget Sound Project Summary. Pacific Northwest National Laboratory, Sequim, WA. PNNL-24445.</v>
          </cell>
          <cell r="R102" t="str">
            <v>large scale</v>
          </cell>
          <cell r="S102" t="str">
            <v>large scale</v>
          </cell>
          <cell r="T102">
            <v>42162</v>
          </cell>
          <cell r="U102">
            <v>47.223383333333331</v>
          </cell>
          <cell r="V102">
            <v>-122.81066666666666</v>
          </cell>
          <cell r="W102" t="str">
            <v>polygon</v>
          </cell>
          <cell r="X102" t="str">
            <v>retain</v>
          </cell>
          <cell r="Y102" t="str">
            <v>WGS84</v>
          </cell>
          <cell r="Z102">
            <v>-1.28016</v>
          </cell>
          <cell r="AA102" t="str">
            <v>staple</v>
          </cell>
          <cell r="AB102">
            <v>60</v>
          </cell>
          <cell r="AC102">
            <v>40</v>
          </cell>
          <cell r="AD102">
            <v>2400</v>
          </cell>
          <cell r="AE102">
            <v>151.25</v>
          </cell>
          <cell r="AF102">
            <v>15</v>
          </cell>
          <cell r="AG102">
            <v>3000</v>
          </cell>
          <cell r="AH102">
            <v>12000</v>
          </cell>
          <cell r="AI102">
            <v>5</v>
          </cell>
          <cell r="AJ102">
            <v>79.338842975206617</v>
          </cell>
          <cell r="AK102" t="str">
            <v>Windy Bluff and Thompson Cove</v>
          </cell>
          <cell r="AL102" t="str">
            <v>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v>
          </cell>
        </row>
        <row r="103">
          <cell r="B103" t="str">
            <v>Joemma Beach State Park Mid North - NE - PNNL - large - 2015</v>
          </cell>
          <cell r="C103" t="str">
            <v>JSP_mid_north_P1</v>
          </cell>
          <cell r="D103" t="str">
            <v>single</v>
          </cell>
          <cell r="E103">
            <v>2015</v>
          </cell>
          <cell r="G103" t="str">
            <v>polygon</v>
          </cell>
          <cell r="H103" t="str">
            <v>Case Inlet</v>
          </cell>
          <cell r="I103" t="str">
            <v>CPS</v>
          </cell>
          <cell r="J103" t="str">
            <v>Eelgrass Restoration in PS</v>
          </cell>
          <cell r="K103" t="str">
            <v>DNR</v>
          </cell>
          <cell r="L103" t="str">
            <v>Aquatic Restoration Program</v>
          </cell>
          <cell r="O103" t="str">
            <v>PNNL</v>
          </cell>
          <cell r="P103" t="str">
            <v>IAA 12-317.1</v>
          </cell>
          <cell r="Q103" t="str">
            <v>Aston, L.A., A.B. Borde and J. Vavrinec. 2015. Final Summary Report - Eelgrass Restoration in Puget Sound Project Summary. Pacific Northwest National Laboratory, Sequim, WA. PNNL-24445.</v>
          </cell>
          <cell r="R103" t="str">
            <v>large scale</v>
          </cell>
          <cell r="S103" t="str">
            <v>--</v>
          </cell>
          <cell r="T103">
            <v>42162</v>
          </cell>
          <cell r="U103">
            <v>47.223383333333331</v>
          </cell>
          <cell r="V103">
            <v>-122.81014999999999</v>
          </cell>
          <cell r="W103" t="str">
            <v>polygon</v>
          </cell>
          <cell r="X103" t="str">
            <v>retain</v>
          </cell>
          <cell r="Y103" t="str">
            <v>WGS84</v>
          </cell>
          <cell r="Z103">
            <v>-0.51815999999999995</v>
          </cell>
          <cell r="AA103" t="str">
            <v>staple</v>
          </cell>
          <cell r="AI103" t="str">
            <v/>
          </cell>
          <cell r="AJ103" t="str">
            <v/>
          </cell>
          <cell r="AL103" t="str">
            <v>NE corner, north plot</v>
          </cell>
        </row>
        <row r="104">
          <cell r="B104" t="str">
            <v>Joemma Beach State Park Mid North - SE - PNNL - large - 2015</v>
          </cell>
          <cell r="C104" t="str">
            <v>JSP_mid_north_P1</v>
          </cell>
          <cell r="D104" t="str">
            <v>single</v>
          </cell>
          <cell r="E104">
            <v>2015</v>
          </cell>
          <cell r="G104" t="str">
            <v>polygon</v>
          </cell>
          <cell r="H104" t="str">
            <v>Case Inlet</v>
          </cell>
          <cell r="I104" t="str">
            <v>CPS</v>
          </cell>
          <cell r="J104" t="str">
            <v>Eelgrass Restoration in PS</v>
          </cell>
          <cell r="K104" t="str">
            <v>DNR</v>
          </cell>
          <cell r="L104" t="str">
            <v>Aquatic Restoration Program</v>
          </cell>
          <cell r="O104" t="str">
            <v>PNNL</v>
          </cell>
          <cell r="P104" t="str">
            <v>IAA 12-317.1</v>
          </cell>
          <cell r="Q104" t="str">
            <v>Aston, L.A., A.B. Borde and J. Vavrinec. 2015. Final Summary Report - Eelgrass Restoration in Puget Sound Project Summary. Pacific Northwest National Laboratory, Sequim, WA. PNNL-24445.</v>
          </cell>
          <cell r="R104" t="str">
            <v>large scale</v>
          </cell>
          <cell r="S104" t="str">
            <v>--</v>
          </cell>
          <cell r="T104">
            <v>42162</v>
          </cell>
          <cell r="U104">
            <v>47.222833333333334</v>
          </cell>
          <cell r="V104">
            <v>-122.81014999999999</v>
          </cell>
          <cell r="W104" t="str">
            <v>polygon</v>
          </cell>
          <cell r="X104" t="str">
            <v>retain</v>
          </cell>
          <cell r="Y104" t="str">
            <v>WGS84</v>
          </cell>
          <cell r="Z104">
            <v>-0.97536</v>
          </cell>
          <cell r="AA104" t="str">
            <v>staple</v>
          </cell>
          <cell r="AI104" t="str">
            <v/>
          </cell>
          <cell r="AJ104" t="str">
            <v/>
          </cell>
          <cell r="AL104" t="str">
            <v>SE corner, north plot</v>
          </cell>
        </row>
        <row r="105">
          <cell r="B105" t="str">
            <v>Joemma Beach State Park Mid North - SW - PNNL - large - 2015</v>
          </cell>
          <cell r="C105" t="str">
            <v>JSP_mid_north_P1</v>
          </cell>
          <cell r="D105" t="str">
            <v>single</v>
          </cell>
          <cell r="E105">
            <v>2015</v>
          </cell>
          <cell r="G105" t="str">
            <v>polygon</v>
          </cell>
          <cell r="H105" t="str">
            <v>Case Inlet</v>
          </cell>
          <cell r="I105" t="str">
            <v>CPS</v>
          </cell>
          <cell r="J105" t="str">
            <v>Eelgrass Restoration in PS</v>
          </cell>
          <cell r="K105" t="str">
            <v>DNR</v>
          </cell>
          <cell r="L105" t="str">
            <v>Aquatic Restoration Program</v>
          </cell>
          <cell r="O105" t="str">
            <v>PNNL</v>
          </cell>
          <cell r="P105" t="str">
            <v>IAA 12-317.1</v>
          </cell>
          <cell r="Q105" t="str">
            <v>Aston, L.A., A.B. Borde and J. Vavrinec. 2015. Final Summary Report - Eelgrass Restoration in Puget Sound Project Summary. Pacific Northwest National Laboratory, Sequim, WA. PNNL-24445.</v>
          </cell>
          <cell r="R105" t="str">
            <v>large scale</v>
          </cell>
          <cell r="S105" t="str">
            <v>--</v>
          </cell>
          <cell r="T105">
            <v>42162</v>
          </cell>
          <cell r="U105">
            <v>47.222833333333334</v>
          </cell>
          <cell r="V105">
            <v>-122.81066666666666</v>
          </cell>
          <cell r="W105" t="str">
            <v>polygon</v>
          </cell>
          <cell r="X105" t="str">
            <v>retain</v>
          </cell>
          <cell r="Y105" t="str">
            <v>WGS84</v>
          </cell>
          <cell r="Z105">
            <v>-1.7678400000000001</v>
          </cell>
          <cell r="AA105" t="str">
            <v>staple</v>
          </cell>
          <cell r="AI105" t="str">
            <v/>
          </cell>
          <cell r="AJ105" t="str">
            <v/>
          </cell>
          <cell r="AL105" t="str">
            <v>SW corner, north plot</v>
          </cell>
        </row>
        <row r="106">
          <cell r="B106" t="str">
            <v>Joemma Beach State Park - southeast - PNNL - test - 2015</v>
          </cell>
          <cell r="C106" t="str">
            <v>JSP_southeast</v>
          </cell>
          <cell r="D106" t="str">
            <v>single</v>
          </cell>
          <cell r="E106">
            <v>2015</v>
          </cell>
          <cell r="G106" t="str">
            <v>point</v>
          </cell>
          <cell r="H106" t="str">
            <v>Case Inlet</v>
          </cell>
          <cell r="I106" t="str">
            <v>CPS</v>
          </cell>
          <cell r="J106" t="str">
            <v>Eelgrass Restoration in PS</v>
          </cell>
          <cell r="K106" t="str">
            <v>DNR</v>
          </cell>
          <cell r="L106" t="str">
            <v>Aquatic Restoration Program</v>
          </cell>
          <cell r="O106" t="str">
            <v>PNNL</v>
          </cell>
          <cell r="P106" t="str">
            <v>IAA 12-317.1</v>
          </cell>
          <cell r="Q106" t="str">
            <v>Aston, L.A., A.B. Borde and J. Vavrinec. 2015. Final Summary Report - Eelgrass Restoration in Puget Sound Project Summary. Pacific Northwest National Laboratory, Richland, WA. PNNL-24445.</v>
          </cell>
          <cell r="R106" t="str">
            <v>test</v>
          </cell>
          <cell r="S106" t="str">
            <v>test</v>
          </cell>
          <cell r="T106">
            <v>42164</v>
          </cell>
          <cell r="U106">
            <v>47.210933333333337</v>
          </cell>
          <cell r="V106">
            <v>-122.80663333333334</v>
          </cell>
          <cell r="W106" t="str">
            <v>point</v>
          </cell>
          <cell r="X106" t="str">
            <v>retain</v>
          </cell>
          <cell r="Y106" t="str">
            <v>WGS84</v>
          </cell>
          <cell r="Z106">
            <v>-1.3715999999999999</v>
          </cell>
          <cell r="AA106" t="str">
            <v>staple</v>
          </cell>
          <cell r="AB106">
            <v>5</v>
          </cell>
          <cell r="AC106">
            <v>5</v>
          </cell>
          <cell r="AD106">
            <v>25</v>
          </cell>
          <cell r="AE106">
            <v>25</v>
          </cell>
          <cell r="AF106">
            <v>0.625</v>
          </cell>
          <cell r="AG106">
            <v>125</v>
          </cell>
          <cell r="AH106">
            <v>500</v>
          </cell>
          <cell r="AI106">
            <v>20</v>
          </cell>
          <cell r="AJ106">
            <v>20</v>
          </cell>
          <cell r="AK106" t="str">
            <v>Windy Bluff and Thompson Cove</v>
          </cell>
          <cell r="AL106" t="str">
            <v>planned, site is between JSP and Taylor Bay</v>
          </cell>
        </row>
        <row r="107">
          <cell r="B107" t="str">
            <v>Joemma Beach State Park North - north - HC - test - 2016</v>
          </cell>
          <cell r="C107" t="str">
            <v>JSP_north</v>
          </cell>
          <cell r="D107" t="str">
            <v>single</v>
          </cell>
          <cell r="E107">
            <v>2016</v>
          </cell>
          <cell r="G107" t="str">
            <v>line</v>
          </cell>
          <cell r="H107" t="str">
            <v>Case Inlet</v>
          </cell>
          <cell r="I107" t="str">
            <v>CPS</v>
          </cell>
          <cell r="J107" t="str">
            <v>Eelgrass Restoration in Puget Sound</v>
          </cell>
          <cell r="K107" t="str">
            <v>WDFW</v>
          </cell>
          <cell r="L107" t="str">
            <v>National Estuary Program</v>
          </cell>
          <cell r="M107" t="str">
            <v>14-02072</v>
          </cell>
          <cell r="N107" t="str">
            <v xml:space="preserve"> IAA 15-110</v>
          </cell>
          <cell r="O107" t="str">
            <v>Hart Crowser</v>
          </cell>
          <cell r="P107" t="str">
            <v>SC 16-17</v>
          </cell>
          <cell r="Q107" t="str">
            <v>Shannon, J., J. Blanchette and J. Gaeckle. 2018. Eelgrass (Zostera marina) Restoration in Puget Sound, WA. Final Restoration and Monitoring Report (12059-05) for US EPA, Hart Crowser, Edmonds, WA. Pp. 131.</v>
          </cell>
          <cell r="R107" t="str">
            <v>test</v>
          </cell>
          <cell r="S107" t="str">
            <v>test</v>
          </cell>
          <cell r="T107">
            <v>42507</v>
          </cell>
          <cell r="U107">
            <v>47.22589385277778</v>
          </cell>
          <cell r="V107">
            <v>-122.81332006111111</v>
          </cell>
          <cell r="W107" t="str">
            <v>line</v>
          </cell>
          <cell r="X107" t="str">
            <v>retain</v>
          </cell>
          <cell r="Y107" t="str">
            <v>WGS84</v>
          </cell>
          <cell r="Z107">
            <v>-2</v>
          </cell>
          <cell r="AA107" t="str">
            <v>burlap</v>
          </cell>
          <cell r="AB107">
            <v>25</v>
          </cell>
          <cell r="AC107">
            <v>5</v>
          </cell>
          <cell r="AD107">
            <v>125</v>
          </cell>
          <cell r="AE107">
            <v>75</v>
          </cell>
          <cell r="AF107">
            <v>9.75</v>
          </cell>
          <cell r="AG107">
            <v>156</v>
          </cell>
          <cell r="AH107">
            <v>780</v>
          </cell>
          <cell r="AI107">
            <v>6.24</v>
          </cell>
          <cell r="AJ107">
            <v>10.4</v>
          </cell>
          <cell r="AK107" t="str">
            <v>Rocky Bay</v>
          </cell>
          <cell r="AL107" t="str">
            <v>transect line that includes 3 test plots</v>
          </cell>
        </row>
        <row r="108">
          <cell r="B108" t="str">
            <v>Joemma Beach State Park North - north - HC - test - 2016</v>
          </cell>
          <cell r="C108" t="str">
            <v>JSP_north</v>
          </cell>
          <cell r="D108" t="str">
            <v>single</v>
          </cell>
          <cell r="E108">
            <v>2016</v>
          </cell>
          <cell r="G108" t="str">
            <v>line</v>
          </cell>
          <cell r="H108" t="str">
            <v>Case Inlet</v>
          </cell>
          <cell r="I108" t="str">
            <v>CPS</v>
          </cell>
          <cell r="J108" t="str">
            <v>Eelgrass Restoration in Puget Sound</v>
          </cell>
          <cell r="K108" t="str">
            <v>WDFW</v>
          </cell>
          <cell r="L108" t="str">
            <v>National Estuary Program</v>
          </cell>
          <cell r="M108" t="str">
            <v>14-02072</v>
          </cell>
          <cell r="N108" t="str">
            <v xml:space="preserve"> IAA 15-110</v>
          </cell>
          <cell r="O108" t="str">
            <v>Hart Crowser</v>
          </cell>
          <cell r="P108" t="str">
            <v>SC 16-17</v>
          </cell>
          <cell r="Q108" t="str">
            <v>Shannon, J., J. Blanchette and J. Gaeckle. 2018. Eelgrass (Zostera marina) Restoration in Puget Sound, WA. Final Restoration and Monitoring Report (12059-05) for US EPA, Hart Crowser, Edmonds, WA. Pp. 131.</v>
          </cell>
          <cell r="R108" t="str">
            <v>test</v>
          </cell>
          <cell r="S108" t="str">
            <v>--</v>
          </cell>
          <cell r="T108">
            <v>42507</v>
          </cell>
          <cell r="U108">
            <v>47.225797075000003</v>
          </cell>
          <cell r="V108">
            <v>-122.81301273611111</v>
          </cell>
          <cell r="W108" t="str">
            <v>line</v>
          </cell>
          <cell r="X108" t="str">
            <v>retain</v>
          </cell>
          <cell r="Y108" t="str">
            <v>WGS84</v>
          </cell>
          <cell r="AF108" t="str">
            <v/>
          </cell>
          <cell r="AI108" t="str">
            <v/>
          </cell>
          <cell r="AJ108" t="str">
            <v/>
          </cell>
        </row>
        <row r="109">
          <cell r="B109" t="str">
            <v>Joemma Beach State Park South - SE - HC - large 1 - 2016</v>
          </cell>
          <cell r="C109" t="str">
            <v>JSP_south_P1</v>
          </cell>
          <cell r="D109" t="str">
            <v>single</v>
          </cell>
          <cell r="E109">
            <v>2016</v>
          </cell>
          <cell r="G109" t="str">
            <v>polygon</v>
          </cell>
          <cell r="H109" t="str">
            <v>Case Inlet</v>
          </cell>
          <cell r="I109" t="str">
            <v>CPS</v>
          </cell>
          <cell r="J109" t="str">
            <v>Eelgrass Restoration in Puget Sound</v>
          </cell>
          <cell r="K109" t="str">
            <v>WDFW</v>
          </cell>
          <cell r="L109" t="str">
            <v>National Estuary Program</v>
          </cell>
          <cell r="M109" t="str">
            <v>14-02072</v>
          </cell>
          <cell r="N109" t="str">
            <v xml:space="preserve"> IAA 15-110</v>
          </cell>
          <cell r="O109" t="str">
            <v>Hart Crowser</v>
          </cell>
          <cell r="P109" t="str">
            <v>SC 16-17</v>
          </cell>
          <cell r="Q109" t="str">
            <v>Shannon, J., J. Blanchette and J. Gaeckle. 2018. Eelgrass (Zostera marina) Restoration in Puget Sound, WA. Final Restoration and Monitoring Report (12059-05) for US EPA, Hart Crowser, Edmonds, WA. Pp. 131.</v>
          </cell>
          <cell r="R109" t="str">
            <v>large scale</v>
          </cell>
          <cell r="S109" t="str">
            <v>large scale</v>
          </cell>
          <cell r="T109">
            <v>42576</v>
          </cell>
          <cell r="U109">
            <v>47.221797497222219</v>
          </cell>
          <cell r="V109">
            <v>-122.80987687222222</v>
          </cell>
          <cell r="W109" t="str">
            <v>polygon</v>
          </cell>
          <cell r="X109" t="str">
            <v>retain</v>
          </cell>
          <cell r="Y109" t="str">
            <v>WGS84</v>
          </cell>
          <cell r="Z109">
            <v>-1.5</v>
          </cell>
          <cell r="AA109" t="str">
            <v>burlap</v>
          </cell>
          <cell r="AB109">
            <v>20</v>
          </cell>
          <cell r="AC109">
            <v>8</v>
          </cell>
          <cell r="AD109">
            <v>160</v>
          </cell>
          <cell r="AE109">
            <v>60</v>
          </cell>
          <cell r="AF109">
            <v>60</v>
          </cell>
          <cell r="AG109">
            <v>960</v>
          </cell>
          <cell r="AH109">
            <v>20260</v>
          </cell>
          <cell r="AI109">
            <v>126.625</v>
          </cell>
          <cell r="AJ109">
            <v>337.66666666666669</v>
          </cell>
          <cell r="AK109" t="str">
            <v>Rocky Bay</v>
          </cell>
        </row>
        <row r="110">
          <cell r="B110" t="str">
            <v>Joemma Beach State Park South - SW - HC - large 1 - 2016</v>
          </cell>
          <cell r="C110" t="str">
            <v>JSP_south_P1</v>
          </cell>
          <cell r="D110" t="str">
            <v>single</v>
          </cell>
          <cell r="E110">
            <v>2016</v>
          </cell>
          <cell r="G110" t="str">
            <v>polygon</v>
          </cell>
          <cell r="H110" t="str">
            <v>Case Inlet</v>
          </cell>
          <cell r="I110" t="str">
            <v>CPS</v>
          </cell>
          <cell r="J110" t="str">
            <v>Eelgrass Restoration in Puget Sound</v>
          </cell>
          <cell r="K110" t="str">
            <v>WDFW</v>
          </cell>
          <cell r="L110" t="str">
            <v>National Estuary Program</v>
          </cell>
          <cell r="M110" t="str">
            <v>14-02072</v>
          </cell>
          <cell r="N110" t="str">
            <v xml:space="preserve"> IAA 15-110</v>
          </cell>
          <cell r="O110" t="str">
            <v>Hart Crowser</v>
          </cell>
          <cell r="P110" t="str">
            <v>SC 16-17</v>
          </cell>
          <cell r="Q110" t="str">
            <v>Shannon, J., J. Blanchette and J. Gaeckle. 2018. Eelgrass (Zostera marina) Restoration in Puget Sound, WA. Final Restoration and Monitoring Report (12059-05) for US EPA, Hart Crowser, Edmonds, WA. Pp. 131.</v>
          </cell>
          <cell r="R110" t="str">
            <v>large scale</v>
          </cell>
          <cell r="S110" t="str">
            <v>--</v>
          </cell>
          <cell r="T110">
            <v>42576</v>
          </cell>
          <cell r="U110">
            <v>47.221742027777779</v>
          </cell>
          <cell r="V110">
            <v>-122.80997454166666</v>
          </cell>
          <cell r="W110" t="str">
            <v>polygon</v>
          </cell>
          <cell r="X110" t="str">
            <v>retain</v>
          </cell>
          <cell r="Y110" t="str">
            <v>WGS84</v>
          </cell>
          <cell r="AF110" t="str">
            <v/>
          </cell>
          <cell r="AI110" t="str">
            <v/>
          </cell>
          <cell r="AJ110" t="str">
            <v/>
          </cell>
        </row>
        <row r="111">
          <cell r="B111" t="str">
            <v>Joemma Beach State Park South - NE - HC - large 1 - 2016</v>
          </cell>
          <cell r="C111" t="str">
            <v>JSP_south_P1</v>
          </cell>
          <cell r="D111" t="str">
            <v>single</v>
          </cell>
          <cell r="E111">
            <v>2016</v>
          </cell>
          <cell r="G111" t="str">
            <v>polygon</v>
          </cell>
          <cell r="H111" t="str">
            <v>Case Inlet</v>
          </cell>
          <cell r="I111" t="str">
            <v>CPS</v>
          </cell>
          <cell r="J111" t="str">
            <v>Eelgrass Restoration in Puget Sound</v>
          </cell>
          <cell r="K111" t="str">
            <v>WDFW</v>
          </cell>
          <cell r="L111" t="str">
            <v>National Estuary Program</v>
          </cell>
          <cell r="M111" t="str">
            <v>14-02072</v>
          </cell>
          <cell r="N111" t="str">
            <v xml:space="preserve"> IAA 15-110</v>
          </cell>
          <cell r="O111" t="str">
            <v>Hart Crowser</v>
          </cell>
          <cell r="P111" t="str">
            <v>SC 16-17</v>
          </cell>
          <cell r="Q111" t="str">
            <v>Shannon, J., J. Blanchette and J. Gaeckle. 2018. Eelgrass (Zostera marina) Restoration in Puget Sound, WA. Final Restoration and Monitoring Report (12059-05) for US EPA, Hart Crowser, Edmonds, WA. Pp. 131.</v>
          </cell>
          <cell r="R111" t="str">
            <v>large scale</v>
          </cell>
          <cell r="S111" t="str">
            <v>--</v>
          </cell>
          <cell r="T111">
            <v>42576</v>
          </cell>
          <cell r="U111">
            <v>47.221992</v>
          </cell>
          <cell r="V111">
            <v>-122.809929</v>
          </cell>
          <cell r="W111" t="str">
            <v>polygon</v>
          </cell>
          <cell r="X111" t="str">
            <v>retain</v>
          </cell>
          <cell r="Y111" t="str">
            <v>WGS84</v>
          </cell>
          <cell r="AF111" t="str">
            <v/>
          </cell>
          <cell r="AI111" t="str">
            <v/>
          </cell>
          <cell r="AJ111" t="str">
            <v/>
          </cell>
        </row>
        <row r="112">
          <cell r="B112" t="str">
            <v>Joemma Beach State Park South - NW - HC - large 1 - 2016</v>
          </cell>
          <cell r="C112" t="str">
            <v>JSP_south_P1</v>
          </cell>
          <cell r="D112" t="str">
            <v>single</v>
          </cell>
          <cell r="E112">
            <v>2016</v>
          </cell>
          <cell r="G112" t="str">
            <v>polygon</v>
          </cell>
          <cell r="H112" t="str">
            <v>Case Inlet</v>
          </cell>
          <cell r="I112" t="str">
            <v>CPS</v>
          </cell>
          <cell r="J112" t="str">
            <v>Eelgrass Restoration in Puget Sound</v>
          </cell>
          <cell r="K112" t="str">
            <v>WDFW</v>
          </cell>
          <cell r="L112" t="str">
            <v>National Estuary Program</v>
          </cell>
          <cell r="M112" t="str">
            <v>14-02072</v>
          </cell>
          <cell r="N112" t="str">
            <v xml:space="preserve"> IAA 15-110</v>
          </cell>
          <cell r="O112" t="str">
            <v>Hart Crowser</v>
          </cell>
          <cell r="P112" t="str">
            <v>SC 16-17</v>
          </cell>
          <cell r="Q112" t="str">
            <v>Shannon, J., J. Blanchette and J. Gaeckle. 2018. Eelgrass (Zostera marina) Restoration in Puget Sound, WA. Final Restoration and Monitoring Report (12059-05) for US EPA, Hart Crowser, Edmonds, WA. Pp. 131.</v>
          </cell>
          <cell r="R112" t="str">
            <v>large scale</v>
          </cell>
          <cell r="S112" t="str">
            <v>--</v>
          </cell>
          <cell r="T112">
            <v>42576</v>
          </cell>
          <cell r="U112">
            <v>47.221965447222225</v>
          </cell>
          <cell r="V112">
            <v>-122.81001890833333</v>
          </cell>
          <cell r="W112" t="str">
            <v>polygon</v>
          </cell>
          <cell r="X112" t="str">
            <v>retain</v>
          </cell>
          <cell r="Y112" t="str">
            <v>WGS84</v>
          </cell>
          <cell r="AF112" t="str">
            <v/>
          </cell>
          <cell r="AI112" t="str">
            <v/>
          </cell>
          <cell r="AJ112" t="str">
            <v/>
          </cell>
        </row>
        <row r="113">
          <cell r="B113" t="str">
            <v>Joemma Beach State Park - Mid - chia - 2016</v>
          </cell>
          <cell r="C113" t="str">
            <v>JSP_chia_1</v>
          </cell>
          <cell r="D113" t="str">
            <v>single</v>
          </cell>
          <cell r="E113">
            <v>2016</v>
          </cell>
          <cell r="G113" t="str">
            <v>point</v>
          </cell>
          <cell r="H113" t="str">
            <v>Case Inlet</v>
          </cell>
          <cell r="I113" t="str">
            <v>CPS</v>
          </cell>
          <cell r="J113" t="str">
            <v>DNR</v>
          </cell>
          <cell r="K113" t="str">
            <v>DNR</v>
          </cell>
          <cell r="L113" t="str">
            <v>Nearshore Habitat Program</v>
          </cell>
          <cell r="R113" t="str">
            <v>test</v>
          </cell>
          <cell r="S113" t="str">
            <v>test</v>
          </cell>
          <cell r="T113">
            <v>42514</v>
          </cell>
          <cell r="W113" t="str">
            <v>point</v>
          </cell>
          <cell r="X113" t="str">
            <v>retain</v>
          </cell>
          <cell r="Y113" t="str">
            <v>WGS84</v>
          </cell>
          <cell r="AA113" t="str">
            <v>rebar</v>
          </cell>
          <cell r="AB113">
            <v>9</v>
          </cell>
          <cell r="AC113">
            <v>0.25</v>
          </cell>
          <cell r="AD113">
            <v>2.25</v>
          </cell>
          <cell r="AE113">
            <v>0.56000000000000005</v>
          </cell>
          <cell r="AF113">
            <v>0.22500000000000001</v>
          </cell>
          <cell r="AG113">
            <v>9</v>
          </cell>
          <cell r="AH113">
            <v>360</v>
          </cell>
          <cell r="AI113">
            <v>160</v>
          </cell>
          <cell r="AJ113">
            <v>642.85714285714278</v>
          </cell>
          <cell r="AK113" t="str">
            <v>DuPont Wharf</v>
          </cell>
          <cell r="AL113" t="str">
            <v>Planted 9, rebar quads (0.0625 m2) at the south end of Transect 3 at Joemma Beach State Park Mid South - PNNL - large - 2015.</v>
          </cell>
        </row>
        <row r="114">
          <cell r="B114" t="str">
            <v>Joemma Beach State Park North - south - HC - test 1 - 2017</v>
          </cell>
          <cell r="C114" t="str">
            <v>JSP_north_L1</v>
          </cell>
          <cell r="D114" t="str">
            <v>single</v>
          </cell>
          <cell r="E114">
            <v>2017</v>
          </cell>
          <cell r="G114" t="str">
            <v>line</v>
          </cell>
          <cell r="H114" t="str">
            <v>Case Inlet</v>
          </cell>
          <cell r="I114" t="str">
            <v>CPS</v>
          </cell>
          <cell r="J114" t="str">
            <v>Eelgrass Restoration in Puget Sound</v>
          </cell>
          <cell r="K114" t="str">
            <v>WDFW</v>
          </cell>
          <cell r="L114" t="str">
            <v>National Estuary Program</v>
          </cell>
          <cell r="M114" t="str">
            <v>14-02072</v>
          </cell>
          <cell r="N114" t="str">
            <v>IAA 15-110</v>
          </cell>
          <cell r="O114" t="str">
            <v>Hart Crowser</v>
          </cell>
          <cell r="P114" t="str">
            <v>SC 16-17</v>
          </cell>
          <cell r="Q114" t="str">
            <v>Shannon, J., J. Blanchette and J. Gaeckle. 2018. Eelgrass (Zostera marina) Restoration in Puget Sound, WA. Final Restoration and Monitoring Report (12059-05) for US EPA, Hart Crowser, Edmonds, WA. Pp. 131.</v>
          </cell>
          <cell r="R114" t="str">
            <v>test</v>
          </cell>
          <cell r="S114" t="str">
            <v>test</v>
          </cell>
          <cell r="T114">
            <v>42859</v>
          </cell>
          <cell r="U114">
            <v>47.226233333333333</v>
          </cell>
          <cell r="V114">
            <v>-122.8146</v>
          </cell>
          <cell r="W114" t="str">
            <v>line</v>
          </cell>
          <cell r="X114" t="str">
            <v>retain</v>
          </cell>
          <cell r="Y114" t="str">
            <v>WGS84</v>
          </cell>
          <cell r="Z114">
            <v>-1.6</v>
          </cell>
          <cell r="AA114" t="str">
            <v>turf</v>
          </cell>
          <cell r="AB114">
            <v>5</v>
          </cell>
          <cell r="AC114">
            <v>5</v>
          </cell>
          <cell r="AD114">
            <v>25</v>
          </cell>
          <cell r="AE114">
            <v>39</v>
          </cell>
          <cell r="AF114">
            <v>1.04</v>
          </cell>
          <cell r="AG114">
            <v>104</v>
          </cell>
          <cell r="AH114">
            <v>1042</v>
          </cell>
          <cell r="AI114">
            <v>41.68</v>
          </cell>
          <cell r="AJ114">
            <v>26.717948717948719</v>
          </cell>
          <cell r="AK114" t="str">
            <v>Rocky Bay</v>
          </cell>
          <cell r="AL114" t="str">
            <v>Referred to as 'Joemma Beach State Park 1' in final report. Turfs plant 5-15 shoots per staple (X= ~10 shoots/staple b/c donor site was Rocky Bay). Estimated number of PUs at test-transplant site as 1042/10 = 104</v>
          </cell>
        </row>
        <row r="115">
          <cell r="B115" t="str">
            <v>Joemma Beach State Park North - north - HC - test 1 - 2017</v>
          </cell>
          <cell r="C115" t="str">
            <v>JSP_north_L1</v>
          </cell>
          <cell r="D115" t="str">
            <v>single</v>
          </cell>
          <cell r="E115">
            <v>2017</v>
          </cell>
          <cell r="G115" t="str">
            <v>line</v>
          </cell>
          <cell r="H115" t="str">
            <v>Case Inlet</v>
          </cell>
          <cell r="I115" t="str">
            <v>CPS</v>
          </cell>
          <cell r="J115" t="str">
            <v>Eelgrass Restoration in Puget Sound</v>
          </cell>
          <cell r="K115" t="str">
            <v>WDFW</v>
          </cell>
          <cell r="L115" t="str">
            <v>National Estuary Program</v>
          </cell>
          <cell r="M115" t="str">
            <v>14-02072</v>
          </cell>
          <cell r="N115" t="str">
            <v>IAA 15-110</v>
          </cell>
          <cell r="O115" t="str">
            <v>Hart Crowser</v>
          </cell>
          <cell r="P115" t="str">
            <v>SC 16-17</v>
          </cell>
          <cell r="Q115" t="str">
            <v>Shannon, J., J. Blanchette and J. Gaeckle. 2018. Eelgrass (Zostera marina) Restoration in Puget Sound, WA. Final Restoration and Monitoring Report (12059-05) for US EPA, Hart Crowser, Edmonds, WA. Pp. 131.</v>
          </cell>
          <cell r="R115" t="str">
            <v>test</v>
          </cell>
          <cell r="S115" t="str">
            <v>--</v>
          </cell>
          <cell r="T115">
            <v>42859</v>
          </cell>
          <cell r="U115">
            <v>47.226266666666668</v>
          </cell>
          <cell r="V115">
            <v>-122.81466666666699</v>
          </cell>
          <cell r="W115" t="str">
            <v>line</v>
          </cell>
          <cell r="X115" t="str">
            <v>retain</v>
          </cell>
          <cell r="Y115" t="str">
            <v>WGS84</v>
          </cell>
          <cell r="AF115" t="str">
            <v/>
          </cell>
          <cell r="AI115" t="str">
            <v/>
          </cell>
          <cell r="AJ115" t="str">
            <v/>
          </cell>
        </row>
        <row r="116">
          <cell r="B116" t="str">
            <v>Joemma Beach State Park North - south - HC - test 2 - 2017</v>
          </cell>
          <cell r="C116" t="str">
            <v>JSP_north_L2</v>
          </cell>
          <cell r="D116" t="str">
            <v>single</v>
          </cell>
          <cell r="E116">
            <v>2017</v>
          </cell>
          <cell r="G116" t="str">
            <v>line</v>
          </cell>
          <cell r="H116" t="str">
            <v>Case Inlet</v>
          </cell>
          <cell r="I116" t="str">
            <v>CPS</v>
          </cell>
          <cell r="J116" t="str">
            <v>Eelgrass Restoration in Puget Sound</v>
          </cell>
          <cell r="K116" t="str">
            <v>WDFW</v>
          </cell>
          <cell r="L116" t="str">
            <v>National Estuary Program</v>
          </cell>
          <cell r="M116" t="str">
            <v>14-02072</v>
          </cell>
          <cell r="N116" t="str">
            <v>IAA 15-110</v>
          </cell>
          <cell r="O116" t="str">
            <v>Hart Crowser</v>
          </cell>
          <cell r="P116" t="str">
            <v>SC 16-17</v>
          </cell>
          <cell r="Q116" t="str">
            <v>Shannon, J., J. Blanchette and J. Gaeckle. 2018. Eelgrass (Zostera marina) Restoration in Puget Sound, WA. Final Restoration and Monitoring Report (12059-05) for US EPA, Hart Crowser, Edmonds, WA. Pp. 131.</v>
          </cell>
          <cell r="R116" t="str">
            <v>test</v>
          </cell>
          <cell r="S116" t="str">
            <v>test</v>
          </cell>
          <cell r="T116">
            <v>42859</v>
          </cell>
          <cell r="U116">
            <v>47.226266666666668</v>
          </cell>
          <cell r="V116">
            <v>-122.814833333333</v>
          </cell>
          <cell r="W116" t="str">
            <v>line</v>
          </cell>
          <cell r="X116" t="str">
            <v>retain</v>
          </cell>
          <cell r="Y116" t="str">
            <v>WGS84</v>
          </cell>
          <cell r="Z116">
            <v>-1.6</v>
          </cell>
          <cell r="AA116" t="str">
            <v>turf</v>
          </cell>
          <cell r="AB116">
            <v>5</v>
          </cell>
          <cell r="AC116">
            <v>5</v>
          </cell>
          <cell r="AD116">
            <v>25</v>
          </cell>
          <cell r="AE116">
            <v>39</v>
          </cell>
          <cell r="AF116">
            <v>1.05</v>
          </cell>
          <cell r="AG116">
            <v>105</v>
          </cell>
          <cell r="AH116">
            <v>1052</v>
          </cell>
          <cell r="AI116">
            <v>42.08</v>
          </cell>
          <cell r="AJ116">
            <v>26.974358974358974</v>
          </cell>
          <cell r="AK116" t="str">
            <v>Rocky Bay</v>
          </cell>
          <cell r="AL116" t="str">
            <v>Referred to as 'Joemma Beach State Park 2' in final report. Turfs plant 5-15 shoots per staple (X= ~10 shoots/staple b/c donor site was Rocky Bay). Estimated number of PUs at test-transplant site as 1052/10 = 105</v>
          </cell>
        </row>
        <row r="117">
          <cell r="B117" t="str">
            <v>Joemma Beach State Park North - north - HC - test 2 - 2017</v>
          </cell>
          <cell r="C117" t="str">
            <v>JSP_north_L2</v>
          </cell>
          <cell r="D117" t="str">
            <v>single</v>
          </cell>
          <cell r="E117">
            <v>2017</v>
          </cell>
          <cell r="G117" t="str">
            <v>line</v>
          </cell>
          <cell r="H117" t="str">
            <v>Case Inlet</v>
          </cell>
          <cell r="I117" t="str">
            <v>CPS</v>
          </cell>
          <cell r="J117" t="str">
            <v>Eelgrass Restoration in Puget Sound</v>
          </cell>
          <cell r="K117" t="str">
            <v>WDFW</v>
          </cell>
          <cell r="L117" t="str">
            <v>National Estuary Program</v>
          </cell>
          <cell r="M117" t="str">
            <v>14-02072</v>
          </cell>
          <cell r="N117" t="str">
            <v>IAA 15-110</v>
          </cell>
          <cell r="O117" t="str">
            <v>Hart Crowser</v>
          </cell>
          <cell r="P117" t="str">
            <v>SC 16-17</v>
          </cell>
          <cell r="Q117" t="str">
            <v>Shannon, J., J. Blanchette and J. Gaeckle. 2018. Eelgrass (Zostera marina) Restoration in Puget Sound, WA. Final Restoration and Monitoring Report (12059-05) for US EPA, Hart Crowser, Edmonds, WA. Pp. 131.</v>
          </cell>
          <cell r="R117" t="str">
            <v>test</v>
          </cell>
          <cell r="S117" t="str">
            <v>--</v>
          </cell>
          <cell r="T117">
            <v>42859</v>
          </cell>
          <cell r="U117">
            <v>47.226316666666669</v>
          </cell>
          <cell r="V117">
            <v>-122.814966666667</v>
          </cell>
          <cell r="W117" t="str">
            <v>line</v>
          </cell>
          <cell r="X117" t="str">
            <v>retain</v>
          </cell>
          <cell r="Y117" t="str">
            <v>WGS84</v>
          </cell>
          <cell r="AF117" t="str">
            <v/>
          </cell>
          <cell r="AI117" t="str">
            <v/>
          </cell>
          <cell r="AJ117" t="str">
            <v/>
          </cell>
        </row>
        <row r="118">
          <cell r="B118" t="str">
            <v>Joemma Beach State Park South - SE - HC - large 2 - 2017</v>
          </cell>
          <cell r="C118" t="str">
            <v>JSP_south_P2</v>
          </cell>
          <cell r="D118" t="str">
            <v>single</v>
          </cell>
          <cell r="E118">
            <v>2017</v>
          </cell>
          <cell r="G118" t="str">
            <v>polygon</v>
          </cell>
          <cell r="H118" t="str">
            <v>Case Inlet</v>
          </cell>
          <cell r="I118" t="str">
            <v>CPS</v>
          </cell>
          <cell r="J118" t="str">
            <v>Eelgrass Restoration in Puget Sound</v>
          </cell>
          <cell r="K118" t="str">
            <v>WDFW</v>
          </cell>
          <cell r="L118" t="str">
            <v>National Estuary Program</v>
          </cell>
          <cell r="M118" t="str">
            <v>14-02072</v>
          </cell>
          <cell r="N118" t="str">
            <v>IAA 15-110</v>
          </cell>
          <cell r="O118" t="str">
            <v>Hart Crowser</v>
          </cell>
          <cell r="P118" t="str">
            <v>SC 16-17</v>
          </cell>
          <cell r="Q118" t="str">
            <v>Shannon, J., J. Blanchette and J. Gaeckle. 2018. Eelgrass (Zostera marina) Restoration in Puget Sound, WA. Final Restoration and Monitoring Report (12059-05) for US EPA, Hart Crowser, Edmonds, WA. Pp. 131.</v>
          </cell>
          <cell r="R118" t="str">
            <v>large scale</v>
          </cell>
          <cell r="S118" t="str">
            <v>large scale</v>
          </cell>
          <cell r="T118">
            <v>42862</v>
          </cell>
          <cell r="U118">
            <v>47.221533333333333</v>
          </cell>
          <cell r="V118">
            <v>-122.80978333333333</v>
          </cell>
          <cell r="W118" t="str">
            <v>polygon</v>
          </cell>
          <cell r="X118" t="str">
            <v>drop</v>
          </cell>
          <cell r="Y118" t="str">
            <v>WGS84</v>
          </cell>
          <cell r="Z118">
            <v>-1.6</v>
          </cell>
          <cell r="AA118" t="str">
            <v>turf</v>
          </cell>
          <cell r="AB118">
            <v>20</v>
          </cell>
          <cell r="AC118">
            <v>8</v>
          </cell>
          <cell r="AD118">
            <v>160</v>
          </cell>
          <cell r="AE118">
            <v>80</v>
          </cell>
          <cell r="AF118">
            <v>23.67</v>
          </cell>
          <cell r="AG118">
            <v>2367</v>
          </cell>
          <cell r="AH118">
            <v>16570</v>
          </cell>
          <cell r="AI118">
            <v>103.5625</v>
          </cell>
          <cell r="AJ118">
            <v>207.125</v>
          </cell>
          <cell r="AK118" t="str">
            <v>Cutts Island</v>
          </cell>
          <cell r="AL118" t="str">
            <v>Referred to as 'Joemma Beach State Park 2' (large-scale site) in final report. Turfs plant 5-15 shoots per staple (X= ~7 shoots/staple b/c donor site was Cutts Island). Estimated number of PUs at test-transplant site as 16570/7 = 2367</v>
          </cell>
        </row>
        <row r="119">
          <cell r="B119" t="str">
            <v>Joemma Beach State Park South - SW - HC - large 2 - 2017</v>
          </cell>
          <cell r="C119" t="str">
            <v>JSP_south_P2</v>
          </cell>
          <cell r="D119" t="str">
            <v>single</v>
          </cell>
          <cell r="E119">
            <v>2017</v>
          </cell>
          <cell r="G119" t="str">
            <v>polygon</v>
          </cell>
          <cell r="H119" t="str">
            <v>Case Inlet</v>
          </cell>
          <cell r="I119" t="str">
            <v>CPS</v>
          </cell>
          <cell r="J119" t="str">
            <v>Eelgrass Restoration in Puget Sound</v>
          </cell>
          <cell r="K119" t="str">
            <v>WDFW</v>
          </cell>
          <cell r="L119" t="str">
            <v>National Estuary Program</v>
          </cell>
          <cell r="M119" t="str">
            <v>14-02072</v>
          </cell>
          <cell r="N119" t="str">
            <v>IAA 15-110</v>
          </cell>
          <cell r="O119" t="str">
            <v>Hart Crowser</v>
          </cell>
          <cell r="P119" t="str">
            <v>SC 16-17</v>
          </cell>
          <cell r="Q119" t="str">
            <v>Shannon, J., J. Blanchette and J. Gaeckle. 2018. Eelgrass (Zostera marina) Restoration in Puget Sound, WA. Final Restoration and Monitoring Report (12059-05) for US EPA, Hart Crowser, Edmonds, WA. Pp. 131.</v>
          </cell>
          <cell r="R119" t="str">
            <v>large scale</v>
          </cell>
          <cell r="S119" t="str">
            <v>--</v>
          </cell>
          <cell r="T119">
            <v>42862</v>
          </cell>
          <cell r="W119" t="str">
            <v>polygon</v>
          </cell>
          <cell r="X119" t="str">
            <v>drop</v>
          </cell>
          <cell r="Y119" t="str">
            <v>WGS84</v>
          </cell>
          <cell r="AF119" t="str">
            <v/>
          </cell>
          <cell r="AI119" t="str">
            <v/>
          </cell>
          <cell r="AJ119" t="str">
            <v/>
          </cell>
          <cell r="AL119" t="str">
            <v>don't have gps coordinates</v>
          </cell>
        </row>
        <row r="120">
          <cell r="B120" t="str">
            <v>Joemma Beach State Park South - NE - HC - large 2 - 2017</v>
          </cell>
          <cell r="C120" t="str">
            <v>JSP_south_P2</v>
          </cell>
          <cell r="D120" t="str">
            <v>single</v>
          </cell>
          <cell r="E120">
            <v>2017</v>
          </cell>
          <cell r="G120" t="str">
            <v>polygon</v>
          </cell>
          <cell r="H120" t="str">
            <v>Case Inlet</v>
          </cell>
          <cell r="I120" t="str">
            <v>CPS</v>
          </cell>
          <cell r="J120" t="str">
            <v>Eelgrass Restoration in Puget Sound</v>
          </cell>
          <cell r="K120" t="str">
            <v>WDFW</v>
          </cell>
          <cell r="L120" t="str">
            <v>National Estuary Program</v>
          </cell>
          <cell r="M120" t="str">
            <v>14-02072</v>
          </cell>
          <cell r="N120" t="str">
            <v>IAA 15-110</v>
          </cell>
          <cell r="O120" t="str">
            <v>Hart Crowser</v>
          </cell>
          <cell r="P120" t="str">
            <v>SC 16-17</v>
          </cell>
          <cell r="Q120" t="str">
            <v>Shannon, J., J. Blanchette and J. Gaeckle. 2018. Eelgrass (Zostera marina) Restoration in Puget Sound, WA. Final Restoration and Monitoring Report (12059-05) for US EPA, Hart Crowser, Edmonds, WA. Pp. 131.</v>
          </cell>
          <cell r="R120" t="str">
            <v>large scale</v>
          </cell>
          <cell r="S120" t="str">
            <v>--</v>
          </cell>
          <cell r="T120">
            <v>42862</v>
          </cell>
          <cell r="U120">
            <v>47.221733333333333</v>
          </cell>
          <cell r="V120">
            <v>-122.80993333333333</v>
          </cell>
          <cell r="W120" t="str">
            <v>polygon</v>
          </cell>
          <cell r="X120" t="str">
            <v>drop</v>
          </cell>
          <cell r="Y120" t="str">
            <v>WGS84</v>
          </cell>
          <cell r="AF120" t="str">
            <v/>
          </cell>
          <cell r="AI120" t="str">
            <v/>
          </cell>
          <cell r="AJ120" t="str">
            <v/>
          </cell>
          <cell r="AL120" t="str">
            <v>don't have gps coordinates</v>
          </cell>
        </row>
        <row r="121">
          <cell r="B121" t="str">
            <v>Joemma Beach State Park South - NW - HC - large 2 - 2017</v>
          </cell>
          <cell r="C121" t="str">
            <v>JSP_south_P2</v>
          </cell>
          <cell r="D121" t="str">
            <v>single</v>
          </cell>
          <cell r="E121">
            <v>2017</v>
          </cell>
          <cell r="G121" t="str">
            <v>polygon</v>
          </cell>
          <cell r="H121" t="str">
            <v>Case Inlet</v>
          </cell>
          <cell r="I121" t="str">
            <v>CPS</v>
          </cell>
          <cell r="J121" t="str">
            <v>Eelgrass Restoration in Puget Sound</v>
          </cell>
          <cell r="K121" t="str">
            <v>WDFW</v>
          </cell>
          <cell r="L121" t="str">
            <v>National Estuary Program</v>
          </cell>
          <cell r="M121" t="str">
            <v>14-02072</v>
          </cell>
          <cell r="N121" t="str">
            <v>IAA 15-110</v>
          </cell>
          <cell r="O121" t="str">
            <v>Hart Crowser</v>
          </cell>
          <cell r="P121" t="str">
            <v>SC 16-17</v>
          </cell>
          <cell r="Q121" t="str">
            <v>Shannon, J., J. Blanchette and J. Gaeckle. 2018. Eelgrass (Zostera marina) Restoration in Puget Sound, WA. Final Restoration and Monitoring Report (12059-05) for US EPA, Hart Crowser, Edmonds, WA. Pp. 131.</v>
          </cell>
          <cell r="R121" t="str">
            <v>large scale</v>
          </cell>
          <cell r="S121" t="str">
            <v>--</v>
          </cell>
          <cell r="T121">
            <v>42862</v>
          </cell>
          <cell r="W121" t="str">
            <v>polygon</v>
          </cell>
          <cell r="X121" t="str">
            <v>drop</v>
          </cell>
          <cell r="Y121" t="str">
            <v>WGS84</v>
          </cell>
          <cell r="AF121" t="str">
            <v/>
          </cell>
          <cell r="AI121" t="str">
            <v/>
          </cell>
          <cell r="AJ121" t="str">
            <v/>
          </cell>
          <cell r="AL121" t="str">
            <v>don't have gps coordinates</v>
          </cell>
        </row>
        <row r="122">
          <cell r="B122" t="str">
            <v>Joemma Beach State Park South - SE - HC - large 3 - 2017</v>
          </cell>
          <cell r="C122" t="str">
            <v>JSP_south_P3</v>
          </cell>
          <cell r="D122" t="str">
            <v>single</v>
          </cell>
          <cell r="E122">
            <v>2017</v>
          </cell>
          <cell r="G122" t="str">
            <v>polygon</v>
          </cell>
          <cell r="H122" t="str">
            <v>Case Inlet</v>
          </cell>
          <cell r="I122" t="str">
            <v>CPS</v>
          </cell>
          <cell r="J122" t="str">
            <v>Eelgrass Restoration in Puget Sound</v>
          </cell>
          <cell r="K122" t="str">
            <v>WDFW</v>
          </cell>
          <cell r="L122" t="str">
            <v>National Estuary Program</v>
          </cell>
          <cell r="M122" t="str">
            <v>14-02072</v>
          </cell>
          <cell r="N122" t="str">
            <v>IAA 15-110</v>
          </cell>
          <cell r="O122" t="str">
            <v>Hart Crowser</v>
          </cell>
          <cell r="P122" t="str">
            <v>SC 16-17</v>
          </cell>
          <cell r="Q122" t="str">
            <v>Shannon, J., J. Blanchette and J. Gaeckle. 2018. Eelgrass (Zostera marina) Restoration in Puget Sound, WA. Final Restoration and Monitoring Report (12059-05) for US EPA, Hart Crowser, Edmonds, WA. Pp. 131.</v>
          </cell>
          <cell r="R122" t="str">
            <v>large scale</v>
          </cell>
          <cell r="S122" t="str">
            <v>large scale</v>
          </cell>
          <cell r="T122">
            <v>42874</v>
          </cell>
          <cell r="U122">
            <v>47.221559999999997</v>
          </cell>
          <cell r="V122">
            <v>-122.80979000000001</v>
          </cell>
          <cell r="W122" t="str">
            <v>polygon</v>
          </cell>
          <cell r="X122" t="str">
            <v>retain</v>
          </cell>
          <cell r="Y122" t="str">
            <v>WGS84</v>
          </cell>
          <cell r="Z122">
            <v>-1.6</v>
          </cell>
          <cell r="AA122" t="str">
            <v>turf</v>
          </cell>
          <cell r="AB122">
            <v>20</v>
          </cell>
          <cell r="AC122">
            <v>8</v>
          </cell>
          <cell r="AD122">
            <v>160</v>
          </cell>
          <cell r="AE122">
            <v>77.5</v>
          </cell>
          <cell r="AF122">
            <v>29.560000000000002</v>
          </cell>
          <cell r="AG122">
            <v>2956</v>
          </cell>
          <cell r="AH122">
            <v>24734</v>
          </cell>
          <cell r="AI122">
            <v>154.58750000000001</v>
          </cell>
          <cell r="AJ122">
            <v>319.14838709677417</v>
          </cell>
          <cell r="AK122" t="str">
            <v>DuPont Wharf</v>
          </cell>
          <cell r="AL122" t="str">
            <v>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v>
          </cell>
        </row>
        <row r="123">
          <cell r="B123" t="str">
            <v>Joemma Beach State Park South - SW - HC - large 3 - 2017</v>
          </cell>
          <cell r="C123" t="str">
            <v>JSP_south_P3</v>
          </cell>
          <cell r="D123" t="str">
            <v>single</v>
          </cell>
          <cell r="E123">
            <v>2017</v>
          </cell>
          <cell r="G123" t="str">
            <v>polygon</v>
          </cell>
          <cell r="H123" t="str">
            <v>Case Inlet</v>
          </cell>
          <cell r="I123" t="str">
            <v>CPS</v>
          </cell>
          <cell r="J123" t="str">
            <v>Eelgrass Restoration in Puget Sound</v>
          </cell>
          <cell r="K123" t="str">
            <v>WDFW</v>
          </cell>
          <cell r="L123" t="str">
            <v>National Estuary Program</v>
          </cell>
          <cell r="M123" t="str">
            <v>14-02072</v>
          </cell>
          <cell r="N123" t="str">
            <v>IAA 15-110</v>
          </cell>
          <cell r="O123" t="str">
            <v>Hart Crowser</v>
          </cell>
          <cell r="P123" t="str">
            <v>SC 16-17</v>
          </cell>
          <cell r="Q123" t="str">
            <v>Shannon, J., J. Blanchette and J. Gaeckle. 2018. Eelgrass (Zostera marina) Restoration in Puget Sound, WA. Final Restoration and Monitoring Report (12059-05) for US EPA, Hart Crowser, Edmonds, WA. Pp. 131.</v>
          </cell>
          <cell r="R123" t="str">
            <v>large scale</v>
          </cell>
          <cell r="S123" t="str">
            <v>--</v>
          </cell>
          <cell r="T123">
            <v>42874</v>
          </cell>
          <cell r="W123" t="str">
            <v>polygon</v>
          </cell>
          <cell r="X123" t="str">
            <v>drop</v>
          </cell>
          <cell r="Y123" t="str">
            <v>WGS84</v>
          </cell>
          <cell r="AF123" t="str">
            <v/>
          </cell>
          <cell r="AI123" t="str">
            <v/>
          </cell>
          <cell r="AJ123" t="str">
            <v/>
          </cell>
        </row>
        <row r="124">
          <cell r="B124" t="str">
            <v>Joemma Beach State Park South - NE - HC - large 3 - 2017</v>
          </cell>
          <cell r="C124" t="str">
            <v>JSP_south_P3</v>
          </cell>
          <cell r="D124" t="str">
            <v>single</v>
          </cell>
          <cell r="E124">
            <v>2017</v>
          </cell>
          <cell r="G124" t="str">
            <v>polygon</v>
          </cell>
          <cell r="H124" t="str">
            <v>Case Inlet</v>
          </cell>
          <cell r="I124" t="str">
            <v>CPS</v>
          </cell>
          <cell r="J124" t="str">
            <v>Eelgrass Restoration in Puget Sound</v>
          </cell>
          <cell r="K124" t="str">
            <v>WDFW</v>
          </cell>
          <cell r="L124" t="str">
            <v>National Estuary Program</v>
          </cell>
          <cell r="M124" t="str">
            <v>14-02072</v>
          </cell>
          <cell r="N124" t="str">
            <v>IAA 15-110</v>
          </cell>
          <cell r="O124" t="str">
            <v>Hart Crowser</v>
          </cell>
          <cell r="P124" t="str">
            <v>SC 16-17</v>
          </cell>
          <cell r="Q124" t="str">
            <v>Shannon, J., J. Blanchette and J. Gaeckle. 2018. Eelgrass (Zostera marina) Restoration in Puget Sound, WA. Final Restoration and Monitoring Report (12059-05) for US EPA, Hart Crowser, Edmonds, WA. Pp. 131.</v>
          </cell>
          <cell r="R124" t="str">
            <v>large scale</v>
          </cell>
          <cell r="S124" t="str">
            <v>--</v>
          </cell>
          <cell r="T124">
            <v>42874</v>
          </cell>
          <cell r="U124">
            <v>47.221760000000003</v>
          </cell>
          <cell r="V124">
            <v>-122.80991</v>
          </cell>
          <cell r="W124" t="str">
            <v>polygon</v>
          </cell>
          <cell r="X124" t="str">
            <v>drop</v>
          </cell>
          <cell r="Y124" t="str">
            <v>WGS84</v>
          </cell>
          <cell r="AF124" t="str">
            <v/>
          </cell>
          <cell r="AI124" t="str">
            <v/>
          </cell>
          <cell r="AJ124" t="str">
            <v/>
          </cell>
        </row>
        <row r="125">
          <cell r="B125" t="str">
            <v>Joemma Beach State Park South - NW - HC - large 3 - 2017</v>
          </cell>
          <cell r="C125" t="str">
            <v>JSP_south_P3</v>
          </cell>
          <cell r="D125" t="str">
            <v>single</v>
          </cell>
          <cell r="E125">
            <v>2017</v>
          </cell>
          <cell r="G125" t="str">
            <v>polygon</v>
          </cell>
          <cell r="H125" t="str">
            <v>Case Inlet</v>
          </cell>
          <cell r="I125" t="str">
            <v>CPS</v>
          </cell>
          <cell r="J125" t="str">
            <v>Eelgrass Restoration in Puget Sound</v>
          </cell>
          <cell r="K125" t="str">
            <v>WDFW</v>
          </cell>
          <cell r="L125" t="str">
            <v>National Estuary Program</v>
          </cell>
          <cell r="M125" t="str">
            <v>14-02072</v>
          </cell>
          <cell r="N125" t="str">
            <v>IAA 15-110</v>
          </cell>
          <cell r="O125" t="str">
            <v>Hart Crowser</v>
          </cell>
          <cell r="P125" t="str">
            <v>SC 16-17</v>
          </cell>
          <cell r="Q125" t="str">
            <v>Shannon, J., J. Blanchette and J. Gaeckle. 2018. Eelgrass (Zostera marina) Restoration in Puget Sound, WA. Final Restoration and Monitoring Report (12059-05) for US EPA, Hart Crowser, Edmonds, WA. Pp. 131.</v>
          </cell>
          <cell r="R125" t="str">
            <v>large scale</v>
          </cell>
          <cell r="S125" t="str">
            <v>--</v>
          </cell>
          <cell r="T125">
            <v>42874</v>
          </cell>
          <cell r="W125" t="str">
            <v>polygon</v>
          </cell>
          <cell r="X125" t="str">
            <v>drop</v>
          </cell>
          <cell r="Y125" t="str">
            <v>WGS84</v>
          </cell>
          <cell r="AF125" t="str">
            <v/>
          </cell>
          <cell r="AI125" t="str">
            <v/>
          </cell>
          <cell r="AJ125" t="str">
            <v/>
          </cell>
        </row>
        <row r="126">
          <cell r="B126" t="str">
            <v>Joemma Beach State Park South - SE - HC - large 4 - 2017</v>
          </cell>
          <cell r="C126" t="str">
            <v>JSP_south_P4</v>
          </cell>
          <cell r="D126" t="str">
            <v>single</v>
          </cell>
          <cell r="E126">
            <v>2017</v>
          </cell>
          <cell r="G126" t="str">
            <v>polygon</v>
          </cell>
          <cell r="H126" t="str">
            <v>Case Inlet</v>
          </cell>
          <cell r="I126" t="str">
            <v>CPS</v>
          </cell>
          <cell r="J126" t="str">
            <v>Eelgrass Restoration in Puget Sound</v>
          </cell>
          <cell r="K126" t="str">
            <v>WDFW</v>
          </cell>
          <cell r="L126" t="str">
            <v>National Estuary Program</v>
          </cell>
          <cell r="M126" t="str">
            <v>14-02072</v>
          </cell>
          <cell r="N126" t="str">
            <v>IAA 15-110</v>
          </cell>
          <cell r="O126" t="str">
            <v>Hart Crowser</v>
          </cell>
          <cell r="P126" t="str">
            <v>SC 16-17</v>
          </cell>
          <cell r="Q126" t="str">
            <v>Shannon, J., J. Blanchette and J. Gaeckle. 2018. Eelgrass (Zostera marina) Restoration in Puget Sound, WA. Final Restoration and Monitoring Report (12059-05) for US EPA, Hart Crowser, Edmonds, WA. Pp. 131.</v>
          </cell>
          <cell r="R126" t="str">
            <v>large scale</v>
          </cell>
          <cell r="S126" t="str">
            <v>large scale</v>
          </cell>
          <cell r="T126">
            <v>42877</v>
          </cell>
          <cell r="U126">
            <v>47.221207525600001</v>
          </cell>
          <cell r="V126">
            <v>-122.80959413390001</v>
          </cell>
          <cell r="W126" t="str">
            <v>polygon</v>
          </cell>
          <cell r="X126" t="str">
            <v>retain</v>
          </cell>
          <cell r="Y126" t="str">
            <v>WGS84</v>
          </cell>
          <cell r="Z126">
            <v>-1.6</v>
          </cell>
          <cell r="AA126" t="str">
            <v>turf</v>
          </cell>
          <cell r="AB126">
            <v>20</v>
          </cell>
          <cell r="AC126">
            <v>8</v>
          </cell>
          <cell r="AD126">
            <v>160</v>
          </cell>
          <cell r="AE126">
            <v>80</v>
          </cell>
          <cell r="AF126">
            <v>26.150000000000002</v>
          </cell>
          <cell r="AG126">
            <v>2615</v>
          </cell>
          <cell r="AH126">
            <v>26149</v>
          </cell>
          <cell r="AI126">
            <v>163.43125000000001</v>
          </cell>
          <cell r="AJ126">
            <v>326.86250000000001</v>
          </cell>
          <cell r="AK126" t="str">
            <v>Rocky Bay</v>
          </cell>
          <cell r="AL126" t="str">
            <v>Referred to as 'Joemma Beach State Park 3' (large-scale site) in final report. Turfs plant 5-15 shoots per staple (X= ~7 shoots/staple b/c donor site was DuPont Wharf). Estimated number of PUs at test-transplant site as 26149/10 = 2615</v>
          </cell>
        </row>
        <row r="127">
          <cell r="B127" t="str">
            <v>Joemma Beach State Park South - SW - HC - large 4 - 2017</v>
          </cell>
          <cell r="C127" t="str">
            <v>JSP_south_P4</v>
          </cell>
          <cell r="D127" t="str">
            <v>single</v>
          </cell>
          <cell r="E127">
            <v>2017</v>
          </cell>
          <cell r="G127" t="str">
            <v>polygon</v>
          </cell>
          <cell r="H127" t="str">
            <v>Case Inlet</v>
          </cell>
          <cell r="I127" t="str">
            <v>CPS</v>
          </cell>
          <cell r="J127" t="str">
            <v>Eelgrass Restoration in Puget Sound</v>
          </cell>
          <cell r="K127" t="str">
            <v>WDFW</v>
          </cell>
          <cell r="L127" t="str">
            <v>National Estuary Program</v>
          </cell>
          <cell r="M127" t="str">
            <v>14-02072</v>
          </cell>
          <cell r="N127" t="str">
            <v>IAA 15-110</v>
          </cell>
          <cell r="O127" t="str">
            <v>Hart Crowser</v>
          </cell>
          <cell r="P127" t="str">
            <v>SC 16-17</v>
          </cell>
          <cell r="Q127" t="str">
            <v>Shannon, J., J. Blanchette and J. Gaeckle. 2018. Eelgrass (Zostera marina) Restoration in Puget Sound, WA. Final Restoration and Monitoring Report (12059-05) for US EPA, Hart Crowser, Edmonds, WA. Pp. 131.</v>
          </cell>
          <cell r="R127" t="str">
            <v>large scale</v>
          </cell>
          <cell r="S127" t="str">
            <v>--</v>
          </cell>
          <cell r="T127">
            <v>42877</v>
          </cell>
          <cell r="U127">
            <v>47.221167879200003</v>
          </cell>
          <cell r="V127">
            <v>-122.8096705768</v>
          </cell>
          <cell r="W127" t="str">
            <v>polygon</v>
          </cell>
          <cell r="X127" t="str">
            <v>drop</v>
          </cell>
          <cell r="Y127" t="str">
            <v>WGS84</v>
          </cell>
          <cell r="AF127" t="str">
            <v/>
          </cell>
          <cell r="AI127" t="str">
            <v/>
          </cell>
          <cell r="AJ127" t="str">
            <v/>
          </cell>
        </row>
        <row r="128">
          <cell r="B128" t="str">
            <v>Joemma Beach State Park South - NE - HC - large 4 - 2017</v>
          </cell>
          <cell r="C128" t="str">
            <v>JSP_south_P4</v>
          </cell>
          <cell r="D128" t="str">
            <v>single</v>
          </cell>
          <cell r="E128">
            <v>2017</v>
          </cell>
          <cell r="G128" t="str">
            <v>polygon</v>
          </cell>
          <cell r="H128" t="str">
            <v>Case Inlet</v>
          </cell>
          <cell r="I128" t="str">
            <v>CPS</v>
          </cell>
          <cell r="J128" t="str">
            <v>Eelgrass Restoration in Puget Sound</v>
          </cell>
          <cell r="K128" t="str">
            <v>WDFW</v>
          </cell>
          <cell r="L128" t="str">
            <v>National Estuary Program</v>
          </cell>
          <cell r="M128" t="str">
            <v>14-02072</v>
          </cell>
          <cell r="N128" t="str">
            <v>IAA 15-110</v>
          </cell>
          <cell r="O128" t="str">
            <v>Hart Crowser</v>
          </cell>
          <cell r="P128" t="str">
            <v>SC 16-17</v>
          </cell>
          <cell r="Q128" t="str">
            <v>Shannon, J., J. Blanchette and J. Gaeckle. 2018. Eelgrass (Zostera marina) Restoration in Puget Sound, WA. Final Restoration and Monitoring Report (12059-05) for US EPA, Hart Crowser, Edmonds, WA. Pp. 131.</v>
          </cell>
          <cell r="R128" t="str">
            <v>large scale</v>
          </cell>
          <cell r="S128" t="str">
            <v>--</v>
          </cell>
          <cell r="T128">
            <v>42877</v>
          </cell>
          <cell r="U128">
            <v>47.221339999999998</v>
          </cell>
          <cell r="V128">
            <v>-122.8096</v>
          </cell>
          <cell r="W128" t="str">
            <v>polygon</v>
          </cell>
          <cell r="X128" t="str">
            <v>drop</v>
          </cell>
          <cell r="Y128" t="str">
            <v>WGS84</v>
          </cell>
          <cell r="AF128" t="str">
            <v/>
          </cell>
          <cell r="AI128" t="str">
            <v/>
          </cell>
          <cell r="AJ128" t="str">
            <v/>
          </cell>
        </row>
        <row r="129">
          <cell r="B129" t="str">
            <v>Joemma Beach State Park South - NW - HC - large 4 - 2017</v>
          </cell>
          <cell r="C129" t="str">
            <v>JSP_south_P4</v>
          </cell>
          <cell r="D129" t="str">
            <v>single</v>
          </cell>
          <cell r="E129">
            <v>2017</v>
          </cell>
          <cell r="G129" t="str">
            <v>polygon</v>
          </cell>
          <cell r="H129" t="str">
            <v>Case Inlet</v>
          </cell>
          <cell r="I129" t="str">
            <v>CPS</v>
          </cell>
          <cell r="J129" t="str">
            <v>Eelgrass Restoration in Puget Sound</v>
          </cell>
          <cell r="K129" t="str">
            <v>WDFW</v>
          </cell>
          <cell r="L129" t="str">
            <v>National Estuary Program</v>
          </cell>
          <cell r="M129" t="str">
            <v>14-02072</v>
          </cell>
          <cell r="N129" t="str">
            <v>IAA 15-110</v>
          </cell>
          <cell r="O129" t="str">
            <v>Hart Crowser</v>
          </cell>
          <cell r="P129" t="str">
            <v>SC 16-17</v>
          </cell>
          <cell r="Q129" t="str">
            <v>Shannon, J., J. Blanchette and J. Gaeckle. 2018. Eelgrass (Zostera marina) Restoration in Puget Sound, WA. Final Restoration and Monitoring Report (12059-05) for US EPA, Hart Crowser, Edmonds, WA. Pp. 131.</v>
          </cell>
          <cell r="R129" t="str">
            <v>large scale</v>
          </cell>
          <cell r="S129" t="str">
            <v>--</v>
          </cell>
          <cell r="T129">
            <v>42877</v>
          </cell>
          <cell r="W129" t="str">
            <v>polygon</v>
          </cell>
          <cell r="X129" t="str">
            <v>drop</v>
          </cell>
          <cell r="Y129" t="str">
            <v>WGS84</v>
          </cell>
          <cell r="AF129" t="str">
            <v/>
          </cell>
          <cell r="AI129" t="str">
            <v/>
          </cell>
          <cell r="AJ129" t="str">
            <v/>
          </cell>
        </row>
        <row r="130">
          <cell r="B130" t="str">
            <v>Joemma Beach State Park Mid - DNR - BESE - AG - 1 - 2017</v>
          </cell>
          <cell r="C130" t="str">
            <v>JSP_mid_AG1</v>
          </cell>
          <cell r="D130" t="str">
            <v>single</v>
          </cell>
          <cell r="E130">
            <v>2017</v>
          </cell>
          <cell r="G130" t="str">
            <v>point</v>
          </cell>
          <cell r="H130" t="str">
            <v>Case Inlet</v>
          </cell>
          <cell r="I130" t="str">
            <v>CPS</v>
          </cell>
          <cell r="J130" t="str">
            <v>BESE: Biodegradable ecosystem engineering elements</v>
          </cell>
          <cell r="K130" t="str">
            <v>DNR</v>
          </cell>
          <cell r="L130" t="str">
            <v>Nearshore Habitat Program</v>
          </cell>
          <cell r="R130" t="str">
            <v>test</v>
          </cell>
          <cell r="S130" t="str">
            <v>test</v>
          </cell>
          <cell r="T130">
            <v>42880</v>
          </cell>
          <cell r="U130">
            <v>47.222461000000003</v>
          </cell>
          <cell r="V130">
            <v>-122.810239</v>
          </cell>
          <cell r="W130" t="str">
            <v>point</v>
          </cell>
          <cell r="X130" t="str">
            <v>retain</v>
          </cell>
          <cell r="Y130" t="str">
            <v>WGS84</v>
          </cell>
          <cell r="Z130">
            <v>-1.1499999999999999</v>
          </cell>
          <cell r="AA130" t="str">
            <v>staple</v>
          </cell>
          <cell r="AB130">
            <v>1</v>
          </cell>
          <cell r="AC130">
            <v>1</v>
          </cell>
          <cell r="AD130">
            <v>1</v>
          </cell>
          <cell r="AE130">
            <v>8.0000000000000002E-3</v>
          </cell>
          <cell r="AF130">
            <v>1.4999999999999999E-2</v>
          </cell>
          <cell r="AG130">
            <v>3</v>
          </cell>
          <cell r="AH130">
            <v>12</v>
          </cell>
          <cell r="AI130">
            <v>12</v>
          </cell>
          <cell r="AJ130">
            <v>1500</v>
          </cell>
          <cell r="AK130" t="str">
            <v>DuPont Wharf</v>
          </cell>
          <cell r="AL130" t="str">
            <v>Biodegradable ecosystem engineering elements (BESE) for Marjolijn Christianen, Wageningen University &amp; Research, Netherlands. Overall area was 1 m2. Actual was 0.1 m2 (10 x 10 cm area in center of BESE. 3 planting units with 4 shoots each. DuPont Wharf shoots.</v>
          </cell>
        </row>
        <row r="131">
          <cell r="B131" t="str">
            <v>Joemma Beach State Park Mid - DNR - BESE - BG - 1 - 2017</v>
          </cell>
          <cell r="C131" t="str">
            <v>JSP_mid_BG1</v>
          </cell>
          <cell r="D131" t="str">
            <v>single</v>
          </cell>
          <cell r="E131">
            <v>2017</v>
          </cell>
          <cell r="G131" t="str">
            <v>point</v>
          </cell>
          <cell r="H131" t="str">
            <v>Case Inlet</v>
          </cell>
          <cell r="I131" t="str">
            <v>CPS</v>
          </cell>
          <cell r="J131" t="str">
            <v>BESE: Biodegradable ecosystem engineering elements</v>
          </cell>
          <cell r="K131" t="str">
            <v>DNR</v>
          </cell>
          <cell r="L131" t="str">
            <v>Nearshore Habitat Program</v>
          </cell>
          <cell r="R131" t="str">
            <v>test</v>
          </cell>
          <cell r="S131" t="str">
            <v>--</v>
          </cell>
          <cell r="T131">
            <v>42880</v>
          </cell>
          <cell r="U131">
            <v>47.222489000000003</v>
          </cell>
          <cell r="V131">
            <v>-122.81026199999999</v>
          </cell>
          <cell r="W131" t="str">
            <v>point</v>
          </cell>
          <cell r="X131" t="str">
            <v>retain</v>
          </cell>
          <cell r="Y131" t="str">
            <v>WGS84</v>
          </cell>
          <cell r="AA131" t="str">
            <v>staple</v>
          </cell>
          <cell r="AB131">
            <v>1</v>
          </cell>
          <cell r="AC131">
            <v>1</v>
          </cell>
          <cell r="AD131">
            <v>1</v>
          </cell>
          <cell r="AE131">
            <v>8.0000000000000002E-3</v>
          </cell>
          <cell r="AF131">
            <v>1.4999999999999999E-2</v>
          </cell>
          <cell r="AG131">
            <v>3</v>
          </cell>
          <cell r="AH131">
            <v>12</v>
          </cell>
          <cell r="AI131">
            <v>12</v>
          </cell>
          <cell r="AJ131">
            <v>1500</v>
          </cell>
          <cell r="AK131" t="str">
            <v>DuPont Wharf</v>
          </cell>
          <cell r="AL131" t="str">
            <v>Biodegradable ecosystem engineering elements (BESE) for Marjolijn Christianen, Wageningen University &amp; Research, Netherlands. Overall area was 1 m2. Actual was 0.1 m2 (10 x 10 cm area in center of BESE. 3 planting units with 4 shoots each. DuPont Wharf shoots.</v>
          </cell>
        </row>
        <row r="132">
          <cell r="B132" t="str">
            <v>Joemma Beach State Park Mid - DNR - BESE - C - 1 - 2017</v>
          </cell>
          <cell r="C132" t="str">
            <v>JSP_mid_C1</v>
          </cell>
          <cell r="D132" t="str">
            <v>single</v>
          </cell>
          <cell r="E132">
            <v>2017</v>
          </cell>
          <cell r="G132" t="str">
            <v>point</v>
          </cell>
          <cell r="H132" t="str">
            <v>Case Inlet</v>
          </cell>
          <cell r="I132" t="str">
            <v>CPS</v>
          </cell>
          <cell r="J132" t="str">
            <v>BESE: Biodegradable ecosystem engineering elements</v>
          </cell>
          <cell r="K132" t="str">
            <v>DNR</v>
          </cell>
          <cell r="L132" t="str">
            <v>Nearshore Habitat Program</v>
          </cell>
          <cell r="R132" t="str">
            <v>test</v>
          </cell>
          <cell r="S132" t="str">
            <v>--</v>
          </cell>
          <cell r="T132">
            <v>42880</v>
          </cell>
          <cell r="U132">
            <v>47.222512000000002</v>
          </cell>
          <cell r="V132">
            <v>-122.810267</v>
          </cell>
          <cell r="W132" t="str">
            <v>point</v>
          </cell>
          <cell r="X132" t="str">
            <v>retain</v>
          </cell>
          <cell r="Y132" t="str">
            <v>WGS84</v>
          </cell>
          <cell r="AA132" t="str">
            <v>staple</v>
          </cell>
          <cell r="AB132">
            <v>1</v>
          </cell>
          <cell r="AC132">
            <v>1</v>
          </cell>
          <cell r="AD132">
            <v>1</v>
          </cell>
          <cell r="AE132">
            <v>8.0000000000000002E-3</v>
          </cell>
          <cell r="AF132">
            <v>1.4999999999999999E-2</v>
          </cell>
          <cell r="AG132">
            <v>3</v>
          </cell>
          <cell r="AH132">
            <v>12</v>
          </cell>
          <cell r="AI132">
            <v>12</v>
          </cell>
          <cell r="AJ132">
            <v>1500</v>
          </cell>
          <cell r="AK132" t="str">
            <v>DuPont Wharf</v>
          </cell>
          <cell r="AL132" t="str">
            <v>Biodegradable ecosystem engineering elements (BESE) for Marjolijn Christianen, Wageningen University &amp; Research, Netherlands. Overall area was 1 m2. Actual was 0.1 m2 (10 x 10 cm area in center of BESE. 3 planting units with 4 shoots each. DuPont Wharf shoots.</v>
          </cell>
        </row>
        <row r="133">
          <cell r="B133" t="str">
            <v>Joemma Beach State Park Mid - DNR - BESE - AG - 2 - 2017</v>
          </cell>
          <cell r="C133" t="str">
            <v>JSP_mid_AG2</v>
          </cell>
          <cell r="D133" t="str">
            <v>single</v>
          </cell>
          <cell r="E133">
            <v>2017</v>
          </cell>
          <cell r="G133" t="str">
            <v>point</v>
          </cell>
          <cell r="H133" t="str">
            <v>Case Inlet</v>
          </cell>
          <cell r="I133" t="str">
            <v>CPS</v>
          </cell>
          <cell r="J133" t="str">
            <v>BESE: Biodegradable ecosystem engineering elements</v>
          </cell>
          <cell r="K133" t="str">
            <v>DNR</v>
          </cell>
          <cell r="L133" t="str">
            <v>Nearshore Habitat Program</v>
          </cell>
          <cell r="R133" t="str">
            <v>test</v>
          </cell>
          <cell r="S133" t="str">
            <v>--</v>
          </cell>
          <cell r="T133">
            <v>42880</v>
          </cell>
          <cell r="U133">
            <v>47.222541999999997</v>
          </cell>
          <cell r="V133">
            <v>-122.81027899999999</v>
          </cell>
          <cell r="W133" t="str">
            <v>point</v>
          </cell>
          <cell r="X133" t="str">
            <v>retain</v>
          </cell>
          <cell r="Y133" t="str">
            <v>WGS84</v>
          </cell>
          <cell r="AA133" t="str">
            <v>staple</v>
          </cell>
          <cell r="AB133">
            <v>1</v>
          </cell>
          <cell r="AC133">
            <v>1</v>
          </cell>
          <cell r="AD133">
            <v>1</v>
          </cell>
          <cell r="AE133">
            <v>8.0000000000000002E-3</v>
          </cell>
          <cell r="AF133">
            <v>1.4999999999999999E-2</v>
          </cell>
          <cell r="AG133">
            <v>3</v>
          </cell>
          <cell r="AH133">
            <v>12</v>
          </cell>
          <cell r="AI133">
            <v>12</v>
          </cell>
          <cell r="AJ133">
            <v>1500</v>
          </cell>
          <cell r="AK133" t="str">
            <v>DuPont Wharf</v>
          </cell>
          <cell r="AL133" t="str">
            <v>Biodegradable ecosystem engineering elements (BESE) for Marjolijn Christianen, Wageningen University &amp; Research, Netherlands. Overall area was 1 m2. Actual was 0.1 m2 (10 x 10 cm area in center of BESE. 3 planting units with 4 shoots each. DuPont Wharf shoots.</v>
          </cell>
        </row>
        <row r="134">
          <cell r="B134" t="str">
            <v>Joemma Beach State Park Mid - DNR - BESE - C - 2 - 2017</v>
          </cell>
          <cell r="C134" t="str">
            <v>JSP_mid_C2</v>
          </cell>
          <cell r="D134" t="str">
            <v>single</v>
          </cell>
          <cell r="E134">
            <v>2017</v>
          </cell>
          <cell r="G134" t="str">
            <v>point</v>
          </cell>
          <cell r="H134" t="str">
            <v>Case Inlet</v>
          </cell>
          <cell r="I134" t="str">
            <v>CPS</v>
          </cell>
          <cell r="J134" t="str">
            <v>BESE: Biodegradable ecosystem engineering elements</v>
          </cell>
          <cell r="K134" t="str">
            <v>DNR</v>
          </cell>
          <cell r="L134" t="str">
            <v>Nearshore Habitat Program</v>
          </cell>
          <cell r="R134" t="str">
            <v>test</v>
          </cell>
          <cell r="S134" t="str">
            <v>--</v>
          </cell>
          <cell r="T134">
            <v>42880</v>
          </cell>
          <cell r="U134">
            <v>47.222552</v>
          </cell>
          <cell r="V134">
            <v>-122.810293</v>
          </cell>
          <cell r="W134" t="str">
            <v>point</v>
          </cell>
          <cell r="X134" t="str">
            <v>retain</v>
          </cell>
          <cell r="Y134" t="str">
            <v>WGS84</v>
          </cell>
          <cell r="AA134" t="str">
            <v>staple</v>
          </cell>
          <cell r="AB134">
            <v>1</v>
          </cell>
          <cell r="AC134">
            <v>1</v>
          </cell>
          <cell r="AD134">
            <v>1</v>
          </cell>
          <cell r="AE134">
            <v>8.0000000000000002E-3</v>
          </cell>
          <cell r="AF134">
            <v>1.4999999999999999E-2</v>
          </cell>
          <cell r="AG134">
            <v>3</v>
          </cell>
          <cell r="AH134">
            <v>12</v>
          </cell>
          <cell r="AI134">
            <v>12</v>
          </cell>
          <cell r="AJ134">
            <v>1500</v>
          </cell>
          <cell r="AK134" t="str">
            <v>DuPont Wharf</v>
          </cell>
          <cell r="AL134" t="str">
            <v>Biodegradable ecosystem engineering elements (BESE) for Marjolijn Christianen, Wageningen University &amp; Research, Netherlands. Overall area was 1 m2. Actual was 0.1 m2 (10 x 10 cm area in center of BESE. 3 planting units with 4 shoots each. DuPont Wharf shoots.</v>
          </cell>
        </row>
        <row r="135">
          <cell r="B135" t="str">
            <v>Joemma Beach State Park Mid - DNR - BESE - BG - 2 - 2017</v>
          </cell>
          <cell r="C135" t="str">
            <v>JSP_mid_BG2</v>
          </cell>
          <cell r="D135" t="str">
            <v>single</v>
          </cell>
          <cell r="E135">
            <v>2017</v>
          </cell>
          <cell r="G135" t="str">
            <v>point</v>
          </cell>
          <cell r="H135" t="str">
            <v>Case Inlet</v>
          </cell>
          <cell r="I135" t="str">
            <v>CPS</v>
          </cell>
          <cell r="J135" t="str">
            <v>BESE: Biodegradable ecosystem engineering elements</v>
          </cell>
          <cell r="K135" t="str">
            <v>DNR</v>
          </cell>
          <cell r="L135" t="str">
            <v>Nearshore Habitat Program</v>
          </cell>
          <cell r="R135" t="str">
            <v>test</v>
          </cell>
          <cell r="S135" t="str">
            <v>--</v>
          </cell>
          <cell r="T135">
            <v>42880</v>
          </cell>
          <cell r="U135">
            <v>47.222596000000003</v>
          </cell>
          <cell r="V135">
            <v>-122.810309</v>
          </cell>
          <cell r="W135" t="str">
            <v>point</v>
          </cell>
          <cell r="X135" t="str">
            <v>retain</v>
          </cell>
          <cell r="Y135" t="str">
            <v>WGS84</v>
          </cell>
          <cell r="AA135" t="str">
            <v>staple</v>
          </cell>
          <cell r="AB135">
            <v>1</v>
          </cell>
          <cell r="AC135">
            <v>1</v>
          </cell>
          <cell r="AD135">
            <v>1</v>
          </cell>
          <cell r="AE135">
            <v>8.0000000000000002E-3</v>
          </cell>
          <cell r="AF135">
            <v>1.4999999999999999E-2</v>
          </cell>
          <cell r="AG135">
            <v>3</v>
          </cell>
          <cell r="AH135">
            <v>12</v>
          </cell>
          <cell r="AI135">
            <v>12</v>
          </cell>
          <cell r="AJ135">
            <v>1500</v>
          </cell>
          <cell r="AK135" t="str">
            <v>DuPont Wharf</v>
          </cell>
          <cell r="AL135" t="str">
            <v>Biodegradable ecosystem engineering elements (BESE) for Marjolijn Christianen, Wageningen University &amp; Research, Netherlands. Overall area was 1 m2. Actual was 0.1 m2 (10 x 10 cm area in center of BESE. 3 planting units with 4 shoots each. DuPont Wharf shoots.</v>
          </cell>
        </row>
        <row r="136">
          <cell r="B136" t="str">
            <v>Joemma Beach State Park Mid - DNR - BESE - C - 3 - 2017</v>
          </cell>
          <cell r="C136" t="str">
            <v>JSP_mid_C3</v>
          </cell>
          <cell r="D136" t="str">
            <v>single</v>
          </cell>
          <cell r="E136">
            <v>2017</v>
          </cell>
          <cell r="G136" t="str">
            <v>point</v>
          </cell>
          <cell r="H136" t="str">
            <v>Case Inlet</v>
          </cell>
          <cell r="I136" t="str">
            <v>CPS</v>
          </cell>
          <cell r="J136" t="str">
            <v>BESE: Biodegradable ecosystem engineering elements</v>
          </cell>
          <cell r="K136" t="str">
            <v>DNR</v>
          </cell>
          <cell r="L136" t="str">
            <v>Nearshore Habitat Program</v>
          </cell>
          <cell r="R136" t="str">
            <v>test</v>
          </cell>
          <cell r="S136" t="str">
            <v>--</v>
          </cell>
          <cell r="T136">
            <v>42880</v>
          </cell>
          <cell r="U136">
            <v>47.222611999999998</v>
          </cell>
          <cell r="V136">
            <v>-122.810312</v>
          </cell>
          <cell r="W136" t="str">
            <v>point</v>
          </cell>
          <cell r="X136" t="str">
            <v>retain</v>
          </cell>
          <cell r="Y136" t="str">
            <v>WGS84</v>
          </cell>
          <cell r="AA136" t="str">
            <v>staple</v>
          </cell>
          <cell r="AB136">
            <v>1</v>
          </cell>
          <cell r="AC136">
            <v>1</v>
          </cell>
          <cell r="AD136">
            <v>1</v>
          </cell>
          <cell r="AE136">
            <v>8.0000000000000002E-3</v>
          </cell>
          <cell r="AF136">
            <v>1.4999999999999999E-2</v>
          </cell>
          <cell r="AG136">
            <v>3</v>
          </cell>
          <cell r="AH136">
            <v>12</v>
          </cell>
          <cell r="AI136">
            <v>12</v>
          </cell>
          <cell r="AJ136">
            <v>1500</v>
          </cell>
          <cell r="AK136" t="str">
            <v>DuPont Wharf</v>
          </cell>
          <cell r="AL136" t="str">
            <v>Biodegradable ecosystem engineering elements (BESE) for Marjolijn Christianen, Wageningen University &amp; Research, Netherlands. Overall area was 1 m2. Actual was 0.1 m2 (10 x 10 cm area in center of BESE. 3 planting units with 4 shoots each. DuPont Wharf shoots.</v>
          </cell>
        </row>
        <row r="137">
          <cell r="B137" t="str">
            <v>Joemma Beach State Park Mid - DNR - BESE - BG - 3 - 2017</v>
          </cell>
          <cell r="C137" t="str">
            <v>JSP_mid_BG3</v>
          </cell>
          <cell r="D137" t="str">
            <v>single</v>
          </cell>
          <cell r="E137">
            <v>2017</v>
          </cell>
          <cell r="G137" t="str">
            <v>point</v>
          </cell>
          <cell r="H137" t="str">
            <v>Case Inlet</v>
          </cell>
          <cell r="I137" t="str">
            <v>CPS</v>
          </cell>
          <cell r="J137" t="str">
            <v>BESE: Biodegradable ecosystem engineering elements</v>
          </cell>
          <cell r="K137" t="str">
            <v>DNR</v>
          </cell>
          <cell r="L137" t="str">
            <v>Nearshore Habitat Program</v>
          </cell>
          <cell r="R137" t="str">
            <v>test</v>
          </cell>
          <cell r="S137" t="str">
            <v>--</v>
          </cell>
          <cell r="T137">
            <v>42880</v>
          </cell>
          <cell r="U137">
            <v>47.222638000000003</v>
          </cell>
          <cell r="V137">
            <v>-122.810339</v>
          </cell>
          <cell r="W137" t="str">
            <v>point</v>
          </cell>
          <cell r="X137" t="str">
            <v>retain</v>
          </cell>
          <cell r="Y137" t="str">
            <v>WGS84</v>
          </cell>
          <cell r="AA137" t="str">
            <v>staple</v>
          </cell>
          <cell r="AB137">
            <v>1</v>
          </cell>
          <cell r="AC137">
            <v>1</v>
          </cell>
          <cell r="AD137">
            <v>1</v>
          </cell>
          <cell r="AE137">
            <v>8.0000000000000002E-3</v>
          </cell>
          <cell r="AF137">
            <v>1.4999999999999999E-2</v>
          </cell>
          <cell r="AG137">
            <v>3</v>
          </cell>
          <cell r="AH137">
            <v>12</v>
          </cell>
          <cell r="AI137">
            <v>12</v>
          </cell>
          <cell r="AJ137">
            <v>1500</v>
          </cell>
          <cell r="AK137" t="str">
            <v>DuPont Wharf</v>
          </cell>
          <cell r="AL137" t="str">
            <v>Biodegradable ecosystem engineering elements (BESE) for Marjolijn Christianen, Wageningen University &amp; Research, Netherlands. Overall area was 1 m2. Actual was 0.1 m2 (10 x 10 cm area in center of BESE. 3 planting units with 4 shoots each. DuPont Wharf shoots.</v>
          </cell>
        </row>
        <row r="138">
          <cell r="B138" t="str">
            <v>Joemma Beach State Park Mid - DNR - BESE - C - 4 - 2017</v>
          </cell>
          <cell r="C138" t="str">
            <v>JSP_mid_C4</v>
          </cell>
          <cell r="D138" t="str">
            <v>single</v>
          </cell>
          <cell r="E138">
            <v>2017</v>
          </cell>
          <cell r="G138" t="str">
            <v>point</v>
          </cell>
          <cell r="H138" t="str">
            <v>Case Inlet</v>
          </cell>
          <cell r="I138" t="str">
            <v>CPS</v>
          </cell>
          <cell r="J138" t="str">
            <v>BESE: Biodegradable ecosystem engineering elements</v>
          </cell>
          <cell r="K138" t="str">
            <v>DNR</v>
          </cell>
          <cell r="L138" t="str">
            <v>Nearshore Habitat Program</v>
          </cell>
          <cell r="R138" t="str">
            <v>test</v>
          </cell>
          <cell r="S138" t="str">
            <v>--</v>
          </cell>
          <cell r="T138">
            <v>42880</v>
          </cell>
          <cell r="U138">
            <v>47.222720000000002</v>
          </cell>
          <cell r="V138">
            <v>-122.81038599999999</v>
          </cell>
          <cell r="W138" t="str">
            <v>point</v>
          </cell>
          <cell r="X138" t="str">
            <v>retain</v>
          </cell>
          <cell r="Y138" t="str">
            <v>WGS84</v>
          </cell>
          <cell r="AA138" t="str">
            <v>staple</v>
          </cell>
          <cell r="AB138">
            <v>1</v>
          </cell>
          <cell r="AC138">
            <v>1</v>
          </cell>
          <cell r="AD138">
            <v>1</v>
          </cell>
          <cell r="AE138">
            <v>8.0000000000000002E-3</v>
          </cell>
          <cell r="AF138">
            <v>1.4999999999999999E-2</v>
          </cell>
          <cell r="AG138">
            <v>3</v>
          </cell>
          <cell r="AH138">
            <v>12</v>
          </cell>
          <cell r="AI138">
            <v>12</v>
          </cell>
          <cell r="AJ138">
            <v>1500</v>
          </cell>
          <cell r="AK138" t="str">
            <v>DuPont Wharf</v>
          </cell>
          <cell r="AL138" t="str">
            <v>Biodegradable ecosystem engineering elements (BESE) for Marjolijn Christianen, Wageningen University &amp; Research, Netherlands. Overall area was 1 m2. Actual was 0.1 m2 (10 x 10 cm area in center of BESE. 3 planting units with 4 shoots each. DuPont Wharf shoots.</v>
          </cell>
        </row>
        <row r="139">
          <cell r="B139" t="str">
            <v>Joemma Beach State Park Mid - DNR - BESE - BG - 4 - 2017</v>
          </cell>
          <cell r="C139" t="str">
            <v>JSP_mid_BG4</v>
          </cell>
          <cell r="D139" t="str">
            <v>single</v>
          </cell>
          <cell r="E139">
            <v>2017</v>
          </cell>
          <cell r="G139" t="str">
            <v>point</v>
          </cell>
          <cell r="H139" t="str">
            <v>Case Inlet</v>
          </cell>
          <cell r="I139" t="str">
            <v>CPS</v>
          </cell>
          <cell r="J139" t="str">
            <v>BESE: Biodegradable ecosystem engineering elements</v>
          </cell>
          <cell r="K139" t="str">
            <v>DNR</v>
          </cell>
          <cell r="L139" t="str">
            <v>Nearshore Habitat Program</v>
          </cell>
          <cell r="R139" t="str">
            <v>test</v>
          </cell>
          <cell r="S139" t="str">
            <v>--</v>
          </cell>
          <cell r="T139">
            <v>42880</v>
          </cell>
          <cell r="U139">
            <v>47.222659</v>
          </cell>
          <cell r="V139">
            <v>-122.810361</v>
          </cell>
          <cell r="W139" t="str">
            <v>point</v>
          </cell>
          <cell r="X139" t="str">
            <v>retain</v>
          </cell>
          <cell r="Y139" t="str">
            <v>WGS84</v>
          </cell>
          <cell r="AA139" t="str">
            <v>staple</v>
          </cell>
          <cell r="AB139">
            <v>1</v>
          </cell>
          <cell r="AC139">
            <v>1</v>
          </cell>
          <cell r="AD139">
            <v>1</v>
          </cell>
          <cell r="AE139">
            <v>8.0000000000000002E-3</v>
          </cell>
          <cell r="AF139">
            <v>1.4999999999999999E-2</v>
          </cell>
          <cell r="AG139">
            <v>3</v>
          </cell>
          <cell r="AH139">
            <v>12</v>
          </cell>
          <cell r="AI139">
            <v>12</v>
          </cell>
          <cell r="AJ139">
            <v>1500</v>
          </cell>
          <cell r="AK139" t="str">
            <v>DuPont Wharf</v>
          </cell>
          <cell r="AL139" t="str">
            <v>Biodegradable ecosystem engineering elements (BESE) for Marjolijn Christianen, Wageningen University &amp; Research, Netherlands. Overall area was 1 m2. Actual was 0.1 m2 (10 x 10 cm area in center of BESE. 3 planting units with 4 shoots each. DuPont Wharf shoots.</v>
          </cell>
        </row>
        <row r="140">
          <cell r="B140" t="str">
            <v>Joemma Beach State Park Mid - DNR - BESE - AG - 3 - 2017</v>
          </cell>
          <cell r="C140" t="str">
            <v>JSP_mid_AG3</v>
          </cell>
          <cell r="D140" t="str">
            <v>single</v>
          </cell>
          <cell r="E140">
            <v>2017</v>
          </cell>
          <cell r="G140" t="str">
            <v>point</v>
          </cell>
          <cell r="H140" t="str">
            <v>Case Inlet</v>
          </cell>
          <cell r="I140" t="str">
            <v>CPS</v>
          </cell>
          <cell r="J140" t="str">
            <v>BESE: Biodegradable ecosystem engineering elements</v>
          </cell>
          <cell r="K140" t="str">
            <v>DNR</v>
          </cell>
          <cell r="L140" t="str">
            <v>Nearshore Habitat Program</v>
          </cell>
          <cell r="R140" t="str">
            <v>test</v>
          </cell>
          <cell r="S140" t="str">
            <v>--</v>
          </cell>
          <cell r="T140">
            <v>42880</v>
          </cell>
          <cell r="U140">
            <v>47.222687999999998</v>
          </cell>
          <cell r="V140">
            <v>-122.810372</v>
          </cell>
          <cell r="W140" t="str">
            <v>point</v>
          </cell>
          <cell r="X140" t="str">
            <v>retain</v>
          </cell>
          <cell r="Y140" t="str">
            <v>WGS84</v>
          </cell>
          <cell r="AA140" t="str">
            <v>staple</v>
          </cell>
          <cell r="AB140">
            <v>1</v>
          </cell>
          <cell r="AC140">
            <v>1</v>
          </cell>
          <cell r="AD140">
            <v>1</v>
          </cell>
          <cell r="AE140">
            <v>8.0000000000000002E-3</v>
          </cell>
          <cell r="AF140">
            <v>1.4999999999999999E-2</v>
          </cell>
          <cell r="AG140">
            <v>3</v>
          </cell>
          <cell r="AH140">
            <v>12</v>
          </cell>
          <cell r="AI140">
            <v>12</v>
          </cell>
          <cell r="AJ140">
            <v>1500</v>
          </cell>
          <cell r="AK140" t="str">
            <v>DuPont Wharf</v>
          </cell>
          <cell r="AL140" t="str">
            <v>Biodegradable ecosystem engineering elements (BESE) for Marjolijn Christianen, Wageningen University &amp; Research, Netherlands. Overall area was 1 m2. Actual was 0.1 m2 (10 x 10 cm area in center of BESE. 3 planting units with 4 shoots each. DuPont Wharf shoots.</v>
          </cell>
        </row>
        <row r="141">
          <cell r="B141" t="str">
            <v>Joemma Beach State Park Mid - DNR - BESE - AG - 4 - 2017</v>
          </cell>
          <cell r="C141" t="str">
            <v>JSP_mid_AG4</v>
          </cell>
          <cell r="D141" t="str">
            <v>single</v>
          </cell>
          <cell r="E141">
            <v>2017</v>
          </cell>
          <cell r="G141" t="str">
            <v>point</v>
          </cell>
          <cell r="H141" t="str">
            <v>Case Inlet</v>
          </cell>
          <cell r="I141" t="str">
            <v>CPS</v>
          </cell>
          <cell r="J141" t="str">
            <v>BESE: Biodegradable ecosystem engineering elements</v>
          </cell>
          <cell r="K141" t="str">
            <v>DNR</v>
          </cell>
          <cell r="L141" t="str">
            <v>Nearshore Habitat Program</v>
          </cell>
          <cell r="R141" t="str">
            <v>test</v>
          </cell>
          <cell r="S141" t="str">
            <v>--</v>
          </cell>
          <cell r="T141">
            <v>42880</v>
          </cell>
          <cell r="U141">
            <v>47.222732999999998</v>
          </cell>
          <cell r="V141">
            <v>-122.8104</v>
          </cell>
          <cell r="W141" t="str">
            <v>point</v>
          </cell>
          <cell r="X141" t="str">
            <v>retain</v>
          </cell>
          <cell r="Y141" t="str">
            <v>WGS84</v>
          </cell>
          <cell r="AA141" t="str">
            <v>staple</v>
          </cell>
          <cell r="AB141">
            <v>1</v>
          </cell>
          <cell r="AC141">
            <v>1</v>
          </cell>
          <cell r="AD141">
            <v>1</v>
          </cell>
          <cell r="AE141">
            <v>8.0000000000000002E-3</v>
          </cell>
          <cell r="AF141">
            <v>1.4999999999999999E-2</v>
          </cell>
          <cell r="AG141">
            <v>3</v>
          </cell>
          <cell r="AH141">
            <v>12</v>
          </cell>
          <cell r="AI141">
            <v>12</v>
          </cell>
          <cell r="AJ141">
            <v>1500</v>
          </cell>
          <cell r="AK141" t="str">
            <v>DuPont Wharf</v>
          </cell>
          <cell r="AL141" t="str">
            <v>Biodegradable ecosystem engineering elements (BESE) for Marjolijn Christianen, Wageningen University &amp; Research, Netherlands. Overall area was 1 m2. Actual was 0.1 m2 (10 x 10 cm area in center of BESE. 3 planting units with 4 shoots each. DuPont Wharf shoots.</v>
          </cell>
        </row>
        <row r="142">
          <cell r="B142" t="str">
            <v>Joemma Beach State Park North - SE - DNR - methods - 2017</v>
          </cell>
          <cell r="C142" t="str">
            <v>JSP_north_P1</v>
          </cell>
          <cell r="D142" t="str">
            <v>single</v>
          </cell>
          <cell r="E142">
            <v>2017</v>
          </cell>
          <cell r="G142" t="str">
            <v>polygon</v>
          </cell>
          <cell r="H142" t="str">
            <v>Case Inlet</v>
          </cell>
          <cell r="I142" t="str">
            <v>CPS</v>
          </cell>
          <cell r="J142" t="str">
            <v>Zm Restoration Methods Assessment</v>
          </cell>
          <cell r="K142" t="str">
            <v>DNR</v>
          </cell>
          <cell r="L142" t="str">
            <v>Nearshore Habitat Program</v>
          </cell>
          <cell r="R142" t="str">
            <v>test</v>
          </cell>
          <cell r="S142" t="str">
            <v>test</v>
          </cell>
          <cell r="T142">
            <v>42881</v>
          </cell>
          <cell r="U142">
            <v>47.226010000000002</v>
          </cell>
          <cell r="V142">
            <v>-122.81377000000001</v>
          </cell>
          <cell r="W142" t="str">
            <v>polygon</v>
          </cell>
          <cell r="X142" t="str">
            <v>drop</v>
          </cell>
          <cell r="Y142" t="str">
            <v>WGS84</v>
          </cell>
          <cell r="AA142" t="str">
            <v>burlap</v>
          </cell>
          <cell r="AB142">
            <v>10</v>
          </cell>
          <cell r="AC142">
            <v>4</v>
          </cell>
          <cell r="AD142">
            <v>40</v>
          </cell>
          <cell r="AE142">
            <v>1.25</v>
          </cell>
          <cell r="AF142">
            <v>0.1875</v>
          </cell>
          <cell r="AG142">
            <v>3</v>
          </cell>
          <cell r="AH142">
            <v>90</v>
          </cell>
          <cell r="AI142">
            <v>2.25</v>
          </cell>
          <cell r="AJ142">
            <v>72</v>
          </cell>
          <cell r="AK142" t="str">
            <v>DuPont Wharf</v>
          </cell>
          <cell r="AL142" t="str">
            <v>overall area was 10 m x 4 m (40 m2), Actual area was 5 m2 (20, 0.25 m2 plots)</v>
          </cell>
        </row>
        <row r="143">
          <cell r="B143" t="str">
            <v>Joemma Beach State Park North - SW - DNR - methods - 2017</v>
          </cell>
          <cell r="C143" t="str">
            <v>JSP_north_P1</v>
          </cell>
          <cell r="D143" t="str">
            <v>single</v>
          </cell>
          <cell r="E143">
            <v>2017</v>
          </cell>
          <cell r="G143" t="str">
            <v>polygon</v>
          </cell>
          <cell r="H143" t="str">
            <v>Case Inlet</v>
          </cell>
          <cell r="I143" t="str">
            <v>CPS</v>
          </cell>
          <cell r="J143" t="str">
            <v>Zm Restoration Methods Assessment</v>
          </cell>
          <cell r="K143" t="str">
            <v>DNR</v>
          </cell>
          <cell r="L143" t="str">
            <v>Nearshore Habitat Program</v>
          </cell>
          <cell r="R143" t="str">
            <v>test</v>
          </cell>
          <cell r="S143" t="str">
            <v>--</v>
          </cell>
          <cell r="T143">
            <v>42881</v>
          </cell>
          <cell r="W143" t="str">
            <v>polygon</v>
          </cell>
          <cell r="X143" t="str">
            <v>drop</v>
          </cell>
          <cell r="Y143" t="str">
            <v>WGS84</v>
          </cell>
          <cell r="AA143" t="str">
            <v>washer</v>
          </cell>
          <cell r="AB143">
            <v>10</v>
          </cell>
          <cell r="AC143">
            <v>4</v>
          </cell>
          <cell r="AD143">
            <v>40</v>
          </cell>
          <cell r="AE143">
            <v>1.25</v>
          </cell>
          <cell r="AF143">
            <v>2.2499999999999999E-2</v>
          </cell>
          <cell r="AG143">
            <v>9</v>
          </cell>
          <cell r="AH143">
            <v>90</v>
          </cell>
          <cell r="AI143">
            <v>2.25</v>
          </cell>
          <cell r="AJ143">
            <v>72</v>
          </cell>
          <cell r="AK143" t="str">
            <v>DuPont Wharf</v>
          </cell>
        </row>
        <row r="144">
          <cell r="B144" t="str">
            <v>Joemma Beach State Park North - NE - DNR - methods - 2017</v>
          </cell>
          <cell r="C144" t="str">
            <v>JSP_north_P1</v>
          </cell>
          <cell r="D144" t="str">
            <v>single</v>
          </cell>
          <cell r="E144">
            <v>2017</v>
          </cell>
          <cell r="G144" t="str">
            <v>polygon</v>
          </cell>
          <cell r="H144" t="str">
            <v>Case Inlet</v>
          </cell>
          <cell r="I144" t="str">
            <v>CPS</v>
          </cell>
          <cell r="J144" t="str">
            <v>Zm Restoration Methods Assessment</v>
          </cell>
          <cell r="K144" t="str">
            <v>DNR</v>
          </cell>
          <cell r="L144" t="str">
            <v>Nearshore Habitat Program</v>
          </cell>
          <cell r="R144" t="str">
            <v>test</v>
          </cell>
          <cell r="S144" t="str">
            <v>--</v>
          </cell>
          <cell r="T144">
            <v>42881</v>
          </cell>
          <cell r="U144">
            <v>47.225969999999997</v>
          </cell>
          <cell r="V144">
            <v>-122.81366</v>
          </cell>
          <cell r="W144" t="str">
            <v>polygon</v>
          </cell>
          <cell r="X144" t="str">
            <v>drop</v>
          </cell>
          <cell r="Y144" t="str">
            <v>WGS84</v>
          </cell>
          <cell r="AA144" t="str">
            <v>staple</v>
          </cell>
          <cell r="AB144">
            <v>10</v>
          </cell>
          <cell r="AC144">
            <v>4</v>
          </cell>
          <cell r="AD144">
            <v>40</v>
          </cell>
          <cell r="AE144">
            <v>1.25</v>
          </cell>
          <cell r="AF144">
            <v>4.4999999999999998E-2</v>
          </cell>
          <cell r="AG144">
            <v>9</v>
          </cell>
          <cell r="AH144">
            <v>90</v>
          </cell>
          <cell r="AI144">
            <v>2.25</v>
          </cell>
          <cell r="AJ144">
            <v>72</v>
          </cell>
          <cell r="AK144" t="str">
            <v>DuPont Wharf</v>
          </cell>
        </row>
        <row r="145">
          <cell r="B145" t="str">
            <v>Joemma Beach State Park North - NW - DNR - methods - 2017</v>
          </cell>
          <cell r="C145" t="str">
            <v>JSP_north_P1</v>
          </cell>
          <cell r="D145" t="str">
            <v>single</v>
          </cell>
          <cell r="E145">
            <v>2017</v>
          </cell>
          <cell r="G145" t="str">
            <v>polygon</v>
          </cell>
          <cell r="H145" t="str">
            <v>Case Inlet</v>
          </cell>
          <cell r="I145" t="str">
            <v>CPS</v>
          </cell>
          <cell r="J145" t="str">
            <v>Zm Restoration Methods Assessment</v>
          </cell>
          <cell r="K145" t="str">
            <v>DNR</v>
          </cell>
          <cell r="L145" t="str">
            <v>Nearshore Habitat Program</v>
          </cell>
          <cell r="R145" t="str">
            <v>test</v>
          </cell>
          <cell r="S145" t="str">
            <v>--</v>
          </cell>
          <cell r="T145">
            <v>42881</v>
          </cell>
          <cell r="W145" t="str">
            <v>polygon</v>
          </cell>
          <cell r="X145" t="str">
            <v>drop</v>
          </cell>
          <cell r="Y145" t="str">
            <v>WGS84</v>
          </cell>
          <cell r="AA145" t="str">
            <v>rebar</v>
          </cell>
          <cell r="AB145">
            <v>10</v>
          </cell>
          <cell r="AC145">
            <v>4</v>
          </cell>
          <cell r="AD145">
            <v>40</v>
          </cell>
          <cell r="AE145">
            <v>1.25</v>
          </cell>
          <cell r="AF145">
            <v>7.5000000000000011E-2</v>
          </cell>
          <cell r="AG145">
            <v>3</v>
          </cell>
          <cell r="AH145">
            <v>90</v>
          </cell>
          <cell r="AI145">
            <v>2.25</v>
          </cell>
          <cell r="AJ145">
            <v>72</v>
          </cell>
          <cell r="AK145" t="str">
            <v>DuPont Wharf</v>
          </cell>
        </row>
        <row r="146">
          <cell r="B146" t="str">
            <v>Joemma Beach State Park Mid - SE - DNR - methods - 2017</v>
          </cell>
          <cell r="C146" t="str">
            <v>JSP_mid_P1</v>
          </cell>
          <cell r="D146" t="str">
            <v>single</v>
          </cell>
          <cell r="E146">
            <v>2017</v>
          </cell>
          <cell r="G146" t="str">
            <v>polygon</v>
          </cell>
          <cell r="H146" t="str">
            <v>Case Inlet</v>
          </cell>
          <cell r="I146" t="str">
            <v>CPS</v>
          </cell>
          <cell r="J146" t="str">
            <v>Zm Restoration Methods Assessment</v>
          </cell>
          <cell r="K146" t="str">
            <v>DNR</v>
          </cell>
          <cell r="L146" t="str">
            <v>Nearshore Habitat Program</v>
          </cell>
          <cell r="R146" t="str">
            <v>test</v>
          </cell>
          <cell r="S146" t="str">
            <v>test</v>
          </cell>
          <cell r="T146">
            <v>42881</v>
          </cell>
          <cell r="U146">
            <v>47.222769999999997</v>
          </cell>
          <cell r="V146">
            <v>-122.81052</v>
          </cell>
          <cell r="W146" t="str">
            <v>polygon</v>
          </cell>
          <cell r="X146" t="str">
            <v>drop</v>
          </cell>
          <cell r="Y146" t="str">
            <v>WGS84</v>
          </cell>
          <cell r="AA146" t="str">
            <v>burlap</v>
          </cell>
          <cell r="AB146">
            <v>10</v>
          </cell>
          <cell r="AC146">
            <v>4</v>
          </cell>
          <cell r="AD146">
            <v>40</v>
          </cell>
          <cell r="AE146">
            <v>1.25</v>
          </cell>
          <cell r="AF146">
            <v>0.1875</v>
          </cell>
          <cell r="AG146">
            <v>3</v>
          </cell>
          <cell r="AH146">
            <v>90</v>
          </cell>
          <cell r="AI146">
            <v>2.25</v>
          </cell>
          <cell r="AJ146">
            <v>72</v>
          </cell>
          <cell r="AK146" t="str">
            <v>DuPont Wharf</v>
          </cell>
          <cell r="AL146" t="str">
            <v>overall area was 10 m x 4 m (40 m2), Actual area was 5 m2 (20, 0.25 m2 plots)</v>
          </cell>
        </row>
        <row r="147">
          <cell r="B147" t="str">
            <v>Joemma Beach State Park Mid - SW - DNR - methods - 2017</v>
          </cell>
          <cell r="C147" t="str">
            <v>JSP_mid_P1</v>
          </cell>
          <cell r="D147" t="str">
            <v>single</v>
          </cell>
          <cell r="E147">
            <v>2017</v>
          </cell>
          <cell r="G147" t="str">
            <v>polygon</v>
          </cell>
          <cell r="H147" t="str">
            <v>Case Inlet</v>
          </cell>
          <cell r="I147" t="str">
            <v>CPS</v>
          </cell>
          <cell r="J147" t="str">
            <v>Zm Restoration Methods Assessment</v>
          </cell>
          <cell r="K147" t="str">
            <v>DNR</v>
          </cell>
          <cell r="L147" t="str">
            <v>Nearshore Habitat Program</v>
          </cell>
          <cell r="R147" t="str">
            <v>test</v>
          </cell>
          <cell r="S147" t="str">
            <v>--</v>
          </cell>
          <cell r="T147">
            <v>42881</v>
          </cell>
          <cell r="W147" t="str">
            <v>polygon</v>
          </cell>
          <cell r="X147" t="str">
            <v>drop</v>
          </cell>
          <cell r="Y147" t="str">
            <v>WGS84</v>
          </cell>
          <cell r="AA147" t="str">
            <v>washer</v>
          </cell>
          <cell r="AB147">
            <v>10</v>
          </cell>
          <cell r="AC147">
            <v>4</v>
          </cell>
          <cell r="AD147">
            <v>40</v>
          </cell>
          <cell r="AE147">
            <v>1.25</v>
          </cell>
          <cell r="AF147">
            <v>2.2499999999999999E-2</v>
          </cell>
          <cell r="AG147">
            <v>9</v>
          </cell>
          <cell r="AH147">
            <v>90</v>
          </cell>
          <cell r="AI147">
            <v>2.25</v>
          </cell>
          <cell r="AJ147">
            <v>72</v>
          </cell>
          <cell r="AK147" t="str">
            <v>DuPont Wharf</v>
          </cell>
        </row>
        <row r="148">
          <cell r="B148" t="str">
            <v>Joemma Beach State Park Mid - NE - DNR - methods - 2017</v>
          </cell>
          <cell r="C148" t="str">
            <v>JSP_mid_P1</v>
          </cell>
          <cell r="D148" t="str">
            <v>single</v>
          </cell>
          <cell r="E148">
            <v>2017</v>
          </cell>
          <cell r="G148" t="str">
            <v>polygon</v>
          </cell>
          <cell r="H148" t="str">
            <v>Case Inlet</v>
          </cell>
          <cell r="I148" t="str">
            <v>CPS</v>
          </cell>
          <cell r="J148" t="str">
            <v>Zm Restoration Methods Assessment</v>
          </cell>
          <cell r="K148" t="str">
            <v>DNR</v>
          </cell>
          <cell r="L148" t="str">
            <v>Nearshore Habitat Program</v>
          </cell>
          <cell r="R148" t="str">
            <v>test</v>
          </cell>
          <cell r="S148" t="str">
            <v>--</v>
          </cell>
          <cell r="T148">
            <v>42881</v>
          </cell>
          <cell r="U148">
            <v>47.222839999999998</v>
          </cell>
          <cell r="V148">
            <v>-122.81056</v>
          </cell>
          <cell r="W148" t="str">
            <v>polygon</v>
          </cell>
          <cell r="X148" t="str">
            <v>drop</v>
          </cell>
          <cell r="Y148" t="str">
            <v>WGS84</v>
          </cell>
          <cell r="AA148" t="str">
            <v>staple</v>
          </cell>
          <cell r="AB148">
            <v>10</v>
          </cell>
          <cell r="AC148">
            <v>4</v>
          </cell>
          <cell r="AD148">
            <v>40</v>
          </cell>
          <cell r="AE148">
            <v>1.25</v>
          </cell>
          <cell r="AF148">
            <v>4.4999999999999998E-2</v>
          </cell>
          <cell r="AG148">
            <v>9</v>
          </cell>
          <cell r="AH148">
            <v>90</v>
          </cell>
          <cell r="AI148">
            <v>2.25</v>
          </cell>
          <cell r="AJ148">
            <v>72</v>
          </cell>
          <cell r="AK148" t="str">
            <v>DuPont Wharf</v>
          </cell>
        </row>
        <row r="149">
          <cell r="B149" t="str">
            <v>Joemma Beach State Park Mid - NW - DNR - methods - 2017</v>
          </cell>
          <cell r="C149" t="str">
            <v>JSP_mid_P1</v>
          </cell>
          <cell r="D149" t="str">
            <v>single</v>
          </cell>
          <cell r="E149">
            <v>2017</v>
          </cell>
          <cell r="G149" t="str">
            <v>polygon</v>
          </cell>
          <cell r="H149" t="str">
            <v>Case Inlet</v>
          </cell>
          <cell r="I149" t="str">
            <v>CPS</v>
          </cell>
          <cell r="J149" t="str">
            <v>Zm Restoration Methods Assessment</v>
          </cell>
          <cell r="K149" t="str">
            <v>DNR</v>
          </cell>
          <cell r="L149" t="str">
            <v>Nearshore Habitat Program</v>
          </cell>
          <cell r="R149" t="str">
            <v>test</v>
          </cell>
          <cell r="S149" t="str">
            <v>--</v>
          </cell>
          <cell r="T149">
            <v>42881</v>
          </cell>
          <cell r="W149" t="str">
            <v>polygon</v>
          </cell>
          <cell r="X149" t="str">
            <v>drop</v>
          </cell>
          <cell r="Y149" t="str">
            <v>WGS84</v>
          </cell>
          <cell r="AA149" t="str">
            <v>rebar</v>
          </cell>
          <cell r="AB149">
            <v>10</v>
          </cell>
          <cell r="AC149">
            <v>4</v>
          </cell>
          <cell r="AD149">
            <v>40</v>
          </cell>
          <cell r="AE149">
            <v>1.25</v>
          </cell>
          <cell r="AF149">
            <v>7.5000000000000011E-2</v>
          </cell>
          <cell r="AG149">
            <v>3</v>
          </cell>
          <cell r="AH149">
            <v>90</v>
          </cell>
          <cell r="AI149">
            <v>2.25</v>
          </cell>
          <cell r="AJ149">
            <v>72</v>
          </cell>
          <cell r="AK149" t="str">
            <v>DuPont Wharf</v>
          </cell>
        </row>
        <row r="150">
          <cell r="B150" t="str">
            <v>Joemma Beach State Park South - SE - DNR - methods - 2017</v>
          </cell>
          <cell r="C150" t="str">
            <v>JSP_south_P5</v>
          </cell>
          <cell r="D150" t="str">
            <v>single</v>
          </cell>
          <cell r="E150">
            <v>2017</v>
          </cell>
          <cell r="G150" t="str">
            <v>polygon</v>
          </cell>
          <cell r="H150" t="str">
            <v>Case Inlet</v>
          </cell>
          <cell r="I150" t="str">
            <v>CPS</v>
          </cell>
          <cell r="J150" t="str">
            <v>Zm Restoration Methods Assessment</v>
          </cell>
          <cell r="K150" t="str">
            <v>DNR</v>
          </cell>
          <cell r="L150" t="str">
            <v>Nearshore Habitat Program</v>
          </cell>
          <cell r="R150" t="str">
            <v>test</v>
          </cell>
          <cell r="S150" t="str">
            <v>test</v>
          </cell>
          <cell r="T150">
            <v>42881</v>
          </cell>
          <cell r="U150">
            <v>47.221080000000001</v>
          </cell>
          <cell r="V150">
            <v>-122.80929</v>
          </cell>
          <cell r="W150" t="str">
            <v>point</v>
          </cell>
          <cell r="X150" t="str">
            <v>retain</v>
          </cell>
          <cell r="Y150" t="str">
            <v>WGS84</v>
          </cell>
          <cell r="AA150" t="str">
            <v>burlap</v>
          </cell>
          <cell r="AB150">
            <v>10</v>
          </cell>
          <cell r="AC150">
            <v>4</v>
          </cell>
          <cell r="AD150">
            <v>40</v>
          </cell>
          <cell r="AE150">
            <v>1.25</v>
          </cell>
          <cell r="AF150">
            <v>0.1875</v>
          </cell>
          <cell r="AG150">
            <v>3</v>
          </cell>
          <cell r="AH150">
            <v>90</v>
          </cell>
          <cell r="AI150">
            <v>2.25</v>
          </cell>
          <cell r="AJ150">
            <v>72</v>
          </cell>
          <cell r="AK150" t="str">
            <v>DuPont Wharf</v>
          </cell>
          <cell r="AL150" t="str">
            <v>overall area was 10 m x 4 m (40 m2), Actual area was 5 m2 (20, 0.25 m2 plots)</v>
          </cell>
        </row>
        <row r="151">
          <cell r="B151" t="str">
            <v>Joemma Beach State Park South - SW - DNR - methods - 2017</v>
          </cell>
          <cell r="C151" t="str">
            <v>JSP_south_P5</v>
          </cell>
          <cell r="D151" t="str">
            <v>single</v>
          </cell>
          <cell r="E151">
            <v>2017</v>
          </cell>
          <cell r="G151" t="str">
            <v>polygon</v>
          </cell>
          <cell r="H151" t="str">
            <v>Case Inlet</v>
          </cell>
          <cell r="I151" t="str">
            <v>CPS</v>
          </cell>
          <cell r="J151" t="str">
            <v>Zm Restoration Methods Assessment</v>
          </cell>
          <cell r="K151" t="str">
            <v>DNR</v>
          </cell>
          <cell r="L151" t="str">
            <v>Nearshore Habitat Program</v>
          </cell>
          <cell r="R151" t="str">
            <v>test</v>
          </cell>
          <cell r="S151" t="str">
            <v>--</v>
          </cell>
          <cell r="T151">
            <v>42881</v>
          </cell>
          <cell r="U151">
            <v>47.221069999999997</v>
          </cell>
          <cell r="V151">
            <v>-122.80933</v>
          </cell>
          <cell r="W151" t="str">
            <v>point</v>
          </cell>
          <cell r="X151" t="str">
            <v>retain</v>
          </cell>
          <cell r="Y151" t="str">
            <v>WGS84</v>
          </cell>
          <cell r="AA151" t="str">
            <v>washer</v>
          </cell>
          <cell r="AB151">
            <v>10</v>
          </cell>
          <cell r="AC151">
            <v>4</v>
          </cell>
          <cell r="AD151">
            <v>40</v>
          </cell>
          <cell r="AE151">
            <v>1.25</v>
          </cell>
          <cell r="AF151">
            <v>2.2499999999999999E-2</v>
          </cell>
          <cell r="AG151">
            <v>9</v>
          </cell>
          <cell r="AH151">
            <v>90</v>
          </cell>
          <cell r="AI151">
            <v>2.25</v>
          </cell>
          <cell r="AJ151">
            <v>72</v>
          </cell>
          <cell r="AK151" t="str">
            <v>DuPont Wharf</v>
          </cell>
        </row>
        <row r="152">
          <cell r="B152" t="str">
            <v>Joemma Beach State Park South - NE - DNR - methods - 2017</v>
          </cell>
          <cell r="C152" t="str">
            <v>JSP_south_P5</v>
          </cell>
          <cell r="D152" t="str">
            <v>single</v>
          </cell>
          <cell r="E152">
            <v>2017</v>
          </cell>
          <cell r="G152" t="str">
            <v>polygon</v>
          </cell>
          <cell r="H152" t="str">
            <v>Case Inlet</v>
          </cell>
          <cell r="I152" t="str">
            <v>CPS</v>
          </cell>
          <cell r="J152" t="str">
            <v>Zm Restoration Methods Assessment</v>
          </cell>
          <cell r="K152" t="str">
            <v>DNR</v>
          </cell>
          <cell r="L152" t="str">
            <v>Nearshore Habitat Program</v>
          </cell>
          <cell r="R152" t="str">
            <v>test</v>
          </cell>
          <cell r="S152" t="str">
            <v>--</v>
          </cell>
          <cell r="T152">
            <v>42881</v>
          </cell>
          <cell r="U152">
            <v>47.221179999999997</v>
          </cell>
          <cell r="V152">
            <v>-122.80933</v>
          </cell>
          <cell r="W152" t="str">
            <v>point</v>
          </cell>
          <cell r="X152" t="str">
            <v>retain</v>
          </cell>
          <cell r="Y152" t="str">
            <v>WGS84</v>
          </cell>
          <cell r="AA152" t="str">
            <v>staple</v>
          </cell>
          <cell r="AB152">
            <v>10</v>
          </cell>
          <cell r="AC152">
            <v>4</v>
          </cell>
          <cell r="AD152">
            <v>40</v>
          </cell>
          <cell r="AE152">
            <v>1.25</v>
          </cell>
          <cell r="AF152">
            <v>4.4999999999999998E-2</v>
          </cell>
          <cell r="AG152">
            <v>9</v>
          </cell>
          <cell r="AH152">
            <v>90</v>
          </cell>
          <cell r="AI152">
            <v>2.25</v>
          </cell>
          <cell r="AJ152">
            <v>72</v>
          </cell>
          <cell r="AK152" t="str">
            <v>DuPont Wharf</v>
          </cell>
        </row>
        <row r="153">
          <cell r="B153" t="str">
            <v>Joemma Beach State Park South - NW - DNR - methods - 2017</v>
          </cell>
          <cell r="C153" t="str">
            <v>JSP_south_P5</v>
          </cell>
          <cell r="D153" t="str">
            <v>single</v>
          </cell>
          <cell r="E153">
            <v>2017</v>
          </cell>
          <cell r="G153" t="str">
            <v>polygon</v>
          </cell>
          <cell r="H153" t="str">
            <v>Case Inlet</v>
          </cell>
          <cell r="I153" t="str">
            <v>CPS</v>
          </cell>
          <cell r="J153" t="str">
            <v>Zm Restoration Methods Assessment</v>
          </cell>
          <cell r="K153" t="str">
            <v>DNR</v>
          </cell>
          <cell r="L153" t="str">
            <v>Nearshore Habitat Program</v>
          </cell>
          <cell r="R153" t="str">
            <v>test</v>
          </cell>
          <cell r="S153" t="str">
            <v>--</v>
          </cell>
          <cell r="T153">
            <v>42881</v>
          </cell>
          <cell r="U153">
            <v>47.221110000000003</v>
          </cell>
          <cell r="V153">
            <v>-122.80936</v>
          </cell>
          <cell r="W153" t="str">
            <v>point</v>
          </cell>
          <cell r="X153" t="str">
            <v>retain</v>
          </cell>
          <cell r="Y153" t="str">
            <v>WGS84</v>
          </cell>
          <cell r="AA153" t="str">
            <v>rebar</v>
          </cell>
          <cell r="AB153">
            <v>10</v>
          </cell>
          <cell r="AC153">
            <v>4</v>
          </cell>
          <cell r="AD153">
            <v>40</v>
          </cell>
          <cell r="AE153">
            <v>1.25</v>
          </cell>
          <cell r="AF153">
            <v>7.5000000000000011E-2</v>
          </cell>
          <cell r="AG153">
            <v>3</v>
          </cell>
          <cell r="AH153">
            <v>90</v>
          </cell>
          <cell r="AI153">
            <v>2.25</v>
          </cell>
          <cell r="AJ153">
            <v>72</v>
          </cell>
          <cell r="AK153" t="str">
            <v>DuPont Wharf</v>
          </cell>
        </row>
        <row r="154">
          <cell r="B154" t="str">
            <v>Joemma Beach State Park Mid South - PNNL - large - T4-5 - 2015</v>
          </cell>
          <cell r="C154" t="str">
            <v>JSP_mid_south_2</v>
          </cell>
          <cell r="D154" t="str">
            <v>single</v>
          </cell>
          <cell r="E154">
            <v>2017</v>
          </cell>
          <cell r="G154" t="str">
            <v>point</v>
          </cell>
          <cell r="H154" t="str">
            <v>Case Inlet</v>
          </cell>
          <cell r="I154" t="str">
            <v>CPS</v>
          </cell>
          <cell r="J154" t="str">
            <v>DNR</v>
          </cell>
          <cell r="K154" t="str">
            <v>DNR</v>
          </cell>
          <cell r="L154" t="str">
            <v>Nearshore Habitat Program</v>
          </cell>
          <cell r="R154" t="str">
            <v>test</v>
          </cell>
          <cell r="S154" t="str">
            <v>test</v>
          </cell>
          <cell r="T154">
            <v>42883</v>
          </cell>
          <cell r="W154" t="str">
            <v>point</v>
          </cell>
          <cell r="X154" t="str">
            <v>drop</v>
          </cell>
          <cell r="Y154" t="str">
            <v>WGS84</v>
          </cell>
          <cell r="AA154" t="str">
            <v>rebar</v>
          </cell>
          <cell r="AB154">
            <v>4</v>
          </cell>
          <cell r="AC154">
            <v>0.25</v>
          </cell>
          <cell r="AD154">
            <v>1</v>
          </cell>
          <cell r="AE154">
            <v>1</v>
          </cell>
          <cell r="AF154">
            <v>0.1</v>
          </cell>
          <cell r="AG154">
            <v>4</v>
          </cell>
          <cell r="AH154">
            <v>80</v>
          </cell>
          <cell r="AI154">
            <v>80</v>
          </cell>
          <cell r="AJ154">
            <v>80</v>
          </cell>
          <cell r="AK154" t="str">
            <v>DuPont Wharf</v>
          </cell>
          <cell r="AL154" t="str">
            <v xml:space="preserve">4, 50 cm long rebar with 20 shoots attached to each placed between Transects 4 &amp; 5 of JBSP Mid South - PNNL - large - 2015, approximately 10 m from southern end of transects. </v>
          </cell>
        </row>
        <row r="155">
          <cell r="B155" t="str">
            <v>Joemma Beach State Park Mid South - PNNL - large - T4-5 - 2015</v>
          </cell>
          <cell r="C155" t="str">
            <v>JSP_mid_south_2</v>
          </cell>
          <cell r="D155" t="str">
            <v>single</v>
          </cell>
          <cell r="E155">
            <v>2017</v>
          </cell>
          <cell r="G155" t="str">
            <v>point</v>
          </cell>
          <cell r="H155" t="str">
            <v>Case Inlet</v>
          </cell>
          <cell r="I155" t="str">
            <v>CPS</v>
          </cell>
          <cell r="J155" t="str">
            <v>DNR</v>
          </cell>
          <cell r="K155" t="str">
            <v>DNR</v>
          </cell>
          <cell r="L155" t="str">
            <v>Nearshore Habitat Program</v>
          </cell>
          <cell r="R155" t="str">
            <v>test</v>
          </cell>
          <cell r="S155" t="str">
            <v>test</v>
          </cell>
          <cell r="T155">
            <v>42883</v>
          </cell>
          <cell r="W155" t="str">
            <v>point</v>
          </cell>
          <cell r="X155" t="str">
            <v>drop</v>
          </cell>
          <cell r="Y155" t="str">
            <v>WGS84</v>
          </cell>
          <cell r="AA155" t="str">
            <v>rebar</v>
          </cell>
          <cell r="AB155">
            <v>4</v>
          </cell>
          <cell r="AC155">
            <v>0.25</v>
          </cell>
          <cell r="AD155">
            <v>1</v>
          </cell>
          <cell r="AE155">
            <v>1</v>
          </cell>
          <cell r="AF155">
            <v>0.1</v>
          </cell>
          <cell r="AG155">
            <v>4</v>
          </cell>
          <cell r="AH155">
            <v>100</v>
          </cell>
          <cell r="AI155">
            <v>100</v>
          </cell>
          <cell r="AJ155">
            <v>100</v>
          </cell>
          <cell r="AK155" t="str">
            <v>DuPont Wharf</v>
          </cell>
          <cell r="AL155" t="str">
            <v>4, 50 cm long rebar with 20 shoots attached to each placed between Transects 4 &amp; 5 of JBSP Mid South - PNNL - large - 2015. About 5 meters north of southern extent of Transects 4 &amp; 5.</v>
          </cell>
        </row>
        <row r="156">
          <cell r="B156" t="str">
            <v>Joemma Beach State Park Mid South - PNNL - large - T4-5 - 2015</v>
          </cell>
          <cell r="C156" t="str">
            <v>JSP_mid_south_2</v>
          </cell>
          <cell r="D156" t="str">
            <v>single</v>
          </cell>
          <cell r="E156">
            <v>2017</v>
          </cell>
          <cell r="G156" t="str">
            <v>point</v>
          </cell>
          <cell r="H156" t="str">
            <v>Case Inlet</v>
          </cell>
          <cell r="I156" t="str">
            <v>CPS</v>
          </cell>
          <cell r="J156" t="str">
            <v>DNR</v>
          </cell>
          <cell r="K156" t="str">
            <v>DNR</v>
          </cell>
          <cell r="L156" t="str">
            <v>Nearshore Habitat Program</v>
          </cell>
          <cell r="R156" t="str">
            <v>test</v>
          </cell>
          <cell r="S156" t="str">
            <v>test</v>
          </cell>
          <cell r="T156">
            <v>42883</v>
          </cell>
          <cell r="W156" t="str">
            <v>point</v>
          </cell>
          <cell r="X156" t="str">
            <v>drop</v>
          </cell>
          <cell r="Y156" t="str">
            <v>WGS84</v>
          </cell>
          <cell r="AA156" t="str">
            <v>rebar</v>
          </cell>
          <cell r="AB156">
            <v>2</v>
          </cell>
          <cell r="AC156">
            <v>0.25</v>
          </cell>
          <cell r="AD156">
            <v>0.5</v>
          </cell>
          <cell r="AE156">
            <v>0.5</v>
          </cell>
          <cell r="AF156">
            <v>0.05</v>
          </cell>
          <cell r="AG156">
            <v>2</v>
          </cell>
          <cell r="AH156">
            <v>50</v>
          </cell>
          <cell r="AI156">
            <v>100</v>
          </cell>
          <cell r="AJ156">
            <v>100</v>
          </cell>
          <cell r="AK156" t="str">
            <v>DuPont Wharf</v>
          </cell>
          <cell r="AL156" t="str">
            <v>2, 50 cm long rebar with 20 shoots attached to each placed between Transects 4 &amp; 5 of JBSP Mid South - PNNL - large - 2015. Most southern extent of Transects 4 &amp; 5.</v>
          </cell>
        </row>
        <row r="157">
          <cell r="B157" t="str">
            <v>Joemma Beach State Park Mid South - PNNL - large - T4-5 - 2015</v>
          </cell>
          <cell r="C157" t="str">
            <v>JSP_mid_south_2</v>
          </cell>
          <cell r="D157" t="str">
            <v>single</v>
          </cell>
          <cell r="E157">
            <v>2017</v>
          </cell>
          <cell r="G157" t="str">
            <v>point</v>
          </cell>
          <cell r="H157" t="str">
            <v>Case Inlet</v>
          </cell>
          <cell r="I157" t="str">
            <v>CPS</v>
          </cell>
          <cell r="J157" t="str">
            <v>DNR</v>
          </cell>
          <cell r="K157" t="str">
            <v>DNR</v>
          </cell>
          <cell r="L157" t="str">
            <v>Nearshore Habitat Program</v>
          </cell>
          <cell r="R157" t="str">
            <v>test</v>
          </cell>
          <cell r="S157" t="str">
            <v>test</v>
          </cell>
          <cell r="T157">
            <v>42883</v>
          </cell>
          <cell r="W157" t="str">
            <v>point</v>
          </cell>
          <cell r="X157" t="str">
            <v>drop</v>
          </cell>
          <cell r="Y157" t="str">
            <v>WGS84</v>
          </cell>
          <cell r="AA157" t="str">
            <v>burlap</v>
          </cell>
          <cell r="AB157">
            <v>2</v>
          </cell>
          <cell r="AC157">
            <v>0.25</v>
          </cell>
          <cell r="AD157">
            <v>0.5</v>
          </cell>
          <cell r="AE157">
            <v>0.5</v>
          </cell>
          <cell r="AF157">
            <v>0.125</v>
          </cell>
          <cell r="AG157">
            <v>2</v>
          </cell>
          <cell r="AH157">
            <v>50</v>
          </cell>
          <cell r="AI157">
            <v>100</v>
          </cell>
          <cell r="AJ157">
            <v>100</v>
          </cell>
          <cell r="AK157" t="str">
            <v>DuPont Wharf</v>
          </cell>
          <cell r="AL157" t="str">
            <v>2, 40 cm long burlap strips with 20 shoots attached to each placed between Transects 4 &amp; 5 of JBSP Mid South - PNNL - large - 2015. Most southern extent of Transects 4 &amp; 5.</v>
          </cell>
        </row>
        <row r="158">
          <cell r="B158" t="str">
            <v>Joemma Beach State Park Mid - DNR - BESE v1 - 1 - Aboveground (AG)</v>
          </cell>
          <cell r="C158" t="e">
            <v>#N/A</v>
          </cell>
          <cell r="D158" t="e">
            <v>#N/A</v>
          </cell>
          <cell r="E158">
            <v>2017</v>
          </cell>
          <cell r="G158" t="str">
            <v>point</v>
          </cell>
          <cell r="H158" t="str">
            <v>Case Inlet</v>
          </cell>
          <cell r="I158" t="str">
            <v>CPS</v>
          </cell>
          <cell r="J158" t="str">
            <v>DNR</v>
          </cell>
          <cell r="K158" t="str">
            <v>DNR</v>
          </cell>
          <cell r="L158" t="str">
            <v>Nearshore Habitat Program</v>
          </cell>
          <cell r="R158" t="str">
            <v>test</v>
          </cell>
          <cell r="S158" t="str">
            <v>test</v>
          </cell>
          <cell r="T158">
            <v>42854</v>
          </cell>
          <cell r="U158">
            <v>47.222461000000003</v>
          </cell>
          <cell r="V158">
            <v>-122.810239</v>
          </cell>
          <cell r="W158" t="e">
            <v>#N/A</v>
          </cell>
          <cell r="X158" t="e">
            <v>#N/A</v>
          </cell>
          <cell r="Y158" t="str">
            <v>WGS84</v>
          </cell>
          <cell r="Z158">
            <v>-1.1000000000000001</v>
          </cell>
          <cell r="AA158" t="str">
            <v>staple</v>
          </cell>
          <cell r="AB158">
            <v>1</v>
          </cell>
          <cell r="AC158">
            <v>1</v>
          </cell>
          <cell r="AD158">
            <v>1</v>
          </cell>
          <cell r="AE158">
            <v>8.0000000000000002E-3</v>
          </cell>
          <cell r="AF158">
            <v>1.4999999999999999E-2</v>
          </cell>
          <cell r="AG158">
            <v>3</v>
          </cell>
          <cell r="AH158">
            <v>12</v>
          </cell>
          <cell r="AI158">
            <v>12</v>
          </cell>
          <cell r="AJ158">
            <v>1500</v>
          </cell>
          <cell r="AK158" t="str">
            <v>Dumas Bay</v>
          </cell>
          <cell r="AL158" t="str">
            <v>BESE setup version 1 - setup was incorrect. Rather than removing all the eelgrass, it was left in place and new BESEs set just westward. 3 planting units with 4 shoots each. Dumas Bay shoots.</v>
          </cell>
        </row>
        <row r="159">
          <cell r="B159" t="str">
            <v>Joemma Beach State Park Mid - DNR - BESE v1 - 1 - Belowground (BG)</v>
          </cell>
          <cell r="C159" t="e">
            <v>#N/A</v>
          </cell>
          <cell r="D159" t="e">
            <v>#N/A</v>
          </cell>
          <cell r="E159">
            <v>2017</v>
          </cell>
          <cell r="G159" t="str">
            <v>point</v>
          </cell>
          <cell r="H159" t="str">
            <v>Case Inlet</v>
          </cell>
          <cell r="I159" t="str">
            <v>CPS</v>
          </cell>
          <cell r="J159" t="str">
            <v>DNR</v>
          </cell>
          <cell r="K159" t="str">
            <v>DNR</v>
          </cell>
          <cell r="L159" t="str">
            <v>Nearshore Habitat Program</v>
          </cell>
          <cell r="R159" t="str">
            <v>test</v>
          </cell>
          <cell r="S159" t="str">
            <v>--</v>
          </cell>
          <cell r="T159">
            <v>42854</v>
          </cell>
          <cell r="U159">
            <v>47.222489000000003</v>
          </cell>
          <cell r="V159">
            <v>-122.81026199999999</v>
          </cell>
          <cell r="W159" t="e">
            <v>#N/A</v>
          </cell>
          <cell r="X159" t="e">
            <v>#N/A</v>
          </cell>
          <cell r="Y159" t="str">
            <v>WGS84</v>
          </cell>
          <cell r="AA159" t="str">
            <v>staple</v>
          </cell>
          <cell r="AB159">
            <v>1</v>
          </cell>
          <cell r="AC159">
            <v>1</v>
          </cell>
          <cell r="AD159">
            <v>1</v>
          </cell>
          <cell r="AE159">
            <v>8.0000000000000002E-3</v>
          </cell>
          <cell r="AF159">
            <v>1.4999999999999999E-2</v>
          </cell>
          <cell r="AG159">
            <v>3</v>
          </cell>
          <cell r="AH159">
            <v>12</v>
          </cell>
          <cell r="AI159">
            <v>12</v>
          </cell>
          <cell r="AJ159">
            <v>1500</v>
          </cell>
          <cell r="AK159" t="str">
            <v>Dumas Bay</v>
          </cell>
          <cell r="AL159" t="str">
            <v>BESE setup version 1 - setup was incorrect. Rather than removing all the eelgrass, it was left in place and new BESEs set just westward. 3 planting units with 4 shoots each. Dumas Bay shoots.</v>
          </cell>
        </row>
        <row r="160">
          <cell r="B160" t="str">
            <v>Joemma Beach State Park Mid - DNR - BESE v1 - 1 - Control ( C)</v>
          </cell>
          <cell r="C160" t="e">
            <v>#N/A</v>
          </cell>
          <cell r="D160" t="e">
            <v>#N/A</v>
          </cell>
          <cell r="E160">
            <v>2017</v>
          </cell>
          <cell r="G160" t="str">
            <v>point</v>
          </cell>
          <cell r="H160" t="str">
            <v>Case Inlet</v>
          </cell>
          <cell r="I160" t="str">
            <v>CPS</v>
          </cell>
          <cell r="J160" t="str">
            <v>DNR</v>
          </cell>
          <cell r="K160" t="str">
            <v>DNR</v>
          </cell>
          <cell r="L160" t="str">
            <v>Nearshore Habitat Program</v>
          </cell>
          <cell r="R160" t="str">
            <v>test</v>
          </cell>
          <cell r="S160" t="str">
            <v>--</v>
          </cell>
          <cell r="T160">
            <v>42854</v>
          </cell>
          <cell r="U160">
            <v>47.222512000000002</v>
          </cell>
          <cell r="V160">
            <v>-122.810267</v>
          </cell>
          <cell r="W160" t="e">
            <v>#N/A</v>
          </cell>
          <cell r="X160" t="e">
            <v>#N/A</v>
          </cell>
          <cell r="Y160" t="str">
            <v>WGS84</v>
          </cell>
          <cell r="AA160" t="str">
            <v>staple</v>
          </cell>
          <cell r="AB160">
            <v>1</v>
          </cell>
          <cell r="AC160">
            <v>1</v>
          </cell>
          <cell r="AD160">
            <v>1</v>
          </cell>
          <cell r="AE160">
            <v>8.0000000000000002E-3</v>
          </cell>
          <cell r="AF160">
            <v>1.4999999999999999E-2</v>
          </cell>
          <cell r="AG160">
            <v>3</v>
          </cell>
          <cell r="AH160">
            <v>12</v>
          </cell>
          <cell r="AI160">
            <v>12</v>
          </cell>
          <cell r="AJ160">
            <v>1500</v>
          </cell>
          <cell r="AK160" t="str">
            <v>Dumas Bay</v>
          </cell>
          <cell r="AL160" t="str">
            <v>BESE setup version 1 - setup was incorrect. Rather than removing all the eelgrass, it was left in place and new BESEs set just westward. 3 planting units with 4 shoots each. Dumas Bay shoots.</v>
          </cell>
        </row>
        <row r="161">
          <cell r="B161" t="str">
            <v>Joemma Beach State Park Mid - DNR - BESE v1 - 2 - AG</v>
          </cell>
          <cell r="C161" t="e">
            <v>#N/A</v>
          </cell>
          <cell r="D161" t="e">
            <v>#N/A</v>
          </cell>
          <cell r="E161">
            <v>2017</v>
          </cell>
          <cell r="G161" t="str">
            <v>point</v>
          </cell>
          <cell r="H161" t="str">
            <v>Case Inlet</v>
          </cell>
          <cell r="I161" t="str">
            <v>CPS</v>
          </cell>
          <cell r="J161" t="str">
            <v>DNR</v>
          </cell>
          <cell r="K161" t="str">
            <v>DNR</v>
          </cell>
          <cell r="L161" t="str">
            <v>Nearshore Habitat Program</v>
          </cell>
          <cell r="R161" t="str">
            <v>test</v>
          </cell>
          <cell r="S161" t="str">
            <v>--</v>
          </cell>
          <cell r="T161">
            <v>42854</v>
          </cell>
          <cell r="U161">
            <v>47.222541999999997</v>
          </cell>
          <cell r="V161">
            <v>-122.81027899999999</v>
          </cell>
          <cell r="W161" t="e">
            <v>#N/A</v>
          </cell>
          <cell r="X161" t="e">
            <v>#N/A</v>
          </cell>
          <cell r="Y161" t="str">
            <v>WGS84</v>
          </cell>
          <cell r="AA161" t="str">
            <v>staple</v>
          </cell>
          <cell r="AB161">
            <v>1</v>
          </cell>
          <cell r="AC161">
            <v>1</v>
          </cell>
          <cell r="AD161">
            <v>1</v>
          </cell>
          <cell r="AE161">
            <v>8.0000000000000002E-3</v>
          </cell>
          <cell r="AF161">
            <v>1.4999999999999999E-2</v>
          </cell>
          <cell r="AG161">
            <v>3</v>
          </cell>
          <cell r="AH161">
            <v>12</v>
          </cell>
          <cell r="AI161">
            <v>12</v>
          </cell>
          <cell r="AJ161">
            <v>1500</v>
          </cell>
          <cell r="AK161" t="str">
            <v>Dumas Bay</v>
          </cell>
          <cell r="AL161" t="str">
            <v>BESE setup version 1 - setup was incorrect. Rather than removing all the eelgrass, it was left in place and new BESEs set just westward. 3 planting units with 4 shoots each. Dumas Bay shoots.</v>
          </cell>
        </row>
        <row r="162">
          <cell r="B162" t="str">
            <v>Joemma Beach State Park Mid - DNR - BESE v1 - 2 - C</v>
          </cell>
          <cell r="C162" t="e">
            <v>#N/A</v>
          </cell>
          <cell r="D162" t="e">
            <v>#N/A</v>
          </cell>
          <cell r="E162">
            <v>2017</v>
          </cell>
          <cell r="G162" t="str">
            <v>point</v>
          </cell>
          <cell r="H162" t="str">
            <v>Case Inlet</v>
          </cell>
          <cell r="I162" t="str">
            <v>CPS</v>
          </cell>
          <cell r="J162" t="str">
            <v>DNR</v>
          </cell>
          <cell r="K162" t="str">
            <v>DNR</v>
          </cell>
          <cell r="L162" t="str">
            <v>Nearshore Habitat Program</v>
          </cell>
          <cell r="R162" t="str">
            <v>test</v>
          </cell>
          <cell r="S162" t="str">
            <v>--</v>
          </cell>
          <cell r="T162">
            <v>42854</v>
          </cell>
          <cell r="U162">
            <v>47.222552</v>
          </cell>
          <cell r="V162">
            <v>-122.810293</v>
          </cell>
          <cell r="W162" t="e">
            <v>#N/A</v>
          </cell>
          <cell r="X162" t="e">
            <v>#N/A</v>
          </cell>
          <cell r="Y162" t="str">
            <v>WGS84</v>
          </cell>
          <cell r="AA162" t="str">
            <v>staple</v>
          </cell>
          <cell r="AB162">
            <v>1</v>
          </cell>
          <cell r="AC162">
            <v>1</v>
          </cell>
          <cell r="AD162">
            <v>1</v>
          </cell>
          <cell r="AE162">
            <v>8.0000000000000002E-3</v>
          </cell>
          <cell r="AF162">
            <v>1.4999999999999999E-2</v>
          </cell>
          <cell r="AG162">
            <v>3</v>
          </cell>
          <cell r="AH162">
            <v>12</v>
          </cell>
          <cell r="AI162">
            <v>12</v>
          </cell>
          <cell r="AJ162">
            <v>1500</v>
          </cell>
          <cell r="AK162" t="str">
            <v>Dumas Bay</v>
          </cell>
          <cell r="AL162" t="str">
            <v>BESE setup version 1 - setup was incorrect. Rather than removing all the eelgrass, it was left in place and new BESEs set just westward. 3 planting units with 4 shoots each. Dumas Bay shoots.</v>
          </cell>
        </row>
        <row r="163">
          <cell r="B163" t="str">
            <v>Joemma Beach State Park Mid - DNR - BESE v1 - 2 - BG</v>
          </cell>
          <cell r="C163" t="e">
            <v>#N/A</v>
          </cell>
          <cell r="D163" t="e">
            <v>#N/A</v>
          </cell>
          <cell r="E163">
            <v>2017</v>
          </cell>
          <cell r="G163" t="str">
            <v>point</v>
          </cell>
          <cell r="H163" t="str">
            <v>Case Inlet</v>
          </cell>
          <cell r="I163" t="str">
            <v>CPS</v>
          </cell>
          <cell r="J163" t="str">
            <v>DNR</v>
          </cell>
          <cell r="K163" t="str">
            <v>DNR</v>
          </cell>
          <cell r="L163" t="str">
            <v>Nearshore Habitat Program</v>
          </cell>
          <cell r="R163" t="str">
            <v>test</v>
          </cell>
          <cell r="S163" t="str">
            <v>--</v>
          </cell>
          <cell r="T163">
            <v>42854</v>
          </cell>
          <cell r="U163">
            <v>47.222596000000003</v>
          </cell>
          <cell r="V163">
            <v>-122.810309</v>
          </cell>
          <cell r="W163" t="e">
            <v>#N/A</v>
          </cell>
          <cell r="X163" t="e">
            <v>#N/A</v>
          </cell>
          <cell r="Y163" t="str">
            <v>WGS84</v>
          </cell>
          <cell r="AA163" t="str">
            <v>staple</v>
          </cell>
          <cell r="AB163">
            <v>1</v>
          </cell>
          <cell r="AC163">
            <v>1</v>
          </cell>
          <cell r="AD163">
            <v>1</v>
          </cell>
          <cell r="AE163">
            <v>8.0000000000000002E-3</v>
          </cell>
          <cell r="AF163">
            <v>1.4999999999999999E-2</v>
          </cell>
          <cell r="AG163">
            <v>3</v>
          </cell>
          <cell r="AH163">
            <v>12</v>
          </cell>
          <cell r="AI163">
            <v>12</v>
          </cell>
          <cell r="AJ163">
            <v>1500</v>
          </cell>
          <cell r="AK163" t="str">
            <v>Dumas Bay</v>
          </cell>
          <cell r="AL163" t="str">
            <v>BESE setup version 1 - setup was incorrect. Rather than removing all the eelgrass, it was left in place and new BESEs set just westward. 3 planting units with 4 shoots each. Dumas Bay shoots.</v>
          </cell>
        </row>
        <row r="164">
          <cell r="B164" t="str">
            <v>Joemma Beach State Park Mid - DNR - BESE v1 - 3 - C</v>
          </cell>
          <cell r="C164" t="e">
            <v>#N/A</v>
          </cell>
          <cell r="D164" t="e">
            <v>#N/A</v>
          </cell>
          <cell r="E164">
            <v>2017</v>
          </cell>
          <cell r="G164" t="str">
            <v>point</v>
          </cell>
          <cell r="H164" t="str">
            <v>Case Inlet</v>
          </cell>
          <cell r="I164" t="str">
            <v>CPS</v>
          </cell>
          <cell r="J164" t="str">
            <v>DNR</v>
          </cell>
          <cell r="K164" t="str">
            <v>DNR</v>
          </cell>
          <cell r="L164" t="str">
            <v>Nearshore Habitat Program</v>
          </cell>
          <cell r="R164" t="str">
            <v>test</v>
          </cell>
          <cell r="S164" t="str">
            <v>--</v>
          </cell>
          <cell r="T164">
            <v>42854</v>
          </cell>
          <cell r="U164">
            <v>47.222611999999998</v>
          </cell>
          <cell r="V164">
            <v>-122.810312</v>
          </cell>
          <cell r="W164" t="e">
            <v>#N/A</v>
          </cell>
          <cell r="X164" t="e">
            <v>#N/A</v>
          </cell>
          <cell r="Y164" t="str">
            <v>WGS84</v>
          </cell>
          <cell r="AA164" t="str">
            <v>staple</v>
          </cell>
          <cell r="AB164">
            <v>1</v>
          </cell>
          <cell r="AC164">
            <v>1</v>
          </cell>
          <cell r="AD164">
            <v>1</v>
          </cell>
          <cell r="AE164">
            <v>8.0000000000000002E-3</v>
          </cell>
          <cell r="AF164">
            <v>1.4999999999999999E-2</v>
          </cell>
          <cell r="AG164">
            <v>3</v>
          </cell>
          <cell r="AH164">
            <v>12</v>
          </cell>
          <cell r="AI164">
            <v>12</v>
          </cell>
          <cell r="AJ164">
            <v>1500</v>
          </cell>
          <cell r="AK164" t="str">
            <v>Dumas Bay</v>
          </cell>
          <cell r="AL164" t="str">
            <v>BESE setup version 1 - setup was incorrect. Rather than removing all the eelgrass, it was left in place and new BESEs set just westward. 3 planting units with 4 shoots each. Dumas Bay shoots.</v>
          </cell>
        </row>
        <row r="165">
          <cell r="B165" t="str">
            <v>Joemma Beach State Park Mid - DNR - BESE v1 - 3 - BG</v>
          </cell>
          <cell r="C165" t="e">
            <v>#N/A</v>
          </cell>
          <cell r="D165" t="e">
            <v>#N/A</v>
          </cell>
          <cell r="E165">
            <v>2017</v>
          </cell>
          <cell r="G165" t="str">
            <v>point</v>
          </cell>
          <cell r="H165" t="str">
            <v>Case Inlet</v>
          </cell>
          <cell r="I165" t="str">
            <v>CPS</v>
          </cell>
          <cell r="J165" t="str">
            <v>DNR</v>
          </cell>
          <cell r="K165" t="str">
            <v>DNR</v>
          </cell>
          <cell r="L165" t="str">
            <v>Nearshore Habitat Program</v>
          </cell>
          <cell r="R165" t="str">
            <v>test</v>
          </cell>
          <cell r="S165" t="str">
            <v>--</v>
          </cell>
          <cell r="T165">
            <v>42854</v>
          </cell>
          <cell r="U165">
            <v>47.222638000000003</v>
          </cell>
          <cell r="V165">
            <v>-122.810339</v>
          </cell>
          <cell r="W165" t="e">
            <v>#N/A</v>
          </cell>
          <cell r="X165" t="e">
            <v>#N/A</v>
          </cell>
          <cell r="Y165" t="str">
            <v>WGS84</v>
          </cell>
          <cell r="AA165" t="str">
            <v>staple</v>
          </cell>
          <cell r="AB165">
            <v>1</v>
          </cell>
          <cell r="AC165">
            <v>1</v>
          </cell>
          <cell r="AD165">
            <v>1</v>
          </cell>
          <cell r="AE165">
            <v>8.0000000000000002E-3</v>
          </cell>
          <cell r="AF165">
            <v>1.4999999999999999E-2</v>
          </cell>
          <cell r="AG165">
            <v>3</v>
          </cell>
          <cell r="AH165">
            <v>12</v>
          </cell>
          <cell r="AI165">
            <v>12</v>
          </cell>
          <cell r="AJ165">
            <v>1500</v>
          </cell>
          <cell r="AK165" t="str">
            <v>Dumas Bay</v>
          </cell>
          <cell r="AL165" t="str">
            <v>BESE setup version 1 - setup was incorrect. Rather than removing all the eelgrass, it was left in place and new BESEs set just westward. 3 planting units with 4 shoots each. Dumas Bay shoots.</v>
          </cell>
        </row>
        <row r="166">
          <cell r="B166" t="str">
            <v>Joemma Beach State Park Mid - DNR - BESE v1 - 4 - C</v>
          </cell>
          <cell r="C166" t="e">
            <v>#N/A</v>
          </cell>
          <cell r="D166" t="e">
            <v>#N/A</v>
          </cell>
          <cell r="E166">
            <v>2017</v>
          </cell>
          <cell r="G166" t="str">
            <v>point</v>
          </cell>
          <cell r="H166" t="str">
            <v>Case Inlet</v>
          </cell>
          <cell r="I166" t="str">
            <v>CPS</v>
          </cell>
          <cell r="J166" t="str">
            <v>DNR</v>
          </cell>
          <cell r="K166" t="str">
            <v>DNR</v>
          </cell>
          <cell r="L166" t="str">
            <v>Nearshore Habitat Program</v>
          </cell>
          <cell r="R166" t="str">
            <v>test</v>
          </cell>
          <cell r="S166" t="str">
            <v>--</v>
          </cell>
          <cell r="T166">
            <v>42854</v>
          </cell>
          <cell r="U166">
            <v>47.222659</v>
          </cell>
          <cell r="V166">
            <v>-122.810361</v>
          </cell>
          <cell r="W166" t="e">
            <v>#N/A</v>
          </cell>
          <cell r="X166" t="e">
            <v>#N/A</v>
          </cell>
          <cell r="Y166" t="str">
            <v>WGS84</v>
          </cell>
          <cell r="AA166" t="str">
            <v>staple</v>
          </cell>
          <cell r="AB166">
            <v>1</v>
          </cell>
          <cell r="AC166">
            <v>1</v>
          </cell>
          <cell r="AD166">
            <v>1</v>
          </cell>
          <cell r="AE166">
            <v>8.0000000000000002E-3</v>
          </cell>
          <cell r="AF166">
            <v>1.4999999999999999E-2</v>
          </cell>
          <cell r="AG166">
            <v>3</v>
          </cell>
          <cell r="AH166">
            <v>12</v>
          </cell>
          <cell r="AI166">
            <v>12</v>
          </cell>
          <cell r="AJ166">
            <v>1500</v>
          </cell>
          <cell r="AK166" t="str">
            <v>Dumas Bay</v>
          </cell>
          <cell r="AL166" t="str">
            <v>BESE setup version 1 - setup was incorrect. Rather than removing all the eelgrass, it was left in place and new BESEs set just westward. 3 planting units with 4 shoots each. Dumas Bay shoots.</v>
          </cell>
        </row>
        <row r="167">
          <cell r="B167" t="str">
            <v>Joemma Beach State Park Mid - DNR - BESE v1 - 4 - BG</v>
          </cell>
          <cell r="C167" t="e">
            <v>#N/A</v>
          </cell>
          <cell r="D167" t="e">
            <v>#N/A</v>
          </cell>
          <cell r="E167">
            <v>2017</v>
          </cell>
          <cell r="G167" t="str">
            <v>point</v>
          </cell>
          <cell r="H167" t="str">
            <v>Case Inlet</v>
          </cell>
          <cell r="I167" t="str">
            <v>CPS</v>
          </cell>
          <cell r="J167" t="str">
            <v>DNR</v>
          </cell>
          <cell r="K167" t="str">
            <v>DNR</v>
          </cell>
          <cell r="L167" t="str">
            <v>Nearshore Habitat Program</v>
          </cell>
          <cell r="R167" t="str">
            <v>test</v>
          </cell>
          <cell r="S167" t="str">
            <v>--</v>
          </cell>
          <cell r="T167">
            <v>42854</v>
          </cell>
          <cell r="U167">
            <v>47.222687999999998</v>
          </cell>
          <cell r="V167">
            <v>-122.810372</v>
          </cell>
          <cell r="W167" t="e">
            <v>#N/A</v>
          </cell>
          <cell r="X167" t="e">
            <v>#N/A</v>
          </cell>
          <cell r="Y167" t="str">
            <v>WGS84</v>
          </cell>
          <cell r="AA167" t="str">
            <v>staple</v>
          </cell>
          <cell r="AB167">
            <v>1</v>
          </cell>
          <cell r="AC167">
            <v>1</v>
          </cell>
          <cell r="AD167">
            <v>1</v>
          </cell>
          <cell r="AE167">
            <v>8.0000000000000002E-3</v>
          </cell>
          <cell r="AF167">
            <v>1.4999999999999999E-2</v>
          </cell>
          <cell r="AG167">
            <v>3</v>
          </cell>
          <cell r="AH167">
            <v>12</v>
          </cell>
          <cell r="AI167">
            <v>12</v>
          </cell>
          <cell r="AJ167">
            <v>1500</v>
          </cell>
          <cell r="AK167" t="str">
            <v>Dumas Bay</v>
          </cell>
          <cell r="AL167" t="str">
            <v>BESE setup version 1 - setup was incorrect. Rather than removing all the eelgrass, it was left in place and new BESEs set just westward. 3 planting units with 4 shoots each. Dumas Bay shoots.</v>
          </cell>
        </row>
        <row r="168">
          <cell r="B168" t="str">
            <v>Joemma Beach State Park Mid - DNR - BESE v1 - 3 - AG</v>
          </cell>
          <cell r="C168" t="e">
            <v>#N/A</v>
          </cell>
          <cell r="D168" t="e">
            <v>#N/A</v>
          </cell>
          <cell r="E168">
            <v>2017</v>
          </cell>
          <cell r="G168" t="str">
            <v>point</v>
          </cell>
          <cell r="H168" t="str">
            <v>Case Inlet</v>
          </cell>
          <cell r="I168" t="str">
            <v>CPS</v>
          </cell>
          <cell r="J168" t="str">
            <v>DNR</v>
          </cell>
          <cell r="K168" t="str">
            <v>DNR</v>
          </cell>
          <cell r="L168" t="str">
            <v>Nearshore Habitat Program</v>
          </cell>
          <cell r="R168" t="str">
            <v>test</v>
          </cell>
          <cell r="S168" t="str">
            <v>--</v>
          </cell>
          <cell r="T168">
            <v>42854</v>
          </cell>
          <cell r="U168">
            <v>47.222720000000002</v>
          </cell>
          <cell r="V168">
            <v>-122.81038599999999</v>
          </cell>
          <cell r="W168" t="e">
            <v>#N/A</v>
          </cell>
          <cell r="X168" t="e">
            <v>#N/A</v>
          </cell>
          <cell r="Y168" t="str">
            <v>WGS84</v>
          </cell>
          <cell r="AA168" t="str">
            <v>staple</v>
          </cell>
          <cell r="AB168">
            <v>1</v>
          </cell>
          <cell r="AC168">
            <v>1</v>
          </cell>
          <cell r="AD168">
            <v>1</v>
          </cell>
          <cell r="AE168">
            <v>8.0000000000000002E-3</v>
          </cell>
          <cell r="AF168">
            <v>1.4999999999999999E-2</v>
          </cell>
          <cell r="AG168">
            <v>3</v>
          </cell>
          <cell r="AH168">
            <v>12</v>
          </cell>
          <cell r="AI168">
            <v>12</v>
          </cell>
          <cell r="AJ168">
            <v>1500</v>
          </cell>
          <cell r="AK168" t="str">
            <v>Dumas Bay</v>
          </cell>
          <cell r="AL168" t="str">
            <v>BESE setup version 1 - setup was incorrect. Rather than removing all the eelgrass, it was left in place and new BESEs set just westward. 3 planting units with 4 shoots each. Dumas Bay shoots.</v>
          </cell>
        </row>
        <row r="169">
          <cell r="B169" t="str">
            <v>Joemma Beach State Park Mid - DNR - BESE v1 - 4 - AG</v>
          </cell>
          <cell r="C169" t="e">
            <v>#N/A</v>
          </cell>
          <cell r="D169" t="e">
            <v>#N/A</v>
          </cell>
          <cell r="E169">
            <v>2017</v>
          </cell>
          <cell r="G169" t="str">
            <v>point</v>
          </cell>
          <cell r="H169" t="str">
            <v>Case Inlet</v>
          </cell>
          <cell r="I169" t="str">
            <v>CPS</v>
          </cell>
          <cell r="J169" t="str">
            <v>DNR</v>
          </cell>
          <cell r="K169" t="str">
            <v>DNR</v>
          </cell>
          <cell r="L169" t="str">
            <v>Nearshore Habitat Program</v>
          </cell>
          <cell r="R169" t="str">
            <v>test</v>
          </cell>
          <cell r="S169" t="str">
            <v>--</v>
          </cell>
          <cell r="T169">
            <v>42854</v>
          </cell>
          <cell r="U169">
            <v>47.222732999999998</v>
          </cell>
          <cell r="V169">
            <v>-122.8104</v>
          </cell>
          <cell r="W169" t="e">
            <v>#N/A</v>
          </cell>
          <cell r="X169" t="e">
            <v>#N/A</v>
          </cell>
          <cell r="Y169" t="str">
            <v>WGS84</v>
          </cell>
          <cell r="AA169" t="str">
            <v>staple</v>
          </cell>
          <cell r="AB169">
            <v>1</v>
          </cell>
          <cell r="AC169">
            <v>1</v>
          </cell>
          <cell r="AD169">
            <v>1</v>
          </cell>
          <cell r="AE169">
            <v>8.0000000000000002E-3</v>
          </cell>
          <cell r="AF169">
            <v>1.4999999999999999E-2</v>
          </cell>
          <cell r="AG169">
            <v>3</v>
          </cell>
          <cell r="AH169">
            <v>12</v>
          </cell>
          <cell r="AI169">
            <v>12</v>
          </cell>
          <cell r="AJ169">
            <v>1500</v>
          </cell>
          <cell r="AK169" t="str">
            <v>Dumas Bay</v>
          </cell>
          <cell r="AL169" t="str">
            <v>BESE setup version 1 - setup was incorrect. Rather than removing all the eelgrass, it was left in place and new BESEs set just westward. 3 planting units with 4 shoots each. Dumas Bay shoots.</v>
          </cell>
        </row>
        <row r="170">
          <cell r="B170" t="str">
            <v>Joemma Beach State Park Mid South - PNNL - large - T4-5 - 2015</v>
          </cell>
          <cell r="C170" t="str">
            <v>JSP_mid_south_2</v>
          </cell>
          <cell r="D170" t="str">
            <v>single</v>
          </cell>
          <cell r="E170">
            <v>2018</v>
          </cell>
          <cell r="G170" t="str">
            <v>point</v>
          </cell>
          <cell r="H170" t="str">
            <v>Case Inlet</v>
          </cell>
          <cell r="I170" t="str">
            <v>CPS</v>
          </cell>
          <cell r="J170" t="str">
            <v>DNR</v>
          </cell>
          <cell r="K170" t="str">
            <v>DNR</v>
          </cell>
          <cell r="L170" t="str">
            <v>Nearshore Habitat Program</v>
          </cell>
          <cell r="R170" t="str">
            <v>test</v>
          </cell>
          <cell r="S170" t="str">
            <v>test</v>
          </cell>
          <cell r="T170">
            <v>43264</v>
          </cell>
          <cell r="W170" t="str">
            <v>point</v>
          </cell>
          <cell r="X170" t="str">
            <v>drop</v>
          </cell>
          <cell r="Y170" t="str">
            <v>WGS84</v>
          </cell>
          <cell r="AA170" t="str">
            <v>rebar</v>
          </cell>
          <cell r="AB170">
            <v>4</v>
          </cell>
          <cell r="AC170">
            <v>0.25</v>
          </cell>
          <cell r="AD170">
            <v>1</v>
          </cell>
          <cell r="AE170">
            <v>0.25</v>
          </cell>
          <cell r="AF170">
            <v>0.1</v>
          </cell>
          <cell r="AG170">
            <v>4</v>
          </cell>
          <cell r="AH170">
            <v>100</v>
          </cell>
          <cell r="AI170">
            <v>100</v>
          </cell>
          <cell r="AJ170">
            <v>400</v>
          </cell>
          <cell r="AK170" t="str">
            <v>DuPont Wharf</v>
          </cell>
          <cell r="AL170" t="str">
            <v>4, 50 cm long rebar with 20 shoots attached to each placed between Transects 4 &amp; 5 of JBSP Mid South - PNNL - large - 2015, approximately 15 m from southern end of transects. These planting are in addition to 2017 plantings between Transects 4 &amp; 5.</v>
          </cell>
        </row>
        <row r="171">
          <cell r="B171" t="str">
            <v>Joemma Beach State Park Mid South - PNNL - large - T3-4 - 2015</v>
          </cell>
          <cell r="C171" t="str">
            <v>JSP_mid_south_1</v>
          </cell>
          <cell r="D171" t="str">
            <v>single</v>
          </cell>
          <cell r="E171">
            <v>2018</v>
          </cell>
          <cell r="G171" t="str">
            <v>point</v>
          </cell>
          <cell r="H171" t="str">
            <v>Case Inlet</v>
          </cell>
          <cell r="I171" t="str">
            <v>CPS</v>
          </cell>
          <cell r="J171" t="str">
            <v>DNR</v>
          </cell>
          <cell r="K171" t="str">
            <v>DNR</v>
          </cell>
          <cell r="L171" t="str">
            <v>Nearshore Habitat Program</v>
          </cell>
          <cell r="R171" t="str">
            <v>test</v>
          </cell>
          <cell r="S171" t="str">
            <v>test</v>
          </cell>
          <cell r="T171">
            <v>43264</v>
          </cell>
          <cell r="W171" t="str">
            <v>point</v>
          </cell>
          <cell r="X171" t="str">
            <v>drop</v>
          </cell>
          <cell r="Y171" t="str">
            <v>WGS84</v>
          </cell>
          <cell r="AA171" t="str">
            <v>rebar</v>
          </cell>
          <cell r="AB171">
            <v>3</v>
          </cell>
          <cell r="AC171">
            <v>0.25</v>
          </cell>
          <cell r="AD171">
            <v>0.75</v>
          </cell>
          <cell r="AE171">
            <v>0.25</v>
          </cell>
          <cell r="AF171">
            <v>7.5000000000000011E-2</v>
          </cell>
          <cell r="AG171">
            <v>3</v>
          </cell>
          <cell r="AH171">
            <v>75</v>
          </cell>
          <cell r="AI171">
            <v>100</v>
          </cell>
          <cell r="AJ171">
            <v>300</v>
          </cell>
          <cell r="AK171" t="str">
            <v>DuPont Wharf</v>
          </cell>
          <cell r="AL171" t="str">
            <v>3, 50 cm long rebar with 20 shoots attached to each placed between Transects 3 &amp; 4 of JBSP Mid South - PNNL - large - 2015. These plantings are new and between transects 3 &amp; 4.</v>
          </cell>
        </row>
        <row r="172">
          <cell r="B172" t="str">
            <v>Joemma Beach State Park - Mid - Rebar 1 - 2018</v>
          </cell>
          <cell r="C172" t="str">
            <v>JSP_mid_1</v>
          </cell>
          <cell r="D172" t="str">
            <v>colocated</v>
          </cell>
          <cell r="E172">
            <v>2018</v>
          </cell>
          <cell r="G172" t="str">
            <v>point</v>
          </cell>
          <cell r="H172" t="str">
            <v>Case Inlet</v>
          </cell>
          <cell r="I172" t="str">
            <v>CPS</v>
          </cell>
          <cell r="J172" t="str">
            <v>DNR</v>
          </cell>
          <cell r="K172" t="str">
            <v>DNR</v>
          </cell>
          <cell r="L172" t="str">
            <v>Nearshore Habitat Program</v>
          </cell>
          <cell r="R172" t="str">
            <v>test</v>
          </cell>
          <cell r="S172" t="str">
            <v>test</v>
          </cell>
          <cell r="T172">
            <v>43295</v>
          </cell>
          <cell r="U172">
            <v>47.222470000000001</v>
          </cell>
          <cell r="V172">
            <v>-122.81049</v>
          </cell>
          <cell r="W172" t="str">
            <v>point</v>
          </cell>
          <cell r="X172" t="str">
            <v>retain</v>
          </cell>
          <cell r="Y172" t="str">
            <v>WGS84</v>
          </cell>
          <cell r="AA172" t="str">
            <v>rebar</v>
          </cell>
          <cell r="AB172">
            <v>0.5</v>
          </cell>
          <cell r="AC172">
            <v>0.5</v>
          </cell>
          <cell r="AD172">
            <v>0.25</v>
          </cell>
          <cell r="AE172">
            <v>0.25</v>
          </cell>
          <cell r="AF172">
            <v>7.5000000000000011E-2</v>
          </cell>
          <cell r="AG172">
            <v>3</v>
          </cell>
          <cell r="AH172">
            <v>63</v>
          </cell>
          <cell r="AI172">
            <v>252</v>
          </cell>
          <cell r="AJ172">
            <v>252</v>
          </cell>
          <cell r="AK172" t="str">
            <v>DuPont Wharf</v>
          </cell>
          <cell r="AL172" t="str">
            <v>Southern most replicate. Transplanted 3, 50 cm long lengths of rebar with 21 shoots each in a 0.25 m2 area.  3 replicates total along a 16 m transect between the north and south points.</v>
          </cell>
        </row>
        <row r="173">
          <cell r="B173" t="str">
            <v>Joemma Beach State Park - Mid - Puck 1 - 2018</v>
          </cell>
          <cell r="C173" t="str">
            <v>JSP_mid_1</v>
          </cell>
          <cell r="D173" t="str">
            <v>colocated</v>
          </cell>
          <cell r="E173">
            <v>2018</v>
          </cell>
          <cell r="G173" t="str">
            <v>point</v>
          </cell>
          <cell r="H173" t="str">
            <v>Case Inlet</v>
          </cell>
          <cell r="I173" t="str">
            <v>CPS</v>
          </cell>
          <cell r="J173" t="str">
            <v>DNR</v>
          </cell>
          <cell r="K173" t="str">
            <v>DNR</v>
          </cell>
          <cell r="L173" t="str">
            <v>Nearshore Habitat Program</v>
          </cell>
          <cell r="R173" t="str">
            <v>test</v>
          </cell>
          <cell r="S173" t="str">
            <v>test</v>
          </cell>
          <cell r="T173">
            <v>43295</v>
          </cell>
          <cell r="U173">
            <v>47.222470000000001</v>
          </cell>
          <cell r="V173">
            <v>-122.81049</v>
          </cell>
          <cell r="W173" t="str">
            <v>point</v>
          </cell>
          <cell r="X173" t="str">
            <v>retain</v>
          </cell>
          <cell r="Y173" t="str">
            <v>WGS84</v>
          </cell>
          <cell r="AA173" t="str">
            <v>pucks</v>
          </cell>
          <cell r="AB173">
            <v>0.5</v>
          </cell>
          <cell r="AC173">
            <v>0.5</v>
          </cell>
          <cell r="AD173">
            <v>0.25</v>
          </cell>
          <cell r="AE173">
            <v>0.25</v>
          </cell>
          <cell r="AF173">
            <v>7.0649999999999991E-2</v>
          </cell>
          <cell r="AG173">
            <v>9</v>
          </cell>
          <cell r="AH173">
            <v>63</v>
          </cell>
          <cell r="AI173">
            <v>252</v>
          </cell>
          <cell r="AJ173">
            <v>252</v>
          </cell>
          <cell r="AK173" t="str">
            <v>DuPont Wharf</v>
          </cell>
          <cell r="AL173" t="str">
            <v>Transplanted 9 ceramic pucks with 7 shoots per puck in a 0.25 m2 area. 3 replicates total along a 16 m transect between the north and south points.</v>
          </cell>
        </row>
        <row r="174">
          <cell r="B174" t="str">
            <v>Joemma Beach State Park - Mid - Puck 2 - 2018</v>
          </cell>
          <cell r="C174" t="str">
            <v>JSP_mid_2</v>
          </cell>
          <cell r="D174" t="str">
            <v>single</v>
          </cell>
          <cell r="E174">
            <v>2018</v>
          </cell>
          <cell r="G174" t="str">
            <v>point</v>
          </cell>
          <cell r="H174" t="str">
            <v>Case Inlet</v>
          </cell>
          <cell r="I174" t="str">
            <v>CPS</v>
          </cell>
          <cell r="J174" t="str">
            <v>DNR</v>
          </cell>
          <cell r="K174" t="str">
            <v>DNR</v>
          </cell>
          <cell r="L174" t="str">
            <v>Nearshore Habitat Program</v>
          </cell>
          <cell r="R174" t="str">
            <v>test</v>
          </cell>
          <cell r="S174" t="str">
            <v>test</v>
          </cell>
          <cell r="T174">
            <v>43295</v>
          </cell>
          <cell r="W174" t="str">
            <v>point</v>
          </cell>
          <cell r="X174" t="str">
            <v>drop</v>
          </cell>
          <cell r="Y174" t="str">
            <v>WGS84</v>
          </cell>
          <cell r="AA174" t="str">
            <v>pucks</v>
          </cell>
          <cell r="AB174">
            <v>0.5</v>
          </cell>
          <cell r="AC174">
            <v>0.5</v>
          </cell>
          <cell r="AD174">
            <v>0.25</v>
          </cell>
          <cell r="AE174">
            <v>0.25</v>
          </cell>
          <cell r="AF174">
            <v>7.0649999999999991E-2</v>
          </cell>
          <cell r="AG174">
            <v>9</v>
          </cell>
          <cell r="AH174">
            <v>63</v>
          </cell>
          <cell r="AI174">
            <v>252</v>
          </cell>
          <cell r="AJ174">
            <v>252</v>
          </cell>
          <cell r="AK174" t="str">
            <v>DuPont Wharf</v>
          </cell>
          <cell r="AL174" t="str">
            <v>Transplanted 9 ceramic pucks with 7 shoots per puck in a 0.25 m2 area. 3 replicates total along a 16 m transect between the north and south points.</v>
          </cell>
        </row>
        <row r="175">
          <cell r="B175" t="str">
            <v>Joemma Beach State Park - Mid - Rebar 2 - 2018</v>
          </cell>
          <cell r="C175" t="str">
            <v>JSP_mid_2</v>
          </cell>
          <cell r="D175" t="str">
            <v>single</v>
          </cell>
          <cell r="E175">
            <v>2018</v>
          </cell>
          <cell r="G175" t="str">
            <v>point</v>
          </cell>
          <cell r="H175" t="str">
            <v>Case Inlet</v>
          </cell>
          <cell r="I175" t="str">
            <v>CPS</v>
          </cell>
          <cell r="J175" t="str">
            <v>DNR</v>
          </cell>
          <cell r="K175" t="str">
            <v>DNR</v>
          </cell>
          <cell r="L175" t="str">
            <v>Nearshore Habitat Program</v>
          </cell>
          <cell r="R175" t="str">
            <v>test</v>
          </cell>
          <cell r="S175" t="str">
            <v>test</v>
          </cell>
          <cell r="T175">
            <v>43295</v>
          </cell>
          <cell r="W175" t="str">
            <v>point</v>
          </cell>
          <cell r="X175" t="str">
            <v>drop</v>
          </cell>
          <cell r="Y175" t="str">
            <v>WGS84</v>
          </cell>
          <cell r="AA175" t="str">
            <v>rebar</v>
          </cell>
          <cell r="AB175">
            <v>0.5</v>
          </cell>
          <cell r="AC175">
            <v>0.5</v>
          </cell>
          <cell r="AD175">
            <v>0.25</v>
          </cell>
          <cell r="AE175">
            <v>0.25</v>
          </cell>
          <cell r="AF175">
            <v>7.5000000000000011E-2</v>
          </cell>
          <cell r="AG175">
            <v>3</v>
          </cell>
          <cell r="AH175">
            <v>63</v>
          </cell>
          <cell r="AI175">
            <v>252</v>
          </cell>
          <cell r="AJ175">
            <v>252</v>
          </cell>
          <cell r="AK175" t="str">
            <v>DuPont Wharf</v>
          </cell>
          <cell r="AL175" t="str">
            <v>Transplanted 3, 50 cm long lengths of rebar with 21 shoots each in a 0.25 m2 area.  3 replicates total along a 16 m transect between the north and south points.</v>
          </cell>
        </row>
        <row r="176">
          <cell r="B176" t="str">
            <v>Joemma Beach State Park - Mid - Rebar 3 - 2018</v>
          </cell>
          <cell r="C176" t="str">
            <v>JSP_mid_3</v>
          </cell>
          <cell r="D176" t="str">
            <v>colocated</v>
          </cell>
          <cell r="E176">
            <v>2018</v>
          </cell>
          <cell r="G176" t="str">
            <v>point</v>
          </cell>
          <cell r="H176" t="str">
            <v>Case Inlet</v>
          </cell>
          <cell r="I176" t="str">
            <v>CPS</v>
          </cell>
          <cell r="J176" t="str">
            <v>DNR</v>
          </cell>
          <cell r="K176" t="str">
            <v>DNR</v>
          </cell>
          <cell r="L176" t="str">
            <v>Nearshore Habitat Program</v>
          </cell>
          <cell r="R176" t="str">
            <v>test</v>
          </cell>
          <cell r="S176" t="str">
            <v>test</v>
          </cell>
          <cell r="T176">
            <v>43295</v>
          </cell>
          <cell r="U176">
            <v>47.222619999999999</v>
          </cell>
          <cell r="V176">
            <v>-122.81053</v>
          </cell>
          <cell r="W176" t="str">
            <v>point</v>
          </cell>
          <cell r="X176" t="str">
            <v>retain</v>
          </cell>
          <cell r="Y176" t="str">
            <v>WGS84</v>
          </cell>
          <cell r="AA176" t="str">
            <v>rebar</v>
          </cell>
          <cell r="AB176">
            <v>0.5</v>
          </cell>
          <cell r="AC176">
            <v>0.5</v>
          </cell>
          <cell r="AD176">
            <v>0.25</v>
          </cell>
          <cell r="AE176">
            <v>0.25</v>
          </cell>
          <cell r="AF176">
            <v>7.5000000000000011E-2</v>
          </cell>
          <cell r="AG176">
            <v>3</v>
          </cell>
          <cell r="AH176">
            <v>63</v>
          </cell>
          <cell r="AI176">
            <v>252</v>
          </cell>
          <cell r="AJ176">
            <v>252</v>
          </cell>
          <cell r="AK176" t="str">
            <v>DuPont Wharf</v>
          </cell>
          <cell r="AL176" t="str">
            <v>Transplanted 3, 50 cm long lengths of rebar with 21 shoots each in a 0.25 m2 area.  3 replicates total along a 16 m transect between the north and south points..</v>
          </cell>
        </row>
        <row r="177">
          <cell r="B177" t="str">
            <v>Joemma Beach State Park - Mid - Puck 3 - 2018</v>
          </cell>
          <cell r="C177" t="str">
            <v>JSP_mid_3</v>
          </cell>
          <cell r="D177" t="str">
            <v>single</v>
          </cell>
          <cell r="E177">
            <v>2018</v>
          </cell>
          <cell r="G177" t="str">
            <v>point</v>
          </cell>
          <cell r="H177" t="str">
            <v>Case Inlet</v>
          </cell>
          <cell r="I177" t="str">
            <v>CPS</v>
          </cell>
          <cell r="J177" t="str">
            <v>DNR</v>
          </cell>
          <cell r="K177" t="str">
            <v>DNR</v>
          </cell>
          <cell r="L177" t="str">
            <v>Nearshore Habitat Program</v>
          </cell>
          <cell r="R177" t="str">
            <v>test</v>
          </cell>
          <cell r="S177" t="str">
            <v>test</v>
          </cell>
          <cell r="T177">
            <v>43295</v>
          </cell>
          <cell r="U177">
            <v>47.222619999999999</v>
          </cell>
          <cell r="V177">
            <v>-122.81053</v>
          </cell>
          <cell r="W177" t="str">
            <v>point</v>
          </cell>
          <cell r="X177" t="str">
            <v>retain</v>
          </cell>
          <cell r="Y177" t="str">
            <v>WGS84</v>
          </cell>
          <cell r="AA177" t="str">
            <v>pucks</v>
          </cell>
          <cell r="AB177">
            <v>0.5</v>
          </cell>
          <cell r="AC177">
            <v>0.5</v>
          </cell>
          <cell r="AD177">
            <v>0.25</v>
          </cell>
          <cell r="AE177">
            <v>0.25</v>
          </cell>
          <cell r="AF177">
            <v>7.0649999999999991E-2</v>
          </cell>
          <cell r="AG177">
            <v>9</v>
          </cell>
          <cell r="AH177">
            <v>63</v>
          </cell>
          <cell r="AI177">
            <v>252</v>
          </cell>
          <cell r="AJ177">
            <v>252</v>
          </cell>
          <cell r="AK177" t="str">
            <v>DuPont Wharf</v>
          </cell>
          <cell r="AL177" t="str">
            <v>Northern most replicate. Transplanted 9 ceramic pucks with 7 shoots per puck in a 0.25 m2 area. 3 replicates total along a 16 m transect between the north and south points.</v>
          </cell>
        </row>
        <row r="178">
          <cell r="B178" t="str">
            <v>Joemma Beach State Park - Mid - test - 2020</v>
          </cell>
          <cell r="C178" t="str">
            <v>JSP_mid_4</v>
          </cell>
          <cell r="D178" t="str">
            <v>single</v>
          </cell>
          <cell r="E178">
            <v>2020</v>
          </cell>
          <cell r="G178" t="str">
            <v>point</v>
          </cell>
          <cell r="H178" t="str">
            <v>Case Inlet</v>
          </cell>
          <cell r="I178" t="str">
            <v>CPS</v>
          </cell>
          <cell r="J178" t="str">
            <v>DNR</v>
          </cell>
          <cell r="K178" t="str">
            <v>DNR</v>
          </cell>
          <cell r="L178" t="str">
            <v>Nearshore Habitat Program</v>
          </cell>
          <cell r="R178" t="str">
            <v>test</v>
          </cell>
          <cell r="S178" t="str">
            <v>test</v>
          </cell>
          <cell r="T178">
            <v>44018</v>
          </cell>
          <cell r="U178">
            <v>47.222589999999997</v>
          </cell>
          <cell r="V178">
            <v>-122.81049</v>
          </cell>
          <cell r="W178" t="str">
            <v>point</v>
          </cell>
          <cell r="X178" t="str">
            <v>retain</v>
          </cell>
          <cell r="Y178" t="str">
            <v>WGS84</v>
          </cell>
          <cell r="Z178">
            <v>-1.3</v>
          </cell>
          <cell r="AA178" t="str">
            <v>rebar</v>
          </cell>
          <cell r="AB178">
            <v>8</v>
          </cell>
          <cell r="AC178">
            <v>0.5</v>
          </cell>
          <cell r="AD178">
            <v>4</v>
          </cell>
          <cell r="AE178">
            <v>1</v>
          </cell>
          <cell r="AF178">
            <v>0.30000000000000004</v>
          </cell>
          <cell r="AG178">
            <v>12</v>
          </cell>
          <cell r="AH178">
            <v>240</v>
          </cell>
          <cell r="AI178">
            <v>60</v>
          </cell>
          <cell r="AJ178">
            <v>240</v>
          </cell>
          <cell r="AK178" t="str">
            <v>Dumas Bay</v>
          </cell>
          <cell r="AL178" t="str">
            <v>Planted 4, 0.25 m2 plots of 3 rebar each with Dumas Bay Zm just shoreward of the 2018 Rebar-Puck transplants.</v>
          </cell>
        </row>
        <row r="179">
          <cell r="B179" t="str">
            <v>Joemma Beach State Park South of South- PNNL - test - 2020</v>
          </cell>
          <cell r="C179" t="str">
            <v>WHB_test_1</v>
          </cell>
          <cell r="D179" t="str">
            <v>single</v>
          </cell>
          <cell r="E179">
            <v>2020</v>
          </cell>
          <cell r="G179" t="str">
            <v>point</v>
          </cell>
          <cell r="H179" t="str">
            <v>Case Inlet</v>
          </cell>
          <cell r="I179" t="str">
            <v>CPS</v>
          </cell>
          <cell r="J179" t="str">
            <v>Eelgrass Recovery in PS</v>
          </cell>
          <cell r="K179" t="str">
            <v>USACE</v>
          </cell>
          <cell r="L179" t="str">
            <v>USACE</v>
          </cell>
          <cell r="M179" t="str">
            <v>W912DW-14-2-0009 (93-099566)</v>
          </cell>
          <cell r="N179" t="str">
            <v>IAA 15-45</v>
          </cell>
          <cell r="O179" t="str">
            <v>PNNL</v>
          </cell>
          <cell r="R179" t="str">
            <v>test</v>
          </cell>
          <cell r="S179" t="str">
            <v>test</v>
          </cell>
          <cell r="T179">
            <v>44011</v>
          </cell>
          <cell r="U179">
            <v>47.207729999999998</v>
          </cell>
          <cell r="V179">
            <v>-122.80525</v>
          </cell>
          <cell r="W179" t="str">
            <v>point</v>
          </cell>
          <cell r="X179" t="str">
            <v>retain</v>
          </cell>
          <cell r="Y179" t="str">
            <v>WGS84</v>
          </cell>
          <cell r="Z179">
            <v>-1.9</v>
          </cell>
          <cell r="AA179" t="str">
            <v>rebar</v>
          </cell>
          <cell r="AB179">
            <v>2.5</v>
          </cell>
          <cell r="AC179">
            <v>2.5</v>
          </cell>
          <cell r="AD179">
            <v>6.25</v>
          </cell>
          <cell r="AE179">
            <v>5</v>
          </cell>
          <cell r="AF179">
            <v>0.5</v>
          </cell>
          <cell r="AG179">
            <v>20</v>
          </cell>
          <cell r="AH179">
            <v>500</v>
          </cell>
          <cell r="AI179">
            <v>80</v>
          </cell>
          <cell r="AJ179">
            <v>100</v>
          </cell>
          <cell r="AK179" t="str">
            <v>Rocky Bay</v>
          </cell>
          <cell r="AL179" t="str">
            <v>130deg az, sed sandy, wispy ulva, 15' depth baseline and 17' depth offshore at 1235, Whiskey Beach Ct SW is the nearest road so planting location is WHB_test_1</v>
          </cell>
        </row>
        <row r="180">
          <cell r="B180" t="str">
            <v>Joemma Beach State Park - Mid - Rebar - 2021</v>
          </cell>
          <cell r="C180" t="str">
            <v>JSP_south_test</v>
          </cell>
          <cell r="D180" t="str">
            <v>single</v>
          </cell>
          <cell r="E180">
            <v>2021</v>
          </cell>
          <cell r="G180" t="str">
            <v>point</v>
          </cell>
          <cell r="H180" t="str">
            <v>Case Inlet</v>
          </cell>
          <cell r="I180" t="str">
            <v>CPS</v>
          </cell>
          <cell r="J180" t="str">
            <v>DNR</v>
          </cell>
          <cell r="K180" t="str">
            <v>DNR</v>
          </cell>
          <cell r="R180" t="str">
            <v>test</v>
          </cell>
          <cell r="S180" t="str">
            <v>test</v>
          </cell>
          <cell r="T180">
            <v>44372</v>
          </cell>
          <cell r="W180" t="str">
            <v>point</v>
          </cell>
          <cell r="X180" t="str">
            <v>retain</v>
          </cell>
          <cell r="Y180" t="str">
            <v>WGS84</v>
          </cell>
          <cell r="Z180">
            <v>-1.5</v>
          </cell>
          <cell r="AA180" t="str">
            <v>rebar</v>
          </cell>
          <cell r="AB180">
            <v>3.5</v>
          </cell>
          <cell r="AC180">
            <v>0.5</v>
          </cell>
          <cell r="AD180">
            <v>1.75</v>
          </cell>
          <cell r="AE180">
            <v>2.25</v>
          </cell>
          <cell r="AF180">
            <v>0.22500000000000001</v>
          </cell>
          <cell r="AG180">
            <v>9</v>
          </cell>
          <cell r="AH180">
            <v>135</v>
          </cell>
          <cell r="AI180">
            <v>77.142857142857139</v>
          </cell>
          <cell r="AJ180">
            <v>60</v>
          </cell>
          <cell r="AK180" t="str">
            <v>DuPont Wharf</v>
          </cell>
          <cell r="AL180" t="str">
            <v xml:space="preserve">Planted just south of Joemma Beach State Park South - SE - HC - large 1 - 2016. </v>
          </cell>
        </row>
        <row r="181">
          <cell r="B181" t="str">
            <v>Joemma Beach State Park - Mid - Rebar - 2022</v>
          </cell>
          <cell r="C181" t="str">
            <v>JSP_mid_connect</v>
          </cell>
          <cell r="D181" t="str">
            <v>single</v>
          </cell>
          <cell r="E181">
            <v>2022</v>
          </cell>
          <cell r="G181" t="str">
            <v>point</v>
          </cell>
          <cell r="H181" t="str">
            <v>Case Inlet</v>
          </cell>
          <cell r="I181" t="str">
            <v>CPS</v>
          </cell>
          <cell r="J181" t="str">
            <v>DNR</v>
          </cell>
          <cell r="K181" t="str">
            <v>DNR</v>
          </cell>
          <cell r="R181" t="str">
            <v>test</v>
          </cell>
          <cell r="S181" t="str">
            <v>test</v>
          </cell>
          <cell r="T181">
            <v>44729</v>
          </cell>
          <cell r="W181" t="str">
            <v>point</v>
          </cell>
          <cell r="X181" t="str">
            <v>retain</v>
          </cell>
          <cell r="Y181" t="str">
            <v>WGS84</v>
          </cell>
          <cell r="Z181">
            <v>-1.5</v>
          </cell>
          <cell r="AA181" t="str">
            <v>rebar</v>
          </cell>
          <cell r="AB181">
            <v>2.5</v>
          </cell>
          <cell r="AC181">
            <v>0.5</v>
          </cell>
          <cell r="AD181">
            <v>1.25</v>
          </cell>
          <cell r="AE181">
            <v>1.75</v>
          </cell>
          <cell r="AF181">
            <v>0.375</v>
          </cell>
          <cell r="AG181">
            <v>15</v>
          </cell>
          <cell r="AH181">
            <v>180</v>
          </cell>
          <cell r="AI181">
            <v>144</v>
          </cell>
          <cell r="AJ181">
            <v>102.85714285714286</v>
          </cell>
          <cell r="AK181" t="str">
            <v>DuPont Wharf</v>
          </cell>
          <cell r="AL181" t="str">
            <v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v>
          </cell>
        </row>
        <row r="182">
          <cell r="B182" t="str">
            <v>Joemma Beach State Park - Mid - offshore HC 2016 - Rebar - 2022</v>
          </cell>
          <cell r="C182" t="str">
            <v>HC_off_1</v>
          </cell>
          <cell r="D182" t="str">
            <v>single</v>
          </cell>
          <cell r="E182">
            <v>2022</v>
          </cell>
          <cell r="G182" t="str">
            <v>point</v>
          </cell>
          <cell r="H182" t="str">
            <v>Case Inlet</v>
          </cell>
          <cell r="I182" t="str">
            <v>CPS</v>
          </cell>
          <cell r="J182" t="str">
            <v>DNR</v>
          </cell>
          <cell r="K182" t="str">
            <v>DNR</v>
          </cell>
          <cell r="R182" t="str">
            <v>test</v>
          </cell>
          <cell r="S182" t="str">
            <v>test</v>
          </cell>
          <cell r="T182">
            <v>44729</v>
          </cell>
          <cell r="W182" t="str">
            <v>point</v>
          </cell>
          <cell r="X182" t="str">
            <v>retain</v>
          </cell>
          <cell r="Y182" t="str">
            <v>WGS84</v>
          </cell>
          <cell r="Z182">
            <v>-1.5</v>
          </cell>
          <cell r="AA182" t="str">
            <v>rebar</v>
          </cell>
          <cell r="AB182">
            <v>1</v>
          </cell>
          <cell r="AC182">
            <v>0.5</v>
          </cell>
          <cell r="AD182">
            <v>0.5</v>
          </cell>
          <cell r="AE182">
            <v>0.25</v>
          </cell>
          <cell r="AF182">
            <v>0.15000000000000002</v>
          </cell>
          <cell r="AG182">
            <v>6</v>
          </cell>
          <cell r="AH182">
            <v>48</v>
          </cell>
          <cell r="AI182">
            <v>96</v>
          </cell>
          <cell r="AJ182">
            <v>192</v>
          </cell>
          <cell r="AK182" t="str">
            <v>DuPont Wharf</v>
          </cell>
          <cell r="AL182" t="str">
            <v xml:space="preserve">Planted 6,  50 cm long rebar with 12 shoots from DuPont Wharf attached to each to form a 0.25 m2 patch just offshore of the HC 2016 large scale plot that planted Rocky Point eelgrass. </v>
          </cell>
        </row>
        <row r="183">
          <cell r="B183" t="str">
            <v>Joemma Beach State Park - Mid - offshore HC 2016 - Rebar - 2025</v>
          </cell>
          <cell r="C183" t="str">
            <v>HC_off_2</v>
          </cell>
          <cell r="D183" t="str">
            <v>single</v>
          </cell>
          <cell r="E183">
            <v>2025</v>
          </cell>
          <cell r="G183" t="str">
            <v>point</v>
          </cell>
          <cell r="H183" t="str">
            <v>Case Inlet</v>
          </cell>
          <cell r="I183" t="str">
            <v>CPS</v>
          </cell>
          <cell r="J183" t="str">
            <v>DNR</v>
          </cell>
          <cell r="K183" t="str">
            <v>DNR</v>
          </cell>
          <cell r="R183" t="str">
            <v>test</v>
          </cell>
          <cell r="S183" t="str">
            <v>test</v>
          </cell>
          <cell r="T183">
            <v>45848</v>
          </cell>
          <cell r="W183" t="str">
            <v>point</v>
          </cell>
          <cell r="X183" t="str">
            <v>retain</v>
          </cell>
          <cell r="Y183" t="str">
            <v>WGS84</v>
          </cell>
          <cell r="Z183">
            <v>-1.5</v>
          </cell>
          <cell r="AA183" t="str">
            <v>rebar</v>
          </cell>
          <cell r="AB183">
            <v>32</v>
          </cell>
          <cell r="AC183">
            <v>0.5</v>
          </cell>
          <cell r="AD183">
            <v>16</v>
          </cell>
          <cell r="AE183">
            <v>16</v>
          </cell>
          <cell r="AF183">
            <v>0.8</v>
          </cell>
          <cell r="AG183">
            <v>32</v>
          </cell>
          <cell r="AH183">
            <v>700</v>
          </cell>
          <cell r="AI183">
            <v>43.75</v>
          </cell>
          <cell r="AJ183">
            <v>43.75</v>
          </cell>
          <cell r="AK183" t="str">
            <v>DuPont Wharf</v>
          </cell>
          <cell r="AL183" t="str">
            <v>planted 32, 50 cm long rebar with ~20 shoots from DuPont Wharf attached to each length. 1 rebar was planted at 0.5 m and then every 0.5 m thereafter to reach 16.5 m along a tape between a helical to the south with a donut toggle and another helical at PNNL 2015 deep.</v>
          </cell>
        </row>
        <row r="184">
          <cell r="B184" t="str">
            <v>Dog Camp - PNNL - test - 2020</v>
          </cell>
          <cell r="C184" t="str">
            <v>KYP_dog1</v>
          </cell>
          <cell r="D184" t="str">
            <v>single</v>
          </cell>
          <cell r="E184">
            <v>2020</v>
          </cell>
          <cell r="G184" t="str">
            <v>point</v>
          </cell>
          <cell r="H184" t="str">
            <v>Drayton Passage</v>
          </cell>
          <cell r="I184" t="str">
            <v>CPS</v>
          </cell>
          <cell r="J184" t="str">
            <v>Eelgrass Recovery in PS</v>
          </cell>
          <cell r="K184" t="str">
            <v>USACE</v>
          </cell>
          <cell r="L184" t="str">
            <v>USACE</v>
          </cell>
          <cell r="M184" t="str">
            <v>W912DW-14-2-0009 (93-099566)</v>
          </cell>
          <cell r="N184" t="str">
            <v>IAA 15-45</v>
          </cell>
          <cell r="O184" t="str">
            <v>PNNL</v>
          </cell>
          <cell r="R184" t="str">
            <v>test</v>
          </cell>
          <cell r="S184" t="str">
            <v>test</v>
          </cell>
          <cell r="T184">
            <v>44012</v>
          </cell>
          <cell r="U184">
            <v>47.177030000000002</v>
          </cell>
          <cell r="V184">
            <v>-122.7462833</v>
          </cell>
          <cell r="W184" t="str">
            <v>point</v>
          </cell>
          <cell r="X184" t="str">
            <v>retain</v>
          </cell>
          <cell r="Y184" t="str">
            <v>WGS84</v>
          </cell>
          <cell r="Z184">
            <v>-1.7</v>
          </cell>
          <cell r="AA184" t="str">
            <v>rebar</v>
          </cell>
          <cell r="AB184">
            <v>2.5</v>
          </cell>
          <cell r="AC184">
            <v>2.5</v>
          </cell>
          <cell r="AD184">
            <v>6.25</v>
          </cell>
          <cell r="AE184">
            <v>4.75</v>
          </cell>
          <cell r="AF184">
            <v>0.15</v>
          </cell>
          <cell r="AG184">
            <v>19</v>
          </cell>
          <cell r="AH184">
            <v>475</v>
          </cell>
          <cell r="AI184">
            <v>76</v>
          </cell>
          <cell r="AJ184">
            <v>100</v>
          </cell>
          <cell r="AK184" t="str">
            <v>Anderson Island</v>
          </cell>
          <cell r="AL184" t="str">
            <v>300 deg az, deep sand good current to keep algae away* this was at the slack tide</v>
          </cell>
        </row>
        <row r="185">
          <cell r="B185" t="str">
            <v>Liberty Bay East - PNNL - test - 2013</v>
          </cell>
          <cell r="C185" t="str">
            <v>LBT_east</v>
          </cell>
          <cell r="D185" t="str">
            <v>single</v>
          </cell>
          <cell r="E185">
            <v>2013</v>
          </cell>
          <cell r="F185" t="str">
            <v>Thom, RM, and L Hallum. 1990. Long‐term changes in the areal extent of tidal marshes, eelgrass meadows, and kelp forests of Puget Sound. FRI‐UW‐9008, Fisheries Research Institute, School of Fisheries, University of Washington, Seattle. Pp. 110.</v>
          </cell>
          <cell r="G185" t="str">
            <v>point</v>
          </cell>
          <cell r="H185" t="str">
            <v>Liberty Bay</v>
          </cell>
          <cell r="I185" t="str">
            <v>CPS</v>
          </cell>
          <cell r="J185" t="str">
            <v>20% more ZM</v>
          </cell>
          <cell r="K185" t="str">
            <v>WDFW</v>
          </cell>
          <cell r="L185" t="str">
            <v>National Estuary Program</v>
          </cell>
          <cell r="M185" t="str">
            <v>12-1117</v>
          </cell>
          <cell r="N185" t="str">
            <v xml:space="preserve"> IAA 12-316</v>
          </cell>
          <cell r="O185" t="str">
            <v>PNNL</v>
          </cell>
          <cell r="P185" t="str">
            <v>IAA 12-317</v>
          </cell>
          <cell r="Q185" t="str">
            <v>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v>
          </cell>
          <cell r="R185" t="str">
            <v>test</v>
          </cell>
          <cell r="S185" t="str">
            <v>test</v>
          </cell>
          <cell r="T185">
            <v>41432</v>
          </cell>
          <cell r="U185">
            <v>47.703783333333334</v>
          </cell>
          <cell r="V185">
            <v>-122.60514999999999</v>
          </cell>
          <cell r="W185" t="str">
            <v>point</v>
          </cell>
          <cell r="X185" t="str">
            <v>retain</v>
          </cell>
          <cell r="Y185" t="str">
            <v>WGS84</v>
          </cell>
          <cell r="Z185">
            <v>-1.524</v>
          </cell>
          <cell r="AA185" t="str">
            <v>staple</v>
          </cell>
          <cell r="AB185">
            <v>6</v>
          </cell>
          <cell r="AC185">
            <v>6</v>
          </cell>
          <cell r="AD185">
            <v>36</v>
          </cell>
          <cell r="AE185">
            <v>36</v>
          </cell>
          <cell r="AF185">
            <v>0.9</v>
          </cell>
          <cell r="AG185">
            <v>180</v>
          </cell>
          <cell r="AH185">
            <v>720</v>
          </cell>
          <cell r="AI185">
            <v>20</v>
          </cell>
          <cell r="AJ185">
            <v>20</v>
          </cell>
          <cell r="AK185" t="str">
            <v>Sandy Hook</v>
          </cell>
        </row>
        <row r="186">
          <cell r="B186" t="str">
            <v>Liberty Bay West - PNNL - test - 2013</v>
          </cell>
          <cell r="C186" t="str">
            <v>LBT_west</v>
          </cell>
          <cell r="D186" t="str">
            <v>single</v>
          </cell>
          <cell r="E186">
            <v>2013</v>
          </cell>
          <cell r="F186" t="str">
            <v>Thom, RM, and L Hallum. 1990. Long‐term changes in the areal extent of tidal marshes, eelgrass meadows, and kelp forests of Puget Sound. FRI‐UW‐9008, Fisheries Research Institute, School of Fisheries, University of Washington, Seattle. Pp. 110.</v>
          </cell>
          <cell r="G186" t="str">
            <v>point</v>
          </cell>
          <cell r="H186" t="str">
            <v>Liberty Bay</v>
          </cell>
          <cell r="I186" t="str">
            <v>CPS</v>
          </cell>
          <cell r="J186" t="str">
            <v>20% more ZM</v>
          </cell>
          <cell r="K186" t="str">
            <v>WDFW</v>
          </cell>
          <cell r="L186" t="str">
            <v>National Estuary Program</v>
          </cell>
          <cell r="M186" t="str">
            <v>12-1117</v>
          </cell>
          <cell r="N186" t="str">
            <v xml:space="preserve"> IAA 12-316</v>
          </cell>
          <cell r="O186" t="str">
            <v>PNNL</v>
          </cell>
          <cell r="P186" t="str">
            <v>IAA 12-317</v>
          </cell>
          <cell r="Q186" t="str">
            <v>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v>
          </cell>
          <cell r="R186" t="str">
            <v>test</v>
          </cell>
          <cell r="S186" t="str">
            <v>test</v>
          </cell>
          <cell r="T186">
            <v>41432</v>
          </cell>
          <cell r="U186">
            <v>47.71</v>
          </cell>
          <cell r="V186">
            <v>-122.61401666666667</v>
          </cell>
          <cell r="W186" t="str">
            <v>point</v>
          </cell>
          <cell r="X186" t="str">
            <v>retain</v>
          </cell>
          <cell r="Y186" t="str">
            <v>WGS84</v>
          </cell>
          <cell r="Z186">
            <v>-1.6763999999999999</v>
          </cell>
          <cell r="AA186" t="str">
            <v>staple</v>
          </cell>
          <cell r="AB186">
            <v>5</v>
          </cell>
          <cell r="AC186">
            <v>6</v>
          </cell>
          <cell r="AD186">
            <v>30</v>
          </cell>
          <cell r="AE186">
            <v>30</v>
          </cell>
          <cell r="AF186">
            <v>0.75</v>
          </cell>
          <cell r="AG186">
            <v>150</v>
          </cell>
          <cell r="AH186">
            <v>600</v>
          </cell>
          <cell r="AI186">
            <v>20</v>
          </cell>
          <cell r="AJ186">
            <v>20</v>
          </cell>
          <cell r="AK186" t="str">
            <v>Sandy Hook</v>
          </cell>
        </row>
        <row r="187">
          <cell r="B187" t="str">
            <v>McDermott Point South - south - HC - test - 2017</v>
          </cell>
          <cell r="C187" t="str">
            <v>MCD_south_L1</v>
          </cell>
          <cell r="D187" t="str">
            <v>single</v>
          </cell>
          <cell r="E187">
            <v>2017</v>
          </cell>
          <cell r="F187" t="str">
            <v>Thom, RM, and L Hallum. 1990. Long‐term changes in the areal extent of tidal marshes, eelgrass meadows, and kelp forests of Puget Sound. FRI‐UW‐9008, Fisheries Research Institute, School of Fisheries, University of Washington, Seattle. Pp. 110.</v>
          </cell>
          <cell r="G187" t="str">
            <v>line</v>
          </cell>
          <cell r="H187" t="str">
            <v>Drayton Passage</v>
          </cell>
          <cell r="I187" t="str">
            <v>CPS</v>
          </cell>
          <cell r="J187" t="str">
            <v>Eelgrass Restoration in Puget Sound</v>
          </cell>
          <cell r="K187" t="str">
            <v>WDFW</v>
          </cell>
          <cell r="L187" t="str">
            <v>National Estuary Program</v>
          </cell>
          <cell r="M187" t="str">
            <v>14-02072</v>
          </cell>
          <cell r="N187" t="str">
            <v>IAA 15-110</v>
          </cell>
          <cell r="O187" t="str">
            <v>Hart Crowser</v>
          </cell>
          <cell r="P187" t="str">
            <v>SC 16-17</v>
          </cell>
          <cell r="Q187" t="str">
            <v>Shannon, J., J. Blanchette and J. Gaeckle. 2018. Eelgrass (Zostera marina) Restoration in Puget Sound, WA. Final Restoration and Monitoring Report (12059-05) for US EPA, Hart Crowser, Edmonds, WA. Pp. 131.</v>
          </cell>
          <cell r="R187" t="str">
            <v>test</v>
          </cell>
          <cell r="S187" t="str">
            <v>test</v>
          </cell>
          <cell r="T187">
            <v>42859</v>
          </cell>
          <cell r="U187">
            <v>47.198616700000002</v>
          </cell>
          <cell r="V187">
            <v>-122.7392667</v>
          </cell>
          <cell r="W187" t="str">
            <v>line</v>
          </cell>
          <cell r="X187" t="str">
            <v>retain</v>
          </cell>
          <cell r="Y187" t="str">
            <v>WGS84</v>
          </cell>
          <cell r="Z187">
            <v>-1.6</v>
          </cell>
          <cell r="AA187" t="str">
            <v>turf</v>
          </cell>
          <cell r="AB187">
            <v>5</v>
          </cell>
          <cell r="AC187">
            <v>5</v>
          </cell>
          <cell r="AD187">
            <v>25</v>
          </cell>
          <cell r="AE187">
            <v>39</v>
          </cell>
          <cell r="AF187">
            <v>0.99</v>
          </cell>
          <cell r="AG187">
            <v>99</v>
          </cell>
          <cell r="AH187">
            <v>998</v>
          </cell>
          <cell r="AI187">
            <v>39.92</v>
          </cell>
          <cell r="AJ187">
            <v>25.589743589743591</v>
          </cell>
          <cell r="AK187" t="str">
            <v>Rocky Bay</v>
          </cell>
          <cell r="AL187" t="str">
            <v>Turfs plant 5-15 shoots per staple (X= ~10 shoots/staple b/c donor site was Rocky Bay). Estimated number of PUs at test-transplant site as 998/10 = 99. Referred to in report as McDermott Point 1.</v>
          </cell>
        </row>
        <row r="188">
          <cell r="B188" t="str">
            <v>McDermott Point South - north - HC - test - 2017</v>
          </cell>
          <cell r="C188" t="str">
            <v>MCD_south_L1</v>
          </cell>
          <cell r="D188" t="str">
            <v>single</v>
          </cell>
          <cell r="E188">
            <v>2017</v>
          </cell>
          <cell r="F188" t="str">
            <v>Thom, RM, and L Hallum. 1990. Long‐term changes in the areal extent of tidal marshes, eelgrass meadows, and kelp forests of Puget Sound. FRI‐UW‐9008, Fisheries Research Institute, School of Fisheries, University of Washington, Seattle. Pp. 110.</v>
          </cell>
          <cell r="G188" t="str">
            <v>line</v>
          </cell>
          <cell r="H188" t="str">
            <v>Drayton Passage</v>
          </cell>
          <cell r="I188" t="str">
            <v>CPS</v>
          </cell>
          <cell r="J188" t="str">
            <v>Eelgrass Restoration in Puget Sound</v>
          </cell>
          <cell r="K188" t="str">
            <v>WDFW</v>
          </cell>
          <cell r="L188" t="str">
            <v>National Estuary Program</v>
          </cell>
          <cell r="M188" t="str">
            <v>14-02072</v>
          </cell>
          <cell r="N188" t="str">
            <v>IAA 15-110</v>
          </cell>
          <cell r="O188" t="str">
            <v>Hart Crowser</v>
          </cell>
          <cell r="P188" t="str">
            <v>SC 16-17</v>
          </cell>
          <cell r="Q188" t="str">
            <v>Shannon, J., J. Blanchette and J. Gaeckle. 2018. Eelgrass (Zostera marina) Restoration in Puget Sound, WA. Final Restoration and Monitoring Report (12059-05) for US EPA, Hart Crowser, Edmonds, WA. Pp. 131.</v>
          </cell>
          <cell r="R188" t="str">
            <v>test</v>
          </cell>
          <cell r="S188" t="str">
            <v>--</v>
          </cell>
          <cell r="T188">
            <v>42859</v>
          </cell>
          <cell r="U188">
            <v>47.198683299999999</v>
          </cell>
          <cell r="V188">
            <v>-122.7392333</v>
          </cell>
          <cell r="W188" t="str">
            <v>line</v>
          </cell>
          <cell r="X188" t="str">
            <v>retain</v>
          </cell>
          <cell r="Y188" t="str">
            <v>WGS84</v>
          </cell>
          <cell r="AF188" t="str">
            <v/>
          </cell>
          <cell r="AI188" t="str">
            <v/>
          </cell>
          <cell r="AJ188" t="str">
            <v/>
          </cell>
        </row>
        <row r="189">
          <cell r="B189" t="str">
            <v>McDermott Point North - south - HC - test - 2017</v>
          </cell>
          <cell r="C189" t="str">
            <v>MCD_north_L1</v>
          </cell>
          <cell r="D189" t="str">
            <v>single</v>
          </cell>
          <cell r="E189">
            <v>2017</v>
          </cell>
          <cell r="F189" t="str">
            <v>Thom, RM, and L Hallum. 1990. Long‐term changes in the areal extent of tidal marshes, eelgrass meadows, and kelp forests of Puget Sound. FRI‐UW‐9008, Fisheries Research Institute, School of Fisheries, University of Washington, Seattle. Pp. 110.</v>
          </cell>
          <cell r="G189" t="str">
            <v>line</v>
          </cell>
          <cell r="H189" t="str">
            <v>Drayton Passage</v>
          </cell>
          <cell r="I189" t="str">
            <v>CPS</v>
          </cell>
          <cell r="J189" t="str">
            <v>Eelgrass Restoration in Puget Sound</v>
          </cell>
          <cell r="K189" t="str">
            <v>WDFW</v>
          </cell>
          <cell r="L189" t="str">
            <v>National Estuary Program</v>
          </cell>
          <cell r="M189" t="str">
            <v>14-02072</v>
          </cell>
          <cell r="N189" t="str">
            <v>IAA 15-110</v>
          </cell>
          <cell r="O189" t="str">
            <v>Hart Crowser</v>
          </cell>
          <cell r="P189" t="str">
            <v>SC 16-17</v>
          </cell>
          <cell r="Q189" t="str">
            <v>Shannon, J., J. Blanchette and J. Gaeckle. 2018. Eelgrass (Zostera marina) Restoration in Puget Sound, WA. Final Restoration and Monitoring Report (12059-05) for US EPA, Hart Crowser, Edmonds, WA. Pp. 131.</v>
          </cell>
          <cell r="R189" t="str">
            <v>test</v>
          </cell>
          <cell r="S189" t="str">
            <v>test</v>
          </cell>
          <cell r="T189">
            <v>42859</v>
          </cell>
          <cell r="U189">
            <v>47.198983300000002</v>
          </cell>
          <cell r="V189">
            <v>-122.7391667</v>
          </cell>
          <cell r="W189" t="str">
            <v>line</v>
          </cell>
          <cell r="X189" t="str">
            <v>retain</v>
          </cell>
          <cell r="Y189" t="str">
            <v>WGS84</v>
          </cell>
          <cell r="Z189">
            <v>-1.6</v>
          </cell>
          <cell r="AA189" t="str">
            <v>turf</v>
          </cell>
          <cell r="AB189">
            <v>5</v>
          </cell>
          <cell r="AC189">
            <v>5</v>
          </cell>
          <cell r="AD189">
            <v>25</v>
          </cell>
          <cell r="AE189">
            <v>39</v>
          </cell>
          <cell r="AF189">
            <v>0.99</v>
          </cell>
          <cell r="AG189">
            <v>99</v>
          </cell>
          <cell r="AH189">
            <v>994</v>
          </cell>
          <cell r="AI189">
            <v>39.76</v>
          </cell>
          <cell r="AJ189">
            <v>25.487179487179485</v>
          </cell>
          <cell r="AK189" t="str">
            <v>Rocky Bay</v>
          </cell>
          <cell r="AL189" t="str">
            <v>Turfs plant 5-15 shoots per staple (X= ~10 shoots/staple b/c donor site was Rocky Bay). Estimated number of PUs at test-transplant site as 994/10 = 99. Referred to in report as McDermott Point 1.</v>
          </cell>
        </row>
        <row r="190">
          <cell r="B190" t="str">
            <v>McDermott Point North - north - HC - test - 2017</v>
          </cell>
          <cell r="C190" t="str">
            <v>MCD_north_L1</v>
          </cell>
          <cell r="D190" t="str">
            <v>single</v>
          </cell>
          <cell r="E190">
            <v>2017</v>
          </cell>
          <cell r="F190" t="str">
            <v>Thom, RM, and L Hallum. 1990. Long‐term changes in the areal extent of tidal marshes, eelgrass meadows, and kelp forests of Puget Sound. FRI‐UW‐9008, Fisheries Research Institute, School of Fisheries, University of Washington, Seattle. Pp. 110.</v>
          </cell>
          <cell r="G190" t="str">
            <v>line</v>
          </cell>
          <cell r="H190" t="str">
            <v>Drayton Passage</v>
          </cell>
          <cell r="I190" t="str">
            <v>CPS</v>
          </cell>
          <cell r="J190" t="str">
            <v>Eelgrass Restoration in Puget Sound</v>
          </cell>
          <cell r="K190" t="str">
            <v>WDFW</v>
          </cell>
          <cell r="L190" t="str">
            <v>National Estuary Program</v>
          </cell>
          <cell r="M190" t="str">
            <v>14-02072</v>
          </cell>
          <cell r="N190" t="str">
            <v>IAA 15-110</v>
          </cell>
          <cell r="O190" t="str">
            <v>Hart Crowser</v>
          </cell>
          <cell r="P190" t="str">
            <v>SC 16-17</v>
          </cell>
          <cell r="Q190" t="str">
            <v>Shannon, J., J. Blanchette and J. Gaeckle. 2018. Eelgrass (Zostera marina) Restoration in Puget Sound, WA. Final Restoration and Monitoring Report (12059-05) for US EPA, Hart Crowser, Edmonds, WA. Pp. 131.</v>
          </cell>
          <cell r="R190" t="str">
            <v>test</v>
          </cell>
          <cell r="S190" t="str">
            <v>--</v>
          </cell>
          <cell r="T190">
            <v>42859</v>
          </cell>
          <cell r="U190">
            <v>47.199033300000004</v>
          </cell>
          <cell r="V190">
            <v>-122.73913330000001</v>
          </cell>
          <cell r="W190" t="str">
            <v>line</v>
          </cell>
          <cell r="X190" t="str">
            <v>retain</v>
          </cell>
          <cell r="Y190" t="str">
            <v>WGS84</v>
          </cell>
          <cell r="AF190" t="str">
            <v/>
          </cell>
          <cell r="AI190" t="str">
            <v/>
          </cell>
          <cell r="AJ190" t="str">
            <v/>
          </cell>
        </row>
        <row r="191">
          <cell r="B191" t="str">
            <v>McDermott Point - PNNL - test - 2020</v>
          </cell>
          <cell r="C191" t="str">
            <v>MCD_1</v>
          </cell>
          <cell r="D191" t="str">
            <v>single</v>
          </cell>
          <cell r="E191">
            <v>2020</v>
          </cell>
          <cell r="F191" t="str">
            <v>Thom, RM, and L Hallum. 1990. Long‐term changes in the areal extent of tidal marshes, eelgrass meadows, and kelp forests of Puget Sound. FRI‐UW‐9008, Fisheries Research Institute, School of Fisheries, University of Washington, Seattle. Pp. 110.</v>
          </cell>
          <cell r="G191" t="str">
            <v>point</v>
          </cell>
          <cell r="H191" t="str">
            <v>Drayton Passage</v>
          </cell>
          <cell r="I191" t="str">
            <v>CPS</v>
          </cell>
          <cell r="J191" t="str">
            <v>Eelgrass Recovery in PS</v>
          </cell>
          <cell r="K191" t="str">
            <v>USACE</v>
          </cell>
          <cell r="L191" t="str">
            <v>USACE</v>
          </cell>
          <cell r="M191" t="str">
            <v>W912DW-14-2-0009 (93-099566)</v>
          </cell>
          <cell r="N191" t="str">
            <v>IAA 15-45</v>
          </cell>
          <cell r="O191" t="str">
            <v>PNNL</v>
          </cell>
          <cell r="R191" t="str">
            <v>test</v>
          </cell>
          <cell r="S191" t="str">
            <v>test</v>
          </cell>
          <cell r="T191">
            <v>44012</v>
          </cell>
          <cell r="U191">
            <v>47.198129999999999</v>
          </cell>
          <cell r="V191">
            <v>-122.7396</v>
          </cell>
          <cell r="W191" t="str">
            <v>point</v>
          </cell>
          <cell r="X191" t="str">
            <v>retain</v>
          </cell>
          <cell r="Y191" t="str">
            <v>WGS84</v>
          </cell>
          <cell r="Z191">
            <v>-1.7</v>
          </cell>
          <cell r="AA191" t="str">
            <v>rebar</v>
          </cell>
          <cell r="AB191">
            <v>2.5</v>
          </cell>
          <cell r="AC191">
            <v>2.5</v>
          </cell>
          <cell r="AD191">
            <v>6.25</v>
          </cell>
          <cell r="AE191">
            <v>5</v>
          </cell>
          <cell r="AF191">
            <v>0.15</v>
          </cell>
          <cell r="AG191">
            <v>20</v>
          </cell>
          <cell r="AH191">
            <v>500</v>
          </cell>
          <cell r="AI191">
            <v>80</v>
          </cell>
          <cell r="AJ191">
            <v>100</v>
          </cell>
          <cell r="AK191" t="str">
            <v>Anderson Island</v>
          </cell>
          <cell r="AL191" t="str">
            <v>200deg az , sandy with patchy ulva but not much, fist-sized pockmarks possibly bivalves</v>
          </cell>
        </row>
        <row r="192">
          <cell r="B192" t="str">
            <v>McNeil Island - north - PNNL - test - 2015</v>
          </cell>
          <cell r="C192" t="str">
            <v>MCN_north</v>
          </cell>
          <cell r="D192" t="str">
            <v>single</v>
          </cell>
          <cell r="E192">
            <v>2015</v>
          </cell>
          <cell r="G192" t="str">
            <v>point</v>
          </cell>
          <cell r="H192" t="str">
            <v>Carr Inlet</v>
          </cell>
          <cell r="I192" t="str">
            <v>CPS</v>
          </cell>
          <cell r="J192" t="str">
            <v>Eelgrass Restoration in PS</v>
          </cell>
          <cell r="K192" t="str">
            <v>DNR</v>
          </cell>
          <cell r="L192" t="str">
            <v>Aquatic Restoration Program</v>
          </cell>
          <cell r="O192" t="str">
            <v>PNNL</v>
          </cell>
          <cell r="P192" t="str">
            <v>IAA 12-317.1</v>
          </cell>
          <cell r="Q192" t="str">
            <v>Aston, L.A., A.B. Borde and J. Vavrinec. 2015. Final Summary Report - Eelgrass Restoration in Puget Sound Project Summary. Pacific Northwest National Laboratory, Richland, WA. PNNL-24445.</v>
          </cell>
          <cell r="R192" t="str">
            <v>test</v>
          </cell>
          <cell r="S192" t="str">
            <v>test</v>
          </cell>
          <cell r="T192">
            <v>42061</v>
          </cell>
          <cell r="U192">
            <v>47.224733333333333</v>
          </cell>
          <cell r="V192">
            <v>-122.67310000000001</v>
          </cell>
          <cell r="W192" t="str">
            <v>point</v>
          </cell>
          <cell r="X192" t="str">
            <v>retain</v>
          </cell>
          <cell r="Y192" t="str">
            <v>WGS84</v>
          </cell>
          <cell r="Z192">
            <v>-0.76200000000000001</v>
          </cell>
          <cell r="AA192" t="str">
            <v>staple</v>
          </cell>
          <cell r="AB192">
            <v>5</v>
          </cell>
          <cell r="AC192">
            <v>5</v>
          </cell>
          <cell r="AD192">
            <v>25</v>
          </cell>
          <cell r="AE192">
            <v>25</v>
          </cell>
          <cell r="AF192">
            <v>0.625</v>
          </cell>
          <cell r="AG192">
            <v>125</v>
          </cell>
          <cell r="AH192">
            <v>500</v>
          </cell>
          <cell r="AI192">
            <v>20</v>
          </cell>
          <cell r="AJ192">
            <v>20</v>
          </cell>
          <cell r="AK192" t="str">
            <v>Ketron Island</v>
          </cell>
        </row>
        <row r="193">
          <cell r="B193" t="str">
            <v>South Shore -PNNL - test - 1 - (eastern most) - 2016</v>
          </cell>
          <cell r="C193" t="str">
            <v>MCN_south_1</v>
          </cell>
          <cell r="D193" t="str">
            <v>single</v>
          </cell>
          <cell r="E193">
            <v>2016</v>
          </cell>
          <cell r="G193" t="str">
            <v>point</v>
          </cell>
          <cell r="H193" t="str">
            <v>Carr Inlet</v>
          </cell>
          <cell r="I193" t="str">
            <v>CPS</v>
          </cell>
          <cell r="J193" t="str">
            <v>Eelgrass Recovery in PS</v>
          </cell>
          <cell r="K193" t="str">
            <v>USFWS</v>
          </cell>
          <cell r="L193" t="str">
            <v>USFWS</v>
          </cell>
          <cell r="M193" t="str">
            <v>WA F16AP00163 AL</v>
          </cell>
          <cell r="O193" t="str">
            <v>PNNL</v>
          </cell>
          <cell r="P193" t="str">
            <v>93-094344</v>
          </cell>
          <cell r="R193" t="str">
            <v>test</v>
          </cell>
          <cell r="S193" t="str">
            <v>test</v>
          </cell>
          <cell r="T193">
            <v>42634</v>
          </cell>
          <cell r="U193">
            <v>47.191533333333332</v>
          </cell>
          <cell r="V193">
            <v>-122.67189999999999</v>
          </cell>
          <cell r="W193" t="str">
            <v>point</v>
          </cell>
          <cell r="X193" t="str">
            <v>retain</v>
          </cell>
          <cell r="Y193" t="str">
            <v>WGS84</v>
          </cell>
          <cell r="Z193">
            <v>-1.5849599999999999</v>
          </cell>
          <cell r="AA193" t="str">
            <v>rebar</v>
          </cell>
          <cell r="AB193">
            <v>2.5</v>
          </cell>
          <cell r="AC193">
            <v>2.5</v>
          </cell>
          <cell r="AD193">
            <v>6.25</v>
          </cell>
          <cell r="AE193">
            <v>5</v>
          </cell>
          <cell r="AF193">
            <v>0.15</v>
          </cell>
          <cell r="AG193">
            <v>20</v>
          </cell>
          <cell r="AH193">
            <v>500</v>
          </cell>
          <cell r="AI193">
            <v>80</v>
          </cell>
          <cell r="AJ193">
            <v>100</v>
          </cell>
          <cell r="AK193" t="str">
            <v>Sandy Point</v>
          </cell>
        </row>
        <row r="194">
          <cell r="B194" t="str">
            <v>South Shore - PNNL - test - 2  - (middle) - 2016</v>
          </cell>
          <cell r="C194" t="str">
            <v>MCN_south_2</v>
          </cell>
          <cell r="D194" t="str">
            <v>single</v>
          </cell>
          <cell r="E194">
            <v>2016</v>
          </cell>
          <cell r="G194" t="str">
            <v>point</v>
          </cell>
          <cell r="H194" t="str">
            <v>Carr Inlet</v>
          </cell>
          <cell r="I194" t="str">
            <v>CPS</v>
          </cell>
          <cell r="J194" t="str">
            <v>Eelgrass Recovery in PS</v>
          </cell>
          <cell r="K194" t="str">
            <v>USFWS</v>
          </cell>
          <cell r="L194" t="str">
            <v>USFWS</v>
          </cell>
          <cell r="M194" t="str">
            <v>WA F16AP00163 AL</v>
          </cell>
          <cell r="O194" t="str">
            <v>PNNL</v>
          </cell>
          <cell r="P194" t="str">
            <v>93-094344</v>
          </cell>
          <cell r="R194" t="str">
            <v>test</v>
          </cell>
          <cell r="S194" t="str">
            <v>test</v>
          </cell>
          <cell r="T194">
            <v>42634</v>
          </cell>
          <cell r="U194">
            <v>47.191600000000001</v>
          </cell>
          <cell r="V194">
            <v>-122.67108333333333</v>
          </cell>
          <cell r="W194" t="str">
            <v>point</v>
          </cell>
          <cell r="X194" t="str">
            <v>retain</v>
          </cell>
          <cell r="Y194" t="str">
            <v>WGS84</v>
          </cell>
          <cell r="Z194">
            <v>-1.7678400000000001</v>
          </cell>
          <cell r="AA194" t="str">
            <v>rebar</v>
          </cell>
          <cell r="AB194">
            <v>2.5</v>
          </cell>
          <cell r="AC194">
            <v>2.5</v>
          </cell>
          <cell r="AD194">
            <v>6.25</v>
          </cell>
          <cell r="AE194">
            <v>5</v>
          </cell>
          <cell r="AF194">
            <v>0.5</v>
          </cell>
          <cell r="AG194">
            <v>20</v>
          </cell>
          <cell r="AH194">
            <v>500</v>
          </cell>
          <cell r="AI194">
            <v>80</v>
          </cell>
          <cell r="AJ194">
            <v>100</v>
          </cell>
          <cell r="AK194" t="str">
            <v>Sandy Point</v>
          </cell>
        </row>
        <row r="195">
          <cell r="B195" t="str">
            <v>South Shore - PNNL - test - 3  - (western most) - 2016</v>
          </cell>
          <cell r="C195" t="str">
            <v>MCN_south_3</v>
          </cell>
          <cell r="D195" t="str">
            <v>single</v>
          </cell>
          <cell r="E195">
            <v>2016</v>
          </cell>
          <cell r="G195" t="str">
            <v>point</v>
          </cell>
          <cell r="H195" t="str">
            <v>Carr Inlet</v>
          </cell>
          <cell r="I195" t="str">
            <v>CPS</v>
          </cell>
          <cell r="J195" t="str">
            <v>Eelgrass Recovery in PS</v>
          </cell>
          <cell r="K195" t="str">
            <v>USFWS</v>
          </cell>
          <cell r="L195" t="str">
            <v>USFWS</v>
          </cell>
          <cell r="M195" t="str">
            <v>WA F16AP00163 AL</v>
          </cell>
          <cell r="O195" t="str">
            <v>PNNL</v>
          </cell>
          <cell r="P195" t="str">
            <v>93-094344</v>
          </cell>
          <cell r="R195" t="str">
            <v>test</v>
          </cell>
          <cell r="S195" t="str">
            <v>test</v>
          </cell>
          <cell r="T195">
            <v>42634</v>
          </cell>
          <cell r="U195">
            <v>47.192450000000001</v>
          </cell>
          <cell r="V195">
            <v>-122.66495</v>
          </cell>
          <cell r="W195" t="str">
            <v>point</v>
          </cell>
          <cell r="X195" t="str">
            <v>retain</v>
          </cell>
          <cell r="Y195" t="str">
            <v>WGS84</v>
          </cell>
          <cell r="Z195">
            <v>-1.7068799999999997</v>
          </cell>
          <cell r="AA195" t="str">
            <v>rebar</v>
          </cell>
          <cell r="AB195">
            <v>2.5</v>
          </cell>
          <cell r="AC195">
            <v>2.5</v>
          </cell>
          <cell r="AD195">
            <v>6.25</v>
          </cell>
          <cell r="AE195">
            <v>5</v>
          </cell>
          <cell r="AF195">
            <v>0.5</v>
          </cell>
          <cell r="AG195">
            <v>20</v>
          </cell>
          <cell r="AH195">
            <v>500</v>
          </cell>
          <cell r="AI195">
            <v>80</v>
          </cell>
          <cell r="AJ195">
            <v>100</v>
          </cell>
          <cell r="AK195" t="str">
            <v>Sandy Point</v>
          </cell>
        </row>
        <row r="196">
          <cell r="B196" t="str">
            <v>Still Harbor - PNNL - test - 1  - (southern most) - 2016</v>
          </cell>
          <cell r="C196" t="str">
            <v>MCN_still_1</v>
          </cell>
          <cell r="D196" t="str">
            <v>single</v>
          </cell>
          <cell r="E196">
            <v>2016</v>
          </cell>
          <cell r="G196" t="str">
            <v>point</v>
          </cell>
          <cell r="H196" t="str">
            <v>Carr Inlet</v>
          </cell>
          <cell r="I196" t="str">
            <v>CPS</v>
          </cell>
          <cell r="J196" t="str">
            <v>Eelgrass Recovery in PS</v>
          </cell>
          <cell r="K196" t="str">
            <v>USFWS</v>
          </cell>
          <cell r="L196" t="str">
            <v>USFWS</v>
          </cell>
          <cell r="M196" t="str">
            <v>WA F16AP00163 AL</v>
          </cell>
          <cell r="O196" t="str">
            <v>PNNL</v>
          </cell>
          <cell r="P196" t="str">
            <v>93-094344</v>
          </cell>
          <cell r="R196" t="str">
            <v>test</v>
          </cell>
          <cell r="S196" t="str">
            <v>test</v>
          </cell>
          <cell r="T196">
            <v>42634</v>
          </cell>
          <cell r="U196">
            <v>47.218483333333332</v>
          </cell>
          <cell r="V196">
            <v>-122.66786666666667</v>
          </cell>
          <cell r="W196" t="str">
            <v>point</v>
          </cell>
          <cell r="X196" t="str">
            <v>retain</v>
          </cell>
          <cell r="Y196" t="str">
            <v>WGS84</v>
          </cell>
          <cell r="Z196">
            <v>-1.8288</v>
          </cell>
          <cell r="AA196" t="str">
            <v>rebar</v>
          </cell>
          <cell r="AB196">
            <v>2.5</v>
          </cell>
          <cell r="AC196">
            <v>2.5</v>
          </cell>
          <cell r="AD196">
            <v>6.25</v>
          </cell>
          <cell r="AE196">
            <v>5</v>
          </cell>
          <cell r="AF196">
            <v>0.5</v>
          </cell>
          <cell r="AG196">
            <v>20</v>
          </cell>
          <cell r="AH196">
            <v>500</v>
          </cell>
          <cell r="AI196">
            <v>80</v>
          </cell>
          <cell r="AJ196">
            <v>100</v>
          </cell>
          <cell r="AK196" t="str">
            <v>Sandy Point</v>
          </cell>
        </row>
        <row r="197">
          <cell r="B197" t="str">
            <v>Still Harbor - PNNL - test - 2  - rebar (northern most) - 2016</v>
          </cell>
          <cell r="C197" t="str">
            <v>MCN_still_2</v>
          </cell>
          <cell r="D197" t="str">
            <v>colocated</v>
          </cell>
          <cell r="E197">
            <v>2016</v>
          </cell>
          <cell r="G197" t="str">
            <v>point</v>
          </cell>
          <cell r="H197" t="str">
            <v>Carr Inlet</v>
          </cell>
          <cell r="I197" t="str">
            <v>CPS</v>
          </cell>
          <cell r="J197" t="str">
            <v>Eelgrass Recovery in PS</v>
          </cell>
          <cell r="K197" t="str">
            <v>USFWS</v>
          </cell>
          <cell r="L197" t="str">
            <v>USFWS</v>
          </cell>
          <cell r="M197" t="str">
            <v>WA F16AP00163 AL</v>
          </cell>
          <cell r="O197" t="str">
            <v>PNNL</v>
          </cell>
          <cell r="P197" t="str">
            <v>93-094344</v>
          </cell>
          <cell r="R197" t="str">
            <v>test</v>
          </cell>
          <cell r="S197" t="str">
            <v>test</v>
          </cell>
          <cell r="T197">
            <v>42634</v>
          </cell>
          <cell r="U197">
            <v>47.220333333333336</v>
          </cell>
          <cell r="V197">
            <v>-122.66726666666666</v>
          </cell>
          <cell r="W197" t="str">
            <v>point</v>
          </cell>
          <cell r="X197" t="str">
            <v>retain</v>
          </cell>
          <cell r="Y197" t="str">
            <v>WGS84</v>
          </cell>
          <cell r="Z197">
            <v>-1.7678400000000001</v>
          </cell>
          <cell r="AA197" t="str">
            <v>rebar</v>
          </cell>
          <cell r="AB197">
            <v>2.5</v>
          </cell>
          <cell r="AC197">
            <v>2</v>
          </cell>
          <cell r="AD197">
            <v>5</v>
          </cell>
          <cell r="AE197">
            <v>5</v>
          </cell>
          <cell r="AF197">
            <v>0.5</v>
          </cell>
          <cell r="AG197">
            <v>20</v>
          </cell>
          <cell r="AH197">
            <v>500</v>
          </cell>
          <cell r="AI197">
            <v>100</v>
          </cell>
          <cell r="AJ197">
            <v>100</v>
          </cell>
          <cell r="AK197" t="str">
            <v>Sandy Point</v>
          </cell>
          <cell r="AL197" t="str">
            <v xml:space="preserve">side by side plantings using 2 methods. </v>
          </cell>
        </row>
        <row r="198">
          <cell r="B198" t="str">
            <v>Still Harbor - PNNL - test - 2  - staple (northern most) - 2016</v>
          </cell>
          <cell r="C198" t="str">
            <v>MCN_still_2</v>
          </cell>
          <cell r="D198" t="str">
            <v>colocated</v>
          </cell>
          <cell r="E198">
            <v>2016</v>
          </cell>
          <cell r="G198" t="str">
            <v>point</v>
          </cell>
          <cell r="H198" t="str">
            <v>Carr Inlet</v>
          </cell>
          <cell r="I198" t="str">
            <v>CPS</v>
          </cell>
          <cell r="J198" t="str">
            <v>Eelgrass Recovery in PS</v>
          </cell>
          <cell r="K198" t="str">
            <v>USFWS</v>
          </cell>
          <cell r="L198" t="str">
            <v>USFWS</v>
          </cell>
          <cell r="M198" t="str">
            <v>WA F16AP00163 AL</v>
          </cell>
          <cell r="O198" t="str">
            <v>PNNL</v>
          </cell>
          <cell r="P198" t="str">
            <v>93-094344</v>
          </cell>
          <cell r="R198" t="str">
            <v>test</v>
          </cell>
          <cell r="S198" t="str">
            <v>test</v>
          </cell>
          <cell r="T198">
            <v>42634</v>
          </cell>
          <cell r="U198">
            <v>47.220333333333336</v>
          </cell>
          <cell r="V198">
            <v>-122.66726666666666</v>
          </cell>
          <cell r="W198" t="str">
            <v>point</v>
          </cell>
          <cell r="X198" t="str">
            <v>retain</v>
          </cell>
          <cell r="Y198" t="str">
            <v>WGS84</v>
          </cell>
          <cell r="Z198">
            <v>-1.7678400000000001</v>
          </cell>
          <cell r="AA198" t="str">
            <v>staple</v>
          </cell>
          <cell r="AB198">
            <v>2.5</v>
          </cell>
          <cell r="AC198">
            <v>2</v>
          </cell>
          <cell r="AD198">
            <v>5</v>
          </cell>
          <cell r="AE198">
            <v>5</v>
          </cell>
          <cell r="AF198">
            <v>0.625</v>
          </cell>
          <cell r="AG198">
            <v>125</v>
          </cell>
          <cell r="AH198">
            <v>500</v>
          </cell>
          <cell r="AI198">
            <v>100</v>
          </cell>
          <cell r="AJ198">
            <v>100</v>
          </cell>
          <cell r="AK198" t="str">
            <v>Sandy Point</v>
          </cell>
          <cell r="AL198" t="str">
            <v xml:space="preserve">side by side plantings using 2 methods. </v>
          </cell>
        </row>
        <row r="199">
          <cell r="B199" t="str">
            <v>McNeil Island North - PNNL - test - 1 - 2017</v>
          </cell>
          <cell r="C199" t="str">
            <v>MCN_north_2</v>
          </cell>
          <cell r="D199" t="str">
            <v>single</v>
          </cell>
          <cell r="E199">
            <v>2017</v>
          </cell>
          <cell r="G199" t="str">
            <v>point</v>
          </cell>
          <cell r="H199" t="str">
            <v>Carr Inlet</v>
          </cell>
          <cell r="I199" t="str">
            <v>CPS</v>
          </cell>
          <cell r="J199" t="str">
            <v>Eelgrass Recovery in PS</v>
          </cell>
          <cell r="K199" t="str">
            <v>USFWS</v>
          </cell>
          <cell r="L199" t="str">
            <v>USFWS</v>
          </cell>
          <cell r="M199" t="str">
            <v>WA F16AP00163 AL</v>
          </cell>
          <cell r="O199" t="str">
            <v>PNNL</v>
          </cell>
          <cell r="P199" t="str">
            <v>93-094344</v>
          </cell>
          <cell r="R199" t="str">
            <v>test</v>
          </cell>
          <cell r="S199" t="str">
            <v>test</v>
          </cell>
          <cell r="T199">
            <v>42893</v>
          </cell>
          <cell r="U199">
            <v>47.232016666666667</v>
          </cell>
          <cell r="V199">
            <v>-122.69750000000001</v>
          </cell>
          <cell r="W199" t="str">
            <v>point</v>
          </cell>
          <cell r="X199" t="str">
            <v>retain</v>
          </cell>
          <cell r="Y199" t="str">
            <v>WGS84</v>
          </cell>
          <cell r="Z199">
            <v>-1.2</v>
          </cell>
          <cell r="AA199" t="str">
            <v>rebar</v>
          </cell>
          <cell r="AB199">
            <v>2.5</v>
          </cell>
          <cell r="AC199">
            <v>2</v>
          </cell>
          <cell r="AD199">
            <v>5</v>
          </cell>
          <cell r="AE199">
            <v>5</v>
          </cell>
          <cell r="AF199">
            <v>0.5</v>
          </cell>
          <cell r="AG199">
            <v>20</v>
          </cell>
          <cell r="AH199">
            <v>500</v>
          </cell>
          <cell r="AI199">
            <v>100</v>
          </cell>
          <cell r="AJ199">
            <v>100</v>
          </cell>
          <cell r="AK199" t="str">
            <v>Thompson Cove</v>
          </cell>
        </row>
        <row r="200">
          <cell r="B200" t="str">
            <v>McNeil Island North - PNNL - test - 2 - 2017</v>
          </cell>
          <cell r="C200" t="str">
            <v>MCN_North_3</v>
          </cell>
          <cell r="D200" t="str">
            <v>single</v>
          </cell>
          <cell r="E200">
            <v>2017</v>
          </cell>
          <cell r="G200" t="str">
            <v>point</v>
          </cell>
          <cell r="H200" t="str">
            <v>Carr Inlet</v>
          </cell>
          <cell r="I200" t="str">
            <v>CPS</v>
          </cell>
          <cell r="J200" t="str">
            <v>Eelgrass Recovery in PS</v>
          </cell>
          <cell r="K200" t="str">
            <v>USFWS</v>
          </cell>
          <cell r="L200" t="str">
            <v>USFWS</v>
          </cell>
          <cell r="M200" t="str">
            <v>WA F16AP00163 AL</v>
          </cell>
          <cell r="O200" t="str">
            <v>PNNL</v>
          </cell>
          <cell r="P200" t="str">
            <v>93-094344</v>
          </cell>
          <cell r="R200" t="str">
            <v>test</v>
          </cell>
          <cell r="S200" t="str">
            <v>test</v>
          </cell>
          <cell r="T200">
            <v>42893</v>
          </cell>
          <cell r="U200">
            <v>47.232149999999997</v>
          </cell>
          <cell r="V200">
            <v>-122.69753333333334</v>
          </cell>
          <cell r="W200" t="str">
            <v>point</v>
          </cell>
          <cell r="X200" t="str">
            <v>retain</v>
          </cell>
          <cell r="Y200" t="str">
            <v>WGS84</v>
          </cell>
          <cell r="Z200">
            <v>-1.7</v>
          </cell>
          <cell r="AA200" t="str">
            <v>rebar</v>
          </cell>
          <cell r="AB200">
            <v>2.5</v>
          </cell>
          <cell r="AC200">
            <v>2</v>
          </cell>
          <cell r="AD200">
            <v>5</v>
          </cell>
          <cell r="AE200">
            <v>5</v>
          </cell>
          <cell r="AF200">
            <v>0.5</v>
          </cell>
          <cell r="AG200">
            <v>20</v>
          </cell>
          <cell r="AH200">
            <v>500</v>
          </cell>
          <cell r="AI200">
            <v>100</v>
          </cell>
          <cell r="AJ200">
            <v>100</v>
          </cell>
          <cell r="AK200" t="str">
            <v>Thompson Cove</v>
          </cell>
        </row>
        <row r="201">
          <cell r="B201" t="str">
            <v>McNeil Island South - mid plot - PNNL - large - 2017</v>
          </cell>
          <cell r="C201" t="str">
            <v>MCN_south_L2</v>
          </cell>
          <cell r="D201" t="str">
            <v>single</v>
          </cell>
          <cell r="E201">
            <v>2017</v>
          </cell>
          <cell r="G201" t="str">
            <v>line</v>
          </cell>
          <cell r="H201" t="str">
            <v>Carr Inlet</v>
          </cell>
          <cell r="I201" t="str">
            <v>CPS</v>
          </cell>
          <cell r="J201" t="str">
            <v>Eelgrass Recovery in PS</v>
          </cell>
          <cell r="K201" t="str">
            <v>USFWS</v>
          </cell>
          <cell r="L201" t="str">
            <v>USFWS</v>
          </cell>
          <cell r="M201" t="str">
            <v>WA F16AP00163 AL</v>
          </cell>
          <cell r="O201" t="str">
            <v>PNNL</v>
          </cell>
          <cell r="P201" t="str">
            <v>93-094344</v>
          </cell>
          <cell r="R201" t="str">
            <v>large scale</v>
          </cell>
          <cell r="S201" t="str">
            <v>large scale</v>
          </cell>
          <cell r="T201">
            <v>42922</v>
          </cell>
          <cell r="U201">
            <v>47.191600000000001</v>
          </cell>
          <cell r="V201">
            <v>-122.6711</v>
          </cell>
          <cell r="W201" t="str">
            <v>line</v>
          </cell>
          <cell r="X201" t="str">
            <v>retain</v>
          </cell>
          <cell r="Y201" t="str">
            <v>WGS84</v>
          </cell>
          <cell r="Z201">
            <v>-2.4</v>
          </cell>
          <cell r="AA201" t="str">
            <v>rebar</v>
          </cell>
          <cell r="AB201">
            <v>24</v>
          </cell>
          <cell r="AC201">
            <v>5</v>
          </cell>
          <cell r="AD201">
            <v>120</v>
          </cell>
          <cell r="AE201">
            <v>58.25</v>
          </cell>
          <cell r="AF201">
            <v>5.8250000000000002</v>
          </cell>
          <cell r="AG201">
            <v>233</v>
          </cell>
          <cell r="AH201">
            <v>5825</v>
          </cell>
          <cell r="AI201">
            <v>48.541666666666664</v>
          </cell>
          <cell r="AJ201">
            <v>100</v>
          </cell>
          <cell r="AK201" t="str">
            <v>Thompson Cove</v>
          </cell>
        </row>
        <row r="202">
          <cell r="B202" t="str">
            <v>McNeil Island South - mid plot - PNNL - large - 2017</v>
          </cell>
          <cell r="C202" t="str">
            <v>MCN_south_L2</v>
          </cell>
          <cell r="D202" t="str">
            <v>single</v>
          </cell>
          <cell r="E202">
            <v>2017</v>
          </cell>
          <cell r="G202" t="str">
            <v>line</v>
          </cell>
          <cell r="H202" t="str">
            <v>Carr Inlet</v>
          </cell>
          <cell r="I202" t="str">
            <v>CPS</v>
          </cell>
          <cell r="J202" t="str">
            <v>Eelgrass Recovery in PS</v>
          </cell>
          <cell r="K202" t="str">
            <v>USFWS</v>
          </cell>
          <cell r="L202" t="str">
            <v>USFWS</v>
          </cell>
          <cell r="M202" t="str">
            <v>WA F16AP00163 AL</v>
          </cell>
          <cell r="O202" t="str">
            <v>PNNL</v>
          </cell>
          <cell r="P202" t="str">
            <v>93-094344</v>
          </cell>
          <cell r="R202" t="str">
            <v>large scale</v>
          </cell>
          <cell r="S202" t="str">
            <v>--</v>
          </cell>
          <cell r="T202">
            <v>42922</v>
          </cell>
          <cell r="U202">
            <v>47.191659999999999</v>
          </cell>
          <cell r="V202">
            <v>-122.67077999999999</v>
          </cell>
          <cell r="W202" t="str">
            <v>line</v>
          </cell>
          <cell r="X202" t="str">
            <v>retain</v>
          </cell>
          <cell r="Y202" t="str">
            <v>WGS84</v>
          </cell>
          <cell r="AF202" t="str">
            <v/>
          </cell>
          <cell r="AI202" t="str">
            <v/>
          </cell>
          <cell r="AJ202" t="str">
            <v/>
          </cell>
        </row>
        <row r="203">
          <cell r="B203" t="str">
            <v>McNeil Island South - east plot - PNNL - large - 2017</v>
          </cell>
          <cell r="C203" t="str">
            <v>MCN_south_L1</v>
          </cell>
          <cell r="D203" t="str">
            <v>single</v>
          </cell>
          <cell r="E203">
            <v>2017</v>
          </cell>
          <cell r="G203" t="str">
            <v>line</v>
          </cell>
          <cell r="H203" t="str">
            <v>Carr Inlet</v>
          </cell>
          <cell r="I203" t="str">
            <v>CPS</v>
          </cell>
          <cell r="J203" t="str">
            <v>Eelgrass Recovery in PS</v>
          </cell>
          <cell r="K203" t="str">
            <v>USFWS</v>
          </cell>
          <cell r="L203" t="str">
            <v>USFWS</v>
          </cell>
          <cell r="M203" t="str">
            <v>WA F16AP00163 AL</v>
          </cell>
          <cell r="O203" t="str">
            <v>PNNL</v>
          </cell>
          <cell r="P203" t="str">
            <v>93-094344</v>
          </cell>
          <cell r="R203" t="str">
            <v>large scale</v>
          </cell>
          <cell r="S203" t="str">
            <v>large scale</v>
          </cell>
          <cell r="T203">
            <v>42923</v>
          </cell>
          <cell r="U203">
            <v>47.192450000000001</v>
          </cell>
          <cell r="V203">
            <v>-122.66495</v>
          </cell>
          <cell r="W203" t="str">
            <v>line</v>
          </cell>
          <cell r="X203" t="str">
            <v>retain</v>
          </cell>
          <cell r="Y203" t="str">
            <v>WGS84</v>
          </cell>
          <cell r="Z203">
            <v>-0.6</v>
          </cell>
          <cell r="AA203" t="str">
            <v>rebar</v>
          </cell>
          <cell r="AB203">
            <v>8</v>
          </cell>
          <cell r="AC203">
            <v>5</v>
          </cell>
          <cell r="AD203">
            <v>40</v>
          </cell>
          <cell r="AE203">
            <v>20</v>
          </cell>
          <cell r="AF203">
            <v>2</v>
          </cell>
          <cell r="AG203">
            <v>80</v>
          </cell>
          <cell r="AH203">
            <v>2000</v>
          </cell>
          <cell r="AI203">
            <v>50</v>
          </cell>
          <cell r="AJ203">
            <v>100</v>
          </cell>
          <cell r="AK203" t="str">
            <v>Thompson Cove</v>
          </cell>
          <cell r="AL203" t="str">
            <v>screw anchor at 0m and 16.5 m but only planted through 7.5m  because test plot not as successful as other test plots</v>
          </cell>
        </row>
        <row r="204">
          <cell r="B204" t="str">
            <v>McNeil Island South - east plot - PNNL - large - 2017</v>
          </cell>
          <cell r="C204" t="str">
            <v>MCN_south_L1</v>
          </cell>
          <cell r="D204" t="str">
            <v>single</v>
          </cell>
          <cell r="E204">
            <v>2017</v>
          </cell>
          <cell r="G204" t="str">
            <v>line</v>
          </cell>
          <cell r="H204" t="str">
            <v>Carr Inlet</v>
          </cell>
          <cell r="I204" t="str">
            <v>CPS</v>
          </cell>
          <cell r="J204" t="str">
            <v>Eelgrass Recovery in PS</v>
          </cell>
          <cell r="K204" t="str">
            <v>USFWS</v>
          </cell>
          <cell r="L204" t="str">
            <v>USFWS</v>
          </cell>
          <cell r="M204" t="str">
            <v>WA F16AP00163 AL</v>
          </cell>
          <cell r="O204" t="str">
            <v>PNNL</v>
          </cell>
          <cell r="P204" t="str">
            <v>93-094344</v>
          </cell>
          <cell r="R204" t="str">
            <v>large scale</v>
          </cell>
          <cell r="S204" t="str">
            <v>--</v>
          </cell>
          <cell r="T204">
            <v>42923</v>
          </cell>
          <cell r="U204">
            <v>47.192480000000003</v>
          </cell>
          <cell r="V204">
            <v>-122.66473999999999</v>
          </cell>
          <cell r="W204" t="str">
            <v>line</v>
          </cell>
          <cell r="X204" t="str">
            <v>retain</v>
          </cell>
          <cell r="Y204" t="str">
            <v>WGS84</v>
          </cell>
          <cell r="AF204" t="str">
            <v/>
          </cell>
          <cell r="AI204" t="str">
            <v/>
          </cell>
          <cell r="AJ204" t="str">
            <v/>
          </cell>
        </row>
        <row r="205">
          <cell r="B205" t="str">
            <v>McNeil Island South - west plot - PNNL - large - 2017</v>
          </cell>
          <cell r="C205" t="str">
            <v>MCN_south_L3</v>
          </cell>
          <cell r="D205" t="str">
            <v>single</v>
          </cell>
          <cell r="E205">
            <v>2017</v>
          </cell>
          <cell r="G205" t="str">
            <v>line</v>
          </cell>
          <cell r="H205" t="str">
            <v>Carr Inlet</v>
          </cell>
          <cell r="I205" t="str">
            <v>CPS</v>
          </cell>
          <cell r="J205" t="str">
            <v>Eelgrass Recovery in PS</v>
          </cell>
          <cell r="K205" t="str">
            <v>USFWS</v>
          </cell>
          <cell r="L205" t="str">
            <v>USFWS</v>
          </cell>
          <cell r="M205" t="str">
            <v>WA F16AP00163 AL</v>
          </cell>
          <cell r="O205" t="str">
            <v>PNNL</v>
          </cell>
          <cell r="P205" t="str">
            <v>93-094344</v>
          </cell>
          <cell r="R205" t="str">
            <v>large scale</v>
          </cell>
          <cell r="S205" t="str">
            <v>large scale</v>
          </cell>
          <cell r="T205">
            <v>42924</v>
          </cell>
          <cell r="U205">
            <v>47.19153</v>
          </cell>
          <cell r="V205">
            <v>-122.67189999999999</v>
          </cell>
          <cell r="W205" t="str">
            <v>line</v>
          </cell>
          <cell r="X205" t="str">
            <v>retain</v>
          </cell>
          <cell r="Y205" t="str">
            <v>WGS84</v>
          </cell>
          <cell r="Z205">
            <v>-1.6</v>
          </cell>
          <cell r="AA205" t="str">
            <v>rebar</v>
          </cell>
          <cell r="AB205">
            <v>16</v>
          </cell>
          <cell r="AC205">
            <v>5</v>
          </cell>
          <cell r="AD205">
            <v>80</v>
          </cell>
          <cell r="AE205">
            <v>40</v>
          </cell>
          <cell r="AF205">
            <v>4</v>
          </cell>
          <cell r="AG205">
            <v>160</v>
          </cell>
          <cell r="AH205">
            <v>4000</v>
          </cell>
          <cell r="AI205">
            <v>50</v>
          </cell>
          <cell r="AJ205">
            <v>100</v>
          </cell>
          <cell r="AK205" t="str">
            <v>Thompson Cove</v>
          </cell>
          <cell r="AL205" t="str">
            <v>screw anchors at 0m and 25m</v>
          </cell>
        </row>
        <row r="206">
          <cell r="B206" t="str">
            <v>McNeil Island South - west plot - PNNL - large - 2017</v>
          </cell>
          <cell r="C206" t="str">
            <v>MCN_south_L3</v>
          </cell>
          <cell r="D206" t="str">
            <v>single</v>
          </cell>
          <cell r="E206">
            <v>2017</v>
          </cell>
          <cell r="G206" t="str">
            <v>line</v>
          </cell>
          <cell r="H206" t="str">
            <v>Carr Inlet</v>
          </cell>
          <cell r="I206" t="str">
            <v>CPS</v>
          </cell>
          <cell r="J206" t="str">
            <v>Eelgrass Recovery in PS</v>
          </cell>
          <cell r="K206" t="str">
            <v>USFWS</v>
          </cell>
          <cell r="L206" t="str">
            <v>USFWS</v>
          </cell>
          <cell r="M206" t="str">
            <v>WA F16AP00163 AL</v>
          </cell>
          <cell r="O206" t="str">
            <v>PNNL</v>
          </cell>
          <cell r="P206" t="str">
            <v>93-094344</v>
          </cell>
          <cell r="R206" t="str">
            <v>large scale</v>
          </cell>
          <cell r="S206" t="str">
            <v>--</v>
          </cell>
          <cell r="T206">
            <v>42924</v>
          </cell>
          <cell r="U206">
            <v>47.191470000000002</v>
          </cell>
          <cell r="V206">
            <v>-122.67221000000001</v>
          </cell>
          <cell r="W206" t="str">
            <v>line</v>
          </cell>
          <cell r="X206" t="str">
            <v>retain</v>
          </cell>
          <cell r="Y206" t="str">
            <v>WGS84</v>
          </cell>
          <cell r="AI206" t="str">
            <v/>
          </cell>
          <cell r="AJ206" t="str">
            <v/>
          </cell>
        </row>
        <row r="207">
          <cell r="B207" t="str">
            <v>Milwaukee Dock southern depression - PNNL - test - anchor1 - 2017</v>
          </cell>
          <cell r="C207" t="str">
            <v>MIL_1</v>
          </cell>
          <cell r="D207" t="str">
            <v>single</v>
          </cell>
          <cell r="E207">
            <v>2017</v>
          </cell>
          <cell r="G207" t="str">
            <v>point</v>
          </cell>
          <cell r="H207" t="str">
            <v>Eagle Harbor</v>
          </cell>
          <cell r="I207" t="str">
            <v>CPS</v>
          </cell>
          <cell r="J207" t="str">
            <v>Eelgrass Recovery in PS</v>
          </cell>
          <cell r="K207" t="str">
            <v>USFWS</v>
          </cell>
          <cell r="L207" t="str">
            <v>USFWS</v>
          </cell>
          <cell r="M207" t="str">
            <v>WA F16AP00163 AL</v>
          </cell>
          <cell r="O207" t="str">
            <v>PNNL</v>
          </cell>
          <cell r="P207" t="str">
            <v>93-094344</v>
          </cell>
          <cell r="R207" t="str">
            <v>test</v>
          </cell>
          <cell r="S207" t="str">
            <v>test</v>
          </cell>
          <cell r="T207">
            <v>42978</v>
          </cell>
          <cell r="U207">
            <v>47.616869999999999</v>
          </cell>
          <cell r="V207">
            <v>-122.49728</v>
          </cell>
          <cell r="W207" t="str">
            <v>point</v>
          </cell>
          <cell r="X207" t="str">
            <v>retain</v>
          </cell>
          <cell r="Y207" t="str">
            <v>WGS84</v>
          </cell>
          <cell r="Z207">
            <v>-2.4</v>
          </cell>
          <cell r="AA207" t="str">
            <v>rebar</v>
          </cell>
          <cell r="AB207">
            <v>2.5</v>
          </cell>
          <cell r="AC207">
            <v>2.5</v>
          </cell>
          <cell r="AD207">
            <v>6.25</v>
          </cell>
          <cell r="AE207">
            <v>4.5</v>
          </cell>
          <cell r="AF207">
            <v>0.45</v>
          </cell>
          <cell r="AG207">
            <v>18</v>
          </cell>
          <cell r="AH207">
            <v>450</v>
          </cell>
          <cell r="AI207">
            <v>72</v>
          </cell>
          <cell r="AJ207">
            <v>100</v>
          </cell>
          <cell r="AK207" t="str">
            <v>Creosote Point</v>
          </cell>
          <cell r="AL207" t="str">
            <v>Testing to see if rebar will hold better than failed staples at this site. See planting diagram</v>
          </cell>
        </row>
        <row r="208">
          <cell r="B208" t="str">
            <v>Milwaukee Dock southern depression - PNNL - test - anchor3 - 2017</v>
          </cell>
          <cell r="C208" t="str">
            <v>MIL_3</v>
          </cell>
          <cell r="D208" t="str">
            <v>single</v>
          </cell>
          <cell r="E208">
            <v>2017</v>
          </cell>
          <cell r="G208" t="str">
            <v>point</v>
          </cell>
          <cell r="H208" t="str">
            <v>Eagle Harbor</v>
          </cell>
          <cell r="I208" t="str">
            <v>CPS</v>
          </cell>
          <cell r="J208" t="str">
            <v>Eelgrass Recovery in PS</v>
          </cell>
          <cell r="K208" t="str">
            <v>USFWS</v>
          </cell>
          <cell r="L208" t="str">
            <v>USFWS</v>
          </cell>
          <cell r="M208" t="str">
            <v>WA F16AP00163 AL</v>
          </cell>
          <cell r="O208" t="str">
            <v>PNNL</v>
          </cell>
          <cell r="P208" t="str">
            <v>93-094344</v>
          </cell>
          <cell r="R208" t="str">
            <v>test</v>
          </cell>
          <cell r="S208" t="str">
            <v>test</v>
          </cell>
          <cell r="T208">
            <v>42978</v>
          </cell>
          <cell r="U208">
            <v>47.61683</v>
          </cell>
          <cell r="V208">
            <v>-122.49723</v>
          </cell>
          <cell r="W208" t="str">
            <v>point</v>
          </cell>
          <cell r="X208" t="str">
            <v>retain</v>
          </cell>
          <cell r="Y208" t="str">
            <v>WGS84</v>
          </cell>
          <cell r="Z208">
            <v>-2.4</v>
          </cell>
          <cell r="AA208" t="str">
            <v>rebar</v>
          </cell>
          <cell r="AB208">
            <v>2.5</v>
          </cell>
          <cell r="AC208">
            <v>2.5</v>
          </cell>
          <cell r="AD208">
            <v>6.25</v>
          </cell>
          <cell r="AE208">
            <v>5</v>
          </cell>
          <cell r="AF208">
            <v>0.5</v>
          </cell>
          <cell r="AG208">
            <v>20</v>
          </cell>
          <cell r="AH208">
            <v>500</v>
          </cell>
          <cell r="AI208">
            <v>80</v>
          </cell>
          <cell r="AJ208">
            <v>100</v>
          </cell>
          <cell r="AK208" t="str">
            <v>Creosote Point</v>
          </cell>
          <cell r="AL208" t="str">
            <v>Testing to see if rebar will hold better than failed staples at this site. See planting diagram</v>
          </cell>
        </row>
        <row r="209">
          <cell r="B209" t="str">
            <v>Myrtle Edwards - DNR - test - DW - 2021</v>
          </cell>
          <cell r="C209" t="str">
            <v>MRE_1</v>
          </cell>
          <cell r="D209" t="str">
            <v>single</v>
          </cell>
          <cell r="E209">
            <v>2021</v>
          </cell>
          <cell r="G209" t="str">
            <v>point</v>
          </cell>
          <cell r="H209" t="str">
            <v>Elliott Bay</v>
          </cell>
          <cell r="I209" t="str">
            <v>CPS</v>
          </cell>
          <cell r="J209" t="str">
            <v>King County</v>
          </cell>
          <cell r="K209" t="str">
            <v>King County</v>
          </cell>
          <cell r="L209" t="str">
            <v>King County Department of Natural Resources and Parks Wastewater Treatment Division</v>
          </cell>
          <cell r="N209" t="str">
            <v>93-097520</v>
          </cell>
          <cell r="R209" t="str">
            <v>test</v>
          </cell>
          <cell r="S209" t="str">
            <v>test</v>
          </cell>
          <cell r="T209">
            <v>44344</v>
          </cell>
          <cell r="U209">
            <v>47.620460000000001</v>
          </cell>
          <cell r="V209">
            <v>-122.36398</v>
          </cell>
          <cell r="W209" t="str">
            <v>point</v>
          </cell>
          <cell r="X209" t="str">
            <v>retain</v>
          </cell>
          <cell r="Y209" t="str">
            <v>WGS84</v>
          </cell>
          <cell r="Z209">
            <v>-1.5</v>
          </cell>
          <cell r="AA209" t="str">
            <v>rebar</v>
          </cell>
          <cell r="AB209">
            <v>1.5</v>
          </cell>
          <cell r="AC209">
            <v>1</v>
          </cell>
          <cell r="AD209">
            <v>1.5</v>
          </cell>
          <cell r="AE209">
            <v>3.75</v>
          </cell>
          <cell r="AF209">
            <v>0.375</v>
          </cell>
          <cell r="AG209">
            <v>15</v>
          </cell>
          <cell r="AH209">
            <v>300</v>
          </cell>
          <cell r="AI209">
            <v>200</v>
          </cell>
          <cell r="AJ209">
            <v>80</v>
          </cell>
          <cell r="AK209" t="str">
            <v>DuPont Wharf</v>
          </cell>
          <cell r="AL209" t="str">
            <v>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v>
          </cell>
        </row>
        <row r="210">
          <cell r="B210" t="str">
            <v>Myrtle Edwards - DNR - test - DB - 2021</v>
          </cell>
          <cell r="C210" t="str">
            <v>MRE_1</v>
          </cell>
          <cell r="D210" t="str">
            <v>single</v>
          </cell>
          <cell r="E210">
            <v>2021</v>
          </cell>
          <cell r="G210" t="str">
            <v>point</v>
          </cell>
          <cell r="H210" t="str">
            <v>Elliott Bay</v>
          </cell>
          <cell r="I210" t="str">
            <v>CPS</v>
          </cell>
          <cell r="J210" t="str">
            <v>King County</v>
          </cell>
          <cell r="K210" t="str">
            <v>King County</v>
          </cell>
          <cell r="L210" t="str">
            <v>King County Department of Natural Resources and Parks Wastewater Treatment Division</v>
          </cell>
          <cell r="N210" t="str">
            <v>93-097520</v>
          </cell>
          <cell r="R210" t="str">
            <v>test</v>
          </cell>
          <cell r="S210" t="str">
            <v>test</v>
          </cell>
          <cell r="T210">
            <v>44344</v>
          </cell>
          <cell r="U210">
            <v>47.620460000000001</v>
          </cell>
          <cell r="V210">
            <v>-122.36398</v>
          </cell>
          <cell r="W210" t="str">
            <v>point</v>
          </cell>
          <cell r="X210" t="str">
            <v>retain</v>
          </cell>
          <cell r="Y210" t="str">
            <v>WGS84</v>
          </cell>
          <cell r="Z210">
            <v>-1.5</v>
          </cell>
          <cell r="AA210" t="str">
            <v>rebar</v>
          </cell>
          <cell r="AB210">
            <v>1</v>
          </cell>
          <cell r="AC210">
            <v>1</v>
          </cell>
          <cell r="AD210">
            <v>1</v>
          </cell>
          <cell r="AE210">
            <v>3</v>
          </cell>
          <cell r="AF210">
            <v>0.30000000000000004</v>
          </cell>
          <cell r="AG210">
            <v>12</v>
          </cell>
          <cell r="AH210">
            <v>240</v>
          </cell>
          <cell r="AI210">
            <v>240</v>
          </cell>
          <cell r="AJ210">
            <v>80</v>
          </cell>
          <cell r="AK210" t="str">
            <v>Dumas Bay</v>
          </cell>
          <cell r="AL210" t="str">
            <v>planted 4, 0.25 m2 plots of 3 rebar each with Dumas Bay Zm. 2 plots 1.4 m south of light sensor adjacent to 2 plots of DuPont Wharf Zm. One plot shallow with the other plot deep. The other 2 plots were 1.4 m north of light sensor, 1 plot shallow, 1 plot deep.</v>
          </cell>
        </row>
        <row r="211">
          <cell r="B211" t="str">
            <v>Myrtle Edwards - DNR - test 1 - DW - 2022</v>
          </cell>
          <cell r="C211" t="str">
            <v>MRE_2</v>
          </cell>
          <cell r="D211" t="str">
            <v>single</v>
          </cell>
          <cell r="E211">
            <v>2022</v>
          </cell>
          <cell r="G211" t="str">
            <v>point</v>
          </cell>
          <cell r="H211" t="str">
            <v>Elliott Bay</v>
          </cell>
          <cell r="I211" t="str">
            <v>CPS</v>
          </cell>
          <cell r="J211" t="str">
            <v>King County</v>
          </cell>
          <cell r="K211" t="str">
            <v>King County</v>
          </cell>
          <cell r="L211" t="str">
            <v>King County Department of Natural Resources and Parks Wastewater Treatment Division</v>
          </cell>
          <cell r="N211" t="str">
            <v>93-097520</v>
          </cell>
          <cell r="R211" t="str">
            <v>test</v>
          </cell>
          <cell r="S211" t="str">
            <v>test</v>
          </cell>
          <cell r="T211">
            <v>44698</v>
          </cell>
          <cell r="U211">
            <v>47.620460000000001</v>
          </cell>
          <cell r="V211">
            <v>-122.36398</v>
          </cell>
          <cell r="W211" t="str">
            <v>point</v>
          </cell>
          <cell r="X211" t="str">
            <v>retain</v>
          </cell>
          <cell r="Y211" t="str">
            <v>WGS84</v>
          </cell>
          <cell r="Z211">
            <v>-1.5</v>
          </cell>
          <cell r="AA211" t="str">
            <v>rebar</v>
          </cell>
          <cell r="AB211">
            <v>1</v>
          </cell>
          <cell r="AC211">
            <v>0.5</v>
          </cell>
          <cell r="AD211">
            <v>0.5</v>
          </cell>
          <cell r="AE211">
            <v>1.5</v>
          </cell>
          <cell r="AF211">
            <v>0.15000000000000002</v>
          </cell>
          <cell r="AG211">
            <v>6</v>
          </cell>
          <cell r="AH211">
            <v>120</v>
          </cell>
          <cell r="AI211">
            <v>240</v>
          </cell>
          <cell r="AJ211">
            <v>80</v>
          </cell>
          <cell r="AK211" t="str">
            <v>DuPont Wharf</v>
          </cell>
          <cell r="AL211" t="str">
            <v xml:space="preserve">planted 2, 0.25 m2 plots of 3 rebar each with DuPont Wharf Zm near remaining 3 shoots from 2021 test transplant. Transplants were adjacent to rip rap. </v>
          </cell>
        </row>
        <row r="212">
          <cell r="B212" t="str">
            <v>Myrtle Edwards - DNR - test 2 - DW - 2022</v>
          </cell>
          <cell r="C212" t="str">
            <v>MRE_2</v>
          </cell>
          <cell r="D212" t="str">
            <v>single</v>
          </cell>
          <cell r="E212">
            <v>2022</v>
          </cell>
          <cell r="G212" t="str">
            <v>point</v>
          </cell>
          <cell r="H212" t="str">
            <v>Elliott Bay</v>
          </cell>
          <cell r="I212" t="str">
            <v>CPS</v>
          </cell>
          <cell r="J212" t="str">
            <v>King County</v>
          </cell>
          <cell r="K212" t="str">
            <v>King County</v>
          </cell>
          <cell r="L212" t="str">
            <v>King County Department of Natural Resources and Parks Wastewater Treatment Division</v>
          </cell>
          <cell r="N212" t="str">
            <v>93-097520</v>
          </cell>
          <cell r="R212" t="str">
            <v>test</v>
          </cell>
          <cell r="S212" t="str">
            <v>test</v>
          </cell>
          <cell r="T212">
            <v>44698</v>
          </cell>
          <cell r="W212" t="str">
            <v>point</v>
          </cell>
          <cell r="X212" t="str">
            <v>retain</v>
          </cell>
          <cell r="Y212" t="str">
            <v>WGS84</v>
          </cell>
          <cell r="Z212">
            <v>-1.6</v>
          </cell>
          <cell r="AA212" t="str">
            <v>rebar</v>
          </cell>
          <cell r="AB212">
            <v>2.5</v>
          </cell>
          <cell r="AC212">
            <v>1</v>
          </cell>
          <cell r="AD212">
            <v>2.5</v>
          </cell>
          <cell r="AE212">
            <v>7.75</v>
          </cell>
          <cell r="AF212">
            <v>0.77500000000000002</v>
          </cell>
          <cell r="AG212">
            <v>31</v>
          </cell>
          <cell r="AH212">
            <v>620</v>
          </cell>
          <cell r="AI212">
            <v>248</v>
          </cell>
          <cell r="AJ212">
            <v>80</v>
          </cell>
          <cell r="AK212" t="str">
            <v>DuPont Wharf</v>
          </cell>
          <cell r="AL212" t="str">
            <v>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v>
          </cell>
        </row>
        <row r="213">
          <cell r="B213" t="str">
            <v>Ostrich Bay - PNNL - test - 2015</v>
          </cell>
          <cell r="C213" t="str">
            <v>OST</v>
          </cell>
          <cell r="D213" t="str">
            <v>single</v>
          </cell>
          <cell r="E213">
            <v>2015</v>
          </cell>
          <cell r="G213" t="str">
            <v>point</v>
          </cell>
          <cell r="H213" t="str">
            <v>Dyes Inlet</v>
          </cell>
          <cell r="I213" t="str">
            <v>CPS</v>
          </cell>
          <cell r="J213" t="str">
            <v>Eelgrass Restoration in PS</v>
          </cell>
          <cell r="K213" t="str">
            <v>DNR</v>
          </cell>
          <cell r="L213" t="str">
            <v>Aquatic Restoration Program</v>
          </cell>
          <cell r="O213" t="str">
            <v>PNNL</v>
          </cell>
          <cell r="P213" t="str">
            <v>IAA 12-317.1</v>
          </cell>
          <cell r="Q213" t="str">
            <v>Aston, L.A., A.B. Borde and J. Vavrinec. 2015. Final Summary Report - Eelgrass Restoration in Puget Sound Project Summary. Pacific Northwest National Laboratory, Richland, WA. PNNL-24445.</v>
          </cell>
          <cell r="R213" t="str">
            <v>test</v>
          </cell>
          <cell r="S213" t="str">
            <v>test</v>
          </cell>
          <cell r="T213">
            <v>42053</v>
          </cell>
          <cell r="U213">
            <v>47.592083333333335</v>
          </cell>
          <cell r="V213">
            <v>-122.67906666666667</v>
          </cell>
          <cell r="W213" t="str">
            <v>point</v>
          </cell>
          <cell r="X213" t="str">
            <v>retain</v>
          </cell>
          <cell r="Y213" t="str">
            <v>WGS84</v>
          </cell>
          <cell r="Z213">
            <v>-1.4325600000000001</v>
          </cell>
          <cell r="AA213" t="str">
            <v>staple</v>
          </cell>
          <cell r="AB213">
            <v>5</v>
          </cell>
          <cell r="AC213">
            <v>5</v>
          </cell>
          <cell r="AD213">
            <v>25</v>
          </cell>
          <cell r="AE213">
            <v>25</v>
          </cell>
          <cell r="AF213">
            <v>0.625</v>
          </cell>
          <cell r="AG213">
            <v>125</v>
          </cell>
          <cell r="AH213">
            <v>500</v>
          </cell>
          <cell r="AI213">
            <v>20</v>
          </cell>
          <cell r="AJ213">
            <v>20</v>
          </cell>
          <cell r="AK213" t="str">
            <v>Creosote Point</v>
          </cell>
        </row>
        <row r="214">
          <cell r="B214" t="str">
            <v>Otis Beach - Henderson Inlet - DNR - test 1 - 2023</v>
          </cell>
          <cell r="C214" t="str">
            <v>OTB_1</v>
          </cell>
          <cell r="D214" t="str">
            <v>single</v>
          </cell>
          <cell r="E214">
            <v>2023</v>
          </cell>
          <cell r="G214" t="str">
            <v>point</v>
          </cell>
          <cell r="H214" t="str">
            <v>Henderson Inlet</v>
          </cell>
          <cell r="I214" t="str">
            <v>SPS</v>
          </cell>
          <cell r="R214" t="str">
            <v>test</v>
          </cell>
          <cell r="S214" t="str">
            <v>test</v>
          </cell>
          <cell r="T214">
            <v>45053</v>
          </cell>
          <cell r="U214">
            <v>47.163100800000002</v>
          </cell>
          <cell r="V214">
            <v>-122.828051</v>
          </cell>
          <cell r="W214" t="str">
            <v>point</v>
          </cell>
          <cell r="X214" t="str">
            <v>retain</v>
          </cell>
          <cell r="Y214" t="str">
            <v>WGS84</v>
          </cell>
          <cell r="Z214">
            <v>-1</v>
          </cell>
          <cell r="AA214" t="str">
            <v>rebar</v>
          </cell>
          <cell r="AB214">
            <v>1.5</v>
          </cell>
          <cell r="AC214">
            <v>0.5</v>
          </cell>
          <cell r="AD214">
            <v>0.75</v>
          </cell>
          <cell r="AE214">
            <v>2.75</v>
          </cell>
          <cell r="AF214">
            <v>0.27500000000000002</v>
          </cell>
          <cell r="AG214">
            <v>11</v>
          </cell>
          <cell r="AH214">
            <v>150</v>
          </cell>
          <cell r="AI214">
            <v>200</v>
          </cell>
          <cell r="AJ214">
            <v>54.545454545454547</v>
          </cell>
          <cell r="AK214" t="str">
            <v>DuPont Wharf</v>
          </cell>
          <cell r="AL214" t="str">
            <v>planted 11 rebar. First 2 rebar were perpendicular to shore, then 3 rebar parallel to shore, then 3 rebar perpendicular to shore, then 3 rebar parallel to shore (=, 3 parallel, |||, 3 parallel).</v>
          </cell>
        </row>
        <row r="215">
          <cell r="B215" t="str">
            <v>Penrose North - HC - test - 2016</v>
          </cell>
          <cell r="C215" t="str">
            <v>PEN_L1</v>
          </cell>
          <cell r="D215" t="str">
            <v>single</v>
          </cell>
          <cell r="E215">
            <v>2016</v>
          </cell>
          <cell r="F215" t="str">
            <v>Thom, RM, and L Hallum. 1990. Long‐term changes in the areal extent of tidal marshes, eelgrass meadows, and kelp forests of Puget Sound. FRI‐UW‐9008, Fisheries Research Institute, School of Fisheries, University of Washington, Seattle. Pp. 110.</v>
          </cell>
          <cell r="G215" t="str">
            <v>point</v>
          </cell>
          <cell r="H215" t="str">
            <v>Carr Inlet</v>
          </cell>
          <cell r="I215" t="str">
            <v>CPS</v>
          </cell>
          <cell r="J215" t="str">
            <v>Eelgrass Restoration in Puget Sound</v>
          </cell>
          <cell r="K215" t="str">
            <v>WDFW</v>
          </cell>
          <cell r="L215" t="str">
            <v>National Estuary Program</v>
          </cell>
          <cell r="M215" t="str">
            <v>14-02072</v>
          </cell>
          <cell r="N215" t="str">
            <v xml:space="preserve"> IAA 15-110</v>
          </cell>
          <cell r="O215" t="str">
            <v>Hart Crowser</v>
          </cell>
          <cell r="P215" t="str">
            <v>SC 16-17</v>
          </cell>
          <cell r="Q215" t="str">
            <v>Shannon, J., J. Blanchette and J. Gaeckle. 2018. Eelgrass (Zostera marina) Restoration in Puget Sound, WA. Final Restoration and Monitoring Report (12059-05) for US EPA, Hart Crowser, Edmonds, WA. Pp. 131.</v>
          </cell>
          <cell r="R215" t="str">
            <v>test</v>
          </cell>
          <cell r="S215" t="str">
            <v>test</v>
          </cell>
          <cell r="T215">
            <v>42510</v>
          </cell>
          <cell r="U215">
            <v>47.264066961111112</v>
          </cell>
          <cell r="V215">
            <v>-122.73925913055555</v>
          </cell>
          <cell r="W215" t="str">
            <v>point</v>
          </cell>
          <cell r="X215" t="str">
            <v>retain</v>
          </cell>
          <cell r="Y215" t="str">
            <v>WGS84</v>
          </cell>
          <cell r="Z215">
            <v>-2</v>
          </cell>
          <cell r="AA215" t="str">
            <v>burlap</v>
          </cell>
          <cell r="AB215">
            <v>5</v>
          </cell>
          <cell r="AC215">
            <v>5</v>
          </cell>
          <cell r="AD215">
            <v>25</v>
          </cell>
          <cell r="AE215">
            <v>39</v>
          </cell>
          <cell r="AF215">
            <v>9.75</v>
          </cell>
          <cell r="AG215">
            <v>156</v>
          </cell>
          <cell r="AH215">
            <v>780</v>
          </cell>
          <cell r="AI215">
            <v>31.2</v>
          </cell>
          <cell r="AJ215">
            <v>20</v>
          </cell>
          <cell r="AK215" t="str">
            <v>Rocky Bay</v>
          </cell>
          <cell r="AL215" t="str">
            <v>transect line that includes 3 test plots</v>
          </cell>
        </row>
        <row r="216">
          <cell r="B216" t="str">
            <v>Port Gamble Bay - PNNL - test 5 - 2014</v>
          </cell>
          <cell r="C216" t="str">
            <v>PTG_5</v>
          </cell>
          <cell r="D216" t="str">
            <v>single</v>
          </cell>
          <cell r="E216">
            <v>2014</v>
          </cell>
          <cell r="F216"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16" t="str">
            <v>point</v>
          </cell>
          <cell r="H216" t="str">
            <v>Port Gamble Bay</v>
          </cell>
          <cell r="I216" t="str">
            <v>HDC</v>
          </cell>
          <cell r="J216" t="str">
            <v>Port Gamble Bay Eelgrass Restoration Project</v>
          </cell>
          <cell r="K216" t="str">
            <v>Ecology</v>
          </cell>
          <cell r="L216" t="str">
            <v>Toxics Cleanup Program</v>
          </cell>
          <cell r="M216" t="str">
            <v>C1400158</v>
          </cell>
          <cell r="N216" t="str">
            <v xml:space="preserve"> 14-147</v>
          </cell>
          <cell r="O216" t="str">
            <v>PNNL</v>
          </cell>
          <cell r="P216" t="str">
            <v>IAA 14-293</v>
          </cell>
          <cell r="Q216" t="str">
            <v>Vavrinec, J. and A.B. Borde. 2015. Port Gamble eelgrass restoration project summary. Prepared for the Washington State Department of Ecology contracts IAA C1400158 and IAA 14-147. Pacific Northwest National Laboratory, Richland, WA. PNNL-24432.</v>
          </cell>
          <cell r="R216" t="str">
            <v>test</v>
          </cell>
          <cell r="S216" t="str">
            <v>test</v>
          </cell>
          <cell r="T216">
            <v>41961</v>
          </cell>
          <cell r="U216">
            <v>47.820416666666667</v>
          </cell>
          <cell r="V216">
            <v>-122.57201666666667</v>
          </cell>
          <cell r="W216" t="str">
            <v>point</v>
          </cell>
          <cell r="X216" t="str">
            <v>retain</v>
          </cell>
          <cell r="Y216" t="str">
            <v>WGS84</v>
          </cell>
          <cell r="Z216">
            <v>-1.8288</v>
          </cell>
          <cell r="AA216" t="str">
            <v>staple</v>
          </cell>
          <cell r="AB216">
            <v>5</v>
          </cell>
          <cell r="AC216">
            <v>5</v>
          </cell>
          <cell r="AD216">
            <v>25</v>
          </cell>
          <cell r="AE216">
            <v>25</v>
          </cell>
          <cell r="AF216">
            <v>0.625</v>
          </cell>
          <cell r="AG216">
            <v>125</v>
          </cell>
          <cell r="AH216">
            <v>500</v>
          </cell>
          <cell r="AI216">
            <v>20</v>
          </cell>
          <cell r="AJ216">
            <v>20</v>
          </cell>
          <cell r="AK216" t="str">
            <v>Point Julia</v>
          </cell>
        </row>
        <row r="217">
          <cell r="B217" t="str">
            <v>Port Gamble Bay - PNNL - test 2 - 2014</v>
          </cell>
          <cell r="C217" t="str">
            <v>PTG_2</v>
          </cell>
          <cell r="D217" t="str">
            <v>single</v>
          </cell>
          <cell r="E217">
            <v>2014</v>
          </cell>
          <cell r="F217"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17" t="str">
            <v>point</v>
          </cell>
          <cell r="H217" t="str">
            <v>Port Gamble Bay</v>
          </cell>
          <cell r="I217" t="str">
            <v>HDC</v>
          </cell>
          <cell r="J217" t="str">
            <v>Port Gamble Bay Eelgrass Restoration Project</v>
          </cell>
          <cell r="K217" t="str">
            <v>Ecology</v>
          </cell>
          <cell r="L217" t="str">
            <v>Toxics Cleanup Program</v>
          </cell>
          <cell r="M217" t="str">
            <v>C1400158</v>
          </cell>
          <cell r="N217" t="str">
            <v xml:space="preserve"> 14-147</v>
          </cell>
          <cell r="O217" t="str">
            <v>PNNL</v>
          </cell>
          <cell r="P217" t="str">
            <v>IAA 14-293</v>
          </cell>
          <cell r="Q217" t="str">
            <v>Vavrinec, J. and A.B. Borde. 2015. Port Gamble eelgrass restoration project summary. Prepared for the Washington State Department of Ecology contracts IAA C1400158 and IAA 14-147. Pacific Northwest National Laboratory, Richland, WA. PNNL-24432.</v>
          </cell>
          <cell r="R217" t="str">
            <v>test</v>
          </cell>
          <cell r="S217" t="str">
            <v>test</v>
          </cell>
          <cell r="T217">
            <v>41962</v>
          </cell>
          <cell r="U217">
            <v>47.821100000000001</v>
          </cell>
          <cell r="V217">
            <v>-122.57796666666667</v>
          </cell>
          <cell r="W217" t="str">
            <v>point</v>
          </cell>
          <cell r="X217" t="str">
            <v>retain</v>
          </cell>
          <cell r="Y217" t="str">
            <v>WGS84</v>
          </cell>
          <cell r="Z217">
            <v>-1.8288</v>
          </cell>
          <cell r="AA217" t="str">
            <v>staple</v>
          </cell>
          <cell r="AB217">
            <v>5</v>
          </cell>
          <cell r="AC217">
            <v>5</v>
          </cell>
          <cell r="AD217">
            <v>25</v>
          </cell>
          <cell r="AE217">
            <v>25</v>
          </cell>
          <cell r="AF217">
            <v>0.625</v>
          </cell>
          <cell r="AG217">
            <v>125</v>
          </cell>
          <cell r="AH217">
            <v>500</v>
          </cell>
          <cell r="AI217">
            <v>20</v>
          </cell>
          <cell r="AJ217">
            <v>20</v>
          </cell>
          <cell r="AK217" t="str">
            <v>Point Julia</v>
          </cell>
        </row>
        <row r="218">
          <cell r="B218" t="str">
            <v>Port Gamble Bay - PNNL - test 3 - 2014</v>
          </cell>
          <cell r="C218" t="str">
            <v>PTG_3</v>
          </cell>
          <cell r="D218" t="str">
            <v>single</v>
          </cell>
          <cell r="E218">
            <v>2014</v>
          </cell>
          <cell r="F218"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18" t="str">
            <v>point</v>
          </cell>
          <cell r="H218" t="str">
            <v>Port Gamble Bay</v>
          </cell>
          <cell r="I218" t="str">
            <v>HDC</v>
          </cell>
          <cell r="J218" t="str">
            <v>Port Gamble Bay Eelgrass Restoration Project</v>
          </cell>
          <cell r="K218" t="str">
            <v>Ecology</v>
          </cell>
          <cell r="L218" t="str">
            <v>Toxics Cleanup Program</v>
          </cell>
          <cell r="M218" t="str">
            <v>C1400158</v>
          </cell>
          <cell r="N218" t="str">
            <v xml:space="preserve"> 14-147</v>
          </cell>
          <cell r="O218" t="str">
            <v>PNNL</v>
          </cell>
          <cell r="P218" t="str">
            <v>IAA 14-293</v>
          </cell>
          <cell r="Q218" t="str">
            <v>Vavrinec, J. and A.B. Borde. 2015. Port Gamble eelgrass restoration project summary. Prepared for the Washington State Department of Ecology contracts IAA C1400158 and IAA 14-147. Pacific Northwest National Laboratory, Richland, WA. PNNL-24432.</v>
          </cell>
          <cell r="R218" t="str">
            <v>test</v>
          </cell>
          <cell r="S218" t="str">
            <v>test</v>
          </cell>
          <cell r="T218">
            <v>41962</v>
          </cell>
          <cell r="U218">
            <v>47.821566666666669</v>
          </cell>
          <cell r="V218">
            <v>-122.57531666666667</v>
          </cell>
          <cell r="W218" t="str">
            <v>point</v>
          </cell>
          <cell r="X218" t="str">
            <v>retain</v>
          </cell>
          <cell r="Y218" t="str">
            <v>WGS84</v>
          </cell>
          <cell r="Z218">
            <v>-2.7431999999999999</v>
          </cell>
          <cell r="AA218" t="str">
            <v>staple</v>
          </cell>
          <cell r="AB218">
            <v>5</v>
          </cell>
          <cell r="AC218">
            <v>5</v>
          </cell>
          <cell r="AD218">
            <v>25</v>
          </cell>
          <cell r="AE218">
            <v>25</v>
          </cell>
          <cell r="AF218">
            <v>0.625</v>
          </cell>
          <cell r="AG218">
            <v>125</v>
          </cell>
          <cell r="AH218">
            <v>500</v>
          </cell>
          <cell r="AI218">
            <v>20</v>
          </cell>
          <cell r="AJ218">
            <v>20</v>
          </cell>
          <cell r="AK218" t="str">
            <v>Point Julia</v>
          </cell>
        </row>
        <row r="219">
          <cell r="B219" t="str">
            <v>Port Gamble Bay - PNNL - test 4 - 2014</v>
          </cell>
          <cell r="C219" t="str">
            <v>PTG_4</v>
          </cell>
          <cell r="D219" t="str">
            <v>single</v>
          </cell>
          <cell r="E219">
            <v>2014</v>
          </cell>
          <cell r="F219"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19" t="str">
            <v>point</v>
          </cell>
          <cell r="H219" t="str">
            <v>Port Gamble Bay</v>
          </cell>
          <cell r="I219" t="str">
            <v>HDC</v>
          </cell>
          <cell r="J219" t="str">
            <v>Port Gamble Bay Eelgrass Restoration Project</v>
          </cell>
          <cell r="K219" t="str">
            <v>Ecology</v>
          </cell>
          <cell r="L219" t="str">
            <v>Toxics Cleanup Program</v>
          </cell>
          <cell r="M219" t="str">
            <v>C1400158</v>
          </cell>
          <cell r="N219" t="str">
            <v xml:space="preserve"> 14-147</v>
          </cell>
          <cell r="O219" t="str">
            <v>PNNL</v>
          </cell>
          <cell r="P219" t="str">
            <v>IAA 14-293</v>
          </cell>
          <cell r="Q219" t="str">
            <v>Vavrinec, J. and A.B. Borde. 2015. Port Gamble eelgrass restoration project summary. Prepared for the Washington State Department of Ecology contracts IAA C1400158 and IAA 14-147. Pacific Northwest National Laboratory, Richland, WA. PNNL-24432.</v>
          </cell>
          <cell r="R219" t="str">
            <v>test</v>
          </cell>
          <cell r="S219" t="str">
            <v>test</v>
          </cell>
          <cell r="T219">
            <v>41962</v>
          </cell>
          <cell r="U219">
            <v>47.820300000000003</v>
          </cell>
          <cell r="V219">
            <v>-122.5757</v>
          </cell>
          <cell r="W219" t="str">
            <v>point</v>
          </cell>
          <cell r="X219" t="str">
            <v>retain</v>
          </cell>
          <cell r="Y219" t="str">
            <v>WGS84</v>
          </cell>
          <cell r="Z219">
            <v>-1.2192000000000001</v>
          </cell>
          <cell r="AA219" t="str">
            <v>staple</v>
          </cell>
          <cell r="AB219">
            <v>5</v>
          </cell>
          <cell r="AC219">
            <v>5</v>
          </cell>
          <cell r="AD219">
            <v>25</v>
          </cell>
          <cell r="AE219">
            <v>25</v>
          </cell>
          <cell r="AF219">
            <v>0.625</v>
          </cell>
          <cell r="AG219">
            <v>125</v>
          </cell>
          <cell r="AH219">
            <v>500</v>
          </cell>
          <cell r="AI219">
            <v>20</v>
          </cell>
          <cell r="AJ219">
            <v>20</v>
          </cell>
          <cell r="AK219" t="str">
            <v>Point Julia</v>
          </cell>
        </row>
        <row r="220">
          <cell r="B220" t="str">
            <v>Port Gamble Bay - PNNL - test 1 - 2014</v>
          </cell>
          <cell r="C220" t="str">
            <v>PTG_1</v>
          </cell>
          <cell r="D220" t="str">
            <v>single</v>
          </cell>
          <cell r="E220">
            <v>2014</v>
          </cell>
          <cell r="F220"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0" t="str">
            <v>point</v>
          </cell>
          <cell r="H220" t="str">
            <v>Port Gamble Bay</v>
          </cell>
          <cell r="I220" t="str">
            <v>HDC</v>
          </cell>
          <cell r="J220" t="str">
            <v>Port Gamble Bay Eelgrass Restoration Project</v>
          </cell>
          <cell r="K220" t="str">
            <v>Ecology</v>
          </cell>
          <cell r="L220" t="str">
            <v>Toxics Cleanup Program</v>
          </cell>
          <cell r="M220" t="str">
            <v>C1400158</v>
          </cell>
          <cell r="N220" t="str">
            <v xml:space="preserve"> 14-147</v>
          </cell>
          <cell r="O220" t="str">
            <v>PNNL</v>
          </cell>
          <cell r="P220" t="str">
            <v>IAA 14-293</v>
          </cell>
          <cell r="Q220" t="str">
            <v>Vavrinec, J. and A.B. Borde. 2015. Port Gamble eelgrass restoration project summary. Prepared for the Washington State Department of Ecology contracts IAA C1400158 and IAA 14-147. Pacific Northwest National Laboratory, Richland, WA. PNNL-24432.</v>
          </cell>
          <cell r="R220" t="str">
            <v>test</v>
          </cell>
          <cell r="S220" t="str">
            <v>test</v>
          </cell>
          <cell r="T220">
            <v>41963</v>
          </cell>
          <cell r="U220">
            <v>47.823266666666669</v>
          </cell>
          <cell r="V220">
            <v>-122.5821</v>
          </cell>
          <cell r="W220" t="str">
            <v>point</v>
          </cell>
          <cell r="X220" t="str">
            <v>retain</v>
          </cell>
          <cell r="Y220" t="str">
            <v>WGS84</v>
          </cell>
          <cell r="Z220">
            <v>-1.8288</v>
          </cell>
          <cell r="AA220" t="str">
            <v>staple</v>
          </cell>
          <cell r="AB220">
            <v>5</v>
          </cell>
          <cell r="AC220">
            <v>5</v>
          </cell>
          <cell r="AD220">
            <v>25</v>
          </cell>
          <cell r="AE220">
            <v>25</v>
          </cell>
          <cell r="AF220">
            <v>0.625</v>
          </cell>
          <cell r="AG220">
            <v>125</v>
          </cell>
          <cell r="AH220">
            <v>500</v>
          </cell>
          <cell r="AI220">
            <v>20</v>
          </cell>
          <cell r="AJ220">
            <v>20</v>
          </cell>
          <cell r="AK220" t="str">
            <v>Point Julia</v>
          </cell>
        </row>
        <row r="221">
          <cell r="B221" t="str">
            <v>Port Gamble Bay - PNNL - test 6 - 2014</v>
          </cell>
          <cell r="C221" t="str">
            <v>PTG_6</v>
          </cell>
          <cell r="D221" t="str">
            <v>single</v>
          </cell>
          <cell r="E221">
            <v>2014</v>
          </cell>
          <cell r="F221"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1" t="str">
            <v>point</v>
          </cell>
          <cell r="H221" t="str">
            <v>Port Gamble Bay</v>
          </cell>
          <cell r="I221" t="str">
            <v>HDC</v>
          </cell>
          <cell r="J221" t="str">
            <v>Port Gamble Bay Eelgrass Restoration Project</v>
          </cell>
          <cell r="K221" t="str">
            <v>Ecology</v>
          </cell>
          <cell r="L221" t="str">
            <v>Toxics Cleanup Program</v>
          </cell>
          <cell r="M221" t="str">
            <v>C1400158</v>
          </cell>
          <cell r="N221" t="str">
            <v xml:space="preserve"> 14-147</v>
          </cell>
          <cell r="O221" t="str">
            <v>PNNL</v>
          </cell>
          <cell r="P221" t="str">
            <v>IAA 14-293</v>
          </cell>
          <cell r="Q221" t="str">
            <v>Vavrinec, J. and A.B. Borde. 2015. Port Gamble eelgrass restoration project summary. Prepared for the Washington State Department of Ecology contracts IAA C1400158 and IAA 14-147. Pacific Northwest National Laboratory, Richland, WA. PNNL-24432.</v>
          </cell>
          <cell r="R221" t="str">
            <v>test</v>
          </cell>
          <cell r="S221" t="str">
            <v>test</v>
          </cell>
          <cell r="T221">
            <v>41963</v>
          </cell>
          <cell r="U221">
            <v>47.821066666666667</v>
          </cell>
          <cell r="V221">
            <v>-122.56726666666667</v>
          </cell>
          <cell r="W221" t="str">
            <v>point</v>
          </cell>
          <cell r="X221" t="str">
            <v>retain</v>
          </cell>
          <cell r="Y221" t="str">
            <v>WGS84</v>
          </cell>
          <cell r="Z221">
            <v>-1.8288</v>
          </cell>
          <cell r="AA221" t="str">
            <v>staple</v>
          </cell>
          <cell r="AB221">
            <v>5</v>
          </cell>
          <cell r="AC221">
            <v>5</v>
          </cell>
          <cell r="AD221">
            <v>25</v>
          </cell>
          <cell r="AE221">
            <v>25</v>
          </cell>
          <cell r="AF221">
            <v>0.625</v>
          </cell>
          <cell r="AG221">
            <v>125</v>
          </cell>
          <cell r="AH221">
            <v>500</v>
          </cell>
          <cell r="AI221">
            <v>20</v>
          </cell>
          <cell r="AJ221">
            <v>20</v>
          </cell>
          <cell r="AK221" t="str">
            <v>Point Julia</v>
          </cell>
        </row>
        <row r="222">
          <cell r="B222" t="str">
            <v>Port Gamble Bay - 1 - PNNL - large scale - N corner</v>
          </cell>
          <cell r="C222" t="str">
            <v>PTG_P1</v>
          </cell>
          <cell r="D222" t="str">
            <v>single</v>
          </cell>
          <cell r="E222">
            <v>2015</v>
          </cell>
          <cell r="F222"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2" t="str">
            <v>polygon</v>
          </cell>
          <cell r="H222" t="str">
            <v>Port Gamble Bay</v>
          </cell>
          <cell r="I222" t="str">
            <v>HDC</v>
          </cell>
          <cell r="J222" t="str">
            <v>Port Gamble Bay Eelgrass Restoration Project</v>
          </cell>
          <cell r="K222" t="str">
            <v>Ecology</v>
          </cell>
          <cell r="L222" t="str">
            <v>Toxics Cleanup Program</v>
          </cell>
          <cell r="M222" t="str">
            <v>C1400158</v>
          </cell>
          <cell r="N222" t="str">
            <v xml:space="preserve"> 14-147</v>
          </cell>
          <cell r="O222" t="str">
            <v>PNNL</v>
          </cell>
          <cell r="P222" t="str">
            <v>IAA 14-293</v>
          </cell>
          <cell r="Q222" t="str">
            <v>Vavrinec, J. and A.B. Borde. 2015. Port Gamble eelgrass restoration project summary. Prepared for the Washington State Department of Ecology contracts IAA C1400158 and IAA 14-147. Pacific Northwest National Laboratory, Richland, WA. PNNL-24432.</v>
          </cell>
          <cell r="R222" t="str">
            <v>large scale</v>
          </cell>
          <cell r="S222" t="str">
            <v>large scale</v>
          </cell>
          <cell r="T222">
            <v>42095</v>
          </cell>
          <cell r="U222">
            <v>47.823466666666668</v>
          </cell>
          <cell r="V222">
            <v>-122.58203333333333</v>
          </cell>
          <cell r="W222" t="str">
            <v>polygon</v>
          </cell>
          <cell r="X222" t="str">
            <v>retain</v>
          </cell>
          <cell r="Y222" t="str">
            <v>WGS84</v>
          </cell>
          <cell r="AA222" t="str">
            <v>staple</v>
          </cell>
          <cell r="AB222">
            <v>48</v>
          </cell>
          <cell r="AC222">
            <v>36</v>
          </cell>
          <cell r="AD222">
            <v>1728</v>
          </cell>
          <cell r="AE222">
            <v>240</v>
          </cell>
          <cell r="AF222">
            <v>6</v>
          </cell>
          <cell r="AG222">
            <v>1200</v>
          </cell>
          <cell r="AH222">
            <v>4800</v>
          </cell>
          <cell r="AI222">
            <v>2.7777777777777777</v>
          </cell>
          <cell r="AJ222">
            <v>20</v>
          </cell>
          <cell r="AK222" t="str">
            <v>Point Julia</v>
          </cell>
        </row>
        <row r="223">
          <cell r="B223" t="str">
            <v>Port Gamble Bay - 1 - PNNL - large scale - E corner</v>
          </cell>
          <cell r="C223" t="str">
            <v>PTG_P1</v>
          </cell>
          <cell r="D223" t="str">
            <v>single</v>
          </cell>
          <cell r="E223">
            <v>2015</v>
          </cell>
          <cell r="F223"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3" t="str">
            <v>polygon</v>
          </cell>
          <cell r="H223" t="str">
            <v>Port Gamble Bay</v>
          </cell>
          <cell r="I223" t="str">
            <v>HDC</v>
          </cell>
          <cell r="J223" t="str">
            <v>Port Gamble Bay Eelgrass Restoration Project</v>
          </cell>
          <cell r="K223" t="str">
            <v>Ecology</v>
          </cell>
          <cell r="L223" t="str">
            <v>Toxics Cleanup Program</v>
          </cell>
          <cell r="M223" t="str">
            <v>C1400158</v>
          </cell>
          <cell r="N223" t="str">
            <v xml:space="preserve"> 14-147</v>
          </cell>
          <cell r="O223" t="str">
            <v>PNNL</v>
          </cell>
          <cell r="P223" t="str">
            <v>IAA 14-293</v>
          </cell>
          <cell r="Q223" t="str">
            <v>Vavrinec, J. and A.B. Borde. 2015. Port Gamble eelgrass restoration project summary. Prepared for the Washington State Department of Ecology contracts IAA C1400158 and IAA 14-147. Pacific Northwest National Laboratory, Richland, WA. PNNL-24432.</v>
          </cell>
          <cell r="R223" t="str">
            <v>large scale</v>
          </cell>
          <cell r="S223" t="str">
            <v>--</v>
          </cell>
          <cell r="T223">
            <v>42095</v>
          </cell>
          <cell r="U223">
            <v>47.8232</v>
          </cell>
          <cell r="V223">
            <v>-122.58154999999999</v>
          </cell>
          <cell r="W223" t="str">
            <v>polygon</v>
          </cell>
          <cell r="X223" t="str">
            <v>retain</v>
          </cell>
          <cell r="Y223" t="str">
            <v>WGS84</v>
          </cell>
          <cell r="AA223" t="str">
            <v>staple</v>
          </cell>
          <cell r="AI223" t="str">
            <v/>
          </cell>
          <cell r="AJ223" t="str">
            <v/>
          </cell>
        </row>
        <row r="224">
          <cell r="B224" t="str">
            <v>Port Gamble Bay - 1 - PNNL - large scale - S corner</v>
          </cell>
          <cell r="C224" t="str">
            <v>PTG_P1</v>
          </cell>
          <cell r="D224" t="str">
            <v>single</v>
          </cell>
          <cell r="E224">
            <v>2015</v>
          </cell>
          <cell r="F224"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4" t="str">
            <v>polygon</v>
          </cell>
          <cell r="H224" t="str">
            <v>Port Gamble Bay</v>
          </cell>
          <cell r="I224" t="str">
            <v>HDC</v>
          </cell>
          <cell r="J224" t="str">
            <v>Port Gamble Bay Eelgrass Restoration Project</v>
          </cell>
          <cell r="K224" t="str">
            <v>Ecology</v>
          </cell>
          <cell r="L224" t="str">
            <v>Toxics Cleanup Program</v>
          </cell>
          <cell r="M224" t="str">
            <v>C1400158</v>
          </cell>
          <cell r="N224" t="str">
            <v xml:space="preserve"> 14-147</v>
          </cell>
          <cell r="O224" t="str">
            <v>PNNL</v>
          </cell>
          <cell r="P224" t="str">
            <v>IAA 14-293</v>
          </cell>
          <cell r="Q224" t="str">
            <v>Vavrinec, J. and A.B. Borde. 2015. Port Gamble eelgrass restoration project summary. Prepared for the Washington State Department of Ecology contracts IAA C1400158 and IAA 14-147. Pacific Northwest National Laboratory, Richland, WA. PNNL-24432.</v>
          </cell>
          <cell r="R224" t="str">
            <v>large scale</v>
          </cell>
          <cell r="S224" t="str">
            <v>--</v>
          </cell>
          <cell r="T224">
            <v>42095</v>
          </cell>
          <cell r="U224">
            <v>47.823050000000002</v>
          </cell>
          <cell r="V224">
            <v>-122.58188333333334</v>
          </cell>
          <cell r="W224" t="str">
            <v>polygon</v>
          </cell>
          <cell r="X224" t="str">
            <v>retain</v>
          </cell>
          <cell r="Y224" t="str">
            <v>WGS84</v>
          </cell>
          <cell r="AA224" t="str">
            <v>staple</v>
          </cell>
          <cell r="AI224" t="str">
            <v/>
          </cell>
          <cell r="AJ224" t="str">
            <v/>
          </cell>
        </row>
        <row r="225">
          <cell r="B225" t="str">
            <v>Port Gamble Bay - 1 - PNNL - large scale - W corner</v>
          </cell>
          <cell r="C225" t="str">
            <v>PTG_P1</v>
          </cell>
          <cell r="D225" t="str">
            <v>single</v>
          </cell>
          <cell r="E225">
            <v>2015</v>
          </cell>
          <cell r="F225"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5" t="str">
            <v>polygon</v>
          </cell>
          <cell r="H225" t="str">
            <v>Port Gamble Bay</v>
          </cell>
          <cell r="I225" t="str">
            <v>HDC</v>
          </cell>
          <cell r="J225" t="str">
            <v>Port Gamble Bay Eelgrass Restoration Project</v>
          </cell>
          <cell r="K225" t="str">
            <v>Ecology</v>
          </cell>
          <cell r="L225" t="str">
            <v>Toxics Cleanup Program</v>
          </cell>
          <cell r="M225" t="str">
            <v>C1400158</v>
          </cell>
          <cell r="N225" t="str">
            <v xml:space="preserve"> 14-147</v>
          </cell>
          <cell r="O225" t="str">
            <v>PNNL</v>
          </cell>
          <cell r="P225" t="str">
            <v>IAA 14-293</v>
          </cell>
          <cell r="Q225" t="str">
            <v>Vavrinec, J. and A.B. Borde. 2015. Port Gamble eelgrass restoration project summary. Prepared for the Washington State Department of Ecology contracts IAA C1400158 and IAA 14-147. Pacific Northwest National Laboratory, Richland, WA. PNNL-24432.</v>
          </cell>
          <cell r="R225" t="str">
            <v>large scale</v>
          </cell>
          <cell r="S225" t="str">
            <v>--</v>
          </cell>
          <cell r="T225">
            <v>42095</v>
          </cell>
          <cell r="U225">
            <v>47.823283333333336</v>
          </cell>
          <cell r="V225">
            <v>-122.58235000000001</v>
          </cell>
          <cell r="W225" t="str">
            <v>polygon</v>
          </cell>
          <cell r="X225" t="str">
            <v>retain</v>
          </cell>
          <cell r="Y225" t="str">
            <v>WGS84</v>
          </cell>
          <cell r="Z225">
            <v>-1.8288</v>
          </cell>
          <cell r="AA225" t="str">
            <v>staple</v>
          </cell>
          <cell r="AI225" t="str">
            <v/>
          </cell>
          <cell r="AJ225" t="str">
            <v/>
          </cell>
        </row>
        <row r="226">
          <cell r="B226" t="str">
            <v>Port Gamble Bay - 2 - PNNL - large scale - N corner</v>
          </cell>
          <cell r="C226" t="str">
            <v>PTG_P2</v>
          </cell>
          <cell r="D226" t="str">
            <v>single</v>
          </cell>
          <cell r="E226">
            <v>2015</v>
          </cell>
          <cell r="F226"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6" t="str">
            <v>polygon</v>
          </cell>
          <cell r="H226" t="str">
            <v>Port Gamble Bay</v>
          </cell>
          <cell r="I226" t="str">
            <v>HDC</v>
          </cell>
          <cell r="J226" t="str">
            <v>Port Gamble Bay Eelgrass Restoration Project</v>
          </cell>
          <cell r="K226" t="str">
            <v>Ecology</v>
          </cell>
          <cell r="L226" t="str">
            <v>Toxics Cleanup Program</v>
          </cell>
          <cell r="M226" t="str">
            <v>C1400158</v>
          </cell>
          <cell r="N226" t="str">
            <v xml:space="preserve"> 14-147</v>
          </cell>
          <cell r="O226" t="str">
            <v>PNNL</v>
          </cell>
          <cell r="P226" t="str">
            <v>IAA 14-293</v>
          </cell>
          <cell r="Q226" t="str">
            <v>Vavrinec, J. and A.B. Borde. 2015. Port Gamble eelgrass restoration project summary. Prepared for the Washington State Department of Ecology contracts IAA C1400158 and IAA 14-147. Pacific Northwest National Laboratory, Richland, WA. PNNL-24432.</v>
          </cell>
          <cell r="R226" t="str">
            <v>large scale</v>
          </cell>
          <cell r="S226" t="str">
            <v>large scale</v>
          </cell>
          <cell r="T226">
            <v>42095</v>
          </cell>
          <cell r="U226">
            <v>47.822049999999997</v>
          </cell>
          <cell r="V226">
            <v>-122.5805</v>
          </cell>
          <cell r="W226" t="str">
            <v>polygon</v>
          </cell>
          <cell r="X226" t="str">
            <v>retain</v>
          </cell>
          <cell r="Y226" t="str">
            <v>WGS84</v>
          </cell>
          <cell r="AA226" t="str">
            <v>staple</v>
          </cell>
          <cell r="AB226">
            <v>60</v>
          </cell>
          <cell r="AC226">
            <v>36</v>
          </cell>
          <cell r="AD226">
            <v>2160</v>
          </cell>
          <cell r="AE226">
            <v>320</v>
          </cell>
          <cell r="AF226">
            <v>7.9125000000000005</v>
          </cell>
          <cell r="AG226">
            <v>1582.5</v>
          </cell>
          <cell r="AH226">
            <v>6330</v>
          </cell>
          <cell r="AI226">
            <v>2.9305555555555554</v>
          </cell>
          <cell r="AJ226">
            <v>19.78125</v>
          </cell>
          <cell r="AK226" t="str">
            <v>Point Julia</v>
          </cell>
        </row>
        <row r="227">
          <cell r="B227" t="str">
            <v>Port Gamble Bay - 2 - PNNL - large scale - E corner</v>
          </cell>
          <cell r="C227" t="str">
            <v>PTG_P2</v>
          </cell>
          <cell r="D227" t="str">
            <v>single</v>
          </cell>
          <cell r="E227">
            <v>2015</v>
          </cell>
          <cell r="F227"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7" t="str">
            <v>polygon</v>
          </cell>
          <cell r="H227" t="str">
            <v>Port Gamble Bay</v>
          </cell>
          <cell r="I227" t="str">
            <v>HDC</v>
          </cell>
          <cell r="J227" t="str">
            <v>Port Gamble Bay Eelgrass Restoration Project</v>
          </cell>
          <cell r="K227" t="str">
            <v>Ecology</v>
          </cell>
          <cell r="L227" t="str">
            <v>Toxics Cleanup Program</v>
          </cell>
          <cell r="M227" t="str">
            <v>C1400158</v>
          </cell>
          <cell r="N227" t="str">
            <v xml:space="preserve"> 14-147</v>
          </cell>
          <cell r="O227" t="str">
            <v>PNNL</v>
          </cell>
          <cell r="P227" t="str">
            <v>IAA 14-293</v>
          </cell>
          <cell r="Q227" t="str">
            <v>Vavrinec, J. and A.B. Borde. 2015. Port Gamble eelgrass restoration project summary. Prepared for the Washington State Department of Ecology contracts IAA C1400158 and IAA 14-147. Pacific Northwest National Laboratory, Richland, WA. PNNL-24432.</v>
          </cell>
          <cell r="R227" t="str">
            <v>large scale</v>
          </cell>
          <cell r="S227" t="str">
            <v>--</v>
          </cell>
          <cell r="T227">
            <v>42095</v>
          </cell>
          <cell r="U227">
            <v>47.821750000000002</v>
          </cell>
          <cell r="V227">
            <v>-122.57996666666666</v>
          </cell>
          <cell r="W227" t="str">
            <v>polygon</v>
          </cell>
          <cell r="X227" t="str">
            <v>retain</v>
          </cell>
          <cell r="Y227" t="str">
            <v>WGS84</v>
          </cell>
          <cell r="AA227" t="str">
            <v>staple</v>
          </cell>
          <cell r="AI227" t="str">
            <v/>
          </cell>
          <cell r="AJ227" t="str">
            <v/>
          </cell>
        </row>
        <row r="228">
          <cell r="B228" t="str">
            <v>Port Gamble Bay - 2 - PNNL - large scale - S corner</v>
          </cell>
          <cell r="C228" t="str">
            <v>PTG_P2</v>
          </cell>
          <cell r="D228" t="str">
            <v>single</v>
          </cell>
          <cell r="E228">
            <v>2015</v>
          </cell>
          <cell r="F228"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8" t="str">
            <v>polygon</v>
          </cell>
          <cell r="H228" t="str">
            <v>Port Gamble Bay</v>
          </cell>
          <cell r="I228" t="str">
            <v>HDC</v>
          </cell>
          <cell r="J228" t="str">
            <v>Port Gamble Bay Eelgrass Restoration Project</v>
          </cell>
          <cell r="K228" t="str">
            <v>Ecology</v>
          </cell>
          <cell r="L228" t="str">
            <v>Toxics Cleanup Program</v>
          </cell>
          <cell r="M228" t="str">
            <v>C1400158</v>
          </cell>
          <cell r="N228" t="str">
            <v xml:space="preserve"> 14-147</v>
          </cell>
          <cell r="O228" t="str">
            <v>PNNL</v>
          </cell>
          <cell r="P228" t="str">
            <v>IAA 14-293</v>
          </cell>
          <cell r="Q228" t="str">
            <v>Vavrinec, J. and A.B. Borde. 2015. Port Gamble eelgrass restoration project summary. Prepared for the Washington State Department of Ecology contracts IAA C1400158 and IAA 14-147. Pacific Northwest National Laboratory, Richland, WA. PNNL-24432.</v>
          </cell>
          <cell r="R228" t="str">
            <v>large scale</v>
          </cell>
          <cell r="S228" t="str">
            <v>--</v>
          </cell>
          <cell r="T228">
            <v>42095</v>
          </cell>
          <cell r="U228">
            <v>47.821516666666668</v>
          </cell>
          <cell r="V228">
            <v>-122.58021666666667</v>
          </cell>
          <cell r="W228" t="str">
            <v>polygon</v>
          </cell>
          <cell r="X228" t="str">
            <v>retain</v>
          </cell>
          <cell r="Y228" t="str">
            <v>WGS84</v>
          </cell>
          <cell r="AA228" t="str">
            <v>staple</v>
          </cell>
          <cell r="AI228" t="str">
            <v/>
          </cell>
          <cell r="AJ228" t="str">
            <v/>
          </cell>
        </row>
        <row r="229">
          <cell r="B229" t="str">
            <v>Port Gamble Bay - 2 - PNNL - large scale - W corner</v>
          </cell>
          <cell r="C229" t="str">
            <v>PTG_P2</v>
          </cell>
          <cell r="D229" t="str">
            <v>single</v>
          </cell>
          <cell r="E229">
            <v>2015</v>
          </cell>
          <cell r="F229"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29" t="str">
            <v>polygon</v>
          </cell>
          <cell r="H229" t="str">
            <v>Port Gamble Bay</v>
          </cell>
          <cell r="I229" t="str">
            <v>HDC</v>
          </cell>
          <cell r="J229" t="str">
            <v>Port Gamble Bay Eelgrass Restoration Project</v>
          </cell>
          <cell r="K229" t="str">
            <v>Ecology</v>
          </cell>
          <cell r="L229" t="str">
            <v>Toxics Cleanup Program</v>
          </cell>
          <cell r="M229" t="str">
            <v>C1400158</v>
          </cell>
          <cell r="N229" t="str">
            <v xml:space="preserve"> 14-147</v>
          </cell>
          <cell r="O229" t="str">
            <v>PNNL</v>
          </cell>
          <cell r="P229" t="str">
            <v>IAA 14-293</v>
          </cell>
          <cell r="Q229" t="str">
            <v>Vavrinec, J. and A.B. Borde. 2015. Port Gamble eelgrass restoration project summary. Prepared for the Washington State Department of Ecology contracts IAA C1400158 and IAA 14-147. Pacific Northwest National Laboratory, Richland, WA. PNNL-24432.</v>
          </cell>
          <cell r="R229" t="str">
            <v>large scale</v>
          </cell>
          <cell r="S229" t="str">
            <v>--</v>
          </cell>
          <cell r="T229">
            <v>42095</v>
          </cell>
          <cell r="U229">
            <v>47.821783333333336</v>
          </cell>
          <cell r="V229">
            <v>-122.58091666666667</v>
          </cell>
          <cell r="W229" t="str">
            <v>polygon</v>
          </cell>
          <cell r="X229" t="str">
            <v>retain</v>
          </cell>
          <cell r="Y229" t="str">
            <v>WGS84</v>
          </cell>
          <cell r="AA229" t="str">
            <v>staple</v>
          </cell>
          <cell r="AI229" t="str">
            <v/>
          </cell>
          <cell r="AJ229" t="str">
            <v/>
          </cell>
        </row>
        <row r="230">
          <cell r="B230" t="str">
            <v>Port Gamble Bay - 3 - PNNL -  large scale - NW corner</v>
          </cell>
          <cell r="C230" t="str">
            <v>PTG_P3</v>
          </cell>
          <cell r="D230" t="str">
            <v>single</v>
          </cell>
          <cell r="E230">
            <v>2015</v>
          </cell>
          <cell r="F230"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0" t="str">
            <v>polygon</v>
          </cell>
          <cell r="H230" t="str">
            <v>Port Gamble Bay</v>
          </cell>
          <cell r="I230" t="str">
            <v>HDC</v>
          </cell>
          <cell r="J230" t="str">
            <v>Port Gamble Bay Eelgrass Restoration Project</v>
          </cell>
          <cell r="K230" t="str">
            <v>Ecology</v>
          </cell>
          <cell r="L230" t="str">
            <v>Toxics Cleanup Program</v>
          </cell>
          <cell r="M230" t="str">
            <v>C1400158</v>
          </cell>
          <cell r="N230" t="str">
            <v xml:space="preserve"> 14-147</v>
          </cell>
          <cell r="O230" t="str">
            <v>PNNL</v>
          </cell>
          <cell r="P230" t="str">
            <v>IAA 14-293</v>
          </cell>
          <cell r="Q230" t="str">
            <v>Vavrinec, J. and A.B. Borde. 2015. Port Gamble eelgrass restoration project summary. Prepared for the Washington State Department of Ecology contracts IAA C1400158 and IAA 14-147. Pacific Northwest National Laboratory, Richland, WA. PNNL-24432.</v>
          </cell>
          <cell r="R230" t="str">
            <v>large scale</v>
          </cell>
          <cell r="S230" t="str">
            <v>large scale</v>
          </cell>
          <cell r="T230">
            <v>42095</v>
          </cell>
          <cell r="U230">
            <v>47.821566666666669</v>
          </cell>
          <cell r="V230">
            <v>-122.57801666666667</v>
          </cell>
          <cell r="W230" t="str">
            <v>polygon</v>
          </cell>
          <cell r="X230" t="str">
            <v>retain</v>
          </cell>
          <cell r="Y230" t="str">
            <v>WGS84</v>
          </cell>
          <cell r="AA230" t="str">
            <v>staple</v>
          </cell>
          <cell r="AB230">
            <v>60</v>
          </cell>
          <cell r="AC230">
            <v>36</v>
          </cell>
          <cell r="AD230">
            <v>2160</v>
          </cell>
          <cell r="AE230">
            <v>320</v>
          </cell>
          <cell r="AF230">
            <v>8</v>
          </cell>
          <cell r="AG230">
            <v>1600</v>
          </cell>
          <cell r="AH230">
            <v>6400</v>
          </cell>
          <cell r="AI230">
            <v>2.9629629629629628</v>
          </cell>
          <cell r="AJ230">
            <v>20</v>
          </cell>
          <cell r="AK230" t="str">
            <v>Point Julia</v>
          </cell>
        </row>
        <row r="231">
          <cell r="B231" t="str">
            <v>Port Gamble Bay - 3 - PNNL - large scale - NE corner</v>
          </cell>
          <cell r="C231" t="str">
            <v>PTG_P3</v>
          </cell>
          <cell r="D231" t="str">
            <v>single</v>
          </cell>
          <cell r="E231">
            <v>2015</v>
          </cell>
          <cell r="F231"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1" t="str">
            <v>polygon</v>
          </cell>
          <cell r="H231" t="str">
            <v>Port Gamble Bay</v>
          </cell>
          <cell r="I231" t="str">
            <v>HDC</v>
          </cell>
          <cell r="J231" t="str">
            <v>Port Gamble Bay Eelgrass Restoration Project</v>
          </cell>
          <cell r="K231" t="str">
            <v>Ecology</v>
          </cell>
          <cell r="L231" t="str">
            <v>Toxics Cleanup Program</v>
          </cell>
          <cell r="M231" t="str">
            <v>C1400158</v>
          </cell>
          <cell r="N231" t="str">
            <v xml:space="preserve"> 14-147</v>
          </cell>
          <cell r="O231" t="str">
            <v>PNNL</v>
          </cell>
          <cell r="P231" t="str">
            <v>IAA 14-293</v>
          </cell>
          <cell r="Q231" t="str">
            <v>Vavrinec, J. and A.B. Borde. 2015. Port Gamble eelgrass restoration project summary. Prepared for the Washington State Department of Ecology contracts IAA C1400158 and IAA 14-147. Pacific Northwest National Laboratory, Richland, WA. PNNL-24432.</v>
          </cell>
          <cell r="R231" t="str">
            <v>large scale</v>
          </cell>
          <cell r="S231" t="str">
            <v>--</v>
          </cell>
          <cell r="T231">
            <v>42095</v>
          </cell>
          <cell r="U231">
            <v>47.821516666666668</v>
          </cell>
          <cell r="V231">
            <v>-122.57721666666667</v>
          </cell>
          <cell r="W231" t="str">
            <v>polygon</v>
          </cell>
          <cell r="X231" t="str">
            <v>retain</v>
          </cell>
          <cell r="Y231" t="str">
            <v>WGS84</v>
          </cell>
          <cell r="AA231" t="str">
            <v>staple</v>
          </cell>
          <cell r="AI231" t="str">
            <v/>
          </cell>
          <cell r="AJ231" t="str">
            <v/>
          </cell>
        </row>
        <row r="232">
          <cell r="B232" t="str">
            <v>Port Gamble Bay - 3 - PNNL - large scale - SE corner</v>
          </cell>
          <cell r="C232" t="str">
            <v>PTG_P3</v>
          </cell>
          <cell r="D232" t="str">
            <v>single</v>
          </cell>
          <cell r="E232">
            <v>2015</v>
          </cell>
          <cell r="F232"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2" t="str">
            <v>polygon</v>
          </cell>
          <cell r="H232" t="str">
            <v>Port Gamble Bay</v>
          </cell>
          <cell r="I232" t="str">
            <v>HDC</v>
          </cell>
          <cell r="J232" t="str">
            <v>Port Gamble Bay Eelgrass Restoration Project</v>
          </cell>
          <cell r="K232" t="str">
            <v>Ecology</v>
          </cell>
          <cell r="L232" t="str">
            <v>Toxics Cleanup Program</v>
          </cell>
          <cell r="M232" t="str">
            <v>C1400158</v>
          </cell>
          <cell r="N232" t="str">
            <v xml:space="preserve"> 14-147</v>
          </cell>
          <cell r="O232" t="str">
            <v>PNNL</v>
          </cell>
          <cell r="P232" t="str">
            <v>IAA 14-293</v>
          </cell>
          <cell r="Q232" t="str">
            <v>Vavrinec, J. and A.B. Borde. 2015. Port Gamble eelgrass restoration project summary. Prepared for the Washington State Department of Ecology contracts IAA C1400158 and IAA 14-147. Pacific Northwest National Laboratory, Richland, WA. PNNL-24432.</v>
          </cell>
          <cell r="R232" t="str">
            <v>large scale</v>
          </cell>
          <cell r="S232" t="str">
            <v>--</v>
          </cell>
          <cell r="T232">
            <v>42095</v>
          </cell>
          <cell r="U232">
            <v>47.82118333333333</v>
          </cell>
          <cell r="V232">
            <v>-122.57711666666667</v>
          </cell>
          <cell r="W232" t="str">
            <v>polygon</v>
          </cell>
          <cell r="X232" t="str">
            <v>retain</v>
          </cell>
          <cell r="Y232" t="str">
            <v>WGS84</v>
          </cell>
          <cell r="AA232" t="str">
            <v>staple</v>
          </cell>
          <cell r="AI232" t="str">
            <v/>
          </cell>
          <cell r="AJ232" t="str">
            <v/>
          </cell>
        </row>
        <row r="233">
          <cell r="B233" t="str">
            <v>Port Gamble Bay - 3 - PNNL - large scale - SW corner</v>
          </cell>
          <cell r="C233" t="str">
            <v>PTG_P3</v>
          </cell>
          <cell r="D233" t="str">
            <v>single</v>
          </cell>
          <cell r="E233">
            <v>2015</v>
          </cell>
          <cell r="F233"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3" t="str">
            <v>polygon</v>
          </cell>
          <cell r="H233" t="str">
            <v>Port Gamble Bay</v>
          </cell>
          <cell r="I233" t="str">
            <v>HDC</v>
          </cell>
          <cell r="J233" t="str">
            <v>Port Gamble Bay Eelgrass Restoration Project</v>
          </cell>
          <cell r="K233" t="str">
            <v>Ecology</v>
          </cell>
          <cell r="L233" t="str">
            <v>Toxics Cleanup Program</v>
          </cell>
          <cell r="M233" t="str">
            <v>C1400158</v>
          </cell>
          <cell r="N233" t="str">
            <v xml:space="preserve"> 14-147</v>
          </cell>
          <cell r="O233" t="str">
            <v>PNNL</v>
          </cell>
          <cell r="P233" t="str">
            <v>IAA 14-293</v>
          </cell>
          <cell r="Q233" t="str">
            <v>Vavrinec, J. and A.B. Borde. 2015. Port Gamble eelgrass restoration project summary. Prepared for the Washington State Department of Ecology contracts IAA C1400158 and IAA 14-147. Pacific Northwest National Laboratory, Richland, WA. PNNL-24432.</v>
          </cell>
          <cell r="R233" t="str">
            <v>large scale</v>
          </cell>
          <cell r="S233" t="str">
            <v>--</v>
          </cell>
          <cell r="T233">
            <v>42095</v>
          </cell>
          <cell r="U233">
            <v>47.821216666666665</v>
          </cell>
          <cell r="V233">
            <v>-122.57791666666667</v>
          </cell>
          <cell r="W233" t="str">
            <v>polygon</v>
          </cell>
          <cell r="X233" t="str">
            <v>retain</v>
          </cell>
          <cell r="Y233" t="str">
            <v>WGS84</v>
          </cell>
          <cell r="Z233">
            <v>-1.8288</v>
          </cell>
          <cell r="AA233" t="str">
            <v>staple</v>
          </cell>
          <cell r="AI233" t="str">
            <v/>
          </cell>
          <cell r="AJ233" t="str">
            <v/>
          </cell>
        </row>
        <row r="234">
          <cell r="B234" t="str">
            <v>Port Gamble Bay - 4 - PNNL - large scale - NW corner</v>
          </cell>
          <cell r="C234" t="str">
            <v>PTG_P4</v>
          </cell>
          <cell r="D234" t="str">
            <v>single</v>
          </cell>
          <cell r="E234">
            <v>2015</v>
          </cell>
          <cell r="F234"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4" t="str">
            <v>polygon</v>
          </cell>
          <cell r="H234" t="str">
            <v>Port Gamble Bay</v>
          </cell>
          <cell r="I234" t="str">
            <v>HDC</v>
          </cell>
          <cell r="J234" t="str">
            <v>Port Gamble Bay Eelgrass Restoration Project</v>
          </cell>
          <cell r="K234" t="str">
            <v>Ecology</v>
          </cell>
          <cell r="L234" t="str">
            <v>Toxics Cleanup Program</v>
          </cell>
          <cell r="M234" t="str">
            <v>C1400158</v>
          </cell>
          <cell r="N234" t="str">
            <v xml:space="preserve"> 14-147</v>
          </cell>
          <cell r="O234" t="str">
            <v>PNNL</v>
          </cell>
          <cell r="P234" t="str">
            <v>IAA 14-293</v>
          </cell>
          <cell r="Q234" t="str">
            <v>Vavrinec, J. and A.B. Borde. 2015. Port Gamble eelgrass restoration project summary. Prepared for the Washington State Department of Ecology contracts IAA C1400158 and IAA 14-147. Pacific Northwest National Laboratory, Richland, WA. PNNL-24432.</v>
          </cell>
          <cell r="R234" t="str">
            <v>large scale</v>
          </cell>
          <cell r="S234" t="str">
            <v>large scale</v>
          </cell>
          <cell r="T234">
            <v>42095</v>
          </cell>
          <cell r="U234">
            <v>47.821666666666665</v>
          </cell>
          <cell r="V234">
            <v>-122.57623333333333</v>
          </cell>
          <cell r="W234" t="str">
            <v>polygon</v>
          </cell>
          <cell r="X234" t="str">
            <v>retain</v>
          </cell>
          <cell r="Y234" t="str">
            <v>WGS84</v>
          </cell>
          <cell r="AA234" t="str">
            <v>staple</v>
          </cell>
          <cell r="AB234">
            <v>60</v>
          </cell>
          <cell r="AC234">
            <v>36</v>
          </cell>
          <cell r="AD234">
            <v>2160</v>
          </cell>
          <cell r="AE234">
            <v>320</v>
          </cell>
          <cell r="AF234">
            <v>7.9649999999999999</v>
          </cell>
          <cell r="AG234">
            <v>1593</v>
          </cell>
          <cell r="AH234">
            <v>6372</v>
          </cell>
          <cell r="AI234">
            <v>2.95</v>
          </cell>
          <cell r="AJ234">
            <v>19.912500000000001</v>
          </cell>
          <cell r="AK234" t="str">
            <v>Point Julia</v>
          </cell>
        </row>
        <row r="235">
          <cell r="B235" t="str">
            <v>Port Gamble Bay - 4 - PNNL - large scale - NE corner</v>
          </cell>
          <cell r="C235" t="str">
            <v>PTG_P4</v>
          </cell>
          <cell r="D235" t="str">
            <v>single</v>
          </cell>
          <cell r="E235">
            <v>2015</v>
          </cell>
          <cell r="F235"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5" t="str">
            <v>polygon</v>
          </cell>
          <cell r="H235" t="str">
            <v>Port Gamble Bay</v>
          </cell>
          <cell r="I235" t="str">
            <v>HDC</v>
          </cell>
          <cell r="J235" t="str">
            <v>Port Gamble Bay Eelgrass Restoration Project</v>
          </cell>
          <cell r="K235" t="str">
            <v>Ecology</v>
          </cell>
          <cell r="L235" t="str">
            <v>Toxics Cleanup Program</v>
          </cell>
          <cell r="M235" t="str">
            <v>C1400158</v>
          </cell>
          <cell r="N235" t="str">
            <v xml:space="preserve"> 14-147</v>
          </cell>
          <cell r="O235" t="str">
            <v>PNNL</v>
          </cell>
          <cell r="P235" t="str">
            <v>IAA 14-293</v>
          </cell>
          <cell r="Q235" t="str">
            <v>Vavrinec, J. and A.B. Borde. 2015. Port Gamble eelgrass restoration project summary. Prepared for the Washington State Department of Ecology contracts IAA C1400158 and IAA 14-147. Pacific Northwest National Laboratory, Richland, WA. PNNL-24432.</v>
          </cell>
          <cell r="R235" t="str">
            <v>large scale</v>
          </cell>
          <cell r="S235" t="str">
            <v>--</v>
          </cell>
          <cell r="T235">
            <v>42095</v>
          </cell>
          <cell r="U235">
            <v>47.821533333333335</v>
          </cell>
          <cell r="V235">
            <v>-122.57538333333333</v>
          </cell>
          <cell r="W235" t="str">
            <v>polygon</v>
          </cell>
          <cell r="X235" t="str">
            <v>retain</v>
          </cell>
          <cell r="Y235" t="str">
            <v>WGS84</v>
          </cell>
          <cell r="Z235">
            <v>-2.7431999999999999</v>
          </cell>
          <cell r="AA235" t="str">
            <v>staple</v>
          </cell>
          <cell r="AI235" t="str">
            <v/>
          </cell>
          <cell r="AJ235" t="str">
            <v/>
          </cell>
        </row>
        <row r="236">
          <cell r="B236" t="str">
            <v>Port Gamble Bay - 4 - PNNL - large scale - SE corner</v>
          </cell>
          <cell r="C236" t="str">
            <v>PTG_P4</v>
          </cell>
          <cell r="D236" t="str">
            <v>single</v>
          </cell>
          <cell r="E236">
            <v>2015</v>
          </cell>
          <cell r="F236"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6" t="str">
            <v>polygon</v>
          </cell>
          <cell r="H236" t="str">
            <v>Port Gamble Bay</v>
          </cell>
          <cell r="I236" t="str">
            <v>HDC</v>
          </cell>
          <cell r="J236" t="str">
            <v>Port Gamble Bay Eelgrass Restoration Project</v>
          </cell>
          <cell r="K236" t="str">
            <v>Ecology</v>
          </cell>
          <cell r="L236" t="str">
            <v>Toxics Cleanup Program</v>
          </cell>
          <cell r="M236" t="str">
            <v>C1400158</v>
          </cell>
          <cell r="N236" t="str">
            <v xml:space="preserve"> 14-147</v>
          </cell>
          <cell r="O236" t="str">
            <v>PNNL</v>
          </cell>
          <cell r="P236" t="str">
            <v>IAA 14-293</v>
          </cell>
          <cell r="Q236" t="str">
            <v>Vavrinec, J. and A.B. Borde. 2015. Port Gamble eelgrass restoration project summary. Prepared for the Washington State Department of Ecology contracts IAA C1400158 and IAA 14-147. Pacific Northwest National Laboratory, Richland, WA. PNNL-24432.</v>
          </cell>
          <cell r="R236" t="str">
            <v>large scale</v>
          </cell>
          <cell r="S236" t="str">
            <v>--</v>
          </cell>
          <cell r="T236">
            <v>42095</v>
          </cell>
          <cell r="U236">
            <v>47.821216666666665</v>
          </cell>
          <cell r="V236">
            <v>-122.57528333333333</v>
          </cell>
          <cell r="W236" t="str">
            <v>polygon</v>
          </cell>
          <cell r="X236" t="str">
            <v>retain</v>
          </cell>
          <cell r="Y236" t="str">
            <v>WGS84</v>
          </cell>
          <cell r="AA236" t="str">
            <v>staple</v>
          </cell>
          <cell r="AI236" t="str">
            <v/>
          </cell>
          <cell r="AJ236" t="str">
            <v/>
          </cell>
        </row>
        <row r="237">
          <cell r="B237" t="str">
            <v>Port Gamble Bay - 4 - PNNL - large scale - SW corner</v>
          </cell>
          <cell r="C237" t="str">
            <v>PTG_P4</v>
          </cell>
          <cell r="D237" t="str">
            <v>single</v>
          </cell>
          <cell r="E237">
            <v>2015</v>
          </cell>
          <cell r="F237" t="str">
            <v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v>
          </cell>
          <cell r="G237" t="str">
            <v>polygon</v>
          </cell>
          <cell r="H237" t="str">
            <v>Port Gamble Bay</v>
          </cell>
          <cell r="I237" t="str">
            <v>HDC</v>
          </cell>
          <cell r="J237" t="str">
            <v>Port Gamble Bay Eelgrass Restoration Project</v>
          </cell>
          <cell r="K237" t="str">
            <v>Ecology</v>
          </cell>
          <cell r="L237" t="str">
            <v>Toxics Cleanup Program</v>
          </cell>
          <cell r="M237" t="str">
            <v>C1400158</v>
          </cell>
          <cell r="N237" t="str">
            <v xml:space="preserve"> 14-147</v>
          </cell>
          <cell r="O237" t="str">
            <v>PNNL</v>
          </cell>
          <cell r="P237" t="str">
            <v>IAA 14-293</v>
          </cell>
          <cell r="Q237" t="str">
            <v>Vavrinec, J. and A.B. Borde. 2015. Port Gamble eelgrass restoration project summary. Prepared for the Washington State Department of Ecology contracts IAA C1400158 and IAA 14-147. Pacific Northwest National Laboratory, Richland, WA. PNNL-24432.</v>
          </cell>
          <cell r="R237" t="str">
            <v>large scale</v>
          </cell>
          <cell r="S237" t="str">
            <v>--</v>
          </cell>
          <cell r="T237">
            <v>42095</v>
          </cell>
          <cell r="U237">
            <v>47.821283333333334</v>
          </cell>
          <cell r="V237">
            <v>-122.57618333333333</v>
          </cell>
          <cell r="W237" t="str">
            <v>polygon</v>
          </cell>
          <cell r="X237" t="str">
            <v>retain</v>
          </cell>
          <cell r="Y237" t="str">
            <v>WGS84</v>
          </cell>
          <cell r="AA237" t="str">
            <v>staple</v>
          </cell>
          <cell r="AI237" t="str">
            <v/>
          </cell>
          <cell r="AJ237" t="str">
            <v/>
          </cell>
        </row>
        <row r="238">
          <cell r="B238" t="str">
            <v>Quartermaster Harbor - PNNL - Test Plot 1S - 2018</v>
          </cell>
          <cell r="C238" t="str">
            <v>QMH_1S</v>
          </cell>
          <cell r="D238" t="str">
            <v>single</v>
          </cell>
          <cell r="E238">
            <v>2018</v>
          </cell>
          <cell r="G238" t="str">
            <v>point</v>
          </cell>
          <cell r="H238" t="str">
            <v>Quartermaster Harbor</v>
          </cell>
          <cell r="I238" t="str">
            <v>CPS</v>
          </cell>
          <cell r="J238" t="str">
            <v>Eelgrass Recovery in PS</v>
          </cell>
          <cell r="K238" t="str">
            <v>USFWS</v>
          </cell>
          <cell r="L238" t="str">
            <v>USFWS</v>
          </cell>
          <cell r="M238" t="str">
            <v>WA F16AP00163 AL</v>
          </cell>
          <cell r="O238" t="str">
            <v>PNNL</v>
          </cell>
          <cell r="P238" t="str">
            <v>93-094344</v>
          </cell>
          <cell r="R238" t="str">
            <v>test</v>
          </cell>
          <cell r="S238" t="str">
            <v>test</v>
          </cell>
          <cell r="T238">
            <v>43250</v>
          </cell>
          <cell r="U238">
            <v>47.383499999999998</v>
          </cell>
          <cell r="V238">
            <v>-122.45133</v>
          </cell>
          <cell r="W238" t="str">
            <v>point</v>
          </cell>
          <cell r="X238" t="str">
            <v>retain</v>
          </cell>
          <cell r="Y238" t="str">
            <v>WGS84</v>
          </cell>
          <cell r="Z238">
            <v>-1.0363199999999999</v>
          </cell>
          <cell r="AA238" t="str">
            <v>rebar</v>
          </cell>
          <cell r="AB238">
            <v>12</v>
          </cell>
          <cell r="AC238">
            <v>1</v>
          </cell>
          <cell r="AD238">
            <v>12</v>
          </cell>
          <cell r="AE238">
            <v>7.5</v>
          </cell>
          <cell r="AF238">
            <v>0.75</v>
          </cell>
          <cell r="AG238">
            <v>30</v>
          </cell>
          <cell r="AH238">
            <v>600</v>
          </cell>
          <cell r="AI238">
            <v>50</v>
          </cell>
          <cell r="AJ238">
            <v>80</v>
          </cell>
          <cell r="AK238" t="str">
            <v>Dumas Bay</v>
          </cell>
          <cell r="AL238" t="str">
            <v>base line runs 230°M; 20 shoots/rebar; 30 rebar planted on the offshore side of baseline</v>
          </cell>
        </row>
        <row r="239">
          <cell r="B239" t="str">
            <v>Quartermaster Harbor - PNNL - Test Plot 1D - 2018</v>
          </cell>
          <cell r="C239" t="str">
            <v>QMH_1D</v>
          </cell>
          <cell r="D239" t="str">
            <v>single</v>
          </cell>
          <cell r="E239">
            <v>2018</v>
          </cell>
          <cell r="G239" t="str">
            <v>point</v>
          </cell>
          <cell r="H239" t="str">
            <v>Quartermaster Harbor</v>
          </cell>
          <cell r="I239" t="str">
            <v>CPS</v>
          </cell>
          <cell r="J239" t="str">
            <v>Eelgrass Recovery in PS</v>
          </cell>
          <cell r="K239" t="str">
            <v>USFWS</v>
          </cell>
          <cell r="L239" t="str">
            <v>USFWS</v>
          </cell>
          <cell r="M239" t="str">
            <v>WA F16AP00163 AL</v>
          </cell>
          <cell r="O239" t="str">
            <v>PNNL</v>
          </cell>
          <cell r="P239" t="str">
            <v>93-094344</v>
          </cell>
          <cell r="R239" t="str">
            <v>test</v>
          </cell>
          <cell r="S239" t="str">
            <v>test</v>
          </cell>
          <cell r="T239">
            <v>43250</v>
          </cell>
          <cell r="U239">
            <v>47.383339999999997</v>
          </cell>
          <cell r="V239">
            <v>-122.4513</v>
          </cell>
          <cell r="W239" t="str">
            <v>point</v>
          </cell>
          <cell r="X239" t="str">
            <v>retain</v>
          </cell>
          <cell r="Y239" t="str">
            <v>WGS84</v>
          </cell>
          <cell r="Z239">
            <v>-1.8897600000000001</v>
          </cell>
          <cell r="AA239" t="str">
            <v>rebar</v>
          </cell>
          <cell r="AB239">
            <v>12</v>
          </cell>
          <cell r="AC239">
            <v>1</v>
          </cell>
          <cell r="AD239">
            <v>12</v>
          </cell>
          <cell r="AE239">
            <v>7.5</v>
          </cell>
          <cell r="AF239">
            <v>0.75</v>
          </cell>
          <cell r="AG239">
            <v>30</v>
          </cell>
          <cell r="AH239">
            <v>600</v>
          </cell>
          <cell r="AI239">
            <v>50</v>
          </cell>
          <cell r="AJ239">
            <v>80</v>
          </cell>
          <cell r="AK239" t="str">
            <v>Dumas Bay</v>
          </cell>
          <cell r="AL239" t="str">
            <v>base line runs 240°M; 20 shoots/rebar; 30 rebar planted on the offshore side of baseline</v>
          </cell>
        </row>
        <row r="240">
          <cell r="B240" t="str">
            <v>Quartermaster Harbor - PNNL - Test Plot 4S - 2018</v>
          </cell>
          <cell r="C240" t="str">
            <v>QMH_4S</v>
          </cell>
          <cell r="D240" t="str">
            <v>single</v>
          </cell>
          <cell r="E240">
            <v>2018</v>
          </cell>
          <cell r="G240" t="str">
            <v>point</v>
          </cell>
          <cell r="H240" t="str">
            <v>Quartermaster Harbor</v>
          </cell>
          <cell r="I240" t="str">
            <v>CPS</v>
          </cell>
          <cell r="J240" t="str">
            <v>Eelgrass Recovery in PS</v>
          </cell>
          <cell r="K240" t="str">
            <v>USFWS</v>
          </cell>
          <cell r="L240" t="str">
            <v>USFWS</v>
          </cell>
          <cell r="M240" t="str">
            <v>WA F16AP00163 AL</v>
          </cell>
          <cell r="O240" t="str">
            <v>PNNL</v>
          </cell>
          <cell r="P240" t="str">
            <v>93-094344</v>
          </cell>
          <cell r="R240" t="str">
            <v>test</v>
          </cell>
          <cell r="S240" t="str">
            <v>test</v>
          </cell>
          <cell r="T240">
            <v>43250</v>
          </cell>
          <cell r="U240">
            <v>47.390659999999997</v>
          </cell>
          <cell r="V240">
            <v>-122.43606</v>
          </cell>
          <cell r="W240" t="str">
            <v>point</v>
          </cell>
          <cell r="X240" t="str">
            <v>retain</v>
          </cell>
          <cell r="Y240" t="str">
            <v>WGS84</v>
          </cell>
          <cell r="Z240">
            <v>-1.2192000000000001</v>
          </cell>
          <cell r="AA240" t="str">
            <v>rebar</v>
          </cell>
          <cell r="AB240">
            <v>12</v>
          </cell>
          <cell r="AC240">
            <v>1</v>
          </cell>
          <cell r="AD240">
            <v>12</v>
          </cell>
          <cell r="AE240">
            <v>7.5</v>
          </cell>
          <cell r="AF240">
            <v>0.75</v>
          </cell>
          <cell r="AG240">
            <v>30</v>
          </cell>
          <cell r="AH240">
            <v>600</v>
          </cell>
          <cell r="AI240">
            <v>50</v>
          </cell>
          <cell r="AJ240">
            <v>80</v>
          </cell>
          <cell r="AK240" t="str">
            <v>Dumas Bay</v>
          </cell>
          <cell r="AL240" t="str">
            <v>base line runs 90°M; 20 shoots/rebar; 30 rebar planted on the offshore side of baseline</v>
          </cell>
        </row>
        <row r="241">
          <cell r="B241" t="str">
            <v>Quartermaster Harbor - PNNL - Test Plot 4D - 2018</v>
          </cell>
          <cell r="C241" t="str">
            <v>QMH_4D</v>
          </cell>
          <cell r="D241" t="str">
            <v>single</v>
          </cell>
          <cell r="E241">
            <v>2018</v>
          </cell>
          <cell r="G241" t="str">
            <v>point</v>
          </cell>
          <cell r="H241" t="str">
            <v>Quartermaster Harbor</v>
          </cell>
          <cell r="I241" t="str">
            <v>CPS</v>
          </cell>
          <cell r="J241" t="str">
            <v>Eelgrass Recovery in PS</v>
          </cell>
          <cell r="K241" t="str">
            <v>USFWS</v>
          </cell>
          <cell r="L241" t="str">
            <v>USFWS</v>
          </cell>
          <cell r="M241" t="str">
            <v>WA F16AP00163 AL</v>
          </cell>
          <cell r="O241" t="str">
            <v>PNNL</v>
          </cell>
          <cell r="P241" t="str">
            <v>93-094344</v>
          </cell>
          <cell r="R241" t="str">
            <v>test</v>
          </cell>
          <cell r="S241" t="str">
            <v>test</v>
          </cell>
          <cell r="T241">
            <v>43250</v>
          </cell>
          <cell r="U241">
            <v>47.390219999999999</v>
          </cell>
          <cell r="V241">
            <v>-122.43597</v>
          </cell>
          <cell r="W241" t="str">
            <v>point</v>
          </cell>
          <cell r="X241" t="str">
            <v>retain</v>
          </cell>
          <cell r="Y241" t="str">
            <v>WGS84</v>
          </cell>
          <cell r="Z241">
            <v>-1.61544</v>
          </cell>
          <cell r="AA241" t="str">
            <v>rebar</v>
          </cell>
          <cell r="AB241">
            <v>12</v>
          </cell>
          <cell r="AC241">
            <v>1</v>
          </cell>
          <cell r="AD241">
            <v>12</v>
          </cell>
          <cell r="AE241">
            <v>7.5</v>
          </cell>
          <cell r="AF241">
            <v>0.75</v>
          </cell>
          <cell r="AG241">
            <v>30</v>
          </cell>
          <cell r="AH241">
            <v>600</v>
          </cell>
          <cell r="AI241">
            <v>50</v>
          </cell>
          <cell r="AJ241">
            <v>80</v>
          </cell>
          <cell r="AK241" t="str">
            <v>Dumas Bay</v>
          </cell>
          <cell r="AL241" t="str">
            <v>base line runs 90°M; 20 shoots/rebar; 30 rebar planted on the offshore side of baseline</v>
          </cell>
        </row>
        <row r="242">
          <cell r="B242" t="str">
            <v>Quartermaster Harbor - PNNL - Test Plot 5S - 2018</v>
          </cell>
          <cell r="C242" t="str">
            <v>QMH_5S</v>
          </cell>
          <cell r="D242" t="str">
            <v>single</v>
          </cell>
          <cell r="E242">
            <v>2018</v>
          </cell>
          <cell r="G242" t="str">
            <v>point</v>
          </cell>
          <cell r="H242" t="str">
            <v>Quartermaster Harbor</v>
          </cell>
          <cell r="I242" t="str">
            <v>CPS</v>
          </cell>
          <cell r="J242" t="str">
            <v>Eelgrass Recovery in PS</v>
          </cell>
          <cell r="K242" t="str">
            <v>USFWS</v>
          </cell>
          <cell r="L242" t="str">
            <v>USFWS</v>
          </cell>
          <cell r="M242" t="str">
            <v>WA F16AP00163 AL</v>
          </cell>
          <cell r="O242" t="str">
            <v>PNNL</v>
          </cell>
          <cell r="P242" t="str">
            <v>93-094344</v>
          </cell>
          <cell r="R242" t="str">
            <v>test</v>
          </cell>
          <cell r="S242" t="str">
            <v>test</v>
          </cell>
          <cell r="T242">
            <v>43251</v>
          </cell>
          <cell r="U242">
            <v>47.385919999999999</v>
          </cell>
          <cell r="V242">
            <v>-122.43792999999999</v>
          </cell>
          <cell r="W242" t="str">
            <v>point</v>
          </cell>
          <cell r="X242" t="str">
            <v>retain</v>
          </cell>
          <cell r="Y242" t="str">
            <v>WGS84</v>
          </cell>
          <cell r="Z242">
            <v>-1.18872</v>
          </cell>
          <cell r="AA242" t="str">
            <v>rebar</v>
          </cell>
          <cell r="AB242">
            <v>12</v>
          </cell>
          <cell r="AC242">
            <v>1</v>
          </cell>
          <cell r="AD242">
            <v>12</v>
          </cell>
          <cell r="AE242">
            <v>7.5</v>
          </cell>
          <cell r="AF242">
            <v>0.75</v>
          </cell>
          <cell r="AG242">
            <v>30</v>
          </cell>
          <cell r="AH242">
            <v>600</v>
          </cell>
          <cell r="AI242">
            <v>50</v>
          </cell>
          <cell r="AJ242">
            <v>80</v>
          </cell>
          <cell r="AK242" t="str">
            <v>Dumas Bay</v>
          </cell>
          <cell r="AL242" t="str">
            <v>base line runs 240°M; 20 shoots/rebar; 30 rebar planted on the offshore side of baseline</v>
          </cell>
        </row>
        <row r="243">
          <cell r="B243" t="str">
            <v>Quartermaster Harbor - PNNL - Test Plot 5D - 2018</v>
          </cell>
          <cell r="C243" t="str">
            <v>QMH_5D</v>
          </cell>
          <cell r="D243" t="str">
            <v>single</v>
          </cell>
          <cell r="E243">
            <v>2018</v>
          </cell>
          <cell r="G243" t="str">
            <v>point</v>
          </cell>
          <cell r="H243" t="str">
            <v>Quartermaster Harbor</v>
          </cell>
          <cell r="I243" t="str">
            <v>CPS</v>
          </cell>
          <cell r="J243" t="str">
            <v>Eelgrass Recovery in PS</v>
          </cell>
          <cell r="K243" t="str">
            <v>USFWS</v>
          </cell>
          <cell r="L243" t="str">
            <v>USFWS</v>
          </cell>
          <cell r="M243" t="str">
            <v>WA F16AP00163 AL</v>
          </cell>
          <cell r="O243" t="str">
            <v>PNNL</v>
          </cell>
          <cell r="P243" t="str">
            <v>93-094344</v>
          </cell>
          <cell r="R243" t="str">
            <v>test</v>
          </cell>
          <cell r="S243" t="str">
            <v>test</v>
          </cell>
          <cell r="T243">
            <v>43251</v>
          </cell>
          <cell r="U243">
            <v>47.38597</v>
          </cell>
          <cell r="V243">
            <v>-122.43799</v>
          </cell>
          <cell r="W243" t="str">
            <v>point</v>
          </cell>
          <cell r="X243" t="str">
            <v>retain</v>
          </cell>
          <cell r="Y243" t="str">
            <v>WGS84</v>
          </cell>
          <cell r="Z243">
            <v>-1.73736</v>
          </cell>
          <cell r="AA243" t="str">
            <v>rebar</v>
          </cell>
          <cell r="AB243">
            <v>12</v>
          </cell>
          <cell r="AC243">
            <v>1</v>
          </cell>
          <cell r="AD243">
            <v>12</v>
          </cell>
          <cell r="AE243">
            <v>7.5</v>
          </cell>
          <cell r="AF243">
            <v>0.75</v>
          </cell>
          <cell r="AG243">
            <v>30</v>
          </cell>
          <cell r="AH243">
            <v>600</v>
          </cell>
          <cell r="AI243">
            <v>50</v>
          </cell>
          <cell r="AJ243">
            <v>80</v>
          </cell>
          <cell r="AK243" t="str">
            <v>Dumas Bay</v>
          </cell>
          <cell r="AL243" t="str">
            <v>base line runs 230°M; 20 shoots/rebar; 30 rebar planted on the offshore side of baseline</v>
          </cell>
        </row>
        <row r="244">
          <cell r="B244" t="str">
            <v>Quartermaster Harbor - PNNL - Test Plot 2D - 2018</v>
          </cell>
          <cell r="C244" t="str">
            <v>QMH_2D</v>
          </cell>
          <cell r="D244" t="str">
            <v>single</v>
          </cell>
          <cell r="E244">
            <v>2018</v>
          </cell>
          <cell r="G244" t="str">
            <v>point</v>
          </cell>
          <cell r="H244" t="str">
            <v>Quartermaster Harbor</v>
          </cell>
          <cell r="I244" t="str">
            <v>CPS</v>
          </cell>
          <cell r="J244" t="str">
            <v>Eelgrass Recovery in PS</v>
          </cell>
          <cell r="K244" t="str">
            <v>USFWS</v>
          </cell>
          <cell r="L244" t="str">
            <v>USFWS</v>
          </cell>
          <cell r="M244" t="str">
            <v>WA F16AP00163 AL</v>
          </cell>
          <cell r="O244" t="str">
            <v>PNNL</v>
          </cell>
          <cell r="P244" t="str">
            <v>93-094344</v>
          </cell>
          <cell r="R244" t="str">
            <v>test</v>
          </cell>
          <cell r="S244" t="str">
            <v>test</v>
          </cell>
          <cell r="T244">
            <v>43252</v>
          </cell>
          <cell r="U244">
            <v>47.394410000000001</v>
          </cell>
          <cell r="V244">
            <v>-122.44898000000001</v>
          </cell>
          <cell r="W244" t="str">
            <v>point</v>
          </cell>
          <cell r="X244" t="str">
            <v>retain</v>
          </cell>
          <cell r="Y244" t="str">
            <v>WGS84</v>
          </cell>
          <cell r="Z244">
            <v>-1.7983199999999999</v>
          </cell>
          <cell r="AA244" t="str">
            <v>rebar</v>
          </cell>
          <cell r="AB244">
            <v>12</v>
          </cell>
          <cell r="AC244">
            <v>1</v>
          </cell>
          <cell r="AD244">
            <v>12</v>
          </cell>
          <cell r="AE244">
            <v>7.5</v>
          </cell>
          <cell r="AF244">
            <v>0.75</v>
          </cell>
          <cell r="AG244">
            <v>30</v>
          </cell>
          <cell r="AH244">
            <v>600</v>
          </cell>
          <cell r="AI244">
            <v>50</v>
          </cell>
          <cell r="AJ244">
            <v>80</v>
          </cell>
          <cell r="AK244" t="str">
            <v>Dumas Bay</v>
          </cell>
          <cell r="AL244" t="str">
            <v>base line runs 305°M; 20 shoots/rebar; 30 rebar planted on the offshore side of baseline</v>
          </cell>
        </row>
        <row r="245">
          <cell r="B245" t="str">
            <v>Quartermaster Harbor - PNNL - Test Plot 3S - 2018</v>
          </cell>
          <cell r="C245" t="str">
            <v>QMH_3S</v>
          </cell>
          <cell r="D245" t="str">
            <v>single</v>
          </cell>
          <cell r="E245">
            <v>2018</v>
          </cell>
          <cell r="G245" t="str">
            <v>point</v>
          </cell>
          <cell r="H245" t="str">
            <v>Quartermaster Harbor</v>
          </cell>
          <cell r="I245" t="str">
            <v>CPS</v>
          </cell>
          <cell r="J245" t="str">
            <v>Eelgrass Recovery in PS</v>
          </cell>
          <cell r="K245" t="str">
            <v>USFWS</v>
          </cell>
          <cell r="L245" t="str">
            <v>USFWS</v>
          </cell>
          <cell r="M245" t="str">
            <v>WA F16AP00163 AL</v>
          </cell>
          <cell r="O245" t="str">
            <v>PNNL</v>
          </cell>
          <cell r="P245" t="str">
            <v>93-094344</v>
          </cell>
          <cell r="R245" t="str">
            <v>test</v>
          </cell>
          <cell r="S245" t="str">
            <v>test</v>
          </cell>
          <cell r="T245">
            <v>43252</v>
          </cell>
          <cell r="U245">
            <v>47.403919999999999</v>
          </cell>
          <cell r="V245">
            <v>-122.44499</v>
          </cell>
          <cell r="W245" t="str">
            <v>point</v>
          </cell>
          <cell r="X245" t="str">
            <v>retain</v>
          </cell>
          <cell r="Y245" t="str">
            <v>WGS84</v>
          </cell>
          <cell r="Z245">
            <v>-1.2192000000000001</v>
          </cell>
          <cell r="AA245" t="str">
            <v>rebar</v>
          </cell>
          <cell r="AB245">
            <v>12</v>
          </cell>
          <cell r="AC245">
            <v>1</v>
          </cell>
          <cell r="AD245">
            <v>12</v>
          </cell>
          <cell r="AE245">
            <v>7.5</v>
          </cell>
          <cell r="AF245">
            <v>0.75</v>
          </cell>
          <cell r="AG245">
            <v>30</v>
          </cell>
          <cell r="AH245">
            <v>600</v>
          </cell>
          <cell r="AI245">
            <v>50</v>
          </cell>
          <cell r="AJ245">
            <v>80</v>
          </cell>
          <cell r="AK245" t="str">
            <v>Dumas Bay</v>
          </cell>
          <cell r="AL245" t="str">
            <v>base line runs 40°M; 20 shoots/rebar; 30 rebar planted on the offshore side of baseline</v>
          </cell>
        </row>
        <row r="246">
          <cell r="B246" t="str">
            <v>Quartermaster Harbor - PNNL - Test Plot 3D - 2018</v>
          </cell>
          <cell r="C246" t="str">
            <v>QMH_3D</v>
          </cell>
          <cell r="D246" t="str">
            <v>single</v>
          </cell>
          <cell r="E246">
            <v>2018</v>
          </cell>
          <cell r="G246" t="str">
            <v>point</v>
          </cell>
          <cell r="H246" t="str">
            <v>Quartermaster Harbor</v>
          </cell>
          <cell r="I246" t="str">
            <v>CPS</v>
          </cell>
          <cell r="J246" t="str">
            <v>Eelgrass Recovery in PS</v>
          </cell>
          <cell r="K246" t="str">
            <v>USFWS</v>
          </cell>
          <cell r="L246" t="str">
            <v>USFWS</v>
          </cell>
          <cell r="M246" t="str">
            <v>WA F16AP00163 AL</v>
          </cell>
          <cell r="O246" t="str">
            <v>PNNL</v>
          </cell>
          <cell r="P246" t="str">
            <v>93-094344</v>
          </cell>
          <cell r="R246" t="str">
            <v>test</v>
          </cell>
          <cell r="S246" t="str">
            <v>test</v>
          </cell>
          <cell r="T246">
            <v>43252</v>
          </cell>
          <cell r="U246">
            <v>47.403860000000002</v>
          </cell>
          <cell r="V246">
            <v>-122.44484</v>
          </cell>
          <cell r="W246" t="str">
            <v>point</v>
          </cell>
          <cell r="X246" t="str">
            <v>retain</v>
          </cell>
          <cell r="Y246" t="str">
            <v>WGS84</v>
          </cell>
          <cell r="Z246">
            <v>-1.85928</v>
          </cell>
          <cell r="AA246" t="str">
            <v>rebar</v>
          </cell>
          <cell r="AB246">
            <v>12</v>
          </cell>
          <cell r="AC246">
            <v>1</v>
          </cell>
          <cell r="AD246">
            <v>12</v>
          </cell>
          <cell r="AE246">
            <v>7.5</v>
          </cell>
          <cell r="AF246">
            <v>0.75</v>
          </cell>
          <cell r="AG246">
            <v>30</v>
          </cell>
          <cell r="AH246">
            <v>600</v>
          </cell>
          <cell r="AI246">
            <v>50</v>
          </cell>
          <cell r="AJ246">
            <v>80</v>
          </cell>
          <cell r="AK246" t="str">
            <v>Dumas Bay</v>
          </cell>
          <cell r="AL246" t="str">
            <v>base line runs 25°M; 20 shoots/rebar; 30 rebar planted on the inshore side of baseline</v>
          </cell>
        </row>
        <row r="247">
          <cell r="B247" t="str">
            <v>Quartermaster Harbor - PNNL - Test Plot 4S - 2021</v>
          </cell>
          <cell r="C247" t="e">
            <v>#N/A</v>
          </cell>
          <cell r="D247" t="e">
            <v>#N/A</v>
          </cell>
          <cell r="E247">
            <v>2021</v>
          </cell>
          <cell r="G247" t="str">
            <v>point</v>
          </cell>
          <cell r="H247" t="str">
            <v>Quartermaster Harbor</v>
          </cell>
          <cell r="I247" t="str">
            <v>CPS</v>
          </cell>
          <cell r="J247" t="str">
            <v>King County</v>
          </cell>
          <cell r="K247" t="str">
            <v>King County</v>
          </cell>
          <cell r="L247" t="str">
            <v>King County Department of Natural Resources and Parks Wastewater Treatment Division</v>
          </cell>
          <cell r="N247" t="str">
            <v>93-097520</v>
          </cell>
          <cell r="R247" t="str">
            <v>test</v>
          </cell>
          <cell r="S247" t="str">
            <v>test</v>
          </cell>
          <cell r="T247">
            <v>44329</v>
          </cell>
          <cell r="U247">
            <v>47.390659999999997</v>
          </cell>
          <cell r="V247">
            <v>-122.43606</v>
          </cell>
          <cell r="W247" t="e">
            <v>#N/A</v>
          </cell>
          <cell r="X247" t="e">
            <v>#N/A</v>
          </cell>
          <cell r="Y247" t="str">
            <v>WGS84</v>
          </cell>
          <cell r="Z247">
            <v>-1.5</v>
          </cell>
          <cell r="AA247" t="str">
            <v>rebar</v>
          </cell>
          <cell r="AB247">
            <v>3.5</v>
          </cell>
          <cell r="AC247">
            <v>0.5</v>
          </cell>
          <cell r="AD247">
            <v>1.75</v>
          </cell>
          <cell r="AE247">
            <v>1</v>
          </cell>
          <cell r="AF247">
            <v>0.30000000000000004</v>
          </cell>
          <cell r="AG247">
            <v>12</v>
          </cell>
          <cell r="AH247">
            <v>240</v>
          </cell>
          <cell r="AI247">
            <v>137.14285714285714</v>
          </cell>
          <cell r="AJ247">
            <v>240</v>
          </cell>
          <cell r="AK247" t="str">
            <v>DuPont Wharf</v>
          </cell>
          <cell r="AL247" t="str">
            <v>20 shoots per rebar as DuPont Wharf shoots were large (~50 cm canopy height). Plots start approximatey 5 m east of light sensor. 3rd plot east of light sensor included a base of sand (50# bag of play sand)</v>
          </cell>
        </row>
        <row r="248">
          <cell r="B248" t="str">
            <v>Quartermaster Harbor - PNNL - Test Plot 4S - 2021</v>
          </cell>
          <cell r="C248" t="e">
            <v>#N/A</v>
          </cell>
          <cell r="D248" t="e">
            <v>#N/A</v>
          </cell>
          <cell r="E248">
            <v>2021</v>
          </cell>
          <cell r="G248" t="str">
            <v>point</v>
          </cell>
          <cell r="H248" t="str">
            <v>Quartermaster Harbor</v>
          </cell>
          <cell r="I248" t="str">
            <v>CPS</v>
          </cell>
          <cell r="J248" t="str">
            <v>King County</v>
          </cell>
          <cell r="K248" t="str">
            <v>King County</v>
          </cell>
          <cell r="L248" t="str">
            <v>King County Department of Natural Resources and Parks Wastewater Treatment Division</v>
          </cell>
          <cell r="N248" t="str">
            <v>93-097520</v>
          </cell>
          <cell r="R248" t="str">
            <v>test</v>
          </cell>
          <cell r="S248" t="str">
            <v>test</v>
          </cell>
          <cell r="T248">
            <v>44330</v>
          </cell>
          <cell r="U248">
            <v>47.390659999999997</v>
          </cell>
          <cell r="V248">
            <v>-122.43606</v>
          </cell>
          <cell r="W248" t="e">
            <v>#N/A</v>
          </cell>
          <cell r="X248" t="e">
            <v>#N/A</v>
          </cell>
          <cell r="Y248" t="str">
            <v>WGS84</v>
          </cell>
          <cell r="Z248">
            <v>-1.5</v>
          </cell>
          <cell r="AA248" t="str">
            <v>rebar</v>
          </cell>
          <cell r="AB248">
            <v>4.5</v>
          </cell>
          <cell r="AC248">
            <v>0.5</v>
          </cell>
          <cell r="AD248">
            <v>2.25</v>
          </cell>
          <cell r="AE248">
            <v>1.25</v>
          </cell>
          <cell r="AF248">
            <v>0.375</v>
          </cell>
          <cell r="AG248">
            <v>15</v>
          </cell>
          <cell r="AH248">
            <v>375</v>
          </cell>
          <cell r="AI248">
            <v>166.66666666666666</v>
          </cell>
          <cell r="AJ248">
            <v>300</v>
          </cell>
          <cell r="AK248" t="str">
            <v>Dumas Bay</v>
          </cell>
          <cell r="AL248" t="str">
            <v>25 shoots per rebar because Dumas Bay shoots were small (~30 cm canopy height). Plots were placed shallower and a 0.5 m offset from DuPont Wharf shoots. 3rd plot east of light sensor included a base of sand (50# bag of play sand)</v>
          </cell>
        </row>
        <row r="249">
          <cell r="B249" t="str">
            <v>Quartermaster Harbor - PNNL - Test Plot 4S - 2021</v>
          </cell>
          <cell r="C249" t="e">
            <v>#N/A</v>
          </cell>
          <cell r="D249" t="e">
            <v>#N/A</v>
          </cell>
          <cell r="E249">
            <v>2021</v>
          </cell>
          <cell r="G249" t="str">
            <v>point</v>
          </cell>
          <cell r="H249" t="str">
            <v>Quartermaster Harbor</v>
          </cell>
          <cell r="I249" t="str">
            <v>CPS</v>
          </cell>
          <cell r="J249" t="str">
            <v>King County</v>
          </cell>
          <cell r="K249" t="str">
            <v>King County</v>
          </cell>
          <cell r="L249" t="str">
            <v>King County Department of Natural Resources and Parks Wastewater Treatment Division</v>
          </cell>
          <cell r="N249" t="str">
            <v>93-097520</v>
          </cell>
          <cell r="R249" t="str">
            <v>test</v>
          </cell>
          <cell r="S249" t="str">
            <v>test</v>
          </cell>
          <cell r="T249">
            <v>44342</v>
          </cell>
          <cell r="U249">
            <v>47.390659999999997</v>
          </cell>
          <cell r="V249">
            <v>-122.43606</v>
          </cell>
          <cell r="W249" t="e">
            <v>#N/A</v>
          </cell>
          <cell r="X249" t="e">
            <v>#N/A</v>
          </cell>
          <cell r="Y249" t="str">
            <v>WGS84</v>
          </cell>
          <cell r="Z249">
            <v>-1.5</v>
          </cell>
          <cell r="AA249" t="str">
            <v>rebar</v>
          </cell>
          <cell r="AB249">
            <v>2.5</v>
          </cell>
          <cell r="AC249">
            <v>1</v>
          </cell>
          <cell r="AD249">
            <v>2.5</v>
          </cell>
          <cell r="AE249">
            <v>1.5</v>
          </cell>
          <cell r="AF249">
            <v>0.45</v>
          </cell>
          <cell r="AG249">
            <v>18</v>
          </cell>
          <cell r="AH249">
            <v>270</v>
          </cell>
          <cell r="AI249">
            <v>108</v>
          </cell>
          <cell r="AJ249">
            <v>180</v>
          </cell>
          <cell r="AK249" t="str">
            <v>DuPont Wharf</v>
          </cell>
          <cell r="AL249" t="str">
            <v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v>
          </cell>
        </row>
        <row r="250">
          <cell r="B250" t="str">
            <v>Quartermaster Harbor - PNNL - Test Plot 5a - 2021</v>
          </cell>
          <cell r="C250" t="e">
            <v>#N/A</v>
          </cell>
          <cell r="D250" t="e">
            <v>#N/A</v>
          </cell>
          <cell r="E250">
            <v>2021</v>
          </cell>
          <cell r="G250" t="str">
            <v>point</v>
          </cell>
          <cell r="H250" t="str">
            <v>Quartermaster Harbor</v>
          </cell>
          <cell r="I250" t="str">
            <v>CPS</v>
          </cell>
          <cell r="J250" t="str">
            <v>King County</v>
          </cell>
          <cell r="K250" t="str">
            <v>King County</v>
          </cell>
          <cell r="L250" t="str">
            <v>King County Department of Natural Resources and Parks Wastewater Treatment Division</v>
          </cell>
          <cell r="N250" t="str">
            <v>93-097520</v>
          </cell>
          <cell r="R250" t="str">
            <v>test</v>
          </cell>
          <cell r="S250" t="str">
            <v>test</v>
          </cell>
          <cell r="T250">
            <v>44329</v>
          </cell>
          <cell r="U250">
            <v>47.385899999999999</v>
          </cell>
          <cell r="V250">
            <v>-122.4379</v>
          </cell>
          <cell r="W250" t="e">
            <v>#N/A</v>
          </cell>
          <cell r="X250" t="e">
            <v>#N/A</v>
          </cell>
          <cell r="Y250" t="str">
            <v>WGS84</v>
          </cell>
          <cell r="Z250">
            <v>-1.5</v>
          </cell>
          <cell r="AA250" t="str">
            <v>rebar</v>
          </cell>
          <cell r="AB250">
            <v>2.5</v>
          </cell>
          <cell r="AC250">
            <v>0.5</v>
          </cell>
          <cell r="AD250">
            <v>1.25</v>
          </cell>
          <cell r="AE250">
            <v>0.75</v>
          </cell>
          <cell r="AF250">
            <v>0.22500000000000001</v>
          </cell>
          <cell r="AG250">
            <v>9</v>
          </cell>
          <cell r="AH250">
            <v>180</v>
          </cell>
          <cell r="AI250">
            <v>144</v>
          </cell>
          <cell r="AJ250">
            <v>240</v>
          </cell>
          <cell r="AK250" t="str">
            <v>DuPont Wharf</v>
          </cell>
          <cell r="AL250" t="str">
            <v>20 shoots per rebar as DuPont Wharf shoots were large (~50 cm canopy height). KC Project (IAA 93-097520) Dockton test transplant site.</v>
          </cell>
        </row>
        <row r="251">
          <cell r="B251" t="str">
            <v>Quartermaster Harbor - PNNL - Test Plot 5a - 2021</v>
          </cell>
          <cell r="C251" t="e">
            <v>#N/A</v>
          </cell>
          <cell r="D251" t="e">
            <v>#N/A</v>
          </cell>
          <cell r="E251">
            <v>2021</v>
          </cell>
          <cell r="G251" t="str">
            <v>point</v>
          </cell>
          <cell r="H251" t="str">
            <v>Quartermaster Harbor</v>
          </cell>
          <cell r="I251" t="str">
            <v>CPS</v>
          </cell>
          <cell r="J251" t="str">
            <v>King County</v>
          </cell>
          <cell r="K251" t="str">
            <v>King County</v>
          </cell>
          <cell r="L251" t="str">
            <v>King County Department of Natural Resources and Parks Wastewater Treatment Division</v>
          </cell>
          <cell r="N251" t="str">
            <v>93-097520</v>
          </cell>
          <cell r="R251" t="str">
            <v>test</v>
          </cell>
          <cell r="S251" t="str">
            <v>test</v>
          </cell>
          <cell r="T251">
            <v>44330</v>
          </cell>
          <cell r="U251">
            <v>47.385899999999999</v>
          </cell>
          <cell r="V251">
            <v>-122.4379</v>
          </cell>
          <cell r="W251" t="e">
            <v>#N/A</v>
          </cell>
          <cell r="X251" t="e">
            <v>#N/A</v>
          </cell>
          <cell r="Y251" t="str">
            <v>WGS84</v>
          </cell>
          <cell r="Z251">
            <v>-1.5</v>
          </cell>
          <cell r="AA251" t="str">
            <v>rebar</v>
          </cell>
          <cell r="AB251">
            <v>2.5</v>
          </cell>
          <cell r="AC251">
            <v>0.5</v>
          </cell>
          <cell r="AD251">
            <v>1.25</v>
          </cell>
          <cell r="AE251">
            <v>0.75</v>
          </cell>
          <cell r="AF251">
            <v>0.22500000000000001</v>
          </cell>
          <cell r="AG251">
            <v>9</v>
          </cell>
          <cell r="AH251">
            <v>180</v>
          </cell>
          <cell r="AI251">
            <v>144</v>
          </cell>
          <cell r="AJ251">
            <v>240</v>
          </cell>
          <cell r="AK251" t="str">
            <v>Dumas Bay</v>
          </cell>
          <cell r="AL251" t="str">
            <v>25 shoots per rebar because Dumas Bay shoots were small (~30 cm canopy height). 3 plots were planted alternate to the DuPont Wharf plots and shallower. KC Project (IAA 93-097520) Dockton test transplant site.</v>
          </cell>
        </row>
        <row r="252">
          <cell r="B252" t="str">
            <v>Quartermaster Harbor - PNNL - Test Plot 4S - 2021</v>
          </cell>
          <cell r="C252" t="e">
            <v>#N/A</v>
          </cell>
          <cell r="D252" t="e">
            <v>#N/A</v>
          </cell>
          <cell r="E252">
            <v>2021</v>
          </cell>
          <cell r="G252" t="str">
            <v>point</v>
          </cell>
          <cell r="H252" t="str">
            <v>Quartermaster Harbor</v>
          </cell>
          <cell r="I252" t="str">
            <v>CPS</v>
          </cell>
          <cell r="J252" t="str">
            <v>King County</v>
          </cell>
          <cell r="K252" t="str">
            <v>King County</v>
          </cell>
          <cell r="L252" t="str">
            <v>King County Department of Natural Resources and Parks Wastewater Treatment Division</v>
          </cell>
          <cell r="N252" t="str">
            <v>93-097520</v>
          </cell>
          <cell r="R252" t="str">
            <v>test</v>
          </cell>
          <cell r="S252" t="str">
            <v>test</v>
          </cell>
          <cell r="T252">
            <v>44342</v>
          </cell>
          <cell r="U252">
            <v>47.390659999999997</v>
          </cell>
          <cell r="V252">
            <v>-122.43606</v>
          </cell>
          <cell r="W252" t="e">
            <v>#N/A</v>
          </cell>
          <cell r="X252" t="e">
            <v>#N/A</v>
          </cell>
          <cell r="Y252" t="str">
            <v>WGS84</v>
          </cell>
          <cell r="Z252">
            <v>-1.5</v>
          </cell>
          <cell r="AA252" t="str">
            <v>rebar</v>
          </cell>
          <cell r="AB252">
            <v>2.5</v>
          </cell>
          <cell r="AC252">
            <v>1</v>
          </cell>
          <cell r="AD252">
            <v>2.5</v>
          </cell>
          <cell r="AE252">
            <v>4.5</v>
          </cell>
          <cell r="AF252">
            <v>0.45</v>
          </cell>
          <cell r="AG252">
            <v>18</v>
          </cell>
          <cell r="AH252">
            <v>360</v>
          </cell>
          <cell r="AI252">
            <v>144</v>
          </cell>
          <cell r="AJ252">
            <v>80</v>
          </cell>
          <cell r="AK252" t="str">
            <v>DuPont Wharf</v>
          </cell>
          <cell r="AL252" t="str">
            <v>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v>
          </cell>
        </row>
        <row r="253">
          <cell r="B253" t="str">
            <v>Quartermaster Harbor - PNNL - Test Plot 4S - 2022</v>
          </cell>
          <cell r="C253" t="e">
            <v>#N/A</v>
          </cell>
          <cell r="D253" t="e">
            <v>#N/A</v>
          </cell>
          <cell r="E253">
            <v>2022</v>
          </cell>
          <cell r="G253" t="str">
            <v>point</v>
          </cell>
          <cell r="H253" t="str">
            <v>Quartermaster Harbor</v>
          </cell>
          <cell r="I253" t="str">
            <v>CPS</v>
          </cell>
          <cell r="J253" t="str">
            <v>King County</v>
          </cell>
          <cell r="K253" t="str">
            <v>King County</v>
          </cell>
          <cell r="L253" t="str">
            <v>King County Department of Natural Resources and Parks Wastewater Treatment Division</v>
          </cell>
          <cell r="N253" t="str">
            <v>93-097520</v>
          </cell>
          <cell r="R253" t="str">
            <v>test</v>
          </cell>
          <cell r="S253" t="str">
            <v>test</v>
          </cell>
          <cell r="T253">
            <v>44700</v>
          </cell>
          <cell r="U253">
            <v>47.390659999999997</v>
          </cell>
          <cell r="V253">
            <v>-122.43606</v>
          </cell>
          <cell r="W253" t="e">
            <v>#N/A</v>
          </cell>
          <cell r="X253" t="e">
            <v>#N/A</v>
          </cell>
          <cell r="Y253" t="str">
            <v>WGS84</v>
          </cell>
          <cell r="Z253">
            <v>-1.5</v>
          </cell>
          <cell r="AA253" t="str">
            <v>TERFS</v>
          </cell>
          <cell r="AB253">
            <v>1.5</v>
          </cell>
          <cell r="AC253">
            <v>0.5</v>
          </cell>
          <cell r="AD253">
            <v>0.75</v>
          </cell>
          <cell r="AE253">
            <v>0.75</v>
          </cell>
          <cell r="AF253">
            <v>0.75</v>
          </cell>
          <cell r="AG253">
            <v>3</v>
          </cell>
          <cell r="AH253">
            <v>75</v>
          </cell>
          <cell r="AI253">
            <v>100</v>
          </cell>
          <cell r="AJ253">
            <v>100</v>
          </cell>
          <cell r="AK253" t="str">
            <v>DuPont Wharf</v>
          </cell>
          <cell r="AL253" t="str">
            <v>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v>
          </cell>
        </row>
        <row r="254">
          <cell r="B254" t="str">
            <v>Quilcene Bay - PNNL - test - 2014</v>
          </cell>
          <cell r="C254" t="str">
            <v>QLC01</v>
          </cell>
          <cell r="D254" t="str">
            <v>single</v>
          </cell>
          <cell r="E254">
            <v>2014</v>
          </cell>
          <cell r="F254" t="str">
            <v>Thom, RM, and L Hallum. 1990. Long‐term changes in the areal extent of tidal marshes, eelgrass meadows, and kelp forests of Puget Sound. FRI‐UW‐9008, Fisheries Research Institute, School of Fisheries, University of Washington, Seattle. Pp. 110.</v>
          </cell>
          <cell r="G254" t="str">
            <v>point</v>
          </cell>
          <cell r="H254" t="str">
            <v>Quilcene Bay</v>
          </cell>
          <cell r="I254" t="str">
            <v>HDC</v>
          </cell>
          <cell r="J254" t="str">
            <v>Eelgrass Restoration in PS</v>
          </cell>
          <cell r="K254" t="str">
            <v>DNR</v>
          </cell>
          <cell r="L254" t="str">
            <v>Aquatic Restoration Program</v>
          </cell>
          <cell r="O254" t="str">
            <v>PNNL</v>
          </cell>
          <cell r="P254" t="str">
            <v>IAA 12-317.1</v>
          </cell>
          <cell r="Q254" t="str">
            <v>Aston, L.A., A.B. Borde and J. Vavrinec. 2015. Final Summary Report - Eelgrass Restoration in Puget Sound Project Summary. Pacific Northwest National Laboratory, Richland, WA. PNNL-24445.</v>
          </cell>
          <cell r="R254" t="str">
            <v>test</v>
          </cell>
          <cell r="S254" t="str">
            <v>test</v>
          </cell>
          <cell r="T254">
            <v>41967</v>
          </cell>
          <cell r="U254">
            <v>47.797766666666668</v>
          </cell>
          <cell r="V254">
            <v>-122.84966666666666</v>
          </cell>
          <cell r="W254" t="str">
            <v>point</v>
          </cell>
          <cell r="X254" t="str">
            <v>retain</v>
          </cell>
          <cell r="Y254" t="str">
            <v>WGS84</v>
          </cell>
          <cell r="Z254">
            <v>-0.4</v>
          </cell>
          <cell r="AA254" t="str">
            <v>staple</v>
          </cell>
          <cell r="AB254">
            <v>5</v>
          </cell>
          <cell r="AC254">
            <v>5</v>
          </cell>
          <cell r="AD254">
            <v>25</v>
          </cell>
          <cell r="AE254">
            <v>25</v>
          </cell>
          <cell r="AF254">
            <v>0.625</v>
          </cell>
          <cell r="AG254">
            <v>125</v>
          </cell>
          <cell r="AH254">
            <v>500</v>
          </cell>
          <cell r="AI254">
            <v>20</v>
          </cell>
          <cell r="AJ254">
            <v>20</v>
          </cell>
          <cell r="AK254" t="str">
            <v>Quilcene Bay</v>
          </cell>
        </row>
        <row r="255">
          <cell r="B255" t="str">
            <v>Quilcene Delta - PNNL - Northern line test plot 1 (inshore) - 2016</v>
          </cell>
          <cell r="C255" t="str">
            <v>QLC_north1</v>
          </cell>
          <cell r="D255" t="str">
            <v>single</v>
          </cell>
          <cell r="E255">
            <v>2016</v>
          </cell>
          <cell r="F255" t="str">
            <v>Thom, RM, and L Hallum. 1990. Long‐term changes in the areal extent of tidal marshes, eelgrass meadows, and kelp forests of Puget Sound. FRI‐UW‐9008, Fisheries Research Institute, School of Fisheries, University of Washington, Seattle. Pp. 110.</v>
          </cell>
          <cell r="G255" t="str">
            <v>point</v>
          </cell>
          <cell r="H255" t="str">
            <v>Quilcene Bay</v>
          </cell>
          <cell r="I255" t="str">
            <v>HDC</v>
          </cell>
          <cell r="J255" t="str">
            <v>Puget Sound Eelgrass Restoration: 3 deltas</v>
          </cell>
          <cell r="K255" t="str">
            <v>USACE</v>
          </cell>
          <cell r="L255" t="str">
            <v>USACE</v>
          </cell>
          <cell r="M255" t="str">
            <v>W912DW-14-2-0009 (93-099566)</v>
          </cell>
          <cell r="N255" t="str">
            <v>IAA 15-45</v>
          </cell>
          <cell r="O255" t="str">
            <v>PNNL</v>
          </cell>
          <cell r="P255" t="str">
            <v>93-099661</v>
          </cell>
          <cell r="R255" t="str">
            <v>test</v>
          </cell>
          <cell r="S255" t="str">
            <v>test</v>
          </cell>
          <cell r="T255">
            <v>42551</v>
          </cell>
          <cell r="U255">
            <v>47.799083333333336</v>
          </cell>
          <cell r="V255">
            <v>-122.84871666666666</v>
          </cell>
          <cell r="W255" t="str">
            <v>point?</v>
          </cell>
          <cell r="X255" t="str">
            <v>retain</v>
          </cell>
          <cell r="Y255" t="str">
            <v>WGS84</v>
          </cell>
          <cell r="Z255">
            <v>-1.6459200000000003</v>
          </cell>
          <cell r="AA255" t="str">
            <v>staple</v>
          </cell>
          <cell r="AB255">
            <v>2</v>
          </cell>
          <cell r="AC255">
            <v>2</v>
          </cell>
          <cell r="AD255">
            <v>4</v>
          </cell>
          <cell r="AE255">
            <v>4</v>
          </cell>
          <cell r="AF255">
            <v>0.3</v>
          </cell>
          <cell r="AG255">
            <v>60</v>
          </cell>
          <cell r="AH255">
            <v>240</v>
          </cell>
          <cell r="AI255">
            <v>60</v>
          </cell>
          <cell r="AJ255">
            <v>60</v>
          </cell>
          <cell r="AK255" t="str">
            <v>Quilcene Bay</v>
          </cell>
        </row>
        <row r="256">
          <cell r="B256" t="str">
            <v>Quilcene Delta - PNNL - Northern line test plot 2 - 2016</v>
          </cell>
          <cell r="C256" t="str">
            <v>QLC_north2</v>
          </cell>
          <cell r="D256" t="str">
            <v>single</v>
          </cell>
          <cell r="E256">
            <v>2016</v>
          </cell>
          <cell r="F256" t="str">
            <v>Thom, RM, and L Hallum. 1990. Long‐term changes in the areal extent of tidal marshes, eelgrass meadows, and kelp forests of Puget Sound. FRI‐UW‐9008, Fisheries Research Institute, School of Fisheries, University of Washington, Seattle. Pp. 110.</v>
          </cell>
          <cell r="G256" t="str">
            <v>point</v>
          </cell>
          <cell r="H256" t="str">
            <v>Quilcene Bay</v>
          </cell>
          <cell r="I256" t="str">
            <v>HDC</v>
          </cell>
          <cell r="J256" t="str">
            <v>Puget Sound Eelgrass Restoration: 3 deltas</v>
          </cell>
          <cell r="K256" t="str">
            <v>USACE</v>
          </cell>
          <cell r="L256" t="str">
            <v>USACE</v>
          </cell>
          <cell r="M256" t="str">
            <v>W912DW-14-2-0009 (93-099566)</v>
          </cell>
          <cell r="N256" t="str">
            <v>IAA 15-45</v>
          </cell>
          <cell r="O256" t="str">
            <v>PNNL</v>
          </cell>
          <cell r="P256" t="str">
            <v>93-099661</v>
          </cell>
          <cell r="R256" t="str">
            <v>test</v>
          </cell>
          <cell r="S256" t="str">
            <v>test</v>
          </cell>
          <cell r="T256">
            <v>42551</v>
          </cell>
          <cell r="U256">
            <v>47.799149999999997</v>
          </cell>
          <cell r="V256">
            <v>-122.84875</v>
          </cell>
          <cell r="W256" t="str">
            <v>point?</v>
          </cell>
          <cell r="X256" t="str">
            <v>retain</v>
          </cell>
          <cell r="Y256" t="str">
            <v>WGS84</v>
          </cell>
          <cell r="Z256">
            <v>-1.7068799999999997</v>
          </cell>
          <cell r="AA256" t="str">
            <v>staple</v>
          </cell>
          <cell r="AB256">
            <v>2</v>
          </cell>
          <cell r="AC256">
            <v>2</v>
          </cell>
          <cell r="AD256">
            <v>4</v>
          </cell>
          <cell r="AE256">
            <v>4</v>
          </cell>
          <cell r="AF256">
            <v>0.3</v>
          </cell>
          <cell r="AG256">
            <v>60</v>
          </cell>
          <cell r="AH256">
            <v>240</v>
          </cell>
          <cell r="AI256">
            <v>60</v>
          </cell>
          <cell r="AJ256">
            <v>60</v>
          </cell>
          <cell r="AK256" t="str">
            <v>Quilcene Bay</v>
          </cell>
        </row>
        <row r="257">
          <cell r="B257" t="str">
            <v>Quilcene Delta - PNNL - Northern line test plot 3 (offshore) - 2016</v>
          </cell>
          <cell r="C257" t="str">
            <v>QLC_north3</v>
          </cell>
          <cell r="D257" t="str">
            <v>single</v>
          </cell>
          <cell r="E257">
            <v>2016</v>
          </cell>
          <cell r="F257" t="str">
            <v>Thom, RM, and L Hallum. 1990. Long‐term changes in the areal extent of tidal marshes, eelgrass meadows, and kelp forests of Puget Sound. FRI‐UW‐9008, Fisheries Research Institute, School of Fisheries, University of Washington, Seattle. Pp. 110.</v>
          </cell>
          <cell r="G257" t="str">
            <v>point</v>
          </cell>
          <cell r="H257" t="str">
            <v>Quilcene Bay</v>
          </cell>
          <cell r="I257" t="str">
            <v>HDC</v>
          </cell>
          <cell r="J257" t="str">
            <v>Puget Sound Eelgrass Restoration: 3 deltas</v>
          </cell>
          <cell r="K257" t="str">
            <v>USACE</v>
          </cell>
          <cell r="L257" t="str">
            <v>USACE</v>
          </cell>
          <cell r="M257" t="str">
            <v>W912DW-14-2-0009 (93-099566)</v>
          </cell>
          <cell r="N257" t="str">
            <v>IAA 15-45</v>
          </cell>
          <cell r="O257" t="str">
            <v>PNNL</v>
          </cell>
          <cell r="P257" t="str">
            <v>93-099661</v>
          </cell>
          <cell r="R257" t="str">
            <v>test</v>
          </cell>
          <cell r="S257" t="str">
            <v>test</v>
          </cell>
          <cell r="T257">
            <v>42551</v>
          </cell>
          <cell r="U257">
            <v>47.799166666666665</v>
          </cell>
          <cell r="V257">
            <v>-122.8488</v>
          </cell>
          <cell r="W257" t="str">
            <v>point?</v>
          </cell>
          <cell r="X257" t="str">
            <v>retain</v>
          </cell>
          <cell r="Y257" t="str">
            <v>WGS84</v>
          </cell>
          <cell r="AA257" t="str">
            <v>staple</v>
          </cell>
          <cell r="AB257">
            <v>2</v>
          </cell>
          <cell r="AC257">
            <v>2</v>
          </cell>
          <cell r="AD257">
            <v>4</v>
          </cell>
          <cell r="AE257">
            <v>4</v>
          </cell>
          <cell r="AF257">
            <v>0.3</v>
          </cell>
          <cell r="AG257">
            <v>60</v>
          </cell>
          <cell r="AH257">
            <v>240</v>
          </cell>
          <cell r="AI257">
            <v>60</v>
          </cell>
          <cell r="AJ257">
            <v>60</v>
          </cell>
          <cell r="AK257" t="str">
            <v>Quilcene Bay</v>
          </cell>
        </row>
        <row r="258">
          <cell r="B258" t="str">
            <v>Quilcene Delta - PNNL - Middle line test plot 1 (inshore) - 2016</v>
          </cell>
          <cell r="C258" t="str">
            <v>QLC_mid1</v>
          </cell>
          <cell r="D258" t="str">
            <v>single</v>
          </cell>
          <cell r="E258">
            <v>2016</v>
          </cell>
          <cell r="F258" t="str">
            <v>Thom, RM, and L Hallum. 1990. Long‐term changes in the areal extent of tidal marshes, eelgrass meadows, and kelp forests of Puget Sound. FRI‐UW‐9008, Fisheries Research Institute, School of Fisheries, University of Washington, Seattle. Pp. 110.</v>
          </cell>
          <cell r="G258" t="str">
            <v>point</v>
          </cell>
          <cell r="H258" t="str">
            <v>Quilcene Bay</v>
          </cell>
          <cell r="I258" t="str">
            <v>HDC</v>
          </cell>
          <cell r="J258" t="str">
            <v>Puget Sound Eelgrass Restoration: 3 deltas</v>
          </cell>
          <cell r="K258" t="str">
            <v>USACE</v>
          </cell>
          <cell r="L258" t="str">
            <v>USACE</v>
          </cell>
          <cell r="M258" t="str">
            <v>W912DW-14-2-0009 (93-099566)</v>
          </cell>
          <cell r="N258" t="str">
            <v>IAA 15-45</v>
          </cell>
          <cell r="O258" t="str">
            <v>PNNL</v>
          </cell>
          <cell r="P258" t="str">
            <v>93-099661</v>
          </cell>
          <cell r="R258" t="str">
            <v>test</v>
          </cell>
          <cell r="S258" t="str">
            <v>test</v>
          </cell>
          <cell r="T258">
            <v>42551</v>
          </cell>
          <cell r="U258">
            <v>47.798033333333336</v>
          </cell>
          <cell r="V258">
            <v>-122.84951666666667</v>
          </cell>
          <cell r="W258" t="str">
            <v>point?</v>
          </cell>
          <cell r="X258" t="str">
            <v>retain</v>
          </cell>
          <cell r="Y258" t="str">
            <v>WGS84</v>
          </cell>
          <cell r="Z258">
            <v>-1.4325600000000001</v>
          </cell>
          <cell r="AA258" t="str">
            <v>staple</v>
          </cell>
          <cell r="AB258">
            <v>2</v>
          </cell>
          <cell r="AC258">
            <v>2</v>
          </cell>
          <cell r="AD258">
            <v>4</v>
          </cell>
          <cell r="AE258">
            <v>4</v>
          </cell>
          <cell r="AF258">
            <v>0.3</v>
          </cell>
          <cell r="AG258">
            <v>60</v>
          </cell>
          <cell r="AH258">
            <v>240</v>
          </cell>
          <cell r="AI258">
            <v>60</v>
          </cell>
          <cell r="AJ258">
            <v>60</v>
          </cell>
          <cell r="AK258" t="str">
            <v>Quilcene Bay</v>
          </cell>
        </row>
        <row r="259">
          <cell r="B259" t="str">
            <v>Quilcene Delta - PNNL - Middle line test plot 2 - 2016</v>
          </cell>
          <cell r="C259" t="str">
            <v>QLC_mid2</v>
          </cell>
          <cell r="D259" t="str">
            <v>single</v>
          </cell>
          <cell r="E259">
            <v>2016</v>
          </cell>
          <cell r="F259" t="str">
            <v>Thom, RM, and L Hallum. 1990. Long‐term changes in the areal extent of tidal marshes, eelgrass meadows, and kelp forests of Puget Sound. FRI‐UW‐9008, Fisheries Research Institute, School of Fisheries, University of Washington, Seattle. Pp. 110.</v>
          </cell>
          <cell r="G259" t="str">
            <v>point</v>
          </cell>
          <cell r="H259" t="str">
            <v>Quilcene Bay</v>
          </cell>
          <cell r="I259" t="str">
            <v>HDC</v>
          </cell>
          <cell r="J259" t="str">
            <v>Puget Sound Eelgrass Restoration: 3 deltas</v>
          </cell>
          <cell r="K259" t="str">
            <v>USACE</v>
          </cell>
          <cell r="L259" t="str">
            <v>USACE</v>
          </cell>
          <cell r="M259" t="str">
            <v>W912DW-14-2-0009 (93-099566)</v>
          </cell>
          <cell r="N259" t="str">
            <v>IAA 15-45</v>
          </cell>
          <cell r="O259" t="str">
            <v>PNNL</v>
          </cell>
          <cell r="P259" t="str">
            <v>93-099661</v>
          </cell>
          <cell r="R259" t="str">
            <v>test</v>
          </cell>
          <cell r="S259" t="str">
            <v>test</v>
          </cell>
          <cell r="T259">
            <v>42551</v>
          </cell>
          <cell r="U259">
            <v>47.798083333333331</v>
          </cell>
          <cell r="V259">
            <v>-122.84958333333333</v>
          </cell>
          <cell r="W259" t="str">
            <v>point?</v>
          </cell>
          <cell r="X259" t="str">
            <v>retain</v>
          </cell>
          <cell r="Y259" t="str">
            <v>WGS84</v>
          </cell>
          <cell r="Z259">
            <v>-1.7983199999999999</v>
          </cell>
          <cell r="AA259" t="str">
            <v>staple</v>
          </cell>
          <cell r="AB259">
            <v>2</v>
          </cell>
          <cell r="AC259">
            <v>2</v>
          </cell>
          <cell r="AD259">
            <v>4</v>
          </cell>
          <cell r="AE259">
            <v>4</v>
          </cell>
          <cell r="AF259">
            <v>0.3</v>
          </cell>
          <cell r="AG259">
            <v>60</v>
          </cell>
          <cell r="AH259">
            <v>240</v>
          </cell>
          <cell r="AI259">
            <v>60</v>
          </cell>
          <cell r="AJ259">
            <v>60</v>
          </cell>
          <cell r="AK259" t="str">
            <v>Quilcene Bay</v>
          </cell>
        </row>
        <row r="260">
          <cell r="B260" t="str">
            <v>Quilcene Delta - PNNL - Middle line test plot 3 (offshore) - 2016</v>
          </cell>
          <cell r="C260" t="str">
            <v>QLC_mid3</v>
          </cell>
          <cell r="D260" t="str">
            <v>single</v>
          </cell>
          <cell r="E260">
            <v>2016</v>
          </cell>
          <cell r="F260" t="str">
            <v>Thom, RM, and L Hallum. 1990. Long‐term changes in the areal extent of tidal marshes, eelgrass meadows, and kelp forests of Puget Sound. FRI‐UW‐9008, Fisheries Research Institute, School of Fisheries, University of Washington, Seattle. Pp. 110.</v>
          </cell>
          <cell r="G260" t="str">
            <v>point</v>
          </cell>
          <cell r="H260" t="str">
            <v>Quilcene Bay</v>
          </cell>
          <cell r="I260" t="str">
            <v>HDC</v>
          </cell>
          <cell r="J260" t="str">
            <v>Puget Sound Eelgrass Restoration: 3 deltas</v>
          </cell>
          <cell r="K260" t="str">
            <v>USACE</v>
          </cell>
          <cell r="L260" t="str">
            <v>USACE</v>
          </cell>
          <cell r="M260" t="str">
            <v>W912DW-14-2-0009 (93-099566)</v>
          </cell>
          <cell r="N260" t="str">
            <v>IAA 15-45</v>
          </cell>
          <cell r="O260" t="str">
            <v>PNNL</v>
          </cell>
          <cell r="P260" t="str">
            <v>93-099661</v>
          </cell>
          <cell r="R260" t="str">
            <v>test</v>
          </cell>
          <cell r="S260" t="str">
            <v>test</v>
          </cell>
          <cell r="T260">
            <v>42551</v>
          </cell>
          <cell r="U260">
            <v>47.798116666666665</v>
          </cell>
          <cell r="V260">
            <v>-122.8496</v>
          </cell>
          <cell r="W260" t="str">
            <v>point?</v>
          </cell>
          <cell r="X260" t="str">
            <v>retain</v>
          </cell>
          <cell r="Y260" t="str">
            <v>WGS84</v>
          </cell>
          <cell r="Z260">
            <v>-2.1335999999999999</v>
          </cell>
          <cell r="AA260" t="str">
            <v>staple</v>
          </cell>
          <cell r="AB260">
            <v>2</v>
          </cell>
          <cell r="AC260">
            <v>2</v>
          </cell>
          <cell r="AD260">
            <v>4</v>
          </cell>
          <cell r="AE260">
            <v>4</v>
          </cell>
          <cell r="AF260">
            <v>0.3</v>
          </cell>
          <cell r="AG260">
            <v>60</v>
          </cell>
          <cell r="AH260">
            <v>240</v>
          </cell>
          <cell r="AI260">
            <v>60</v>
          </cell>
          <cell r="AJ260">
            <v>60</v>
          </cell>
          <cell r="AK260" t="str">
            <v>Quilcene Bay</v>
          </cell>
        </row>
        <row r="261">
          <cell r="B261" t="str">
            <v>Quilcene Delta - PNNL - Southern line test plot 1 (inshore) - 2016</v>
          </cell>
          <cell r="C261" t="str">
            <v>QLC_south1</v>
          </cell>
          <cell r="D261" t="str">
            <v>single</v>
          </cell>
          <cell r="E261">
            <v>2016</v>
          </cell>
          <cell r="F261" t="str">
            <v>Thom, RM, and L Hallum. 1990. Long‐term changes in the areal extent of tidal marshes, eelgrass meadows, and kelp forests of Puget Sound. FRI‐UW‐9008, Fisheries Research Institute, School of Fisheries, University of Washington, Seattle. Pp. 110.</v>
          </cell>
          <cell r="G261" t="str">
            <v>point</v>
          </cell>
          <cell r="H261" t="str">
            <v>Quilcene Bay</v>
          </cell>
          <cell r="I261" t="str">
            <v>HDC</v>
          </cell>
          <cell r="J261" t="str">
            <v>Puget Sound Eelgrass Restoration: 3 deltas</v>
          </cell>
          <cell r="K261" t="str">
            <v>USACE</v>
          </cell>
          <cell r="L261" t="str">
            <v>USACE</v>
          </cell>
          <cell r="M261" t="str">
            <v>W912DW-14-2-0009 (93-099566)</v>
          </cell>
          <cell r="N261" t="str">
            <v>IAA 15-45</v>
          </cell>
          <cell r="O261" t="str">
            <v>PNNL</v>
          </cell>
          <cell r="P261" t="str">
            <v>93-099661</v>
          </cell>
          <cell r="R261" t="str">
            <v>test</v>
          </cell>
          <cell r="S261" t="str">
            <v>test</v>
          </cell>
          <cell r="T261">
            <v>42551</v>
          </cell>
          <cell r="U261">
            <v>47.79665</v>
          </cell>
          <cell r="V261">
            <v>-122.8501333</v>
          </cell>
          <cell r="W261" t="str">
            <v>point?</v>
          </cell>
          <cell r="X261" t="str">
            <v>retain</v>
          </cell>
          <cell r="Y261" t="str">
            <v>WGS84</v>
          </cell>
          <cell r="Z261">
            <v>-1.1582399999999999</v>
          </cell>
          <cell r="AA261" t="str">
            <v>staple</v>
          </cell>
          <cell r="AB261">
            <v>2</v>
          </cell>
          <cell r="AC261">
            <v>2</v>
          </cell>
          <cell r="AD261">
            <v>4</v>
          </cell>
          <cell r="AE261">
            <v>4</v>
          </cell>
          <cell r="AF261">
            <v>0.3</v>
          </cell>
          <cell r="AG261">
            <v>60</v>
          </cell>
          <cell r="AH261">
            <v>240</v>
          </cell>
          <cell r="AI261">
            <v>60</v>
          </cell>
          <cell r="AJ261">
            <v>60</v>
          </cell>
          <cell r="AK261" t="str">
            <v>Quilcene Bay</v>
          </cell>
        </row>
        <row r="262">
          <cell r="B262" t="str">
            <v>Quilcene Delta - PNNL - Southern line test plot 2 - 2016</v>
          </cell>
          <cell r="C262" t="str">
            <v>QLC_south2</v>
          </cell>
          <cell r="D262" t="str">
            <v>single</v>
          </cell>
          <cell r="E262">
            <v>2016</v>
          </cell>
          <cell r="F262" t="str">
            <v>Thom, RM, and L Hallum. 1990. Long‐term changes in the areal extent of tidal marshes, eelgrass meadows, and kelp forests of Puget Sound. FRI‐UW‐9008, Fisheries Research Institute, School of Fisheries, University of Washington, Seattle. Pp. 110.</v>
          </cell>
          <cell r="G262" t="str">
            <v>point</v>
          </cell>
          <cell r="H262" t="str">
            <v>Quilcene Bay</v>
          </cell>
          <cell r="I262" t="str">
            <v>HDC</v>
          </cell>
          <cell r="J262" t="str">
            <v>Puget Sound Eelgrass Restoration: 3 deltas</v>
          </cell>
          <cell r="K262" t="str">
            <v>USACE</v>
          </cell>
          <cell r="L262" t="str">
            <v>USACE</v>
          </cell>
          <cell r="M262" t="str">
            <v>W912DW-14-2-0009 (93-099566)</v>
          </cell>
          <cell r="N262" t="str">
            <v>IAA 15-45</v>
          </cell>
          <cell r="O262" t="str">
            <v>PNNL</v>
          </cell>
          <cell r="P262" t="str">
            <v>93-099661</v>
          </cell>
          <cell r="R262" t="str">
            <v>test</v>
          </cell>
          <cell r="S262" t="str">
            <v>test</v>
          </cell>
          <cell r="T262">
            <v>42551</v>
          </cell>
          <cell r="U262">
            <v>47.79668333</v>
          </cell>
          <cell r="V262">
            <v>-122.8502</v>
          </cell>
          <cell r="W262" t="str">
            <v>point?</v>
          </cell>
          <cell r="X262" t="str">
            <v>retain</v>
          </cell>
          <cell r="Y262" t="str">
            <v>WGS84</v>
          </cell>
          <cell r="Z262">
            <v>-1.4630399999999999</v>
          </cell>
          <cell r="AA262" t="str">
            <v>staple</v>
          </cell>
          <cell r="AB262">
            <v>2</v>
          </cell>
          <cell r="AC262">
            <v>2</v>
          </cell>
          <cell r="AD262">
            <v>4</v>
          </cell>
          <cell r="AE262">
            <v>4</v>
          </cell>
          <cell r="AF262">
            <v>0.3</v>
          </cell>
          <cell r="AG262">
            <v>60</v>
          </cell>
          <cell r="AH262">
            <v>240</v>
          </cell>
          <cell r="AI262">
            <v>60</v>
          </cell>
          <cell r="AJ262">
            <v>60</v>
          </cell>
          <cell r="AK262" t="str">
            <v>Quilcene Bay</v>
          </cell>
        </row>
        <row r="263">
          <cell r="B263" t="str">
            <v>Quilcene Delta - PNNL - Southern line test plot 3 (offshore) - 2016</v>
          </cell>
          <cell r="C263" t="str">
            <v>QLC_south3</v>
          </cell>
          <cell r="D263" t="str">
            <v>single</v>
          </cell>
          <cell r="E263">
            <v>2016</v>
          </cell>
          <cell r="F263" t="str">
            <v>Thom, RM, and L Hallum. 1990. Long‐term changes in the areal extent of tidal marshes, eelgrass meadows, and kelp forests of Puget Sound. FRI‐UW‐9008, Fisheries Research Institute, School of Fisheries, University of Washington, Seattle. Pp. 110.</v>
          </cell>
          <cell r="G263" t="str">
            <v>point</v>
          </cell>
          <cell r="H263" t="str">
            <v>Quilcene Bay</v>
          </cell>
          <cell r="I263" t="str">
            <v>HDC</v>
          </cell>
          <cell r="J263" t="str">
            <v>Puget Sound Eelgrass Restoration: 3 deltas</v>
          </cell>
          <cell r="K263" t="str">
            <v>USACE</v>
          </cell>
          <cell r="L263" t="str">
            <v>USACE</v>
          </cell>
          <cell r="M263" t="str">
            <v>W912DW-14-2-0009 (93-099566)</v>
          </cell>
          <cell r="N263" t="str">
            <v>IAA 15-45</v>
          </cell>
          <cell r="O263" t="str">
            <v>PNNL</v>
          </cell>
          <cell r="P263" t="str">
            <v>93-099661</v>
          </cell>
          <cell r="R263" t="str">
            <v>test</v>
          </cell>
          <cell r="S263" t="str">
            <v>test</v>
          </cell>
          <cell r="T263">
            <v>42551</v>
          </cell>
          <cell r="U263">
            <v>47.79668333</v>
          </cell>
          <cell r="V263">
            <v>-122.8502333</v>
          </cell>
          <cell r="W263" t="str">
            <v>point?</v>
          </cell>
          <cell r="X263" t="str">
            <v>retain</v>
          </cell>
          <cell r="Y263" t="str">
            <v>WGS84</v>
          </cell>
          <cell r="Z263">
            <v>-2.0726399999999998</v>
          </cell>
          <cell r="AA263" t="str">
            <v>staple</v>
          </cell>
          <cell r="AB263">
            <v>2</v>
          </cell>
          <cell r="AC263">
            <v>2</v>
          </cell>
          <cell r="AD263">
            <v>4</v>
          </cell>
          <cell r="AE263">
            <v>4</v>
          </cell>
          <cell r="AF263">
            <v>0.3</v>
          </cell>
          <cell r="AG263">
            <v>60</v>
          </cell>
          <cell r="AH263">
            <v>240</v>
          </cell>
          <cell r="AI263">
            <v>60</v>
          </cell>
          <cell r="AJ263">
            <v>60</v>
          </cell>
          <cell r="AK263" t="str">
            <v>Quilcene Bay</v>
          </cell>
        </row>
        <row r="264">
          <cell r="B264" t="str">
            <v>Shine Beach - Squamish Harbor - DNR - test 1 - 2023</v>
          </cell>
          <cell r="C264" t="str">
            <v>SHB_1</v>
          </cell>
          <cell r="D264" t="str">
            <v>single</v>
          </cell>
          <cell r="E264">
            <v>2023</v>
          </cell>
          <cell r="G264" t="str">
            <v>point</v>
          </cell>
          <cell r="H264" t="str">
            <v>Squamish Harbor</v>
          </cell>
          <cell r="I264" t="str">
            <v>HDC</v>
          </cell>
          <cell r="R264" t="str">
            <v>test</v>
          </cell>
          <cell r="S264" t="str">
            <v>test</v>
          </cell>
          <cell r="T264">
            <v>45081</v>
          </cell>
          <cell r="U264">
            <v>47.866653999999997</v>
          </cell>
          <cell r="V264">
            <v>-122.67272</v>
          </cell>
          <cell r="W264" t="str">
            <v>point</v>
          </cell>
          <cell r="X264" t="str">
            <v>retain</v>
          </cell>
          <cell r="Y264" t="str">
            <v>WGS84</v>
          </cell>
          <cell r="Z264">
            <v>-0.5</v>
          </cell>
          <cell r="AA264" t="str">
            <v>rebar</v>
          </cell>
          <cell r="AD264">
            <v>0</v>
          </cell>
          <cell r="AE264">
            <v>2.25</v>
          </cell>
          <cell r="AF264">
            <v>0.22500000000000001</v>
          </cell>
          <cell r="AG264">
            <v>9</v>
          </cell>
          <cell r="AI264" t="str">
            <v/>
          </cell>
          <cell r="AJ264">
            <v>0</v>
          </cell>
          <cell r="AK264" t="str">
            <v>Shine Beach</v>
          </cell>
        </row>
        <row r="265">
          <cell r="B265" t="str">
            <v>Skagit Delta - PNNL - test - 1 - 2016</v>
          </cell>
          <cell r="C265" t="str">
            <v>SKG_1</v>
          </cell>
          <cell r="D265" t="str">
            <v>single</v>
          </cell>
          <cell r="E265">
            <v>2016</v>
          </cell>
          <cell r="F265" t="str">
            <v>Thom, RM, and L Hallum. 1990. Long‐term changes in the areal extent of tidal marshes, eelgrass meadows, and kelp forests of Puget Sound. FRI‐UW‐9008, Fisheries Research Institute, School of Fisheries, University of Washington, Seattle. Pp. 110.
SVMP Program</v>
          </cell>
          <cell r="G265" t="str">
            <v>point</v>
          </cell>
          <cell r="H265" t="str">
            <v xml:space="preserve">Skagit Bay </v>
          </cell>
          <cell r="I265" t="str">
            <v>SWH</v>
          </cell>
          <cell r="J265" t="str">
            <v>Puget Sound Eelgrass Restoration: 3 deltas</v>
          </cell>
          <cell r="K265" t="str">
            <v>USACE</v>
          </cell>
          <cell r="L265" t="str">
            <v>USACE</v>
          </cell>
          <cell r="M265" t="str">
            <v>W912DW-14-2-0009 (93-099566)</v>
          </cell>
          <cell r="N265" t="str">
            <v>IAA 15-45</v>
          </cell>
          <cell r="O265" t="str">
            <v>PNNL</v>
          </cell>
          <cell r="P265" t="str">
            <v>93-099661</v>
          </cell>
          <cell r="R265" t="str">
            <v>test</v>
          </cell>
          <cell r="S265" t="str">
            <v>test</v>
          </cell>
          <cell r="T265">
            <v>42621</v>
          </cell>
          <cell r="U265">
            <v>48.347106666666669</v>
          </cell>
          <cell r="V265">
            <v>-122.54136666666666</v>
          </cell>
          <cell r="W265" t="str">
            <v>point</v>
          </cell>
          <cell r="X265" t="str">
            <v>retain</v>
          </cell>
          <cell r="Y265" t="str">
            <v>WGS84</v>
          </cell>
          <cell r="Z265">
            <v>-0.70104000000000022</v>
          </cell>
          <cell r="AA265" t="str">
            <v>rebar</v>
          </cell>
          <cell r="AB265">
            <v>2</v>
          </cell>
          <cell r="AC265">
            <v>2</v>
          </cell>
          <cell r="AD265">
            <v>4</v>
          </cell>
          <cell r="AE265">
            <v>5</v>
          </cell>
          <cell r="AF265">
            <v>0.5</v>
          </cell>
          <cell r="AG265">
            <v>20</v>
          </cell>
          <cell r="AH265">
            <v>500</v>
          </cell>
          <cell r="AI265">
            <v>125</v>
          </cell>
          <cell r="AJ265">
            <v>100</v>
          </cell>
          <cell r="AK265" t="str">
            <v>Skagit Bay</v>
          </cell>
          <cell r="AL265" t="str">
            <v>screw anchors 3 meters apart</v>
          </cell>
        </row>
        <row r="266">
          <cell r="B266" t="str">
            <v>Skagit Delta - PNNL - test - 2 - 2016</v>
          </cell>
          <cell r="C266" t="str">
            <v>SKG_2</v>
          </cell>
          <cell r="D266" t="str">
            <v>single</v>
          </cell>
          <cell r="E266">
            <v>2016</v>
          </cell>
          <cell r="F266" t="str">
            <v>Thom, RM, and L Hallum. 1990. Long‐term changes in the areal extent of tidal marshes, eelgrass meadows, and kelp forests of Puget Sound. FRI‐UW‐9008, Fisheries Research Institute, School of Fisheries, University of Washington, Seattle. Pp. 110.
SVMP Program</v>
          </cell>
          <cell r="G266" t="str">
            <v>point</v>
          </cell>
          <cell r="H266" t="str">
            <v xml:space="preserve">Skagit Bay </v>
          </cell>
          <cell r="I266" t="str">
            <v>SWH</v>
          </cell>
          <cell r="J266" t="str">
            <v>Puget Sound Eelgrass Restoration: 3 deltas</v>
          </cell>
          <cell r="K266" t="str">
            <v>USACE</v>
          </cell>
          <cell r="L266" t="str">
            <v>USACE</v>
          </cell>
          <cell r="M266" t="str">
            <v>W912DW-14-2-0009 (93-099566)</v>
          </cell>
          <cell r="N266" t="str">
            <v>IAA 15-45</v>
          </cell>
          <cell r="O266" t="str">
            <v>PNNL</v>
          </cell>
          <cell r="P266" t="str">
            <v>93-099661</v>
          </cell>
          <cell r="R266" t="str">
            <v>test</v>
          </cell>
          <cell r="S266" t="str">
            <v>test</v>
          </cell>
          <cell r="T266">
            <v>42621</v>
          </cell>
          <cell r="U266">
            <v>48.347566666666665</v>
          </cell>
          <cell r="V266">
            <v>-122.54205</v>
          </cell>
          <cell r="W266" t="str">
            <v>point</v>
          </cell>
          <cell r="X266" t="str">
            <v>retain</v>
          </cell>
          <cell r="Y266" t="str">
            <v>WGS84</v>
          </cell>
          <cell r="Z266">
            <v>-0.70104000000000022</v>
          </cell>
          <cell r="AA266" t="str">
            <v>rebar</v>
          </cell>
          <cell r="AB266">
            <v>2</v>
          </cell>
          <cell r="AC266">
            <v>2</v>
          </cell>
          <cell r="AD266">
            <v>4</v>
          </cell>
          <cell r="AE266">
            <v>5</v>
          </cell>
          <cell r="AF266">
            <v>0.5</v>
          </cell>
          <cell r="AG266">
            <v>20</v>
          </cell>
          <cell r="AH266">
            <v>500</v>
          </cell>
          <cell r="AI266">
            <v>125</v>
          </cell>
          <cell r="AJ266">
            <v>100</v>
          </cell>
          <cell r="AK266" t="str">
            <v>Skagit Bay</v>
          </cell>
          <cell r="AL266" t="str">
            <v>screw anchors 2 meters apart</v>
          </cell>
        </row>
        <row r="267">
          <cell r="B267" t="str">
            <v>Skagit Delta - PNNL - test - 5 - 2016</v>
          </cell>
          <cell r="C267" t="str">
            <v>SKG_5</v>
          </cell>
          <cell r="D267" t="str">
            <v>single</v>
          </cell>
          <cell r="E267">
            <v>2016</v>
          </cell>
          <cell r="F267" t="str">
            <v>Thom, RM, and L Hallum. 1990. Long‐term changes in the areal extent of tidal marshes, eelgrass meadows, and kelp forests of Puget Sound. FRI‐UW‐9008, Fisheries Research Institute, School of Fisheries, University of Washington, Seattle. Pp. 110.
SVMP Program</v>
          </cell>
          <cell r="G267" t="str">
            <v>point</v>
          </cell>
          <cell r="H267" t="str">
            <v xml:space="preserve">Skagit Bay </v>
          </cell>
          <cell r="I267" t="str">
            <v>SWH</v>
          </cell>
          <cell r="J267" t="str">
            <v>Puget Sound Eelgrass Restoration: 3 deltas</v>
          </cell>
          <cell r="K267" t="str">
            <v>USACE</v>
          </cell>
          <cell r="L267" t="str">
            <v>USACE</v>
          </cell>
          <cell r="M267" t="str">
            <v>W912DW-14-2-0009 (93-099566)</v>
          </cell>
          <cell r="N267" t="str">
            <v>IAA 15-45</v>
          </cell>
          <cell r="O267" t="str">
            <v>PNNL</v>
          </cell>
          <cell r="P267" t="str">
            <v>93-099661</v>
          </cell>
          <cell r="R267" t="str">
            <v>test</v>
          </cell>
          <cell r="S267" t="str">
            <v>test</v>
          </cell>
          <cell r="T267">
            <v>42622</v>
          </cell>
          <cell r="U267">
            <v>48.348199999999999</v>
          </cell>
          <cell r="V267">
            <v>-122.54325</v>
          </cell>
          <cell r="W267" t="str">
            <v>point</v>
          </cell>
          <cell r="X267" t="str">
            <v>retain</v>
          </cell>
          <cell r="Y267" t="str">
            <v>WGS84</v>
          </cell>
          <cell r="Z267">
            <v>-0.4267200000000001</v>
          </cell>
          <cell r="AA267" t="str">
            <v>rebar</v>
          </cell>
          <cell r="AB267">
            <v>1.5</v>
          </cell>
          <cell r="AC267">
            <v>2</v>
          </cell>
          <cell r="AD267">
            <v>3</v>
          </cell>
          <cell r="AE267">
            <v>4</v>
          </cell>
          <cell r="AF267">
            <v>0.4</v>
          </cell>
          <cell r="AG267">
            <v>16</v>
          </cell>
          <cell r="AH267">
            <v>400</v>
          </cell>
          <cell r="AI267">
            <v>133.33333333333334</v>
          </cell>
          <cell r="AJ267">
            <v>100</v>
          </cell>
          <cell r="AK267" t="str">
            <v>Skagit Bay</v>
          </cell>
          <cell r="AL267" t="str">
            <v>screw anchors 1.5 meters apart</v>
          </cell>
        </row>
        <row r="268">
          <cell r="B268" t="str">
            <v>Skagit Delta - PNNL - test - 6 - 2016</v>
          </cell>
          <cell r="C268" t="str">
            <v>SKG_6</v>
          </cell>
          <cell r="D268" t="str">
            <v>single</v>
          </cell>
          <cell r="E268">
            <v>2016</v>
          </cell>
          <cell r="F268" t="str">
            <v>Thom, RM, and L Hallum. 1990. Long‐term changes in the areal extent of tidal marshes, eelgrass meadows, and kelp forests of Puget Sound. FRI‐UW‐9008, Fisheries Research Institute, School of Fisheries, University of Washington, Seattle. Pp. 110.
SVMP Program</v>
          </cell>
          <cell r="G268" t="str">
            <v>point</v>
          </cell>
          <cell r="H268" t="str">
            <v xml:space="preserve">Skagit Bay </v>
          </cell>
          <cell r="I268" t="str">
            <v>SWH</v>
          </cell>
          <cell r="J268" t="str">
            <v>Puget Sound Eelgrass Restoration: 3 deltas</v>
          </cell>
          <cell r="K268" t="str">
            <v>USACE</v>
          </cell>
          <cell r="L268" t="str">
            <v>USACE</v>
          </cell>
          <cell r="M268" t="str">
            <v>W912DW-14-2-0009 (93-099566)</v>
          </cell>
          <cell r="N268" t="str">
            <v>IAA 15-45</v>
          </cell>
          <cell r="O268" t="str">
            <v>PNNL</v>
          </cell>
          <cell r="P268" t="str">
            <v>93-099661</v>
          </cell>
          <cell r="R268" t="str">
            <v>test</v>
          </cell>
          <cell r="S268" t="str">
            <v>test</v>
          </cell>
          <cell r="T268">
            <v>42622</v>
          </cell>
          <cell r="U268">
            <v>48.348199999999999</v>
          </cell>
          <cell r="V268">
            <v>-122.54381666666667</v>
          </cell>
          <cell r="W268" t="str">
            <v>point</v>
          </cell>
          <cell r="X268" t="str">
            <v>retain</v>
          </cell>
          <cell r="Y268" t="str">
            <v>WGS84</v>
          </cell>
          <cell r="Z268">
            <v>-0.51816000000000006</v>
          </cell>
          <cell r="AA268" t="str">
            <v>rebar</v>
          </cell>
          <cell r="AB268">
            <v>1.5</v>
          </cell>
          <cell r="AC268">
            <v>2</v>
          </cell>
          <cell r="AD268">
            <v>3</v>
          </cell>
          <cell r="AE268">
            <v>4</v>
          </cell>
          <cell r="AF268">
            <v>0.4</v>
          </cell>
          <cell r="AG268">
            <v>16</v>
          </cell>
          <cell r="AH268">
            <v>400</v>
          </cell>
          <cell r="AI268">
            <v>133.33333333333334</v>
          </cell>
          <cell r="AJ268">
            <v>100</v>
          </cell>
          <cell r="AK268" t="str">
            <v>Skagit Bay</v>
          </cell>
          <cell r="AL268" t="str">
            <v>screw anchors 1.5 meters apart</v>
          </cell>
        </row>
        <row r="269">
          <cell r="B269" t="str">
            <v>Stretch Island - PNNL - test - 2015</v>
          </cell>
          <cell r="C269" t="str">
            <v>STI</v>
          </cell>
          <cell r="D269" t="str">
            <v>single</v>
          </cell>
          <cell r="E269">
            <v>2015</v>
          </cell>
          <cell r="G269" t="str">
            <v>point</v>
          </cell>
          <cell r="H269" t="str">
            <v>Case Inlet</v>
          </cell>
          <cell r="I269" t="str">
            <v>CPS</v>
          </cell>
          <cell r="J269" t="str">
            <v>Eelgrass Restoration in PS</v>
          </cell>
          <cell r="K269" t="str">
            <v>DNR</v>
          </cell>
          <cell r="L269" t="str">
            <v>Aquatic Restoration Program</v>
          </cell>
          <cell r="O269" t="str">
            <v>PNNL</v>
          </cell>
          <cell r="P269" t="str">
            <v>IAA 12-317.1</v>
          </cell>
          <cell r="Q269" t="str">
            <v>Aston, L.A., A.B. Borde and J. Vavrinec. 2015. Final Summary Report - Eelgrass Restoration in Puget Sound Project Summary. Pacific Northwest National Laboratory, Richland, WA. PNNL-24445.</v>
          </cell>
          <cell r="R269" t="str">
            <v>test</v>
          </cell>
          <cell r="S269" t="str">
            <v>test</v>
          </cell>
          <cell r="T269">
            <v>42075</v>
          </cell>
          <cell r="U269">
            <v>47.320098000000002</v>
          </cell>
          <cell r="V269">
            <v>-122.831565</v>
          </cell>
          <cell r="W269" t="str">
            <v>point</v>
          </cell>
          <cell r="X269" t="str">
            <v>retain</v>
          </cell>
          <cell r="Y269" t="str">
            <v>WGS84</v>
          </cell>
          <cell r="Z269">
            <v>-1.0668</v>
          </cell>
          <cell r="AA269" t="str">
            <v>staple</v>
          </cell>
          <cell r="AB269">
            <v>5</v>
          </cell>
          <cell r="AC269">
            <v>5</v>
          </cell>
          <cell r="AD269">
            <v>25</v>
          </cell>
          <cell r="AE269">
            <v>25</v>
          </cell>
          <cell r="AF269">
            <v>0.625</v>
          </cell>
          <cell r="AG269">
            <v>125</v>
          </cell>
          <cell r="AH269">
            <v>500</v>
          </cell>
          <cell r="AI269">
            <v>20</v>
          </cell>
          <cell r="AJ269">
            <v>20</v>
          </cell>
          <cell r="AK269" t="str">
            <v>Windy Bluff</v>
          </cell>
          <cell r="AL269" t="str">
            <v>"mega"-bundles were planted with 260 shoots on 26 staples outside of the plot 4 m west of the SW corner, at -1.5m, MLLW</v>
          </cell>
        </row>
        <row r="270">
          <cell r="B270" t="str">
            <v>Taylor Bay North - HC - test - 2016</v>
          </cell>
          <cell r="C270" t="str">
            <v>TAY_L1</v>
          </cell>
          <cell r="D270" t="str">
            <v>single</v>
          </cell>
          <cell r="E270">
            <v>2016</v>
          </cell>
          <cell r="G270" t="str">
            <v>line</v>
          </cell>
          <cell r="H270" t="str">
            <v>Case Inlet</v>
          </cell>
          <cell r="I270" t="str">
            <v>CPS</v>
          </cell>
          <cell r="J270" t="str">
            <v>Eelgrass Restoration in Puget Sound</v>
          </cell>
          <cell r="K270" t="str">
            <v>WDFW</v>
          </cell>
          <cell r="L270" t="str">
            <v>National Estuary Program</v>
          </cell>
          <cell r="M270" t="str">
            <v>14-02072</v>
          </cell>
          <cell r="N270" t="str">
            <v xml:space="preserve"> IAA 15-110</v>
          </cell>
          <cell r="O270" t="str">
            <v>Hart Crowser</v>
          </cell>
          <cell r="P270" t="str">
            <v>SC 16-17</v>
          </cell>
          <cell r="Q270" t="str">
            <v>Shannon, J., J. Blanchette and J. Gaeckle. 2018. Eelgrass (Zostera marina) Restoration in Puget Sound, WA. Final Restoration and Monitoring Report (12059-05) for US EPA, Hart Crowser, Edmonds, WA. Pp. 131.</v>
          </cell>
          <cell r="R270" t="str">
            <v>test</v>
          </cell>
          <cell r="S270" t="str">
            <v>test</v>
          </cell>
          <cell r="T270">
            <v>42509</v>
          </cell>
          <cell r="U270">
            <v>47.183090558333333</v>
          </cell>
          <cell r="V270">
            <v>-122.77779399444445</v>
          </cell>
          <cell r="W270" t="str">
            <v>line?</v>
          </cell>
          <cell r="X270" t="str">
            <v>retain</v>
          </cell>
          <cell r="Y270" t="str">
            <v>WGS84</v>
          </cell>
          <cell r="Z270">
            <v>-2</v>
          </cell>
          <cell r="AA270" t="str">
            <v>burlap</v>
          </cell>
          <cell r="AB270">
            <v>25</v>
          </cell>
          <cell r="AC270">
            <v>5</v>
          </cell>
          <cell r="AD270">
            <v>125</v>
          </cell>
          <cell r="AE270">
            <v>75</v>
          </cell>
          <cell r="AF270">
            <v>9.75</v>
          </cell>
          <cell r="AG270">
            <v>156</v>
          </cell>
          <cell r="AH270">
            <v>780</v>
          </cell>
          <cell r="AI270">
            <v>6.24</v>
          </cell>
          <cell r="AJ270">
            <v>10.4</v>
          </cell>
          <cell r="AK270" t="str">
            <v>Rocky Bay</v>
          </cell>
          <cell r="AL270" t="str">
            <v>transect line that includes 3 test plots</v>
          </cell>
        </row>
        <row r="271">
          <cell r="B271" t="str">
            <v>Taylor Bay South - HC - test - 2016</v>
          </cell>
          <cell r="C271" t="str">
            <v>TAY_L1</v>
          </cell>
          <cell r="D271" t="str">
            <v>single</v>
          </cell>
          <cell r="E271">
            <v>2016</v>
          </cell>
          <cell r="G271" t="str">
            <v>line</v>
          </cell>
          <cell r="H271" t="str">
            <v>Case Inlet</v>
          </cell>
          <cell r="I271" t="str">
            <v>CPS</v>
          </cell>
          <cell r="J271" t="str">
            <v>Eelgrass Restoration in Puget Sound</v>
          </cell>
          <cell r="K271" t="str">
            <v>WDFW</v>
          </cell>
          <cell r="L271" t="str">
            <v>National Estuary Program</v>
          </cell>
          <cell r="M271" t="str">
            <v>14-02072</v>
          </cell>
          <cell r="N271" t="str">
            <v xml:space="preserve"> IAA 15-110</v>
          </cell>
          <cell r="O271" t="str">
            <v>Hart Crowser</v>
          </cell>
          <cell r="P271" t="str">
            <v>SC 16-17</v>
          </cell>
          <cell r="Q271" t="str">
            <v>Shannon, J., J. Blanchette and J. Gaeckle. 2018. Eelgrass (Zostera marina) Restoration in Puget Sound, WA. Final Restoration and Monitoring Report (12059-05) for US EPA, Hart Crowser, Edmonds, WA. Pp. 131.</v>
          </cell>
          <cell r="R271" t="str">
            <v>test</v>
          </cell>
          <cell r="S271" t="str">
            <v>--</v>
          </cell>
          <cell r="T271">
            <v>42509</v>
          </cell>
          <cell r="U271">
            <v>47.182860077777775</v>
          </cell>
          <cell r="V271">
            <v>-122.77778232222222</v>
          </cell>
          <cell r="W271" t="str">
            <v>line?</v>
          </cell>
          <cell r="X271" t="str">
            <v>retain</v>
          </cell>
          <cell r="Y271" t="str">
            <v>WGS84</v>
          </cell>
          <cell r="AF271" t="str">
            <v/>
          </cell>
          <cell r="AI271" t="str">
            <v/>
          </cell>
          <cell r="AJ271" t="str">
            <v/>
          </cell>
        </row>
        <row r="272">
          <cell r="B272" t="str">
            <v>Westcott Bay East - PNNL - test - 2013</v>
          </cell>
          <cell r="C272" t="str">
            <v>WES_east</v>
          </cell>
          <cell r="D272" t="str">
            <v>single</v>
          </cell>
          <cell r="E272">
            <v>2013</v>
          </cell>
          <cell r="F272" t="str">
            <v>Thom, RM, and L Hallum. 1990. Long‐term changes in the areal extent of tidal marshes, eelgrass meadows, and kelp forests of Puget Sound. FRI‐UW‐9008, Fisheries Research Institute, School of Fisheries, University of Washington, Seattle. Pp. 110.</v>
          </cell>
          <cell r="G272" t="str">
            <v>point</v>
          </cell>
          <cell r="H272" t="str">
            <v>Westcott Bay</v>
          </cell>
          <cell r="I272" t="str">
            <v>SJS</v>
          </cell>
          <cell r="J272" t="str">
            <v>20% more ZM</v>
          </cell>
          <cell r="K272" t="str">
            <v>WDFW</v>
          </cell>
          <cell r="L272" t="str">
            <v>National Estuary Program</v>
          </cell>
          <cell r="M272" t="str">
            <v>12-1117</v>
          </cell>
          <cell r="N272" t="str">
            <v xml:space="preserve"> IAA 12-316</v>
          </cell>
          <cell r="O272" t="str">
            <v>PNNL</v>
          </cell>
          <cell r="P272" t="str">
            <v>IAA 12-317</v>
          </cell>
          <cell r="Q272" t="str">
            <v>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v>
          </cell>
          <cell r="R272" t="str">
            <v>test</v>
          </cell>
          <cell r="S272" t="str">
            <v>test</v>
          </cell>
          <cell r="T272">
            <v>41439</v>
          </cell>
          <cell r="U272">
            <v>48.60178333333333</v>
          </cell>
          <cell r="V272">
            <v>-123.13939999999999</v>
          </cell>
          <cell r="W272" t="str">
            <v>point</v>
          </cell>
          <cell r="X272" t="str">
            <v>retain</v>
          </cell>
          <cell r="Y272" t="str">
            <v>WGS84</v>
          </cell>
          <cell r="Z272">
            <v>-1.2192000000000001</v>
          </cell>
          <cell r="AA272" t="str">
            <v>staple</v>
          </cell>
          <cell r="AB272">
            <v>5</v>
          </cell>
          <cell r="AC272">
            <v>95</v>
          </cell>
          <cell r="AD272">
            <v>475</v>
          </cell>
          <cell r="AE272">
            <v>25</v>
          </cell>
          <cell r="AF272">
            <v>0.56000000000000005</v>
          </cell>
          <cell r="AG272">
            <v>112</v>
          </cell>
          <cell r="AH272">
            <v>448</v>
          </cell>
          <cell r="AI272">
            <v>0.94315789473684208</v>
          </cell>
          <cell r="AJ272">
            <v>17.920000000000002</v>
          </cell>
          <cell r="AK272" t="str">
            <v>PNNL - MSL Tanks</v>
          </cell>
          <cell r="AL272" t="str">
            <v>head of bay, planted along a depth gradient from -4.0' to -6.0'</v>
          </cell>
        </row>
        <row r="273">
          <cell r="B273" t="str">
            <v>Westcott Bay West - PNNL - test - 2013</v>
          </cell>
          <cell r="C273" t="str">
            <v>WES_west</v>
          </cell>
          <cell r="D273" t="str">
            <v>single</v>
          </cell>
          <cell r="E273">
            <v>2013</v>
          </cell>
          <cell r="F273" t="str">
            <v>Thom, RM, and L Hallum. 1990. Long‐term changes in the areal extent of tidal marshes, eelgrass meadows, and kelp forests of Puget Sound. FRI‐UW‐9008, Fisheries Research Institute, School of Fisheries, University of Washington, Seattle. Pp. 110.</v>
          </cell>
          <cell r="G273" t="str">
            <v>point</v>
          </cell>
          <cell r="H273" t="str">
            <v>Westcott Bay</v>
          </cell>
          <cell r="I273" t="str">
            <v>SJS</v>
          </cell>
          <cell r="J273" t="str">
            <v>20% more ZM</v>
          </cell>
          <cell r="K273" t="str">
            <v>WDFW</v>
          </cell>
          <cell r="L273" t="str">
            <v>National Estuary Program</v>
          </cell>
          <cell r="M273" t="str">
            <v>12-1117</v>
          </cell>
          <cell r="N273" t="str">
            <v xml:space="preserve"> IAA 12-316</v>
          </cell>
          <cell r="O273" t="str">
            <v>PNNL</v>
          </cell>
          <cell r="P273" t="str">
            <v>IAA 12-317</v>
          </cell>
          <cell r="Q273" t="str">
            <v>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v>
          </cell>
          <cell r="R273" t="str">
            <v>test</v>
          </cell>
          <cell r="S273" t="str">
            <v>test</v>
          </cell>
          <cell r="T273">
            <v>41439</v>
          </cell>
          <cell r="U273">
            <v>48.596449999999997</v>
          </cell>
          <cell r="V273">
            <v>-123.16086666666666</v>
          </cell>
          <cell r="W273" t="str">
            <v>point</v>
          </cell>
          <cell r="X273" t="str">
            <v>retain</v>
          </cell>
          <cell r="Y273" t="str">
            <v>WGS84</v>
          </cell>
          <cell r="Z273">
            <v>-1.524</v>
          </cell>
          <cell r="AA273" t="str">
            <v>staple</v>
          </cell>
          <cell r="AB273">
            <v>5</v>
          </cell>
          <cell r="AC273">
            <v>57</v>
          </cell>
          <cell r="AD273">
            <v>285</v>
          </cell>
          <cell r="AE273">
            <v>25</v>
          </cell>
          <cell r="AF273">
            <v>0.59</v>
          </cell>
          <cell r="AG273">
            <v>118</v>
          </cell>
          <cell r="AH273">
            <v>472</v>
          </cell>
          <cell r="AI273">
            <v>1.656140350877193</v>
          </cell>
          <cell r="AJ273">
            <v>18.88</v>
          </cell>
          <cell r="AK273" t="str">
            <v>PNNL - MSL Tanks</v>
          </cell>
          <cell r="AL273" t="str">
            <v>middle of bay, planted along a depth gradient from -5.0' to -9.0'</v>
          </cell>
        </row>
        <row r="274">
          <cell r="B274" t="str">
            <v>Westcott Bay - PNNL - Test Plot A - 2017</v>
          </cell>
          <cell r="C274" t="str">
            <v>WES_A</v>
          </cell>
          <cell r="D274" t="str">
            <v>single</v>
          </cell>
          <cell r="E274">
            <v>2017</v>
          </cell>
          <cell r="F274" t="str">
            <v>Thom, RM, and L Hallum. 1990. Long‐term changes in the areal extent of tidal marshes, eelgrass meadows, and kelp forests of Puget Sound. FRI‐UW‐9008, Fisheries Research Institute, School of Fisheries, University of Washington, Seattle. Pp. 110.</v>
          </cell>
          <cell r="G274" t="str">
            <v>point</v>
          </cell>
          <cell r="H274" t="str">
            <v>Westcott Bay</v>
          </cell>
          <cell r="I274" t="str">
            <v>SJS</v>
          </cell>
          <cell r="J274" t="str">
            <v>Eelgrass Recovery in PS</v>
          </cell>
          <cell r="K274" t="str">
            <v>USFWS</v>
          </cell>
          <cell r="L274" t="str">
            <v>USFWS</v>
          </cell>
          <cell r="M274" t="str">
            <v>WA F16AP00163 AL</v>
          </cell>
          <cell r="O274" t="str">
            <v>PNNL</v>
          </cell>
          <cell r="P274" t="str">
            <v>93-094344</v>
          </cell>
          <cell r="R274" t="str">
            <v>test</v>
          </cell>
          <cell r="S274" t="str">
            <v>test</v>
          </cell>
          <cell r="T274">
            <v>42887</v>
          </cell>
          <cell r="U274">
            <v>48.595866666666666</v>
          </cell>
          <cell r="V274">
            <v>-123.16155000000001</v>
          </cell>
          <cell r="W274" t="str">
            <v>point</v>
          </cell>
          <cell r="X274" t="str">
            <v>retain</v>
          </cell>
          <cell r="Y274" t="str">
            <v>WGS84</v>
          </cell>
          <cell r="Z274">
            <v>-1.4020799999999998</v>
          </cell>
          <cell r="AA274" t="str">
            <v>rebar</v>
          </cell>
          <cell r="AB274">
            <v>2.5</v>
          </cell>
          <cell r="AC274">
            <v>2.5</v>
          </cell>
          <cell r="AD274">
            <v>6.25</v>
          </cell>
          <cell r="AE274">
            <v>5</v>
          </cell>
          <cell r="AF274">
            <v>0.5</v>
          </cell>
          <cell r="AG274">
            <v>20</v>
          </cell>
          <cell r="AH274">
            <v>500</v>
          </cell>
          <cell r="AI274">
            <v>80</v>
          </cell>
          <cell r="AJ274">
            <v>100</v>
          </cell>
          <cell r="AK274" t="str">
            <v>Bell Point, Stuart Island</v>
          </cell>
        </row>
        <row r="275">
          <cell r="B275" t="str">
            <v>Westcott Bay - PNNL - Test Plot B - 2017</v>
          </cell>
          <cell r="C275" t="str">
            <v>WES_B</v>
          </cell>
          <cell r="D275" t="str">
            <v>single</v>
          </cell>
          <cell r="E275">
            <v>2017</v>
          </cell>
          <cell r="F275" t="str">
            <v>Thom, RM, and L Hallum. 1990. Long‐term changes in the areal extent of tidal marshes, eelgrass meadows, and kelp forests of Puget Sound. FRI‐UW‐9008, Fisheries Research Institute, School of Fisheries, University of Washington, Seattle. Pp. 110.</v>
          </cell>
          <cell r="G275" t="str">
            <v>point</v>
          </cell>
          <cell r="H275" t="str">
            <v>Westcott Bay</v>
          </cell>
          <cell r="I275" t="str">
            <v>SJS</v>
          </cell>
          <cell r="J275" t="str">
            <v>Eelgrass Recovery in PS</v>
          </cell>
          <cell r="K275" t="str">
            <v>USFWS</v>
          </cell>
          <cell r="L275" t="str">
            <v>USFWS</v>
          </cell>
          <cell r="M275" t="str">
            <v>WA F16AP00163 AL</v>
          </cell>
          <cell r="O275" t="str">
            <v>PNNL</v>
          </cell>
          <cell r="P275" t="str">
            <v>93-094344</v>
          </cell>
          <cell r="R275" t="str">
            <v>test</v>
          </cell>
          <cell r="S275" t="str">
            <v>test</v>
          </cell>
          <cell r="T275">
            <v>42887</v>
          </cell>
          <cell r="U275">
            <v>48.596449999999997</v>
          </cell>
          <cell r="V275">
            <v>-123.16128333333333</v>
          </cell>
          <cell r="W275" t="str">
            <v>point</v>
          </cell>
          <cell r="X275" t="str">
            <v>retain</v>
          </cell>
          <cell r="Y275" t="str">
            <v>WGS84</v>
          </cell>
          <cell r="Z275">
            <v>-1.4630399999999999</v>
          </cell>
          <cell r="AA275" t="str">
            <v>rebar</v>
          </cell>
          <cell r="AB275">
            <v>2.5</v>
          </cell>
          <cell r="AC275">
            <v>2.5</v>
          </cell>
          <cell r="AD275">
            <v>6.25</v>
          </cell>
          <cell r="AE275">
            <v>5</v>
          </cell>
          <cell r="AF275">
            <v>0.5</v>
          </cell>
          <cell r="AG275">
            <v>20</v>
          </cell>
          <cell r="AH275">
            <v>500</v>
          </cell>
          <cell r="AI275">
            <v>80</v>
          </cell>
          <cell r="AJ275">
            <v>100</v>
          </cell>
          <cell r="AK275" t="str">
            <v>Bell Point</v>
          </cell>
        </row>
        <row r="276">
          <cell r="B276" t="str">
            <v>Westcott Bay - PNNL - Test Plot C - 2017</v>
          </cell>
          <cell r="C276" t="str">
            <v>WES_C</v>
          </cell>
          <cell r="D276" t="str">
            <v>single</v>
          </cell>
          <cell r="E276">
            <v>2017</v>
          </cell>
          <cell r="F276" t="str">
            <v>Thom, RM, and L Hallum. 1990. Long‐term changes in the areal extent of tidal marshes, eelgrass meadows, and kelp forests of Puget Sound. FRI‐UW‐9008, Fisheries Research Institute, School of Fisheries, University of Washington, Seattle. Pp. 110.</v>
          </cell>
          <cell r="G276" t="str">
            <v>point</v>
          </cell>
          <cell r="H276" t="str">
            <v>Westcott Bay</v>
          </cell>
          <cell r="I276" t="str">
            <v>SJS</v>
          </cell>
          <cell r="J276" t="str">
            <v>Eelgrass Recovery in PS</v>
          </cell>
          <cell r="K276" t="str">
            <v>USFWS</v>
          </cell>
          <cell r="L276" t="str">
            <v>USFWS</v>
          </cell>
          <cell r="M276" t="str">
            <v>WA F16AP00163 AL</v>
          </cell>
          <cell r="O276" t="str">
            <v>PNNL</v>
          </cell>
          <cell r="P276" t="str">
            <v>93-094344</v>
          </cell>
          <cell r="R276" t="str">
            <v>test</v>
          </cell>
          <cell r="S276" t="str">
            <v>test</v>
          </cell>
          <cell r="T276">
            <v>42888</v>
          </cell>
          <cell r="U276">
            <v>48.597716666666663</v>
          </cell>
          <cell r="V276">
            <v>-123.15998333333333</v>
          </cell>
          <cell r="W276" t="str">
            <v>point</v>
          </cell>
          <cell r="X276" t="str">
            <v>retain</v>
          </cell>
          <cell r="Y276" t="str">
            <v>WGS84</v>
          </cell>
          <cell r="Z276">
            <v>-1.4935200000000002</v>
          </cell>
          <cell r="AA276" t="str">
            <v>rebar</v>
          </cell>
          <cell r="AB276">
            <v>2.5</v>
          </cell>
          <cell r="AC276">
            <v>2.5</v>
          </cell>
          <cell r="AD276">
            <v>6.25</v>
          </cell>
          <cell r="AE276">
            <v>4.75</v>
          </cell>
          <cell r="AF276">
            <v>0.47500000000000003</v>
          </cell>
          <cell r="AG276">
            <v>19</v>
          </cell>
          <cell r="AH276">
            <v>475</v>
          </cell>
          <cell r="AI276">
            <v>76</v>
          </cell>
          <cell r="AJ276">
            <v>100</v>
          </cell>
          <cell r="AK276" t="str">
            <v>Mitchell Bay</v>
          </cell>
        </row>
        <row r="277">
          <cell r="B277" t="str">
            <v>Westcott Bay - PNNL - Test Plot D - 2017</v>
          </cell>
          <cell r="C277" t="str">
            <v>WES_D</v>
          </cell>
          <cell r="D277" t="str">
            <v>single</v>
          </cell>
          <cell r="E277">
            <v>2017</v>
          </cell>
          <cell r="F277" t="str">
            <v>Thom, RM, and L Hallum. 1990. Long‐term changes in the areal extent of tidal marshes, eelgrass meadows, and kelp forests of Puget Sound. FRI‐UW‐9008, Fisheries Research Institute, School of Fisheries, University of Washington, Seattle. Pp. 110.</v>
          </cell>
          <cell r="G277" t="str">
            <v>point</v>
          </cell>
          <cell r="H277" t="str">
            <v>Westcott Bay</v>
          </cell>
          <cell r="I277" t="str">
            <v>SJS</v>
          </cell>
          <cell r="J277" t="str">
            <v>Eelgrass Recovery in PS</v>
          </cell>
          <cell r="K277" t="str">
            <v>USFWS</v>
          </cell>
          <cell r="L277" t="str">
            <v>USFWS</v>
          </cell>
          <cell r="M277" t="str">
            <v>WA F16AP00163 AL</v>
          </cell>
          <cell r="O277" t="str">
            <v>PNNL</v>
          </cell>
          <cell r="P277" t="str">
            <v>93-094344</v>
          </cell>
          <cell r="R277" t="str">
            <v>test</v>
          </cell>
          <cell r="S277" t="str">
            <v>test</v>
          </cell>
          <cell r="T277">
            <v>42888</v>
          </cell>
          <cell r="U277">
            <v>48.598483333333334</v>
          </cell>
          <cell r="V277">
            <v>-123.15683333333334</v>
          </cell>
          <cell r="W277" t="str">
            <v>point</v>
          </cell>
          <cell r="X277" t="str">
            <v>retain</v>
          </cell>
          <cell r="Y277" t="str">
            <v>WGS84</v>
          </cell>
          <cell r="Z277">
            <v>-1.524</v>
          </cell>
          <cell r="AA277" t="str">
            <v>rebar</v>
          </cell>
          <cell r="AB277">
            <v>3</v>
          </cell>
          <cell r="AC277">
            <v>2.5</v>
          </cell>
          <cell r="AD277">
            <v>7.5</v>
          </cell>
          <cell r="AE277">
            <v>6.18</v>
          </cell>
          <cell r="AF277">
            <v>0.61799999999999999</v>
          </cell>
          <cell r="AG277">
            <v>24.72</v>
          </cell>
          <cell r="AH277">
            <v>618</v>
          </cell>
          <cell r="AI277">
            <v>82.4</v>
          </cell>
          <cell r="AJ277">
            <v>100</v>
          </cell>
          <cell r="AK277" t="str">
            <v>Henry Island</v>
          </cell>
        </row>
        <row r="278">
          <cell r="B278" t="str">
            <v>Westcott Bay - Bell Point North - DNR - test - 2020-Dumas</v>
          </cell>
          <cell r="C278" t="str">
            <v>WES_test_1</v>
          </cell>
          <cell r="D278" t="str">
            <v>single</v>
          </cell>
          <cell r="E278">
            <v>2020</v>
          </cell>
          <cell r="F278" t="str">
            <v>SVMP</v>
          </cell>
          <cell r="G278" t="str">
            <v>line</v>
          </cell>
          <cell r="H278" t="str">
            <v>Westcott Bay</v>
          </cell>
          <cell r="I278" t="str">
            <v>SJS</v>
          </cell>
          <cell r="J278" t="str">
            <v>Eelgrass Recovery in the San Juan Islands</v>
          </cell>
          <cell r="K278" t="str">
            <v>DNR</v>
          </cell>
          <cell r="L278" t="str">
            <v>SRFB - 19-1402</v>
          </cell>
          <cell r="R278" t="str">
            <v>test</v>
          </cell>
          <cell r="S278" t="str">
            <v>test</v>
          </cell>
          <cell r="T278">
            <v>44044</v>
          </cell>
          <cell r="U278">
            <v>48.593940000000003</v>
          </cell>
          <cell r="V278">
            <v>-123.15505</v>
          </cell>
          <cell r="W278" t="str">
            <v>line</v>
          </cell>
          <cell r="X278" t="str">
            <v>retain</v>
          </cell>
          <cell r="Y278" t="str">
            <v>WGS84</v>
          </cell>
          <cell r="Z278">
            <v>-1.7</v>
          </cell>
          <cell r="AA278" t="str">
            <v>rebar</v>
          </cell>
          <cell r="AB278">
            <v>14</v>
          </cell>
          <cell r="AC278">
            <v>1</v>
          </cell>
          <cell r="AD278">
            <v>14</v>
          </cell>
          <cell r="AE278">
            <v>6</v>
          </cell>
          <cell r="AF278">
            <v>0.6</v>
          </cell>
          <cell r="AG278">
            <v>24</v>
          </cell>
          <cell r="AH278">
            <v>640</v>
          </cell>
          <cell r="AI278">
            <v>45.714285714285715</v>
          </cell>
          <cell r="AJ278">
            <v>106.66666666666667</v>
          </cell>
          <cell r="AK278" t="str">
            <v>Dumas Bay</v>
          </cell>
          <cell r="AL278" t="str">
            <v>GPS marks the 0 m helical anchor. Another helical is set at 14 m (48.59399, -123.15520). Planting started at 2 m and ended at 10 m to keep transplants 2 m away from helicals at the end of the 14 m transect. Eelgrass harvested from the Shannon Point Marine Center mesocosms on 31 Jul 2020.</v>
          </cell>
        </row>
        <row r="279">
          <cell r="B279" t="str">
            <v>Westcott Bay - Bell Point North - DNR - test - 2020-Fay</v>
          </cell>
          <cell r="C279" t="str">
            <v>WES_test_1</v>
          </cell>
          <cell r="D279" t="str">
            <v>single</v>
          </cell>
          <cell r="E279">
            <v>2020</v>
          </cell>
          <cell r="F279" t="str">
            <v>SVMP</v>
          </cell>
          <cell r="G279" t="str">
            <v>line</v>
          </cell>
          <cell r="H279" t="str">
            <v>Westcott Bay</v>
          </cell>
          <cell r="I279" t="str">
            <v>SJS</v>
          </cell>
          <cell r="J279" t="str">
            <v>Eelgrass Recovery in the San Juan Islands</v>
          </cell>
          <cell r="K279" t="str">
            <v>DNR</v>
          </cell>
          <cell r="L279" t="str">
            <v>SRFB - 19-1402</v>
          </cell>
          <cell r="R279" t="str">
            <v>test</v>
          </cell>
          <cell r="S279" t="str">
            <v>test</v>
          </cell>
          <cell r="T279">
            <v>44044</v>
          </cell>
          <cell r="U279">
            <v>48.593940000000003</v>
          </cell>
          <cell r="V279">
            <v>-123.15505</v>
          </cell>
          <cell r="W279" t="str">
            <v>line</v>
          </cell>
          <cell r="X279" t="str">
            <v>retain</v>
          </cell>
          <cell r="Y279" t="str">
            <v>WGS84</v>
          </cell>
          <cell r="Z279">
            <v>-1.7</v>
          </cell>
          <cell r="AA279" t="str">
            <v>rebar</v>
          </cell>
          <cell r="AB279">
            <v>14</v>
          </cell>
          <cell r="AC279">
            <v>1</v>
          </cell>
          <cell r="AD279">
            <v>14</v>
          </cell>
          <cell r="AE279">
            <v>0.75</v>
          </cell>
          <cell r="AF279">
            <v>7.4999999999999997E-2</v>
          </cell>
          <cell r="AG279">
            <v>3</v>
          </cell>
          <cell r="AH279">
            <v>60</v>
          </cell>
          <cell r="AI279">
            <v>4.2857142857142856</v>
          </cell>
          <cell r="AJ279">
            <v>80</v>
          </cell>
          <cell r="AK279" t="str">
            <v>Fay Bainbridge</v>
          </cell>
          <cell r="AL279" t="str">
            <v>GPS marks the 0 m helical anchor. Another helical is set at 14 m (48.59399, -123.15520). Planting started at 2 m and ended at 10 m to keep transplants 2 m away from helicals at the end of the 14 m transect. Eelgrass harvested from the Shannon Point Marine Center mesocosms on 31 Jul 2020.</v>
          </cell>
        </row>
        <row r="280">
          <cell r="B280" t="str">
            <v>Westcott Bay - Bell Point North - DNR - test - 2020-Henry</v>
          </cell>
          <cell r="C280" t="str">
            <v>WES_test_1</v>
          </cell>
          <cell r="D280" t="str">
            <v>single</v>
          </cell>
          <cell r="E280">
            <v>2020</v>
          </cell>
          <cell r="F280" t="str">
            <v>SVMP</v>
          </cell>
          <cell r="G280" t="str">
            <v>line</v>
          </cell>
          <cell r="H280" t="str">
            <v>Westcott Bay</v>
          </cell>
          <cell r="I280" t="str">
            <v>SJS</v>
          </cell>
          <cell r="J280" t="str">
            <v>Eelgrass Recovery in the San Juan Islands</v>
          </cell>
          <cell r="K280" t="str">
            <v>DNR</v>
          </cell>
          <cell r="L280" t="str">
            <v>SRFB - 19-1402</v>
          </cell>
          <cell r="R280" t="str">
            <v>test</v>
          </cell>
          <cell r="S280" t="str">
            <v>test</v>
          </cell>
          <cell r="T280">
            <v>44044</v>
          </cell>
          <cell r="U280">
            <v>48.593940000000003</v>
          </cell>
          <cell r="V280">
            <v>-123.15505</v>
          </cell>
          <cell r="W280" t="str">
            <v>line</v>
          </cell>
          <cell r="X280" t="str">
            <v>retain</v>
          </cell>
          <cell r="Y280" t="str">
            <v>WGS84</v>
          </cell>
          <cell r="Z280">
            <v>-1.7</v>
          </cell>
          <cell r="AA280" t="str">
            <v>rebar</v>
          </cell>
          <cell r="AB280">
            <v>14</v>
          </cell>
          <cell r="AC280">
            <v>1</v>
          </cell>
          <cell r="AD280">
            <v>14</v>
          </cell>
          <cell r="AE280">
            <v>2.25</v>
          </cell>
          <cell r="AF280">
            <v>0.22500000000000001</v>
          </cell>
          <cell r="AG280">
            <v>9</v>
          </cell>
          <cell r="AH280">
            <v>135</v>
          </cell>
          <cell r="AI280">
            <v>9.6428571428571423</v>
          </cell>
          <cell r="AJ280">
            <v>60</v>
          </cell>
          <cell r="AK280" t="str">
            <v>Henry Island</v>
          </cell>
          <cell r="AL280" t="str">
            <v>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v>
          </cell>
        </row>
        <row r="281">
          <cell r="B281" t="str">
            <v>Westcott Bay - Bell Point North - DNR - test - 2020-Ship</v>
          </cell>
          <cell r="C281" t="str">
            <v>WES_test_1</v>
          </cell>
          <cell r="D281" t="str">
            <v>single</v>
          </cell>
          <cell r="E281">
            <v>2020</v>
          </cell>
          <cell r="F281" t="str">
            <v>SVMP</v>
          </cell>
          <cell r="G281" t="str">
            <v>line</v>
          </cell>
          <cell r="H281" t="str">
            <v>Westcott Bay</v>
          </cell>
          <cell r="I281" t="str">
            <v>SJS</v>
          </cell>
          <cell r="J281" t="str">
            <v>Eelgrass Recovery in the San Juan Islands</v>
          </cell>
          <cell r="K281" t="str">
            <v>DNR</v>
          </cell>
          <cell r="L281" t="str">
            <v>SRFB - 19-1402</v>
          </cell>
          <cell r="R281" t="str">
            <v>test</v>
          </cell>
          <cell r="S281" t="str">
            <v>test</v>
          </cell>
          <cell r="T281">
            <v>44044</v>
          </cell>
          <cell r="U281">
            <v>48.593940000000003</v>
          </cell>
          <cell r="V281">
            <v>-123.15505</v>
          </cell>
          <cell r="W281" t="str">
            <v>line</v>
          </cell>
          <cell r="X281" t="str">
            <v>retain</v>
          </cell>
          <cell r="Y281" t="str">
            <v>WGS84</v>
          </cell>
          <cell r="Z281">
            <v>-1.7</v>
          </cell>
          <cell r="AA281" t="str">
            <v>rebar</v>
          </cell>
          <cell r="AB281">
            <v>14</v>
          </cell>
          <cell r="AC281">
            <v>1</v>
          </cell>
          <cell r="AD281">
            <v>14</v>
          </cell>
          <cell r="AE281">
            <v>3.75</v>
          </cell>
          <cell r="AF281">
            <v>0.375</v>
          </cell>
          <cell r="AG281">
            <v>15</v>
          </cell>
          <cell r="AH281">
            <v>210</v>
          </cell>
          <cell r="AI281">
            <v>15</v>
          </cell>
          <cell r="AJ281">
            <v>56</v>
          </cell>
          <cell r="AK281" t="str">
            <v>Ship Harbor</v>
          </cell>
          <cell r="AL281" t="str">
            <v>GPS marks the 0 m helical anchor. Another helical is set at 14 m (48.59399, -123.15520). Planting started at 2 m and ended at 10 m to keep transplants 2 m away from helicals at the end of the 14 m transect. Eelgrass harvested from the Shannon Point Marine Center mesocosms on 31 Jul 2020.</v>
          </cell>
        </row>
        <row r="282">
          <cell r="B282" t="str">
            <v>Westcott Bay - Bell Point North - DNR - test - 2020-Mixed</v>
          </cell>
          <cell r="C282" t="str">
            <v>WES_test_1</v>
          </cell>
          <cell r="D282" t="str">
            <v>single</v>
          </cell>
          <cell r="E282">
            <v>2020</v>
          </cell>
          <cell r="F282" t="str">
            <v>SVMP</v>
          </cell>
          <cell r="G282" t="str">
            <v>line</v>
          </cell>
          <cell r="H282" t="str">
            <v>Westcott Bay</v>
          </cell>
          <cell r="I282" t="str">
            <v>SJS</v>
          </cell>
          <cell r="J282" t="str">
            <v>Eelgrass Recovery in the San Juan Islands</v>
          </cell>
          <cell r="K282" t="str">
            <v>DNR</v>
          </cell>
          <cell r="L282" t="str">
            <v>SRFB - 19-1402</v>
          </cell>
          <cell r="R282" t="str">
            <v>test</v>
          </cell>
          <cell r="S282" t="str">
            <v>test</v>
          </cell>
          <cell r="T282">
            <v>44044</v>
          </cell>
          <cell r="U282">
            <v>48.593940000000003</v>
          </cell>
          <cell r="V282">
            <v>-123.15505</v>
          </cell>
          <cell r="W282" t="str">
            <v>line</v>
          </cell>
          <cell r="X282" t="str">
            <v>retain</v>
          </cell>
          <cell r="Y282" t="str">
            <v>WGS84</v>
          </cell>
          <cell r="Z282">
            <v>-1.7</v>
          </cell>
          <cell r="AA282" t="str">
            <v>rebar</v>
          </cell>
          <cell r="AB282">
            <v>14</v>
          </cell>
          <cell r="AC282">
            <v>1</v>
          </cell>
          <cell r="AD282">
            <v>14</v>
          </cell>
          <cell r="AE282">
            <v>2.25</v>
          </cell>
          <cell r="AF282">
            <v>0.22500000000000001</v>
          </cell>
          <cell r="AG282">
            <v>9</v>
          </cell>
          <cell r="AH282">
            <v>275</v>
          </cell>
          <cell r="AI282">
            <v>19.642857142857142</v>
          </cell>
          <cell r="AJ282">
            <v>122.22222222222223</v>
          </cell>
          <cell r="AK282" t="str">
            <v>Mixed</v>
          </cell>
          <cell r="AL282" t="str">
            <v>GPS marks the 0 m helical anchor. Another helical is set at 14 m (48.59399, -123.15520). Planting started at 2 m and ended at 10 m to keep transplants 2 m away from helicals at the end of the 14 m transect. Eelgrass harvested from the Shannon Point Marine Center mesocosms on 31 Jul 2020.</v>
          </cell>
        </row>
      </sheetData>
      <sheetData sheetId="4">
        <row r="2">
          <cell r="A2" t="str">
            <v>Amsterdam Bay - PNNL - shallow - test - 2013</v>
          </cell>
          <cell r="B2" t="str">
            <v>AMS_shallow</v>
          </cell>
          <cell r="C2" t="str">
            <v>single</v>
          </cell>
          <cell r="D2" t="str">
            <v>point</v>
          </cell>
          <cell r="E2" t="str">
            <v>retain</v>
          </cell>
        </row>
        <row r="3">
          <cell r="A3" t="str">
            <v>Amsterdam Bay - PNNL - deep - test - 2013</v>
          </cell>
          <cell r="B3" t="str">
            <v>AMS_deep</v>
          </cell>
          <cell r="C3" t="str">
            <v>single</v>
          </cell>
          <cell r="D3" t="str">
            <v>point</v>
          </cell>
          <cell r="E3" t="str">
            <v>retain</v>
          </cell>
        </row>
        <row r="4">
          <cell r="A4" t="str">
            <v>Joemma Beach State Park Mid - PNNL - shallow - test - 2013</v>
          </cell>
          <cell r="B4" t="str">
            <v>JSP_mid_shallow</v>
          </cell>
          <cell r="C4" t="str">
            <v>single</v>
          </cell>
          <cell r="D4" t="str">
            <v>point</v>
          </cell>
          <cell r="E4" t="str">
            <v>retain</v>
          </cell>
        </row>
        <row r="5">
          <cell r="A5" t="str">
            <v>Joemma Beach State Park Mid - PNNL - deep - test - 2013</v>
          </cell>
          <cell r="B5" t="str">
            <v>JSP_mid_deep</v>
          </cell>
          <cell r="C5" t="str">
            <v>single</v>
          </cell>
          <cell r="D5" t="str">
            <v>point</v>
          </cell>
          <cell r="E5" t="str">
            <v>retain</v>
          </cell>
        </row>
        <row r="6">
          <cell r="A6" t="str">
            <v>Liberty Bay East - PNNL - test - 2013</v>
          </cell>
          <cell r="B6" t="str">
            <v>LBT_east</v>
          </cell>
          <cell r="C6" t="str">
            <v>single</v>
          </cell>
          <cell r="D6" t="str">
            <v>point</v>
          </cell>
          <cell r="E6" t="str">
            <v>retain</v>
          </cell>
        </row>
        <row r="7">
          <cell r="A7" t="str">
            <v>Liberty Bay West - PNNL - test - 2013</v>
          </cell>
          <cell r="B7" t="str">
            <v>LBT_west</v>
          </cell>
          <cell r="C7" t="str">
            <v>single</v>
          </cell>
          <cell r="D7" t="str">
            <v>point</v>
          </cell>
          <cell r="E7" t="str">
            <v>retain</v>
          </cell>
        </row>
        <row r="8">
          <cell r="A8" t="str">
            <v>Westcott Bay East - PNNL - test - 2013</v>
          </cell>
          <cell r="B8" t="str">
            <v>WES_east</v>
          </cell>
          <cell r="C8" t="str">
            <v>single</v>
          </cell>
          <cell r="D8" t="str">
            <v>point</v>
          </cell>
          <cell r="E8" t="str">
            <v>retain</v>
          </cell>
        </row>
        <row r="9">
          <cell r="A9" t="str">
            <v>Westcott Bay West - PNNL - test - 2013</v>
          </cell>
          <cell r="B9" t="str">
            <v>WES_west</v>
          </cell>
          <cell r="C9" t="str">
            <v>single</v>
          </cell>
          <cell r="D9" t="str">
            <v>point</v>
          </cell>
          <cell r="E9" t="str">
            <v>retain</v>
          </cell>
        </row>
        <row r="10">
          <cell r="A10" t="str">
            <v>Zangle Cove - PNNL - test - 2013</v>
          </cell>
          <cell r="B10" t="str">
            <v>ZAN_1</v>
          </cell>
          <cell r="C10" t="str">
            <v>single</v>
          </cell>
          <cell r="D10" t="str">
            <v>point</v>
          </cell>
          <cell r="E10" t="str">
            <v>retain</v>
          </cell>
        </row>
        <row r="11">
          <cell r="A11" t="str">
            <v>Port Gamble Bay - PNNL - test 5 - 2014</v>
          </cell>
          <cell r="B11" t="str">
            <v>PTG_5</v>
          </cell>
          <cell r="C11" t="str">
            <v>single</v>
          </cell>
          <cell r="D11" t="str">
            <v>point</v>
          </cell>
          <cell r="E11" t="str">
            <v>retain</v>
          </cell>
        </row>
        <row r="12">
          <cell r="A12" t="str">
            <v>Port Gamble Bay - PNNL - test 2 - 2014</v>
          </cell>
          <cell r="B12" t="str">
            <v>PTG_2</v>
          </cell>
          <cell r="C12" t="str">
            <v>single</v>
          </cell>
          <cell r="D12" t="str">
            <v>point</v>
          </cell>
          <cell r="E12" t="str">
            <v>retain</v>
          </cell>
        </row>
        <row r="13">
          <cell r="A13" t="str">
            <v>Port Gamble Bay - PNNL - test 3 - 2014</v>
          </cell>
          <cell r="B13" t="str">
            <v>PTG_3</v>
          </cell>
          <cell r="C13" t="str">
            <v>single</v>
          </cell>
          <cell r="D13" t="str">
            <v>point</v>
          </cell>
          <cell r="E13" t="str">
            <v>retain</v>
          </cell>
        </row>
        <row r="14">
          <cell r="A14" t="str">
            <v>Port Gamble Bay - PNNL - test 4 - 2014</v>
          </cell>
          <cell r="B14" t="str">
            <v>PTG_4</v>
          </cell>
          <cell r="C14" t="str">
            <v>single</v>
          </cell>
          <cell r="D14" t="str">
            <v>point</v>
          </cell>
          <cell r="E14" t="str">
            <v>retain</v>
          </cell>
        </row>
        <row r="15">
          <cell r="A15" t="str">
            <v>Port Gamble Bay - PNNL - test 1 - 2014</v>
          </cell>
          <cell r="B15" t="str">
            <v>PTG_1</v>
          </cell>
          <cell r="C15" t="str">
            <v>single</v>
          </cell>
          <cell r="D15" t="str">
            <v>point</v>
          </cell>
          <cell r="E15" t="str">
            <v>retain</v>
          </cell>
        </row>
        <row r="16">
          <cell r="A16" t="str">
            <v>Port Gamble Bay - PNNL - test 6 - 2014</v>
          </cell>
          <cell r="B16" t="str">
            <v>PTG_6</v>
          </cell>
          <cell r="C16" t="str">
            <v>single</v>
          </cell>
          <cell r="D16" t="str">
            <v>point</v>
          </cell>
          <cell r="E16" t="str">
            <v>retain</v>
          </cell>
        </row>
        <row r="17">
          <cell r="A17" t="str">
            <v>Quilcene Bay - PNNL - test - 2014</v>
          </cell>
          <cell r="B17" t="str">
            <v>QLC01</v>
          </cell>
          <cell r="C17" t="str">
            <v>single</v>
          </cell>
          <cell r="D17" t="str">
            <v>point</v>
          </cell>
          <cell r="E17" t="str">
            <v>retain</v>
          </cell>
        </row>
        <row r="18">
          <cell r="A18" t="str">
            <v>Anderson Island West - PNNL - test - 2015</v>
          </cell>
          <cell r="B18" t="str">
            <v>AND_west1</v>
          </cell>
          <cell r="C18" t="str">
            <v>single</v>
          </cell>
          <cell r="D18" t="str">
            <v>point</v>
          </cell>
          <cell r="E18" t="str">
            <v>retain</v>
          </cell>
        </row>
        <row r="19">
          <cell r="A19" t="str">
            <v>Chico Bay - PNNL - test - 2015</v>
          </cell>
          <cell r="B19" t="str">
            <v>CHC</v>
          </cell>
          <cell r="C19" t="str">
            <v>single</v>
          </cell>
          <cell r="D19" t="str">
            <v>point</v>
          </cell>
          <cell r="E19" t="str">
            <v>retain</v>
          </cell>
        </row>
        <row r="20">
          <cell r="A20" t="str">
            <v>Delano Beach - PNNL - test - 2015</v>
          </cell>
          <cell r="B20" t="str">
            <v>DEL_1</v>
          </cell>
          <cell r="C20" t="str">
            <v>initial</v>
          </cell>
          <cell r="D20" t="str">
            <v>point</v>
          </cell>
          <cell r="E20" t="str">
            <v>retain</v>
          </cell>
        </row>
        <row r="21">
          <cell r="A21" t="str">
            <v>Eld Inlet - shallow - PNNL - test - 2015</v>
          </cell>
          <cell r="B21" t="str">
            <v>ELD_shallow</v>
          </cell>
          <cell r="C21" t="str">
            <v>single</v>
          </cell>
          <cell r="D21" t="str">
            <v>point</v>
          </cell>
          <cell r="E21" t="str">
            <v>retain</v>
          </cell>
        </row>
        <row r="22">
          <cell r="A22" t="str">
            <v>Eld Inlet - deep - PNNL - test - 2015</v>
          </cell>
          <cell r="B22" t="str">
            <v>ELD_deep</v>
          </cell>
          <cell r="C22" t="str">
            <v>single</v>
          </cell>
          <cell r="D22" t="str">
            <v>point</v>
          </cell>
          <cell r="E22" t="str">
            <v>retain</v>
          </cell>
        </row>
        <row r="23">
          <cell r="A23" t="str">
            <v>Graham Point - PNNL - test - 2015</v>
          </cell>
          <cell r="B23" t="str">
            <v>GRA_1</v>
          </cell>
          <cell r="C23" t="str">
            <v>single</v>
          </cell>
          <cell r="D23" t="str">
            <v>point</v>
          </cell>
          <cell r="E23" t="str">
            <v>retain</v>
          </cell>
        </row>
        <row r="24">
          <cell r="A24" t="str">
            <v>Herron Island - PNNL - test - 2015</v>
          </cell>
          <cell r="B24" t="str">
            <v>HRI</v>
          </cell>
          <cell r="C24" t="str">
            <v>single</v>
          </cell>
          <cell r="D24" t="str">
            <v>point</v>
          </cell>
          <cell r="E24" t="str">
            <v>retain</v>
          </cell>
        </row>
        <row r="25">
          <cell r="A25" t="str">
            <v>Edgewater - south - PNNL - test - 2015</v>
          </cell>
          <cell r="B25" t="str">
            <v>HPT_south_1</v>
          </cell>
          <cell r="C25" t="str">
            <v>single</v>
          </cell>
          <cell r="D25" t="str">
            <v>point</v>
          </cell>
          <cell r="E25" t="str">
            <v>retain</v>
          </cell>
        </row>
        <row r="26">
          <cell r="A26" t="str">
            <v>Edgewater - north - PNNL - test - 2015</v>
          </cell>
          <cell r="B26" t="str">
            <v>HPT_north_2</v>
          </cell>
          <cell r="C26" t="str">
            <v>single</v>
          </cell>
          <cell r="D26" t="str">
            <v>point</v>
          </cell>
          <cell r="E26" t="str">
            <v>retain</v>
          </cell>
        </row>
        <row r="27">
          <cell r="A27" t="str">
            <v>Joemma Beach State Park Mid South - W - PNNL - large - 2015</v>
          </cell>
          <cell r="B27" t="str">
            <v>JSP_mid_south_P1</v>
          </cell>
          <cell r="C27" t="str">
            <v>single</v>
          </cell>
          <cell r="D27" t="str">
            <v>polygon</v>
          </cell>
          <cell r="E27" t="str">
            <v>retain</v>
          </cell>
        </row>
        <row r="28">
          <cell r="A28" t="str">
            <v>Joemma Beach State Park Mid South - N - PNNL - large - 2015</v>
          </cell>
          <cell r="B28" t="str">
            <v>JSP_mid_south_P1</v>
          </cell>
          <cell r="C28" t="str">
            <v>single</v>
          </cell>
          <cell r="D28" t="str">
            <v>polygon</v>
          </cell>
          <cell r="E28" t="str">
            <v>retain</v>
          </cell>
        </row>
        <row r="29">
          <cell r="A29" t="str">
            <v>Joemma Beach State Park Mid South - E - PNNL - large - 2015</v>
          </cell>
          <cell r="B29" t="str">
            <v>JSP_mid_south_P1</v>
          </cell>
          <cell r="C29" t="str">
            <v>single</v>
          </cell>
          <cell r="D29" t="str">
            <v>polygon</v>
          </cell>
          <cell r="E29" t="str">
            <v>retain</v>
          </cell>
        </row>
        <row r="30">
          <cell r="A30" t="str">
            <v>Joemma Beach State Park Mid South - S - PNNL - large - 2015</v>
          </cell>
          <cell r="B30" t="str">
            <v>JSP_mid_south_P1</v>
          </cell>
          <cell r="C30" t="str">
            <v>single</v>
          </cell>
          <cell r="D30" t="str">
            <v>polygon</v>
          </cell>
          <cell r="E30" t="str">
            <v>retain</v>
          </cell>
        </row>
        <row r="31">
          <cell r="A31" t="str">
            <v>Joemma Beach State Park Mid North - NW - PNNL - large - 2015</v>
          </cell>
          <cell r="B31" t="str">
            <v>JSP_mid_north_P1</v>
          </cell>
          <cell r="C31" t="str">
            <v>single</v>
          </cell>
          <cell r="D31" t="str">
            <v>polygon</v>
          </cell>
          <cell r="E31" t="str">
            <v>retain</v>
          </cell>
        </row>
        <row r="32">
          <cell r="A32" t="str">
            <v>Joemma Beach State Park Mid North - NE - PNNL - large - 2015</v>
          </cell>
          <cell r="B32" t="str">
            <v>JSP_mid_north_P1</v>
          </cell>
          <cell r="C32" t="str">
            <v>single</v>
          </cell>
          <cell r="D32" t="str">
            <v>polygon</v>
          </cell>
          <cell r="E32" t="str">
            <v>retain</v>
          </cell>
        </row>
        <row r="33">
          <cell r="A33" t="str">
            <v>Joemma Beach State Park Mid North - SE - PNNL - large - 2015</v>
          </cell>
          <cell r="B33" t="str">
            <v>JSP_mid_north_P1</v>
          </cell>
          <cell r="C33" t="str">
            <v>single</v>
          </cell>
          <cell r="D33" t="str">
            <v>polygon</v>
          </cell>
          <cell r="E33" t="str">
            <v>retain</v>
          </cell>
        </row>
        <row r="34">
          <cell r="A34" t="str">
            <v>Joemma Beach State Park Mid North - SW - PNNL - large - 2015</v>
          </cell>
          <cell r="B34" t="str">
            <v>JSP_mid_north_P1</v>
          </cell>
          <cell r="C34" t="str">
            <v>single</v>
          </cell>
          <cell r="D34" t="str">
            <v>polygon</v>
          </cell>
          <cell r="E34" t="str">
            <v>retain</v>
          </cell>
        </row>
        <row r="35">
          <cell r="A35" t="str">
            <v>Joemma Beach State Park - southeast - PNNL - test - 2015</v>
          </cell>
          <cell r="B35" t="str">
            <v>JSP_southeast</v>
          </cell>
          <cell r="C35" t="str">
            <v>single</v>
          </cell>
          <cell r="D35" t="str">
            <v>point</v>
          </cell>
          <cell r="E35" t="str">
            <v>retain</v>
          </cell>
        </row>
        <row r="36">
          <cell r="A36" t="str">
            <v>McNeil Island - north - PNNL - test - 2015</v>
          </cell>
          <cell r="B36" t="str">
            <v>MCN_north</v>
          </cell>
          <cell r="C36" t="str">
            <v>single</v>
          </cell>
          <cell r="D36" t="str">
            <v>point</v>
          </cell>
          <cell r="E36" t="str">
            <v>retain</v>
          </cell>
        </row>
        <row r="37">
          <cell r="A37" t="str">
            <v>Ostrich Bay - PNNL - test - 2015</v>
          </cell>
          <cell r="B37" t="str">
            <v>OST</v>
          </cell>
          <cell r="C37" t="str">
            <v>single</v>
          </cell>
          <cell r="D37" t="str">
            <v>point</v>
          </cell>
          <cell r="E37" t="str">
            <v>retain</v>
          </cell>
        </row>
        <row r="38">
          <cell r="A38" t="str">
            <v>Port Gamble Bay - 1 - PNNL - large scale - N corner</v>
          </cell>
          <cell r="B38" t="str">
            <v>PTG_P1</v>
          </cell>
          <cell r="C38" t="str">
            <v>single</v>
          </cell>
          <cell r="D38" t="str">
            <v>polygon</v>
          </cell>
          <cell r="E38" t="str">
            <v>retain</v>
          </cell>
        </row>
        <row r="39">
          <cell r="A39" t="str">
            <v>Port Gamble Bay - 1 - PNNL - large scale - E corner</v>
          </cell>
          <cell r="B39" t="str">
            <v>PTG_P1</v>
          </cell>
          <cell r="C39" t="str">
            <v>single</v>
          </cell>
          <cell r="D39" t="str">
            <v>polygon</v>
          </cell>
          <cell r="E39" t="str">
            <v>retain</v>
          </cell>
        </row>
        <row r="40">
          <cell r="A40" t="str">
            <v>Port Gamble Bay - 1 - PNNL - large scale - S corner</v>
          </cell>
          <cell r="B40" t="str">
            <v>PTG_P1</v>
          </cell>
          <cell r="C40" t="str">
            <v>single</v>
          </cell>
          <cell r="D40" t="str">
            <v>polygon</v>
          </cell>
          <cell r="E40" t="str">
            <v>retain</v>
          </cell>
        </row>
        <row r="41">
          <cell r="A41" t="str">
            <v>Port Gamble Bay - 1 - PNNL - large scale - W corner</v>
          </cell>
          <cell r="B41" t="str">
            <v>PTG_P1</v>
          </cell>
          <cell r="C41" t="str">
            <v>single</v>
          </cell>
          <cell r="D41" t="str">
            <v>polygon</v>
          </cell>
          <cell r="E41" t="str">
            <v>retain</v>
          </cell>
        </row>
        <row r="42">
          <cell r="A42" t="str">
            <v>Port Gamble Bay - 2 - PNNL - large scale - N corner</v>
          </cell>
          <cell r="B42" t="str">
            <v>PTG_P2</v>
          </cell>
          <cell r="C42" t="str">
            <v>single</v>
          </cell>
          <cell r="D42" t="str">
            <v>polygon</v>
          </cell>
          <cell r="E42" t="str">
            <v>retain</v>
          </cell>
        </row>
        <row r="43">
          <cell r="A43" t="str">
            <v>Port Gamble Bay - 2 - PNNL - large scale - E corner</v>
          </cell>
          <cell r="B43" t="str">
            <v>PTG_P2</v>
          </cell>
          <cell r="C43" t="str">
            <v>single</v>
          </cell>
          <cell r="D43" t="str">
            <v>polygon</v>
          </cell>
          <cell r="E43" t="str">
            <v>retain</v>
          </cell>
        </row>
        <row r="44">
          <cell r="A44" t="str">
            <v>Port Gamble Bay - 2 - PNNL - large scale - S corner</v>
          </cell>
          <cell r="B44" t="str">
            <v>PTG_P2</v>
          </cell>
          <cell r="C44" t="str">
            <v>single</v>
          </cell>
          <cell r="D44" t="str">
            <v>polygon</v>
          </cell>
          <cell r="E44" t="str">
            <v>retain</v>
          </cell>
        </row>
        <row r="45">
          <cell r="A45" t="str">
            <v>Port Gamble Bay - 2 - PNNL - large scale - W corner</v>
          </cell>
          <cell r="B45" t="str">
            <v>PTG_P2</v>
          </cell>
          <cell r="C45" t="str">
            <v>single</v>
          </cell>
          <cell r="D45" t="str">
            <v>polygon</v>
          </cell>
          <cell r="E45" t="str">
            <v>retain</v>
          </cell>
        </row>
        <row r="46">
          <cell r="A46" t="str">
            <v>Port Gamble Bay - 3 - PNNL -  large scale - NW corner</v>
          </cell>
          <cell r="B46" t="str">
            <v>PTG_P3</v>
          </cell>
          <cell r="C46" t="str">
            <v>single</v>
          </cell>
          <cell r="D46" t="str">
            <v>polygon</v>
          </cell>
          <cell r="E46" t="str">
            <v>retain</v>
          </cell>
        </row>
        <row r="47">
          <cell r="A47" t="str">
            <v>Port Gamble Bay - 3 - PNNL - large scale - NE corner</v>
          </cell>
          <cell r="B47" t="str">
            <v>PTG_P3</v>
          </cell>
          <cell r="C47" t="str">
            <v>single</v>
          </cell>
          <cell r="D47" t="str">
            <v>polygon</v>
          </cell>
          <cell r="E47" t="str">
            <v>retain</v>
          </cell>
        </row>
        <row r="48">
          <cell r="A48" t="str">
            <v>Port Gamble Bay - 3 - PNNL - large scale - SE corner</v>
          </cell>
          <cell r="B48" t="str">
            <v>PTG_P3</v>
          </cell>
          <cell r="C48" t="str">
            <v>single</v>
          </cell>
          <cell r="D48" t="str">
            <v>polygon</v>
          </cell>
          <cell r="E48" t="str">
            <v>retain</v>
          </cell>
        </row>
        <row r="49">
          <cell r="A49" t="str">
            <v>Port Gamble Bay - 3 - PNNL - large scale - SW corner</v>
          </cell>
          <cell r="B49" t="str">
            <v>PTG_P3</v>
          </cell>
          <cell r="C49" t="str">
            <v>single</v>
          </cell>
          <cell r="D49" t="str">
            <v>polygon</v>
          </cell>
          <cell r="E49" t="str">
            <v>retain</v>
          </cell>
        </row>
        <row r="50">
          <cell r="A50" t="str">
            <v>Port Gamble Bay - 4 - PNNL - large scale - NW corner</v>
          </cell>
          <cell r="B50" t="str">
            <v>PTG_P4</v>
          </cell>
          <cell r="C50" t="str">
            <v>single</v>
          </cell>
          <cell r="D50" t="str">
            <v>polygon</v>
          </cell>
          <cell r="E50" t="str">
            <v>retain</v>
          </cell>
        </row>
        <row r="51">
          <cell r="A51" t="str">
            <v>Port Gamble Bay - 4 - PNNL - large scale - NE corner</v>
          </cell>
          <cell r="B51" t="str">
            <v>PTG_P4</v>
          </cell>
          <cell r="C51" t="str">
            <v>single</v>
          </cell>
          <cell r="D51" t="str">
            <v>polygon</v>
          </cell>
          <cell r="E51" t="str">
            <v>retain</v>
          </cell>
        </row>
        <row r="52">
          <cell r="A52" t="str">
            <v>Port Gamble Bay - 4 - PNNL - large scale - SE corner</v>
          </cell>
          <cell r="B52" t="str">
            <v>PTG_P4</v>
          </cell>
          <cell r="C52" t="str">
            <v>single</v>
          </cell>
          <cell r="D52" t="str">
            <v>polygon</v>
          </cell>
          <cell r="E52" t="str">
            <v>retain</v>
          </cell>
        </row>
        <row r="53">
          <cell r="A53" t="str">
            <v>Port Gamble Bay - 4 - PNNL - large scale - SW corner</v>
          </cell>
          <cell r="B53" t="str">
            <v>PTG_P4</v>
          </cell>
          <cell r="C53" t="str">
            <v>single</v>
          </cell>
          <cell r="D53" t="str">
            <v>polygon</v>
          </cell>
          <cell r="E53" t="str">
            <v>retain</v>
          </cell>
        </row>
        <row r="54">
          <cell r="A54" t="str">
            <v>Stretch Island - PNNL - test - 2015</v>
          </cell>
          <cell r="B54" t="str">
            <v>STI</v>
          </cell>
          <cell r="C54" t="str">
            <v>single</v>
          </cell>
          <cell r="D54" t="str">
            <v>point</v>
          </cell>
          <cell r="E54" t="str">
            <v>retain</v>
          </cell>
        </row>
        <row r="55">
          <cell r="A55" t="str">
            <v>Zangle Cove - NW - PNNL - large - 2015</v>
          </cell>
          <cell r="B55" t="str">
            <v>ZAN_P1</v>
          </cell>
          <cell r="C55" t="str">
            <v>single</v>
          </cell>
          <cell r="D55" t="str">
            <v>polygon</v>
          </cell>
          <cell r="E55" t="str">
            <v>retain</v>
          </cell>
        </row>
        <row r="56">
          <cell r="A56" t="str">
            <v>Zangle Cove - NE - PNNL - large - 2015</v>
          </cell>
          <cell r="B56" t="str">
            <v>ZAN_P1</v>
          </cell>
          <cell r="C56" t="str">
            <v>single</v>
          </cell>
          <cell r="D56" t="str">
            <v>polygon</v>
          </cell>
          <cell r="E56" t="str">
            <v>retain</v>
          </cell>
        </row>
        <row r="57">
          <cell r="A57" t="str">
            <v>Zangle Cove - SE - PNNL - large - 2015</v>
          </cell>
          <cell r="B57" t="str">
            <v>ZAN_P1</v>
          </cell>
          <cell r="C57" t="str">
            <v>single</v>
          </cell>
          <cell r="D57" t="str">
            <v>polygon</v>
          </cell>
          <cell r="E57" t="str">
            <v>retain</v>
          </cell>
        </row>
        <row r="58">
          <cell r="A58" t="str">
            <v>Zangle Cove - SW - PNNL - large - 2015</v>
          </cell>
          <cell r="B58" t="str">
            <v>ZAN_P1</v>
          </cell>
          <cell r="C58" t="str">
            <v>single</v>
          </cell>
          <cell r="D58" t="str">
            <v>polygon</v>
          </cell>
          <cell r="E58" t="str">
            <v>retain</v>
          </cell>
        </row>
        <row r="59">
          <cell r="A59" t="str">
            <v>Zangle Cove - SW - PNNL - test - 2015</v>
          </cell>
          <cell r="B59" t="str">
            <v>ZAN_2</v>
          </cell>
          <cell r="C59" t="str">
            <v>single</v>
          </cell>
          <cell r="D59" t="str">
            <v>point</v>
          </cell>
          <cell r="E59" t="str">
            <v>retain</v>
          </cell>
        </row>
        <row r="60">
          <cell r="A60" t="str">
            <v>Anderson Island West - PNNL - test - 2016</v>
          </cell>
          <cell r="B60" t="str">
            <v>AND_west2</v>
          </cell>
          <cell r="C60" t="str">
            <v>single</v>
          </cell>
          <cell r="D60" t="str">
            <v>point</v>
          </cell>
          <cell r="E60" t="str">
            <v>retain</v>
          </cell>
        </row>
        <row r="61">
          <cell r="A61" t="str">
            <v>Anderson Island South - PNNL - test - 2016</v>
          </cell>
          <cell r="B61" t="str">
            <v>AND_south1</v>
          </cell>
          <cell r="C61" t="str">
            <v>single</v>
          </cell>
          <cell r="D61" t="str">
            <v>point</v>
          </cell>
          <cell r="E61" t="str">
            <v>retain</v>
          </cell>
        </row>
        <row r="62">
          <cell r="A62" t="str">
            <v>Delano W T1 - HC - test - 2016</v>
          </cell>
          <cell r="B62" t="str">
            <v>DEL_L1</v>
          </cell>
          <cell r="C62" t="str">
            <v>single</v>
          </cell>
          <cell r="D62" t="str">
            <v>line</v>
          </cell>
          <cell r="E62" t="str">
            <v>retain</v>
          </cell>
        </row>
        <row r="63">
          <cell r="A63" t="str">
            <v>Delano W T2 - HC - test - 2016</v>
          </cell>
          <cell r="B63" t="str">
            <v>DEL_L1</v>
          </cell>
          <cell r="C63" t="str">
            <v>single</v>
          </cell>
          <cell r="D63" t="str">
            <v>line</v>
          </cell>
          <cell r="E63" t="str">
            <v>retain</v>
          </cell>
        </row>
        <row r="64">
          <cell r="A64" t="str">
            <v>Delano Beach - SE - HC - large - 2016</v>
          </cell>
          <cell r="B64" t="str">
            <v>DEL_P1</v>
          </cell>
          <cell r="C64" t="str">
            <v>single</v>
          </cell>
          <cell r="D64" t="str">
            <v>polygon</v>
          </cell>
          <cell r="E64" t="str">
            <v>retain</v>
          </cell>
        </row>
        <row r="65">
          <cell r="A65" t="str">
            <v>Delano Beach - SW - HC - large - 2016</v>
          </cell>
          <cell r="B65" t="str">
            <v>DEL_P1</v>
          </cell>
          <cell r="C65" t="str">
            <v>single</v>
          </cell>
          <cell r="D65" t="str">
            <v>polygon</v>
          </cell>
          <cell r="E65" t="str">
            <v>retain</v>
          </cell>
        </row>
        <row r="66">
          <cell r="A66" t="str">
            <v>Delano Beach - NE - HC - large - 2016</v>
          </cell>
          <cell r="B66" t="str">
            <v>DEL_P1</v>
          </cell>
          <cell r="C66" t="str">
            <v>single</v>
          </cell>
          <cell r="D66" t="str">
            <v>polygon</v>
          </cell>
          <cell r="E66" t="str">
            <v>retain</v>
          </cell>
        </row>
        <row r="67">
          <cell r="A67" t="str">
            <v>Delano Beach - NW - HC - large - 2016</v>
          </cell>
          <cell r="B67" t="str">
            <v>DEL_P1</v>
          </cell>
          <cell r="C67" t="str">
            <v>single</v>
          </cell>
          <cell r="D67" t="str">
            <v>polygon</v>
          </cell>
          <cell r="E67" t="str">
            <v>retain</v>
          </cell>
        </row>
        <row r="68">
          <cell r="A68" t="str">
            <v>Elwha Delta - north - PNNL - test - 2016</v>
          </cell>
          <cell r="B68" t="str">
            <v>ELW_north</v>
          </cell>
          <cell r="C68" t="str">
            <v>single</v>
          </cell>
          <cell r="D68" t="str">
            <v>point</v>
          </cell>
          <cell r="E68" t="str">
            <v>retain</v>
          </cell>
        </row>
        <row r="69">
          <cell r="A69" t="str">
            <v>Elwha Delta - deep west - PNNL - test - 2016</v>
          </cell>
          <cell r="B69" t="str">
            <v>ELW_deep_west</v>
          </cell>
          <cell r="C69" t="str">
            <v>single</v>
          </cell>
          <cell r="D69" t="str">
            <v>point</v>
          </cell>
          <cell r="E69" t="str">
            <v>retain</v>
          </cell>
        </row>
        <row r="70">
          <cell r="A70" t="str">
            <v>Elwha Delta - shallow - PNNL - test - 2016</v>
          </cell>
          <cell r="B70" t="str">
            <v>ELW_shallow</v>
          </cell>
          <cell r="C70" t="str">
            <v>single</v>
          </cell>
          <cell r="D70" t="str">
            <v>point</v>
          </cell>
          <cell r="E70" t="str">
            <v>retain</v>
          </cell>
        </row>
        <row r="71">
          <cell r="A71" t="str">
            <v>Graham Point - DNR - test - chia -2016</v>
          </cell>
          <cell r="B71" t="str">
            <v>GRA_2</v>
          </cell>
          <cell r="C71" t="str">
            <v>single</v>
          </cell>
          <cell r="D71" t="str">
            <v>point</v>
          </cell>
          <cell r="E71" t="str">
            <v>drop</v>
          </cell>
        </row>
        <row r="72">
          <cell r="A72" t="str">
            <v>Joemma Beach State Park North - north - HC - test - 2016</v>
          </cell>
          <cell r="B72" t="str">
            <v>JSP_north</v>
          </cell>
          <cell r="C72" t="str">
            <v>single</v>
          </cell>
          <cell r="D72" t="str">
            <v>line</v>
          </cell>
          <cell r="E72" t="str">
            <v>retain</v>
          </cell>
        </row>
        <row r="73">
          <cell r="A73" t="str">
            <v>Joemma Beach State Park North - north - HC - test - 2016</v>
          </cell>
          <cell r="B73" t="str">
            <v>JSP_north</v>
          </cell>
          <cell r="C73" t="str">
            <v>single</v>
          </cell>
          <cell r="D73" t="str">
            <v>line</v>
          </cell>
          <cell r="E73" t="str">
            <v>retain</v>
          </cell>
        </row>
        <row r="74">
          <cell r="A74" t="str">
            <v>Joemma Beach State Park South - SE - HC - large 1 - 2016</v>
          </cell>
          <cell r="B74" t="str">
            <v>JSP_south_P1</v>
          </cell>
          <cell r="C74" t="str">
            <v>single</v>
          </cell>
          <cell r="D74" t="str">
            <v>polygon</v>
          </cell>
          <cell r="E74" t="str">
            <v>retain</v>
          </cell>
        </row>
        <row r="75">
          <cell r="A75" t="str">
            <v>Joemma Beach State Park South - SW - HC - large 1 - 2016</v>
          </cell>
          <cell r="B75" t="str">
            <v>JSP_south_P1</v>
          </cell>
          <cell r="C75" t="str">
            <v>single</v>
          </cell>
          <cell r="D75" t="str">
            <v>polygon</v>
          </cell>
          <cell r="E75" t="str">
            <v>retain</v>
          </cell>
        </row>
        <row r="76">
          <cell r="A76" t="str">
            <v>Joemma Beach State Park South - NE - HC - large 1 - 2016</v>
          </cell>
          <cell r="B76" t="str">
            <v>JSP_south_P1</v>
          </cell>
          <cell r="C76" t="str">
            <v>single</v>
          </cell>
          <cell r="D76" t="str">
            <v>polygon</v>
          </cell>
          <cell r="E76" t="str">
            <v>retain</v>
          </cell>
        </row>
        <row r="77">
          <cell r="A77" t="str">
            <v>Joemma Beach State Park South - NW - HC - large 1 - 2016</v>
          </cell>
          <cell r="B77" t="str">
            <v>JSP_south_P1</v>
          </cell>
          <cell r="C77" t="str">
            <v>single</v>
          </cell>
          <cell r="D77" t="str">
            <v>polygon</v>
          </cell>
          <cell r="E77" t="str">
            <v>retain</v>
          </cell>
        </row>
        <row r="78">
          <cell r="A78" t="str">
            <v>South Shore -PNNL - test - 1 - (eastern most) - 2016</v>
          </cell>
          <cell r="B78" t="str">
            <v>MCN_south_1</v>
          </cell>
          <cell r="C78" t="str">
            <v>single</v>
          </cell>
          <cell r="D78" t="str">
            <v>point</v>
          </cell>
          <cell r="E78" t="str">
            <v>retain</v>
          </cell>
        </row>
        <row r="79">
          <cell r="A79" t="str">
            <v>South Shore - PNNL - test - 2  - (middle) - 2016</v>
          </cell>
          <cell r="B79" t="str">
            <v>MCN_south_2</v>
          </cell>
          <cell r="C79" t="str">
            <v>single</v>
          </cell>
          <cell r="D79" t="str">
            <v>point</v>
          </cell>
          <cell r="E79" t="str">
            <v>retain</v>
          </cell>
        </row>
        <row r="80">
          <cell r="A80" t="str">
            <v>South Shore - PNNL - test - 3  - (western most) - 2016</v>
          </cell>
          <cell r="B80" t="str">
            <v>MCN_south_3</v>
          </cell>
          <cell r="C80" t="str">
            <v>single</v>
          </cell>
          <cell r="D80" t="str">
            <v>point</v>
          </cell>
          <cell r="E80" t="str">
            <v>retain</v>
          </cell>
        </row>
        <row r="81">
          <cell r="A81" t="str">
            <v>Still Harbor - PNNL - test - 1  - (southern most) - 2016</v>
          </cell>
          <cell r="B81" t="str">
            <v>MCN_still_1</v>
          </cell>
          <cell r="C81" t="str">
            <v>single</v>
          </cell>
          <cell r="D81" t="str">
            <v>point</v>
          </cell>
          <cell r="E81" t="str">
            <v>retain</v>
          </cell>
        </row>
        <row r="82">
          <cell r="A82" t="str">
            <v>Still Harbor - PNNL - test - 2  - rebar (northern most) - 2016</v>
          </cell>
          <cell r="B82" t="str">
            <v>MCN_still_2</v>
          </cell>
          <cell r="C82" t="str">
            <v>colocated</v>
          </cell>
          <cell r="D82" t="str">
            <v>point</v>
          </cell>
          <cell r="E82" t="str">
            <v>retain</v>
          </cell>
        </row>
        <row r="83">
          <cell r="A83" t="str">
            <v>Still Harbor - PNNL - test - 2  - staple (northern most) - 2016</v>
          </cell>
          <cell r="B83" t="str">
            <v>MCN_still_2</v>
          </cell>
          <cell r="C83" t="str">
            <v>colocated</v>
          </cell>
          <cell r="D83" t="str">
            <v>point</v>
          </cell>
          <cell r="E83" t="str">
            <v>retain</v>
          </cell>
        </row>
        <row r="84">
          <cell r="A84" t="str">
            <v>Penrose North - HC - test - 2016</v>
          </cell>
          <cell r="B84" t="str">
            <v>PEN_L1</v>
          </cell>
          <cell r="C84" t="str">
            <v>single</v>
          </cell>
          <cell r="D84" t="str">
            <v>point</v>
          </cell>
          <cell r="E84" t="str">
            <v>retain</v>
          </cell>
        </row>
        <row r="85">
          <cell r="A85" t="str">
            <v>Quilcene Delta - PNNL - Northern line test plot 1 (inshore) - 2016</v>
          </cell>
          <cell r="B85" t="str">
            <v>QLC_north1</v>
          </cell>
          <cell r="C85" t="str">
            <v>single</v>
          </cell>
          <cell r="D85" t="str">
            <v>point?</v>
          </cell>
          <cell r="E85" t="str">
            <v>retain</v>
          </cell>
        </row>
        <row r="86">
          <cell r="A86" t="str">
            <v>Quilcene Delta - PNNL - Northern line test plot 2 - 2016</v>
          </cell>
          <cell r="B86" t="str">
            <v>QLC_north2</v>
          </cell>
          <cell r="C86" t="str">
            <v>single</v>
          </cell>
          <cell r="D86" t="str">
            <v>point?</v>
          </cell>
          <cell r="E86" t="str">
            <v>retain</v>
          </cell>
        </row>
        <row r="87">
          <cell r="A87" t="str">
            <v>Quilcene Delta - PNNL - Northern line test plot 3 (offshore) - 2016</v>
          </cell>
          <cell r="B87" t="str">
            <v>QLC_north3</v>
          </cell>
          <cell r="C87" t="str">
            <v>single</v>
          </cell>
          <cell r="D87" t="str">
            <v>point?</v>
          </cell>
          <cell r="E87" t="str">
            <v>retain</v>
          </cell>
        </row>
        <row r="88">
          <cell r="A88" t="str">
            <v>Quilcene Delta - PNNL - Middle line test plot 1 (inshore) - 2016</v>
          </cell>
          <cell r="B88" t="str">
            <v>QLC_mid1</v>
          </cell>
          <cell r="C88" t="str">
            <v>single</v>
          </cell>
          <cell r="D88" t="str">
            <v>point?</v>
          </cell>
          <cell r="E88" t="str">
            <v>retain</v>
          </cell>
        </row>
        <row r="89">
          <cell r="A89" t="str">
            <v>Quilcene Delta - PNNL - Middle line test plot 2 - 2016</v>
          </cell>
          <cell r="B89" t="str">
            <v>QLC_mid2</v>
          </cell>
          <cell r="C89" t="str">
            <v>single</v>
          </cell>
          <cell r="D89" t="str">
            <v>point?</v>
          </cell>
          <cell r="E89" t="str">
            <v>retain</v>
          </cell>
        </row>
        <row r="90">
          <cell r="A90" t="str">
            <v>Quilcene Delta - PNNL - Middle line test plot 3 (offshore) - 2016</v>
          </cell>
          <cell r="B90" t="str">
            <v>QLC_mid3</v>
          </cell>
          <cell r="C90" t="str">
            <v>single</v>
          </cell>
          <cell r="D90" t="str">
            <v>point?</v>
          </cell>
          <cell r="E90" t="str">
            <v>retain</v>
          </cell>
        </row>
        <row r="91">
          <cell r="A91" t="str">
            <v>Quilcene Delta - PNNL - Southern line test plot 1 (inshore) - 2016</v>
          </cell>
          <cell r="B91" t="str">
            <v>QLC_south1</v>
          </cell>
          <cell r="C91" t="str">
            <v>single</v>
          </cell>
          <cell r="D91" t="str">
            <v>point?</v>
          </cell>
          <cell r="E91" t="str">
            <v>retain</v>
          </cell>
        </row>
        <row r="92">
          <cell r="A92" t="str">
            <v>Quilcene Delta - PNNL - Southern line test plot 2 - 2016</v>
          </cell>
          <cell r="B92" t="str">
            <v>QLC_south2</v>
          </cell>
          <cell r="C92" t="str">
            <v>single</v>
          </cell>
          <cell r="D92" t="str">
            <v>point?</v>
          </cell>
          <cell r="E92" t="str">
            <v>retain</v>
          </cell>
        </row>
        <row r="93">
          <cell r="A93" t="str">
            <v>Quilcene Delta - PNNL - Southern line test plot 3 (offshore) - 2016</v>
          </cell>
          <cell r="B93" t="str">
            <v>QLC_south3</v>
          </cell>
          <cell r="C93" t="str">
            <v>single</v>
          </cell>
          <cell r="D93" t="str">
            <v>point?</v>
          </cell>
          <cell r="E93" t="str">
            <v>retain</v>
          </cell>
        </row>
        <row r="94">
          <cell r="A94" t="str">
            <v>Skagit Delta - PNNL - test - 1 - 2016</v>
          </cell>
          <cell r="B94" t="str">
            <v>SKG_1</v>
          </cell>
          <cell r="C94" t="str">
            <v>single</v>
          </cell>
          <cell r="D94" t="str">
            <v>point</v>
          </cell>
          <cell r="E94" t="str">
            <v>retain</v>
          </cell>
        </row>
        <row r="95">
          <cell r="A95" t="str">
            <v>Skagit Delta - PNNL - test - 2 - 2016</v>
          </cell>
          <cell r="B95" t="str">
            <v>SKG_2</v>
          </cell>
          <cell r="C95" t="str">
            <v>single</v>
          </cell>
          <cell r="D95" t="str">
            <v>point</v>
          </cell>
          <cell r="E95" t="str">
            <v>retain</v>
          </cell>
        </row>
        <row r="96">
          <cell r="A96" t="str">
            <v>Skagit Delta - PNNL - test - 5 - 2016</v>
          </cell>
          <cell r="B96" t="str">
            <v>SKG_5</v>
          </cell>
          <cell r="C96" t="str">
            <v>single</v>
          </cell>
          <cell r="D96" t="str">
            <v>point</v>
          </cell>
          <cell r="E96" t="str">
            <v>retain</v>
          </cell>
        </row>
        <row r="97">
          <cell r="A97" t="str">
            <v>Skagit Delta - PNNL - test - 6 - 2016</v>
          </cell>
          <cell r="B97" t="str">
            <v>SKG_6</v>
          </cell>
          <cell r="C97" t="str">
            <v>single</v>
          </cell>
          <cell r="D97" t="str">
            <v>point</v>
          </cell>
          <cell r="E97" t="str">
            <v>retain</v>
          </cell>
        </row>
        <row r="98">
          <cell r="A98" t="str">
            <v>Taylor Bay North - HC - test - 2016</v>
          </cell>
          <cell r="B98" t="str">
            <v>TAY_L1</v>
          </cell>
          <cell r="C98" t="str">
            <v>single</v>
          </cell>
          <cell r="D98" t="str">
            <v>line?</v>
          </cell>
          <cell r="E98" t="str">
            <v>retain</v>
          </cell>
        </row>
        <row r="99">
          <cell r="A99" t="str">
            <v>Taylor Bay South - HC - test - 2016</v>
          </cell>
          <cell r="B99" t="str">
            <v>TAY_L1</v>
          </cell>
          <cell r="C99" t="str">
            <v>single</v>
          </cell>
          <cell r="D99" t="str">
            <v>line?</v>
          </cell>
          <cell r="E99" t="str">
            <v>retain</v>
          </cell>
        </row>
        <row r="100">
          <cell r="A100" t="str">
            <v>Zangle Cove - DNR - test - 1 Chia - 2016</v>
          </cell>
          <cell r="B100" t="str">
            <v>ZAN_3</v>
          </cell>
          <cell r="C100" t="str">
            <v>single</v>
          </cell>
          <cell r="D100" t="str">
            <v>point</v>
          </cell>
          <cell r="E100" t="str">
            <v>retain</v>
          </cell>
        </row>
        <row r="101">
          <cell r="A101" t="str">
            <v>Zangle Cove - DNR - test - 4 Chia - 2016</v>
          </cell>
          <cell r="B101" t="str">
            <v>ZAN_4</v>
          </cell>
          <cell r="C101" t="str">
            <v>single</v>
          </cell>
          <cell r="D101" t="str">
            <v>point</v>
          </cell>
          <cell r="E101" t="str">
            <v>retain</v>
          </cell>
        </row>
        <row r="102">
          <cell r="A102" t="str">
            <v>Anderson Island West - North - south - HC - test - 2017</v>
          </cell>
          <cell r="B102" t="str">
            <v>AND_west_L1</v>
          </cell>
          <cell r="C102" t="str">
            <v>single</v>
          </cell>
          <cell r="D102" t="str">
            <v>line</v>
          </cell>
          <cell r="E102" t="str">
            <v>retain</v>
          </cell>
        </row>
        <row r="103">
          <cell r="A103" t="str">
            <v>Anderson Island West - North - north - HC - test - 2017</v>
          </cell>
          <cell r="B103" t="str">
            <v>AND_west_L1</v>
          </cell>
          <cell r="C103" t="str">
            <v>single</v>
          </cell>
          <cell r="D103" t="str">
            <v>line</v>
          </cell>
          <cell r="E103" t="str">
            <v>retain</v>
          </cell>
        </row>
        <row r="104">
          <cell r="A104" t="str">
            <v>Anderson Island West - South - south - HC - test - 2017</v>
          </cell>
          <cell r="B104" t="str">
            <v>AND_south_L1</v>
          </cell>
          <cell r="C104" t="str">
            <v>single</v>
          </cell>
          <cell r="D104" t="str">
            <v>line</v>
          </cell>
          <cell r="E104" t="str">
            <v>retain</v>
          </cell>
        </row>
        <row r="105">
          <cell r="A105" t="str">
            <v>Anderson Island West - South - north - HC - test - 2017</v>
          </cell>
          <cell r="B105" t="str">
            <v>AND_south_L1</v>
          </cell>
          <cell r="C105" t="str">
            <v>single</v>
          </cell>
          <cell r="D105" t="str">
            <v>line</v>
          </cell>
          <cell r="E105" t="str">
            <v>retain</v>
          </cell>
        </row>
        <row r="106">
          <cell r="A106" t="str">
            <v>Anderson Island South 1 - west - HC - large - 2017</v>
          </cell>
          <cell r="B106" t="str">
            <v>AND_south_L2</v>
          </cell>
          <cell r="C106" t="str">
            <v>single</v>
          </cell>
          <cell r="D106" t="str">
            <v>line</v>
          </cell>
          <cell r="E106" t="str">
            <v>retain</v>
          </cell>
        </row>
        <row r="107">
          <cell r="A107" t="str">
            <v>Anderson Island South 1 - east - HC - large - 2017</v>
          </cell>
          <cell r="B107" t="str">
            <v>AND_south_L2</v>
          </cell>
          <cell r="C107" t="str">
            <v>single</v>
          </cell>
          <cell r="D107" t="str">
            <v>line</v>
          </cell>
          <cell r="E107" t="str">
            <v>retain</v>
          </cell>
        </row>
        <row r="108">
          <cell r="A108" t="str">
            <v>Anderson Island South 2 - west - HC - large - 2017</v>
          </cell>
          <cell r="B108" t="str">
            <v>AND_south_L3</v>
          </cell>
          <cell r="C108" t="str">
            <v>single</v>
          </cell>
          <cell r="D108" t="str">
            <v>line</v>
          </cell>
          <cell r="E108" t="str">
            <v>retain</v>
          </cell>
        </row>
        <row r="109">
          <cell r="A109" t="str">
            <v>Anderson Island South 2 - east - HC - large - 2017</v>
          </cell>
          <cell r="B109" t="str">
            <v>AND_south_L3</v>
          </cell>
          <cell r="C109" t="str">
            <v>single</v>
          </cell>
          <cell r="D109" t="str">
            <v>line</v>
          </cell>
          <cell r="E109" t="str">
            <v>retain</v>
          </cell>
        </row>
        <row r="110">
          <cell r="A110" t="str">
            <v>Anderson Island South 3 - east - PNNL - large - 2017</v>
          </cell>
          <cell r="B110" t="str">
            <v>AND_south_L4</v>
          </cell>
          <cell r="C110" t="str">
            <v>single</v>
          </cell>
          <cell r="D110" t="str">
            <v>line</v>
          </cell>
          <cell r="E110" t="str">
            <v>retain</v>
          </cell>
        </row>
        <row r="111">
          <cell r="A111" t="str">
            <v>Anderson Island South 3 - east - PNNL - large - 2017</v>
          </cell>
          <cell r="B111" t="str">
            <v>AND_south_L4</v>
          </cell>
          <cell r="C111" t="str">
            <v>single</v>
          </cell>
          <cell r="D111" t="str">
            <v>line</v>
          </cell>
          <cell r="E111" t="str">
            <v>retain</v>
          </cell>
        </row>
        <row r="112">
          <cell r="A112" t="str">
            <v>Commencement Bay - PNNL - Test Plot shallow - 2017</v>
          </cell>
          <cell r="B112" t="str">
            <v>COM_shallow</v>
          </cell>
          <cell r="C112" t="str">
            <v>single</v>
          </cell>
          <cell r="D112" t="str">
            <v>point</v>
          </cell>
          <cell r="E112" t="str">
            <v>retain</v>
          </cell>
        </row>
        <row r="113">
          <cell r="A113" t="str">
            <v>Commencement Bay - PNNL - Test Plot deep - 2017</v>
          </cell>
          <cell r="B113" t="str">
            <v>COM_deep</v>
          </cell>
          <cell r="C113" t="str">
            <v>single</v>
          </cell>
          <cell r="D113" t="str">
            <v>point</v>
          </cell>
          <cell r="E113" t="str">
            <v>retain</v>
          </cell>
        </row>
        <row r="114">
          <cell r="A114" t="str">
            <v>Delano Beach East - north - HC - test - 2017</v>
          </cell>
          <cell r="B114" t="str">
            <v>DEL_3</v>
          </cell>
          <cell r="C114" t="str">
            <v>initial</v>
          </cell>
          <cell r="D114" t="str">
            <v>point</v>
          </cell>
          <cell r="E114" t="str">
            <v>retain</v>
          </cell>
        </row>
        <row r="115">
          <cell r="A115" t="str">
            <v>Delano Beach East - south - HC - test - 2017</v>
          </cell>
          <cell r="B115" t="str">
            <v>DEL_2</v>
          </cell>
          <cell r="C115" t="str">
            <v>single</v>
          </cell>
          <cell r="D115" t="str">
            <v>point</v>
          </cell>
          <cell r="E115" t="str">
            <v>retain</v>
          </cell>
        </row>
        <row r="116">
          <cell r="A116" t="str">
            <v>Fudge Point South - north - DNR - rebar test - 2017</v>
          </cell>
          <cell r="B116" t="str">
            <v>FDG_1</v>
          </cell>
          <cell r="C116" t="str">
            <v>single</v>
          </cell>
          <cell r="D116" t="str">
            <v>point</v>
          </cell>
          <cell r="E116" t="str">
            <v>retain</v>
          </cell>
        </row>
        <row r="117">
          <cell r="A117" t="str">
            <v>Fudge Point South - south - HC - test - 2017</v>
          </cell>
          <cell r="B117" t="str">
            <v>FDG_L1</v>
          </cell>
          <cell r="C117" t="str">
            <v>initial</v>
          </cell>
          <cell r="D117" t="str">
            <v>line</v>
          </cell>
          <cell r="E117" t="str">
            <v>retain</v>
          </cell>
        </row>
        <row r="118">
          <cell r="A118" t="str">
            <v>Fudge Point South - north - HC test - 2017</v>
          </cell>
          <cell r="B118" t="str">
            <v>FDG_L1</v>
          </cell>
          <cell r="C118" t="str">
            <v>initial</v>
          </cell>
          <cell r="D118" t="str">
            <v>line</v>
          </cell>
          <cell r="E118" t="str">
            <v>retain</v>
          </cell>
        </row>
        <row r="119">
          <cell r="A119" t="str">
            <v>Fudge Point North - south - HC - test - 2017</v>
          </cell>
          <cell r="B119" t="str">
            <v>FDG_L2</v>
          </cell>
          <cell r="C119" t="str">
            <v>initial</v>
          </cell>
          <cell r="D119" t="str">
            <v>line</v>
          </cell>
          <cell r="E119" t="str">
            <v>retain</v>
          </cell>
        </row>
        <row r="120">
          <cell r="A120" t="str">
            <v>Fudge Point North - north - HC - test - 2017</v>
          </cell>
          <cell r="B120" t="str">
            <v>FDG_L2</v>
          </cell>
          <cell r="C120" t="str">
            <v>initial</v>
          </cell>
          <cell r="D120" t="str">
            <v>line</v>
          </cell>
          <cell r="E120" t="str">
            <v>retain</v>
          </cell>
        </row>
        <row r="121">
          <cell r="A121" t="str">
            <v>Harstine Island - PNNL - Test Plot 2 of 4 (north plot) - 2017</v>
          </cell>
          <cell r="B121" t="str">
            <v>HAR_2</v>
          </cell>
          <cell r="C121" t="str">
            <v>single</v>
          </cell>
          <cell r="D121" t="str">
            <v>point</v>
          </cell>
          <cell r="E121" t="str">
            <v>retain</v>
          </cell>
        </row>
        <row r="122">
          <cell r="A122" t="str">
            <v>Harstine Island - PNNL - Test Plot 3 of 4 (south plot) - 2017</v>
          </cell>
          <cell r="B122" t="str">
            <v>HAR_3</v>
          </cell>
          <cell r="C122" t="str">
            <v>single</v>
          </cell>
          <cell r="D122" t="str">
            <v>point</v>
          </cell>
          <cell r="E122" t="str">
            <v>retain</v>
          </cell>
        </row>
        <row r="123">
          <cell r="A123" t="str">
            <v>Harstine Island - PNNL - Test Plot 4 or 4 (south of south plot) staples - 2017</v>
          </cell>
          <cell r="B123" t="str">
            <v>HAR_4</v>
          </cell>
          <cell r="C123" t="str">
            <v>colocated</v>
          </cell>
          <cell r="D123" t="str">
            <v>point</v>
          </cell>
          <cell r="E123" t="str">
            <v>retain</v>
          </cell>
        </row>
        <row r="124">
          <cell r="A124" t="str">
            <v>Harstine Island - PNNL - Test Plot 4 or 4 (south of south plot) rebar - 2017</v>
          </cell>
          <cell r="B124" t="str">
            <v>HAR_4</v>
          </cell>
          <cell r="C124" t="str">
            <v>colocated</v>
          </cell>
          <cell r="D124" t="str">
            <v>point</v>
          </cell>
          <cell r="E124" t="str">
            <v>retain</v>
          </cell>
        </row>
        <row r="125">
          <cell r="A125" t="str">
            <v>Harstine Island - PNNL - Test Plot 1 of 4 (north of north plot) - 2017</v>
          </cell>
          <cell r="B125" t="str">
            <v>HAR_1</v>
          </cell>
          <cell r="C125" t="str">
            <v>single</v>
          </cell>
          <cell r="D125" t="str">
            <v>point</v>
          </cell>
          <cell r="E125" t="str">
            <v>retain</v>
          </cell>
        </row>
        <row r="126">
          <cell r="A126" t="str">
            <v>Joemma Beach State Park North - south - HC - test 1 - 2017</v>
          </cell>
          <cell r="B126" t="str">
            <v>JSP_north_L1</v>
          </cell>
          <cell r="C126" t="str">
            <v>single</v>
          </cell>
          <cell r="D126" t="str">
            <v>line</v>
          </cell>
          <cell r="E126" t="str">
            <v>retain</v>
          </cell>
        </row>
        <row r="127">
          <cell r="A127" t="str">
            <v>Joemma Beach State Park North - north - HC - test 1 - 2017</v>
          </cell>
          <cell r="B127" t="str">
            <v>JSP_north_L1</v>
          </cell>
          <cell r="C127" t="str">
            <v>single</v>
          </cell>
          <cell r="D127" t="str">
            <v>line</v>
          </cell>
          <cell r="E127" t="str">
            <v>retain</v>
          </cell>
        </row>
        <row r="128">
          <cell r="A128" t="str">
            <v>Joemma Beach State Park North - south - HC - test 2 - 2017</v>
          </cell>
          <cell r="B128" t="str">
            <v>JSP_north_L2</v>
          </cell>
          <cell r="C128" t="str">
            <v>single</v>
          </cell>
          <cell r="D128" t="str">
            <v>line</v>
          </cell>
          <cell r="E128" t="str">
            <v>retain</v>
          </cell>
        </row>
        <row r="129">
          <cell r="A129" t="str">
            <v>Joemma Beach State Park North - north - HC - test 2 - 2017</v>
          </cell>
          <cell r="B129" t="str">
            <v>JSP_north_L2</v>
          </cell>
          <cell r="C129" t="str">
            <v>single</v>
          </cell>
          <cell r="D129" t="str">
            <v>line</v>
          </cell>
          <cell r="E129" t="str">
            <v>retain</v>
          </cell>
        </row>
        <row r="130">
          <cell r="A130" t="str">
            <v>Joemma Beach State Park South - SE - HC - large 2 - 2017</v>
          </cell>
          <cell r="B130" t="str">
            <v>JSP_south_P2</v>
          </cell>
          <cell r="C130" t="str">
            <v>single</v>
          </cell>
          <cell r="D130" t="str">
            <v>polygon</v>
          </cell>
          <cell r="E130" t="str">
            <v>drop</v>
          </cell>
        </row>
        <row r="131">
          <cell r="A131" t="str">
            <v>Joemma Beach State Park South - SW - HC - large 2 - 2017</v>
          </cell>
          <cell r="B131" t="str">
            <v>JSP_south_P2</v>
          </cell>
          <cell r="C131" t="str">
            <v>single</v>
          </cell>
          <cell r="D131" t="str">
            <v>polygon</v>
          </cell>
          <cell r="E131" t="str">
            <v>drop</v>
          </cell>
        </row>
        <row r="132">
          <cell r="A132" t="str">
            <v>Joemma Beach State Park South - NE - HC - large 2 - 2017</v>
          </cell>
          <cell r="B132" t="str">
            <v>JSP_south_P2</v>
          </cell>
          <cell r="C132" t="str">
            <v>single</v>
          </cell>
          <cell r="D132" t="str">
            <v>polygon</v>
          </cell>
          <cell r="E132" t="str">
            <v>drop</v>
          </cell>
        </row>
        <row r="133">
          <cell r="A133" t="str">
            <v>Joemma Beach State Park South - NW - HC - large 2 - 2017</v>
          </cell>
          <cell r="B133" t="str">
            <v>JSP_south_P2</v>
          </cell>
          <cell r="C133" t="str">
            <v>single</v>
          </cell>
          <cell r="D133" t="str">
            <v>polygon</v>
          </cell>
          <cell r="E133" t="str">
            <v>drop</v>
          </cell>
        </row>
        <row r="134">
          <cell r="A134" t="str">
            <v>Joemma Beach State Park South - SE - HC - large 3- 2017</v>
          </cell>
          <cell r="B134" t="str">
            <v>JSP_south_P3</v>
          </cell>
          <cell r="C134" t="str">
            <v>single</v>
          </cell>
          <cell r="D134" t="str">
            <v>polygon</v>
          </cell>
          <cell r="E134" t="str">
            <v>drop</v>
          </cell>
        </row>
        <row r="135">
          <cell r="A135" t="str">
            <v>Joemma Beach State Park South - SW - HC - large 3 - 2017</v>
          </cell>
          <cell r="B135" t="str">
            <v>JSP_south_P3</v>
          </cell>
          <cell r="C135" t="str">
            <v>single</v>
          </cell>
          <cell r="D135" t="str">
            <v>polygon</v>
          </cell>
          <cell r="E135" t="str">
            <v>drop</v>
          </cell>
        </row>
        <row r="136">
          <cell r="A136" t="str">
            <v>Joemma Beach State Park South - NE - HC - large 3 - 2017</v>
          </cell>
          <cell r="B136" t="str">
            <v>JSP_south_P3</v>
          </cell>
          <cell r="C136" t="str">
            <v>single</v>
          </cell>
          <cell r="D136" t="str">
            <v>polygon</v>
          </cell>
          <cell r="E136" t="str">
            <v>drop</v>
          </cell>
        </row>
        <row r="137">
          <cell r="A137" t="str">
            <v>Joemma Beach State Park South - NW - HC - large 3 - 2017</v>
          </cell>
          <cell r="B137" t="str">
            <v>JSP_south_P3</v>
          </cell>
          <cell r="C137" t="str">
            <v>single</v>
          </cell>
          <cell r="D137" t="str">
            <v>polygon</v>
          </cell>
          <cell r="E137" t="str">
            <v>drop</v>
          </cell>
        </row>
        <row r="138">
          <cell r="A138" t="str">
            <v>Joemma Beach State Park South - SE - HC - large 4- 2017</v>
          </cell>
          <cell r="B138" t="str">
            <v>JSP_south_P4</v>
          </cell>
          <cell r="C138" t="str">
            <v>single</v>
          </cell>
          <cell r="D138" t="str">
            <v>polygon</v>
          </cell>
          <cell r="E138" t="str">
            <v>drop</v>
          </cell>
        </row>
        <row r="139">
          <cell r="A139" t="str">
            <v>Joemma Beach State Park South - SW - HC - large 4 - 2017</v>
          </cell>
          <cell r="B139" t="str">
            <v>JSP_south_P4</v>
          </cell>
          <cell r="C139" t="str">
            <v>single</v>
          </cell>
          <cell r="D139" t="str">
            <v>polygon</v>
          </cell>
          <cell r="E139" t="str">
            <v>drop</v>
          </cell>
        </row>
        <row r="140">
          <cell r="A140" t="str">
            <v>Joemma Beach State Park South - NE - HC - large 4 - 2017</v>
          </cell>
          <cell r="B140" t="str">
            <v>JSP_south_P4</v>
          </cell>
          <cell r="C140" t="str">
            <v>single</v>
          </cell>
          <cell r="D140" t="str">
            <v>polygon</v>
          </cell>
          <cell r="E140" t="str">
            <v>drop</v>
          </cell>
        </row>
        <row r="141">
          <cell r="A141" t="str">
            <v>Joemma Beach State Park South - NW - HC - large 4 - 2017</v>
          </cell>
          <cell r="B141" t="str">
            <v>JSP_south_P4</v>
          </cell>
          <cell r="C141" t="str">
            <v>single</v>
          </cell>
          <cell r="D141" t="str">
            <v>polygon</v>
          </cell>
          <cell r="E141" t="str">
            <v>drop</v>
          </cell>
        </row>
        <row r="142">
          <cell r="A142" t="str">
            <v>Joemma Beach State Park Mid - DNR - BESE - AG - 1 - 2017</v>
          </cell>
          <cell r="B142" t="str">
            <v>JSP_mid_AG1</v>
          </cell>
          <cell r="C142" t="str">
            <v>single</v>
          </cell>
          <cell r="D142" t="str">
            <v>point</v>
          </cell>
          <cell r="E142" t="str">
            <v>retain</v>
          </cell>
        </row>
        <row r="143">
          <cell r="A143" t="str">
            <v>Joemma Beach State Park Mid - DNR - BESE - BG - 1 - 2017</v>
          </cell>
          <cell r="B143" t="str">
            <v>JSP_mid_BG1</v>
          </cell>
          <cell r="C143" t="str">
            <v>single</v>
          </cell>
          <cell r="D143" t="str">
            <v>point</v>
          </cell>
          <cell r="E143" t="str">
            <v>retain</v>
          </cell>
        </row>
        <row r="144">
          <cell r="A144" t="str">
            <v>Joemma Beach State Park Mid - DNR - BESE - C - 1 - 2017</v>
          </cell>
          <cell r="B144" t="str">
            <v>JSP_mid_C1</v>
          </cell>
          <cell r="C144" t="str">
            <v>single</v>
          </cell>
          <cell r="D144" t="str">
            <v>point</v>
          </cell>
          <cell r="E144" t="str">
            <v>retain</v>
          </cell>
        </row>
        <row r="145">
          <cell r="A145" t="str">
            <v>Joemma Beach State Park Mid - DNR - BESE - AG - 2 - 2017</v>
          </cell>
          <cell r="B145" t="str">
            <v>JSP_mid_AG2</v>
          </cell>
          <cell r="C145" t="str">
            <v>single</v>
          </cell>
          <cell r="D145" t="str">
            <v>point</v>
          </cell>
          <cell r="E145" t="str">
            <v>retain</v>
          </cell>
        </row>
        <row r="146">
          <cell r="A146" t="str">
            <v>Joemma Beach State Park Mid - DNR - BESE - C - 2 - 2017</v>
          </cell>
          <cell r="B146" t="str">
            <v>JSP_mid_C2</v>
          </cell>
          <cell r="C146" t="str">
            <v>single</v>
          </cell>
          <cell r="D146" t="str">
            <v>point</v>
          </cell>
          <cell r="E146" t="str">
            <v>retain</v>
          </cell>
        </row>
        <row r="147">
          <cell r="A147" t="str">
            <v>Joemma Beach State Park Mid - DNR - BESE - BG - 2 - 2017</v>
          </cell>
          <cell r="B147" t="str">
            <v>JSP_mid_BG2</v>
          </cell>
          <cell r="C147" t="str">
            <v>single</v>
          </cell>
          <cell r="D147" t="str">
            <v>point</v>
          </cell>
          <cell r="E147" t="str">
            <v>retain</v>
          </cell>
        </row>
        <row r="148">
          <cell r="A148" t="str">
            <v>Joemma Beach State Park Mid - DNR - BESE - C - 3 - 2017</v>
          </cell>
          <cell r="B148" t="str">
            <v>JSP_mid_C3</v>
          </cell>
          <cell r="C148" t="str">
            <v>single</v>
          </cell>
          <cell r="D148" t="str">
            <v>point</v>
          </cell>
          <cell r="E148" t="str">
            <v>retain</v>
          </cell>
        </row>
        <row r="149">
          <cell r="A149" t="str">
            <v>Joemma Beach State Park Mid - DNR - BESE - BG - 3 - 2017</v>
          </cell>
          <cell r="B149" t="str">
            <v>JSP_mid_BG3</v>
          </cell>
          <cell r="C149" t="str">
            <v>single</v>
          </cell>
          <cell r="D149" t="str">
            <v>point</v>
          </cell>
          <cell r="E149" t="str">
            <v>retain</v>
          </cell>
        </row>
        <row r="150">
          <cell r="A150" t="str">
            <v>Joemma Beach State Park Mid - DNR - BESE - C - 4 - 2017</v>
          </cell>
          <cell r="B150" t="str">
            <v>JSP_mid_C4</v>
          </cell>
          <cell r="C150" t="str">
            <v>single</v>
          </cell>
          <cell r="D150" t="str">
            <v>point</v>
          </cell>
          <cell r="E150" t="str">
            <v>retain</v>
          </cell>
        </row>
        <row r="151">
          <cell r="A151" t="str">
            <v>Joemma Beach State Park Mid - DNR - BESE - BG - 4 - 2017</v>
          </cell>
          <cell r="B151" t="str">
            <v>JSP_mid_BG4</v>
          </cell>
          <cell r="C151" t="str">
            <v>single</v>
          </cell>
          <cell r="D151" t="str">
            <v>point</v>
          </cell>
          <cell r="E151" t="str">
            <v>retain</v>
          </cell>
        </row>
        <row r="152">
          <cell r="A152" t="str">
            <v>Joemma Beach State Park Mid - DNR - BESE - AG - 3 - 2017</v>
          </cell>
          <cell r="B152" t="str">
            <v>JSP_mid_AG3</v>
          </cell>
          <cell r="C152" t="str">
            <v>single</v>
          </cell>
          <cell r="D152" t="str">
            <v>point</v>
          </cell>
          <cell r="E152" t="str">
            <v>retain</v>
          </cell>
        </row>
        <row r="153">
          <cell r="A153" t="str">
            <v>Joemma Beach State Park Mid - DNR - BESE - AG - 4 - 2017</v>
          </cell>
          <cell r="B153" t="str">
            <v>JSP_mid_AG4</v>
          </cell>
          <cell r="C153" t="str">
            <v>single</v>
          </cell>
          <cell r="D153" t="str">
            <v>point</v>
          </cell>
          <cell r="E153" t="str">
            <v>retain</v>
          </cell>
        </row>
        <row r="154">
          <cell r="A154" t="str">
            <v>Joemma Beach State Park North - SE - DNR - methods - 2017</v>
          </cell>
          <cell r="B154" t="str">
            <v>JSP_north_P1</v>
          </cell>
          <cell r="C154" t="str">
            <v>single</v>
          </cell>
          <cell r="D154" t="str">
            <v>polygon</v>
          </cell>
          <cell r="E154" t="str">
            <v>drop</v>
          </cell>
        </row>
        <row r="155">
          <cell r="A155" t="str">
            <v>Joemma Beach State Park North - SW - DNR - methods - 2017</v>
          </cell>
          <cell r="B155" t="str">
            <v>JSP_north_P1</v>
          </cell>
          <cell r="C155" t="str">
            <v>single</v>
          </cell>
          <cell r="D155" t="str">
            <v>polygon</v>
          </cell>
          <cell r="E155" t="str">
            <v>drop</v>
          </cell>
        </row>
        <row r="156">
          <cell r="A156" t="str">
            <v>Joemma Beach State Park North - NE - DNR - methods - 2017</v>
          </cell>
          <cell r="B156" t="str">
            <v>JSP_north_P1</v>
          </cell>
          <cell r="C156" t="str">
            <v>single</v>
          </cell>
          <cell r="D156" t="str">
            <v>polygon</v>
          </cell>
          <cell r="E156" t="str">
            <v>drop</v>
          </cell>
        </row>
        <row r="157">
          <cell r="A157" t="str">
            <v>Joemma Beach State Park North - NW - DNR - methods - 2017</v>
          </cell>
          <cell r="B157" t="str">
            <v>JSP_north_P1</v>
          </cell>
          <cell r="C157" t="str">
            <v>single</v>
          </cell>
          <cell r="D157" t="str">
            <v>polygon</v>
          </cell>
          <cell r="E157" t="str">
            <v>drop</v>
          </cell>
        </row>
        <row r="158">
          <cell r="A158" t="str">
            <v>Joemma Beach State Park Mid - SE - DNR - methods - 2017</v>
          </cell>
          <cell r="B158" t="str">
            <v>JSP_mid_P1</v>
          </cell>
          <cell r="C158" t="str">
            <v>single</v>
          </cell>
          <cell r="D158" t="str">
            <v>polygon</v>
          </cell>
          <cell r="E158" t="str">
            <v>drop</v>
          </cell>
        </row>
        <row r="159">
          <cell r="A159" t="str">
            <v>Joemma Beach State Park Mid - SW - DNR - methods - 2017</v>
          </cell>
          <cell r="B159" t="str">
            <v>JSP_mid_P1</v>
          </cell>
          <cell r="C159" t="str">
            <v>single</v>
          </cell>
          <cell r="D159" t="str">
            <v>polygon</v>
          </cell>
          <cell r="E159" t="str">
            <v>drop</v>
          </cell>
        </row>
        <row r="160">
          <cell r="A160" t="str">
            <v>Joemma Beach State Park Mid - NE - DNR - methods - 2017</v>
          </cell>
          <cell r="B160" t="str">
            <v>JSP_mid_P1</v>
          </cell>
          <cell r="C160" t="str">
            <v>single</v>
          </cell>
          <cell r="D160" t="str">
            <v>polygon</v>
          </cell>
          <cell r="E160" t="str">
            <v>drop</v>
          </cell>
        </row>
        <row r="161">
          <cell r="A161" t="str">
            <v>Joemma Beach State Park Mid - NW - DNR - methods - 2017</v>
          </cell>
          <cell r="B161" t="str">
            <v>JSP_mid_P1</v>
          </cell>
          <cell r="C161" t="str">
            <v>single</v>
          </cell>
          <cell r="D161" t="str">
            <v>polygon</v>
          </cell>
          <cell r="E161" t="str">
            <v>drop</v>
          </cell>
        </row>
        <row r="162">
          <cell r="A162" t="str">
            <v>Joemma Beach State Park South - SE - DNR - methods - 2017</v>
          </cell>
          <cell r="B162" t="str">
            <v>JSP_south_P5</v>
          </cell>
          <cell r="C162" t="str">
            <v>single</v>
          </cell>
          <cell r="D162" t="str">
            <v>point</v>
          </cell>
          <cell r="E162" t="str">
            <v>retain</v>
          </cell>
        </row>
        <row r="163">
          <cell r="A163" t="str">
            <v>Joemma Beach State Park South - SW - DNR - methods - 2017</v>
          </cell>
          <cell r="B163" t="str">
            <v>JSP_south_P5</v>
          </cell>
          <cell r="C163" t="str">
            <v>single</v>
          </cell>
          <cell r="D163" t="str">
            <v>point</v>
          </cell>
          <cell r="E163" t="str">
            <v>retain</v>
          </cell>
        </row>
        <row r="164">
          <cell r="A164" t="str">
            <v>Joemma Beach State Park South - NE - DNR - methods - 2017</v>
          </cell>
          <cell r="B164" t="str">
            <v>JSP_south_P5</v>
          </cell>
          <cell r="C164" t="str">
            <v>single</v>
          </cell>
          <cell r="D164" t="str">
            <v>point</v>
          </cell>
          <cell r="E164" t="str">
            <v>retain</v>
          </cell>
        </row>
        <row r="165">
          <cell r="A165" t="str">
            <v>Joemma Beach State Park South - NW - DNR - methods - 2017</v>
          </cell>
          <cell r="B165" t="str">
            <v>JSP_south_P5</v>
          </cell>
          <cell r="C165" t="str">
            <v>single</v>
          </cell>
          <cell r="D165" t="str">
            <v>point</v>
          </cell>
          <cell r="E165" t="str">
            <v>retain</v>
          </cell>
        </row>
        <row r="166">
          <cell r="A166" t="str">
            <v>Joemma Beach State Park Mid South - PNNL - large - T4-5 - 2015</v>
          </cell>
          <cell r="B166" t="str">
            <v>JSP_mid_south_2</v>
          </cell>
          <cell r="C166" t="str">
            <v>single</v>
          </cell>
          <cell r="D166" t="str">
            <v>point</v>
          </cell>
          <cell r="E166" t="str">
            <v>drop</v>
          </cell>
        </row>
        <row r="167">
          <cell r="A167" t="str">
            <v>Joemma Beach State Park Mid South - PNNL - large - T4-5 - 2015</v>
          </cell>
          <cell r="B167" t="str">
            <v>JSP_mid_south_3</v>
          </cell>
          <cell r="C167" t="str">
            <v>single</v>
          </cell>
          <cell r="D167" t="str">
            <v>point</v>
          </cell>
          <cell r="E167" t="str">
            <v>drop</v>
          </cell>
        </row>
        <row r="168">
          <cell r="A168" t="str">
            <v>Joemma Beach State Park Mid South - PNNL - large - T4-5 - 2015</v>
          </cell>
          <cell r="B168" t="str">
            <v>JSP_mid_south_4</v>
          </cell>
          <cell r="C168" t="str">
            <v>single</v>
          </cell>
          <cell r="D168" t="str">
            <v>point</v>
          </cell>
          <cell r="E168" t="str">
            <v>drop</v>
          </cell>
        </row>
        <row r="169">
          <cell r="A169" t="str">
            <v>Joemma Beach State Park Mid South - PNNL - large - T4-5 - 2015</v>
          </cell>
          <cell r="B169" t="str">
            <v>JSP_mid_south_5</v>
          </cell>
          <cell r="C169" t="str">
            <v>single</v>
          </cell>
          <cell r="D169" t="str">
            <v>point</v>
          </cell>
          <cell r="E169" t="str">
            <v>drop</v>
          </cell>
        </row>
        <row r="170">
          <cell r="A170" t="str">
            <v>BESE - 1 - Aboveground (AG)</v>
          </cell>
          <cell r="B170" t="str">
            <v>JSP_AG1</v>
          </cell>
          <cell r="C170" t="str">
            <v>single</v>
          </cell>
          <cell r="D170" t="str">
            <v>point</v>
          </cell>
          <cell r="E170" t="str">
            <v>retain</v>
          </cell>
        </row>
        <row r="171">
          <cell r="A171" t="str">
            <v>BESE - 1 - Belowground (BG)</v>
          </cell>
          <cell r="B171" t="str">
            <v>JSP_BG1</v>
          </cell>
          <cell r="C171" t="str">
            <v>single</v>
          </cell>
          <cell r="D171" t="str">
            <v>point</v>
          </cell>
          <cell r="E171" t="str">
            <v>retain</v>
          </cell>
        </row>
        <row r="172">
          <cell r="A172" t="str">
            <v>BESE - 1 - Control ( C)</v>
          </cell>
          <cell r="B172" t="str">
            <v>JSP_C1</v>
          </cell>
          <cell r="C172" t="str">
            <v>single</v>
          </cell>
          <cell r="D172" t="str">
            <v>point</v>
          </cell>
          <cell r="E172" t="str">
            <v>retain</v>
          </cell>
        </row>
        <row r="173">
          <cell r="A173" t="str">
            <v>BESE - 2 - AG</v>
          </cell>
          <cell r="B173" t="str">
            <v>JSP_AG2</v>
          </cell>
          <cell r="C173" t="str">
            <v>single</v>
          </cell>
          <cell r="D173" t="str">
            <v>point</v>
          </cell>
          <cell r="E173" t="str">
            <v>retain</v>
          </cell>
        </row>
        <row r="174">
          <cell r="A174" t="str">
            <v>BESE - 2 - C</v>
          </cell>
          <cell r="B174" t="str">
            <v>JSP_C2</v>
          </cell>
          <cell r="C174" t="str">
            <v>single</v>
          </cell>
          <cell r="D174" t="str">
            <v>point</v>
          </cell>
          <cell r="E174" t="str">
            <v>retain</v>
          </cell>
        </row>
        <row r="175">
          <cell r="A175" t="str">
            <v>BESE - 2 - BG</v>
          </cell>
          <cell r="B175" t="str">
            <v>JSP_BG2</v>
          </cell>
          <cell r="C175" t="str">
            <v>single</v>
          </cell>
          <cell r="D175" t="str">
            <v>point</v>
          </cell>
          <cell r="E175" t="str">
            <v>retain</v>
          </cell>
        </row>
        <row r="176">
          <cell r="A176" t="str">
            <v>BESE - 3 - C</v>
          </cell>
          <cell r="B176" t="str">
            <v>JSP_C3</v>
          </cell>
          <cell r="C176" t="str">
            <v>single</v>
          </cell>
          <cell r="D176" t="str">
            <v>point</v>
          </cell>
          <cell r="E176" t="str">
            <v>retain</v>
          </cell>
        </row>
        <row r="177">
          <cell r="A177" t="str">
            <v>BESE - 3 - BG</v>
          </cell>
          <cell r="B177" t="str">
            <v>JSP_BG3</v>
          </cell>
          <cell r="C177" t="str">
            <v>single</v>
          </cell>
          <cell r="D177" t="str">
            <v>point</v>
          </cell>
          <cell r="E177" t="str">
            <v>retain</v>
          </cell>
        </row>
        <row r="178">
          <cell r="A178" t="str">
            <v>BESE - 4 - C</v>
          </cell>
          <cell r="B178" t="str">
            <v>JSP_C4</v>
          </cell>
          <cell r="C178" t="str">
            <v>single</v>
          </cell>
          <cell r="D178" t="str">
            <v>point</v>
          </cell>
          <cell r="E178" t="str">
            <v>retain</v>
          </cell>
        </row>
        <row r="179">
          <cell r="A179" t="str">
            <v>BESE - 4 - BG</v>
          </cell>
          <cell r="B179" t="str">
            <v>JSP_BG4</v>
          </cell>
          <cell r="C179" t="str">
            <v>single</v>
          </cell>
          <cell r="D179" t="str">
            <v>point</v>
          </cell>
          <cell r="E179" t="str">
            <v>retain</v>
          </cell>
        </row>
        <row r="180">
          <cell r="A180" t="str">
            <v>BESE - 3 - AG</v>
          </cell>
          <cell r="B180" t="str">
            <v>JSP_AG3</v>
          </cell>
          <cell r="C180" t="str">
            <v>single</v>
          </cell>
          <cell r="D180" t="str">
            <v>point</v>
          </cell>
          <cell r="E180" t="str">
            <v>retain</v>
          </cell>
        </row>
        <row r="181">
          <cell r="A181" t="str">
            <v>BESE - 4 - AG</v>
          </cell>
          <cell r="B181" t="str">
            <v>JSP_AG4</v>
          </cell>
          <cell r="C181" t="str">
            <v>single</v>
          </cell>
          <cell r="D181" t="str">
            <v>point</v>
          </cell>
          <cell r="E181" t="str">
            <v>retain</v>
          </cell>
        </row>
        <row r="182">
          <cell r="A182" t="str">
            <v>McDermott Point South - south - HC - test - 2017</v>
          </cell>
          <cell r="B182" t="str">
            <v>MCD_south_L1</v>
          </cell>
          <cell r="C182" t="str">
            <v>single</v>
          </cell>
          <cell r="D182" t="str">
            <v>line</v>
          </cell>
          <cell r="E182" t="str">
            <v>retain</v>
          </cell>
        </row>
        <row r="183">
          <cell r="A183" t="str">
            <v>McDermott Point South - north - HC - test - 2017</v>
          </cell>
          <cell r="B183" t="str">
            <v>MCD_south_L1</v>
          </cell>
          <cell r="C183" t="str">
            <v>single</v>
          </cell>
          <cell r="D183" t="str">
            <v>line</v>
          </cell>
          <cell r="E183" t="str">
            <v>retain</v>
          </cell>
        </row>
        <row r="184">
          <cell r="A184" t="str">
            <v>McDermott Point North - south - HC - test - 2017</v>
          </cell>
          <cell r="B184" t="str">
            <v>MCD_north_L1</v>
          </cell>
          <cell r="C184" t="str">
            <v>single</v>
          </cell>
          <cell r="D184" t="str">
            <v>line</v>
          </cell>
          <cell r="E184" t="str">
            <v>retain</v>
          </cell>
        </row>
        <row r="185">
          <cell r="A185" t="str">
            <v>McDermott Point North - north - HC - test - 2017</v>
          </cell>
          <cell r="B185" t="str">
            <v>MCD_north_L1</v>
          </cell>
          <cell r="C185" t="str">
            <v>single</v>
          </cell>
          <cell r="D185" t="str">
            <v>line</v>
          </cell>
          <cell r="E185" t="str">
            <v>retain</v>
          </cell>
        </row>
        <row r="186">
          <cell r="A186" t="str">
            <v>McNeil Island North - PNNL - test - 1 - 2017</v>
          </cell>
          <cell r="B186" t="str">
            <v>MCN_north_2</v>
          </cell>
          <cell r="C186" t="str">
            <v>single</v>
          </cell>
          <cell r="D186" t="str">
            <v>point</v>
          </cell>
          <cell r="E186" t="str">
            <v>retain</v>
          </cell>
        </row>
        <row r="187">
          <cell r="A187" t="str">
            <v>McNeil Island North - PNNL - test - 2 - 2017</v>
          </cell>
          <cell r="B187" t="str">
            <v>MCN_North_3</v>
          </cell>
          <cell r="C187" t="str">
            <v>single</v>
          </cell>
          <cell r="D187" t="str">
            <v>point</v>
          </cell>
          <cell r="E187" t="str">
            <v>retain</v>
          </cell>
        </row>
        <row r="188">
          <cell r="A188" t="str">
            <v>McNeil Island South - mid plot - PNNL - large - 2017</v>
          </cell>
          <cell r="B188" t="str">
            <v>MCN_south_L2</v>
          </cell>
          <cell r="C188" t="str">
            <v>single</v>
          </cell>
          <cell r="D188" t="str">
            <v>line</v>
          </cell>
          <cell r="E188" t="str">
            <v>retain</v>
          </cell>
        </row>
        <row r="189">
          <cell r="A189" t="str">
            <v>McNeil Island South - mid plot - PNNL - large - 2017</v>
          </cell>
          <cell r="B189" t="str">
            <v>MCN_south_L2</v>
          </cell>
          <cell r="C189" t="str">
            <v>single</v>
          </cell>
          <cell r="D189" t="str">
            <v>line</v>
          </cell>
          <cell r="E189" t="str">
            <v>retain</v>
          </cell>
        </row>
        <row r="190">
          <cell r="A190" t="str">
            <v>McNeil Island South - east plot - PNNL - large - 2017</v>
          </cell>
          <cell r="B190" t="str">
            <v>MCN_south_L1</v>
          </cell>
          <cell r="C190" t="str">
            <v>single</v>
          </cell>
          <cell r="D190" t="str">
            <v>line</v>
          </cell>
          <cell r="E190" t="str">
            <v>retain</v>
          </cell>
        </row>
        <row r="191">
          <cell r="A191" t="str">
            <v>McNeil Island South - east plot - PNNL - large - 2017</v>
          </cell>
          <cell r="B191" t="str">
            <v>MCN_south_L1</v>
          </cell>
          <cell r="C191" t="str">
            <v>single</v>
          </cell>
          <cell r="D191" t="str">
            <v>line</v>
          </cell>
          <cell r="E191" t="str">
            <v>retain</v>
          </cell>
        </row>
        <row r="192">
          <cell r="A192" t="str">
            <v>McNeil Island South - west plot - PNNL - large - 2017</v>
          </cell>
          <cell r="B192" t="str">
            <v>MCN_south_L3</v>
          </cell>
          <cell r="C192" t="str">
            <v>single</v>
          </cell>
          <cell r="D192" t="str">
            <v>line</v>
          </cell>
          <cell r="E192" t="str">
            <v>retain</v>
          </cell>
        </row>
        <row r="193">
          <cell r="A193" t="str">
            <v>McNeil Island South - west plot - PNNL - large - 2017</v>
          </cell>
          <cell r="B193" t="str">
            <v>MCN_south_L3</v>
          </cell>
          <cell r="C193" t="str">
            <v>single</v>
          </cell>
          <cell r="D193" t="str">
            <v>line</v>
          </cell>
          <cell r="E193" t="str">
            <v>retain</v>
          </cell>
        </row>
        <row r="194">
          <cell r="A194" t="str">
            <v>Milwaukee Dock southern depression - PNNL - test - anchor1 - 2017</v>
          </cell>
          <cell r="B194" t="str">
            <v>MIL_1</v>
          </cell>
          <cell r="C194" t="str">
            <v>single</v>
          </cell>
          <cell r="D194" t="str">
            <v>point</v>
          </cell>
          <cell r="E194" t="str">
            <v>retain</v>
          </cell>
        </row>
        <row r="195">
          <cell r="A195" t="str">
            <v>Milwaukee Dock southern depression - PNNL - test - anchor3 - 2017</v>
          </cell>
          <cell r="B195" t="str">
            <v>MIL_3</v>
          </cell>
          <cell r="C195" t="str">
            <v>single</v>
          </cell>
          <cell r="D195" t="str">
            <v>point</v>
          </cell>
          <cell r="E195" t="str">
            <v>retain</v>
          </cell>
        </row>
        <row r="196">
          <cell r="A196" t="str">
            <v>Westcott Bay - PNNL - Test Plot A - 2017</v>
          </cell>
          <cell r="B196" t="str">
            <v>WES_A</v>
          </cell>
          <cell r="C196" t="str">
            <v>single</v>
          </cell>
          <cell r="D196" t="str">
            <v>point</v>
          </cell>
          <cell r="E196" t="str">
            <v>retain</v>
          </cell>
        </row>
        <row r="197">
          <cell r="A197" t="str">
            <v>Westcott Bay - PNNL - Test Plot B - 2017</v>
          </cell>
          <cell r="B197" t="str">
            <v>WES_B</v>
          </cell>
          <cell r="C197" t="str">
            <v>single</v>
          </cell>
          <cell r="D197" t="str">
            <v>point</v>
          </cell>
          <cell r="E197" t="str">
            <v>retain</v>
          </cell>
        </row>
        <row r="198">
          <cell r="A198" t="str">
            <v>Westcott Bay - PNNL - Test Plot C - 2017</v>
          </cell>
          <cell r="B198" t="str">
            <v>WES_C</v>
          </cell>
          <cell r="C198" t="str">
            <v>single</v>
          </cell>
          <cell r="D198" t="str">
            <v>point</v>
          </cell>
          <cell r="E198" t="str">
            <v>retain</v>
          </cell>
        </row>
        <row r="199">
          <cell r="A199" t="str">
            <v>Westcott Bay - PNNL - Test Plot D - 2017</v>
          </cell>
          <cell r="B199" t="str">
            <v>WES_D</v>
          </cell>
          <cell r="C199" t="str">
            <v>single</v>
          </cell>
          <cell r="D199" t="str">
            <v>point</v>
          </cell>
          <cell r="E199" t="str">
            <v>retain</v>
          </cell>
        </row>
        <row r="200">
          <cell r="A200" t="str">
            <v>Commencement Bay - PNNL - large - 2018</v>
          </cell>
          <cell r="B200" t="str">
            <v>COM_L1</v>
          </cell>
          <cell r="C200" t="str">
            <v>single</v>
          </cell>
          <cell r="D200" t="str">
            <v>line</v>
          </cell>
          <cell r="E200" t="str">
            <v>retain</v>
          </cell>
        </row>
        <row r="201">
          <cell r="A201" t="str">
            <v>Commencement Bay - PNNL - large - 2018</v>
          </cell>
          <cell r="B201" t="str">
            <v>COM_L1</v>
          </cell>
          <cell r="C201" t="str">
            <v>single</v>
          </cell>
          <cell r="D201" t="str">
            <v>line</v>
          </cell>
          <cell r="E201" t="str">
            <v>retain</v>
          </cell>
        </row>
        <row r="202">
          <cell r="A202" t="str">
            <v>Delano Beach - PNNL - test - enhancement</v>
          </cell>
          <cell r="B202" t="str">
            <v>DEL_1</v>
          </cell>
          <cell r="C202" t="str">
            <v>repeat</v>
          </cell>
          <cell r="D202" t="str">
            <v>point</v>
          </cell>
          <cell r="E202" t="str">
            <v>retain</v>
          </cell>
        </row>
        <row r="203">
          <cell r="A203" t="str">
            <v xml:space="preserve">Delano Beach East - north - HC - test - enhancement </v>
          </cell>
          <cell r="B203" t="str">
            <v>DEL_3</v>
          </cell>
          <cell r="C203" t="str">
            <v>repeat</v>
          </cell>
          <cell r="D203" t="str">
            <v>point</v>
          </cell>
          <cell r="E203" t="str">
            <v>retain</v>
          </cell>
        </row>
        <row r="204">
          <cell r="A204" t="str">
            <v>Fudge Point South - south - HC - test - 2018</v>
          </cell>
          <cell r="B204" t="str">
            <v>FDG_L1</v>
          </cell>
          <cell r="C204" t="str">
            <v>repeat</v>
          </cell>
          <cell r="D204" t="str">
            <v>line</v>
          </cell>
          <cell r="E204" t="str">
            <v>retain</v>
          </cell>
        </row>
        <row r="205">
          <cell r="A205" t="str">
            <v>Fudge Point South - north - HC test - 2018</v>
          </cell>
          <cell r="B205" t="str">
            <v>FDG_L1</v>
          </cell>
          <cell r="C205" t="str">
            <v>repeat</v>
          </cell>
          <cell r="D205" t="str">
            <v>line</v>
          </cell>
          <cell r="E205" t="str">
            <v>retain</v>
          </cell>
        </row>
        <row r="206">
          <cell r="A206" t="str">
            <v>Fudge Point North - south - HC - test - 2018</v>
          </cell>
          <cell r="B206" t="str">
            <v>FDG_L2</v>
          </cell>
          <cell r="C206" t="str">
            <v>repeat</v>
          </cell>
          <cell r="D206" t="str">
            <v>line</v>
          </cell>
          <cell r="E206" t="str">
            <v>retain</v>
          </cell>
        </row>
        <row r="207">
          <cell r="A207" t="str">
            <v>Fudge Point North - north - HC - test - 2018</v>
          </cell>
          <cell r="B207" t="str">
            <v>FDG_L2</v>
          </cell>
          <cell r="C207" t="str">
            <v>repeat</v>
          </cell>
          <cell r="D207" t="str">
            <v>line</v>
          </cell>
          <cell r="E207" t="str">
            <v>retain</v>
          </cell>
        </row>
        <row r="208">
          <cell r="A208" t="str">
            <v>Harstine - PNNL - Large Scale 1 - north - 2018</v>
          </cell>
          <cell r="B208" t="str">
            <v>HAR_L1</v>
          </cell>
          <cell r="C208" t="str">
            <v>single</v>
          </cell>
          <cell r="D208" t="str">
            <v>line</v>
          </cell>
          <cell r="E208" t="str">
            <v>retain</v>
          </cell>
        </row>
        <row r="209">
          <cell r="A209" t="str">
            <v>Harstine - PNNL - Large Scale 1 - north - 2018</v>
          </cell>
          <cell r="B209" t="str">
            <v>HAR_L1</v>
          </cell>
          <cell r="C209" t="str">
            <v>single</v>
          </cell>
          <cell r="D209" t="str">
            <v>line</v>
          </cell>
          <cell r="E209" t="str">
            <v>retain</v>
          </cell>
        </row>
        <row r="210">
          <cell r="A210" t="str">
            <v>Harstine - PNNL - Large Scale 1 - south - 2018</v>
          </cell>
          <cell r="B210" t="str">
            <v>HAR_L2</v>
          </cell>
          <cell r="C210" t="str">
            <v>single</v>
          </cell>
          <cell r="D210" t="str">
            <v>line</v>
          </cell>
          <cell r="E210" t="str">
            <v>retain</v>
          </cell>
        </row>
        <row r="211">
          <cell r="A211" t="str">
            <v>Harstine - PNNL - Large Scale 1 - south - 2018</v>
          </cell>
          <cell r="B211" t="str">
            <v>HAR_L2</v>
          </cell>
          <cell r="C211" t="str">
            <v>single</v>
          </cell>
          <cell r="D211" t="str">
            <v>line</v>
          </cell>
          <cell r="E211" t="str">
            <v>retain</v>
          </cell>
        </row>
        <row r="212">
          <cell r="A212" t="str">
            <v>Joemma Beach State Park Mid South - PNNL - large - T4-5 - 2015</v>
          </cell>
          <cell r="B212" t="str">
            <v>JSP_mid_south_7</v>
          </cell>
          <cell r="C212" t="str">
            <v>single</v>
          </cell>
          <cell r="D212" t="str">
            <v>point</v>
          </cell>
          <cell r="E212" t="str">
            <v>drop</v>
          </cell>
        </row>
        <row r="213">
          <cell r="A213" t="str">
            <v>Joemma Beach State Park Mid South - PNNL - large - T3-4 - 2015</v>
          </cell>
          <cell r="B213" t="str">
            <v>JSP_mid_south_1</v>
          </cell>
          <cell r="C213" t="str">
            <v>single</v>
          </cell>
          <cell r="D213" t="str">
            <v>point</v>
          </cell>
          <cell r="E213" t="str">
            <v>drop</v>
          </cell>
        </row>
        <row r="214">
          <cell r="A214" t="str">
            <v>Quartermaster Harbor - PNNL - Test Plot 1S - 2018</v>
          </cell>
          <cell r="B214" t="str">
            <v>QMH_1S</v>
          </cell>
          <cell r="C214" t="str">
            <v>single</v>
          </cell>
          <cell r="D214" t="str">
            <v>point</v>
          </cell>
          <cell r="E214" t="str">
            <v>retain</v>
          </cell>
        </row>
        <row r="215">
          <cell r="A215" t="str">
            <v>Quartermaster Harbor - PNNL - Test Plot 1D - 2018</v>
          </cell>
          <cell r="B215" t="str">
            <v>QMH_1D</v>
          </cell>
          <cell r="C215" t="str">
            <v>single</v>
          </cell>
          <cell r="D215" t="str">
            <v>point</v>
          </cell>
          <cell r="E215" t="str">
            <v>retain</v>
          </cell>
        </row>
        <row r="216">
          <cell r="A216" t="str">
            <v>Quartermaster Harbor - PNNL - Test Plot 4S - 2018</v>
          </cell>
          <cell r="B216" t="str">
            <v>QMH_4S</v>
          </cell>
          <cell r="C216" t="str">
            <v>single</v>
          </cell>
          <cell r="D216" t="str">
            <v>point</v>
          </cell>
          <cell r="E216" t="str">
            <v>retain</v>
          </cell>
        </row>
        <row r="217">
          <cell r="A217" t="str">
            <v>Quartermaster Harbor - PNNL - Test Plot 4D - 2018</v>
          </cell>
          <cell r="B217" t="str">
            <v>QMH_4D</v>
          </cell>
          <cell r="C217" t="str">
            <v>single</v>
          </cell>
          <cell r="D217" t="str">
            <v>point</v>
          </cell>
          <cell r="E217" t="str">
            <v>retain</v>
          </cell>
        </row>
        <row r="218">
          <cell r="A218" t="str">
            <v>Quartermaster Harbor - PNNL - Test Plot 5S - 2018</v>
          </cell>
          <cell r="B218" t="str">
            <v>QMH_5S</v>
          </cell>
          <cell r="C218" t="str">
            <v>single</v>
          </cell>
          <cell r="D218" t="str">
            <v>point</v>
          </cell>
          <cell r="E218" t="str">
            <v>retain</v>
          </cell>
        </row>
        <row r="219">
          <cell r="A219" t="str">
            <v>Quartermaster Harbor - PNNL - Test Plot 5D - 2018</v>
          </cell>
          <cell r="B219" t="str">
            <v>QMH_5D</v>
          </cell>
          <cell r="C219" t="str">
            <v>single</v>
          </cell>
          <cell r="D219" t="str">
            <v>point</v>
          </cell>
          <cell r="E219" t="str">
            <v>retain</v>
          </cell>
        </row>
        <row r="220">
          <cell r="A220" t="str">
            <v>Quartermaster Harbor - PNNL - Test Plot 2D - 2018</v>
          </cell>
          <cell r="B220" t="str">
            <v>QMH_2D</v>
          </cell>
          <cell r="C220" t="str">
            <v>single</v>
          </cell>
          <cell r="D220" t="str">
            <v>point</v>
          </cell>
          <cell r="E220" t="str">
            <v>retain</v>
          </cell>
        </row>
        <row r="221">
          <cell r="A221" t="str">
            <v>Quartermaster Harbor - PNNL - Test Plot 3S - 2018</v>
          </cell>
          <cell r="B221" t="str">
            <v>QMH_3S</v>
          </cell>
          <cell r="C221" t="str">
            <v>single</v>
          </cell>
          <cell r="D221" t="str">
            <v>point</v>
          </cell>
          <cell r="E221" t="str">
            <v>retain</v>
          </cell>
        </row>
        <row r="222">
          <cell r="A222" t="str">
            <v>Quartermaster Harbor - PNNL - Test Plot 3D - 2018</v>
          </cell>
          <cell r="B222" t="str">
            <v>QMH_3D</v>
          </cell>
          <cell r="C222" t="str">
            <v>single</v>
          </cell>
          <cell r="D222" t="str">
            <v>point</v>
          </cell>
          <cell r="E222" t="str">
            <v>retain</v>
          </cell>
        </row>
        <row r="223">
          <cell r="A223" t="str">
            <v>Joemma Beach State Park - Mid - Rebar 1 - 2018</v>
          </cell>
          <cell r="B223" t="str">
            <v>JSP_mid_1</v>
          </cell>
          <cell r="C223" t="str">
            <v>colocated</v>
          </cell>
          <cell r="D223" t="str">
            <v>point</v>
          </cell>
          <cell r="E223" t="str">
            <v>retain</v>
          </cell>
        </row>
        <row r="224">
          <cell r="A224" t="str">
            <v>Joemma Beach State Park - Mid - Puck 1 - 2018</v>
          </cell>
          <cell r="B224" t="str">
            <v>JSP_mid_1</v>
          </cell>
          <cell r="C224" t="str">
            <v>colocated</v>
          </cell>
          <cell r="D224" t="str">
            <v>point</v>
          </cell>
          <cell r="E224" t="str">
            <v>retain</v>
          </cell>
        </row>
        <row r="225">
          <cell r="A225" t="str">
            <v>Joemma Beach State Park - Mid - Puck 2 - 2018</v>
          </cell>
          <cell r="B225" t="str">
            <v>JSP_mid_2</v>
          </cell>
          <cell r="C225" t="str">
            <v>single</v>
          </cell>
          <cell r="D225" t="str">
            <v>point</v>
          </cell>
          <cell r="E225" t="str">
            <v>drop</v>
          </cell>
        </row>
        <row r="226">
          <cell r="A226" t="str">
            <v>Joemma Beach State Park - Mid - Rebar 2 - 2018</v>
          </cell>
          <cell r="B226" t="str">
            <v>JSP_mid_2</v>
          </cell>
          <cell r="C226" t="str">
            <v>single</v>
          </cell>
          <cell r="D226" t="str">
            <v>point</v>
          </cell>
          <cell r="E226" t="str">
            <v>drop</v>
          </cell>
        </row>
        <row r="227">
          <cell r="A227" t="str">
            <v>Joemma Beach State Park - Mid - Rebar 3 - 2018</v>
          </cell>
          <cell r="B227" t="str">
            <v>JSP_mid_3</v>
          </cell>
          <cell r="C227" t="str">
            <v>colocated</v>
          </cell>
          <cell r="D227" t="str">
            <v>point</v>
          </cell>
          <cell r="E227" t="str">
            <v>retain</v>
          </cell>
        </row>
        <row r="228">
          <cell r="A228" t="str">
            <v>Joemma Beach State Park - Mid - Puck 3 - 2018</v>
          </cell>
          <cell r="B228" t="str">
            <v>JSP_mid_3</v>
          </cell>
          <cell r="C228" t="str">
            <v>single</v>
          </cell>
          <cell r="D228" t="str">
            <v>point</v>
          </cell>
          <cell r="E228" t="str">
            <v>retain</v>
          </cell>
        </row>
        <row r="229">
          <cell r="A229" t="str">
            <v>UPDATED EVERYTHING DOWN FROM HERE</v>
          </cell>
        </row>
        <row r="230">
          <cell r="A230" t="str">
            <v>Blind Bay - DNR - test - 2020</v>
          </cell>
          <cell r="B230" t="str">
            <v>BB_test_1</v>
          </cell>
          <cell r="C230" t="str">
            <v>single</v>
          </cell>
          <cell r="D230" t="str">
            <v>line</v>
          </cell>
          <cell r="E230" t="str">
            <v>retain</v>
          </cell>
        </row>
        <row r="231">
          <cell r="A231" t="str">
            <v>Commencement Bay - PNNL - large - 2019</v>
          </cell>
          <cell r="B231" t="str">
            <v>COM_L2</v>
          </cell>
          <cell r="C231" t="str">
            <v>single</v>
          </cell>
          <cell r="D231" t="str">
            <v>line</v>
          </cell>
          <cell r="E231" t="str">
            <v>retain</v>
          </cell>
        </row>
        <row r="232">
          <cell r="A232" t="str">
            <v>Delano Beach East - PNNL - test - 2020</v>
          </cell>
          <cell r="B232" t="str">
            <v>DEL_east_1</v>
          </cell>
          <cell r="C232" t="str">
            <v>single</v>
          </cell>
          <cell r="D232" t="str">
            <v>point</v>
          </cell>
          <cell r="E232" t="str">
            <v>retain</v>
          </cell>
        </row>
        <row r="233">
          <cell r="A233" t="str">
            <v>Delano Beach West - PNNL - test - 2020</v>
          </cell>
          <cell r="B233" t="str">
            <v>DEL_west_1</v>
          </cell>
          <cell r="C233" t="str">
            <v>single</v>
          </cell>
          <cell r="D233" t="str">
            <v>point</v>
          </cell>
          <cell r="E233" t="str">
            <v>retain</v>
          </cell>
        </row>
        <row r="234">
          <cell r="A234" t="str">
            <v>Delano Beach West - PNNL - large - 2021</v>
          </cell>
          <cell r="B234" t="str">
            <v>DEL_L</v>
          </cell>
          <cell r="C234" t="str">
            <v>single</v>
          </cell>
          <cell r="D234" t="str">
            <v>point</v>
          </cell>
          <cell r="E234" t="str">
            <v>retain</v>
          </cell>
        </row>
        <row r="235">
          <cell r="A235" t="str">
            <v>Delano Beach West - DNR - shallow - test - 2021</v>
          </cell>
          <cell r="B235" t="str">
            <v>DEL_west_shallow_1</v>
          </cell>
          <cell r="C235" t="str">
            <v>single</v>
          </cell>
          <cell r="D235" t="str">
            <v>point</v>
          </cell>
          <cell r="E235" t="str">
            <v>retain</v>
          </cell>
        </row>
        <row r="236">
          <cell r="A236" t="str">
            <v>Delano Beach West - DNR - deep - test - 2021</v>
          </cell>
          <cell r="B236" t="str">
            <v>DEL_west_deep_1</v>
          </cell>
          <cell r="C236" t="str">
            <v>single</v>
          </cell>
          <cell r="D236" t="str">
            <v>point</v>
          </cell>
          <cell r="E236" t="str">
            <v>retain</v>
          </cell>
        </row>
        <row r="237">
          <cell r="A237" t="str">
            <v>Dumas Bay - KC Zm Restoration - test - 2020</v>
          </cell>
          <cell r="B237" t="str">
            <v>DB_test_1</v>
          </cell>
          <cell r="C237" t="str">
            <v>single</v>
          </cell>
          <cell r="D237" t="str">
            <v>point</v>
          </cell>
          <cell r="E237" t="str">
            <v>retain</v>
          </cell>
        </row>
        <row r="238">
          <cell r="A238" t="str">
            <v>Dumas Bay - KC Zm Restoration - test - 2021</v>
          </cell>
          <cell r="B238" t="str">
            <v>DB_test_2</v>
          </cell>
          <cell r="C238" t="str">
            <v>single</v>
          </cell>
          <cell r="D238" t="str">
            <v>point</v>
          </cell>
          <cell r="E238" t="str">
            <v>retain</v>
          </cell>
        </row>
        <row r="239">
          <cell r="A239" t="str">
            <v>Dumas Bay - KC Zm Restoration - test - 2021</v>
          </cell>
          <cell r="B239" t="str">
            <v>DB_test_3</v>
          </cell>
          <cell r="C239" t="str">
            <v>single</v>
          </cell>
          <cell r="D239" t="str">
            <v>point</v>
          </cell>
          <cell r="E239" t="str">
            <v>retain</v>
          </cell>
        </row>
        <row r="240">
          <cell r="A240" t="str">
            <v>Dumas Bay - KC Zm Restoration - test - 2021</v>
          </cell>
          <cell r="B240" t="str">
            <v>DB_test_4</v>
          </cell>
          <cell r="C240" t="str">
            <v>single</v>
          </cell>
          <cell r="D240" t="str">
            <v>point</v>
          </cell>
          <cell r="E240" t="str">
            <v>retain</v>
          </cell>
        </row>
        <row r="241">
          <cell r="A241" t="str">
            <v>Dumas Bay - KC Zm Restoration - test - 2021</v>
          </cell>
          <cell r="B241" t="str">
            <v>DB_test_5</v>
          </cell>
          <cell r="C241" t="str">
            <v>single</v>
          </cell>
          <cell r="D241" t="str">
            <v>point</v>
          </cell>
          <cell r="E241" t="str">
            <v>retain</v>
          </cell>
        </row>
        <row r="242">
          <cell r="A242" t="str">
            <v>Dumas Bay - KC Zm Restoration - test 2 - 2022</v>
          </cell>
          <cell r="B242" t="str">
            <v>DB_test_6</v>
          </cell>
          <cell r="C242" t="str">
            <v>single</v>
          </cell>
          <cell r="D242" t="str">
            <v>point</v>
          </cell>
          <cell r="E242" t="str">
            <v>retain</v>
          </cell>
        </row>
        <row r="243">
          <cell r="A243" t="str">
            <v>Dumas Bay - KC Zm Restoration - test 1 - 2022</v>
          </cell>
          <cell r="B243" t="str">
            <v>DB_test_7</v>
          </cell>
          <cell r="C243" t="str">
            <v>single</v>
          </cell>
          <cell r="D243" t="str">
            <v>point</v>
          </cell>
          <cell r="E243" t="str">
            <v>retain</v>
          </cell>
        </row>
        <row r="244">
          <cell r="A244" t="str">
            <v>Elwha Delta - shallow west - PNNL - test - 2016</v>
          </cell>
          <cell r="B244" t="str">
            <v>ELW_shallow_west</v>
          </cell>
          <cell r="C244" t="str">
            <v>single</v>
          </cell>
          <cell r="D244" t="str">
            <v>point</v>
          </cell>
          <cell r="E244" t="str">
            <v>retain</v>
          </cell>
        </row>
        <row r="245">
          <cell r="A245" t="str">
            <v>Eld Inlet - PNNL - test - 2020</v>
          </cell>
          <cell r="B245" t="str">
            <v>ELD</v>
          </cell>
          <cell r="C245" t="str">
            <v>single</v>
          </cell>
          <cell r="D245" t="str">
            <v>point</v>
          </cell>
          <cell r="E245" t="str">
            <v>retain</v>
          </cell>
        </row>
        <row r="246">
          <cell r="A246" t="str">
            <v>Harstine - PNNL - Large Scale 1 - north (deep) - 2018</v>
          </cell>
          <cell r="B246" t="str">
            <v>HAR_deep_L1</v>
          </cell>
          <cell r="C246" t="str">
            <v>single</v>
          </cell>
          <cell r="D246" t="str">
            <v>line</v>
          </cell>
          <cell r="E246" t="str">
            <v>retain</v>
          </cell>
        </row>
        <row r="247">
          <cell r="A247" t="str">
            <v>Harstine - PNNL - Large Scale 1 - south (shallow) - 2018</v>
          </cell>
          <cell r="B247" t="str">
            <v>HAR_shallow_L1</v>
          </cell>
          <cell r="C247" t="str">
            <v>single</v>
          </cell>
          <cell r="D247" t="str">
            <v>line</v>
          </cell>
          <cell r="E247" t="str">
            <v>retain</v>
          </cell>
        </row>
        <row r="248">
          <cell r="A248" t="str">
            <v>Harstine Island - PNNL - Large Scale 2 - shallow - 2019</v>
          </cell>
          <cell r="B248" t="str">
            <v>HAR_shallow_L2</v>
          </cell>
          <cell r="C248" t="str">
            <v>single</v>
          </cell>
          <cell r="D248" t="str">
            <v>line</v>
          </cell>
          <cell r="E248" t="str">
            <v>retain</v>
          </cell>
        </row>
        <row r="249">
          <cell r="A249" t="str">
            <v>Harstine Island - PNNL - Large Scale 3 - shallow - 2020</v>
          </cell>
          <cell r="B249" t="str">
            <v>HAR_shallow_L3</v>
          </cell>
          <cell r="C249" t="str">
            <v>single</v>
          </cell>
          <cell r="D249" t="str">
            <v>line</v>
          </cell>
          <cell r="E249" t="str">
            <v>retain</v>
          </cell>
        </row>
        <row r="250">
          <cell r="A250" t="str">
            <v>Harstine Island - PNNL - Test Plot 5 (north of north plot) rebar shallow- 2020</v>
          </cell>
          <cell r="B250" t="str">
            <v>HAR_5</v>
          </cell>
          <cell r="C250" t="str">
            <v>single</v>
          </cell>
          <cell r="D250" t="str">
            <v>point</v>
          </cell>
          <cell r="E250" t="str">
            <v>retain</v>
          </cell>
        </row>
        <row r="251">
          <cell r="A251" t="str">
            <v>Harstine Island - PNNL - Test Plot 6 (south of south plot) rebar shallow - 2020</v>
          </cell>
          <cell r="B251" t="str">
            <v>HAR_6</v>
          </cell>
          <cell r="C251" t="str">
            <v>single</v>
          </cell>
          <cell r="D251" t="str">
            <v>point</v>
          </cell>
          <cell r="E251" t="str">
            <v>retain</v>
          </cell>
        </row>
        <row r="252">
          <cell r="A252" t="str">
            <v>Harstine Island - PNNL - Test Plot 4 of 4 (south of south plot) staples - 2017</v>
          </cell>
          <cell r="B252" t="str">
            <v>HAR_4</v>
          </cell>
          <cell r="C252" t="str">
            <v>single</v>
          </cell>
          <cell r="D252" t="str">
            <v>point</v>
          </cell>
          <cell r="E252" t="str">
            <v>retain</v>
          </cell>
        </row>
        <row r="253">
          <cell r="A253" t="str">
            <v>Harstine Island - PNNL - Test Plot 4 of 4 (south of south plot) rebar - 2017</v>
          </cell>
          <cell r="B253" t="str">
            <v>HAR_4</v>
          </cell>
          <cell r="C253" t="str">
            <v>single</v>
          </cell>
          <cell r="D253" t="str">
            <v>point</v>
          </cell>
          <cell r="E253" t="str">
            <v>retain</v>
          </cell>
        </row>
        <row r="254">
          <cell r="A254" t="str">
            <v>Edgewater - south - PNNL - test - deep - 2020</v>
          </cell>
          <cell r="B254" t="str">
            <v>HPT_south_2</v>
          </cell>
          <cell r="C254" t="str">
            <v>single</v>
          </cell>
          <cell r="D254" t="str">
            <v>point</v>
          </cell>
          <cell r="E254" t="str">
            <v>retain</v>
          </cell>
        </row>
        <row r="255">
          <cell r="A255" t="str">
            <v>Edgewater - north - PNNL - test - deep - 2020</v>
          </cell>
          <cell r="B255" t="str">
            <v>HPT_north_2</v>
          </cell>
          <cell r="C255" t="str">
            <v>single</v>
          </cell>
          <cell r="D255" t="str">
            <v>point</v>
          </cell>
          <cell r="E255" t="str">
            <v>retain</v>
          </cell>
        </row>
        <row r="256">
          <cell r="A256" t="str">
            <v>Joemma Beach State Park South - SE - HC - large 3 - 2017</v>
          </cell>
          <cell r="B256" t="str">
            <v>JSP_south_P3</v>
          </cell>
          <cell r="C256" t="str">
            <v>single</v>
          </cell>
          <cell r="D256" t="str">
            <v>polygon</v>
          </cell>
          <cell r="E256" t="str">
            <v>retain</v>
          </cell>
        </row>
        <row r="257">
          <cell r="A257" t="str">
            <v>Joemma Beach State Park South - SE - HC - large 4 - 2017</v>
          </cell>
          <cell r="B257" t="str">
            <v>JSP_south_P4</v>
          </cell>
          <cell r="C257" t="str">
            <v>single</v>
          </cell>
          <cell r="D257" t="str">
            <v>polygon</v>
          </cell>
          <cell r="E257" t="str">
            <v>retain</v>
          </cell>
        </row>
        <row r="258">
          <cell r="A258" t="str">
            <v>Joemma Beach State Park - Mid - chia - 2016</v>
          </cell>
          <cell r="B258" t="str">
            <v>JSP_chia_1</v>
          </cell>
          <cell r="C258" t="str">
            <v>single</v>
          </cell>
          <cell r="D258" t="str">
            <v>point</v>
          </cell>
          <cell r="E258" t="str">
            <v>retain</v>
          </cell>
        </row>
        <row r="259">
          <cell r="A259" t="str">
            <v>McDermott Point - PNNL - test - 2020</v>
          </cell>
          <cell r="B259" t="str">
            <v>MCD_1</v>
          </cell>
          <cell r="C259" t="str">
            <v>single</v>
          </cell>
          <cell r="D259" t="str">
            <v>point</v>
          </cell>
          <cell r="E259" t="str">
            <v>retain</v>
          </cell>
        </row>
        <row r="260">
          <cell r="A260" t="str">
            <v>Shine Beach - Squamish Harbor - DNR - test 1 - 2023</v>
          </cell>
          <cell r="B260" t="str">
            <v>SHB_1</v>
          </cell>
          <cell r="C260" t="str">
            <v>single</v>
          </cell>
          <cell r="D260" t="str">
            <v>point</v>
          </cell>
          <cell r="E260" t="str">
            <v>retain</v>
          </cell>
        </row>
        <row r="261">
          <cell r="A261" t="str">
            <v>Otis Beach - Henderson Inlet - DNR - test 1 - 2023</v>
          </cell>
          <cell r="B261" t="str">
            <v>OTB_1</v>
          </cell>
          <cell r="C261" t="str">
            <v>single</v>
          </cell>
          <cell r="D261" t="str">
            <v>point</v>
          </cell>
          <cell r="E261" t="str">
            <v>retain</v>
          </cell>
        </row>
        <row r="262">
          <cell r="A262" t="str">
            <v>Myrtle Edwards - DNR - test - DW - 2021</v>
          </cell>
          <cell r="B262" t="str">
            <v>MRE_1</v>
          </cell>
          <cell r="C262" t="str">
            <v>single</v>
          </cell>
          <cell r="D262" t="str">
            <v>point</v>
          </cell>
          <cell r="E262" t="str">
            <v>retain</v>
          </cell>
        </row>
        <row r="263">
          <cell r="A263" t="str">
            <v>Myrtle Edwards - DNR - test - DB - 2021</v>
          </cell>
          <cell r="B263" t="str">
            <v>MRE_1</v>
          </cell>
          <cell r="C263" t="str">
            <v>single</v>
          </cell>
          <cell r="D263" t="str">
            <v>point</v>
          </cell>
          <cell r="E263" t="str">
            <v>retain</v>
          </cell>
        </row>
        <row r="264">
          <cell r="A264" t="str">
            <v>Myrtle Edwards - DNR - test 1 - DW - 2022</v>
          </cell>
          <cell r="B264" t="str">
            <v>MRE_2</v>
          </cell>
          <cell r="C264" t="str">
            <v>single</v>
          </cell>
          <cell r="D264" t="str">
            <v>point</v>
          </cell>
          <cell r="E264" t="str">
            <v>retain</v>
          </cell>
        </row>
        <row r="265">
          <cell r="A265" t="str">
            <v>Myrtle Edwards - DNR - test 2 - DW - 2022</v>
          </cell>
          <cell r="B265" t="str">
            <v>MRE_2</v>
          </cell>
          <cell r="C265" t="str">
            <v>single</v>
          </cell>
          <cell r="D265" t="str">
            <v>point</v>
          </cell>
          <cell r="E265" t="str">
            <v>retain</v>
          </cell>
        </row>
        <row r="266">
          <cell r="A266" t="str">
            <v>Amsterdam Bay - PNNL - deeper - test - 2020</v>
          </cell>
          <cell r="B266" t="str">
            <v>AMS_deeper</v>
          </cell>
          <cell r="C266" t="str">
            <v>single</v>
          </cell>
          <cell r="D266" t="str">
            <v>point</v>
          </cell>
          <cell r="E266" t="str">
            <v>retain</v>
          </cell>
        </row>
        <row r="267">
          <cell r="A267" t="str">
            <v>Anderson Island West - PNNL - test - 2020</v>
          </cell>
          <cell r="B267" t="str">
            <v>AND_west3</v>
          </cell>
          <cell r="C267" t="str">
            <v>single</v>
          </cell>
          <cell r="D267" t="str">
            <v>point</v>
          </cell>
          <cell r="E267" t="str">
            <v>retain</v>
          </cell>
        </row>
        <row r="268">
          <cell r="A268" t="str">
            <v>Anderson Island Northwest - PNNL - test - 2020</v>
          </cell>
          <cell r="B268" t="str">
            <v>AND_nw1</v>
          </cell>
          <cell r="C268" t="str">
            <v>single</v>
          </cell>
          <cell r="D268" t="str">
            <v>point</v>
          </cell>
          <cell r="E268" t="str">
            <v>retain</v>
          </cell>
        </row>
        <row r="269">
          <cell r="A269" t="str">
            <v>Anderson Island South 1 - west - test - 2021</v>
          </cell>
          <cell r="B269" t="str">
            <v>AND_west4</v>
          </cell>
          <cell r="C269" t="str">
            <v>single</v>
          </cell>
          <cell r="D269" t="str">
            <v>point</v>
          </cell>
          <cell r="E269" t="str">
            <v>retain</v>
          </cell>
        </row>
        <row r="270">
          <cell r="A270" t="str">
            <v>Anderson Island South 2 - west - test - 2021</v>
          </cell>
          <cell r="B270" t="str">
            <v>AND_west5</v>
          </cell>
          <cell r="C270" t="str">
            <v>single</v>
          </cell>
          <cell r="D270" t="str">
            <v>point</v>
          </cell>
          <cell r="E270" t="str">
            <v>retain</v>
          </cell>
        </row>
        <row r="271">
          <cell r="A271" t="str">
            <v>Anderson Island South 3 - west - test - 2021</v>
          </cell>
          <cell r="B271" t="str">
            <v>AND_west6</v>
          </cell>
          <cell r="C271" t="str">
            <v>single</v>
          </cell>
          <cell r="D271" t="str">
            <v>point</v>
          </cell>
          <cell r="E271" t="str">
            <v>retain</v>
          </cell>
        </row>
        <row r="272">
          <cell r="A272" t="str">
            <v>Anderson Island - Carlson Bay SE - DNR - test 1 - 2023</v>
          </cell>
          <cell r="B272" t="str">
            <v>AND_se1</v>
          </cell>
          <cell r="C272" t="str">
            <v>single</v>
          </cell>
          <cell r="D272" t="str">
            <v>point</v>
          </cell>
          <cell r="E272" t="str">
            <v>retain</v>
          </cell>
        </row>
        <row r="273">
          <cell r="A273" t="str">
            <v>Dog Camp - PNNL - test - 2020</v>
          </cell>
          <cell r="B273" t="str">
            <v>KYP_dog1</v>
          </cell>
          <cell r="C273" t="str">
            <v>single</v>
          </cell>
          <cell r="D273" t="str">
            <v>point</v>
          </cell>
          <cell r="E273" t="str">
            <v>retain</v>
          </cell>
        </row>
        <row r="274">
          <cell r="A274" t="str">
            <v>Westcott Bay - Bell Point North - DNR - test - 2020-Dumas</v>
          </cell>
          <cell r="B274" t="str">
            <v>WES_test_1</v>
          </cell>
          <cell r="C274" t="str">
            <v>single</v>
          </cell>
          <cell r="D274" t="str">
            <v>line</v>
          </cell>
          <cell r="E274" t="str">
            <v>retain</v>
          </cell>
        </row>
        <row r="275">
          <cell r="A275" t="str">
            <v>Westcott Bay - Bell Point North - DNR - test - 2020-Fay</v>
          </cell>
          <cell r="B275" t="str">
            <v>WES_test_1</v>
          </cell>
          <cell r="C275" t="str">
            <v>single</v>
          </cell>
          <cell r="D275" t="str">
            <v>line</v>
          </cell>
          <cell r="E275" t="str">
            <v>retain</v>
          </cell>
        </row>
        <row r="276">
          <cell r="A276" t="str">
            <v>Westcott Bay - Bell Point North - DNR - test - 2020-Henry</v>
          </cell>
          <cell r="B276" t="str">
            <v>WES_test_1</v>
          </cell>
          <cell r="C276" t="str">
            <v>single</v>
          </cell>
          <cell r="D276" t="str">
            <v>line</v>
          </cell>
          <cell r="E276" t="str">
            <v>retain</v>
          </cell>
        </row>
        <row r="277">
          <cell r="A277" t="str">
            <v>Westcott Bay - Bell Point North - DNR - test - 2020-Ship</v>
          </cell>
          <cell r="B277" t="str">
            <v>WES_test_1</v>
          </cell>
          <cell r="C277" t="str">
            <v>single</v>
          </cell>
          <cell r="D277" t="str">
            <v>line</v>
          </cell>
          <cell r="E277" t="str">
            <v>retain</v>
          </cell>
        </row>
        <row r="278">
          <cell r="A278" t="str">
            <v>Westcott Bay - Bell Point North - DNR - test - 2020-Mixed</v>
          </cell>
          <cell r="B278" t="str">
            <v>WES_test_1</v>
          </cell>
          <cell r="C278" t="str">
            <v>single</v>
          </cell>
          <cell r="D278" t="str">
            <v>line</v>
          </cell>
          <cell r="E278" t="str">
            <v>retain</v>
          </cell>
        </row>
        <row r="279">
          <cell r="A279" t="str">
            <v>Joemma Beach State Park South of South- PNNL - test - 2020</v>
          </cell>
          <cell r="B279" t="str">
            <v>WHB_test_1</v>
          </cell>
          <cell r="C279" t="str">
            <v>single</v>
          </cell>
          <cell r="D279" t="str">
            <v>point</v>
          </cell>
          <cell r="E279" t="str">
            <v>retain</v>
          </cell>
        </row>
        <row r="280">
          <cell r="A280" t="str">
            <v>Joemma Beach State Park - Mid - test - 2020</v>
          </cell>
          <cell r="B280" t="str">
            <v>JSP_mid_4</v>
          </cell>
          <cell r="C280" t="str">
            <v>single</v>
          </cell>
          <cell r="D280" t="str">
            <v>point</v>
          </cell>
          <cell r="E280" t="str">
            <v>retain</v>
          </cell>
        </row>
        <row r="281">
          <cell r="A281" t="str">
            <v>Joemma Beach State Park - Mid - Rebar - 2022</v>
          </cell>
          <cell r="B281" t="str">
            <v>JSP_mid_connect</v>
          </cell>
          <cell r="C281" t="str">
            <v>single</v>
          </cell>
          <cell r="D281" t="str">
            <v>point</v>
          </cell>
          <cell r="E281" t="str">
            <v>retain</v>
          </cell>
        </row>
        <row r="282">
          <cell r="A282" t="str">
            <v>Joemma Beach State Park - Mid - offshore HC 2016 - Rebar - 2022</v>
          </cell>
          <cell r="B282" t="str">
            <v>HC_off_1</v>
          </cell>
          <cell r="C282" t="str">
            <v>single</v>
          </cell>
          <cell r="D282" t="str">
            <v>point</v>
          </cell>
          <cell r="E282" t="str">
            <v>retain</v>
          </cell>
        </row>
        <row r="283">
          <cell r="A283" t="str">
            <v>Joemma Beach State Park - Mid - offshore HC 2016 - Rebar - 2025</v>
          </cell>
          <cell r="B283" t="str">
            <v>HC_off_2</v>
          </cell>
          <cell r="C283" t="str">
            <v>single</v>
          </cell>
          <cell r="D283" t="str">
            <v>point</v>
          </cell>
          <cell r="E283" t="str">
            <v>retain</v>
          </cell>
        </row>
        <row r="284">
          <cell r="A284" t="str">
            <v>Joemma Beach State Park - Mid - Rebar - 2021</v>
          </cell>
          <cell r="B284" t="str">
            <v>JSP_south_test</v>
          </cell>
          <cell r="C284" t="str">
            <v>single</v>
          </cell>
          <cell r="D284" t="str">
            <v>point</v>
          </cell>
          <cell r="E284" t="str">
            <v>retain</v>
          </cell>
        </row>
      </sheetData>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742E-1862-4C9D-8CFF-167A07E09F1E}">
  <dimension ref="A1:AL306"/>
  <sheetViews>
    <sheetView topLeftCell="A5" zoomScaleNormal="100" workbookViewId="0">
      <selection activeCell="B21" sqref="B21"/>
    </sheetView>
  </sheetViews>
  <sheetFormatPr defaultColWidth="15.28515625" defaultRowHeight="15" x14ac:dyDescent="0.25"/>
  <cols>
    <col min="1" max="1" width="23.85546875" bestFit="1" customWidth="1"/>
    <col min="2" max="2" width="69.7109375" bestFit="1" customWidth="1"/>
    <col min="3" max="3" width="19.42578125" bestFit="1" customWidth="1"/>
    <col min="4" max="4" width="19" bestFit="1" customWidth="1"/>
    <col min="5" max="5" width="5.140625" bestFit="1" customWidth="1"/>
    <col min="6" max="6" width="255.7109375" bestFit="1" customWidth="1"/>
    <col min="7" max="7" width="15.42578125" bestFit="1" customWidth="1"/>
    <col min="8" max="8" width="20.7109375" bestFit="1" customWidth="1"/>
    <col min="9" max="9" width="11.28515625" bestFit="1" customWidth="1"/>
    <col min="10" max="10" width="49.140625" bestFit="1" customWidth="1"/>
    <col min="11" max="11" width="13.140625" bestFit="1" customWidth="1"/>
    <col min="12" max="12" width="80.140625" bestFit="1" customWidth="1"/>
    <col min="13" max="13" width="35.5703125" bestFit="1" customWidth="1"/>
    <col min="14" max="14" width="32.42578125" bestFit="1" customWidth="1"/>
    <col min="15" max="15" width="14.5703125" bestFit="1" customWidth="1"/>
    <col min="16" max="16" width="27.85546875" bestFit="1" customWidth="1"/>
    <col min="17" max="17" width="255.7109375" bestFit="1" customWidth="1"/>
    <col min="18" max="18" width="11" bestFit="1" customWidth="1"/>
    <col min="19" max="19" width="11.42578125" bestFit="1" customWidth="1"/>
    <col min="20" max="20" width="11.7109375" bestFit="1" customWidth="1"/>
    <col min="21" max="21" width="11.28515625" bestFit="1" customWidth="1"/>
    <col min="22" max="22" width="11.85546875" bestFit="1" customWidth="1"/>
    <col min="23" max="23" width="16" bestFit="1" customWidth="1"/>
    <col min="24" max="24" width="16.28515625" bestFit="1" customWidth="1"/>
    <col min="25" max="25" width="7.140625" bestFit="1" customWidth="1"/>
    <col min="26" max="26" width="16.140625" bestFit="1" customWidth="1"/>
    <col min="27" max="27" width="14.5703125" bestFit="1" customWidth="1"/>
    <col min="28" max="28" width="13.42578125" bestFit="1" customWidth="1"/>
    <col min="29" max="29" width="18.85546875" bestFit="1" customWidth="1"/>
    <col min="30" max="30" width="11.5703125" bestFit="1" customWidth="1"/>
    <col min="31" max="31" width="14.5703125" bestFit="1" customWidth="1"/>
    <col min="32" max="32" width="22.42578125" bestFit="1" customWidth="1"/>
    <col min="33" max="33" width="19.42578125" bestFit="1" customWidth="1"/>
    <col min="34" max="34" width="13.5703125" bestFit="1" customWidth="1"/>
    <col min="35" max="35" width="17" bestFit="1" customWidth="1"/>
    <col min="36" max="36" width="18.42578125" bestFit="1" customWidth="1"/>
    <col min="37" max="37" width="29.85546875" bestFit="1" customWidth="1"/>
    <col min="38" max="38" width="255.7109375" style="3" bestFit="1" customWidth="1"/>
  </cols>
  <sheetData>
    <row r="1" spans="1:38" ht="31.5" x14ac:dyDescent="0.25">
      <c r="A1" s="16" t="s">
        <v>783</v>
      </c>
      <c r="B1" s="16" t="s">
        <v>776</v>
      </c>
      <c r="C1" s="16" t="s">
        <v>25</v>
      </c>
      <c r="D1" s="16" t="s">
        <v>26</v>
      </c>
      <c r="E1" s="16" t="s">
        <v>784</v>
      </c>
      <c r="F1" s="2" t="s">
        <v>785</v>
      </c>
      <c r="G1" s="71" t="s">
        <v>786</v>
      </c>
      <c r="H1" s="16" t="s">
        <v>777</v>
      </c>
      <c r="I1" s="16" t="s">
        <v>787</v>
      </c>
      <c r="J1" s="16" t="s">
        <v>788</v>
      </c>
      <c r="K1" s="16" t="s">
        <v>789</v>
      </c>
      <c r="L1" s="16" t="s">
        <v>790</v>
      </c>
      <c r="M1" s="2" t="s">
        <v>791</v>
      </c>
      <c r="N1" s="2" t="s">
        <v>792</v>
      </c>
      <c r="O1" s="2" t="s">
        <v>793</v>
      </c>
      <c r="P1" s="2" t="s">
        <v>794</v>
      </c>
      <c r="Q1" s="16" t="s">
        <v>795</v>
      </c>
      <c r="R1" s="71" t="s">
        <v>796</v>
      </c>
      <c r="S1" s="71" t="s">
        <v>797</v>
      </c>
      <c r="T1" s="2" t="s">
        <v>798</v>
      </c>
      <c r="U1" s="2" t="s">
        <v>781</v>
      </c>
      <c r="V1" s="2" t="s">
        <v>780</v>
      </c>
      <c r="W1" s="2" t="s">
        <v>786</v>
      </c>
      <c r="X1" s="2" t="s">
        <v>799</v>
      </c>
      <c r="Y1" s="2" t="s">
        <v>778</v>
      </c>
      <c r="Z1" s="2" t="s">
        <v>782</v>
      </c>
      <c r="AA1" s="72" t="s">
        <v>800</v>
      </c>
      <c r="AB1" s="2" t="s">
        <v>801</v>
      </c>
      <c r="AC1" s="2" t="s">
        <v>802</v>
      </c>
      <c r="AD1" s="2" t="s">
        <v>803</v>
      </c>
      <c r="AE1" s="2" t="s">
        <v>804</v>
      </c>
      <c r="AF1" s="2" t="s">
        <v>805</v>
      </c>
      <c r="AG1" s="71" t="s">
        <v>806</v>
      </c>
      <c r="AH1" s="71" t="s">
        <v>807</v>
      </c>
      <c r="AI1" s="71" t="s">
        <v>808</v>
      </c>
      <c r="AJ1" s="71" t="s">
        <v>810</v>
      </c>
      <c r="AK1" s="16" t="s">
        <v>809</v>
      </c>
      <c r="AL1" s="8" t="s">
        <v>779</v>
      </c>
    </row>
    <row r="2" spans="1:38" x14ac:dyDescent="0.25">
      <c r="A2" t="s">
        <v>3</v>
      </c>
      <c r="B2" t="s">
        <v>27</v>
      </c>
      <c r="C2" t="str">
        <f>VLOOKUP(B2,[1]Plantings!$A$2:$C$285,2,FALSE)</f>
        <v>AMS_shallow</v>
      </c>
      <c r="D2" t="str">
        <f>VLOOKUP(B2,[1]Plantings!$A$2:$C$285,3,FALSE)</f>
        <v>single</v>
      </c>
      <c r="E2">
        <v>2013</v>
      </c>
      <c r="F2" t="s">
        <v>28</v>
      </c>
      <c r="G2" t="s">
        <v>0</v>
      </c>
      <c r="H2" t="s">
        <v>19</v>
      </c>
      <c r="I2" t="s">
        <v>29</v>
      </c>
      <c r="J2" t="s">
        <v>30</v>
      </c>
      <c r="K2" t="s">
        <v>31</v>
      </c>
      <c r="L2" t="s">
        <v>32</v>
      </c>
      <c r="M2" t="s">
        <v>33</v>
      </c>
      <c r="N2" t="s">
        <v>34</v>
      </c>
      <c r="O2" t="s">
        <v>35</v>
      </c>
      <c r="P2" t="s">
        <v>36</v>
      </c>
      <c r="Q2" t="s">
        <v>37</v>
      </c>
      <c r="R2" t="s">
        <v>38</v>
      </c>
      <c r="S2" t="s">
        <v>38</v>
      </c>
      <c r="T2" s="10">
        <v>41431</v>
      </c>
      <c r="U2" s="11">
        <v>47.160600000000002</v>
      </c>
      <c r="V2" s="11">
        <v>-122.72776666666667</v>
      </c>
      <c r="W2" t="str">
        <f>VLOOKUP(B2,[1]Plantings!$A$2:$E$285,4,FALSE)</f>
        <v>point</v>
      </c>
      <c r="X2" s="11" t="str">
        <f>VLOOKUP(B2,[1]Plantings!$A$2:$E$285,5,FALSE)</f>
        <v>retain</v>
      </c>
      <c r="Y2" s="3" t="s">
        <v>1</v>
      </c>
      <c r="Z2" s="12">
        <v>-0.91439999999999999</v>
      </c>
      <c r="AA2" s="13" t="s">
        <v>39</v>
      </c>
      <c r="AB2">
        <v>6</v>
      </c>
      <c r="AC2">
        <v>6</v>
      </c>
      <c r="AD2">
        <f t="shared" ref="AD2:AD7" si="0">AB2*AC2</f>
        <v>36</v>
      </c>
      <c r="AE2">
        <v>36</v>
      </c>
      <c r="AF2" s="14">
        <f t="shared" ref="AF2:AF22" si="1">IF(AA2="staple",AG2*0.005,IF(AA2="rebar",AG2*0.025,IF(AA2="burlap",AG2*0.0625,IF(AA2="washer",AG2*0.0025,IF(AA2="pucks",AG2*0.00785,IF(AA2="turf",AG2*0.01,IF(AA2="","")))))))</f>
        <v>0.9</v>
      </c>
      <c r="AG2" s="15">
        <f>AH2/4</f>
        <v>180</v>
      </c>
      <c r="AH2" s="15">
        <v>720</v>
      </c>
      <c r="AI2" s="13"/>
      <c r="AJ2" s="13">
        <f t="shared" ref="AJ2:AJ65" si="2">IFERROR(AH2/AE2, "")</f>
        <v>20</v>
      </c>
      <c r="AK2" t="s">
        <v>40</v>
      </c>
    </row>
    <row r="3" spans="1:38" x14ac:dyDescent="0.25">
      <c r="A3" t="s">
        <v>3</v>
      </c>
      <c r="B3" t="s">
        <v>41</v>
      </c>
      <c r="C3" t="str">
        <f>VLOOKUP(B3,[1]Plantings!$A$2:$C$285,2,FALSE)</f>
        <v>AMS_deep</v>
      </c>
      <c r="D3" t="str">
        <f>VLOOKUP(B3,[1]Plantings!$A$2:$C$285,3,FALSE)</f>
        <v>single</v>
      </c>
      <c r="E3">
        <v>2013</v>
      </c>
      <c r="F3" t="s">
        <v>28</v>
      </c>
      <c r="G3" t="s">
        <v>0</v>
      </c>
      <c r="H3" t="s">
        <v>19</v>
      </c>
      <c r="I3" t="s">
        <v>29</v>
      </c>
      <c r="J3" t="s">
        <v>30</v>
      </c>
      <c r="K3" t="s">
        <v>31</v>
      </c>
      <c r="L3" t="s">
        <v>32</v>
      </c>
      <c r="M3" t="s">
        <v>33</v>
      </c>
      <c r="N3" t="s">
        <v>34</v>
      </c>
      <c r="O3" t="s">
        <v>35</v>
      </c>
      <c r="P3" t="s">
        <v>36</v>
      </c>
      <c r="Q3" t="s">
        <v>37</v>
      </c>
      <c r="R3" t="s">
        <v>38</v>
      </c>
      <c r="S3" t="s">
        <v>38</v>
      </c>
      <c r="T3" s="10">
        <v>41431</v>
      </c>
      <c r="U3" s="11">
        <v>47.160683333333331</v>
      </c>
      <c r="V3" s="11">
        <v>-122.72781666666667</v>
      </c>
      <c r="W3" t="str">
        <f>VLOOKUP(B3,[1]Plantings!$A$2:$E$285,4,FALSE)</f>
        <v>point</v>
      </c>
      <c r="X3" s="11" t="str">
        <f>VLOOKUP(B3,[1]Plantings!$A$2:$E$285,5,FALSE)</f>
        <v>retain</v>
      </c>
      <c r="Y3" s="16" t="s">
        <v>1</v>
      </c>
      <c r="Z3" s="12">
        <v>-1.524</v>
      </c>
      <c r="AA3" s="13" t="s">
        <v>39</v>
      </c>
      <c r="AB3">
        <v>6</v>
      </c>
      <c r="AC3">
        <v>6</v>
      </c>
      <c r="AD3">
        <f t="shared" si="0"/>
        <v>36</v>
      </c>
      <c r="AE3">
        <v>36</v>
      </c>
      <c r="AF3" s="14">
        <f t="shared" si="1"/>
        <v>0.9</v>
      </c>
      <c r="AG3" s="15">
        <f>AH3/4</f>
        <v>180</v>
      </c>
      <c r="AH3" s="15">
        <v>720</v>
      </c>
      <c r="AI3" s="13">
        <f t="shared" ref="AI3:AI65" si="3">IFERROR(AH3/AD3, "")</f>
        <v>20</v>
      </c>
      <c r="AJ3" s="13">
        <f t="shared" si="2"/>
        <v>20</v>
      </c>
      <c r="AK3" t="s">
        <v>40</v>
      </c>
    </row>
    <row r="4" spans="1:38" s="5" customFormat="1" x14ac:dyDescent="0.25">
      <c r="A4" t="s">
        <v>3</v>
      </c>
      <c r="B4" t="s">
        <v>42</v>
      </c>
      <c r="C4" t="str">
        <f>VLOOKUP(B4,[1]Plantings!$A$2:$C$285,2,FALSE)</f>
        <v>AND_west1</v>
      </c>
      <c r="D4" t="str">
        <f>VLOOKUP(B4,[1]Plantings!$A$2:$C$285,3,FALSE)</f>
        <v>single</v>
      </c>
      <c r="E4">
        <v>2015</v>
      </c>
      <c r="F4" t="s">
        <v>28</v>
      </c>
      <c r="G4" t="s">
        <v>0</v>
      </c>
      <c r="H4" t="s">
        <v>19</v>
      </c>
      <c r="I4" t="s">
        <v>29</v>
      </c>
      <c r="J4" t="s">
        <v>4</v>
      </c>
      <c r="K4" t="s">
        <v>43</v>
      </c>
      <c r="L4" t="s">
        <v>44</v>
      </c>
      <c r="M4"/>
      <c r="N4"/>
      <c r="O4" t="s">
        <v>35</v>
      </c>
      <c r="P4" t="s">
        <v>45</v>
      </c>
      <c r="Q4" t="s">
        <v>46</v>
      </c>
      <c r="R4" t="s">
        <v>38</v>
      </c>
      <c r="S4" t="s">
        <v>38</v>
      </c>
      <c r="T4" s="10">
        <v>42062</v>
      </c>
      <c r="U4" s="17">
        <v>47.170783333333333</v>
      </c>
      <c r="V4" s="17">
        <v>-122.72888333333333</v>
      </c>
      <c r="W4" t="str">
        <f>VLOOKUP(B4,[1]Plantings!$A$2:$E$285,4,FALSE)</f>
        <v>point</v>
      </c>
      <c r="X4" s="11" t="str">
        <f>VLOOKUP(B4,[1]Plantings!$A$2:$E$285,5,FALSE)</f>
        <v>retain</v>
      </c>
      <c r="Y4" s="16" t="s">
        <v>1</v>
      </c>
      <c r="Z4" s="12">
        <v>-0.8</v>
      </c>
      <c r="AA4" s="13" t="s">
        <v>39</v>
      </c>
      <c r="AB4">
        <v>5</v>
      </c>
      <c r="AC4">
        <v>5</v>
      </c>
      <c r="AD4">
        <f t="shared" si="0"/>
        <v>25</v>
      </c>
      <c r="AE4" s="13">
        <v>25</v>
      </c>
      <c r="AF4" s="14">
        <f t="shared" si="1"/>
        <v>0.625</v>
      </c>
      <c r="AG4" s="15">
        <f>AH4/4</f>
        <v>125</v>
      </c>
      <c r="AH4" s="15">
        <v>500</v>
      </c>
      <c r="AI4" s="13">
        <f t="shared" si="3"/>
        <v>20</v>
      </c>
      <c r="AJ4" s="13">
        <f t="shared" si="2"/>
        <v>20</v>
      </c>
      <c r="AK4" t="s">
        <v>47</v>
      </c>
      <c r="AL4" s="3"/>
    </row>
    <row r="5" spans="1:38" x14ac:dyDescent="0.25">
      <c r="A5" t="s">
        <v>3</v>
      </c>
      <c r="B5" s="4" t="s">
        <v>48</v>
      </c>
      <c r="C5" t="str">
        <f>VLOOKUP(B5,[1]Plantings!$A$2:$C$285,2,FALSE)</f>
        <v>AND_west2</v>
      </c>
      <c r="D5" t="str">
        <f>VLOOKUP(B5,[1]Plantings!$A$2:$C$285,3,FALSE)</f>
        <v>single</v>
      </c>
      <c r="E5" s="4">
        <v>2016</v>
      </c>
      <c r="F5" t="s">
        <v>28</v>
      </c>
      <c r="G5" s="4" t="s">
        <v>0</v>
      </c>
      <c r="H5" s="4" t="s">
        <v>49</v>
      </c>
      <c r="I5" t="s">
        <v>29</v>
      </c>
      <c r="J5" s="4" t="s">
        <v>12</v>
      </c>
      <c r="K5" s="4" t="s">
        <v>50</v>
      </c>
      <c r="L5" s="4" t="s">
        <v>50</v>
      </c>
      <c r="M5" s="7" t="s">
        <v>51</v>
      </c>
      <c r="N5" s="4" t="s">
        <v>52</v>
      </c>
      <c r="O5" s="4" t="s">
        <v>35</v>
      </c>
      <c r="P5" s="4" t="s">
        <v>53</v>
      </c>
      <c r="R5" s="4" t="s">
        <v>38</v>
      </c>
      <c r="S5" s="4" t="s">
        <v>38</v>
      </c>
      <c r="T5" s="10">
        <v>42633</v>
      </c>
      <c r="U5" s="18">
        <v>47.17093333333333</v>
      </c>
      <c r="V5" s="18">
        <v>-122.72905</v>
      </c>
      <c r="W5" t="str">
        <f>VLOOKUP(B5,[1]Plantings!$A$2:$E$285,4,FALSE)</f>
        <v>point</v>
      </c>
      <c r="X5" s="11" t="str">
        <f>VLOOKUP(B5,[1]Plantings!$A$2:$E$285,5,FALSE)</f>
        <v>retain</v>
      </c>
      <c r="Y5" s="16" t="s">
        <v>1</v>
      </c>
      <c r="Z5" s="12">
        <v>-1.7</v>
      </c>
      <c r="AA5" t="s">
        <v>54</v>
      </c>
      <c r="AB5">
        <v>2.5</v>
      </c>
      <c r="AC5">
        <v>2.5</v>
      </c>
      <c r="AD5">
        <f t="shared" si="0"/>
        <v>6.25</v>
      </c>
      <c r="AE5">
        <f>AG5*0.25</f>
        <v>5</v>
      </c>
      <c r="AF5" s="14">
        <f t="shared" si="1"/>
        <v>0.5</v>
      </c>
      <c r="AG5" s="15">
        <v>20</v>
      </c>
      <c r="AH5" s="15">
        <v>500</v>
      </c>
      <c r="AI5" s="13">
        <f t="shared" si="3"/>
        <v>80</v>
      </c>
      <c r="AJ5" s="13">
        <f t="shared" si="2"/>
        <v>100</v>
      </c>
      <c r="AK5" t="s">
        <v>55</v>
      </c>
      <c r="AL5" s="19"/>
    </row>
    <row r="6" spans="1:38" x14ac:dyDescent="0.25">
      <c r="A6" t="s">
        <v>3</v>
      </c>
      <c r="B6" s="4" t="s">
        <v>56</v>
      </c>
      <c r="C6" t="str">
        <f>VLOOKUP(B6,[1]Plantings!$A$2:$C$285,2,FALSE)</f>
        <v>AND_south1</v>
      </c>
      <c r="D6" t="str">
        <f>VLOOKUP(B6,[1]Plantings!$A$2:$C$285,3,FALSE)</f>
        <v>single</v>
      </c>
      <c r="E6" s="4">
        <v>2016</v>
      </c>
      <c r="F6" t="s">
        <v>28</v>
      </c>
      <c r="G6" s="4" t="s">
        <v>0</v>
      </c>
      <c r="H6" s="4" t="s">
        <v>49</v>
      </c>
      <c r="I6" t="s">
        <v>29</v>
      </c>
      <c r="J6" s="4" t="s">
        <v>12</v>
      </c>
      <c r="K6" s="4" t="s">
        <v>50</v>
      </c>
      <c r="L6" s="4" t="s">
        <v>50</v>
      </c>
      <c r="M6" s="7" t="s">
        <v>51</v>
      </c>
      <c r="N6" s="4" t="s">
        <v>52</v>
      </c>
      <c r="O6" s="4" t="s">
        <v>35</v>
      </c>
      <c r="P6" s="4" t="s">
        <v>53</v>
      </c>
      <c r="Q6" s="4"/>
      <c r="R6" s="4" t="s">
        <v>38</v>
      </c>
      <c r="S6" s="4" t="s">
        <v>38</v>
      </c>
      <c r="T6" s="10">
        <v>42633</v>
      </c>
      <c r="U6" s="64">
        <v>47.132633329999997</v>
      </c>
      <c r="V6" s="64">
        <v>-122.7181167</v>
      </c>
      <c r="W6" t="str">
        <f>VLOOKUP(B6,[1]Plantings!$A$2:$E$285,4,FALSE)</f>
        <v>point</v>
      </c>
      <c r="X6" s="11" t="str">
        <f>VLOOKUP(B6,[1]Plantings!$A$2:$E$285,5,FALSE)</f>
        <v>retain</v>
      </c>
      <c r="Y6" s="16" t="s">
        <v>1</v>
      </c>
      <c r="Z6" s="12">
        <v>-1.9</v>
      </c>
      <c r="AA6" t="s">
        <v>54</v>
      </c>
      <c r="AB6">
        <v>2.5</v>
      </c>
      <c r="AC6">
        <v>2.5</v>
      </c>
      <c r="AD6">
        <f t="shared" si="0"/>
        <v>6.25</v>
      </c>
      <c r="AE6">
        <f>AG6*0.25</f>
        <v>5</v>
      </c>
      <c r="AF6" s="14">
        <f t="shared" si="1"/>
        <v>0.5</v>
      </c>
      <c r="AG6" s="15">
        <v>20</v>
      </c>
      <c r="AH6" s="15">
        <v>500</v>
      </c>
      <c r="AI6" s="13">
        <f t="shared" si="3"/>
        <v>80</v>
      </c>
      <c r="AJ6" s="13">
        <f t="shared" si="2"/>
        <v>100</v>
      </c>
      <c r="AK6" t="s">
        <v>55</v>
      </c>
      <c r="AL6" s="19" t="s">
        <v>57</v>
      </c>
    </row>
    <row r="7" spans="1:38" x14ac:dyDescent="0.25">
      <c r="A7" t="s">
        <v>3</v>
      </c>
      <c r="B7" t="s">
        <v>58</v>
      </c>
      <c r="C7" t="str">
        <f>VLOOKUP(B7,[1]Plantings!$A$2:$C$285,2,FALSE)</f>
        <v>AND_west_L1</v>
      </c>
      <c r="D7" t="str">
        <f>VLOOKUP(B7,[1]Plantings!$A$2:$C$285,3,FALSE)</f>
        <v>single</v>
      </c>
      <c r="E7">
        <v>2017</v>
      </c>
      <c r="F7" t="s">
        <v>28</v>
      </c>
      <c r="G7" s="4" t="s">
        <v>59</v>
      </c>
      <c r="H7" t="s">
        <v>19</v>
      </c>
      <c r="I7" t="s">
        <v>29</v>
      </c>
      <c r="J7" t="s">
        <v>60</v>
      </c>
      <c r="K7" t="s">
        <v>31</v>
      </c>
      <c r="L7" t="s">
        <v>32</v>
      </c>
      <c r="M7" t="s">
        <v>61</v>
      </c>
      <c r="N7" t="s">
        <v>62</v>
      </c>
      <c r="O7" t="s">
        <v>63</v>
      </c>
      <c r="P7" t="s">
        <v>64</v>
      </c>
      <c r="Q7" t="s">
        <v>65</v>
      </c>
      <c r="R7" t="s">
        <v>38</v>
      </c>
      <c r="S7" t="s">
        <v>38</v>
      </c>
      <c r="T7" s="10">
        <v>42860</v>
      </c>
      <c r="U7" s="18">
        <v>47.181829999999998</v>
      </c>
      <c r="V7" s="18">
        <v>-122.71405</v>
      </c>
      <c r="W7" t="str">
        <f>VLOOKUP(B7,[1]Plantings!$A$2:$E$285,4,FALSE)</f>
        <v>line</v>
      </c>
      <c r="X7" s="11" t="str">
        <f>VLOOKUP(B7,[1]Plantings!$A$2:$E$285,5,FALSE)</f>
        <v>retain</v>
      </c>
      <c r="Y7" s="16" t="s">
        <v>1</v>
      </c>
      <c r="Z7" s="12">
        <v>-1.6</v>
      </c>
      <c r="AA7" t="s">
        <v>66</v>
      </c>
      <c r="AB7">
        <v>10</v>
      </c>
      <c r="AC7">
        <v>1</v>
      </c>
      <c r="AD7">
        <f t="shared" si="0"/>
        <v>10</v>
      </c>
      <c r="AE7">
        <v>6</v>
      </c>
      <c r="AF7" s="14">
        <f t="shared" si="1"/>
        <v>0.87</v>
      </c>
      <c r="AG7" s="15">
        <v>87</v>
      </c>
      <c r="AH7" s="15">
        <v>869</v>
      </c>
      <c r="AI7" s="13">
        <f t="shared" si="3"/>
        <v>86.9</v>
      </c>
      <c r="AJ7" s="13">
        <f t="shared" si="2"/>
        <v>144.83333333333334</v>
      </c>
      <c r="AK7" t="s">
        <v>67</v>
      </c>
      <c r="AL7" s="19" t="s">
        <v>68</v>
      </c>
    </row>
    <row r="8" spans="1:38" x14ac:dyDescent="0.25">
      <c r="A8" t="s">
        <v>3</v>
      </c>
      <c r="B8" t="s">
        <v>14</v>
      </c>
      <c r="C8" t="e">
        <f>VLOOKUP(B8,[1]Plantings!$A$2:$C$285,2,FALSE)</f>
        <v>#N/A</v>
      </c>
      <c r="D8" t="e">
        <f>VLOOKUP(B8,[1]Plantings!$A$2:$C$285,3,FALSE)</f>
        <v>#N/A</v>
      </c>
      <c r="E8">
        <v>2017</v>
      </c>
      <c r="F8" t="s">
        <v>28</v>
      </c>
      <c r="G8" s="4" t="s">
        <v>59</v>
      </c>
      <c r="H8" t="s">
        <v>19</v>
      </c>
      <c r="I8" t="s">
        <v>29</v>
      </c>
      <c r="J8" t="s">
        <v>60</v>
      </c>
      <c r="K8" t="s">
        <v>31</v>
      </c>
      <c r="L8" t="s">
        <v>32</v>
      </c>
      <c r="M8" t="s">
        <v>61</v>
      </c>
      <c r="N8" t="s">
        <v>62</v>
      </c>
      <c r="O8" t="s">
        <v>63</v>
      </c>
      <c r="P8" t="s">
        <v>64</v>
      </c>
      <c r="Q8" t="s">
        <v>65</v>
      </c>
      <c r="R8" t="s">
        <v>38</v>
      </c>
      <c r="S8" s="20" t="s">
        <v>70</v>
      </c>
      <c r="T8" s="10">
        <v>42860</v>
      </c>
      <c r="U8" s="18">
        <v>47.18186</v>
      </c>
      <c r="V8" s="18">
        <v>-122.71402999999999</v>
      </c>
      <c r="W8" t="e">
        <f>VLOOKUP(B8,[1]Plantings!$A$2:$E$285,4,FALSE)</f>
        <v>#N/A</v>
      </c>
      <c r="X8" s="11" t="e">
        <f>VLOOKUP(B8,[1]Plantings!$A$2:$E$285,5,FALSE)</f>
        <v>#N/A</v>
      </c>
      <c r="Y8" s="16" t="s">
        <v>1</v>
      </c>
      <c r="AF8" s="14" t="str">
        <f t="shared" si="1"/>
        <v/>
      </c>
      <c r="AG8" s="15"/>
      <c r="AH8" s="15"/>
      <c r="AI8" s="13" t="str">
        <f t="shared" si="3"/>
        <v/>
      </c>
      <c r="AJ8" s="13" t="str">
        <f t="shared" si="2"/>
        <v/>
      </c>
      <c r="AL8" s="19"/>
    </row>
    <row r="9" spans="1:38" x14ac:dyDescent="0.25">
      <c r="A9" t="s">
        <v>3</v>
      </c>
      <c r="B9" t="s">
        <v>71</v>
      </c>
      <c r="C9" t="str">
        <f>VLOOKUP(B9,[1]Plantings!$A$2:$C$285,2,FALSE)</f>
        <v>AND_south_L1</v>
      </c>
      <c r="D9" t="str">
        <f>VLOOKUP(B9,[1]Plantings!$A$2:$C$285,3,FALSE)</f>
        <v>single</v>
      </c>
      <c r="E9">
        <v>2017</v>
      </c>
      <c r="F9" t="s">
        <v>28</v>
      </c>
      <c r="G9" s="4" t="s">
        <v>59</v>
      </c>
      <c r="H9" t="s">
        <v>19</v>
      </c>
      <c r="I9" t="s">
        <v>29</v>
      </c>
      <c r="J9" t="s">
        <v>60</v>
      </c>
      <c r="K9" t="s">
        <v>31</v>
      </c>
      <c r="L9" t="s">
        <v>32</v>
      </c>
      <c r="M9" t="s">
        <v>61</v>
      </c>
      <c r="N9" t="s">
        <v>62</v>
      </c>
      <c r="O9" t="s">
        <v>63</v>
      </c>
      <c r="P9" t="s">
        <v>64</v>
      </c>
      <c r="Q9" t="s">
        <v>65</v>
      </c>
      <c r="R9" t="s">
        <v>38</v>
      </c>
      <c r="S9" t="s">
        <v>38</v>
      </c>
      <c r="T9" s="10">
        <v>42860</v>
      </c>
      <c r="U9" s="18">
        <v>47.176900000000003</v>
      </c>
      <c r="V9" s="18">
        <v>-122.7251</v>
      </c>
      <c r="W9" t="str">
        <f>VLOOKUP(B9,[1]Plantings!$A$2:$E$285,4,FALSE)</f>
        <v>line</v>
      </c>
      <c r="X9" s="11" t="str">
        <f>VLOOKUP(B9,[1]Plantings!$A$2:$E$285,5,FALSE)</f>
        <v>retain</v>
      </c>
      <c r="Y9" s="16" t="s">
        <v>1</v>
      </c>
      <c r="Z9">
        <v>-1.6</v>
      </c>
      <c r="AA9" t="s">
        <v>66</v>
      </c>
      <c r="AB9">
        <v>10</v>
      </c>
      <c r="AC9">
        <v>1</v>
      </c>
      <c r="AD9">
        <f>AB9*AC9</f>
        <v>10</v>
      </c>
      <c r="AE9">
        <v>6</v>
      </c>
      <c r="AF9" s="14">
        <f t="shared" si="1"/>
        <v>0.87</v>
      </c>
      <c r="AG9" s="15">
        <v>87</v>
      </c>
      <c r="AH9" s="15">
        <v>869</v>
      </c>
      <c r="AI9" s="13">
        <f t="shared" si="3"/>
        <v>86.9</v>
      </c>
      <c r="AJ9" s="13">
        <f t="shared" si="2"/>
        <v>144.83333333333334</v>
      </c>
      <c r="AK9" t="s">
        <v>67</v>
      </c>
      <c r="AL9" s="19" t="s">
        <v>72</v>
      </c>
    </row>
    <row r="10" spans="1:38" x14ac:dyDescent="0.25">
      <c r="A10" t="s">
        <v>3</v>
      </c>
      <c r="B10" t="s">
        <v>73</v>
      </c>
      <c r="C10" t="str">
        <f>VLOOKUP(B10,[1]Plantings!$A$2:$C$285,2,FALSE)</f>
        <v>AND_south_L1</v>
      </c>
      <c r="D10" t="str">
        <f>VLOOKUP(B10,[1]Plantings!$A$2:$C$285,3,FALSE)</f>
        <v>single</v>
      </c>
      <c r="E10">
        <v>2017</v>
      </c>
      <c r="F10" t="s">
        <v>28</v>
      </c>
      <c r="G10" s="4" t="s">
        <v>59</v>
      </c>
      <c r="H10" t="s">
        <v>19</v>
      </c>
      <c r="I10" t="s">
        <v>29</v>
      </c>
      <c r="J10" t="s">
        <v>60</v>
      </c>
      <c r="K10" t="s">
        <v>31</v>
      </c>
      <c r="L10" t="s">
        <v>32</v>
      </c>
      <c r="M10" t="s">
        <v>61</v>
      </c>
      <c r="N10" t="s">
        <v>62</v>
      </c>
      <c r="O10" t="s">
        <v>63</v>
      </c>
      <c r="P10" t="s">
        <v>64</v>
      </c>
      <c r="Q10" t="s">
        <v>65</v>
      </c>
      <c r="R10" t="s">
        <v>38</v>
      </c>
      <c r="S10" s="20" t="s">
        <v>70</v>
      </c>
      <c r="T10" s="10">
        <v>42860</v>
      </c>
      <c r="U10" s="18">
        <v>47.176929999999999</v>
      </c>
      <c r="V10" s="18">
        <v>-122.72505</v>
      </c>
      <c r="W10" t="str">
        <f>VLOOKUP(B10,[1]Plantings!$A$2:$E$285,4,FALSE)</f>
        <v>line</v>
      </c>
      <c r="X10" s="11" t="str">
        <f>VLOOKUP(B10,[1]Plantings!$A$2:$E$285,5,FALSE)</f>
        <v>retain</v>
      </c>
      <c r="Y10" s="16" t="s">
        <v>1</v>
      </c>
      <c r="AF10" s="14" t="str">
        <f t="shared" si="1"/>
        <v/>
      </c>
      <c r="AG10" s="15"/>
      <c r="AH10" s="15"/>
      <c r="AI10" s="13" t="str">
        <f t="shared" si="3"/>
        <v/>
      </c>
      <c r="AJ10" s="13" t="str">
        <f t="shared" si="2"/>
        <v/>
      </c>
      <c r="AL10" s="19"/>
    </row>
    <row r="11" spans="1:38" x14ac:dyDescent="0.25">
      <c r="A11" t="s">
        <v>3</v>
      </c>
      <c r="B11" s="4" t="s">
        <v>74</v>
      </c>
      <c r="C11" t="str">
        <f>VLOOKUP(B11,[1]Plantings!$A$2:$C$285,2,FALSE)</f>
        <v>AND_south_L2</v>
      </c>
      <c r="D11" t="str">
        <f>VLOOKUP(B11,[1]Plantings!$A$2:$C$285,3,FALSE)</f>
        <v>single</v>
      </c>
      <c r="E11" s="4">
        <v>2017</v>
      </c>
      <c r="F11" t="s">
        <v>28</v>
      </c>
      <c r="G11" t="s">
        <v>75</v>
      </c>
      <c r="H11" s="4" t="s">
        <v>49</v>
      </c>
      <c r="I11" t="s">
        <v>29</v>
      </c>
      <c r="J11" t="s">
        <v>60</v>
      </c>
      <c r="K11" t="s">
        <v>31</v>
      </c>
      <c r="L11" t="s">
        <v>32</v>
      </c>
      <c r="M11" t="s">
        <v>61</v>
      </c>
      <c r="N11" t="s">
        <v>62</v>
      </c>
      <c r="O11" t="s">
        <v>63</v>
      </c>
      <c r="P11" t="s">
        <v>64</v>
      </c>
      <c r="Q11" t="s">
        <v>65</v>
      </c>
      <c r="R11" s="4" t="s">
        <v>76</v>
      </c>
      <c r="S11" s="4" t="s">
        <v>76</v>
      </c>
      <c r="T11" s="10">
        <v>42888</v>
      </c>
      <c r="U11" s="11">
        <v>47.138750000000002</v>
      </c>
      <c r="V11" s="64">
        <v>-122.725111</v>
      </c>
      <c r="W11" t="str">
        <f>VLOOKUP(B11,[1]Plantings!$A$2:$E$285,4,FALSE)</f>
        <v>line</v>
      </c>
      <c r="X11" s="11" t="str">
        <f>VLOOKUP(B11,[1]Plantings!$A$2:$E$285,5,FALSE)</f>
        <v>retain</v>
      </c>
      <c r="Y11" s="16" t="s">
        <v>1</v>
      </c>
      <c r="Z11">
        <v>-1.6</v>
      </c>
      <c r="AA11" t="s">
        <v>66</v>
      </c>
      <c r="AB11">
        <v>40</v>
      </c>
      <c r="AC11">
        <v>4</v>
      </c>
      <c r="AD11">
        <f>AB11*AC11</f>
        <v>160</v>
      </c>
      <c r="AE11">
        <v>155</v>
      </c>
      <c r="AF11" s="14">
        <f t="shared" si="1"/>
        <v>20.5</v>
      </c>
      <c r="AG11" s="15">
        <v>2050</v>
      </c>
      <c r="AH11" s="21">
        <v>20500</v>
      </c>
      <c r="AI11" s="13">
        <f t="shared" si="3"/>
        <v>128.125</v>
      </c>
      <c r="AJ11" s="13">
        <f t="shared" si="2"/>
        <v>132.25806451612902</v>
      </c>
      <c r="AK11" t="s">
        <v>67</v>
      </c>
      <c r="AL11" s="19" t="s">
        <v>77</v>
      </c>
    </row>
    <row r="12" spans="1:38" x14ac:dyDescent="0.25">
      <c r="A12" t="s">
        <v>3</v>
      </c>
      <c r="B12" s="4" t="s">
        <v>78</v>
      </c>
      <c r="C12" t="str">
        <f>VLOOKUP(B12,[1]Plantings!$A$2:$C$285,2,FALSE)</f>
        <v>AND_south_L2</v>
      </c>
      <c r="D12" t="str">
        <f>VLOOKUP(B12,[1]Plantings!$A$2:$C$285,3,FALSE)</f>
        <v>single</v>
      </c>
      <c r="E12" s="4">
        <v>2017</v>
      </c>
      <c r="F12" t="s">
        <v>28</v>
      </c>
      <c r="G12" t="s">
        <v>75</v>
      </c>
      <c r="H12" s="4" t="s">
        <v>49</v>
      </c>
      <c r="I12" t="s">
        <v>29</v>
      </c>
      <c r="J12" t="s">
        <v>60</v>
      </c>
      <c r="K12" t="s">
        <v>31</v>
      </c>
      <c r="L12" t="s">
        <v>32</v>
      </c>
      <c r="M12" t="s">
        <v>61</v>
      </c>
      <c r="N12" t="s">
        <v>62</v>
      </c>
      <c r="O12" t="s">
        <v>63</v>
      </c>
      <c r="P12" t="s">
        <v>64</v>
      </c>
      <c r="Q12" t="s">
        <v>65</v>
      </c>
      <c r="R12" s="4" t="s">
        <v>76</v>
      </c>
      <c r="S12" s="20" t="s">
        <v>70</v>
      </c>
      <c r="T12" s="10">
        <v>42888</v>
      </c>
      <c r="U12" s="11">
        <v>47.138916999999999</v>
      </c>
      <c r="V12" s="64">
        <v>-122.725556</v>
      </c>
      <c r="W12" t="str">
        <f>VLOOKUP(B12,[1]Plantings!$A$2:$E$285,4,FALSE)</f>
        <v>line</v>
      </c>
      <c r="X12" s="11" t="str">
        <f>VLOOKUP(B12,[1]Plantings!$A$2:$E$285,5,FALSE)</f>
        <v>retain</v>
      </c>
      <c r="Y12" s="16" t="s">
        <v>1</v>
      </c>
      <c r="AF12" s="14" t="str">
        <f t="shared" si="1"/>
        <v/>
      </c>
      <c r="AG12" s="15"/>
      <c r="AH12" s="15"/>
      <c r="AI12" s="13" t="str">
        <f t="shared" si="3"/>
        <v/>
      </c>
      <c r="AJ12" s="13" t="str">
        <f t="shared" si="2"/>
        <v/>
      </c>
      <c r="AL12" s="19"/>
    </row>
    <row r="13" spans="1:38" x14ac:dyDescent="0.25">
      <c r="A13" t="s">
        <v>3</v>
      </c>
      <c r="B13" s="4" t="s">
        <v>79</v>
      </c>
      <c r="C13" t="str">
        <f>VLOOKUP(B13,[1]Plantings!$A$2:$C$285,2,FALSE)</f>
        <v>AND_south_L3</v>
      </c>
      <c r="D13" t="str">
        <f>VLOOKUP(B13,[1]Plantings!$A$2:$C$285,3,FALSE)</f>
        <v>single</v>
      </c>
      <c r="E13" s="4">
        <v>2017</v>
      </c>
      <c r="F13" t="s">
        <v>28</v>
      </c>
      <c r="G13" t="s">
        <v>75</v>
      </c>
      <c r="H13" s="4" t="s">
        <v>49</v>
      </c>
      <c r="I13" t="s">
        <v>29</v>
      </c>
      <c r="J13" t="s">
        <v>60</v>
      </c>
      <c r="K13" t="s">
        <v>31</v>
      </c>
      <c r="L13" t="s">
        <v>32</v>
      </c>
      <c r="M13" t="s">
        <v>61</v>
      </c>
      <c r="N13" t="s">
        <v>62</v>
      </c>
      <c r="O13" t="s">
        <v>63</v>
      </c>
      <c r="P13" t="s">
        <v>64</v>
      </c>
      <c r="Q13" t="s">
        <v>65</v>
      </c>
      <c r="R13" s="4" t="s">
        <v>76</v>
      </c>
      <c r="S13" s="4" t="s">
        <v>76</v>
      </c>
      <c r="T13" s="10">
        <v>42890</v>
      </c>
      <c r="U13" s="11">
        <v>47.138249999999999</v>
      </c>
      <c r="V13" s="64">
        <v>-122.72369399999999</v>
      </c>
      <c r="W13" t="str">
        <f>VLOOKUP(B13,[1]Plantings!$A$2:$E$285,4,FALSE)</f>
        <v>line</v>
      </c>
      <c r="X13" s="11" t="str">
        <f>VLOOKUP(B13,[1]Plantings!$A$2:$E$285,5,FALSE)</f>
        <v>retain</v>
      </c>
      <c r="Y13" s="16" t="s">
        <v>1</v>
      </c>
      <c r="Z13">
        <v>-1.6</v>
      </c>
      <c r="AA13" t="s">
        <v>66</v>
      </c>
      <c r="AB13">
        <v>40</v>
      </c>
      <c r="AC13">
        <v>4</v>
      </c>
      <c r="AD13">
        <f>AB13*AC13</f>
        <v>160</v>
      </c>
      <c r="AE13">
        <v>160</v>
      </c>
      <c r="AF13" s="14">
        <f t="shared" si="1"/>
        <v>24.830000000000002</v>
      </c>
      <c r="AG13" s="15">
        <v>2483</v>
      </c>
      <c r="AH13" s="21">
        <v>24830</v>
      </c>
      <c r="AI13" s="13">
        <f t="shared" si="3"/>
        <v>155.1875</v>
      </c>
      <c r="AJ13" s="13">
        <f t="shared" si="2"/>
        <v>155.1875</v>
      </c>
      <c r="AK13" t="s">
        <v>67</v>
      </c>
      <c r="AL13" s="19" t="s">
        <v>80</v>
      </c>
    </row>
    <row r="14" spans="1:38" x14ac:dyDescent="0.25">
      <c r="A14" t="s">
        <v>3</v>
      </c>
      <c r="B14" s="4" t="s">
        <v>81</v>
      </c>
      <c r="C14" t="str">
        <f>VLOOKUP(B14,[1]Plantings!$A$2:$C$285,2,FALSE)</f>
        <v>AND_south_L3</v>
      </c>
      <c r="D14" t="str">
        <f>VLOOKUP(B14,[1]Plantings!$A$2:$C$285,3,FALSE)</f>
        <v>single</v>
      </c>
      <c r="E14" s="4">
        <v>2017</v>
      </c>
      <c r="F14" t="s">
        <v>28</v>
      </c>
      <c r="G14" t="s">
        <v>75</v>
      </c>
      <c r="H14" s="4" t="s">
        <v>49</v>
      </c>
      <c r="I14" t="s">
        <v>29</v>
      </c>
      <c r="J14" t="s">
        <v>60</v>
      </c>
      <c r="K14" t="s">
        <v>31</v>
      </c>
      <c r="L14" t="s">
        <v>32</v>
      </c>
      <c r="M14" t="s">
        <v>61</v>
      </c>
      <c r="N14" t="s">
        <v>62</v>
      </c>
      <c r="O14" t="s">
        <v>63</v>
      </c>
      <c r="P14" t="s">
        <v>64</v>
      </c>
      <c r="Q14" t="s">
        <v>65</v>
      </c>
      <c r="R14" s="4" t="s">
        <v>76</v>
      </c>
      <c r="S14" s="20" t="s">
        <v>70</v>
      </c>
      <c r="T14" s="10">
        <v>42890</v>
      </c>
      <c r="U14" s="11">
        <v>47.138444</v>
      </c>
      <c r="V14" s="64">
        <v>-122.72416699999999</v>
      </c>
      <c r="W14" t="str">
        <f>VLOOKUP(B14,[1]Plantings!$A$2:$E$285,4,FALSE)</f>
        <v>line</v>
      </c>
      <c r="X14" s="11" t="str">
        <f>VLOOKUP(B14,[1]Plantings!$A$2:$E$285,5,FALSE)</f>
        <v>retain</v>
      </c>
      <c r="Y14" s="16" t="s">
        <v>1</v>
      </c>
      <c r="AF14" s="14" t="str">
        <f t="shared" si="1"/>
        <v/>
      </c>
      <c r="AG14" s="15"/>
      <c r="AH14" s="15"/>
      <c r="AI14" s="13" t="str">
        <f t="shared" si="3"/>
        <v/>
      </c>
      <c r="AJ14" s="13" t="str">
        <f t="shared" si="2"/>
        <v/>
      </c>
      <c r="AL14" s="19"/>
    </row>
    <row r="15" spans="1:38" x14ac:dyDescent="0.25">
      <c r="A15" s="4" t="s">
        <v>3</v>
      </c>
      <c r="B15" s="4" t="s">
        <v>82</v>
      </c>
      <c r="C15" t="str">
        <f>VLOOKUP(B15,[1]Plantings!$A$2:$C$285,2,FALSE)</f>
        <v>AND_south_L4</v>
      </c>
      <c r="D15" t="str">
        <f>VLOOKUP(B15,[1]Plantings!$A$2:$C$285,3,FALSE)</f>
        <v>single</v>
      </c>
      <c r="E15" s="4">
        <v>2017</v>
      </c>
      <c r="F15" s="4" t="s">
        <v>28</v>
      </c>
      <c r="G15" s="4" t="s">
        <v>59</v>
      </c>
      <c r="H15" s="4" t="s">
        <v>49</v>
      </c>
      <c r="I15" t="s">
        <v>29</v>
      </c>
      <c r="J15" s="4" t="s">
        <v>12</v>
      </c>
      <c r="K15" s="4" t="s">
        <v>50</v>
      </c>
      <c r="L15" s="4" t="s">
        <v>50</v>
      </c>
      <c r="M15" s="7" t="s">
        <v>51</v>
      </c>
      <c r="N15" s="4" t="s">
        <v>52</v>
      </c>
      <c r="O15" s="4" t="s">
        <v>35</v>
      </c>
      <c r="P15" s="4" t="s">
        <v>83</v>
      </c>
      <c r="Q15" s="4"/>
      <c r="R15" s="4" t="s">
        <v>76</v>
      </c>
      <c r="S15" s="4" t="s">
        <v>76</v>
      </c>
      <c r="T15" s="1">
        <v>42955</v>
      </c>
      <c r="U15" s="17">
        <v>47.132633329999997</v>
      </c>
      <c r="V15" s="17">
        <v>-122.7181167</v>
      </c>
      <c r="W15" t="str">
        <f>VLOOKUP(B15,[1]Plantings!$A$2:$E$285,4,FALSE)</f>
        <v>line</v>
      </c>
      <c r="X15" s="11" t="str">
        <f>VLOOKUP(B15,[1]Plantings!$A$2:$E$285,5,FALSE)</f>
        <v>retain</v>
      </c>
      <c r="Y15" s="22" t="s">
        <v>1</v>
      </c>
      <c r="Z15" s="23">
        <v>-1.31064</v>
      </c>
      <c r="AA15" s="4" t="s">
        <v>54</v>
      </c>
      <c r="AB15" s="4">
        <v>30</v>
      </c>
      <c r="AC15" s="4">
        <v>5</v>
      </c>
      <c r="AD15">
        <f>AB15*AC15</f>
        <v>150</v>
      </c>
      <c r="AE15">
        <f>AG15*0.25</f>
        <v>105.25</v>
      </c>
      <c r="AF15" s="14">
        <f t="shared" si="1"/>
        <v>10.525</v>
      </c>
      <c r="AG15" s="24">
        <v>421</v>
      </c>
      <c r="AH15" s="25">
        <v>10525</v>
      </c>
      <c r="AI15" s="13">
        <f t="shared" si="3"/>
        <v>70.166666666666671</v>
      </c>
      <c r="AJ15" s="13">
        <f t="shared" si="2"/>
        <v>100</v>
      </c>
      <c r="AK15" s="4" t="s">
        <v>40</v>
      </c>
      <c r="AL15" s="26" t="s">
        <v>84</v>
      </c>
    </row>
    <row r="16" spans="1:38" x14ac:dyDescent="0.25">
      <c r="A16" s="4" t="s">
        <v>3</v>
      </c>
      <c r="B16" s="4" t="s">
        <v>82</v>
      </c>
      <c r="C16" t="str">
        <f>VLOOKUP(B16,[1]Plantings!$A$2:$C$285,2,FALSE)</f>
        <v>AND_south_L4</v>
      </c>
      <c r="D16" t="str">
        <f>VLOOKUP(B16,[1]Plantings!$A$2:$C$285,3,FALSE)</f>
        <v>single</v>
      </c>
      <c r="E16" s="4">
        <v>2017</v>
      </c>
      <c r="F16" s="4" t="s">
        <v>28</v>
      </c>
      <c r="G16" s="4" t="s">
        <v>59</v>
      </c>
      <c r="H16" s="4" t="s">
        <v>49</v>
      </c>
      <c r="I16" t="s">
        <v>29</v>
      </c>
      <c r="J16" s="4" t="s">
        <v>12</v>
      </c>
      <c r="K16" s="4" t="s">
        <v>50</v>
      </c>
      <c r="L16" s="4" t="s">
        <v>50</v>
      </c>
      <c r="M16" s="7" t="s">
        <v>51</v>
      </c>
      <c r="N16" s="4" t="s">
        <v>52</v>
      </c>
      <c r="O16" s="4" t="s">
        <v>35</v>
      </c>
      <c r="P16" s="4" t="s">
        <v>83</v>
      </c>
      <c r="Q16" s="4"/>
      <c r="R16" s="4" t="s">
        <v>76</v>
      </c>
      <c r="S16" s="20" t="s">
        <v>70</v>
      </c>
      <c r="T16" s="1">
        <v>42955</v>
      </c>
      <c r="U16" s="17">
        <v>47.132379999999998</v>
      </c>
      <c r="V16" s="17">
        <v>-122.71795</v>
      </c>
      <c r="W16" t="str">
        <f>VLOOKUP(B16,[1]Plantings!$A$2:$E$285,4,FALSE)</f>
        <v>line</v>
      </c>
      <c r="X16" s="11" t="str">
        <f>VLOOKUP(B16,[1]Plantings!$A$2:$E$285,5,FALSE)</f>
        <v>retain</v>
      </c>
      <c r="Y16" s="22" t="s">
        <v>1</v>
      </c>
      <c r="Z16" s="23"/>
      <c r="AA16" s="4"/>
      <c r="AB16" s="4"/>
      <c r="AC16" s="4"/>
      <c r="AE16" s="4"/>
      <c r="AF16" s="14" t="str">
        <f t="shared" si="1"/>
        <v/>
      </c>
      <c r="AG16" s="24"/>
      <c r="AH16" s="25"/>
      <c r="AI16" s="13" t="str">
        <f t="shared" si="3"/>
        <v/>
      </c>
      <c r="AJ16" s="13" t="str">
        <f t="shared" si="2"/>
        <v/>
      </c>
      <c r="AK16" s="4"/>
      <c r="AL16" s="26"/>
    </row>
    <row r="17" spans="1:38" x14ac:dyDescent="0.25">
      <c r="A17" t="s">
        <v>3</v>
      </c>
      <c r="B17" t="s">
        <v>85</v>
      </c>
      <c r="C17" t="str">
        <f>VLOOKUP(B17,[1]Plantings!$A$2:$C$285,2,FALSE)</f>
        <v>AMS_deeper</v>
      </c>
      <c r="D17" t="str">
        <f>VLOOKUP(B17,[1]Plantings!$A$2:$C$285,3,FALSE)</f>
        <v>single</v>
      </c>
      <c r="E17" s="7">
        <v>2020</v>
      </c>
      <c r="F17" s="4" t="s">
        <v>28</v>
      </c>
      <c r="G17" t="s">
        <v>0</v>
      </c>
      <c r="H17" t="s">
        <v>19</v>
      </c>
      <c r="I17" t="s">
        <v>29</v>
      </c>
      <c r="J17" s="4" t="s">
        <v>86</v>
      </c>
      <c r="K17" s="4" t="s">
        <v>50</v>
      </c>
      <c r="L17" s="4" t="s">
        <v>50</v>
      </c>
      <c r="M17" s="7" t="s">
        <v>51</v>
      </c>
      <c r="N17" s="4" t="s">
        <v>52</v>
      </c>
      <c r="O17" s="4" t="s">
        <v>35</v>
      </c>
      <c r="R17" s="4" t="s">
        <v>38</v>
      </c>
      <c r="S17" s="4" t="s">
        <v>38</v>
      </c>
      <c r="T17" s="27">
        <v>44012</v>
      </c>
      <c r="U17" s="11">
        <v>47.160375999999999</v>
      </c>
      <c r="V17" s="11">
        <v>-122.72771659999999</v>
      </c>
      <c r="W17" t="str">
        <f>VLOOKUP(B17,[1]Plantings!$A$2:$E$285,4,FALSE)</f>
        <v>point</v>
      </c>
      <c r="X17" s="11" t="str">
        <f>VLOOKUP(B17,[1]Plantings!$A$2:$E$285,5,FALSE)</f>
        <v>retain</v>
      </c>
      <c r="Y17" s="22" t="s">
        <v>1</v>
      </c>
      <c r="Z17" s="12">
        <v>-1.1000000000000001</v>
      </c>
      <c r="AA17" s="13" t="s">
        <v>54</v>
      </c>
      <c r="AB17">
        <v>2.5</v>
      </c>
      <c r="AC17">
        <v>2.5</v>
      </c>
      <c r="AD17">
        <f t="shared" ref="AD17:AD32" si="4">AB17*AC17</f>
        <v>6.25</v>
      </c>
      <c r="AE17">
        <f t="shared" ref="AE17:AE28" si="5">AG17*0.25</f>
        <v>4.75</v>
      </c>
      <c r="AF17" s="14">
        <f t="shared" si="1"/>
        <v>0.47500000000000003</v>
      </c>
      <c r="AG17">
        <v>19</v>
      </c>
      <c r="AH17">
        <v>475</v>
      </c>
      <c r="AI17" s="13">
        <f t="shared" si="3"/>
        <v>76</v>
      </c>
      <c r="AJ17" s="13">
        <f t="shared" si="2"/>
        <v>100</v>
      </c>
      <c r="AK17" t="s">
        <v>3</v>
      </c>
      <c r="AL17" s="3" t="s">
        <v>87</v>
      </c>
    </row>
    <row r="18" spans="1:38" x14ac:dyDescent="0.25">
      <c r="A18" t="s">
        <v>3</v>
      </c>
      <c r="B18" t="s">
        <v>88</v>
      </c>
      <c r="C18" t="str">
        <f>VLOOKUP(B18,[1]Plantings!$A$2:$C$285,2,FALSE)</f>
        <v>AND_west3</v>
      </c>
      <c r="D18" t="str">
        <f>VLOOKUP(B18,[1]Plantings!$A$2:$C$285,3,FALSE)</f>
        <v>single</v>
      </c>
      <c r="E18" s="7">
        <v>2020</v>
      </c>
      <c r="F18" s="4" t="s">
        <v>28</v>
      </c>
      <c r="G18" t="s">
        <v>0</v>
      </c>
      <c r="H18" t="s">
        <v>19</v>
      </c>
      <c r="I18" t="s">
        <v>29</v>
      </c>
      <c r="J18" s="4" t="s">
        <v>86</v>
      </c>
      <c r="K18" s="4" t="s">
        <v>50</v>
      </c>
      <c r="L18" s="4" t="s">
        <v>50</v>
      </c>
      <c r="M18" s="7" t="s">
        <v>51</v>
      </c>
      <c r="N18" s="4" t="s">
        <v>52</v>
      </c>
      <c r="O18" s="4" t="s">
        <v>35</v>
      </c>
      <c r="R18" s="4" t="s">
        <v>38</v>
      </c>
      <c r="S18" s="4" t="s">
        <v>38</v>
      </c>
      <c r="T18" s="27">
        <v>44013</v>
      </c>
      <c r="U18" s="11">
        <v>47.172138166000003</v>
      </c>
      <c r="V18" s="11">
        <v>-122.7279458</v>
      </c>
      <c r="W18" t="str">
        <f>VLOOKUP(B18,[1]Plantings!$A$2:$E$285,4,FALSE)</f>
        <v>point</v>
      </c>
      <c r="X18" s="11" t="str">
        <f>VLOOKUP(B18,[1]Plantings!$A$2:$E$285,5,FALSE)</f>
        <v>retain</v>
      </c>
      <c r="Y18" s="22" t="s">
        <v>1</v>
      </c>
      <c r="Z18" s="12">
        <v>-1.2</v>
      </c>
      <c r="AA18" s="13" t="s">
        <v>54</v>
      </c>
      <c r="AB18">
        <v>3</v>
      </c>
      <c r="AC18">
        <v>2.5</v>
      </c>
      <c r="AD18">
        <f t="shared" si="4"/>
        <v>7.5</v>
      </c>
      <c r="AE18">
        <f t="shared" si="5"/>
        <v>6.25</v>
      </c>
      <c r="AF18" s="14">
        <f t="shared" si="1"/>
        <v>0.625</v>
      </c>
      <c r="AG18">
        <v>25</v>
      </c>
      <c r="AH18">
        <v>625</v>
      </c>
      <c r="AI18" s="13">
        <f t="shared" si="3"/>
        <v>83.333333333333329</v>
      </c>
      <c r="AJ18" s="13">
        <f t="shared" si="2"/>
        <v>100</v>
      </c>
      <c r="AK18" t="s">
        <v>3</v>
      </c>
      <c r="AL18" s="3" t="s">
        <v>89</v>
      </c>
    </row>
    <row r="19" spans="1:38" x14ac:dyDescent="0.25">
      <c r="A19" t="s">
        <v>3</v>
      </c>
      <c r="B19" t="s">
        <v>90</v>
      </c>
      <c r="C19" t="str">
        <f>VLOOKUP(B19,[1]Plantings!$A$2:$C$285,2,FALSE)</f>
        <v>AND_nw1</v>
      </c>
      <c r="D19" t="str">
        <f>VLOOKUP(B19,[1]Plantings!$A$2:$C$285,3,FALSE)</f>
        <v>single</v>
      </c>
      <c r="E19" s="7">
        <v>2020</v>
      </c>
      <c r="F19" s="4" t="s">
        <v>28</v>
      </c>
      <c r="G19" t="s">
        <v>0</v>
      </c>
      <c r="H19" t="s">
        <v>19</v>
      </c>
      <c r="I19" t="s">
        <v>29</v>
      </c>
      <c r="J19" s="4" t="s">
        <v>86</v>
      </c>
      <c r="K19" s="4" t="s">
        <v>50</v>
      </c>
      <c r="L19" s="4" t="s">
        <v>50</v>
      </c>
      <c r="M19" s="7" t="s">
        <v>51</v>
      </c>
      <c r="N19" s="4" t="s">
        <v>52</v>
      </c>
      <c r="O19" s="4" t="s">
        <v>35</v>
      </c>
      <c r="R19" s="4" t="s">
        <v>38</v>
      </c>
      <c r="S19" s="4" t="s">
        <v>38</v>
      </c>
      <c r="T19" s="27">
        <v>44012</v>
      </c>
      <c r="U19" s="11">
        <v>47.182099999999998</v>
      </c>
      <c r="V19" s="11">
        <v>-122.71379159999999</v>
      </c>
      <c r="W19" t="str">
        <f>VLOOKUP(B19,[1]Plantings!$A$2:$E$285,4,FALSE)</f>
        <v>point</v>
      </c>
      <c r="X19" s="11" t="str">
        <f>VLOOKUP(B19,[1]Plantings!$A$2:$E$285,5,FALSE)</f>
        <v>retain</v>
      </c>
      <c r="Y19" s="22" t="s">
        <v>1</v>
      </c>
      <c r="Z19" s="12">
        <v>-1.3</v>
      </c>
      <c r="AA19" s="13" t="s">
        <v>54</v>
      </c>
      <c r="AB19">
        <v>2.5</v>
      </c>
      <c r="AC19">
        <v>2.5</v>
      </c>
      <c r="AD19">
        <f t="shared" si="4"/>
        <v>6.25</v>
      </c>
      <c r="AE19">
        <f t="shared" si="5"/>
        <v>5</v>
      </c>
      <c r="AF19" s="14">
        <f t="shared" si="1"/>
        <v>0.5</v>
      </c>
      <c r="AG19">
        <v>20</v>
      </c>
      <c r="AH19">
        <v>500</v>
      </c>
      <c r="AI19" s="13">
        <f t="shared" si="3"/>
        <v>80</v>
      </c>
      <c r="AJ19" s="13">
        <f t="shared" si="2"/>
        <v>100</v>
      </c>
      <c r="AK19" t="s">
        <v>3</v>
      </c>
      <c r="AL19" s="3" t="s">
        <v>91</v>
      </c>
    </row>
    <row r="20" spans="1:38" x14ac:dyDescent="0.25">
      <c r="A20" t="s">
        <v>3</v>
      </c>
      <c r="B20" s="4" t="s">
        <v>92</v>
      </c>
      <c r="C20" t="str">
        <f>VLOOKUP(B20,[1]Plantings!$A$2:$C$285,2,FALSE)</f>
        <v>AND_west4</v>
      </c>
      <c r="D20" t="str">
        <f>VLOOKUP(B20,[1]Plantings!$A$2:$C$285,3,FALSE)</f>
        <v>single</v>
      </c>
      <c r="E20" s="7">
        <v>2021</v>
      </c>
      <c r="F20" s="4"/>
      <c r="J20" s="4"/>
      <c r="K20" s="4"/>
      <c r="L20" s="4"/>
      <c r="M20" s="7"/>
      <c r="N20" s="4"/>
      <c r="O20" s="4"/>
      <c r="R20" s="4" t="s">
        <v>38</v>
      </c>
      <c r="S20" s="4" t="s">
        <v>38</v>
      </c>
      <c r="T20" s="27">
        <v>44369</v>
      </c>
      <c r="U20" s="11"/>
      <c r="V20" s="11"/>
      <c r="W20" t="str">
        <f>VLOOKUP(B20,[1]Plantings!$A$2:$E$285,4,FALSE)</f>
        <v>point</v>
      </c>
      <c r="X20" s="11" t="str">
        <f>VLOOKUP(B20,[1]Plantings!$A$2:$E$285,5,FALSE)</f>
        <v>retain</v>
      </c>
      <c r="Y20" s="22" t="s">
        <v>1</v>
      </c>
      <c r="Z20" s="12">
        <v>-1.5</v>
      </c>
      <c r="AA20" s="13" t="s">
        <v>54</v>
      </c>
      <c r="AB20">
        <v>3.5</v>
      </c>
      <c r="AC20">
        <v>0.5</v>
      </c>
      <c r="AD20">
        <f t="shared" si="4"/>
        <v>1.75</v>
      </c>
      <c r="AE20">
        <f t="shared" si="5"/>
        <v>2.25</v>
      </c>
      <c r="AF20" s="14">
        <f t="shared" si="1"/>
        <v>0.22500000000000001</v>
      </c>
      <c r="AG20">
        <v>9</v>
      </c>
      <c r="AH20">
        <v>135</v>
      </c>
      <c r="AI20" s="13">
        <f t="shared" si="3"/>
        <v>77.142857142857139</v>
      </c>
      <c r="AJ20" s="13">
        <f t="shared" si="2"/>
        <v>60</v>
      </c>
      <c r="AK20" t="s">
        <v>93</v>
      </c>
    </row>
    <row r="21" spans="1:38" x14ac:dyDescent="0.25">
      <c r="A21" t="s">
        <v>3</v>
      </c>
      <c r="B21" s="4" t="s">
        <v>94</v>
      </c>
      <c r="C21" t="str">
        <f>VLOOKUP(B21,[1]Plantings!$A$2:$C$285,2,FALSE)</f>
        <v>AND_west5</v>
      </c>
      <c r="D21" t="str">
        <f>VLOOKUP(B21,[1]Plantings!$A$2:$C$285,3,FALSE)</f>
        <v>single</v>
      </c>
      <c r="E21" s="7">
        <v>2021</v>
      </c>
      <c r="F21" s="4"/>
      <c r="J21" s="4"/>
      <c r="K21" s="4"/>
      <c r="L21" s="4"/>
      <c r="M21" s="7"/>
      <c r="N21" s="4"/>
      <c r="O21" s="4"/>
      <c r="R21" s="4" t="s">
        <v>38</v>
      </c>
      <c r="S21" s="4" t="s">
        <v>38</v>
      </c>
      <c r="T21" s="27">
        <v>44372</v>
      </c>
      <c r="U21" s="11"/>
      <c r="V21" s="11"/>
      <c r="W21" t="str">
        <f>VLOOKUP(B21,[1]Plantings!$A$2:$E$285,4,FALSE)</f>
        <v>point</v>
      </c>
      <c r="X21" s="11" t="str">
        <f>VLOOKUP(B21,[1]Plantings!$A$2:$E$285,5,FALSE)</f>
        <v>retain</v>
      </c>
      <c r="Y21" s="22" t="s">
        <v>1</v>
      </c>
      <c r="Z21" s="12">
        <v>-1.5</v>
      </c>
      <c r="AA21" s="13" t="s">
        <v>54</v>
      </c>
      <c r="AB21">
        <v>3.5</v>
      </c>
      <c r="AC21">
        <v>0.5</v>
      </c>
      <c r="AD21">
        <f t="shared" si="4"/>
        <v>1.75</v>
      </c>
      <c r="AE21">
        <f t="shared" si="5"/>
        <v>2.25</v>
      </c>
      <c r="AF21" s="14">
        <f t="shared" si="1"/>
        <v>0.22500000000000001</v>
      </c>
      <c r="AG21">
        <v>9</v>
      </c>
      <c r="AH21">
        <v>135</v>
      </c>
      <c r="AI21" s="13">
        <f t="shared" si="3"/>
        <v>77.142857142857139</v>
      </c>
      <c r="AJ21" s="13">
        <f t="shared" si="2"/>
        <v>60</v>
      </c>
      <c r="AK21" t="s">
        <v>93</v>
      </c>
    </row>
    <row r="22" spans="1:38" x14ac:dyDescent="0.25">
      <c r="A22" t="s">
        <v>3</v>
      </c>
      <c r="B22" s="4" t="s">
        <v>95</v>
      </c>
      <c r="C22" t="str">
        <f>VLOOKUP(B22,[1]Plantings!$A$2:$C$285,2,FALSE)</f>
        <v>AND_west6</v>
      </c>
      <c r="D22" t="str">
        <f>VLOOKUP(B22,[1]Plantings!$A$2:$C$285,3,FALSE)</f>
        <v>single</v>
      </c>
      <c r="E22" s="7">
        <v>2021</v>
      </c>
      <c r="F22" s="4"/>
      <c r="J22" s="4"/>
      <c r="K22" s="4"/>
      <c r="L22" s="4"/>
      <c r="M22" s="7"/>
      <c r="N22" s="4"/>
      <c r="O22" s="4"/>
      <c r="R22" s="4" t="s">
        <v>38</v>
      </c>
      <c r="S22" s="4" t="s">
        <v>38</v>
      </c>
      <c r="T22" s="27">
        <v>44372</v>
      </c>
      <c r="U22" s="11"/>
      <c r="V22" s="11"/>
      <c r="W22" t="str">
        <f>VLOOKUP(B22,[1]Plantings!$A$2:$E$285,4,FALSE)</f>
        <v>point</v>
      </c>
      <c r="X22" s="11" t="str">
        <f>VLOOKUP(B22,[1]Plantings!$A$2:$E$285,5,FALSE)</f>
        <v>retain</v>
      </c>
      <c r="Y22" s="22" t="s">
        <v>1</v>
      </c>
      <c r="Z22" s="12">
        <v>-1.5</v>
      </c>
      <c r="AA22" s="13" t="s">
        <v>54</v>
      </c>
      <c r="AB22">
        <v>3.5</v>
      </c>
      <c r="AC22">
        <v>0.5</v>
      </c>
      <c r="AD22">
        <f t="shared" si="4"/>
        <v>1.75</v>
      </c>
      <c r="AE22">
        <f t="shared" si="5"/>
        <v>2.25</v>
      </c>
      <c r="AF22" s="14">
        <f t="shared" si="1"/>
        <v>0.22500000000000001</v>
      </c>
      <c r="AG22">
        <v>9</v>
      </c>
      <c r="AH22">
        <v>135</v>
      </c>
      <c r="AI22" s="13">
        <f t="shared" si="3"/>
        <v>77.142857142857139</v>
      </c>
      <c r="AJ22" s="13">
        <f t="shared" si="2"/>
        <v>60</v>
      </c>
      <c r="AK22" t="s">
        <v>93</v>
      </c>
    </row>
    <row r="23" spans="1:38" x14ac:dyDescent="0.25">
      <c r="A23" t="s">
        <v>3</v>
      </c>
      <c r="B23" t="s">
        <v>96</v>
      </c>
      <c r="C23" t="str">
        <f>VLOOKUP(B23,[1]Plantings!$A$2:$C$285,2,FALSE)</f>
        <v>AND_se1</v>
      </c>
      <c r="D23" t="str">
        <f>VLOOKUP(B23,[1]Plantings!$A$2:$C$285,3,FALSE)</f>
        <v>single</v>
      </c>
      <c r="E23">
        <v>2023</v>
      </c>
      <c r="G23" t="s">
        <v>0</v>
      </c>
      <c r="H23" t="s">
        <v>10</v>
      </c>
      <c r="I23" t="s">
        <v>29</v>
      </c>
      <c r="R23" t="s">
        <v>38</v>
      </c>
      <c r="S23" t="s">
        <v>38</v>
      </c>
      <c r="T23" s="27">
        <v>45082</v>
      </c>
      <c r="U23">
        <v>47.141539999999999</v>
      </c>
      <c r="V23">
        <v>-122.73026</v>
      </c>
      <c r="W23" t="str">
        <f>VLOOKUP(B23,[1]Plantings!$A$2:$E$285,4,FALSE)</f>
        <v>point</v>
      </c>
      <c r="X23" s="11" t="str">
        <f>VLOOKUP(B23,[1]Plantings!$A$2:$E$285,5,FALSE)</f>
        <v>retain</v>
      </c>
      <c r="Y23" s="16" t="s">
        <v>1</v>
      </c>
      <c r="Z23" s="12">
        <v>-1.5</v>
      </c>
      <c r="AA23" s="13" t="s">
        <v>54</v>
      </c>
      <c r="AB23">
        <v>1.5</v>
      </c>
      <c r="AC23">
        <v>0.5</v>
      </c>
      <c r="AD23">
        <f t="shared" si="4"/>
        <v>0.75</v>
      </c>
      <c r="AE23">
        <f t="shared" si="5"/>
        <v>2.25</v>
      </c>
      <c r="AF23" s="14">
        <f>IF(AA23="staple",AG23*0.005,IF(AA23="rebar",AG23*0.025,IF(AA23="burlap",AG23*0.0625,IF(AA23="washer",AG23*0.0025,IF(AA23="pucks",AG23*0.00785,IF(AA23="turf",AG23*0.01,IF(AA23="TERFS",AG23*0.25,IF(AA23="",""))))))))</f>
        <v>0.22500000000000001</v>
      </c>
      <c r="AG23" s="15">
        <v>9</v>
      </c>
      <c r="AH23" s="28">
        <v>150</v>
      </c>
      <c r="AI23" s="13">
        <f t="shared" si="3"/>
        <v>200</v>
      </c>
      <c r="AJ23" s="13">
        <f t="shared" si="2"/>
        <v>66.666666666666671</v>
      </c>
      <c r="AK23" t="s">
        <v>93</v>
      </c>
    </row>
    <row r="24" spans="1:38" x14ac:dyDescent="0.25">
      <c r="A24" t="s">
        <v>97</v>
      </c>
      <c r="B24" t="s">
        <v>98</v>
      </c>
      <c r="C24" t="str">
        <f>VLOOKUP(B24,[1]Plantings!$A$2:$C$285,2,FALSE)</f>
        <v>BB_test_1</v>
      </c>
      <c r="D24" t="str">
        <f>VLOOKUP(B24,[1]Plantings!$A$2:$C$285,3,FALSE)</f>
        <v>single</v>
      </c>
      <c r="E24" s="7">
        <v>2020</v>
      </c>
      <c r="F24" t="s">
        <v>99</v>
      </c>
      <c r="G24" s="4" t="s">
        <v>59</v>
      </c>
      <c r="H24" s="4" t="s">
        <v>97</v>
      </c>
      <c r="I24" s="4" t="s">
        <v>100</v>
      </c>
      <c r="J24" s="4" t="s">
        <v>101</v>
      </c>
      <c r="K24" s="4" t="s">
        <v>43</v>
      </c>
      <c r="L24" s="4" t="s">
        <v>102</v>
      </c>
      <c r="R24" s="4" t="s">
        <v>38</v>
      </c>
      <c r="S24" s="4" t="s">
        <v>38</v>
      </c>
      <c r="T24" s="27">
        <v>44045</v>
      </c>
      <c r="U24" s="17">
        <v>48.578159999999997</v>
      </c>
      <c r="V24" s="17">
        <v>-122.94099</v>
      </c>
      <c r="W24" t="str">
        <f>VLOOKUP(B24,[1]Plantings!$A$2:$E$285,4,FALSE)</f>
        <v>line</v>
      </c>
      <c r="X24" s="11" t="str">
        <f>VLOOKUP(B24,[1]Plantings!$A$2:$E$285,5,FALSE)</f>
        <v>retain</v>
      </c>
      <c r="Y24" s="16" t="s">
        <v>1</v>
      </c>
      <c r="Z24">
        <v>-1.7</v>
      </c>
      <c r="AA24" s="13" t="s">
        <v>54</v>
      </c>
      <c r="AB24">
        <v>14</v>
      </c>
      <c r="AC24">
        <v>1</v>
      </c>
      <c r="AD24">
        <f t="shared" si="4"/>
        <v>14</v>
      </c>
      <c r="AE24">
        <f t="shared" si="5"/>
        <v>4</v>
      </c>
      <c r="AF24" s="14">
        <v>0.4</v>
      </c>
      <c r="AG24">
        <v>16</v>
      </c>
      <c r="AH24" s="29">
        <v>320</v>
      </c>
      <c r="AI24" s="13">
        <f t="shared" si="3"/>
        <v>22.857142857142858</v>
      </c>
      <c r="AJ24" s="13">
        <f t="shared" si="2"/>
        <v>80</v>
      </c>
      <c r="AK24" t="s">
        <v>24</v>
      </c>
      <c r="AL24" s="3" t="s">
        <v>103</v>
      </c>
    </row>
    <row r="25" spans="1:38" x14ac:dyDescent="0.25">
      <c r="A25" t="s">
        <v>97</v>
      </c>
      <c r="B25" t="s">
        <v>98</v>
      </c>
      <c r="C25" t="str">
        <f>VLOOKUP(B25,[1]Plantings!$A$2:$C$285,2,FALSE)</f>
        <v>BB_test_1</v>
      </c>
      <c r="D25" t="str">
        <f>VLOOKUP(B25,[1]Plantings!$A$2:$C$285,3,FALSE)</f>
        <v>single</v>
      </c>
      <c r="E25" s="7">
        <v>2020</v>
      </c>
      <c r="F25" t="s">
        <v>99</v>
      </c>
      <c r="G25" s="4" t="s">
        <v>59</v>
      </c>
      <c r="H25" s="4" t="s">
        <v>97</v>
      </c>
      <c r="I25" s="4" t="s">
        <v>100</v>
      </c>
      <c r="J25" s="4" t="s">
        <v>101</v>
      </c>
      <c r="K25" s="4" t="s">
        <v>43</v>
      </c>
      <c r="L25" s="4" t="s">
        <v>102</v>
      </c>
      <c r="R25" s="4" t="s">
        <v>38</v>
      </c>
      <c r="S25" s="4" t="s">
        <v>38</v>
      </c>
      <c r="T25" s="27">
        <v>44045</v>
      </c>
      <c r="U25" s="17">
        <v>48.578159999999997</v>
      </c>
      <c r="V25" s="17">
        <v>-122.94099</v>
      </c>
      <c r="W25" t="str">
        <f>VLOOKUP(B25,[1]Plantings!$A$2:$E$285,4,FALSE)</f>
        <v>line</v>
      </c>
      <c r="X25" s="11" t="str">
        <f>VLOOKUP(B25,[1]Plantings!$A$2:$E$285,5,FALSE)</f>
        <v>retain</v>
      </c>
      <c r="Y25" s="16" t="s">
        <v>1</v>
      </c>
      <c r="Z25">
        <v>-1.7</v>
      </c>
      <c r="AA25" s="13" t="s">
        <v>54</v>
      </c>
      <c r="AB25">
        <v>14</v>
      </c>
      <c r="AC25">
        <v>1</v>
      </c>
      <c r="AD25">
        <f t="shared" si="4"/>
        <v>14</v>
      </c>
      <c r="AE25">
        <f t="shared" si="5"/>
        <v>0.75</v>
      </c>
      <c r="AF25" s="14">
        <v>7.4999999999999997E-2</v>
      </c>
      <c r="AG25">
        <v>3</v>
      </c>
      <c r="AH25" s="29">
        <v>60</v>
      </c>
      <c r="AI25" s="13">
        <f t="shared" si="3"/>
        <v>4.2857142857142856</v>
      </c>
      <c r="AJ25" s="13">
        <f t="shared" si="2"/>
        <v>80</v>
      </c>
      <c r="AK25" t="s">
        <v>104</v>
      </c>
      <c r="AL25" s="3" t="s">
        <v>103</v>
      </c>
    </row>
    <row r="26" spans="1:38" x14ac:dyDescent="0.25">
      <c r="A26" t="s">
        <v>97</v>
      </c>
      <c r="B26" t="s">
        <v>98</v>
      </c>
      <c r="C26" t="str">
        <f>VLOOKUP(B26,[1]Plantings!$A$2:$C$285,2,FALSE)</f>
        <v>BB_test_1</v>
      </c>
      <c r="D26" t="str">
        <f>VLOOKUP(B26,[1]Plantings!$A$2:$C$285,3,FALSE)</f>
        <v>single</v>
      </c>
      <c r="E26" s="7">
        <v>2020</v>
      </c>
      <c r="F26" t="s">
        <v>99</v>
      </c>
      <c r="G26" s="4" t="s">
        <v>59</v>
      </c>
      <c r="H26" s="4" t="s">
        <v>97</v>
      </c>
      <c r="I26" s="4" t="s">
        <v>100</v>
      </c>
      <c r="J26" s="4" t="s">
        <v>101</v>
      </c>
      <c r="K26" s="4" t="s">
        <v>43</v>
      </c>
      <c r="L26" s="4" t="s">
        <v>102</v>
      </c>
      <c r="R26" s="4" t="s">
        <v>38</v>
      </c>
      <c r="S26" s="4" t="s">
        <v>38</v>
      </c>
      <c r="T26" s="27">
        <v>44045</v>
      </c>
      <c r="U26" s="17">
        <v>48.578159999999997</v>
      </c>
      <c r="V26" s="17">
        <v>-122.94099</v>
      </c>
      <c r="W26" t="str">
        <f>VLOOKUP(B26,[1]Plantings!$A$2:$E$285,4,FALSE)</f>
        <v>line</v>
      </c>
      <c r="X26" s="11" t="str">
        <f>VLOOKUP(B26,[1]Plantings!$A$2:$E$285,5,FALSE)</f>
        <v>retain</v>
      </c>
      <c r="Y26" s="16" t="s">
        <v>1</v>
      </c>
      <c r="Z26">
        <v>-1.7</v>
      </c>
      <c r="AA26" s="13" t="s">
        <v>54</v>
      </c>
      <c r="AB26">
        <v>14</v>
      </c>
      <c r="AC26">
        <v>1</v>
      </c>
      <c r="AD26">
        <f t="shared" si="4"/>
        <v>14</v>
      </c>
      <c r="AE26">
        <f t="shared" si="5"/>
        <v>2.25</v>
      </c>
      <c r="AF26" s="14">
        <v>0.22500000000000001</v>
      </c>
      <c r="AG26">
        <v>9</v>
      </c>
      <c r="AH26" s="29">
        <v>135</v>
      </c>
      <c r="AI26" s="13">
        <f t="shared" si="3"/>
        <v>9.6428571428571423</v>
      </c>
      <c r="AJ26" s="13">
        <f t="shared" si="2"/>
        <v>60</v>
      </c>
      <c r="AK26" t="s">
        <v>105</v>
      </c>
      <c r="AL26" s="3" t="s">
        <v>106</v>
      </c>
    </row>
    <row r="27" spans="1:38" x14ac:dyDescent="0.25">
      <c r="A27" t="s">
        <v>97</v>
      </c>
      <c r="B27" t="s">
        <v>98</v>
      </c>
      <c r="C27" t="str">
        <f>VLOOKUP(B27,[1]Plantings!$A$2:$C$285,2,FALSE)</f>
        <v>BB_test_1</v>
      </c>
      <c r="D27" t="str">
        <f>VLOOKUP(B27,[1]Plantings!$A$2:$C$285,3,FALSE)</f>
        <v>single</v>
      </c>
      <c r="E27" s="7">
        <v>2020</v>
      </c>
      <c r="F27" t="s">
        <v>99</v>
      </c>
      <c r="G27" s="4" t="s">
        <v>59</v>
      </c>
      <c r="H27" s="4" t="s">
        <v>97</v>
      </c>
      <c r="I27" s="4" t="s">
        <v>100</v>
      </c>
      <c r="J27" s="4" t="s">
        <v>101</v>
      </c>
      <c r="K27" s="4" t="s">
        <v>43</v>
      </c>
      <c r="L27" s="4" t="s">
        <v>102</v>
      </c>
      <c r="R27" s="4" t="s">
        <v>38</v>
      </c>
      <c r="S27" s="4" t="s">
        <v>38</v>
      </c>
      <c r="T27" s="27">
        <v>44045</v>
      </c>
      <c r="U27" s="17">
        <v>48.578159999999997</v>
      </c>
      <c r="V27" s="17">
        <v>-122.94099</v>
      </c>
      <c r="W27" t="str">
        <f>VLOOKUP(B27,[1]Plantings!$A$2:$E$285,4,FALSE)</f>
        <v>line</v>
      </c>
      <c r="X27" s="11" t="str">
        <f>VLOOKUP(B27,[1]Plantings!$A$2:$E$285,5,FALSE)</f>
        <v>retain</v>
      </c>
      <c r="Y27" s="16" t="s">
        <v>1</v>
      </c>
      <c r="Z27">
        <v>-1.7</v>
      </c>
      <c r="AA27" s="13" t="s">
        <v>54</v>
      </c>
      <c r="AB27">
        <v>14</v>
      </c>
      <c r="AC27">
        <v>1</v>
      </c>
      <c r="AD27">
        <f t="shared" si="4"/>
        <v>14</v>
      </c>
      <c r="AE27">
        <f t="shared" si="5"/>
        <v>3.75</v>
      </c>
      <c r="AF27" s="14">
        <v>0.375</v>
      </c>
      <c r="AG27">
        <v>15</v>
      </c>
      <c r="AH27" s="29">
        <v>210</v>
      </c>
      <c r="AI27" s="13">
        <f t="shared" si="3"/>
        <v>15</v>
      </c>
      <c r="AJ27" s="13">
        <f t="shared" si="2"/>
        <v>56</v>
      </c>
      <c r="AK27" t="s">
        <v>107</v>
      </c>
      <c r="AL27" s="3" t="s">
        <v>103</v>
      </c>
    </row>
    <row r="28" spans="1:38" x14ac:dyDescent="0.25">
      <c r="A28" t="s">
        <v>97</v>
      </c>
      <c r="B28" t="s">
        <v>98</v>
      </c>
      <c r="C28" t="str">
        <f>VLOOKUP(B28,[1]Plantings!$A$2:$C$285,2,FALSE)</f>
        <v>BB_test_1</v>
      </c>
      <c r="D28" t="str">
        <f>VLOOKUP(B28,[1]Plantings!$A$2:$C$285,3,FALSE)</f>
        <v>single</v>
      </c>
      <c r="E28" s="7">
        <v>2020</v>
      </c>
      <c r="F28" t="s">
        <v>99</v>
      </c>
      <c r="G28" s="4" t="s">
        <v>59</v>
      </c>
      <c r="H28" s="4" t="s">
        <v>97</v>
      </c>
      <c r="I28" s="4" t="s">
        <v>100</v>
      </c>
      <c r="J28" s="4" t="s">
        <v>101</v>
      </c>
      <c r="K28" s="4" t="s">
        <v>43</v>
      </c>
      <c r="L28" s="4" t="s">
        <v>102</v>
      </c>
      <c r="R28" s="4" t="s">
        <v>38</v>
      </c>
      <c r="S28" s="4" t="s">
        <v>38</v>
      </c>
      <c r="T28" s="27">
        <v>44045</v>
      </c>
      <c r="U28" s="17">
        <v>48.578159999999997</v>
      </c>
      <c r="V28" s="17">
        <v>-122.94099</v>
      </c>
      <c r="W28" t="str">
        <f>VLOOKUP(B28,[1]Plantings!$A$2:$E$285,4,FALSE)</f>
        <v>line</v>
      </c>
      <c r="X28" s="11" t="str">
        <f>VLOOKUP(B28,[1]Plantings!$A$2:$E$285,5,FALSE)</f>
        <v>retain</v>
      </c>
      <c r="Y28" s="16" t="s">
        <v>1</v>
      </c>
      <c r="Z28">
        <v>-1.7</v>
      </c>
      <c r="AA28" s="13" t="s">
        <v>54</v>
      </c>
      <c r="AB28">
        <v>14</v>
      </c>
      <c r="AC28">
        <v>1</v>
      </c>
      <c r="AD28">
        <f t="shared" si="4"/>
        <v>14</v>
      </c>
      <c r="AE28">
        <f t="shared" si="5"/>
        <v>1.75</v>
      </c>
      <c r="AF28" s="14">
        <v>0.17499999999999999</v>
      </c>
      <c r="AG28">
        <v>7</v>
      </c>
      <c r="AH28" s="29">
        <v>175</v>
      </c>
      <c r="AI28" s="13">
        <f t="shared" si="3"/>
        <v>12.5</v>
      </c>
      <c r="AJ28" s="13">
        <f t="shared" si="2"/>
        <v>100</v>
      </c>
      <c r="AK28" t="s">
        <v>108</v>
      </c>
      <c r="AL28" s="3" t="s">
        <v>103</v>
      </c>
    </row>
    <row r="29" spans="1:38" x14ac:dyDescent="0.25">
      <c r="A29" t="s">
        <v>6</v>
      </c>
      <c r="B29" t="s">
        <v>109</v>
      </c>
      <c r="C29" t="str">
        <f>VLOOKUP(B29,[1]Plantings!$A$2:$C$285,2,FALSE)</f>
        <v>CHC</v>
      </c>
      <c r="D29" t="str">
        <f>VLOOKUP(B29,[1]Plantings!$A$2:$C$285,3,FALSE)</f>
        <v>single</v>
      </c>
      <c r="E29">
        <v>2015</v>
      </c>
      <c r="G29" t="s">
        <v>0</v>
      </c>
      <c r="H29" t="s">
        <v>7</v>
      </c>
      <c r="I29" t="s">
        <v>29</v>
      </c>
      <c r="J29" t="s">
        <v>4</v>
      </c>
      <c r="K29" t="s">
        <v>43</v>
      </c>
      <c r="L29" t="s">
        <v>44</v>
      </c>
      <c r="O29" t="s">
        <v>35</v>
      </c>
      <c r="P29" t="s">
        <v>45</v>
      </c>
      <c r="Q29" t="s">
        <v>46</v>
      </c>
      <c r="R29" t="s">
        <v>38</v>
      </c>
      <c r="S29" t="s">
        <v>38</v>
      </c>
      <c r="T29" s="10">
        <v>42053</v>
      </c>
      <c r="U29" s="11">
        <v>47.606483333333337</v>
      </c>
      <c r="V29" s="11">
        <v>-122.69918333333334</v>
      </c>
      <c r="W29" t="str">
        <f>VLOOKUP(B29,[1]Plantings!$A$2:$E$285,4,FALSE)</f>
        <v>point</v>
      </c>
      <c r="X29" s="11" t="str">
        <f>VLOOKUP(B29,[1]Plantings!$A$2:$E$285,5,FALSE)</f>
        <v>retain</v>
      </c>
      <c r="Y29" s="16" t="s">
        <v>1</v>
      </c>
      <c r="Z29" s="12">
        <v>-0.85343999999999987</v>
      </c>
      <c r="AA29" s="13" t="s">
        <v>39</v>
      </c>
      <c r="AB29">
        <v>5</v>
      </c>
      <c r="AC29">
        <v>5</v>
      </c>
      <c r="AD29">
        <f t="shared" si="4"/>
        <v>25</v>
      </c>
      <c r="AE29">
        <v>25</v>
      </c>
      <c r="AF29" s="14">
        <f t="shared" ref="AF29:AF34" si="6">IF(AA29="staple",AG29*0.005,IF(AA29="rebar",AG29*0.025,IF(AA29="burlap",AG29*0.0625,IF(AA29="washer",AG29*0.0025,IF(AA29="pucks",AG29*0.00785,IF(AA29="turf",AG29*0.01,IF(AA29="","")))))))</f>
        <v>0.625</v>
      </c>
      <c r="AG29" s="15">
        <f>AH29/4</f>
        <v>125</v>
      </c>
      <c r="AH29" s="21">
        <v>500</v>
      </c>
      <c r="AI29" s="13">
        <f t="shared" si="3"/>
        <v>20</v>
      </c>
      <c r="AJ29" s="13">
        <f t="shared" si="2"/>
        <v>20</v>
      </c>
      <c r="AK29" t="s">
        <v>110</v>
      </c>
    </row>
    <row r="30" spans="1:38" x14ac:dyDescent="0.25">
      <c r="A30" s="4" t="s">
        <v>21</v>
      </c>
      <c r="B30" s="4" t="s">
        <v>111</v>
      </c>
      <c r="C30" t="str">
        <f>VLOOKUP(B30,[1]Plantings!$A$2:$C$285,2,FALSE)</f>
        <v>COM_shallow</v>
      </c>
      <c r="D30" t="str">
        <f>VLOOKUP(B30,[1]Plantings!$A$2:$C$285,3,FALSE)</f>
        <v>single</v>
      </c>
      <c r="E30" s="4">
        <v>2017</v>
      </c>
      <c r="F30" s="4"/>
      <c r="G30" s="4" t="s">
        <v>0</v>
      </c>
      <c r="H30" s="4" t="s">
        <v>21</v>
      </c>
      <c r="I30" s="4" t="s">
        <v>29</v>
      </c>
      <c r="J30" s="7" t="s">
        <v>86</v>
      </c>
      <c r="K30" s="7" t="s">
        <v>17</v>
      </c>
      <c r="L30" s="7" t="s">
        <v>17</v>
      </c>
      <c r="M30" s="7" t="s">
        <v>112</v>
      </c>
      <c r="N30" s="4"/>
      <c r="O30" s="4" t="s">
        <v>35</v>
      </c>
      <c r="P30" s="4" t="s">
        <v>113</v>
      </c>
      <c r="Q30" s="4"/>
      <c r="R30" s="4" t="s">
        <v>38</v>
      </c>
      <c r="S30" s="4" t="s">
        <v>38</v>
      </c>
      <c r="T30" s="1">
        <v>42978</v>
      </c>
      <c r="U30" s="17">
        <v>47.276260000000001</v>
      </c>
      <c r="V30" s="17">
        <v>-122.4636385</v>
      </c>
      <c r="W30" t="str">
        <f>VLOOKUP(B30,[1]Plantings!$A$2:$E$285,4,FALSE)</f>
        <v>point</v>
      </c>
      <c r="X30" s="11" t="str">
        <f>VLOOKUP(B30,[1]Plantings!$A$2:$E$285,5,FALSE)</f>
        <v>retain</v>
      </c>
      <c r="Y30" s="22" t="s">
        <v>1</v>
      </c>
      <c r="Z30" s="23">
        <v>-1.524</v>
      </c>
      <c r="AA30" s="4" t="s">
        <v>54</v>
      </c>
      <c r="AB30" s="4">
        <v>2.5</v>
      </c>
      <c r="AC30" s="4">
        <v>2.5</v>
      </c>
      <c r="AD30">
        <f t="shared" si="4"/>
        <v>6.25</v>
      </c>
      <c r="AE30">
        <f>AG30*0.25</f>
        <v>5</v>
      </c>
      <c r="AF30" s="14">
        <f t="shared" si="6"/>
        <v>0.5</v>
      </c>
      <c r="AG30" s="24">
        <v>20</v>
      </c>
      <c r="AH30" s="25">
        <v>500</v>
      </c>
      <c r="AI30" s="13">
        <f t="shared" si="3"/>
        <v>80</v>
      </c>
      <c r="AJ30" s="13">
        <f t="shared" si="2"/>
        <v>100</v>
      </c>
      <c r="AK30" s="4" t="s">
        <v>110</v>
      </c>
      <c r="AL30" s="26"/>
    </row>
    <row r="31" spans="1:38" x14ac:dyDescent="0.25">
      <c r="A31" s="4" t="s">
        <v>21</v>
      </c>
      <c r="B31" s="4" t="s">
        <v>114</v>
      </c>
      <c r="C31" t="str">
        <f>VLOOKUP(B31,[1]Plantings!$A$2:$C$285,2,FALSE)</f>
        <v>COM_deep</v>
      </c>
      <c r="D31" t="str">
        <f>VLOOKUP(B31,[1]Plantings!$A$2:$C$285,3,FALSE)</f>
        <v>single</v>
      </c>
      <c r="E31" s="4">
        <v>2017</v>
      </c>
      <c r="F31" s="4"/>
      <c r="G31" s="4" t="s">
        <v>0</v>
      </c>
      <c r="H31" s="4" t="s">
        <v>21</v>
      </c>
      <c r="I31" s="4" t="s">
        <v>29</v>
      </c>
      <c r="J31" s="7" t="s">
        <v>86</v>
      </c>
      <c r="K31" s="7" t="s">
        <v>17</v>
      </c>
      <c r="L31" s="7" t="s">
        <v>17</v>
      </c>
      <c r="M31" s="7" t="s">
        <v>112</v>
      </c>
      <c r="N31" s="4"/>
      <c r="O31" s="4" t="s">
        <v>35</v>
      </c>
      <c r="P31" s="4" t="s">
        <v>113</v>
      </c>
      <c r="Q31" s="4"/>
      <c r="R31" s="4" t="s">
        <v>38</v>
      </c>
      <c r="S31" s="4" t="s">
        <v>38</v>
      </c>
      <c r="T31" s="1">
        <v>42978</v>
      </c>
      <c r="U31" s="17">
        <v>47.276316666666666</v>
      </c>
      <c r="V31" s="17">
        <v>-122.46373333333334</v>
      </c>
      <c r="W31" t="str">
        <f>VLOOKUP(B31,[1]Plantings!$A$2:$E$285,4,FALSE)</f>
        <v>point</v>
      </c>
      <c r="X31" s="11" t="str">
        <f>VLOOKUP(B31,[1]Plantings!$A$2:$E$285,5,FALSE)</f>
        <v>retain</v>
      </c>
      <c r="Y31" s="22" t="s">
        <v>1</v>
      </c>
      <c r="Z31" s="23">
        <v>-2.4384000000000001</v>
      </c>
      <c r="AA31" s="4" t="s">
        <v>54</v>
      </c>
      <c r="AB31" s="4">
        <v>2.5</v>
      </c>
      <c r="AC31" s="4">
        <v>2.5</v>
      </c>
      <c r="AD31">
        <f t="shared" si="4"/>
        <v>6.25</v>
      </c>
      <c r="AE31">
        <f>AG31*0.25</f>
        <v>5</v>
      </c>
      <c r="AF31" s="14">
        <f t="shared" si="6"/>
        <v>0.5</v>
      </c>
      <c r="AG31" s="24">
        <v>20</v>
      </c>
      <c r="AH31" s="25">
        <v>500</v>
      </c>
      <c r="AI31" s="13">
        <f t="shared" si="3"/>
        <v>80</v>
      </c>
      <c r="AJ31" s="13">
        <f t="shared" si="2"/>
        <v>100</v>
      </c>
      <c r="AK31" s="4" t="s">
        <v>110</v>
      </c>
      <c r="AL31" s="26"/>
    </row>
    <row r="32" spans="1:38" x14ac:dyDescent="0.25">
      <c r="A32" s="30" t="s">
        <v>21</v>
      </c>
      <c r="B32" s="7" t="s">
        <v>115</v>
      </c>
      <c r="C32" t="str">
        <f>VLOOKUP(B32,[1]Plantings!$A$2:$C$285,2,FALSE)</f>
        <v>COM_L1</v>
      </c>
      <c r="D32" t="str">
        <f>VLOOKUP(B32,[1]Plantings!$A$2:$C$285,3,FALSE)</f>
        <v>single</v>
      </c>
      <c r="E32" s="7">
        <v>2018</v>
      </c>
      <c r="F32" s="30"/>
      <c r="G32" s="30" t="s">
        <v>59</v>
      </c>
      <c r="H32" s="30" t="s">
        <v>21</v>
      </c>
      <c r="I32" s="4" t="s">
        <v>29</v>
      </c>
      <c r="J32" s="7" t="s">
        <v>86</v>
      </c>
      <c r="K32" s="7" t="s">
        <v>17</v>
      </c>
      <c r="L32" s="7" t="s">
        <v>17</v>
      </c>
      <c r="M32" s="7" t="s">
        <v>112</v>
      </c>
      <c r="N32" s="31"/>
      <c r="O32" s="30" t="s">
        <v>35</v>
      </c>
      <c r="P32" s="4" t="s">
        <v>113</v>
      </c>
      <c r="Q32" s="30"/>
      <c r="R32" s="30" t="s">
        <v>76</v>
      </c>
      <c r="S32" s="30" t="s">
        <v>76</v>
      </c>
      <c r="T32" s="27">
        <v>43277</v>
      </c>
      <c r="U32" s="32">
        <v>47.276299999999999</v>
      </c>
      <c r="V32" s="32">
        <v>-122.4636</v>
      </c>
      <c r="W32" t="str">
        <f>VLOOKUP(B32,[1]Plantings!$A$2:$E$285,4,FALSE)</f>
        <v>line</v>
      </c>
      <c r="X32" s="11" t="str">
        <f>VLOOKUP(B32,[1]Plantings!$A$2:$E$285,5,FALSE)</f>
        <v>retain</v>
      </c>
      <c r="Y32" s="33" t="s">
        <v>1</v>
      </c>
      <c r="Z32" s="33">
        <v>-2.4384000000000001</v>
      </c>
      <c r="AA32" s="30" t="s">
        <v>54</v>
      </c>
      <c r="AB32" s="30">
        <v>19</v>
      </c>
      <c r="AC32" s="30">
        <v>10</v>
      </c>
      <c r="AD32">
        <f t="shared" si="4"/>
        <v>190</v>
      </c>
      <c r="AE32">
        <f>AG32*0.25</f>
        <v>108.25</v>
      </c>
      <c r="AF32" s="14">
        <f t="shared" si="6"/>
        <v>10.825000000000001</v>
      </c>
      <c r="AG32" s="34">
        <v>433</v>
      </c>
      <c r="AH32" s="35">
        <f>AG32*25</f>
        <v>10825</v>
      </c>
      <c r="AI32" s="13">
        <f t="shared" si="3"/>
        <v>56.973684210526315</v>
      </c>
      <c r="AJ32" s="13">
        <f t="shared" si="2"/>
        <v>100</v>
      </c>
      <c r="AK32" s="30" t="s">
        <v>24</v>
      </c>
      <c r="AL32" s="36" t="s">
        <v>116</v>
      </c>
    </row>
    <row r="33" spans="1:38" x14ac:dyDescent="0.25">
      <c r="A33" s="30" t="s">
        <v>21</v>
      </c>
      <c r="B33" s="7" t="s">
        <v>115</v>
      </c>
      <c r="C33" t="str">
        <f>VLOOKUP(B33,[1]Plantings!$A$2:$C$285,2,FALSE)</f>
        <v>COM_L1</v>
      </c>
      <c r="D33" t="str">
        <f>VLOOKUP(B33,[1]Plantings!$A$2:$C$285,3,FALSE)</f>
        <v>single</v>
      </c>
      <c r="E33" s="7">
        <v>2018</v>
      </c>
      <c r="F33" s="30"/>
      <c r="G33" s="30" t="s">
        <v>59</v>
      </c>
      <c r="H33" s="30" t="s">
        <v>21</v>
      </c>
      <c r="I33" s="4" t="s">
        <v>29</v>
      </c>
      <c r="J33" s="7" t="s">
        <v>86</v>
      </c>
      <c r="K33" s="7" t="s">
        <v>17</v>
      </c>
      <c r="L33" s="7" t="s">
        <v>17</v>
      </c>
      <c r="M33" s="7" t="s">
        <v>112</v>
      </c>
      <c r="N33" s="31"/>
      <c r="O33" s="30" t="s">
        <v>35</v>
      </c>
      <c r="P33" s="4" t="s">
        <v>113</v>
      </c>
      <c r="Q33" s="30"/>
      <c r="R33" s="30" t="s">
        <v>76</v>
      </c>
      <c r="S33" s="37" t="s">
        <v>70</v>
      </c>
      <c r="T33" s="27">
        <v>43277</v>
      </c>
      <c r="U33" s="32">
        <v>47.276319999999998</v>
      </c>
      <c r="V33" s="32">
        <v>-122.46381</v>
      </c>
      <c r="W33" t="str">
        <f>VLOOKUP(B33,[1]Plantings!$A$2:$E$285,4,FALSE)</f>
        <v>line</v>
      </c>
      <c r="X33" s="11" t="str">
        <f>VLOOKUP(B33,[1]Plantings!$A$2:$E$285,5,FALSE)</f>
        <v>retain</v>
      </c>
      <c r="Y33" s="33" t="s">
        <v>1</v>
      </c>
      <c r="Z33" s="33"/>
      <c r="AA33" s="30"/>
      <c r="AB33" s="30"/>
      <c r="AC33" s="30"/>
      <c r="AE33" s="4"/>
      <c r="AF33" s="14" t="str">
        <f t="shared" si="6"/>
        <v/>
      </c>
      <c r="AG33" s="34"/>
      <c r="AH33" s="35"/>
      <c r="AI33" s="13" t="str">
        <f t="shared" si="3"/>
        <v/>
      </c>
      <c r="AJ33" s="13" t="str">
        <f t="shared" si="2"/>
        <v/>
      </c>
      <c r="AK33" s="30"/>
      <c r="AL33" s="36"/>
    </row>
    <row r="34" spans="1:38" x14ac:dyDescent="0.25">
      <c r="A34" t="s">
        <v>21</v>
      </c>
      <c r="B34" t="s">
        <v>117</v>
      </c>
      <c r="C34" t="str">
        <f>VLOOKUP(B34,[1]Plantings!$A$2:$C$285,2,FALSE)</f>
        <v>COM_L2</v>
      </c>
      <c r="D34" t="str">
        <f>VLOOKUP(B34,[1]Plantings!$A$2:$C$285,3,FALSE)</f>
        <v>single</v>
      </c>
      <c r="E34">
        <v>2019</v>
      </c>
      <c r="G34" t="s">
        <v>59</v>
      </c>
      <c r="H34" t="s">
        <v>21</v>
      </c>
      <c r="I34" t="s">
        <v>29</v>
      </c>
      <c r="J34" s="4" t="s">
        <v>86</v>
      </c>
      <c r="K34" s="4" t="s">
        <v>50</v>
      </c>
      <c r="L34" s="4" t="s">
        <v>50</v>
      </c>
      <c r="M34" s="7" t="s">
        <v>51</v>
      </c>
      <c r="N34" s="4" t="s">
        <v>52</v>
      </c>
      <c r="O34" s="4" t="s">
        <v>35</v>
      </c>
      <c r="P34" s="4" t="s">
        <v>53</v>
      </c>
      <c r="R34" t="s">
        <v>76</v>
      </c>
      <c r="S34" t="s">
        <v>76</v>
      </c>
      <c r="T34" s="10">
        <v>43625</v>
      </c>
      <c r="U34" s="17">
        <v>47.276290000000003</v>
      </c>
      <c r="V34" s="17">
        <v>-122.46335999999999</v>
      </c>
      <c r="W34" t="str">
        <f>VLOOKUP(B34,[1]Plantings!$A$2:$E$285,4,FALSE)</f>
        <v>line</v>
      </c>
      <c r="X34" s="11" t="str">
        <f>VLOOKUP(B34,[1]Plantings!$A$2:$E$285,5,FALSE)</f>
        <v>retain</v>
      </c>
      <c r="Y34" s="16" t="s">
        <v>1</v>
      </c>
      <c r="Z34" s="16">
        <v>-2.4</v>
      </c>
      <c r="AA34" s="13" t="s">
        <v>54</v>
      </c>
      <c r="AB34">
        <v>27</v>
      </c>
      <c r="AC34">
        <v>10</v>
      </c>
      <c r="AD34">
        <f>AB34*AC34</f>
        <v>270</v>
      </c>
      <c r="AE34">
        <f>AG34*0.25</f>
        <v>164</v>
      </c>
      <c r="AF34" s="14">
        <f t="shared" si="6"/>
        <v>16.400000000000002</v>
      </c>
      <c r="AG34" s="15">
        <v>656</v>
      </c>
      <c r="AH34" s="15">
        <v>16400</v>
      </c>
      <c r="AI34" s="13">
        <f t="shared" si="3"/>
        <v>60.74074074074074</v>
      </c>
      <c r="AJ34" s="13">
        <f t="shared" si="2"/>
        <v>100</v>
      </c>
      <c r="AK34" t="s">
        <v>24</v>
      </c>
      <c r="AL34" s="3" t="s">
        <v>118</v>
      </c>
    </row>
    <row r="35" spans="1:38" x14ac:dyDescent="0.25">
      <c r="A35" t="s">
        <v>21</v>
      </c>
      <c r="B35" t="s">
        <v>117</v>
      </c>
      <c r="C35" t="str">
        <f>VLOOKUP(B35,[1]Plantings!$A$2:$C$285,2,FALSE)</f>
        <v>COM_L2</v>
      </c>
      <c r="D35" t="str">
        <f>VLOOKUP(B35,[1]Plantings!$A$2:$C$285,3,FALSE)</f>
        <v>single</v>
      </c>
      <c r="E35">
        <v>2019</v>
      </c>
      <c r="G35" t="s">
        <v>59</v>
      </c>
      <c r="H35" t="s">
        <v>21</v>
      </c>
      <c r="I35" t="s">
        <v>29</v>
      </c>
      <c r="J35" s="4" t="s">
        <v>86</v>
      </c>
      <c r="K35" s="4" t="s">
        <v>50</v>
      </c>
      <c r="L35" s="4" t="s">
        <v>50</v>
      </c>
      <c r="M35" s="7" t="s">
        <v>51</v>
      </c>
      <c r="N35" s="4" t="s">
        <v>52</v>
      </c>
      <c r="O35" s="4" t="s">
        <v>35</v>
      </c>
      <c r="P35" s="4" t="s">
        <v>53</v>
      </c>
      <c r="R35" t="s">
        <v>76</v>
      </c>
      <c r="S35" s="20" t="s">
        <v>70</v>
      </c>
      <c r="T35" s="10">
        <v>43625</v>
      </c>
      <c r="U35" s="17">
        <v>47.276294999999998</v>
      </c>
      <c r="V35" s="17">
        <v>-122.463595</v>
      </c>
      <c r="W35" t="str">
        <f>VLOOKUP(B35,[1]Plantings!$A$2:$E$285,4,FALSE)</f>
        <v>line</v>
      </c>
      <c r="X35" s="11" t="str">
        <f>VLOOKUP(B35,[1]Plantings!$A$2:$E$285,5,FALSE)</f>
        <v>retain</v>
      </c>
      <c r="Y35" s="16" t="s">
        <v>1</v>
      </c>
      <c r="Z35">
        <v>-2.6</v>
      </c>
      <c r="AA35" s="13"/>
      <c r="AI35" s="13" t="str">
        <f t="shared" si="3"/>
        <v/>
      </c>
      <c r="AJ35" s="13" t="str">
        <f t="shared" si="2"/>
        <v/>
      </c>
    </row>
    <row r="36" spans="1:38" x14ac:dyDescent="0.25">
      <c r="A36" t="s">
        <v>119</v>
      </c>
      <c r="B36" t="s">
        <v>120</v>
      </c>
      <c r="C36" t="str">
        <f>VLOOKUP(B36,[1]Plantings!$A$2:$C$285,2,FALSE)</f>
        <v>DEL_1</v>
      </c>
      <c r="D36" t="str">
        <f>VLOOKUP(B36,[1]Plantings!$A$2:$C$285,3,FALSE)</f>
        <v>initial</v>
      </c>
      <c r="E36">
        <v>2015</v>
      </c>
      <c r="F36" t="s">
        <v>28</v>
      </c>
      <c r="G36" t="s">
        <v>0</v>
      </c>
      <c r="H36" t="s">
        <v>18</v>
      </c>
      <c r="I36" t="s">
        <v>29</v>
      </c>
      <c r="J36" t="s">
        <v>4</v>
      </c>
      <c r="K36" t="s">
        <v>43</v>
      </c>
      <c r="L36" t="s">
        <v>44</v>
      </c>
      <c r="O36" t="s">
        <v>35</v>
      </c>
      <c r="P36" t="s">
        <v>45</v>
      </c>
      <c r="Q36" t="s">
        <v>46</v>
      </c>
      <c r="R36" t="s">
        <v>38</v>
      </c>
      <c r="S36" t="s">
        <v>38</v>
      </c>
      <c r="T36" s="10">
        <v>42061</v>
      </c>
      <c r="U36" s="11">
        <v>47.254983333333335</v>
      </c>
      <c r="V36" s="11">
        <v>-122.73711666666667</v>
      </c>
      <c r="W36" t="str">
        <f>VLOOKUP(B36,[1]Plantings!$A$2:$E$285,4,FALSE)</f>
        <v>point</v>
      </c>
      <c r="X36" s="11" t="str">
        <f>VLOOKUP(B36,[1]Plantings!$A$2:$E$285,5,FALSE)</f>
        <v>retain</v>
      </c>
      <c r="Y36" s="16" t="s">
        <v>1</v>
      </c>
      <c r="Z36" s="12">
        <v>-2.3469600000000002</v>
      </c>
      <c r="AA36" s="13" t="s">
        <v>39</v>
      </c>
      <c r="AB36">
        <v>5</v>
      </c>
      <c r="AC36">
        <v>5</v>
      </c>
      <c r="AD36">
        <f>AB36*AC36</f>
        <v>25</v>
      </c>
      <c r="AE36">
        <v>25</v>
      </c>
      <c r="AF36" s="14">
        <f>IF(AA36="staple",AG36*0.005,IF(AA36="rebar",AG36*0.025,IF(AA36="burlap",AG36*0.0625,IF(AA36="washer",AG36*0.0025,IF(AA36="pucks",AG36*0.00785,IF(AA36="turf",AG36*0.01,IF(AA36="","")))))))</f>
        <v>0.625</v>
      </c>
      <c r="AG36" s="15">
        <f>AH36/4</f>
        <v>125</v>
      </c>
      <c r="AH36" s="21">
        <v>500</v>
      </c>
      <c r="AI36" s="13">
        <f t="shared" si="3"/>
        <v>20</v>
      </c>
      <c r="AJ36" s="13">
        <f t="shared" si="2"/>
        <v>20</v>
      </c>
      <c r="AK36" t="s">
        <v>47</v>
      </c>
      <c r="AL36" s="3" t="s">
        <v>121</v>
      </c>
    </row>
    <row r="37" spans="1:38" x14ac:dyDescent="0.25">
      <c r="A37" t="s">
        <v>119</v>
      </c>
      <c r="B37" t="s">
        <v>122</v>
      </c>
      <c r="C37" t="str">
        <f>VLOOKUP(B37,[1]Plantings!$A$2:$C$285,2,FALSE)</f>
        <v>DEL_L1</v>
      </c>
      <c r="D37" t="str">
        <f>VLOOKUP(B37,[1]Plantings!$A$2:$C$285,3,FALSE)</f>
        <v>single</v>
      </c>
      <c r="E37">
        <v>2016</v>
      </c>
      <c r="F37" t="s">
        <v>28</v>
      </c>
      <c r="G37" t="s">
        <v>59</v>
      </c>
      <c r="H37" t="s">
        <v>18</v>
      </c>
      <c r="I37" t="s">
        <v>29</v>
      </c>
      <c r="J37" t="s">
        <v>60</v>
      </c>
      <c r="K37" t="s">
        <v>31</v>
      </c>
      <c r="L37" t="s">
        <v>32</v>
      </c>
      <c r="M37" t="s">
        <v>61</v>
      </c>
      <c r="N37" t="s">
        <v>123</v>
      </c>
      <c r="O37" t="s">
        <v>63</v>
      </c>
      <c r="P37" t="s">
        <v>64</v>
      </c>
      <c r="Q37" t="s">
        <v>65</v>
      </c>
      <c r="R37" t="s">
        <v>38</v>
      </c>
      <c r="S37" t="s">
        <v>38</v>
      </c>
      <c r="T37" s="10">
        <v>42481</v>
      </c>
      <c r="U37" s="18">
        <v>47.258040352777776</v>
      </c>
      <c r="V37" s="11">
        <v>-122.73927132222222</v>
      </c>
      <c r="W37" t="str">
        <f>VLOOKUP(B37,[1]Plantings!$A$2:$E$285,4,FALSE)</f>
        <v>line</v>
      </c>
      <c r="X37" s="11" t="str">
        <f>VLOOKUP(B37,[1]Plantings!$A$2:$E$285,5,FALSE)</f>
        <v>retain</v>
      </c>
      <c r="Y37" s="16" t="s">
        <v>1</v>
      </c>
      <c r="Z37" s="12">
        <v>-2</v>
      </c>
      <c r="AA37" s="13" t="s">
        <v>124</v>
      </c>
      <c r="AB37">
        <v>25</v>
      </c>
      <c r="AC37">
        <v>5</v>
      </c>
      <c r="AD37">
        <f>AB37*AC37</f>
        <v>125</v>
      </c>
      <c r="AE37">
        <v>75</v>
      </c>
      <c r="AF37" s="14">
        <f>IF(AA37="staple",AG37*0.005,IF(AA37="rebar",AG37*0.025,IF(AA37="burlap",AG37*0.0625,IF(AA37="washer",AG37*0.0025,IF(AA37="pucks",AG37*0.00785,IF(AA37="turf",AG37*0.01,IF(AA37="","")))))))</f>
        <v>9.75</v>
      </c>
      <c r="AG37" s="15">
        <v>156</v>
      </c>
      <c r="AH37" s="28">
        <v>780</v>
      </c>
      <c r="AI37" s="13">
        <f t="shared" si="3"/>
        <v>6.24</v>
      </c>
      <c r="AJ37" s="13">
        <f t="shared" si="2"/>
        <v>10.4</v>
      </c>
      <c r="AK37" t="s">
        <v>125</v>
      </c>
      <c r="AL37" s="19" t="s">
        <v>126</v>
      </c>
    </row>
    <row r="38" spans="1:38" x14ac:dyDescent="0.25">
      <c r="A38" t="s">
        <v>119</v>
      </c>
      <c r="B38" t="s">
        <v>127</v>
      </c>
      <c r="C38" t="str">
        <f>VLOOKUP(B38,[1]Plantings!$A$2:$C$285,2,FALSE)</f>
        <v>DEL_L1</v>
      </c>
      <c r="D38" t="str">
        <f>VLOOKUP(B38,[1]Plantings!$A$2:$C$285,3,FALSE)</f>
        <v>single</v>
      </c>
      <c r="E38">
        <v>2016</v>
      </c>
      <c r="F38" t="s">
        <v>28</v>
      </c>
      <c r="G38" t="s">
        <v>59</v>
      </c>
      <c r="H38" t="s">
        <v>18</v>
      </c>
      <c r="I38" t="s">
        <v>29</v>
      </c>
      <c r="J38" t="s">
        <v>60</v>
      </c>
      <c r="K38" t="s">
        <v>31</v>
      </c>
      <c r="L38" t="s">
        <v>32</v>
      </c>
      <c r="M38" t="s">
        <v>61</v>
      </c>
      <c r="N38" t="s">
        <v>123</v>
      </c>
      <c r="O38" t="s">
        <v>63</v>
      </c>
      <c r="P38" t="s">
        <v>64</v>
      </c>
      <c r="Q38" t="s">
        <v>65</v>
      </c>
      <c r="R38" t="s">
        <v>38</v>
      </c>
      <c r="S38" s="20" t="s">
        <v>70</v>
      </c>
      <c r="T38" s="10">
        <v>42481</v>
      </c>
      <c r="U38" s="18">
        <v>47.258279688888891</v>
      </c>
      <c r="V38" s="11">
        <v>-122.7380948</v>
      </c>
      <c r="W38" t="str">
        <f>VLOOKUP(B38,[1]Plantings!$A$2:$E$285,4,FALSE)</f>
        <v>line</v>
      </c>
      <c r="X38" s="11" t="str">
        <f>VLOOKUP(B38,[1]Plantings!$A$2:$E$285,5,FALSE)</f>
        <v>retain</v>
      </c>
      <c r="Y38" s="16" t="s">
        <v>1</v>
      </c>
      <c r="Z38" s="12">
        <v>-2</v>
      </c>
      <c r="AA38" s="13" t="s">
        <v>124</v>
      </c>
      <c r="AF38" s="14"/>
      <c r="AG38" s="15"/>
      <c r="AH38" s="15"/>
      <c r="AI38" s="13" t="str">
        <f t="shared" si="3"/>
        <v/>
      </c>
      <c r="AJ38" s="13" t="str">
        <f t="shared" si="2"/>
        <v/>
      </c>
      <c r="AL38" s="19"/>
    </row>
    <row r="39" spans="1:38" x14ac:dyDescent="0.25">
      <c r="A39" t="s">
        <v>119</v>
      </c>
      <c r="B39" t="s">
        <v>128</v>
      </c>
      <c r="C39" t="str">
        <f>VLOOKUP(B39,[1]Plantings!$A$2:$C$285,2,FALSE)</f>
        <v>DEL_P1</v>
      </c>
      <c r="D39" t="str">
        <f>VLOOKUP(B39,[1]Plantings!$A$2:$C$285,3,FALSE)</f>
        <v>single</v>
      </c>
      <c r="E39">
        <v>2016</v>
      </c>
      <c r="F39" t="s">
        <v>28</v>
      </c>
      <c r="G39" t="s">
        <v>75</v>
      </c>
      <c r="H39" t="s">
        <v>18</v>
      </c>
      <c r="I39" t="s">
        <v>29</v>
      </c>
      <c r="J39" t="s">
        <v>60</v>
      </c>
      <c r="K39" t="s">
        <v>31</v>
      </c>
      <c r="L39" t="s">
        <v>32</v>
      </c>
      <c r="M39" t="s">
        <v>61</v>
      </c>
      <c r="N39" t="s">
        <v>123</v>
      </c>
      <c r="O39" t="s">
        <v>63</v>
      </c>
      <c r="P39" t="s">
        <v>64</v>
      </c>
      <c r="Q39" t="s">
        <v>65</v>
      </c>
      <c r="R39" t="s">
        <v>76</v>
      </c>
      <c r="S39" t="s">
        <v>76</v>
      </c>
      <c r="T39" s="10">
        <v>42535</v>
      </c>
      <c r="U39" s="11">
        <v>47.257533000000002</v>
      </c>
      <c r="V39" s="11">
        <v>-122.73820383333333</v>
      </c>
      <c r="W39" t="str">
        <f>VLOOKUP(B39,[1]Plantings!$A$2:$E$285,4,FALSE)</f>
        <v>polygon</v>
      </c>
      <c r="X39" s="11" t="str">
        <f>VLOOKUP(B39,[1]Plantings!$A$2:$E$285,5,FALSE)</f>
        <v>retain</v>
      </c>
      <c r="Y39" s="16" t="s">
        <v>1</v>
      </c>
      <c r="Z39" s="12">
        <v>-2</v>
      </c>
      <c r="AA39" s="38" t="s">
        <v>124</v>
      </c>
      <c r="AB39">
        <v>35</v>
      </c>
      <c r="AC39">
        <v>6</v>
      </c>
      <c r="AD39">
        <f>AB39*AC39</f>
        <v>210</v>
      </c>
      <c r="AE39">
        <v>50.4</v>
      </c>
      <c r="AF39" s="14">
        <f t="shared" ref="AF39:AF57" si="7">IF(AA39="staple",AG39*0.005,IF(AA39="rebar",AG39*0.025,IF(AA39="burlap",AG39*0.0625,IF(AA39="washer",AG39*0.0025,IF(AA39="pucks",AG39*0.00785,IF(AA39="turf",AG39*0.01,IF(AA39="","")))))))</f>
        <v>78.75</v>
      </c>
      <c r="AG39" s="15">
        <v>1260</v>
      </c>
      <c r="AH39" s="21">
        <v>20850</v>
      </c>
      <c r="AI39" s="13">
        <f t="shared" si="3"/>
        <v>99.285714285714292</v>
      </c>
      <c r="AJ39" s="13">
        <f t="shared" si="2"/>
        <v>413.6904761904762</v>
      </c>
      <c r="AK39" t="s">
        <v>125</v>
      </c>
      <c r="AL39" s="19"/>
    </row>
    <row r="40" spans="1:38" x14ac:dyDescent="0.25">
      <c r="A40" t="s">
        <v>119</v>
      </c>
      <c r="B40" t="s">
        <v>129</v>
      </c>
      <c r="C40" t="str">
        <f>VLOOKUP(B40,[1]Plantings!$A$2:$C$285,2,FALSE)</f>
        <v>DEL_P1</v>
      </c>
      <c r="D40" t="str">
        <f>VLOOKUP(B40,[1]Plantings!$A$2:$C$285,3,FALSE)</f>
        <v>single</v>
      </c>
      <c r="E40">
        <v>2016</v>
      </c>
      <c r="F40" t="s">
        <v>28</v>
      </c>
      <c r="G40" t="s">
        <v>75</v>
      </c>
      <c r="H40" t="s">
        <v>18</v>
      </c>
      <c r="I40" t="s">
        <v>29</v>
      </c>
      <c r="J40" t="s">
        <v>60</v>
      </c>
      <c r="K40" t="s">
        <v>31</v>
      </c>
      <c r="L40" t="s">
        <v>32</v>
      </c>
      <c r="M40" t="s">
        <v>61</v>
      </c>
      <c r="N40" t="s">
        <v>123</v>
      </c>
      <c r="O40" t="s">
        <v>63</v>
      </c>
      <c r="P40" t="s">
        <v>64</v>
      </c>
      <c r="Q40" t="s">
        <v>65</v>
      </c>
      <c r="R40" t="s">
        <v>76</v>
      </c>
      <c r="S40" s="20" t="s">
        <v>70</v>
      </c>
      <c r="T40" s="10">
        <v>42535</v>
      </c>
      <c r="U40" s="11">
        <v>47.257536833333333</v>
      </c>
      <c r="V40" s="11">
        <v>-122.73813800000001</v>
      </c>
      <c r="W40" t="str">
        <f>VLOOKUP(B40,[1]Plantings!$A$2:$E$285,4,FALSE)</f>
        <v>polygon</v>
      </c>
      <c r="X40" s="11" t="str">
        <f>VLOOKUP(B40,[1]Plantings!$A$2:$E$285,5,FALSE)</f>
        <v>retain</v>
      </c>
      <c r="Y40" s="16" t="s">
        <v>1</v>
      </c>
      <c r="Z40" s="12"/>
      <c r="AA40" s="13"/>
      <c r="AF40" s="14" t="str">
        <f t="shared" si="7"/>
        <v/>
      </c>
      <c r="AG40" s="15"/>
      <c r="AH40" s="15"/>
      <c r="AI40" s="13" t="str">
        <f t="shared" si="3"/>
        <v/>
      </c>
      <c r="AJ40" s="13" t="str">
        <f t="shared" si="2"/>
        <v/>
      </c>
      <c r="AL40" s="19"/>
    </row>
    <row r="41" spans="1:38" x14ac:dyDescent="0.25">
      <c r="A41" t="s">
        <v>119</v>
      </c>
      <c r="B41" t="s">
        <v>130</v>
      </c>
      <c r="C41" t="str">
        <f>VLOOKUP(B41,[1]Plantings!$A$2:$C$285,2,FALSE)</f>
        <v>DEL_P1</v>
      </c>
      <c r="D41" t="str">
        <f>VLOOKUP(B41,[1]Plantings!$A$2:$C$285,3,FALSE)</f>
        <v>single</v>
      </c>
      <c r="E41">
        <v>2016</v>
      </c>
      <c r="F41" t="s">
        <v>28</v>
      </c>
      <c r="G41" t="s">
        <v>75</v>
      </c>
      <c r="H41" t="s">
        <v>18</v>
      </c>
      <c r="I41" t="s">
        <v>29</v>
      </c>
      <c r="J41" t="s">
        <v>60</v>
      </c>
      <c r="K41" t="s">
        <v>31</v>
      </c>
      <c r="L41" t="s">
        <v>32</v>
      </c>
      <c r="M41" t="s">
        <v>61</v>
      </c>
      <c r="N41" t="s">
        <v>123</v>
      </c>
      <c r="O41" t="s">
        <v>63</v>
      </c>
      <c r="P41" t="s">
        <v>64</v>
      </c>
      <c r="Q41" t="s">
        <v>65</v>
      </c>
      <c r="R41" t="s">
        <v>76</v>
      </c>
      <c r="S41" s="20" t="s">
        <v>70</v>
      </c>
      <c r="T41" s="10">
        <v>42535</v>
      </c>
      <c r="U41" s="11">
        <v>47.25784183333333</v>
      </c>
      <c r="V41" s="11">
        <v>-122.73817200000001</v>
      </c>
      <c r="W41" t="str">
        <f>VLOOKUP(B41,[1]Plantings!$A$2:$E$285,4,FALSE)</f>
        <v>polygon</v>
      </c>
      <c r="X41" s="11" t="str">
        <f>VLOOKUP(B41,[1]Plantings!$A$2:$E$285,5,FALSE)</f>
        <v>retain</v>
      </c>
      <c r="Y41" s="16" t="s">
        <v>1</v>
      </c>
      <c r="Z41" s="12"/>
      <c r="AA41" s="13"/>
      <c r="AF41" s="14" t="str">
        <f t="shared" si="7"/>
        <v/>
      </c>
      <c r="AG41" s="15"/>
      <c r="AH41" s="15"/>
      <c r="AI41" s="13" t="str">
        <f t="shared" si="3"/>
        <v/>
      </c>
      <c r="AJ41" s="13" t="str">
        <f t="shared" si="2"/>
        <v/>
      </c>
      <c r="AL41" s="19"/>
    </row>
    <row r="42" spans="1:38" x14ac:dyDescent="0.25">
      <c r="A42" t="s">
        <v>119</v>
      </c>
      <c r="B42" t="s">
        <v>131</v>
      </c>
      <c r="C42" t="str">
        <f>VLOOKUP(B42,[1]Plantings!$A$2:$C$285,2,FALSE)</f>
        <v>DEL_P1</v>
      </c>
      <c r="D42" t="str">
        <f>VLOOKUP(B42,[1]Plantings!$A$2:$C$285,3,FALSE)</f>
        <v>single</v>
      </c>
      <c r="E42">
        <v>2016</v>
      </c>
      <c r="F42" t="s">
        <v>28</v>
      </c>
      <c r="G42" t="s">
        <v>75</v>
      </c>
      <c r="H42" t="s">
        <v>18</v>
      </c>
      <c r="I42" t="s">
        <v>29</v>
      </c>
      <c r="J42" t="s">
        <v>60</v>
      </c>
      <c r="K42" t="s">
        <v>31</v>
      </c>
      <c r="L42" t="s">
        <v>32</v>
      </c>
      <c r="M42" t="s">
        <v>61</v>
      </c>
      <c r="N42" t="s">
        <v>123</v>
      </c>
      <c r="O42" t="s">
        <v>63</v>
      </c>
      <c r="P42" t="s">
        <v>64</v>
      </c>
      <c r="Q42" t="s">
        <v>65</v>
      </c>
      <c r="R42" t="s">
        <v>76</v>
      </c>
      <c r="S42" s="20" t="s">
        <v>70</v>
      </c>
      <c r="T42" s="10">
        <v>42535</v>
      </c>
      <c r="U42" s="11">
        <v>47.257838833333331</v>
      </c>
      <c r="V42" s="11">
        <v>-122.73823783333333</v>
      </c>
      <c r="W42" t="str">
        <f>VLOOKUP(B42,[1]Plantings!$A$2:$E$285,4,FALSE)</f>
        <v>polygon</v>
      </c>
      <c r="X42" s="11" t="str">
        <f>VLOOKUP(B42,[1]Plantings!$A$2:$E$285,5,FALSE)</f>
        <v>retain</v>
      </c>
      <c r="Y42" s="16" t="s">
        <v>1</v>
      </c>
      <c r="Z42" s="12"/>
      <c r="AA42" s="13"/>
      <c r="AF42" s="14" t="str">
        <f t="shared" si="7"/>
        <v/>
      </c>
      <c r="AG42" s="15"/>
      <c r="AH42" s="15"/>
      <c r="AI42" s="13" t="str">
        <f t="shared" si="3"/>
        <v/>
      </c>
      <c r="AJ42" s="13" t="str">
        <f t="shared" si="2"/>
        <v/>
      </c>
      <c r="AL42" s="19"/>
    </row>
    <row r="43" spans="1:38" x14ac:dyDescent="0.25">
      <c r="A43" t="s">
        <v>119</v>
      </c>
      <c r="B43" s="4" t="s">
        <v>132</v>
      </c>
      <c r="C43" t="str">
        <f>VLOOKUP(B43,[1]Plantings!$A$2:$C$285,2,FALSE)</f>
        <v>DEL_3</v>
      </c>
      <c r="D43" t="str">
        <f>VLOOKUP(B43,[1]Plantings!$A$2:$C$285,3,FALSE)</f>
        <v>initial</v>
      </c>
      <c r="E43" s="4">
        <v>2017</v>
      </c>
      <c r="F43" t="s">
        <v>28</v>
      </c>
      <c r="G43" s="4" t="s">
        <v>0</v>
      </c>
      <c r="H43" s="4" t="s">
        <v>18</v>
      </c>
      <c r="I43" t="s">
        <v>29</v>
      </c>
      <c r="J43" t="s">
        <v>60</v>
      </c>
      <c r="K43" t="s">
        <v>31</v>
      </c>
      <c r="L43" t="s">
        <v>32</v>
      </c>
      <c r="M43" t="s">
        <v>61</v>
      </c>
      <c r="N43" t="s">
        <v>62</v>
      </c>
      <c r="O43" t="s">
        <v>63</v>
      </c>
      <c r="P43" t="s">
        <v>64</v>
      </c>
      <c r="Q43" t="s">
        <v>65</v>
      </c>
      <c r="R43" s="4" t="s">
        <v>38</v>
      </c>
      <c r="S43" s="4" t="s">
        <v>38</v>
      </c>
      <c r="T43" s="10">
        <v>42933</v>
      </c>
      <c r="U43" s="64">
        <v>47.249850000000002</v>
      </c>
      <c r="V43" s="64">
        <v>-122.72317</v>
      </c>
      <c r="W43" t="str">
        <f>VLOOKUP(B43,[1]Plantings!$A$2:$E$285,4,FALSE)</f>
        <v>point</v>
      </c>
      <c r="X43" s="11" t="str">
        <f>VLOOKUP(B43,[1]Plantings!$A$2:$E$285,5,FALSE)</f>
        <v>retain</v>
      </c>
      <c r="Y43" s="16" t="s">
        <v>1</v>
      </c>
      <c r="Z43" s="23">
        <v>-1.6</v>
      </c>
      <c r="AA43" t="s">
        <v>66</v>
      </c>
      <c r="AB43" s="4">
        <v>10</v>
      </c>
      <c r="AC43" s="4">
        <v>1</v>
      </c>
      <c r="AD43">
        <f t="shared" ref="AD43:AD65" si="8">AB43*AC43</f>
        <v>10</v>
      </c>
      <c r="AE43" s="4">
        <v>6</v>
      </c>
      <c r="AF43" s="14">
        <f t="shared" si="7"/>
        <v>1.67</v>
      </c>
      <c r="AG43" s="24">
        <v>167</v>
      </c>
      <c r="AH43" s="28">
        <v>1172</v>
      </c>
      <c r="AI43" s="13">
        <f t="shared" si="3"/>
        <v>117.2</v>
      </c>
      <c r="AJ43" s="13">
        <f t="shared" si="2"/>
        <v>195.33333333333334</v>
      </c>
      <c r="AK43" t="s">
        <v>125</v>
      </c>
      <c r="AL43" s="19" t="s">
        <v>133</v>
      </c>
    </row>
    <row r="44" spans="1:38" x14ac:dyDescent="0.25">
      <c r="A44" t="s">
        <v>119</v>
      </c>
      <c r="B44" s="4" t="s">
        <v>134</v>
      </c>
      <c r="C44" t="str">
        <f>VLOOKUP(B44,[1]Plantings!$A$2:$C$285,2,FALSE)</f>
        <v>DEL_2</v>
      </c>
      <c r="D44" t="str">
        <f>VLOOKUP(B44,[1]Plantings!$A$2:$C$285,3,FALSE)</f>
        <v>single</v>
      </c>
      <c r="E44" s="4">
        <v>2017</v>
      </c>
      <c r="F44" t="s">
        <v>28</v>
      </c>
      <c r="G44" s="4" t="s">
        <v>0</v>
      </c>
      <c r="H44" s="4" t="s">
        <v>18</v>
      </c>
      <c r="I44" t="s">
        <v>29</v>
      </c>
      <c r="J44" t="s">
        <v>60</v>
      </c>
      <c r="K44" t="s">
        <v>31</v>
      </c>
      <c r="L44" t="s">
        <v>32</v>
      </c>
      <c r="M44" t="s">
        <v>61</v>
      </c>
      <c r="N44" t="s">
        <v>62</v>
      </c>
      <c r="O44" t="s">
        <v>63</v>
      </c>
      <c r="P44" t="s">
        <v>64</v>
      </c>
      <c r="Q44" t="s">
        <v>65</v>
      </c>
      <c r="R44" s="4" t="s">
        <v>38</v>
      </c>
      <c r="S44" s="4" t="s">
        <v>38</v>
      </c>
      <c r="T44" s="10">
        <v>42933</v>
      </c>
      <c r="U44" s="64">
        <v>47.249630000000003</v>
      </c>
      <c r="V44" s="64">
        <v>-122.72338000000001</v>
      </c>
      <c r="W44" t="str">
        <f>VLOOKUP(B44,[1]Plantings!$A$2:$E$285,4,FALSE)</f>
        <v>point</v>
      </c>
      <c r="X44" s="11" t="str">
        <f>VLOOKUP(B44,[1]Plantings!$A$2:$E$285,5,FALSE)</f>
        <v>retain</v>
      </c>
      <c r="Y44" s="16" t="s">
        <v>1</v>
      </c>
      <c r="Z44" s="23">
        <v>-1.6</v>
      </c>
      <c r="AA44" t="s">
        <v>66</v>
      </c>
      <c r="AB44" s="4">
        <v>10</v>
      </c>
      <c r="AC44" s="4">
        <v>1</v>
      </c>
      <c r="AD44">
        <f t="shared" si="8"/>
        <v>10</v>
      </c>
      <c r="AE44" s="4">
        <v>6</v>
      </c>
      <c r="AF44" s="14">
        <f t="shared" si="7"/>
        <v>1.45</v>
      </c>
      <c r="AG44" s="24">
        <v>145</v>
      </c>
      <c r="AH44" s="28">
        <v>1015</v>
      </c>
      <c r="AI44" s="13">
        <f t="shared" si="3"/>
        <v>101.5</v>
      </c>
      <c r="AJ44" s="13">
        <f t="shared" si="2"/>
        <v>169.16666666666666</v>
      </c>
      <c r="AK44" t="s">
        <v>125</v>
      </c>
      <c r="AL44" s="19" t="s">
        <v>135</v>
      </c>
    </row>
    <row r="45" spans="1:38" x14ac:dyDescent="0.25">
      <c r="A45" t="s">
        <v>119</v>
      </c>
      <c r="B45" t="s">
        <v>136</v>
      </c>
      <c r="C45" t="str">
        <f>VLOOKUP(B45,[1]Plantings!$A$2:$C$285,2,FALSE)</f>
        <v>DEL_1</v>
      </c>
      <c r="D45" t="str">
        <f>VLOOKUP(B45,[1]Plantings!$A$2:$C$285,3,FALSE)</f>
        <v>repeat</v>
      </c>
      <c r="E45" s="7">
        <v>2018</v>
      </c>
      <c r="F45" t="s">
        <v>28</v>
      </c>
      <c r="G45" s="4" t="s">
        <v>0</v>
      </c>
      <c r="H45" s="30" t="s">
        <v>18</v>
      </c>
      <c r="I45" s="30" t="s">
        <v>29</v>
      </c>
      <c r="J45" s="4" t="s">
        <v>43</v>
      </c>
      <c r="K45" s="4" t="s">
        <v>43</v>
      </c>
      <c r="L45" s="4" t="s">
        <v>137</v>
      </c>
      <c r="R45" s="4" t="s">
        <v>38</v>
      </c>
      <c r="S45" t="s">
        <v>38</v>
      </c>
      <c r="T45" s="27">
        <v>43279</v>
      </c>
      <c r="U45" s="11">
        <v>47.254983333333335</v>
      </c>
      <c r="V45" s="11">
        <v>-122.73711666666667</v>
      </c>
      <c r="W45" t="str">
        <f>VLOOKUP(B45,[1]Plantings!$A$2:$E$285,4,FALSE)</f>
        <v>point</v>
      </c>
      <c r="X45" s="11" t="str">
        <f>VLOOKUP(B45,[1]Plantings!$A$2:$E$285,5,FALSE)</f>
        <v>retain</v>
      </c>
      <c r="Y45" s="16" t="s">
        <v>1</v>
      </c>
      <c r="Z45" s="12">
        <v>-2.3469600000000002</v>
      </c>
      <c r="AA45" t="s">
        <v>54</v>
      </c>
      <c r="AB45">
        <v>5</v>
      </c>
      <c r="AC45">
        <v>0.5</v>
      </c>
      <c r="AD45">
        <f t="shared" si="8"/>
        <v>2.5</v>
      </c>
      <c r="AE45">
        <f t="shared" ref="AE45:AE51" si="9">AG45*0.25</f>
        <v>2.75</v>
      </c>
      <c r="AF45" s="14">
        <f t="shared" si="7"/>
        <v>0.27500000000000002</v>
      </c>
      <c r="AG45" s="15">
        <v>11</v>
      </c>
      <c r="AH45" s="35">
        <f>AG45*25</f>
        <v>275</v>
      </c>
      <c r="AI45" s="13">
        <f t="shared" si="3"/>
        <v>110</v>
      </c>
      <c r="AJ45" s="13">
        <f t="shared" si="2"/>
        <v>100</v>
      </c>
      <c r="AK45" t="s">
        <v>93</v>
      </c>
      <c r="AL45" s="3" t="s">
        <v>138</v>
      </c>
    </row>
    <row r="46" spans="1:38" x14ac:dyDescent="0.25">
      <c r="A46" t="s">
        <v>119</v>
      </c>
      <c r="B46" s="4" t="s">
        <v>139</v>
      </c>
      <c r="C46" t="str">
        <f>VLOOKUP(B46,[1]Plantings!$A$2:$C$285,2,FALSE)</f>
        <v>DEL_3</v>
      </c>
      <c r="D46" t="str">
        <f>VLOOKUP(B46,[1]Plantings!$A$2:$C$285,3,FALSE)</f>
        <v>repeat</v>
      </c>
      <c r="E46" s="7">
        <v>2018</v>
      </c>
      <c r="F46" t="s">
        <v>28</v>
      </c>
      <c r="G46" s="4" t="s">
        <v>0</v>
      </c>
      <c r="H46" s="30" t="s">
        <v>18</v>
      </c>
      <c r="I46" s="30" t="s">
        <v>29</v>
      </c>
      <c r="J46" s="4" t="s">
        <v>43</v>
      </c>
      <c r="K46" s="4" t="s">
        <v>43</v>
      </c>
      <c r="L46" s="4" t="s">
        <v>137</v>
      </c>
      <c r="R46" s="4" t="s">
        <v>38</v>
      </c>
      <c r="S46" t="s">
        <v>38</v>
      </c>
      <c r="T46" s="27">
        <v>43279</v>
      </c>
      <c r="U46" s="64">
        <v>47.249850000000002</v>
      </c>
      <c r="V46" s="64">
        <v>-122.72317</v>
      </c>
      <c r="W46" t="str">
        <f>VLOOKUP(B46,[1]Plantings!$A$2:$E$285,4,FALSE)</f>
        <v>point</v>
      </c>
      <c r="X46" s="11" t="str">
        <f>VLOOKUP(B46,[1]Plantings!$A$2:$E$285,5,FALSE)</f>
        <v>retain</v>
      </c>
      <c r="Y46" s="16" t="s">
        <v>1</v>
      </c>
      <c r="Z46" s="12">
        <v>-1.6</v>
      </c>
      <c r="AA46" t="s">
        <v>54</v>
      </c>
      <c r="AB46">
        <v>5</v>
      </c>
      <c r="AC46">
        <v>0.5</v>
      </c>
      <c r="AD46">
        <f t="shared" si="8"/>
        <v>2.5</v>
      </c>
      <c r="AE46">
        <f t="shared" si="9"/>
        <v>2.25</v>
      </c>
      <c r="AF46" s="14">
        <f t="shared" si="7"/>
        <v>0.22500000000000001</v>
      </c>
      <c r="AG46" s="15">
        <v>9</v>
      </c>
      <c r="AH46" s="35">
        <f>AG46*25</f>
        <v>225</v>
      </c>
      <c r="AI46" s="13">
        <f t="shared" si="3"/>
        <v>90</v>
      </c>
      <c r="AJ46" s="13">
        <f t="shared" si="2"/>
        <v>100</v>
      </c>
      <c r="AK46" t="s">
        <v>93</v>
      </c>
      <c r="AL46" s="3" t="s">
        <v>140</v>
      </c>
    </row>
    <row r="47" spans="1:38" x14ac:dyDescent="0.25">
      <c r="A47" t="s">
        <v>119</v>
      </c>
      <c r="B47" t="s">
        <v>141</v>
      </c>
      <c r="C47" t="str">
        <f>VLOOKUP(B47,[1]Plantings!$A$2:$C$285,2,FALSE)</f>
        <v>DEL_east_1</v>
      </c>
      <c r="D47" t="str">
        <f>VLOOKUP(B47,[1]Plantings!$A$2:$C$285,3,FALSE)</f>
        <v>single</v>
      </c>
      <c r="E47" s="7">
        <v>2020</v>
      </c>
      <c r="F47" t="s">
        <v>28</v>
      </c>
      <c r="G47" t="s">
        <v>0</v>
      </c>
      <c r="H47" s="30" t="s">
        <v>18</v>
      </c>
      <c r="I47" s="30" t="s">
        <v>29</v>
      </c>
      <c r="J47" s="4" t="s">
        <v>86</v>
      </c>
      <c r="K47" s="4" t="s">
        <v>50</v>
      </c>
      <c r="L47" s="4" t="s">
        <v>50</v>
      </c>
      <c r="M47" s="7" t="s">
        <v>51</v>
      </c>
      <c r="N47" s="4" t="s">
        <v>52</v>
      </c>
      <c r="O47" s="4" t="s">
        <v>35</v>
      </c>
      <c r="R47" s="4" t="s">
        <v>38</v>
      </c>
      <c r="S47" s="4" t="s">
        <v>38</v>
      </c>
      <c r="T47" s="27">
        <v>44013</v>
      </c>
      <c r="U47" s="11">
        <v>47.249993000000003</v>
      </c>
      <c r="V47" s="11">
        <v>-122.7228933</v>
      </c>
      <c r="W47" t="str">
        <f>VLOOKUP(B47,[1]Plantings!$A$2:$E$285,4,FALSE)</f>
        <v>point</v>
      </c>
      <c r="X47" s="11" t="str">
        <f>VLOOKUP(B47,[1]Plantings!$A$2:$E$285,5,FALSE)</f>
        <v>retain</v>
      </c>
      <c r="Y47" s="22" t="s">
        <v>1</v>
      </c>
      <c r="Z47" s="12">
        <v>-1.2</v>
      </c>
      <c r="AA47" s="13" t="s">
        <v>54</v>
      </c>
      <c r="AB47">
        <v>2.5</v>
      </c>
      <c r="AC47">
        <v>2.5</v>
      </c>
      <c r="AD47">
        <f t="shared" si="8"/>
        <v>6.25</v>
      </c>
      <c r="AE47">
        <f t="shared" si="9"/>
        <v>6.25</v>
      </c>
      <c r="AF47" s="14">
        <f t="shared" si="7"/>
        <v>0.625</v>
      </c>
      <c r="AG47">
        <v>25</v>
      </c>
      <c r="AH47">
        <v>625</v>
      </c>
      <c r="AI47" s="13">
        <f t="shared" si="3"/>
        <v>100</v>
      </c>
      <c r="AJ47" s="13">
        <f t="shared" si="2"/>
        <v>100</v>
      </c>
      <c r="AK47" t="s">
        <v>3</v>
      </c>
      <c r="AL47" s="3" t="s">
        <v>142</v>
      </c>
    </row>
    <row r="48" spans="1:38" x14ac:dyDescent="0.25">
      <c r="A48" t="s">
        <v>119</v>
      </c>
      <c r="B48" t="s">
        <v>143</v>
      </c>
      <c r="C48" t="str">
        <f>VLOOKUP(B48,[1]Plantings!$A$2:$C$285,2,FALSE)</f>
        <v>DEL_west_1</v>
      </c>
      <c r="D48" t="str">
        <f>VLOOKUP(B48,[1]Plantings!$A$2:$C$285,3,FALSE)</f>
        <v>single</v>
      </c>
      <c r="E48" s="7">
        <v>2020</v>
      </c>
      <c r="F48" t="s">
        <v>28</v>
      </c>
      <c r="G48" t="s">
        <v>0</v>
      </c>
      <c r="H48" s="30" t="s">
        <v>18</v>
      </c>
      <c r="I48" s="30" t="s">
        <v>29</v>
      </c>
      <c r="J48" s="4" t="s">
        <v>86</v>
      </c>
      <c r="K48" s="4" t="s">
        <v>50</v>
      </c>
      <c r="L48" s="4" t="s">
        <v>50</v>
      </c>
      <c r="M48" s="7" t="s">
        <v>51</v>
      </c>
      <c r="N48" s="4" t="s">
        <v>52</v>
      </c>
      <c r="O48" s="4" t="s">
        <v>35</v>
      </c>
      <c r="R48" s="4" t="s">
        <v>38</v>
      </c>
      <c r="S48" s="4" t="s">
        <v>38</v>
      </c>
      <c r="T48" s="27">
        <v>44013</v>
      </c>
      <c r="U48" s="65">
        <v>47.252598300000002</v>
      </c>
      <c r="V48" s="65">
        <v>-122.73546829999999</v>
      </c>
      <c r="W48" t="str">
        <f>VLOOKUP(B48,[1]Plantings!$A$2:$E$285,4,FALSE)</f>
        <v>point</v>
      </c>
      <c r="X48" s="11" t="str">
        <f>VLOOKUP(B48,[1]Plantings!$A$2:$E$285,5,FALSE)</f>
        <v>retain</v>
      </c>
      <c r="Y48" s="22" t="s">
        <v>1</v>
      </c>
      <c r="Z48" s="12">
        <v>-1.6</v>
      </c>
      <c r="AA48" s="13" t="s">
        <v>54</v>
      </c>
      <c r="AB48">
        <v>3</v>
      </c>
      <c r="AC48">
        <v>2.5</v>
      </c>
      <c r="AD48">
        <f t="shared" si="8"/>
        <v>7.5</v>
      </c>
      <c r="AE48">
        <f t="shared" si="9"/>
        <v>6.75</v>
      </c>
      <c r="AF48" s="14">
        <f t="shared" si="7"/>
        <v>0.67500000000000004</v>
      </c>
      <c r="AG48">
        <v>27</v>
      </c>
      <c r="AH48" s="39">
        <v>692</v>
      </c>
      <c r="AI48" s="13">
        <f t="shared" si="3"/>
        <v>92.266666666666666</v>
      </c>
      <c r="AJ48" s="13">
        <f t="shared" si="2"/>
        <v>102.51851851851852</v>
      </c>
      <c r="AK48" t="s">
        <v>3</v>
      </c>
      <c r="AL48" s="40" t="s">
        <v>144</v>
      </c>
    </row>
    <row r="49" spans="1:38" x14ac:dyDescent="0.25">
      <c r="A49" s="4" t="s">
        <v>119</v>
      </c>
      <c r="B49" s="4" t="s">
        <v>145</v>
      </c>
      <c r="C49" t="str">
        <f>VLOOKUP(B49,[1]Plantings!$A$2:$C$285,2,FALSE)</f>
        <v>DEL_L</v>
      </c>
      <c r="D49" t="str">
        <f>VLOOKUP(B49,[1]Plantings!$A$2:$C$285,3,FALSE)</f>
        <v>single</v>
      </c>
      <c r="E49" s="7">
        <v>2021</v>
      </c>
      <c r="F49" t="s">
        <v>28</v>
      </c>
      <c r="G49" t="s">
        <v>0</v>
      </c>
      <c r="H49" s="30" t="s">
        <v>18</v>
      </c>
      <c r="I49" s="30" t="s">
        <v>29</v>
      </c>
      <c r="J49" s="4" t="s">
        <v>86</v>
      </c>
      <c r="K49" s="4" t="s">
        <v>50</v>
      </c>
      <c r="L49" s="4" t="s">
        <v>50</v>
      </c>
      <c r="M49" s="7" t="s">
        <v>51</v>
      </c>
      <c r="N49" s="4" t="s">
        <v>52</v>
      </c>
      <c r="O49" s="4" t="s">
        <v>35</v>
      </c>
      <c r="R49" s="4" t="s">
        <v>76</v>
      </c>
      <c r="S49" s="4" t="s">
        <v>76</v>
      </c>
      <c r="T49" s="27">
        <v>44350</v>
      </c>
      <c r="U49" s="65">
        <v>47.252598300000002</v>
      </c>
      <c r="V49" s="65">
        <v>-122.73546829999999</v>
      </c>
      <c r="W49" t="str">
        <f>VLOOKUP(B49,[1]Plantings!$A$2:$E$285,4,FALSE)</f>
        <v>point</v>
      </c>
      <c r="X49" s="11" t="str">
        <f>VLOOKUP(B49,[1]Plantings!$A$2:$E$285,5,FALSE)</f>
        <v>retain</v>
      </c>
      <c r="Y49" s="22" t="s">
        <v>1</v>
      </c>
      <c r="Z49" s="12">
        <v>-1.3</v>
      </c>
      <c r="AA49" s="13" t="s">
        <v>54</v>
      </c>
      <c r="AB49">
        <v>50</v>
      </c>
      <c r="AC49">
        <v>5</v>
      </c>
      <c r="AD49">
        <f t="shared" si="8"/>
        <v>250</v>
      </c>
      <c r="AE49">
        <f t="shared" si="9"/>
        <v>149.25</v>
      </c>
      <c r="AF49" s="14">
        <f t="shared" si="7"/>
        <v>14.925000000000001</v>
      </c>
      <c r="AG49">
        <v>597</v>
      </c>
      <c r="AH49" s="39">
        <v>12305</v>
      </c>
      <c r="AI49" s="13">
        <f t="shared" si="3"/>
        <v>49.22</v>
      </c>
      <c r="AJ49" s="13">
        <f t="shared" si="2"/>
        <v>82.44556113902847</v>
      </c>
      <c r="AK49" t="s">
        <v>146</v>
      </c>
      <c r="AL49" s="40"/>
    </row>
    <row r="50" spans="1:38" x14ac:dyDescent="0.25">
      <c r="A50" t="s">
        <v>119</v>
      </c>
      <c r="B50" t="s">
        <v>147</v>
      </c>
      <c r="C50" t="str">
        <f>VLOOKUP(B50,[1]Plantings!$A$2:$C$285,2,FALSE)</f>
        <v>DEL_west_shallow_1</v>
      </c>
      <c r="D50" t="str">
        <f>VLOOKUP(B50,[1]Plantings!$A$2:$C$285,3,FALSE)</f>
        <v>single</v>
      </c>
      <c r="E50" s="7">
        <v>2021</v>
      </c>
      <c r="H50" s="30"/>
      <c r="I50" s="30"/>
      <c r="J50" s="4" t="s">
        <v>43</v>
      </c>
      <c r="K50" s="4" t="s">
        <v>43</v>
      </c>
      <c r="L50" s="4"/>
      <c r="M50" s="7"/>
      <c r="N50" s="4"/>
      <c r="O50" s="4"/>
      <c r="R50" s="4" t="s">
        <v>38</v>
      </c>
      <c r="S50" s="4" t="s">
        <v>38</v>
      </c>
      <c r="T50" s="27">
        <v>44370</v>
      </c>
      <c r="U50" s="65"/>
      <c r="V50" s="65"/>
      <c r="W50" t="str">
        <f>VLOOKUP(B50,[1]Plantings!$A$2:$E$285,4,FALSE)</f>
        <v>point</v>
      </c>
      <c r="X50" s="11" t="str">
        <f>VLOOKUP(B50,[1]Plantings!$A$2:$E$285,5,FALSE)</f>
        <v>retain</v>
      </c>
      <c r="Y50" s="22" t="s">
        <v>1</v>
      </c>
      <c r="Z50" s="23">
        <v>-1.524</v>
      </c>
      <c r="AA50" s="4" t="s">
        <v>54</v>
      </c>
      <c r="AB50">
        <v>1.5</v>
      </c>
      <c r="AC50">
        <v>1</v>
      </c>
      <c r="AD50">
        <f t="shared" si="8"/>
        <v>1.5</v>
      </c>
      <c r="AE50">
        <f t="shared" si="9"/>
        <v>4.5</v>
      </c>
      <c r="AF50" s="14">
        <f t="shared" si="7"/>
        <v>0.45</v>
      </c>
      <c r="AG50">
        <v>18</v>
      </c>
      <c r="AH50" s="39">
        <v>270</v>
      </c>
      <c r="AI50" s="13">
        <f t="shared" si="3"/>
        <v>180</v>
      </c>
      <c r="AJ50" s="13">
        <f t="shared" si="2"/>
        <v>60</v>
      </c>
      <c r="AK50" t="s">
        <v>93</v>
      </c>
      <c r="AL50" s="40"/>
    </row>
    <row r="51" spans="1:38" x14ac:dyDescent="0.25">
      <c r="A51" t="s">
        <v>119</v>
      </c>
      <c r="B51" t="s">
        <v>148</v>
      </c>
      <c r="C51" t="str">
        <f>VLOOKUP(B51,[1]Plantings!$A$2:$C$285,2,FALSE)</f>
        <v>DEL_west_deep_1</v>
      </c>
      <c r="D51" t="str">
        <f>VLOOKUP(B51,[1]Plantings!$A$2:$C$285,3,FALSE)</f>
        <v>single</v>
      </c>
      <c r="E51" s="7">
        <v>2021</v>
      </c>
      <c r="H51" s="30"/>
      <c r="I51" s="30"/>
      <c r="J51" s="4" t="s">
        <v>43</v>
      </c>
      <c r="K51" s="4" t="s">
        <v>43</v>
      </c>
      <c r="L51" s="4"/>
      <c r="M51" s="7"/>
      <c r="N51" s="4"/>
      <c r="O51" s="4"/>
      <c r="R51" s="4" t="s">
        <v>38</v>
      </c>
      <c r="S51" s="4" t="s">
        <v>38</v>
      </c>
      <c r="T51" s="27">
        <v>44370</v>
      </c>
      <c r="U51" s="65"/>
      <c r="V51" s="65"/>
      <c r="W51" t="str">
        <f>VLOOKUP(B51,[1]Plantings!$A$2:$E$285,4,FALSE)</f>
        <v>point</v>
      </c>
      <c r="X51" s="11" t="str">
        <f>VLOOKUP(B51,[1]Plantings!$A$2:$E$285,5,FALSE)</f>
        <v>retain</v>
      </c>
      <c r="Y51" s="22" t="s">
        <v>1</v>
      </c>
      <c r="Z51" s="23">
        <v>-1.524</v>
      </c>
      <c r="AA51" s="4" t="s">
        <v>54</v>
      </c>
      <c r="AB51">
        <v>1</v>
      </c>
      <c r="AC51">
        <v>1</v>
      </c>
      <c r="AD51">
        <f t="shared" si="8"/>
        <v>1</v>
      </c>
      <c r="AE51">
        <f t="shared" si="9"/>
        <v>3</v>
      </c>
      <c r="AF51" s="14">
        <f t="shared" si="7"/>
        <v>0.30000000000000004</v>
      </c>
      <c r="AG51">
        <v>12</v>
      </c>
      <c r="AH51" s="39">
        <v>180</v>
      </c>
      <c r="AI51" s="13">
        <f t="shared" si="3"/>
        <v>180</v>
      </c>
      <c r="AJ51" s="13">
        <f t="shared" si="2"/>
        <v>60</v>
      </c>
      <c r="AK51" t="s">
        <v>93</v>
      </c>
      <c r="AL51" s="40"/>
    </row>
    <row r="52" spans="1:38" x14ac:dyDescent="0.25">
      <c r="A52" t="s">
        <v>24</v>
      </c>
      <c r="B52" t="s">
        <v>149</v>
      </c>
      <c r="C52" t="str">
        <f>VLOOKUP(B52,[1]Plantings!$A$2:$C$285,2,FALSE)</f>
        <v>DB_test_1</v>
      </c>
      <c r="D52" t="str">
        <f>VLOOKUP(B52,[1]Plantings!$A$2:$C$285,3,FALSE)</f>
        <v>single</v>
      </c>
      <c r="E52">
        <v>2020</v>
      </c>
      <c r="F52" t="s">
        <v>99</v>
      </c>
      <c r="G52" t="s">
        <v>0</v>
      </c>
      <c r="H52" t="s">
        <v>150</v>
      </c>
      <c r="I52" t="s">
        <v>29</v>
      </c>
      <c r="J52" t="s">
        <v>23</v>
      </c>
      <c r="K52" s="4" t="s">
        <v>23</v>
      </c>
      <c r="L52" s="4" t="s">
        <v>151</v>
      </c>
      <c r="N52" t="s">
        <v>152</v>
      </c>
      <c r="R52" t="s">
        <v>38</v>
      </c>
      <c r="S52" t="s">
        <v>38</v>
      </c>
      <c r="T52" s="27">
        <v>44018</v>
      </c>
      <c r="U52" s="17">
        <v>47.329329999999999</v>
      </c>
      <c r="V52" s="17">
        <v>-122.38615</v>
      </c>
      <c r="W52" t="str">
        <f>VLOOKUP(B52,[1]Plantings!$A$2:$E$285,4,FALSE)</f>
        <v>point</v>
      </c>
      <c r="X52" s="11" t="str">
        <f>VLOOKUP(B52,[1]Plantings!$A$2:$E$285,5,FALSE)</f>
        <v>retain</v>
      </c>
      <c r="Y52" s="16" t="s">
        <v>1</v>
      </c>
      <c r="Z52" s="12">
        <v>-1.6</v>
      </c>
      <c r="AA52" s="13" t="s">
        <v>54</v>
      </c>
      <c r="AB52">
        <v>3.5</v>
      </c>
      <c r="AC52">
        <v>3.5</v>
      </c>
      <c r="AD52">
        <f t="shared" si="8"/>
        <v>12.25</v>
      </c>
      <c r="AE52">
        <v>1.5</v>
      </c>
      <c r="AF52" s="14">
        <f t="shared" si="7"/>
        <v>0.45</v>
      </c>
      <c r="AG52">
        <v>18</v>
      </c>
      <c r="AH52" s="15">
        <v>300</v>
      </c>
      <c r="AI52" s="13">
        <f t="shared" si="3"/>
        <v>24.489795918367346</v>
      </c>
      <c r="AJ52" s="13">
        <f t="shared" si="2"/>
        <v>200</v>
      </c>
      <c r="AK52" t="s">
        <v>24</v>
      </c>
      <c r="AL52" s="3" t="s">
        <v>153</v>
      </c>
    </row>
    <row r="53" spans="1:38" x14ac:dyDescent="0.25">
      <c r="A53" t="s">
        <v>24</v>
      </c>
      <c r="B53" t="s">
        <v>154</v>
      </c>
      <c r="C53" t="str">
        <f>VLOOKUP(B53,[1]Plantings!$A$2:$C$285,2,FALSE)</f>
        <v>DB_test_2</v>
      </c>
      <c r="D53" t="str">
        <f>VLOOKUP(B53,[1]Plantings!$A$2:$C$285,3,FALSE)</f>
        <v>single</v>
      </c>
      <c r="E53">
        <v>2021</v>
      </c>
      <c r="F53" t="s">
        <v>99</v>
      </c>
      <c r="G53" t="s">
        <v>0</v>
      </c>
      <c r="H53" t="s">
        <v>150</v>
      </c>
      <c r="I53" t="s">
        <v>29</v>
      </c>
      <c r="J53" t="s">
        <v>23</v>
      </c>
      <c r="K53" s="4" t="s">
        <v>23</v>
      </c>
      <c r="L53" s="4" t="s">
        <v>151</v>
      </c>
      <c r="N53" t="s">
        <v>152</v>
      </c>
      <c r="R53" t="s">
        <v>38</v>
      </c>
      <c r="S53" t="s">
        <v>38</v>
      </c>
      <c r="T53" s="27">
        <v>44314</v>
      </c>
      <c r="U53" s="17">
        <v>47.329329999999999</v>
      </c>
      <c r="V53" s="17">
        <v>-122.38615</v>
      </c>
      <c r="W53" t="str">
        <f>VLOOKUP(B53,[1]Plantings!$A$2:$E$285,4,FALSE)</f>
        <v>point</v>
      </c>
      <c r="X53" s="11" t="str">
        <f>VLOOKUP(B53,[1]Plantings!$A$2:$E$285,5,FALSE)</f>
        <v>retain</v>
      </c>
      <c r="Y53" s="16" t="s">
        <v>1</v>
      </c>
      <c r="Z53" s="12">
        <v>-1.6</v>
      </c>
      <c r="AA53" s="13" t="s">
        <v>54</v>
      </c>
      <c r="AB53">
        <v>3.5</v>
      </c>
      <c r="AC53">
        <v>3.5</v>
      </c>
      <c r="AD53">
        <f t="shared" si="8"/>
        <v>12.25</v>
      </c>
      <c r="AE53">
        <v>1</v>
      </c>
      <c r="AF53" s="14">
        <f t="shared" si="7"/>
        <v>0.30000000000000004</v>
      </c>
      <c r="AG53">
        <v>12</v>
      </c>
      <c r="AH53" s="15">
        <v>300</v>
      </c>
      <c r="AI53" s="13">
        <f t="shared" si="3"/>
        <v>24.489795918367346</v>
      </c>
      <c r="AJ53" s="13">
        <f t="shared" si="2"/>
        <v>300</v>
      </c>
      <c r="AK53" t="s">
        <v>24</v>
      </c>
      <c r="AL53" s="3" t="s">
        <v>155</v>
      </c>
    </row>
    <row r="54" spans="1:38" x14ac:dyDescent="0.25">
      <c r="A54" t="s">
        <v>24</v>
      </c>
      <c r="B54" t="s">
        <v>154</v>
      </c>
      <c r="C54" t="str">
        <f>VLOOKUP(B54,[1]Plantings!$A$2:$C$285,2,FALSE)</f>
        <v>DB_test_2</v>
      </c>
      <c r="D54" t="str">
        <f>VLOOKUP(B54,[1]Plantings!$A$2:$C$285,3,FALSE)</f>
        <v>single</v>
      </c>
      <c r="E54">
        <v>2021</v>
      </c>
      <c r="F54" t="s">
        <v>99</v>
      </c>
      <c r="G54" t="s">
        <v>0</v>
      </c>
      <c r="H54" t="s">
        <v>150</v>
      </c>
      <c r="I54" t="s">
        <v>29</v>
      </c>
      <c r="J54" t="s">
        <v>23</v>
      </c>
      <c r="K54" s="4" t="s">
        <v>23</v>
      </c>
      <c r="L54" s="4" t="s">
        <v>151</v>
      </c>
      <c r="N54" t="s">
        <v>152</v>
      </c>
      <c r="R54" t="s">
        <v>38</v>
      </c>
      <c r="S54" t="s">
        <v>38</v>
      </c>
      <c r="T54" s="27">
        <v>44329</v>
      </c>
      <c r="U54" s="17">
        <v>47.329329999999999</v>
      </c>
      <c r="V54" s="17">
        <v>-122.38615</v>
      </c>
      <c r="W54" t="str">
        <f>VLOOKUP(B54,[1]Plantings!$A$2:$E$285,4,FALSE)</f>
        <v>point</v>
      </c>
      <c r="X54" s="11" t="str">
        <f>VLOOKUP(B54,[1]Plantings!$A$2:$E$285,5,FALSE)</f>
        <v>retain</v>
      </c>
      <c r="Y54" s="16" t="s">
        <v>1</v>
      </c>
      <c r="Z54" s="12">
        <v>-1.6</v>
      </c>
      <c r="AA54" s="13" t="s">
        <v>54</v>
      </c>
      <c r="AB54">
        <v>3.5</v>
      </c>
      <c r="AC54">
        <v>0.5</v>
      </c>
      <c r="AD54">
        <f t="shared" si="8"/>
        <v>1.75</v>
      </c>
      <c r="AE54">
        <v>0.75</v>
      </c>
      <c r="AF54" s="14">
        <f t="shared" si="7"/>
        <v>0.22500000000000001</v>
      </c>
      <c r="AG54">
        <v>9</v>
      </c>
      <c r="AH54" s="15">
        <v>180</v>
      </c>
      <c r="AI54" s="13">
        <f t="shared" si="3"/>
        <v>102.85714285714286</v>
      </c>
      <c r="AJ54" s="13">
        <f t="shared" si="2"/>
        <v>240</v>
      </c>
      <c r="AK54" t="s">
        <v>93</v>
      </c>
      <c r="AL54" s="3" t="s">
        <v>156</v>
      </c>
    </row>
    <row r="55" spans="1:38" x14ac:dyDescent="0.25">
      <c r="A55" t="s">
        <v>24</v>
      </c>
      <c r="B55" t="s">
        <v>154</v>
      </c>
      <c r="C55" t="str">
        <f>VLOOKUP(B55,[1]Plantings!$A$2:$C$285,2,FALSE)</f>
        <v>DB_test_2</v>
      </c>
      <c r="D55" t="str">
        <f>VLOOKUP(B55,[1]Plantings!$A$2:$C$285,3,FALSE)</f>
        <v>single</v>
      </c>
      <c r="E55">
        <v>2021</v>
      </c>
      <c r="F55" t="s">
        <v>99</v>
      </c>
      <c r="G55" t="s">
        <v>0</v>
      </c>
      <c r="H55" t="s">
        <v>150</v>
      </c>
      <c r="I55" t="s">
        <v>29</v>
      </c>
      <c r="J55" t="s">
        <v>23</v>
      </c>
      <c r="K55" s="4" t="s">
        <v>23</v>
      </c>
      <c r="L55" s="4" t="s">
        <v>151</v>
      </c>
      <c r="N55" t="s">
        <v>152</v>
      </c>
      <c r="R55" t="s">
        <v>38</v>
      </c>
      <c r="S55" t="s">
        <v>38</v>
      </c>
      <c r="T55" s="27">
        <v>44342</v>
      </c>
      <c r="U55" s="17">
        <v>47.329329999999999</v>
      </c>
      <c r="V55" s="17">
        <v>-122.38615</v>
      </c>
      <c r="W55" t="str">
        <f>VLOOKUP(B55,[1]Plantings!$A$2:$E$285,4,FALSE)</f>
        <v>point</v>
      </c>
      <c r="X55" s="11" t="str">
        <f>VLOOKUP(B55,[1]Plantings!$A$2:$E$285,5,FALSE)</f>
        <v>retain</v>
      </c>
      <c r="Y55" s="16" t="s">
        <v>1</v>
      </c>
      <c r="Z55" s="12">
        <v>-1.6</v>
      </c>
      <c r="AA55" s="13" t="s">
        <v>54</v>
      </c>
      <c r="AB55">
        <v>3.5</v>
      </c>
      <c r="AC55">
        <v>0.5</v>
      </c>
      <c r="AD55">
        <f t="shared" si="8"/>
        <v>1.75</v>
      </c>
      <c r="AE55">
        <v>0.75</v>
      </c>
      <c r="AF55" s="14">
        <f t="shared" si="7"/>
        <v>0.22500000000000001</v>
      </c>
      <c r="AG55">
        <v>9</v>
      </c>
      <c r="AH55" s="15">
        <v>180</v>
      </c>
      <c r="AI55" s="13">
        <f t="shared" si="3"/>
        <v>102.85714285714286</v>
      </c>
      <c r="AJ55" s="13">
        <f t="shared" si="2"/>
        <v>240</v>
      </c>
      <c r="AK55" t="s">
        <v>93</v>
      </c>
      <c r="AL55" s="3" t="s">
        <v>157</v>
      </c>
    </row>
    <row r="56" spans="1:38" x14ac:dyDescent="0.25">
      <c r="A56" t="s">
        <v>24</v>
      </c>
      <c r="B56" t="s">
        <v>154</v>
      </c>
      <c r="C56" t="str">
        <f>VLOOKUP(B56,[1]Plantings!$A$2:$C$285,2,FALSE)</f>
        <v>DB_test_2</v>
      </c>
      <c r="D56" t="str">
        <f>VLOOKUP(B56,[1]Plantings!$A$2:$C$285,3,FALSE)</f>
        <v>single</v>
      </c>
      <c r="E56">
        <v>2021</v>
      </c>
      <c r="F56" t="s">
        <v>99</v>
      </c>
      <c r="G56" t="s">
        <v>0</v>
      </c>
      <c r="H56" t="s">
        <v>150</v>
      </c>
      <c r="I56" t="s">
        <v>29</v>
      </c>
      <c r="J56" t="s">
        <v>23</v>
      </c>
      <c r="K56" s="4" t="s">
        <v>23</v>
      </c>
      <c r="L56" s="4" t="s">
        <v>151</v>
      </c>
      <c r="N56" t="s">
        <v>152</v>
      </c>
      <c r="R56" t="s">
        <v>38</v>
      </c>
      <c r="S56" t="s">
        <v>38</v>
      </c>
      <c r="T56" s="27">
        <v>44373</v>
      </c>
      <c r="U56" s="17">
        <v>47.329329999999999</v>
      </c>
      <c r="V56" s="17">
        <v>-122.38615</v>
      </c>
      <c r="W56" t="str">
        <f>VLOOKUP(B56,[1]Plantings!$A$2:$E$285,4,FALSE)</f>
        <v>point</v>
      </c>
      <c r="X56" s="11" t="str">
        <f>VLOOKUP(B56,[1]Plantings!$A$2:$E$285,5,FALSE)</f>
        <v>retain</v>
      </c>
      <c r="Y56" s="16" t="s">
        <v>1</v>
      </c>
      <c r="Z56" s="12">
        <v>-1.6</v>
      </c>
      <c r="AA56" s="13" t="s">
        <v>54</v>
      </c>
      <c r="AB56">
        <v>3.5</v>
      </c>
      <c r="AC56">
        <v>2</v>
      </c>
      <c r="AD56">
        <f t="shared" si="8"/>
        <v>7</v>
      </c>
      <c r="AE56">
        <v>1.5</v>
      </c>
      <c r="AF56" s="14">
        <f t="shared" si="7"/>
        <v>0.45</v>
      </c>
      <c r="AG56">
        <v>18</v>
      </c>
      <c r="AH56" s="15">
        <v>270</v>
      </c>
      <c r="AI56" s="13">
        <f t="shared" si="3"/>
        <v>38.571428571428569</v>
      </c>
      <c r="AJ56" s="13">
        <f t="shared" si="2"/>
        <v>180</v>
      </c>
      <c r="AK56" t="s">
        <v>93</v>
      </c>
      <c r="AL56" s="3" t="s">
        <v>158</v>
      </c>
    </row>
    <row r="57" spans="1:38" x14ac:dyDescent="0.25">
      <c r="A57" t="s">
        <v>24</v>
      </c>
      <c r="B57" t="s">
        <v>159</v>
      </c>
      <c r="C57" t="str">
        <f>VLOOKUP(B57,[1]Plantings!$A$2:$C$285,2,FALSE)</f>
        <v>DB_test_6</v>
      </c>
      <c r="D57" t="str">
        <f>VLOOKUP(B57,[1]Plantings!$A$2:$C$285,3,FALSE)</f>
        <v>single</v>
      </c>
      <c r="E57">
        <v>2022</v>
      </c>
      <c r="F57" t="s">
        <v>99</v>
      </c>
      <c r="G57" t="s">
        <v>0</v>
      </c>
      <c r="H57" t="s">
        <v>150</v>
      </c>
      <c r="I57" t="s">
        <v>29</v>
      </c>
      <c r="J57" t="s">
        <v>23</v>
      </c>
      <c r="K57" s="4" t="s">
        <v>23</v>
      </c>
      <c r="L57" s="4" t="s">
        <v>151</v>
      </c>
      <c r="N57" t="s">
        <v>152</v>
      </c>
      <c r="R57" t="s">
        <v>38</v>
      </c>
      <c r="S57" t="s">
        <v>38</v>
      </c>
      <c r="T57" s="27">
        <v>44728</v>
      </c>
      <c r="U57" s="17">
        <v>47.329329999999999</v>
      </c>
      <c r="V57" s="17">
        <v>-122.38615</v>
      </c>
      <c r="W57" t="str">
        <f>VLOOKUP(B57,[1]Plantings!$A$2:$E$285,4,FALSE)</f>
        <v>point</v>
      </c>
      <c r="X57" s="11" t="str">
        <f>VLOOKUP(B57,[1]Plantings!$A$2:$E$285,5,FALSE)</f>
        <v>retain</v>
      </c>
      <c r="Y57" s="16" t="s">
        <v>1</v>
      </c>
      <c r="Z57" s="12">
        <v>-1.6</v>
      </c>
      <c r="AA57" s="13" t="s">
        <v>54</v>
      </c>
      <c r="AB57">
        <v>10</v>
      </c>
      <c r="AC57">
        <v>1</v>
      </c>
      <c r="AD57">
        <f t="shared" si="8"/>
        <v>10</v>
      </c>
      <c r="AE57">
        <v>5</v>
      </c>
      <c r="AF57" s="14">
        <f t="shared" si="7"/>
        <v>1.5</v>
      </c>
      <c r="AG57">
        <v>60</v>
      </c>
      <c r="AH57" s="15">
        <v>720</v>
      </c>
      <c r="AI57" s="13">
        <f t="shared" si="3"/>
        <v>72</v>
      </c>
      <c r="AJ57" s="13">
        <f t="shared" si="2"/>
        <v>144</v>
      </c>
      <c r="AK57" t="s">
        <v>93</v>
      </c>
      <c r="AL57" s="3" t="s">
        <v>160</v>
      </c>
    </row>
    <row r="58" spans="1:38" x14ac:dyDescent="0.25">
      <c r="A58" t="s">
        <v>24</v>
      </c>
      <c r="B58" t="s">
        <v>161</v>
      </c>
      <c r="C58" t="str">
        <f>VLOOKUP(B58,[1]Plantings!$A$2:$C$285,2,FALSE)</f>
        <v>DB_test_7</v>
      </c>
      <c r="D58" t="str">
        <f>VLOOKUP(B58,[1]Plantings!$A$2:$C$285,3,FALSE)</f>
        <v>single</v>
      </c>
      <c r="E58">
        <v>2022</v>
      </c>
      <c r="F58" t="s">
        <v>99</v>
      </c>
      <c r="G58" t="s">
        <v>0</v>
      </c>
      <c r="H58" t="s">
        <v>150</v>
      </c>
      <c r="I58" t="s">
        <v>29</v>
      </c>
      <c r="J58" t="s">
        <v>23</v>
      </c>
      <c r="K58" s="4" t="s">
        <v>23</v>
      </c>
      <c r="L58" s="4" t="s">
        <v>151</v>
      </c>
      <c r="N58" t="s">
        <v>152</v>
      </c>
      <c r="R58" t="s">
        <v>38</v>
      </c>
      <c r="S58" t="s">
        <v>38</v>
      </c>
      <c r="T58" s="27">
        <v>44700</v>
      </c>
      <c r="U58" s="17">
        <v>47.329329999999999</v>
      </c>
      <c r="V58" s="17">
        <v>-122.38615</v>
      </c>
      <c r="W58" t="str">
        <f>VLOOKUP(B58,[1]Plantings!$A$2:$E$285,4,FALSE)</f>
        <v>point</v>
      </c>
      <c r="X58" s="11" t="str">
        <f>VLOOKUP(B58,[1]Plantings!$A$2:$E$285,5,FALSE)</f>
        <v>retain</v>
      </c>
      <c r="Y58" s="16" t="s">
        <v>1</v>
      </c>
      <c r="Z58" s="12">
        <v>-1.6</v>
      </c>
      <c r="AA58" s="13" t="s">
        <v>54</v>
      </c>
      <c r="AB58">
        <v>3</v>
      </c>
      <c r="AC58">
        <v>0.5</v>
      </c>
      <c r="AD58">
        <f t="shared" si="8"/>
        <v>1.5</v>
      </c>
      <c r="AE58">
        <f>AG58*0.25</f>
        <v>5</v>
      </c>
      <c r="AF58" s="14">
        <f>IF(AA58="staple",AG58*0.005,IF(AA58="rebar",AG58*0.025,IF(AA58="burlap",AG58*0.0625,IF(AA58="washer",AG58*0.0025,IF(AA58="pucks",AG58*0.00785,IF(AA58="turf",AG58*0.01,IF(AA58="TERFS",AG58*0.25,IF(AA58="",""))))))))</f>
        <v>0.5</v>
      </c>
      <c r="AG58" s="15">
        <v>20</v>
      </c>
      <c r="AH58" s="28">
        <v>400</v>
      </c>
      <c r="AI58" s="13">
        <f t="shared" si="3"/>
        <v>266.66666666666669</v>
      </c>
      <c r="AJ58" s="13">
        <f t="shared" si="2"/>
        <v>80</v>
      </c>
      <c r="AK58" t="s">
        <v>93</v>
      </c>
      <c r="AL58" s="3" t="s">
        <v>162</v>
      </c>
    </row>
    <row r="59" spans="1:38" x14ac:dyDescent="0.25">
      <c r="A59" t="s">
        <v>8</v>
      </c>
      <c r="B59" t="s">
        <v>163</v>
      </c>
      <c r="C59" t="str">
        <f>VLOOKUP(B59,[1]Plantings!$A$2:$C$285,2,FALSE)</f>
        <v>ELD_shallow</v>
      </c>
      <c r="D59" t="str">
        <f>VLOOKUP(B59,[1]Plantings!$A$2:$C$285,3,FALSE)</f>
        <v>single</v>
      </c>
      <c r="E59">
        <v>2015</v>
      </c>
      <c r="G59" t="s">
        <v>0</v>
      </c>
      <c r="H59" t="s">
        <v>8</v>
      </c>
      <c r="I59" t="s">
        <v>164</v>
      </c>
      <c r="J59" t="s">
        <v>4</v>
      </c>
      <c r="K59" t="s">
        <v>43</v>
      </c>
      <c r="L59" t="s">
        <v>44</v>
      </c>
      <c r="O59" t="s">
        <v>35</v>
      </c>
      <c r="P59" t="s">
        <v>45</v>
      </c>
      <c r="Q59" t="s">
        <v>46</v>
      </c>
      <c r="R59" t="s">
        <v>38</v>
      </c>
      <c r="S59" t="s">
        <v>38</v>
      </c>
      <c r="T59" s="27">
        <v>42075</v>
      </c>
      <c r="U59" s="11">
        <v>47.0974</v>
      </c>
      <c r="V59" s="11">
        <v>-122.95525000000001</v>
      </c>
      <c r="W59" t="str">
        <f>VLOOKUP(B59,[1]Plantings!$A$2:$E$285,4,FALSE)</f>
        <v>point</v>
      </c>
      <c r="X59" s="11" t="str">
        <f>VLOOKUP(B59,[1]Plantings!$A$2:$E$285,5,FALSE)</f>
        <v>retain</v>
      </c>
      <c r="Y59" s="16" t="s">
        <v>1</v>
      </c>
      <c r="Z59" s="12">
        <v>-1.0668</v>
      </c>
      <c r="AA59" s="13" t="s">
        <v>39</v>
      </c>
      <c r="AB59">
        <v>5</v>
      </c>
      <c r="AC59">
        <v>5</v>
      </c>
      <c r="AD59">
        <f t="shared" si="8"/>
        <v>25</v>
      </c>
      <c r="AE59">
        <v>25</v>
      </c>
      <c r="AF59" s="14">
        <f t="shared" ref="AF59:AF84" si="10">IF(AA59="staple",AG59*0.005,IF(AA59="rebar",AG59*0.025,IF(AA59="burlap",AG59*0.0625,IF(AA59="washer",AG59*0.0025,IF(AA59="pucks",AG59*0.00785,IF(AA59="turf",AG59*0.01,IF(AA59="","")))))))</f>
        <v>0.625</v>
      </c>
      <c r="AG59" s="15">
        <f>AH59/4</f>
        <v>125</v>
      </c>
      <c r="AH59" s="21">
        <v>500</v>
      </c>
      <c r="AI59" s="13">
        <f t="shared" si="3"/>
        <v>20</v>
      </c>
      <c r="AJ59" s="13">
        <f t="shared" si="2"/>
        <v>20</v>
      </c>
      <c r="AK59" t="s">
        <v>165</v>
      </c>
      <c r="AL59" s="3" t="s">
        <v>166</v>
      </c>
    </row>
    <row r="60" spans="1:38" x14ac:dyDescent="0.25">
      <c r="A60" t="s">
        <v>8</v>
      </c>
      <c r="B60" t="s">
        <v>167</v>
      </c>
      <c r="C60" t="str">
        <f>VLOOKUP(B60,[1]Plantings!$A$2:$C$285,2,FALSE)</f>
        <v>ELD_deep</v>
      </c>
      <c r="D60" t="str">
        <f>VLOOKUP(B60,[1]Plantings!$A$2:$C$285,3,FALSE)</f>
        <v>single</v>
      </c>
      <c r="E60">
        <v>2015</v>
      </c>
      <c r="G60" t="s">
        <v>0</v>
      </c>
      <c r="H60" t="s">
        <v>8</v>
      </c>
      <c r="I60" t="s">
        <v>164</v>
      </c>
      <c r="J60" t="s">
        <v>4</v>
      </c>
      <c r="K60" t="s">
        <v>43</v>
      </c>
      <c r="L60" t="s">
        <v>44</v>
      </c>
      <c r="O60" t="s">
        <v>35</v>
      </c>
      <c r="P60" t="s">
        <v>45</v>
      </c>
      <c r="Q60" t="s">
        <v>46</v>
      </c>
      <c r="R60" t="s">
        <v>38</v>
      </c>
      <c r="S60" t="s">
        <v>38</v>
      </c>
      <c r="T60" s="27">
        <v>42075</v>
      </c>
      <c r="U60" s="11">
        <v>47.097516666666664</v>
      </c>
      <c r="V60" s="11">
        <v>-122.95535</v>
      </c>
      <c r="W60" t="str">
        <f>VLOOKUP(B60,[1]Plantings!$A$2:$E$285,4,FALSE)</f>
        <v>point</v>
      </c>
      <c r="X60" s="11" t="str">
        <f>VLOOKUP(B60,[1]Plantings!$A$2:$E$285,5,FALSE)</f>
        <v>retain</v>
      </c>
      <c r="Y60" s="16" t="s">
        <v>1</v>
      </c>
      <c r="Z60" s="12">
        <v>-2.1335999999999999</v>
      </c>
      <c r="AA60" s="38" t="s">
        <v>39</v>
      </c>
      <c r="AB60">
        <v>5</v>
      </c>
      <c r="AC60">
        <v>5</v>
      </c>
      <c r="AD60">
        <f t="shared" si="8"/>
        <v>25</v>
      </c>
      <c r="AE60">
        <v>25</v>
      </c>
      <c r="AF60" s="14">
        <f t="shared" si="10"/>
        <v>0.625</v>
      </c>
      <c r="AG60" s="15">
        <f>AH60/4</f>
        <v>125</v>
      </c>
      <c r="AH60" s="21">
        <v>500</v>
      </c>
      <c r="AI60" s="13">
        <f t="shared" si="3"/>
        <v>20</v>
      </c>
      <c r="AJ60" s="13">
        <f t="shared" si="2"/>
        <v>20</v>
      </c>
      <c r="AK60" t="s">
        <v>165</v>
      </c>
      <c r="AL60" s="3" t="s">
        <v>168</v>
      </c>
    </row>
    <row r="61" spans="1:38" x14ac:dyDescent="0.25">
      <c r="A61" t="s">
        <v>8</v>
      </c>
      <c r="B61" t="s">
        <v>169</v>
      </c>
      <c r="C61" t="str">
        <f>VLOOKUP(B61,[1]Plantings!$A$2:$C$285,2,FALSE)</f>
        <v>ELD</v>
      </c>
      <c r="D61" t="str">
        <f>VLOOKUP(B61,[1]Plantings!$A$2:$C$285,3,FALSE)</f>
        <v>single</v>
      </c>
      <c r="E61" s="7">
        <v>2020</v>
      </c>
      <c r="G61" t="s">
        <v>0</v>
      </c>
      <c r="H61" t="s">
        <v>8</v>
      </c>
      <c r="I61" t="s">
        <v>164</v>
      </c>
      <c r="J61" s="4" t="s">
        <v>86</v>
      </c>
      <c r="K61" s="4" t="s">
        <v>50</v>
      </c>
      <c r="L61" s="4" t="s">
        <v>50</v>
      </c>
      <c r="M61" s="7" t="s">
        <v>51</v>
      </c>
      <c r="N61" s="4" t="s">
        <v>52</v>
      </c>
      <c r="O61" s="4" t="s">
        <v>35</v>
      </c>
      <c r="R61" t="s">
        <v>38</v>
      </c>
      <c r="S61" t="s">
        <v>38</v>
      </c>
      <c r="T61" s="27">
        <v>44013</v>
      </c>
      <c r="U61" s="65">
        <v>47.121210165999997</v>
      </c>
      <c r="V61" s="66">
        <v>-122.9437588</v>
      </c>
      <c r="W61" t="str">
        <f>VLOOKUP(B61,[1]Plantings!$A$2:$E$285,4,FALSE)</f>
        <v>point</v>
      </c>
      <c r="X61" s="11" t="str">
        <f>VLOOKUP(B61,[1]Plantings!$A$2:$E$285,5,FALSE)</f>
        <v>retain</v>
      </c>
      <c r="Y61" s="22" t="s">
        <v>1</v>
      </c>
      <c r="Z61" s="12">
        <v>-1.6</v>
      </c>
      <c r="AA61" s="13" t="s">
        <v>54</v>
      </c>
      <c r="AB61">
        <v>3</v>
      </c>
      <c r="AC61">
        <v>2.5</v>
      </c>
      <c r="AD61">
        <f t="shared" si="8"/>
        <v>7.5</v>
      </c>
      <c r="AE61">
        <f>AG61*0.25</f>
        <v>6.25</v>
      </c>
      <c r="AF61" s="14">
        <f t="shared" si="10"/>
        <v>0.625</v>
      </c>
      <c r="AG61">
        <v>25</v>
      </c>
      <c r="AH61" s="39">
        <v>625</v>
      </c>
      <c r="AI61" s="13">
        <f t="shared" si="3"/>
        <v>83.333333333333329</v>
      </c>
      <c r="AJ61" s="13">
        <f t="shared" si="2"/>
        <v>100</v>
      </c>
      <c r="AK61" t="s">
        <v>3</v>
      </c>
      <c r="AL61" s="40" t="s">
        <v>170</v>
      </c>
    </row>
    <row r="62" spans="1:38" x14ac:dyDescent="0.25">
      <c r="A62" s="4" t="s">
        <v>13</v>
      </c>
      <c r="B62" s="4" t="s">
        <v>171</v>
      </c>
      <c r="C62" t="str">
        <f>VLOOKUP(B62,[1]Plantings!$A$2:$C$285,2,FALSE)</f>
        <v>ELW_deep_west</v>
      </c>
      <c r="D62" t="str">
        <f>VLOOKUP(B62,[1]Plantings!$A$2:$C$285,3,FALSE)</f>
        <v>single</v>
      </c>
      <c r="E62" s="4">
        <v>2016</v>
      </c>
      <c r="F62" s="4"/>
      <c r="G62" s="4" t="s">
        <v>0</v>
      </c>
      <c r="H62" s="4" t="s">
        <v>13</v>
      </c>
      <c r="I62" t="s">
        <v>100</v>
      </c>
      <c r="J62" s="4" t="s">
        <v>12</v>
      </c>
      <c r="K62" s="4" t="s">
        <v>50</v>
      </c>
      <c r="L62" s="4" t="s">
        <v>50</v>
      </c>
      <c r="M62" s="7" t="s">
        <v>51</v>
      </c>
      <c r="N62" s="4" t="s">
        <v>52</v>
      </c>
      <c r="O62" s="4" t="s">
        <v>35</v>
      </c>
      <c r="P62" s="4" t="s">
        <v>53</v>
      </c>
      <c r="Q62" s="4"/>
      <c r="R62" s="4" t="s">
        <v>38</v>
      </c>
      <c r="S62" s="4" t="s">
        <v>38</v>
      </c>
      <c r="T62" s="27">
        <v>42593</v>
      </c>
      <c r="U62" s="67">
        <v>48.137500000000003</v>
      </c>
      <c r="V62" s="67">
        <v>-123.587</v>
      </c>
      <c r="W62" t="str">
        <f>VLOOKUP(B62,[1]Plantings!$A$2:$E$285,4,FALSE)</f>
        <v>point</v>
      </c>
      <c r="X62" s="11" t="str">
        <f>VLOOKUP(B62,[1]Plantings!$A$2:$E$285,5,FALSE)</f>
        <v>retain</v>
      </c>
      <c r="Y62" s="16" t="s">
        <v>1</v>
      </c>
      <c r="Z62" s="41">
        <v>-4.7</v>
      </c>
      <c r="AA62" t="s">
        <v>54</v>
      </c>
      <c r="AB62">
        <v>2</v>
      </c>
      <c r="AC62">
        <v>2</v>
      </c>
      <c r="AD62">
        <f t="shared" si="8"/>
        <v>4</v>
      </c>
      <c r="AE62">
        <f>AG62*0.25</f>
        <v>5</v>
      </c>
      <c r="AF62" s="14">
        <f t="shared" si="10"/>
        <v>0.5</v>
      </c>
      <c r="AG62" s="15">
        <v>20</v>
      </c>
      <c r="AH62" s="28">
        <v>500</v>
      </c>
      <c r="AI62" s="13">
        <f t="shared" si="3"/>
        <v>125</v>
      </c>
      <c r="AJ62" s="13">
        <f t="shared" si="2"/>
        <v>100</v>
      </c>
      <c r="AK62" t="s">
        <v>172</v>
      </c>
      <c r="AL62" s="19"/>
    </row>
    <row r="63" spans="1:38" x14ac:dyDescent="0.25">
      <c r="A63" s="4" t="s">
        <v>13</v>
      </c>
      <c r="B63" s="4" t="s">
        <v>173</v>
      </c>
      <c r="C63" t="str">
        <f>VLOOKUP(B63,[1]Plantings!$A$2:$C$285,2,FALSE)</f>
        <v>ELW_shallow_west</v>
      </c>
      <c r="D63" t="str">
        <f>VLOOKUP(B63,[1]Plantings!$A$2:$C$285,3,FALSE)</f>
        <v>single</v>
      </c>
      <c r="E63" s="4">
        <v>2016</v>
      </c>
      <c r="F63" s="4"/>
      <c r="G63" s="4" t="s">
        <v>0</v>
      </c>
      <c r="H63" s="4" t="s">
        <v>13</v>
      </c>
      <c r="I63" t="s">
        <v>100</v>
      </c>
      <c r="J63" s="4" t="s">
        <v>12</v>
      </c>
      <c r="K63" s="4" t="s">
        <v>50</v>
      </c>
      <c r="L63" s="4" t="s">
        <v>50</v>
      </c>
      <c r="M63" s="7" t="s">
        <v>51</v>
      </c>
      <c r="N63" s="4" t="s">
        <v>52</v>
      </c>
      <c r="O63" s="4" t="s">
        <v>35</v>
      </c>
      <c r="P63" s="4" t="s">
        <v>53</v>
      </c>
      <c r="Q63" s="4"/>
      <c r="R63" s="4" t="s">
        <v>38</v>
      </c>
      <c r="S63" s="4" t="s">
        <v>38</v>
      </c>
      <c r="T63" s="27">
        <v>42593</v>
      </c>
      <c r="U63" s="67">
        <v>48.1372</v>
      </c>
      <c r="V63" s="67">
        <v>-123.5869</v>
      </c>
      <c r="W63" t="str">
        <f>VLOOKUP(B63,[1]Plantings!$A$2:$E$285,4,FALSE)</f>
        <v>point</v>
      </c>
      <c r="X63" s="11" t="str">
        <f>VLOOKUP(B63,[1]Plantings!$A$2:$E$285,5,FALSE)</f>
        <v>retain</v>
      </c>
      <c r="Y63" s="16" t="s">
        <v>1</v>
      </c>
      <c r="Z63" s="41">
        <v>-3.9</v>
      </c>
      <c r="AA63" t="s">
        <v>54</v>
      </c>
      <c r="AB63">
        <v>2</v>
      </c>
      <c r="AC63">
        <v>2</v>
      </c>
      <c r="AD63">
        <f t="shared" si="8"/>
        <v>4</v>
      </c>
      <c r="AE63">
        <f>AG63*0.25</f>
        <v>5.5</v>
      </c>
      <c r="AF63" s="14">
        <f t="shared" si="10"/>
        <v>0.55000000000000004</v>
      </c>
      <c r="AG63" s="15">
        <v>22</v>
      </c>
      <c r="AH63" s="28">
        <v>550</v>
      </c>
      <c r="AI63" s="13">
        <f t="shared" si="3"/>
        <v>137.5</v>
      </c>
      <c r="AJ63" s="13">
        <f t="shared" si="2"/>
        <v>100</v>
      </c>
      <c r="AK63" t="s">
        <v>172</v>
      </c>
      <c r="AL63" s="19"/>
    </row>
    <row r="64" spans="1:38" x14ac:dyDescent="0.25">
      <c r="A64" t="s">
        <v>174</v>
      </c>
      <c r="B64" s="4" t="s">
        <v>175</v>
      </c>
      <c r="C64" t="str">
        <f>VLOOKUP(B64,[1]Plantings!$A$2:$C$285,2,FALSE)</f>
        <v>FDG_1</v>
      </c>
      <c r="D64" t="str">
        <f>VLOOKUP(B64,[1]Plantings!$A$2:$C$285,3,FALSE)</f>
        <v>single</v>
      </c>
      <c r="E64" s="4">
        <v>2017</v>
      </c>
      <c r="F64" t="s">
        <v>28</v>
      </c>
      <c r="G64" s="4" t="s">
        <v>0</v>
      </c>
      <c r="H64" s="4" t="s">
        <v>10</v>
      </c>
      <c r="I64" t="s">
        <v>29</v>
      </c>
      <c r="J64" t="s">
        <v>43</v>
      </c>
      <c r="K64" t="s">
        <v>43</v>
      </c>
      <c r="L64" s="4" t="s">
        <v>137</v>
      </c>
      <c r="Q64" s="4"/>
      <c r="R64" s="4" t="s">
        <v>38</v>
      </c>
      <c r="S64" s="4" t="s">
        <v>38</v>
      </c>
      <c r="T64" s="27">
        <v>42935</v>
      </c>
      <c r="U64" s="64">
        <v>47.237259999999999</v>
      </c>
      <c r="V64" s="64">
        <v>-122.86145</v>
      </c>
      <c r="W64" t="str">
        <f>VLOOKUP(B64,[1]Plantings!$A$2:$E$285,4,FALSE)</f>
        <v>point</v>
      </c>
      <c r="X64" s="11" t="str">
        <f>VLOOKUP(B64,[1]Plantings!$A$2:$E$285,5,FALSE)</f>
        <v>retain</v>
      </c>
      <c r="Y64" s="16" t="s">
        <v>1</v>
      </c>
      <c r="Z64" s="23">
        <v>-1.95</v>
      </c>
      <c r="AA64" t="s">
        <v>54</v>
      </c>
      <c r="AB64" s="4">
        <v>1</v>
      </c>
      <c r="AC64" s="4">
        <v>1</v>
      </c>
      <c r="AD64">
        <f t="shared" si="8"/>
        <v>1</v>
      </c>
      <c r="AE64">
        <f>AG64*0.25</f>
        <v>1.25</v>
      </c>
      <c r="AF64" s="14">
        <f t="shared" si="10"/>
        <v>0.125</v>
      </c>
      <c r="AG64" s="24">
        <v>5</v>
      </c>
      <c r="AH64" s="21">
        <v>250</v>
      </c>
      <c r="AI64" s="13">
        <f t="shared" si="3"/>
        <v>250</v>
      </c>
      <c r="AJ64" s="13">
        <f t="shared" si="2"/>
        <v>200</v>
      </c>
      <c r="AK64" t="s">
        <v>67</v>
      </c>
      <c r="AL64" s="19"/>
    </row>
    <row r="65" spans="1:38" x14ac:dyDescent="0.25">
      <c r="A65" t="s">
        <v>174</v>
      </c>
      <c r="B65" s="4" t="s">
        <v>176</v>
      </c>
      <c r="C65" t="str">
        <f>VLOOKUP(B65,[1]Plantings!$A$2:$C$285,2,FALSE)</f>
        <v>FDG_L1</v>
      </c>
      <c r="D65" t="str">
        <f>VLOOKUP(B65,[1]Plantings!$A$2:$C$285,3,FALSE)</f>
        <v>initial</v>
      </c>
      <c r="E65" s="4">
        <v>2017</v>
      </c>
      <c r="F65" t="s">
        <v>28</v>
      </c>
      <c r="G65" s="4" t="s">
        <v>59</v>
      </c>
      <c r="H65" s="4" t="s">
        <v>10</v>
      </c>
      <c r="I65" t="s">
        <v>29</v>
      </c>
      <c r="J65" t="s">
        <v>60</v>
      </c>
      <c r="K65" s="4" t="s">
        <v>31</v>
      </c>
      <c r="L65" t="s">
        <v>32</v>
      </c>
      <c r="M65" t="s">
        <v>61</v>
      </c>
      <c r="N65" t="s">
        <v>62</v>
      </c>
      <c r="O65" t="s">
        <v>63</v>
      </c>
      <c r="P65" t="s">
        <v>64</v>
      </c>
      <c r="Q65" t="s">
        <v>65</v>
      </c>
      <c r="R65" s="4" t="s">
        <v>38</v>
      </c>
      <c r="S65" s="4" t="s">
        <v>38</v>
      </c>
      <c r="T65" s="27">
        <v>42935</v>
      </c>
      <c r="U65" s="64">
        <v>47.237250000000003</v>
      </c>
      <c r="V65" s="64">
        <v>-122.86138</v>
      </c>
      <c r="W65" t="str">
        <f>VLOOKUP(B65,[1]Plantings!$A$2:$E$285,4,FALSE)</f>
        <v>line</v>
      </c>
      <c r="X65" s="11" t="str">
        <f>VLOOKUP(B65,[1]Plantings!$A$2:$E$285,5,FALSE)</f>
        <v>retain</v>
      </c>
      <c r="Y65" s="16" t="s">
        <v>1</v>
      </c>
      <c r="Z65" s="23">
        <v>-1.95</v>
      </c>
      <c r="AA65" t="s">
        <v>66</v>
      </c>
      <c r="AB65" s="4">
        <v>10</v>
      </c>
      <c r="AC65" s="4">
        <v>1</v>
      </c>
      <c r="AD65">
        <f t="shared" si="8"/>
        <v>10</v>
      </c>
      <c r="AE65" s="4">
        <v>6</v>
      </c>
      <c r="AF65" s="14">
        <f t="shared" si="10"/>
        <v>1.06</v>
      </c>
      <c r="AG65" s="24">
        <v>106</v>
      </c>
      <c r="AH65" s="21">
        <v>1056</v>
      </c>
      <c r="AI65" s="13">
        <f t="shared" si="3"/>
        <v>105.6</v>
      </c>
      <c r="AJ65" s="13">
        <f t="shared" si="2"/>
        <v>176</v>
      </c>
      <c r="AK65" t="s">
        <v>67</v>
      </c>
      <c r="AL65" s="19" t="s">
        <v>177</v>
      </c>
    </row>
    <row r="66" spans="1:38" x14ac:dyDescent="0.25">
      <c r="A66" t="s">
        <v>174</v>
      </c>
      <c r="B66" s="4" t="s">
        <v>178</v>
      </c>
      <c r="C66" t="str">
        <f>VLOOKUP(B66,[1]Plantings!$A$2:$C$285,2,FALSE)</f>
        <v>FDG_L1</v>
      </c>
      <c r="D66" t="str">
        <f>VLOOKUP(B66,[1]Plantings!$A$2:$C$285,3,FALSE)</f>
        <v>initial</v>
      </c>
      <c r="E66" s="4">
        <v>2017</v>
      </c>
      <c r="F66" t="s">
        <v>28</v>
      </c>
      <c r="G66" s="4" t="s">
        <v>59</v>
      </c>
      <c r="H66" s="4" t="s">
        <v>10</v>
      </c>
      <c r="I66" t="s">
        <v>29</v>
      </c>
      <c r="J66" t="s">
        <v>60</v>
      </c>
      <c r="K66" s="4" t="s">
        <v>31</v>
      </c>
      <c r="L66" t="s">
        <v>32</v>
      </c>
      <c r="M66" t="s">
        <v>61</v>
      </c>
      <c r="N66" t="s">
        <v>62</v>
      </c>
      <c r="O66" t="s">
        <v>63</v>
      </c>
      <c r="P66" t="s">
        <v>64</v>
      </c>
      <c r="Q66" t="s">
        <v>65</v>
      </c>
      <c r="R66" s="4" t="s">
        <v>38</v>
      </c>
      <c r="S66" s="20" t="s">
        <v>70</v>
      </c>
      <c r="T66" s="27">
        <v>42935</v>
      </c>
      <c r="U66" s="64">
        <v>47.237259999999999</v>
      </c>
      <c r="V66" s="64">
        <v>-122.86145</v>
      </c>
      <c r="W66" t="str">
        <f>VLOOKUP(B66,[1]Plantings!$A$2:$E$285,4,FALSE)</f>
        <v>line</v>
      </c>
      <c r="X66" s="11" t="str">
        <f>VLOOKUP(B66,[1]Plantings!$A$2:$E$285,5,FALSE)</f>
        <v>retain</v>
      </c>
      <c r="Y66" s="16" t="s">
        <v>1</v>
      </c>
      <c r="AF66" s="14" t="str">
        <f t="shared" si="10"/>
        <v/>
      </c>
      <c r="AG66" s="15"/>
      <c r="AH66" s="15"/>
      <c r="AI66" s="13" t="str">
        <f t="shared" ref="AI66:AI84" si="11">IFERROR(AH66/AD66, "")</f>
        <v/>
      </c>
      <c r="AJ66" s="13" t="str">
        <f t="shared" ref="AJ66:AJ84" si="12">IFERROR(AH66/AE66, "")</f>
        <v/>
      </c>
      <c r="AL66" s="19"/>
    </row>
    <row r="67" spans="1:38" x14ac:dyDescent="0.25">
      <c r="A67" t="s">
        <v>174</v>
      </c>
      <c r="B67" s="4" t="s">
        <v>179</v>
      </c>
      <c r="C67" t="str">
        <f>VLOOKUP(B67,[1]Plantings!$A$2:$C$285,2,FALSE)</f>
        <v>FDG_L2</v>
      </c>
      <c r="D67" t="str">
        <f>VLOOKUP(B67,[1]Plantings!$A$2:$C$285,3,FALSE)</f>
        <v>initial</v>
      </c>
      <c r="E67" s="4">
        <v>2017</v>
      </c>
      <c r="F67" t="s">
        <v>28</v>
      </c>
      <c r="G67" s="4" t="s">
        <v>59</v>
      </c>
      <c r="H67" s="4" t="s">
        <v>10</v>
      </c>
      <c r="I67" t="s">
        <v>29</v>
      </c>
      <c r="J67" t="s">
        <v>60</v>
      </c>
      <c r="K67" s="4" t="s">
        <v>31</v>
      </c>
      <c r="L67" t="s">
        <v>32</v>
      </c>
      <c r="M67" t="s">
        <v>61</v>
      </c>
      <c r="N67" t="s">
        <v>62</v>
      </c>
      <c r="O67" t="s">
        <v>63</v>
      </c>
      <c r="P67" t="s">
        <v>64</v>
      </c>
      <c r="Q67" t="s">
        <v>65</v>
      </c>
      <c r="R67" s="4" t="s">
        <v>38</v>
      </c>
      <c r="S67" s="4" t="s">
        <v>38</v>
      </c>
      <c r="T67" s="27">
        <v>42935</v>
      </c>
      <c r="U67" s="64">
        <v>47.237659999999998</v>
      </c>
      <c r="V67" s="64">
        <v>-122.86239999999999</v>
      </c>
      <c r="W67" t="str">
        <f>VLOOKUP(B67,[1]Plantings!$A$2:$E$285,4,FALSE)</f>
        <v>line</v>
      </c>
      <c r="X67" s="11" t="str">
        <f>VLOOKUP(B67,[1]Plantings!$A$2:$E$285,5,FALSE)</f>
        <v>retain</v>
      </c>
      <c r="Y67" s="16" t="s">
        <v>1</v>
      </c>
      <c r="Z67" s="23">
        <v>-1.95</v>
      </c>
      <c r="AA67" t="s">
        <v>66</v>
      </c>
      <c r="AB67" s="4">
        <v>10</v>
      </c>
      <c r="AC67" s="4">
        <v>1</v>
      </c>
      <c r="AD67">
        <f>AB67*AC67</f>
        <v>10</v>
      </c>
      <c r="AE67" s="4">
        <v>6</v>
      </c>
      <c r="AF67" s="14">
        <f t="shared" si="10"/>
        <v>1.1599999999999999</v>
      </c>
      <c r="AG67" s="24">
        <v>116</v>
      </c>
      <c r="AH67" s="15">
        <v>1160</v>
      </c>
      <c r="AI67" s="13">
        <f t="shared" si="11"/>
        <v>116</v>
      </c>
      <c r="AJ67" s="13">
        <f t="shared" si="12"/>
        <v>193.33333333333334</v>
      </c>
      <c r="AK67" t="s">
        <v>67</v>
      </c>
      <c r="AL67" s="19" t="s">
        <v>180</v>
      </c>
    </row>
    <row r="68" spans="1:38" x14ac:dyDescent="0.25">
      <c r="A68" t="s">
        <v>174</v>
      </c>
      <c r="B68" s="4" t="s">
        <v>181</v>
      </c>
      <c r="C68" t="str">
        <f>VLOOKUP(B68,[1]Plantings!$A$2:$C$285,2,FALSE)</f>
        <v>FDG_L2</v>
      </c>
      <c r="D68" t="str">
        <f>VLOOKUP(B68,[1]Plantings!$A$2:$C$285,3,FALSE)</f>
        <v>initial</v>
      </c>
      <c r="E68" s="4">
        <v>2017</v>
      </c>
      <c r="F68" t="s">
        <v>28</v>
      </c>
      <c r="G68" s="4" t="s">
        <v>59</v>
      </c>
      <c r="H68" s="4" t="s">
        <v>10</v>
      </c>
      <c r="I68" t="s">
        <v>29</v>
      </c>
      <c r="J68" t="s">
        <v>60</v>
      </c>
      <c r="K68" s="4" t="s">
        <v>31</v>
      </c>
      <c r="L68" t="s">
        <v>32</v>
      </c>
      <c r="M68" t="s">
        <v>61</v>
      </c>
      <c r="N68" t="s">
        <v>62</v>
      </c>
      <c r="O68" t="s">
        <v>63</v>
      </c>
      <c r="P68" t="s">
        <v>64</v>
      </c>
      <c r="Q68" t="s">
        <v>65</v>
      </c>
      <c r="R68" s="4" t="s">
        <v>38</v>
      </c>
      <c r="S68" s="20" t="s">
        <v>70</v>
      </c>
      <c r="T68" s="27">
        <v>42935</v>
      </c>
      <c r="U68" s="64">
        <v>47.237740000000002</v>
      </c>
      <c r="V68" s="64">
        <v>-122.86269</v>
      </c>
      <c r="W68" t="str">
        <f>VLOOKUP(B68,[1]Plantings!$A$2:$E$285,4,FALSE)</f>
        <v>line</v>
      </c>
      <c r="X68" s="11" t="str">
        <f>VLOOKUP(B68,[1]Plantings!$A$2:$E$285,5,FALSE)</f>
        <v>retain</v>
      </c>
      <c r="Y68" s="16" t="s">
        <v>1</v>
      </c>
      <c r="AF68" s="14" t="str">
        <f t="shared" si="10"/>
        <v/>
      </c>
      <c r="AG68" s="15"/>
      <c r="AH68" s="15"/>
      <c r="AI68" s="13" t="str">
        <f t="shared" si="11"/>
        <v/>
      </c>
      <c r="AJ68" s="13" t="str">
        <f t="shared" si="12"/>
        <v/>
      </c>
      <c r="AL68" s="19"/>
    </row>
    <row r="69" spans="1:38" x14ac:dyDescent="0.25">
      <c r="A69" s="30" t="s">
        <v>174</v>
      </c>
      <c r="B69" s="4" t="s">
        <v>182</v>
      </c>
      <c r="C69" t="str">
        <f>VLOOKUP(B69,[1]Plantings!$A$2:$C$285,2,FALSE)</f>
        <v>FDG_L1</v>
      </c>
      <c r="D69" t="str">
        <f>VLOOKUP(B69,[1]Plantings!$A$2:$C$285,3,FALSE)</f>
        <v>repeat</v>
      </c>
      <c r="E69" s="7">
        <v>2018</v>
      </c>
      <c r="F69" t="s">
        <v>28</v>
      </c>
      <c r="G69" s="4" t="s">
        <v>59</v>
      </c>
      <c r="H69" s="4" t="s">
        <v>10</v>
      </c>
      <c r="I69" t="s">
        <v>29</v>
      </c>
      <c r="J69" s="4" t="s">
        <v>43</v>
      </c>
      <c r="K69" s="4" t="s">
        <v>43</v>
      </c>
      <c r="L69" s="4" t="s">
        <v>137</v>
      </c>
      <c r="R69" s="4" t="s">
        <v>38</v>
      </c>
      <c r="S69" s="4" t="s">
        <v>38</v>
      </c>
      <c r="T69" s="27">
        <v>43263</v>
      </c>
      <c r="U69" s="64">
        <v>47.237250000000003</v>
      </c>
      <c r="V69" s="64">
        <v>-122.86138</v>
      </c>
      <c r="W69" t="str">
        <f>VLOOKUP(B69,[1]Plantings!$A$2:$E$285,4,FALSE)</f>
        <v>line</v>
      </c>
      <c r="X69" s="11" t="str">
        <f>VLOOKUP(B69,[1]Plantings!$A$2:$E$285,5,FALSE)</f>
        <v>retain</v>
      </c>
      <c r="Y69" s="16" t="s">
        <v>1</v>
      </c>
      <c r="Z69" s="12">
        <v>-1.95</v>
      </c>
      <c r="AA69" t="s">
        <v>54</v>
      </c>
      <c r="AB69">
        <v>10</v>
      </c>
      <c r="AC69">
        <v>0.5</v>
      </c>
      <c r="AD69">
        <f>AB69*AC69</f>
        <v>5</v>
      </c>
      <c r="AE69">
        <f>AG69*0.25</f>
        <v>2.25</v>
      </c>
      <c r="AF69" s="14">
        <f t="shared" si="10"/>
        <v>0.22500000000000001</v>
      </c>
      <c r="AG69" s="15">
        <v>9</v>
      </c>
      <c r="AH69" s="34">
        <f>AG69*25</f>
        <v>225</v>
      </c>
      <c r="AI69" s="13">
        <f t="shared" si="11"/>
        <v>45</v>
      </c>
      <c r="AJ69" s="13">
        <f t="shared" si="12"/>
        <v>100</v>
      </c>
      <c r="AK69" t="s">
        <v>93</v>
      </c>
      <c r="AL69" s="3" t="s">
        <v>183</v>
      </c>
    </row>
    <row r="70" spans="1:38" x14ac:dyDescent="0.25">
      <c r="A70" s="30" t="s">
        <v>174</v>
      </c>
      <c r="B70" s="4" t="s">
        <v>184</v>
      </c>
      <c r="C70" t="str">
        <f>VLOOKUP(B70,[1]Plantings!$A$2:$C$285,2,FALSE)</f>
        <v>FDG_L1</v>
      </c>
      <c r="D70" t="str">
        <f>VLOOKUP(B70,[1]Plantings!$A$2:$C$285,3,FALSE)</f>
        <v>repeat</v>
      </c>
      <c r="E70" s="7">
        <v>2018</v>
      </c>
      <c r="F70" t="s">
        <v>28</v>
      </c>
      <c r="G70" s="4" t="s">
        <v>59</v>
      </c>
      <c r="H70" s="4" t="s">
        <v>10</v>
      </c>
      <c r="I70" t="s">
        <v>29</v>
      </c>
      <c r="J70" s="4" t="s">
        <v>43</v>
      </c>
      <c r="K70" s="4" t="s">
        <v>43</v>
      </c>
      <c r="L70" s="4" t="s">
        <v>137</v>
      </c>
      <c r="R70" s="4" t="s">
        <v>38</v>
      </c>
      <c r="S70" s="20" t="s">
        <v>70</v>
      </c>
      <c r="T70" s="27">
        <v>43263</v>
      </c>
      <c r="U70" s="64">
        <v>47.237259999999999</v>
      </c>
      <c r="V70" s="64">
        <v>-122.86145</v>
      </c>
      <c r="W70" t="str">
        <f>VLOOKUP(B70,[1]Plantings!$A$2:$E$285,4,FALSE)</f>
        <v>line</v>
      </c>
      <c r="X70" s="11" t="str">
        <f>VLOOKUP(B70,[1]Plantings!$A$2:$E$285,5,FALSE)</f>
        <v>retain</v>
      </c>
      <c r="Y70" s="16" t="s">
        <v>1</v>
      </c>
      <c r="Z70" s="12"/>
      <c r="AF70" s="14" t="str">
        <f t="shared" si="10"/>
        <v/>
      </c>
      <c r="AG70" s="15"/>
      <c r="AH70" s="34"/>
      <c r="AI70" s="13" t="str">
        <f t="shared" si="11"/>
        <v/>
      </c>
      <c r="AJ70" s="13" t="str">
        <f t="shared" si="12"/>
        <v/>
      </c>
    </row>
    <row r="71" spans="1:38" x14ac:dyDescent="0.25">
      <c r="A71" s="30" t="s">
        <v>174</v>
      </c>
      <c r="B71" s="4" t="s">
        <v>185</v>
      </c>
      <c r="C71" t="str">
        <f>VLOOKUP(B71,[1]Plantings!$A$2:$C$285,2,FALSE)</f>
        <v>FDG_L2</v>
      </c>
      <c r="D71" t="str">
        <f>VLOOKUP(B71,[1]Plantings!$A$2:$C$285,3,FALSE)</f>
        <v>repeat</v>
      </c>
      <c r="E71" s="7">
        <v>2018</v>
      </c>
      <c r="F71" t="s">
        <v>28</v>
      </c>
      <c r="G71" s="4" t="s">
        <v>59</v>
      </c>
      <c r="H71" s="4" t="s">
        <v>10</v>
      </c>
      <c r="I71" t="s">
        <v>29</v>
      </c>
      <c r="J71" s="4" t="s">
        <v>43</v>
      </c>
      <c r="K71" s="4" t="s">
        <v>43</v>
      </c>
      <c r="L71" s="4" t="s">
        <v>137</v>
      </c>
      <c r="R71" s="4" t="s">
        <v>38</v>
      </c>
      <c r="S71" s="4" t="s">
        <v>38</v>
      </c>
      <c r="T71" s="27">
        <v>43263</v>
      </c>
      <c r="U71" s="64">
        <v>47.237659999999998</v>
      </c>
      <c r="V71" s="64">
        <v>-122.86239999999999</v>
      </c>
      <c r="W71" t="str">
        <f>VLOOKUP(B71,[1]Plantings!$A$2:$E$285,4,FALSE)</f>
        <v>line</v>
      </c>
      <c r="X71" s="11" t="str">
        <f>VLOOKUP(B71,[1]Plantings!$A$2:$E$285,5,FALSE)</f>
        <v>retain</v>
      </c>
      <c r="Y71" s="16" t="s">
        <v>1</v>
      </c>
      <c r="Z71" s="12">
        <v>-1.95</v>
      </c>
      <c r="AA71" t="s">
        <v>54</v>
      </c>
      <c r="AB71">
        <v>10</v>
      </c>
      <c r="AC71">
        <v>0.5</v>
      </c>
      <c r="AD71">
        <f>AB71*AC71</f>
        <v>5</v>
      </c>
      <c r="AE71">
        <f>AG71*0.25</f>
        <v>2.25</v>
      </c>
      <c r="AF71" s="14">
        <f t="shared" si="10"/>
        <v>0.22500000000000001</v>
      </c>
      <c r="AG71" s="15">
        <v>9</v>
      </c>
      <c r="AH71" s="34">
        <f>AG71*25</f>
        <v>225</v>
      </c>
      <c r="AI71" s="13">
        <f t="shared" si="11"/>
        <v>45</v>
      </c>
      <c r="AJ71" s="13">
        <f t="shared" si="12"/>
        <v>100</v>
      </c>
      <c r="AK71" t="s">
        <v>93</v>
      </c>
      <c r="AL71" s="3" t="s">
        <v>183</v>
      </c>
    </row>
    <row r="72" spans="1:38" x14ac:dyDescent="0.25">
      <c r="A72" s="30" t="s">
        <v>174</v>
      </c>
      <c r="B72" s="4" t="s">
        <v>186</v>
      </c>
      <c r="C72" t="str">
        <f>VLOOKUP(B72,[1]Plantings!$A$2:$C$285,2,FALSE)</f>
        <v>FDG_L2</v>
      </c>
      <c r="D72" t="str">
        <f>VLOOKUP(B72,[1]Plantings!$A$2:$C$285,3,FALSE)</f>
        <v>repeat</v>
      </c>
      <c r="E72" s="7">
        <v>2018</v>
      </c>
      <c r="F72" t="s">
        <v>28</v>
      </c>
      <c r="G72" s="4" t="s">
        <v>59</v>
      </c>
      <c r="H72" s="4" t="s">
        <v>10</v>
      </c>
      <c r="I72" t="s">
        <v>29</v>
      </c>
      <c r="J72" s="4" t="s">
        <v>43</v>
      </c>
      <c r="K72" s="4" t="s">
        <v>43</v>
      </c>
      <c r="L72" s="4" t="s">
        <v>137</v>
      </c>
      <c r="R72" s="4" t="s">
        <v>38</v>
      </c>
      <c r="S72" s="20" t="s">
        <v>70</v>
      </c>
      <c r="T72" s="27">
        <v>43263</v>
      </c>
      <c r="U72" s="64">
        <v>47.237740000000002</v>
      </c>
      <c r="V72" s="64">
        <v>-122.86269</v>
      </c>
      <c r="W72" t="str">
        <f>VLOOKUP(B72,[1]Plantings!$A$2:$E$285,4,FALSE)</f>
        <v>line</v>
      </c>
      <c r="X72" s="11" t="str">
        <f>VLOOKUP(B72,[1]Plantings!$A$2:$E$285,5,FALSE)</f>
        <v>retain</v>
      </c>
      <c r="Y72" s="16" t="s">
        <v>1</v>
      </c>
      <c r="AF72" s="14" t="str">
        <f t="shared" si="10"/>
        <v/>
      </c>
      <c r="AG72" s="15"/>
      <c r="AH72" s="34"/>
      <c r="AI72" s="13" t="str">
        <f t="shared" si="11"/>
        <v/>
      </c>
      <c r="AJ72" s="13" t="str">
        <f t="shared" si="12"/>
        <v/>
      </c>
    </row>
    <row r="73" spans="1:38" x14ac:dyDescent="0.25">
      <c r="A73" t="s">
        <v>187</v>
      </c>
      <c r="B73" t="s">
        <v>188</v>
      </c>
      <c r="C73" t="str">
        <f>VLOOKUP(B73,[1]Plantings!$A$2:$C$285,2,FALSE)</f>
        <v>GRA_1</v>
      </c>
      <c r="D73" t="str">
        <f>VLOOKUP(B73,[1]Plantings!$A$2:$C$285,3,FALSE)</f>
        <v>single</v>
      </c>
      <c r="E73">
        <v>2015</v>
      </c>
      <c r="G73" t="s">
        <v>0</v>
      </c>
      <c r="H73" t="s">
        <v>9</v>
      </c>
      <c r="I73" t="s">
        <v>164</v>
      </c>
      <c r="J73" t="s">
        <v>4</v>
      </c>
      <c r="K73" t="s">
        <v>43</v>
      </c>
      <c r="L73" t="s">
        <v>44</v>
      </c>
      <c r="O73" t="s">
        <v>35</v>
      </c>
      <c r="P73" t="s">
        <v>45</v>
      </c>
      <c r="Q73" t="s">
        <v>46</v>
      </c>
      <c r="R73" t="s">
        <v>38</v>
      </c>
      <c r="S73" t="s">
        <v>38</v>
      </c>
      <c r="T73" s="27">
        <v>42075</v>
      </c>
      <c r="U73" s="17">
        <v>47.251947999999999</v>
      </c>
      <c r="V73" s="17">
        <v>-122.92783300000001</v>
      </c>
      <c r="W73" t="str">
        <f>VLOOKUP(B73,[1]Plantings!$A$2:$E$285,4,FALSE)</f>
        <v>point</v>
      </c>
      <c r="X73" s="11" t="str">
        <f>VLOOKUP(B73,[1]Plantings!$A$2:$E$285,5,FALSE)</f>
        <v>retain</v>
      </c>
      <c r="Y73" s="16" t="s">
        <v>1</v>
      </c>
      <c r="Z73" s="12">
        <v>-1.2</v>
      </c>
      <c r="AA73" s="13" t="s">
        <v>39</v>
      </c>
      <c r="AB73">
        <v>5</v>
      </c>
      <c r="AC73">
        <v>5</v>
      </c>
      <c r="AD73">
        <f t="shared" ref="AD73:AD80" si="13">AB73*AC73</f>
        <v>25</v>
      </c>
      <c r="AE73" s="13">
        <v>25</v>
      </c>
      <c r="AF73" s="14">
        <f t="shared" si="10"/>
        <v>0.625</v>
      </c>
      <c r="AG73" s="15">
        <f>AH73/4</f>
        <v>125</v>
      </c>
      <c r="AH73" s="15">
        <v>500</v>
      </c>
      <c r="AI73" s="13">
        <f t="shared" si="11"/>
        <v>20</v>
      </c>
      <c r="AJ73" s="13">
        <f t="shared" si="12"/>
        <v>20</v>
      </c>
      <c r="AK73" t="s">
        <v>165</v>
      </c>
      <c r="AL73" s="19" t="s">
        <v>189</v>
      </c>
    </row>
    <row r="74" spans="1:38" x14ac:dyDescent="0.25">
      <c r="A74" t="s">
        <v>187</v>
      </c>
      <c r="B74" t="s">
        <v>190</v>
      </c>
      <c r="C74" t="str">
        <f>VLOOKUP(B74,[1]Plantings!$A$2:$C$285,2,FALSE)</f>
        <v>GRA_2</v>
      </c>
      <c r="D74" t="str">
        <f>VLOOKUP(B74,[1]Plantings!$A$2:$C$285,3,FALSE)</f>
        <v>single</v>
      </c>
      <c r="E74">
        <v>2016</v>
      </c>
      <c r="G74" t="s">
        <v>0</v>
      </c>
      <c r="H74" t="s">
        <v>9</v>
      </c>
      <c r="I74" t="s">
        <v>164</v>
      </c>
      <c r="K74" t="s">
        <v>43</v>
      </c>
      <c r="L74" s="4" t="s">
        <v>137</v>
      </c>
      <c r="R74" t="s">
        <v>38</v>
      </c>
      <c r="S74" t="s">
        <v>38</v>
      </c>
      <c r="T74" s="27">
        <v>42572</v>
      </c>
      <c r="U74" s="17">
        <v>47.251947999999999</v>
      </c>
      <c r="V74" s="17">
        <v>-122.92783300000001</v>
      </c>
      <c r="W74" t="str">
        <f>VLOOKUP(B74,[1]Plantings!$A$2:$E$285,4,FALSE)</f>
        <v>point</v>
      </c>
      <c r="X74" s="11" t="str">
        <f>VLOOKUP(B74,[1]Plantings!$A$2:$E$285,5,FALSE)</f>
        <v>drop</v>
      </c>
      <c r="Y74" s="16" t="s">
        <v>1</v>
      </c>
      <c r="Z74" s="12">
        <v>-0.2</v>
      </c>
      <c r="AA74" s="13" t="s">
        <v>54</v>
      </c>
      <c r="AB74">
        <v>0.25</v>
      </c>
      <c r="AC74">
        <v>9</v>
      </c>
      <c r="AD74">
        <f t="shared" si="13"/>
        <v>2.25</v>
      </c>
      <c r="AE74">
        <f>AG74*0.25</f>
        <v>12.5625</v>
      </c>
      <c r="AF74" s="14">
        <f t="shared" si="10"/>
        <v>1.2562500000000001</v>
      </c>
      <c r="AG74" s="15">
        <f>AH74/4</f>
        <v>50.25</v>
      </c>
      <c r="AH74" s="15">
        <v>201</v>
      </c>
      <c r="AI74" s="13">
        <f t="shared" si="11"/>
        <v>89.333333333333329</v>
      </c>
      <c r="AJ74" s="13">
        <f t="shared" si="12"/>
        <v>16</v>
      </c>
      <c r="AK74" t="s">
        <v>93</v>
      </c>
      <c r="AL74" s="19" t="s">
        <v>191</v>
      </c>
    </row>
    <row r="75" spans="1:38" x14ac:dyDescent="0.25">
      <c r="A75" s="4" t="s">
        <v>192</v>
      </c>
      <c r="B75" s="4" t="s">
        <v>193</v>
      </c>
      <c r="C75" t="str">
        <f>VLOOKUP(B75,[1]Plantings!$A$2:$C$285,2,FALSE)</f>
        <v>HAR_2</v>
      </c>
      <c r="D75" t="str">
        <f>VLOOKUP(B75,[1]Plantings!$A$2:$C$285,3,FALSE)</f>
        <v>single</v>
      </c>
      <c r="E75" s="4">
        <v>2017</v>
      </c>
      <c r="F75" s="4"/>
      <c r="G75" s="4" t="s">
        <v>0</v>
      </c>
      <c r="H75" s="4" t="s">
        <v>10</v>
      </c>
      <c r="I75" t="s">
        <v>29</v>
      </c>
      <c r="J75" s="4" t="s">
        <v>86</v>
      </c>
      <c r="K75" s="4" t="s">
        <v>17</v>
      </c>
      <c r="L75" s="4" t="s">
        <v>17</v>
      </c>
      <c r="M75" s="4" t="s">
        <v>112</v>
      </c>
      <c r="N75" s="4"/>
      <c r="O75" s="4" t="s">
        <v>35</v>
      </c>
      <c r="P75" s="4" t="s">
        <v>113</v>
      </c>
      <c r="Q75" s="4"/>
      <c r="R75" s="4" t="s">
        <v>38</v>
      </c>
      <c r="S75" s="4" t="s">
        <v>38</v>
      </c>
      <c r="T75" s="27">
        <v>42893</v>
      </c>
      <c r="U75" s="11">
        <v>47.294034213000003</v>
      </c>
      <c r="V75" s="11">
        <v>-122.85419904600001</v>
      </c>
      <c r="W75" t="str">
        <f>VLOOKUP(B75,[1]Plantings!$A$2:$E$285,4,FALSE)</f>
        <v>point</v>
      </c>
      <c r="X75" s="11" t="str">
        <f>VLOOKUP(B75,[1]Plantings!$A$2:$E$285,5,FALSE)</f>
        <v>retain</v>
      </c>
      <c r="Y75" t="s">
        <v>1</v>
      </c>
      <c r="Z75">
        <v>-0.9</v>
      </c>
      <c r="AA75" s="4" t="s">
        <v>54</v>
      </c>
      <c r="AB75" s="4">
        <v>3</v>
      </c>
      <c r="AC75" s="4">
        <v>2</v>
      </c>
      <c r="AD75">
        <f t="shared" si="13"/>
        <v>6</v>
      </c>
      <c r="AE75">
        <f>AG75*0.25</f>
        <v>5</v>
      </c>
      <c r="AF75" s="14">
        <f t="shared" si="10"/>
        <v>0.5</v>
      </c>
      <c r="AG75" s="24">
        <v>20</v>
      </c>
      <c r="AH75" s="24">
        <v>1000</v>
      </c>
      <c r="AI75" s="13">
        <f t="shared" si="11"/>
        <v>166.66666666666666</v>
      </c>
      <c r="AJ75" s="13">
        <f t="shared" si="12"/>
        <v>200</v>
      </c>
      <c r="AK75" s="4" t="s">
        <v>165</v>
      </c>
      <c r="AL75" s="26" t="s">
        <v>194</v>
      </c>
    </row>
    <row r="76" spans="1:38" x14ac:dyDescent="0.25">
      <c r="A76" s="4" t="s">
        <v>192</v>
      </c>
      <c r="B76" s="4" t="s">
        <v>195</v>
      </c>
      <c r="C76" t="str">
        <f>VLOOKUP(B76,[1]Plantings!$A$2:$C$285,2,FALSE)</f>
        <v>HAR_3</v>
      </c>
      <c r="D76" t="str">
        <f>VLOOKUP(B76,[1]Plantings!$A$2:$C$285,3,FALSE)</f>
        <v>single</v>
      </c>
      <c r="E76" s="4">
        <v>2017</v>
      </c>
      <c r="F76" s="4"/>
      <c r="G76" s="4" t="s">
        <v>0</v>
      </c>
      <c r="H76" s="4" t="s">
        <v>10</v>
      </c>
      <c r="I76" t="s">
        <v>29</v>
      </c>
      <c r="J76" s="4" t="s">
        <v>86</v>
      </c>
      <c r="K76" s="4" t="s">
        <v>17</v>
      </c>
      <c r="L76" s="4" t="s">
        <v>17</v>
      </c>
      <c r="M76" s="4" t="s">
        <v>112</v>
      </c>
      <c r="N76" s="4"/>
      <c r="O76" s="4" t="s">
        <v>35</v>
      </c>
      <c r="P76" s="4" t="s">
        <v>113</v>
      </c>
      <c r="Q76" s="4"/>
      <c r="R76" s="4" t="s">
        <v>38</v>
      </c>
      <c r="S76" s="4" t="s">
        <v>38</v>
      </c>
      <c r="T76" s="27">
        <v>42893</v>
      </c>
      <c r="U76" s="11">
        <v>47.293667186999997</v>
      </c>
      <c r="V76" s="11">
        <v>-122.85460205699999</v>
      </c>
      <c r="W76" t="str">
        <f>VLOOKUP(B76,[1]Plantings!$A$2:$E$285,4,FALSE)</f>
        <v>point</v>
      </c>
      <c r="X76" s="11" t="str">
        <f>VLOOKUP(B76,[1]Plantings!$A$2:$E$285,5,FALSE)</f>
        <v>retain</v>
      </c>
      <c r="Y76" t="s">
        <v>1</v>
      </c>
      <c r="Z76">
        <v>-1</v>
      </c>
      <c r="AA76" s="4" t="s">
        <v>54</v>
      </c>
      <c r="AB76" s="4">
        <v>3</v>
      </c>
      <c r="AC76" s="4">
        <v>2</v>
      </c>
      <c r="AD76">
        <f t="shared" si="13"/>
        <v>6</v>
      </c>
      <c r="AE76">
        <f>AG76*0.25</f>
        <v>5</v>
      </c>
      <c r="AF76" s="14">
        <f t="shared" si="10"/>
        <v>0.5</v>
      </c>
      <c r="AG76" s="24">
        <v>20</v>
      </c>
      <c r="AH76" s="24">
        <v>1000</v>
      </c>
      <c r="AI76" s="13">
        <f t="shared" si="11"/>
        <v>166.66666666666666</v>
      </c>
      <c r="AJ76" s="13">
        <f t="shared" si="12"/>
        <v>200</v>
      </c>
      <c r="AK76" s="4" t="s">
        <v>165</v>
      </c>
      <c r="AL76" s="26" t="s">
        <v>194</v>
      </c>
    </row>
    <row r="77" spans="1:38" x14ac:dyDescent="0.25">
      <c r="A77" s="7" t="s">
        <v>192</v>
      </c>
      <c r="B77" s="7" t="s">
        <v>196</v>
      </c>
      <c r="C77" t="str">
        <f>VLOOKUP(B77,[1]Plantings!$A$2:$C$285,2,FALSE)</f>
        <v>HAR_4</v>
      </c>
      <c r="D77" t="str">
        <f>VLOOKUP(B77,[1]Plantings!$A$2:$C$285,3,FALSE)</f>
        <v>single</v>
      </c>
      <c r="E77" s="7">
        <v>2017</v>
      </c>
      <c r="F77" s="7"/>
      <c r="G77" s="4" t="s">
        <v>0</v>
      </c>
      <c r="H77" s="7" t="s">
        <v>10</v>
      </c>
      <c r="I77" t="s">
        <v>29</v>
      </c>
      <c r="J77" s="7" t="s">
        <v>86</v>
      </c>
      <c r="K77" s="7" t="s">
        <v>17</v>
      </c>
      <c r="L77" s="7" t="s">
        <v>17</v>
      </c>
      <c r="M77" s="7" t="s">
        <v>112</v>
      </c>
      <c r="N77" s="7"/>
      <c r="O77" s="7" t="s">
        <v>35</v>
      </c>
      <c r="P77" s="4" t="s">
        <v>113</v>
      </c>
      <c r="Q77" s="7"/>
      <c r="R77" s="7" t="s">
        <v>38</v>
      </c>
      <c r="S77" s="7" t="s">
        <v>38</v>
      </c>
      <c r="T77" s="27">
        <v>42893</v>
      </c>
      <c r="U77" s="11">
        <v>47.291899999999998</v>
      </c>
      <c r="V77" s="11">
        <v>-122.85523333333333</v>
      </c>
      <c r="W77" t="str">
        <f>VLOOKUP(B77,[1]Plantings!$A$2:$E$285,4,FALSE)</f>
        <v>point</v>
      </c>
      <c r="X77" s="11" t="str">
        <f>VLOOKUP(B77,[1]Plantings!$A$2:$E$285,5,FALSE)</f>
        <v>retain</v>
      </c>
      <c r="Y77" t="s">
        <v>1</v>
      </c>
      <c r="Z77" s="12">
        <v>-2.9778959999999999</v>
      </c>
      <c r="AA77" s="7" t="s">
        <v>39</v>
      </c>
      <c r="AB77" s="7">
        <v>2.5</v>
      </c>
      <c r="AC77" s="7">
        <v>2</v>
      </c>
      <c r="AD77">
        <f t="shared" si="13"/>
        <v>5</v>
      </c>
      <c r="AE77" s="7">
        <v>5</v>
      </c>
      <c r="AF77" s="14">
        <f t="shared" si="10"/>
        <v>0.5</v>
      </c>
      <c r="AG77" s="42">
        <v>100</v>
      </c>
      <c r="AH77" s="42">
        <v>800</v>
      </c>
      <c r="AI77" s="13">
        <f t="shared" si="11"/>
        <v>160</v>
      </c>
      <c r="AJ77" s="13">
        <f t="shared" si="12"/>
        <v>160</v>
      </c>
      <c r="AK77" s="30" t="s">
        <v>165</v>
      </c>
      <c r="AL77" s="36" t="s">
        <v>197</v>
      </c>
    </row>
    <row r="78" spans="1:38" x14ac:dyDescent="0.25">
      <c r="A78" s="7" t="s">
        <v>192</v>
      </c>
      <c r="B78" s="7" t="s">
        <v>198</v>
      </c>
      <c r="C78" t="str">
        <f>VLOOKUP(B78,[1]Plantings!$A$2:$C$285,2,FALSE)</f>
        <v>HAR_4</v>
      </c>
      <c r="D78" t="str">
        <f>VLOOKUP(B78,[1]Plantings!$A$2:$C$285,3,FALSE)</f>
        <v>single</v>
      </c>
      <c r="E78" s="7">
        <v>2017</v>
      </c>
      <c r="F78" s="7"/>
      <c r="G78" s="4" t="s">
        <v>0</v>
      </c>
      <c r="H78" s="7" t="s">
        <v>10</v>
      </c>
      <c r="I78" t="s">
        <v>29</v>
      </c>
      <c r="J78" s="7" t="s">
        <v>86</v>
      </c>
      <c r="K78" s="7" t="s">
        <v>17</v>
      </c>
      <c r="L78" s="7" t="s">
        <v>17</v>
      </c>
      <c r="M78" s="7" t="s">
        <v>112</v>
      </c>
      <c r="N78" s="7"/>
      <c r="O78" s="7" t="s">
        <v>35</v>
      </c>
      <c r="P78" s="4" t="s">
        <v>113</v>
      </c>
      <c r="Q78" s="7"/>
      <c r="R78" s="7" t="s">
        <v>38</v>
      </c>
      <c r="S78" s="7" t="s">
        <v>38</v>
      </c>
      <c r="T78" s="27">
        <v>42893</v>
      </c>
      <c r="U78" s="11">
        <v>47.291899999999998</v>
      </c>
      <c r="V78" s="11">
        <v>-122.85523333333333</v>
      </c>
      <c r="W78" t="str">
        <f>VLOOKUP(B78,[1]Plantings!$A$2:$E$285,4,FALSE)</f>
        <v>point</v>
      </c>
      <c r="X78" s="11" t="str">
        <f>VLOOKUP(B78,[1]Plantings!$A$2:$E$285,5,FALSE)</f>
        <v>retain</v>
      </c>
      <c r="Y78" t="s">
        <v>1</v>
      </c>
      <c r="Z78" s="12">
        <v>-2.9778959999999999</v>
      </c>
      <c r="AA78" s="7" t="s">
        <v>54</v>
      </c>
      <c r="AB78" s="7">
        <v>3</v>
      </c>
      <c r="AC78" s="7">
        <v>2</v>
      </c>
      <c r="AD78">
        <f t="shared" si="13"/>
        <v>6</v>
      </c>
      <c r="AE78">
        <f>AG78*0.25</f>
        <v>5</v>
      </c>
      <c r="AF78" s="14">
        <f t="shared" si="10"/>
        <v>0.5</v>
      </c>
      <c r="AG78" s="42">
        <v>20</v>
      </c>
      <c r="AH78" s="42">
        <v>1000</v>
      </c>
      <c r="AI78" s="13">
        <f t="shared" si="11"/>
        <v>166.66666666666666</v>
      </c>
      <c r="AJ78" s="13">
        <f t="shared" si="12"/>
        <v>200</v>
      </c>
      <c r="AK78" s="30" t="s">
        <v>165</v>
      </c>
      <c r="AL78" s="36" t="s">
        <v>197</v>
      </c>
    </row>
    <row r="79" spans="1:38" x14ac:dyDescent="0.25">
      <c r="A79" s="4" t="s">
        <v>192</v>
      </c>
      <c r="B79" s="4" t="s">
        <v>199</v>
      </c>
      <c r="C79" t="str">
        <f>VLOOKUP(B79,[1]Plantings!$A$2:$C$285,2,FALSE)</f>
        <v>HAR_1</v>
      </c>
      <c r="D79" t="str">
        <f>VLOOKUP(B79,[1]Plantings!$A$2:$C$285,3,FALSE)</f>
        <v>single</v>
      </c>
      <c r="E79" s="4">
        <v>2017</v>
      </c>
      <c r="F79" s="4"/>
      <c r="G79" s="4" t="s">
        <v>0</v>
      </c>
      <c r="H79" s="4" t="s">
        <v>10</v>
      </c>
      <c r="I79" t="s">
        <v>29</v>
      </c>
      <c r="J79" s="4" t="s">
        <v>86</v>
      </c>
      <c r="K79" s="4" t="s">
        <v>17</v>
      </c>
      <c r="L79" s="4" t="s">
        <v>17</v>
      </c>
      <c r="M79" s="4" t="s">
        <v>112</v>
      </c>
      <c r="N79" s="4"/>
      <c r="O79" s="4" t="s">
        <v>35</v>
      </c>
      <c r="P79" s="4" t="s">
        <v>113</v>
      </c>
      <c r="Q79" s="4"/>
      <c r="R79" s="4" t="s">
        <v>38</v>
      </c>
      <c r="S79" s="4" t="s">
        <v>38</v>
      </c>
      <c r="T79" s="27">
        <v>42893</v>
      </c>
      <c r="U79" s="11">
        <v>47.295516666666664</v>
      </c>
      <c r="V79" s="11">
        <v>-122.8494</v>
      </c>
      <c r="W79" t="str">
        <f>VLOOKUP(B79,[1]Plantings!$A$2:$E$285,4,FALSE)</f>
        <v>point</v>
      </c>
      <c r="X79" s="11" t="str">
        <f>VLOOKUP(B79,[1]Plantings!$A$2:$E$285,5,FALSE)</f>
        <v>retain</v>
      </c>
      <c r="Y79" t="s">
        <v>1</v>
      </c>
      <c r="Z79" s="12">
        <v>-2.8041599999999995</v>
      </c>
      <c r="AA79" s="4" t="s">
        <v>54</v>
      </c>
      <c r="AB79" s="4">
        <v>3</v>
      </c>
      <c r="AC79" s="4">
        <v>2</v>
      </c>
      <c r="AD79">
        <f t="shared" si="13"/>
        <v>6</v>
      </c>
      <c r="AE79">
        <f>AG79*0.25</f>
        <v>5</v>
      </c>
      <c r="AF79" s="14">
        <f t="shared" si="10"/>
        <v>0.5</v>
      </c>
      <c r="AG79" s="24">
        <v>20</v>
      </c>
      <c r="AH79" s="24">
        <v>1000</v>
      </c>
      <c r="AI79" s="13">
        <f t="shared" si="11"/>
        <v>166.66666666666666</v>
      </c>
      <c r="AJ79" s="13">
        <f t="shared" si="12"/>
        <v>200</v>
      </c>
      <c r="AK79" s="4" t="s">
        <v>165</v>
      </c>
      <c r="AL79" s="26"/>
    </row>
    <row r="80" spans="1:38" x14ac:dyDescent="0.25">
      <c r="A80" t="s">
        <v>192</v>
      </c>
      <c r="B80" s="4" t="s">
        <v>200</v>
      </c>
      <c r="C80" t="str">
        <f>VLOOKUP(B80,[1]Plantings!$A$2:$C$285,2,FALSE)</f>
        <v>HAR_deep_L1</v>
      </c>
      <c r="D80" t="str">
        <f>VLOOKUP(B80,[1]Plantings!$A$2:$C$285,3,FALSE)</f>
        <v>single</v>
      </c>
      <c r="E80" s="4">
        <v>2018</v>
      </c>
      <c r="F80" s="4"/>
      <c r="G80" s="30" t="s">
        <v>59</v>
      </c>
      <c r="H80" s="4" t="s">
        <v>10</v>
      </c>
      <c r="I80" t="s">
        <v>29</v>
      </c>
      <c r="J80" s="7" t="s">
        <v>86</v>
      </c>
      <c r="K80" s="7" t="s">
        <v>17</v>
      </c>
      <c r="L80" s="7" t="s">
        <v>17</v>
      </c>
      <c r="M80" s="7" t="s">
        <v>112</v>
      </c>
      <c r="N80" s="4"/>
      <c r="O80" s="4" t="s">
        <v>35</v>
      </c>
      <c r="P80" s="4" t="s">
        <v>113</v>
      </c>
      <c r="Q80" s="4"/>
      <c r="R80" s="4" t="s">
        <v>76</v>
      </c>
      <c r="S80" s="4" t="s">
        <v>76</v>
      </c>
      <c r="T80" s="27">
        <v>43235</v>
      </c>
      <c r="U80" s="11">
        <v>47.293819999999997</v>
      </c>
      <c r="V80" s="11">
        <v>-122.85419</v>
      </c>
      <c r="W80" t="str">
        <f>VLOOKUP(B80,[1]Plantings!$A$2:$E$285,4,FALSE)</f>
        <v>line</v>
      </c>
      <c r="X80" s="11" t="str">
        <f>VLOOKUP(B80,[1]Plantings!$A$2:$E$285,5,FALSE)</f>
        <v>retain</v>
      </c>
      <c r="Y80" t="s">
        <v>1</v>
      </c>
      <c r="Z80" s="12">
        <v>-1.524</v>
      </c>
      <c r="AA80" s="43" t="s">
        <v>54</v>
      </c>
      <c r="AB80" s="44">
        <v>42</v>
      </c>
      <c r="AC80" s="45">
        <v>5</v>
      </c>
      <c r="AD80">
        <f t="shared" si="13"/>
        <v>210</v>
      </c>
      <c r="AE80">
        <f>AG80*0.25</f>
        <v>138</v>
      </c>
      <c r="AF80" s="14">
        <f t="shared" si="10"/>
        <v>13.8</v>
      </c>
      <c r="AG80" s="46">
        <v>552</v>
      </c>
      <c r="AH80" s="15">
        <v>13800</v>
      </c>
      <c r="AI80" s="13">
        <f t="shared" si="11"/>
        <v>65.714285714285708</v>
      </c>
      <c r="AJ80" s="13">
        <f t="shared" si="12"/>
        <v>100</v>
      </c>
      <c r="AK80" t="s">
        <v>201</v>
      </c>
      <c r="AL80" s="3" t="s">
        <v>202</v>
      </c>
    </row>
    <row r="81" spans="1:38" x14ac:dyDescent="0.25">
      <c r="A81" t="s">
        <v>192</v>
      </c>
      <c r="B81" s="4" t="s">
        <v>200</v>
      </c>
      <c r="C81" t="str">
        <f>VLOOKUP(B81,[1]Plantings!$A$2:$C$285,2,FALSE)</f>
        <v>HAR_deep_L1</v>
      </c>
      <c r="D81" t="str">
        <f>VLOOKUP(B81,[1]Plantings!$A$2:$C$285,3,FALSE)</f>
        <v>single</v>
      </c>
      <c r="E81" s="4">
        <v>2018</v>
      </c>
      <c r="F81" s="4"/>
      <c r="G81" s="30" t="s">
        <v>59</v>
      </c>
      <c r="H81" s="4" t="s">
        <v>10</v>
      </c>
      <c r="I81" t="s">
        <v>29</v>
      </c>
      <c r="J81" s="7" t="s">
        <v>86</v>
      </c>
      <c r="K81" s="7" t="s">
        <v>17</v>
      </c>
      <c r="L81" s="7" t="s">
        <v>17</v>
      </c>
      <c r="M81" s="7" t="s">
        <v>112</v>
      </c>
      <c r="N81" s="4"/>
      <c r="O81" s="4" t="s">
        <v>35</v>
      </c>
      <c r="P81" s="4" t="s">
        <v>113</v>
      </c>
      <c r="Q81" s="4"/>
      <c r="R81" s="4" t="s">
        <v>76</v>
      </c>
      <c r="S81" s="47" t="s">
        <v>70</v>
      </c>
      <c r="T81" s="27">
        <v>43235</v>
      </c>
      <c r="U81" s="11">
        <v>47.294110000000003</v>
      </c>
      <c r="V81" s="11">
        <v>-122.85389000000001</v>
      </c>
      <c r="W81" t="str">
        <f>VLOOKUP(B81,[1]Plantings!$A$2:$E$285,4,FALSE)</f>
        <v>line</v>
      </c>
      <c r="X81" s="11" t="str">
        <f>VLOOKUP(B81,[1]Plantings!$A$2:$E$285,5,FALSE)</f>
        <v>retain</v>
      </c>
      <c r="Y81" t="s">
        <v>1</v>
      </c>
      <c r="Z81" s="12"/>
      <c r="AA81" s="43"/>
      <c r="AB81" s="44"/>
      <c r="AC81" s="45"/>
      <c r="AE81" s="7"/>
      <c r="AF81" s="14" t="str">
        <f t="shared" si="10"/>
        <v/>
      </c>
      <c r="AG81" s="46"/>
      <c r="AH81" s="15"/>
      <c r="AI81" s="13" t="str">
        <f t="shared" si="11"/>
        <v/>
      </c>
      <c r="AJ81" s="13" t="str">
        <f t="shared" si="12"/>
        <v/>
      </c>
    </row>
    <row r="82" spans="1:38" x14ac:dyDescent="0.25">
      <c r="A82" s="30" t="s">
        <v>192</v>
      </c>
      <c r="B82" s="4" t="s">
        <v>203</v>
      </c>
      <c r="C82" t="str">
        <f>VLOOKUP(B82,[1]Plantings!$A$2:$C$285,2,FALSE)</f>
        <v>HAR_shallow_L1</v>
      </c>
      <c r="D82" t="str">
        <f>VLOOKUP(B82,[1]Plantings!$A$2:$C$285,3,FALSE)</f>
        <v>single</v>
      </c>
      <c r="E82" s="30">
        <v>2018</v>
      </c>
      <c r="G82" s="30" t="s">
        <v>59</v>
      </c>
      <c r="H82" s="30" t="s">
        <v>10</v>
      </c>
      <c r="I82" t="s">
        <v>29</v>
      </c>
      <c r="J82" s="4" t="s">
        <v>12</v>
      </c>
      <c r="K82" s="4" t="s">
        <v>50</v>
      </c>
      <c r="L82" s="4" t="s">
        <v>50</v>
      </c>
      <c r="M82" s="7" t="s">
        <v>51</v>
      </c>
      <c r="N82" s="4" t="s">
        <v>52</v>
      </c>
      <c r="O82" s="30" t="s">
        <v>35</v>
      </c>
      <c r="P82" s="4" t="s">
        <v>53</v>
      </c>
      <c r="R82" s="30" t="s">
        <v>76</v>
      </c>
      <c r="S82" t="s">
        <v>76</v>
      </c>
      <c r="T82" s="27">
        <v>43265</v>
      </c>
      <c r="U82" s="11">
        <v>47.293693353000002</v>
      </c>
      <c r="V82" s="11">
        <v>-122.854603497</v>
      </c>
      <c r="W82" t="str">
        <f>VLOOKUP(B82,[1]Plantings!$A$2:$E$285,4,FALSE)</f>
        <v>line</v>
      </c>
      <c r="X82" s="11" t="str">
        <f>VLOOKUP(B82,[1]Plantings!$A$2:$E$285,5,FALSE)</f>
        <v>retain</v>
      </c>
      <c r="Y82" t="s">
        <v>1</v>
      </c>
      <c r="Z82">
        <v>-1</v>
      </c>
      <c r="AA82" t="s">
        <v>54</v>
      </c>
      <c r="AB82">
        <v>31</v>
      </c>
      <c r="AC82">
        <v>5</v>
      </c>
      <c r="AD82">
        <f>AB82*AC82</f>
        <v>155</v>
      </c>
      <c r="AE82">
        <f>AG82*0.25</f>
        <v>97</v>
      </c>
      <c r="AF82" s="14">
        <f t="shared" si="10"/>
        <v>9.7000000000000011</v>
      </c>
      <c r="AG82" s="15">
        <v>388</v>
      </c>
      <c r="AH82" s="15">
        <v>9688</v>
      </c>
      <c r="AI82" s="13">
        <f t="shared" si="11"/>
        <v>62.50322580645161</v>
      </c>
      <c r="AJ82" s="13">
        <f t="shared" si="12"/>
        <v>99.876288659793815</v>
      </c>
      <c r="AK82" t="s">
        <v>165</v>
      </c>
      <c r="AL82" s="3" t="s">
        <v>204</v>
      </c>
    </row>
    <row r="83" spans="1:38" x14ac:dyDescent="0.25">
      <c r="A83" s="30" t="s">
        <v>192</v>
      </c>
      <c r="B83" s="4" t="s">
        <v>203</v>
      </c>
      <c r="C83" t="str">
        <f>VLOOKUP(B83,[1]Plantings!$A$2:$C$285,2,FALSE)</f>
        <v>HAR_shallow_L1</v>
      </c>
      <c r="D83" t="str">
        <f>VLOOKUP(B83,[1]Plantings!$A$2:$C$285,3,FALSE)</f>
        <v>single</v>
      </c>
      <c r="E83" s="30">
        <v>2018</v>
      </c>
      <c r="G83" s="30" t="s">
        <v>59</v>
      </c>
      <c r="H83" s="30" t="s">
        <v>10</v>
      </c>
      <c r="I83" t="s">
        <v>29</v>
      </c>
      <c r="J83" s="4" t="s">
        <v>12</v>
      </c>
      <c r="K83" s="4" t="s">
        <v>50</v>
      </c>
      <c r="L83" s="4" t="s">
        <v>50</v>
      </c>
      <c r="M83" s="7" t="s">
        <v>51</v>
      </c>
      <c r="N83" s="4" t="s">
        <v>52</v>
      </c>
      <c r="O83" s="30" t="s">
        <v>35</v>
      </c>
      <c r="P83" s="4" t="s">
        <v>53</v>
      </c>
      <c r="R83" s="30" t="s">
        <v>76</v>
      </c>
      <c r="S83" s="20" t="s">
        <v>70</v>
      </c>
      <c r="T83" s="27">
        <v>43265</v>
      </c>
      <c r="U83" s="11">
        <v>47.293960576000003</v>
      </c>
      <c r="V83" s="11">
        <v>-122.854260041</v>
      </c>
      <c r="W83" t="str">
        <f>VLOOKUP(B83,[1]Plantings!$A$2:$E$285,4,FALSE)</f>
        <v>line</v>
      </c>
      <c r="X83" s="11" t="str">
        <f>VLOOKUP(B83,[1]Plantings!$A$2:$E$285,5,FALSE)</f>
        <v>retain</v>
      </c>
      <c r="Y83" t="s">
        <v>1</v>
      </c>
      <c r="Z83">
        <v>-0.9</v>
      </c>
      <c r="AF83" s="14" t="str">
        <f t="shared" si="10"/>
        <v/>
      </c>
      <c r="AG83" s="15"/>
      <c r="AH83" s="15"/>
      <c r="AI83" s="13" t="str">
        <f t="shared" si="11"/>
        <v/>
      </c>
      <c r="AJ83" s="13" t="str">
        <f t="shared" si="12"/>
        <v/>
      </c>
      <c r="AL83" s="3" t="s">
        <v>205</v>
      </c>
    </row>
    <row r="84" spans="1:38" x14ac:dyDescent="0.25">
      <c r="A84" t="s">
        <v>192</v>
      </c>
      <c r="B84" t="s">
        <v>206</v>
      </c>
      <c r="C84" t="str">
        <f>VLOOKUP(B84,[1]Plantings!$A$2:$C$285,2,FALSE)</f>
        <v>HAR_shallow_L2</v>
      </c>
      <c r="D84" t="str">
        <f>VLOOKUP(B84,[1]Plantings!$A$2:$C$285,3,FALSE)</f>
        <v>single</v>
      </c>
      <c r="E84">
        <v>2019</v>
      </c>
      <c r="G84" t="s">
        <v>59</v>
      </c>
      <c r="H84" t="s">
        <v>10</v>
      </c>
      <c r="I84" t="s">
        <v>29</v>
      </c>
      <c r="J84" s="4" t="s">
        <v>86</v>
      </c>
      <c r="K84" s="4" t="s">
        <v>17</v>
      </c>
      <c r="L84" s="4" t="s">
        <v>17</v>
      </c>
      <c r="M84" s="4" t="s">
        <v>112</v>
      </c>
      <c r="N84" s="4"/>
      <c r="O84" s="4" t="s">
        <v>35</v>
      </c>
      <c r="P84" s="4" t="s">
        <v>113</v>
      </c>
      <c r="R84" t="s">
        <v>76</v>
      </c>
      <c r="S84" s="20" t="s">
        <v>76</v>
      </c>
      <c r="T84" s="27">
        <v>43599</v>
      </c>
      <c r="U84" s="11">
        <v>47.294047956</v>
      </c>
      <c r="V84" s="11">
        <v>-122.854168074</v>
      </c>
      <c r="W84" t="str">
        <f>VLOOKUP(B84,[1]Plantings!$A$2:$E$285,4,FALSE)</f>
        <v>line</v>
      </c>
      <c r="X84" s="11" t="str">
        <f>VLOOKUP(B84,[1]Plantings!$A$2:$E$285,5,FALSE)</f>
        <v>retain</v>
      </c>
      <c r="Y84" t="s">
        <v>1</v>
      </c>
      <c r="Z84">
        <v>-0.9</v>
      </c>
      <c r="AA84" s="13" t="s">
        <v>54</v>
      </c>
      <c r="AB84">
        <v>39</v>
      </c>
      <c r="AC84">
        <v>6</v>
      </c>
      <c r="AD84">
        <f>AB84*AC84</f>
        <v>234</v>
      </c>
      <c r="AE84">
        <f>AG84*0.25</f>
        <v>136.75</v>
      </c>
      <c r="AF84" s="14">
        <f t="shared" si="10"/>
        <v>13.675000000000001</v>
      </c>
      <c r="AG84">
        <v>547</v>
      </c>
      <c r="AH84" s="28">
        <v>13320</v>
      </c>
      <c r="AI84" s="13">
        <f t="shared" si="11"/>
        <v>56.92307692307692</v>
      </c>
      <c r="AJ84" s="13">
        <f t="shared" si="12"/>
        <v>97.404021937842785</v>
      </c>
      <c r="AK84" t="s">
        <v>207</v>
      </c>
      <c r="AL84" s="19" t="s">
        <v>208</v>
      </c>
    </row>
    <row r="85" spans="1:38" x14ac:dyDescent="0.25">
      <c r="A85" s="4" t="s">
        <v>192</v>
      </c>
      <c r="B85" t="s">
        <v>206</v>
      </c>
      <c r="C85" t="str">
        <f>VLOOKUP(B85,[1]Plantings!$A$2:$C$285,2,FALSE)</f>
        <v>HAR_shallow_L2</v>
      </c>
      <c r="D85" t="str">
        <f>VLOOKUP(B85,[1]Plantings!$A$2:$C$285,3,FALSE)</f>
        <v>single</v>
      </c>
      <c r="E85">
        <v>2019</v>
      </c>
      <c r="F85" s="4"/>
      <c r="G85" t="s">
        <v>59</v>
      </c>
      <c r="H85" t="s">
        <v>10</v>
      </c>
      <c r="I85" t="s">
        <v>29</v>
      </c>
      <c r="J85" s="4" t="s">
        <v>86</v>
      </c>
      <c r="K85" s="4" t="s">
        <v>17</v>
      </c>
      <c r="L85" s="4" t="s">
        <v>17</v>
      </c>
      <c r="M85" s="4" t="s">
        <v>112</v>
      </c>
      <c r="N85" s="4"/>
      <c r="O85" s="4" t="s">
        <v>35</v>
      </c>
      <c r="P85" s="4" t="s">
        <v>113</v>
      </c>
      <c r="Q85" s="4"/>
      <c r="R85" t="s">
        <v>76</v>
      </c>
      <c r="S85" s="20" t="s">
        <v>70</v>
      </c>
      <c r="T85" s="27">
        <v>43599</v>
      </c>
      <c r="U85" s="11">
        <v>47.294176696000001</v>
      </c>
      <c r="V85" s="11">
        <v>-122.85368944299999</v>
      </c>
      <c r="W85" t="str">
        <f>VLOOKUP(B85,[1]Plantings!$A$2:$E$285,4,FALSE)</f>
        <v>line</v>
      </c>
      <c r="X85" s="11" t="str">
        <f>VLOOKUP(B85,[1]Plantings!$A$2:$E$285,5,FALSE)</f>
        <v>retain</v>
      </c>
      <c r="Y85" t="s">
        <v>1</v>
      </c>
      <c r="Z85">
        <v>-1.2</v>
      </c>
      <c r="AA85" s="13"/>
      <c r="AF85" s="14"/>
      <c r="AL85" s="3" t="s">
        <v>209</v>
      </c>
    </row>
    <row r="86" spans="1:38" x14ac:dyDescent="0.25">
      <c r="A86" s="4" t="s">
        <v>192</v>
      </c>
      <c r="B86" t="s">
        <v>210</v>
      </c>
      <c r="C86" t="str">
        <f>VLOOKUP(B86,[1]Plantings!$A$2:$C$285,2,FALSE)</f>
        <v>HAR_shallow_L3</v>
      </c>
      <c r="D86" t="str">
        <f>VLOOKUP(B86,[1]Plantings!$A$2:$C$285,3,FALSE)</f>
        <v>single</v>
      </c>
      <c r="E86" s="7">
        <v>2020</v>
      </c>
      <c r="G86" t="s">
        <v>59</v>
      </c>
      <c r="H86" t="s">
        <v>10</v>
      </c>
      <c r="I86" t="s">
        <v>29</v>
      </c>
      <c r="J86" s="7" t="s">
        <v>86</v>
      </c>
      <c r="K86" s="7" t="s">
        <v>17</v>
      </c>
      <c r="L86" s="7" t="s">
        <v>17</v>
      </c>
      <c r="M86" s="7" t="s">
        <v>112</v>
      </c>
      <c r="N86" s="4"/>
      <c r="O86" s="4" t="s">
        <v>35</v>
      </c>
      <c r="R86" t="s">
        <v>76</v>
      </c>
      <c r="S86" s="20" t="s">
        <v>76</v>
      </c>
      <c r="T86" s="27">
        <v>43983</v>
      </c>
      <c r="U86" s="11">
        <v>47.293015107999999</v>
      </c>
      <c r="V86" s="11">
        <v>-122.855246839</v>
      </c>
      <c r="W86" t="str">
        <f>VLOOKUP(B86,[1]Plantings!$A$2:$E$285,4,FALSE)</f>
        <v>line</v>
      </c>
      <c r="X86" s="11" t="str">
        <f>VLOOKUP(B86,[1]Plantings!$A$2:$E$285,5,FALSE)</f>
        <v>retain</v>
      </c>
      <c r="Y86" t="s">
        <v>1</v>
      </c>
      <c r="Z86">
        <v>-0.9</v>
      </c>
      <c r="AA86" s="13" t="s">
        <v>54</v>
      </c>
      <c r="AB86">
        <v>32</v>
      </c>
      <c r="AC86">
        <v>6</v>
      </c>
      <c r="AD86">
        <f>AB86*AC86</f>
        <v>192</v>
      </c>
      <c r="AE86">
        <f>AG86*0.25</f>
        <v>118.5</v>
      </c>
      <c r="AF86" s="14">
        <f>IF(AA86="staple",AG86*0.005,IF(AA86="rebar",AG86*0.025,IF(AA86="burlap",AG86*0.0625,IF(AA86="washer",AG86*0.0025,IF(AA86="pucks",AG86*0.00785,IF(AA86="turf",AG86*0.01,IF(AA86="","")))))))</f>
        <v>11.850000000000001</v>
      </c>
      <c r="AG86">
        <v>474</v>
      </c>
      <c r="AH86" s="29">
        <v>11390</v>
      </c>
      <c r="AI86" s="13">
        <f>IFERROR(AH86/AD86, "")</f>
        <v>59.322916666666664</v>
      </c>
      <c r="AJ86" s="13">
        <f>IFERROR(AH86/AE86, "")</f>
        <v>96.118143459915615</v>
      </c>
      <c r="AK86" t="s">
        <v>207</v>
      </c>
      <c r="AL86" s="3" t="s">
        <v>211</v>
      </c>
    </row>
    <row r="87" spans="1:38" x14ac:dyDescent="0.25">
      <c r="A87" s="4" t="s">
        <v>192</v>
      </c>
      <c r="B87" t="s">
        <v>210</v>
      </c>
      <c r="C87" t="str">
        <f>VLOOKUP(B87,[1]Plantings!$A$2:$C$285,2,FALSE)</f>
        <v>HAR_shallow_L3</v>
      </c>
      <c r="D87" t="str">
        <f>VLOOKUP(B87,[1]Plantings!$A$2:$C$285,3,FALSE)</f>
        <v>single</v>
      </c>
      <c r="E87" s="7">
        <v>2020</v>
      </c>
      <c r="G87" t="s">
        <v>59</v>
      </c>
      <c r="H87" t="s">
        <v>10</v>
      </c>
      <c r="I87" t="s">
        <v>29</v>
      </c>
      <c r="J87" s="7" t="s">
        <v>86</v>
      </c>
      <c r="K87" s="7" t="s">
        <v>17</v>
      </c>
      <c r="L87" s="7" t="s">
        <v>17</v>
      </c>
      <c r="M87" s="7" t="s">
        <v>112</v>
      </c>
      <c r="N87" s="4"/>
      <c r="O87" s="4" t="s">
        <v>35</v>
      </c>
      <c r="R87" t="s">
        <v>76</v>
      </c>
      <c r="S87" s="20" t="s">
        <v>70</v>
      </c>
      <c r="T87" s="27">
        <v>43983</v>
      </c>
      <c r="U87" s="11">
        <v>47.293316236000003</v>
      </c>
      <c r="V87" s="11">
        <v>-122.854970201</v>
      </c>
      <c r="W87" t="str">
        <f>VLOOKUP(B87,[1]Plantings!$A$2:$E$285,4,FALSE)</f>
        <v>line</v>
      </c>
      <c r="X87" s="11" t="str">
        <f>VLOOKUP(B87,[1]Plantings!$A$2:$E$285,5,FALSE)</f>
        <v>retain</v>
      </c>
      <c r="Y87" t="s">
        <v>1</v>
      </c>
      <c r="Z87">
        <v>-1</v>
      </c>
      <c r="AA87" s="13"/>
      <c r="AF87" s="14"/>
      <c r="AH87" s="29"/>
      <c r="AI87" s="13"/>
      <c r="AJ87" s="13"/>
      <c r="AL87" s="3" t="s">
        <v>212</v>
      </c>
    </row>
    <row r="88" spans="1:38" x14ac:dyDescent="0.25">
      <c r="A88" s="4" t="s">
        <v>192</v>
      </c>
      <c r="B88" s="4" t="s">
        <v>213</v>
      </c>
      <c r="C88" t="str">
        <f>VLOOKUP(B88,[1]Plantings!$A$2:$C$285,2,FALSE)</f>
        <v>HAR_5</v>
      </c>
      <c r="D88" t="str">
        <f>VLOOKUP(B88,[1]Plantings!$A$2:$C$285,3,FALSE)</f>
        <v>single</v>
      </c>
      <c r="E88" s="7">
        <v>2020</v>
      </c>
      <c r="G88" t="s">
        <v>0</v>
      </c>
      <c r="H88" t="s">
        <v>10</v>
      </c>
      <c r="I88" t="s">
        <v>29</v>
      </c>
      <c r="J88" s="4" t="s">
        <v>86</v>
      </c>
      <c r="K88" s="4" t="s">
        <v>50</v>
      </c>
      <c r="L88" s="4" t="s">
        <v>50</v>
      </c>
      <c r="M88" s="7" t="s">
        <v>51</v>
      </c>
      <c r="N88" s="4" t="s">
        <v>52</v>
      </c>
      <c r="O88" s="4" t="s">
        <v>35</v>
      </c>
      <c r="R88" t="s">
        <v>38</v>
      </c>
      <c r="S88" t="s">
        <v>38</v>
      </c>
      <c r="T88" s="27">
        <v>44011</v>
      </c>
      <c r="U88" s="11">
        <v>47.295769999999997</v>
      </c>
      <c r="V88" s="11">
        <v>-122.84945999999999</v>
      </c>
      <c r="W88" t="str">
        <f>VLOOKUP(B88,[1]Plantings!$A$2:$E$285,4,FALSE)</f>
        <v>point</v>
      </c>
      <c r="X88" s="11" t="str">
        <f>VLOOKUP(B88,[1]Plantings!$A$2:$E$285,5,FALSE)</f>
        <v>retain</v>
      </c>
      <c r="Y88" s="16" t="s">
        <v>1</v>
      </c>
      <c r="Z88" s="12">
        <v>-1.2</v>
      </c>
      <c r="AA88" s="13" t="s">
        <v>54</v>
      </c>
      <c r="AB88">
        <v>2.5</v>
      </c>
      <c r="AC88">
        <v>2.5</v>
      </c>
      <c r="AD88">
        <f t="shared" ref="AD88:AD97" si="14">AB88*AC88</f>
        <v>6.25</v>
      </c>
      <c r="AE88">
        <f>AG88*0.25</f>
        <v>5</v>
      </c>
      <c r="AF88" s="14">
        <f t="shared" ref="AF88:AF97" si="15">IF(AA88="staple",AG88*0.005,IF(AA88="rebar",AG88*0.025,IF(AA88="burlap",AG88*0.0625,IF(AA88="washer",AG88*0.0025,IF(AA88="pucks",AG88*0.00785,IF(AA88="turf",AG88*0.01,IF(AA88="","")))))))</f>
        <v>0.5</v>
      </c>
      <c r="AG88">
        <v>20</v>
      </c>
      <c r="AH88">
        <v>500</v>
      </c>
      <c r="AI88" s="13">
        <f t="shared" ref="AI88:AI151" si="16">IFERROR(AH88/AD88, "")</f>
        <v>80</v>
      </c>
      <c r="AJ88" s="13">
        <f t="shared" ref="AJ88:AJ151" si="17">IFERROR(AH88/AE88, "")</f>
        <v>100</v>
      </c>
      <c r="AK88" t="s">
        <v>67</v>
      </c>
      <c r="AL88" s="3" t="s">
        <v>214</v>
      </c>
    </row>
    <row r="89" spans="1:38" x14ac:dyDescent="0.25">
      <c r="A89" s="4" t="s">
        <v>192</v>
      </c>
      <c r="B89" s="7" t="s">
        <v>215</v>
      </c>
      <c r="C89" t="str">
        <f>VLOOKUP(B89,[1]Plantings!$A$2:$C$285,2,FALSE)</f>
        <v>HAR_6</v>
      </c>
      <c r="D89" t="str">
        <f>VLOOKUP(B89,[1]Plantings!$A$2:$C$285,3,FALSE)</f>
        <v>single</v>
      </c>
      <c r="E89" s="7">
        <v>2020</v>
      </c>
      <c r="G89" t="s">
        <v>0</v>
      </c>
      <c r="H89" t="s">
        <v>10</v>
      </c>
      <c r="I89" t="s">
        <v>29</v>
      </c>
      <c r="J89" s="4" t="s">
        <v>86</v>
      </c>
      <c r="K89" s="4" t="s">
        <v>50</v>
      </c>
      <c r="L89" s="4" t="s">
        <v>50</v>
      </c>
      <c r="M89" s="7" t="s">
        <v>51</v>
      </c>
      <c r="N89" s="4" t="s">
        <v>52</v>
      </c>
      <c r="O89" s="4" t="s">
        <v>35</v>
      </c>
      <c r="R89" t="s">
        <v>38</v>
      </c>
      <c r="S89" t="s">
        <v>38</v>
      </c>
      <c r="T89" s="27">
        <v>44011</v>
      </c>
      <c r="U89" s="11">
        <v>47.292029999999997</v>
      </c>
      <c r="V89" s="11">
        <v>-122.8555666</v>
      </c>
      <c r="W89" t="str">
        <f>VLOOKUP(B89,[1]Plantings!$A$2:$E$285,4,FALSE)</f>
        <v>point</v>
      </c>
      <c r="X89" s="11" t="str">
        <f>VLOOKUP(B89,[1]Plantings!$A$2:$E$285,5,FALSE)</f>
        <v>retain</v>
      </c>
      <c r="Y89" s="16" t="s">
        <v>1</v>
      </c>
      <c r="Z89" s="12">
        <v>-1.1000000000000001</v>
      </c>
      <c r="AA89" s="13" t="s">
        <v>54</v>
      </c>
      <c r="AB89">
        <v>2.5</v>
      </c>
      <c r="AC89">
        <v>2.5</v>
      </c>
      <c r="AD89">
        <f t="shared" si="14"/>
        <v>6.25</v>
      </c>
      <c r="AE89">
        <f>AG89*0.25</f>
        <v>5</v>
      </c>
      <c r="AF89" s="14">
        <f t="shared" si="15"/>
        <v>0.5</v>
      </c>
      <c r="AG89">
        <v>20</v>
      </c>
      <c r="AH89">
        <v>500</v>
      </c>
      <c r="AI89" s="13">
        <f t="shared" si="16"/>
        <v>80</v>
      </c>
      <c r="AJ89" s="13">
        <f t="shared" si="17"/>
        <v>100</v>
      </c>
      <c r="AK89" t="s">
        <v>67</v>
      </c>
      <c r="AL89" s="3" t="s">
        <v>216</v>
      </c>
    </row>
    <row r="90" spans="1:38" x14ac:dyDescent="0.25">
      <c r="A90" t="s">
        <v>217</v>
      </c>
      <c r="B90" t="s">
        <v>218</v>
      </c>
      <c r="C90" t="str">
        <f>VLOOKUP(B90,[1]Plantings!$A$2:$C$285,2,FALSE)</f>
        <v>HRI</v>
      </c>
      <c r="D90" t="str">
        <f>VLOOKUP(B90,[1]Plantings!$A$2:$C$285,3,FALSE)</f>
        <v>single</v>
      </c>
      <c r="E90">
        <v>2015</v>
      </c>
      <c r="G90" t="s">
        <v>0</v>
      </c>
      <c r="H90" t="s">
        <v>10</v>
      </c>
      <c r="I90" t="s">
        <v>29</v>
      </c>
      <c r="J90" t="s">
        <v>4</v>
      </c>
      <c r="K90" t="s">
        <v>43</v>
      </c>
      <c r="L90" t="s">
        <v>44</v>
      </c>
      <c r="O90" t="s">
        <v>35</v>
      </c>
      <c r="P90" t="s">
        <v>45</v>
      </c>
      <c r="Q90" t="s">
        <v>46</v>
      </c>
      <c r="R90" t="s">
        <v>38</v>
      </c>
      <c r="S90" t="s">
        <v>38</v>
      </c>
      <c r="T90" s="27">
        <v>42075</v>
      </c>
      <c r="U90" s="17">
        <v>47.279499000000001</v>
      </c>
      <c r="V90" s="68">
        <v>-122.809296</v>
      </c>
      <c r="W90" t="str">
        <f>VLOOKUP(B90,[1]Plantings!$A$2:$E$285,4,FALSE)</f>
        <v>point</v>
      </c>
      <c r="X90" s="11" t="str">
        <f>VLOOKUP(B90,[1]Plantings!$A$2:$E$285,5,FALSE)</f>
        <v>retain</v>
      </c>
      <c r="Y90" s="16" t="s">
        <v>1</v>
      </c>
      <c r="Z90" s="12">
        <v>-1.2</v>
      </c>
      <c r="AA90" s="13" t="s">
        <v>39</v>
      </c>
      <c r="AB90">
        <v>5</v>
      </c>
      <c r="AC90">
        <v>5</v>
      </c>
      <c r="AD90">
        <f t="shared" si="14"/>
        <v>25</v>
      </c>
      <c r="AE90">
        <v>25</v>
      </c>
      <c r="AF90" s="14">
        <f t="shared" si="15"/>
        <v>0.625</v>
      </c>
      <c r="AG90" s="15">
        <f>AH90/4</f>
        <v>125</v>
      </c>
      <c r="AH90" s="15">
        <v>500</v>
      </c>
      <c r="AI90" s="13">
        <f t="shared" si="16"/>
        <v>20</v>
      </c>
      <c r="AJ90" s="13">
        <f t="shared" si="17"/>
        <v>20</v>
      </c>
      <c r="AK90" t="s">
        <v>165</v>
      </c>
      <c r="AL90" s="3" t="s">
        <v>219</v>
      </c>
    </row>
    <row r="91" spans="1:38" x14ac:dyDescent="0.25">
      <c r="A91" t="s">
        <v>220</v>
      </c>
      <c r="B91" t="s">
        <v>221</v>
      </c>
      <c r="C91" t="str">
        <f>VLOOKUP(B91,[1]Plantings!$A$2:$C$285,2,FALSE)</f>
        <v>HPT_south_1</v>
      </c>
      <c r="D91" t="str">
        <f>VLOOKUP(B91,[1]Plantings!$A$2:$C$285,3,FALSE)</f>
        <v>single</v>
      </c>
      <c r="E91">
        <v>2015</v>
      </c>
      <c r="G91" t="s">
        <v>0</v>
      </c>
      <c r="H91" t="s">
        <v>8</v>
      </c>
      <c r="I91" t="s">
        <v>164</v>
      </c>
      <c r="J91" t="s">
        <v>4</v>
      </c>
      <c r="K91" t="s">
        <v>43</v>
      </c>
      <c r="L91" t="s">
        <v>44</v>
      </c>
      <c r="O91" t="s">
        <v>35</v>
      </c>
      <c r="P91" t="s">
        <v>45</v>
      </c>
      <c r="Q91" t="s">
        <v>46</v>
      </c>
      <c r="R91" t="s">
        <v>38</v>
      </c>
      <c r="S91" t="s">
        <v>38</v>
      </c>
      <c r="T91" s="27">
        <v>42142</v>
      </c>
      <c r="U91" s="11">
        <v>47.151866666666663</v>
      </c>
      <c r="V91" s="11">
        <v>-122.92978333333333</v>
      </c>
      <c r="W91" t="str">
        <f>VLOOKUP(B91,[1]Plantings!$A$2:$E$285,4,FALSE)</f>
        <v>point</v>
      </c>
      <c r="X91" s="11" t="str">
        <f>VLOOKUP(B91,[1]Plantings!$A$2:$E$285,5,FALSE)</f>
        <v>retain</v>
      </c>
      <c r="Y91" s="16" t="s">
        <v>1</v>
      </c>
      <c r="Z91" s="12">
        <v>-1.0668</v>
      </c>
      <c r="AA91" s="38" t="s">
        <v>39</v>
      </c>
      <c r="AB91">
        <v>5</v>
      </c>
      <c r="AC91">
        <v>5</v>
      </c>
      <c r="AD91">
        <f t="shared" si="14"/>
        <v>25</v>
      </c>
      <c r="AE91">
        <v>25</v>
      </c>
      <c r="AF91" s="14">
        <f t="shared" si="15"/>
        <v>0.625</v>
      </c>
      <c r="AG91" s="15">
        <f>AH91/4</f>
        <v>125</v>
      </c>
      <c r="AH91" s="15">
        <v>500</v>
      </c>
      <c r="AI91" s="13">
        <f t="shared" si="16"/>
        <v>20</v>
      </c>
      <c r="AJ91" s="13">
        <f t="shared" si="17"/>
        <v>20</v>
      </c>
      <c r="AK91" t="s">
        <v>40</v>
      </c>
      <c r="AL91" s="3" t="s">
        <v>222</v>
      </c>
    </row>
    <row r="92" spans="1:38" x14ac:dyDescent="0.25">
      <c r="A92" t="s">
        <v>220</v>
      </c>
      <c r="B92" t="s">
        <v>223</v>
      </c>
      <c r="C92" t="str">
        <f>VLOOKUP(B92,[1]Plantings!$A$2:$C$285,2,FALSE)</f>
        <v>HPT_north_2</v>
      </c>
      <c r="D92" t="str">
        <f>VLOOKUP(B92,[1]Plantings!$A$2:$C$285,3,FALSE)</f>
        <v>single</v>
      </c>
      <c r="E92">
        <v>2015</v>
      </c>
      <c r="G92" t="s">
        <v>0</v>
      </c>
      <c r="H92" t="s">
        <v>8</v>
      </c>
      <c r="I92" t="s">
        <v>164</v>
      </c>
      <c r="J92" t="s">
        <v>4</v>
      </c>
      <c r="K92" t="s">
        <v>43</v>
      </c>
      <c r="L92" t="s">
        <v>44</v>
      </c>
      <c r="O92" t="s">
        <v>35</v>
      </c>
      <c r="P92" t="s">
        <v>45</v>
      </c>
      <c r="Q92" t="s">
        <v>46</v>
      </c>
      <c r="R92" t="s">
        <v>38</v>
      </c>
      <c r="S92" t="s">
        <v>38</v>
      </c>
      <c r="T92" s="27">
        <v>42142</v>
      </c>
      <c r="U92" s="11">
        <v>47.155000000000001</v>
      </c>
      <c r="V92" s="11">
        <v>-122.92618333333333</v>
      </c>
      <c r="W92" t="str">
        <f>VLOOKUP(B92,[1]Plantings!$A$2:$E$285,4,FALSE)</f>
        <v>point</v>
      </c>
      <c r="X92" s="11" t="str">
        <f>VLOOKUP(B92,[1]Plantings!$A$2:$E$285,5,FALSE)</f>
        <v>retain</v>
      </c>
      <c r="Y92" s="16" t="s">
        <v>1</v>
      </c>
      <c r="Z92" s="12">
        <v>-1.3715999999999999</v>
      </c>
      <c r="AA92" s="13" t="s">
        <v>39</v>
      </c>
      <c r="AB92">
        <v>5</v>
      </c>
      <c r="AC92">
        <v>5</v>
      </c>
      <c r="AD92">
        <f t="shared" si="14"/>
        <v>25</v>
      </c>
      <c r="AE92">
        <v>25</v>
      </c>
      <c r="AF92" s="14">
        <f t="shared" si="15"/>
        <v>0.625</v>
      </c>
      <c r="AG92" s="15">
        <f>AH92/4</f>
        <v>125</v>
      </c>
      <c r="AH92" s="15">
        <v>500</v>
      </c>
      <c r="AI92" s="13">
        <f t="shared" si="16"/>
        <v>20</v>
      </c>
      <c r="AJ92" s="13">
        <f t="shared" si="17"/>
        <v>20</v>
      </c>
      <c r="AK92" t="s">
        <v>40</v>
      </c>
      <c r="AL92" s="3" t="s">
        <v>224</v>
      </c>
    </row>
    <row r="93" spans="1:38" x14ac:dyDescent="0.25">
      <c r="A93" t="s">
        <v>220</v>
      </c>
      <c r="B93" t="s">
        <v>225</v>
      </c>
      <c r="C93" t="str">
        <f>VLOOKUP(B93,[1]Plantings!$A$2:$C$285,2,FALSE)</f>
        <v>HPT_south_2</v>
      </c>
      <c r="D93" t="str">
        <f>VLOOKUP(B93,[1]Plantings!$A$2:$C$285,3,FALSE)</f>
        <v>single</v>
      </c>
      <c r="E93" s="7">
        <v>2020</v>
      </c>
      <c r="G93" t="s">
        <v>0</v>
      </c>
      <c r="H93" t="s">
        <v>8</v>
      </c>
      <c r="I93" t="s">
        <v>164</v>
      </c>
      <c r="J93" s="4" t="s">
        <v>86</v>
      </c>
      <c r="K93" s="4" t="s">
        <v>50</v>
      </c>
      <c r="L93" s="4" t="s">
        <v>50</v>
      </c>
      <c r="M93" s="7" t="s">
        <v>51</v>
      </c>
      <c r="N93" s="4" t="s">
        <v>52</v>
      </c>
      <c r="O93" s="4" t="s">
        <v>35</v>
      </c>
      <c r="R93" t="s">
        <v>38</v>
      </c>
      <c r="S93" t="s">
        <v>38</v>
      </c>
      <c r="T93" s="27">
        <v>44011</v>
      </c>
      <c r="U93" s="11">
        <v>47.151893000000001</v>
      </c>
      <c r="V93" s="11">
        <v>-122.92966</v>
      </c>
      <c r="W93" t="str">
        <f>VLOOKUP(B93,[1]Plantings!$A$2:$E$285,4,FALSE)</f>
        <v>point</v>
      </c>
      <c r="X93" s="11" t="str">
        <f>VLOOKUP(B93,[1]Plantings!$A$2:$E$285,5,FALSE)</f>
        <v>retain</v>
      </c>
      <c r="Y93" s="16" t="s">
        <v>1</v>
      </c>
      <c r="Z93" s="12">
        <v>-1.5</v>
      </c>
      <c r="AA93" s="13" t="s">
        <v>54</v>
      </c>
      <c r="AB93">
        <v>2.5</v>
      </c>
      <c r="AC93">
        <v>2.5</v>
      </c>
      <c r="AD93">
        <f t="shared" si="14"/>
        <v>6.25</v>
      </c>
      <c r="AE93">
        <f>AG93*0.25</f>
        <v>5</v>
      </c>
      <c r="AF93" s="14">
        <f t="shared" si="15"/>
        <v>0.5</v>
      </c>
      <c r="AG93">
        <v>20</v>
      </c>
      <c r="AH93">
        <v>500</v>
      </c>
      <c r="AI93" s="13">
        <f t="shared" si="16"/>
        <v>80</v>
      </c>
      <c r="AJ93" s="13">
        <f t="shared" si="17"/>
        <v>100</v>
      </c>
      <c r="AK93" t="s">
        <v>67</v>
      </c>
      <c r="AL93" s="3" t="s">
        <v>226</v>
      </c>
    </row>
    <row r="94" spans="1:38" x14ac:dyDescent="0.25">
      <c r="A94" t="s">
        <v>220</v>
      </c>
      <c r="B94" t="s">
        <v>227</v>
      </c>
      <c r="C94" t="str">
        <f>VLOOKUP(B94,[1]Plantings!$A$2:$C$285,2,FALSE)</f>
        <v>HPT_north_2</v>
      </c>
      <c r="D94" t="str">
        <f>VLOOKUP(B94,[1]Plantings!$A$2:$C$285,3,FALSE)</f>
        <v>single</v>
      </c>
      <c r="E94" s="7">
        <v>2020</v>
      </c>
      <c r="G94" t="s">
        <v>0</v>
      </c>
      <c r="H94" t="s">
        <v>8</v>
      </c>
      <c r="I94" t="s">
        <v>164</v>
      </c>
      <c r="J94" s="4" t="s">
        <v>86</v>
      </c>
      <c r="K94" s="4" t="s">
        <v>50</v>
      </c>
      <c r="L94" s="4" t="s">
        <v>50</v>
      </c>
      <c r="M94" s="7" t="s">
        <v>51</v>
      </c>
      <c r="N94" s="4" t="s">
        <v>52</v>
      </c>
      <c r="O94" s="4" t="s">
        <v>35</v>
      </c>
      <c r="R94" t="s">
        <v>38</v>
      </c>
      <c r="S94" t="s">
        <v>38</v>
      </c>
      <c r="T94" s="27">
        <v>44011</v>
      </c>
      <c r="U94" s="11">
        <v>47.154924999999999</v>
      </c>
      <c r="V94" s="11">
        <v>-122.9261166</v>
      </c>
      <c r="W94" t="str">
        <f>VLOOKUP(B94,[1]Plantings!$A$2:$E$285,4,FALSE)</f>
        <v>point</v>
      </c>
      <c r="X94" s="11" t="str">
        <f>VLOOKUP(B94,[1]Plantings!$A$2:$E$285,5,FALSE)</f>
        <v>retain</v>
      </c>
      <c r="Y94" s="16" t="s">
        <v>1</v>
      </c>
      <c r="Z94" s="12">
        <v>-1.5</v>
      </c>
      <c r="AA94" s="13" t="s">
        <v>54</v>
      </c>
      <c r="AB94">
        <v>3</v>
      </c>
      <c r="AC94">
        <v>2.5</v>
      </c>
      <c r="AD94">
        <f t="shared" si="14"/>
        <v>7.5</v>
      </c>
      <c r="AE94">
        <f>AG94*0.25</f>
        <v>6</v>
      </c>
      <c r="AF94" s="14">
        <f t="shared" si="15"/>
        <v>0.60000000000000009</v>
      </c>
      <c r="AG94">
        <v>24</v>
      </c>
      <c r="AH94">
        <v>600</v>
      </c>
      <c r="AI94" s="13">
        <f t="shared" si="16"/>
        <v>80</v>
      </c>
      <c r="AJ94" s="13">
        <f t="shared" si="17"/>
        <v>100</v>
      </c>
      <c r="AK94" t="s">
        <v>67</v>
      </c>
      <c r="AL94" s="3" t="s">
        <v>228</v>
      </c>
    </row>
    <row r="95" spans="1:38" x14ac:dyDescent="0.25">
      <c r="A95" t="s">
        <v>229</v>
      </c>
      <c r="B95" t="s">
        <v>230</v>
      </c>
      <c r="C95" t="str">
        <f>VLOOKUP(B95,[1]Plantings!$A$2:$C$285,2,FALSE)</f>
        <v>JSP_mid_shallow</v>
      </c>
      <c r="D95" t="str">
        <f>VLOOKUP(B95,[1]Plantings!$A$2:$C$285,3,FALSE)</f>
        <v>single</v>
      </c>
      <c r="E95">
        <v>2013</v>
      </c>
      <c r="G95" t="s">
        <v>0</v>
      </c>
      <c r="H95" t="s">
        <v>10</v>
      </c>
      <c r="I95" t="s">
        <v>29</v>
      </c>
      <c r="J95" t="s">
        <v>30</v>
      </c>
      <c r="K95" t="s">
        <v>31</v>
      </c>
      <c r="L95" t="s">
        <v>32</v>
      </c>
      <c r="M95" t="s">
        <v>33</v>
      </c>
      <c r="N95" t="s">
        <v>34</v>
      </c>
      <c r="O95" t="s">
        <v>35</v>
      </c>
      <c r="P95" t="s">
        <v>36</v>
      </c>
      <c r="Q95" t="s">
        <v>37</v>
      </c>
      <c r="R95" t="s">
        <v>38</v>
      </c>
      <c r="S95" t="s">
        <v>38</v>
      </c>
      <c r="T95" s="27">
        <v>41430</v>
      </c>
      <c r="U95" s="11">
        <v>47.22228333333333</v>
      </c>
      <c r="V95" s="11">
        <v>-122.80965</v>
      </c>
      <c r="W95" t="str">
        <f>VLOOKUP(B95,[1]Plantings!$A$2:$E$285,4,FALSE)</f>
        <v>point</v>
      </c>
      <c r="X95" s="11" t="str">
        <f>VLOOKUP(B95,[1]Plantings!$A$2:$E$285,5,FALSE)</f>
        <v>retain</v>
      </c>
      <c r="Y95" s="16" t="s">
        <v>1</v>
      </c>
      <c r="Z95" s="12">
        <v>-0.91439999999999999</v>
      </c>
      <c r="AA95" s="13" t="s">
        <v>39</v>
      </c>
      <c r="AB95">
        <v>6</v>
      </c>
      <c r="AC95">
        <v>6</v>
      </c>
      <c r="AD95">
        <f t="shared" si="14"/>
        <v>36</v>
      </c>
      <c r="AE95">
        <v>36</v>
      </c>
      <c r="AF95" s="14">
        <f t="shared" si="15"/>
        <v>0.89</v>
      </c>
      <c r="AG95" s="15">
        <f>AH95/4</f>
        <v>178</v>
      </c>
      <c r="AH95" s="15">
        <v>712</v>
      </c>
      <c r="AI95" s="13">
        <f t="shared" si="16"/>
        <v>19.777777777777779</v>
      </c>
      <c r="AJ95" s="13">
        <f t="shared" si="17"/>
        <v>19.777777777777779</v>
      </c>
      <c r="AK95" t="s">
        <v>231</v>
      </c>
      <c r="AL95" s="3" t="s">
        <v>232</v>
      </c>
    </row>
    <row r="96" spans="1:38" x14ac:dyDescent="0.25">
      <c r="A96" t="s">
        <v>229</v>
      </c>
      <c r="B96" t="s">
        <v>233</v>
      </c>
      <c r="C96" t="str">
        <f>VLOOKUP(B96,[1]Plantings!$A$2:$C$285,2,FALSE)</f>
        <v>JSP_mid_deep</v>
      </c>
      <c r="D96" t="str">
        <f>VLOOKUP(B96,[1]Plantings!$A$2:$C$285,3,FALSE)</f>
        <v>single</v>
      </c>
      <c r="E96">
        <v>2013</v>
      </c>
      <c r="G96" t="s">
        <v>0</v>
      </c>
      <c r="H96" t="s">
        <v>10</v>
      </c>
      <c r="I96" t="s">
        <v>29</v>
      </c>
      <c r="J96" t="s">
        <v>30</v>
      </c>
      <c r="K96" t="s">
        <v>31</v>
      </c>
      <c r="L96" t="s">
        <v>32</v>
      </c>
      <c r="M96" t="s">
        <v>33</v>
      </c>
      <c r="N96" t="s">
        <v>34</v>
      </c>
      <c r="O96" t="s">
        <v>35</v>
      </c>
      <c r="P96" t="s">
        <v>36</v>
      </c>
      <c r="Q96" t="s">
        <v>37</v>
      </c>
      <c r="R96" t="s">
        <v>38</v>
      </c>
      <c r="S96" t="s">
        <v>38</v>
      </c>
      <c r="T96" s="27">
        <v>41430</v>
      </c>
      <c r="U96" s="11">
        <v>47.222016666666669</v>
      </c>
      <c r="V96" s="11">
        <v>-122.81008333333334</v>
      </c>
      <c r="W96" t="str">
        <f>VLOOKUP(B96,[1]Plantings!$A$2:$E$285,4,FALSE)</f>
        <v>point</v>
      </c>
      <c r="X96" s="11" t="str">
        <f>VLOOKUP(B96,[1]Plantings!$A$2:$E$285,5,FALSE)</f>
        <v>retain</v>
      </c>
      <c r="Y96" s="16" t="s">
        <v>1</v>
      </c>
      <c r="Z96" s="12">
        <v>-1.524</v>
      </c>
      <c r="AA96" s="13" t="s">
        <v>39</v>
      </c>
      <c r="AB96">
        <v>6</v>
      </c>
      <c r="AC96">
        <v>6</v>
      </c>
      <c r="AD96">
        <f t="shared" si="14"/>
        <v>36</v>
      </c>
      <c r="AE96">
        <v>36</v>
      </c>
      <c r="AF96" s="14">
        <f t="shared" si="15"/>
        <v>0.89</v>
      </c>
      <c r="AG96" s="15">
        <f>AH96/4</f>
        <v>178</v>
      </c>
      <c r="AH96" s="15">
        <v>712</v>
      </c>
      <c r="AI96" s="13">
        <f t="shared" si="16"/>
        <v>19.777777777777779</v>
      </c>
      <c r="AJ96" s="13">
        <f t="shared" si="17"/>
        <v>19.777777777777779</v>
      </c>
      <c r="AK96" t="s">
        <v>231</v>
      </c>
      <c r="AL96" s="3" t="s">
        <v>234</v>
      </c>
    </row>
    <row r="97" spans="1:38" x14ac:dyDescent="0.25">
      <c r="A97" t="s">
        <v>229</v>
      </c>
      <c r="B97" t="s">
        <v>235</v>
      </c>
      <c r="C97" t="str">
        <f>VLOOKUP(B97,[1]Plantings!$A$2:$C$285,2,FALSE)</f>
        <v>JSP_mid_south_P1</v>
      </c>
      <c r="D97" t="str">
        <f>VLOOKUP(B97,[1]Plantings!$A$2:$C$285,3,FALSE)</f>
        <v>single</v>
      </c>
      <c r="E97">
        <v>2015</v>
      </c>
      <c r="G97" t="s">
        <v>75</v>
      </c>
      <c r="H97" t="s">
        <v>10</v>
      </c>
      <c r="I97" t="s">
        <v>29</v>
      </c>
      <c r="J97" t="s">
        <v>4</v>
      </c>
      <c r="K97" t="s">
        <v>43</v>
      </c>
      <c r="L97" t="s">
        <v>44</v>
      </c>
      <c r="O97" t="s">
        <v>35</v>
      </c>
      <c r="P97" t="s">
        <v>45</v>
      </c>
      <c r="Q97" t="s">
        <v>46</v>
      </c>
      <c r="R97" t="s">
        <v>76</v>
      </c>
      <c r="S97" t="s">
        <v>76</v>
      </c>
      <c r="T97" s="27">
        <v>42141</v>
      </c>
      <c r="U97" s="11">
        <v>47.222349999999999</v>
      </c>
      <c r="V97" s="11">
        <v>-122.8105</v>
      </c>
      <c r="W97" t="str">
        <f>VLOOKUP(B97,[1]Plantings!$A$2:$E$285,4,FALSE)</f>
        <v>polygon</v>
      </c>
      <c r="X97" s="11" t="str">
        <f>VLOOKUP(B97,[1]Plantings!$A$2:$E$285,5,FALSE)</f>
        <v>retain</v>
      </c>
      <c r="Y97" t="s">
        <v>1</v>
      </c>
      <c r="Z97" s="12"/>
      <c r="AA97" s="29" t="s">
        <v>39</v>
      </c>
      <c r="AB97">
        <v>50</v>
      </c>
      <c r="AC97">
        <v>40</v>
      </c>
      <c r="AD97">
        <f t="shared" si="14"/>
        <v>2000</v>
      </c>
      <c r="AE97" s="29">
        <v>126.25</v>
      </c>
      <c r="AF97" s="14">
        <f t="shared" si="15"/>
        <v>12.75</v>
      </c>
      <c r="AG97" s="15">
        <f>AH97/4</f>
        <v>2550</v>
      </c>
      <c r="AH97" s="28">
        <v>10200</v>
      </c>
      <c r="AI97" s="13">
        <f t="shared" si="16"/>
        <v>5.0999999999999996</v>
      </c>
      <c r="AJ97" s="13">
        <f t="shared" si="17"/>
        <v>80.792079207920793</v>
      </c>
      <c r="AK97" t="s">
        <v>236</v>
      </c>
      <c r="AL97" s="48" t="s">
        <v>237</v>
      </c>
    </row>
    <row r="98" spans="1:38" x14ac:dyDescent="0.25">
      <c r="A98" t="s">
        <v>229</v>
      </c>
      <c r="B98" t="s">
        <v>238</v>
      </c>
      <c r="C98" t="str">
        <f>VLOOKUP(B98,[1]Plantings!$A$2:$C$285,2,FALSE)</f>
        <v>JSP_mid_south_P1</v>
      </c>
      <c r="D98" t="str">
        <f>VLOOKUP(B98,[1]Plantings!$A$2:$C$285,3,FALSE)</f>
        <v>single</v>
      </c>
      <c r="E98">
        <v>2015</v>
      </c>
      <c r="G98" t="s">
        <v>75</v>
      </c>
      <c r="H98" t="s">
        <v>10</v>
      </c>
      <c r="I98" t="s">
        <v>29</v>
      </c>
      <c r="J98" t="s">
        <v>4</v>
      </c>
      <c r="K98" t="s">
        <v>43</v>
      </c>
      <c r="L98" t="s">
        <v>44</v>
      </c>
      <c r="O98" t="s">
        <v>35</v>
      </c>
      <c r="P98" t="s">
        <v>45</v>
      </c>
      <c r="Q98" t="s">
        <v>46</v>
      </c>
      <c r="R98" t="s">
        <v>76</v>
      </c>
      <c r="S98" s="20" t="s">
        <v>70</v>
      </c>
      <c r="T98" s="27">
        <v>42141</v>
      </c>
      <c r="U98" s="11">
        <v>47.222516666666664</v>
      </c>
      <c r="V98" s="11">
        <v>-122.81003333333334</v>
      </c>
      <c r="W98" t="str">
        <f>VLOOKUP(B98,[1]Plantings!$A$2:$E$285,4,FALSE)</f>
        <v>polygon</v>
      </c>
      <c r="X98" s="11" t="str">
        <f>VLOOKUP(B98,[1]Plantings!$A$2:$E$285,5,FALSE)</f>
        <v>retain</v>
      </c>
      <c r="Y98" s="16" t="s">
        <v>1</v>
      </c>
      <c r="Z98" s="12"/>
      <c r="AA98" s="29" t="s">
        <v>39</v>
      </c>
      <c r="AE98" s="13"/>
      <c r="AF98" s="14"/>
      <c r="AG98" s="15"/>
      <c r="AH98" s="15"/>
      <c r="AI98" s="13" t="str">
        <f t="shared" si="16"/>
        <v/>
      </c>
      <c r="AJ98" s="13" t="str">
        <f t="shared" si="17"/>
        <v/>
      </c>
      <c r="AL98" s="19" t="s">
        <v>239</v>
      </c>
    </row>
    <row r="99" spans="1:38" x14ac:dyDescent="0.25">
      <c r="A99" t="s">
        <v>229</v>
      </c>
      <c r="B99" t="s">
        <v>240</v>
      </c>
      <c r="C99" t="str">
        <f>VLOOKUP(B99,[1]Plantings!$A$2:$C$285,2,FALSE)</f>
        <v>JSP_mid_south_P1</v>
      </c>
      <c r="D99" t="str">
        <f>VLOOKUP(B99,[1]Plantings!$A$2:$C$285,3,FALSE)</f>
        <v>single</v>
      </c>
      <c r="E99">
        <v>2015</v>
      </c>
      <c r="G99" t="s">
        <v>75</v>
      </c>
      <c r="H99" t="s">
        <v>10</v>
      </c>
      <c r="I99" t="s">
        <v>29</v>
      </c>
      <c r="J99" t="s">
        <v>4</v>
      </c>
      <c r="K99" t="s">
        <v>43</v>
      </c>
      <c r="L99" t="s">
        <v>44</v>
      </c>
      <c r="O99" t="s">
        <v>35</v>
      </c>
      <c r="P99" t="s">
        <v>45</v>
      </c>
      <c r="Q99" t="s">
        <v>46</v>
      </c>
      <c r="R99" t="s">
        <v>76</v>
      </c>
      <c r="S99" s="20" t="s">
        <v>70</v>
      </c>
      <c r="T99" s="27">
        <v>42141</v>
      </c>
      <c r="U99" s="11">
        <v>47.222149999999999</v>
      </c>
      <c r="V99" s="11">
        <v>-122.80966666666667</v>
      </c>
      <c r="W99" t="str">
        <f>VLOOKUP(B99,[1]Plantings!$A$2:$E$285,4,FALSE)</f>
        <v>polygon</v>
      </c>
      <c r="X99" s="11" t="str">
        <f>VLOOKUP(B99,[1]Plantings!$A$2:$E$285,5,FALSE)</f>
        <v>retain</v>
      </c>
      <c r="Y99" s="16" t="s">
        <v>1</v>
      </c>
      <c r="Z99" s="12">
        <v>-0.91439999999999999</v>
      </c>
      <c r="AA99" s="29" t="s">
        <v>39</v>
      </c>
      <c r="AE99" s="13"/>
      <c r="AF99" s="14"/>
      <c r="AG99" s="15"/>
      <c r="AH99" s="15"/>
      <c r="AI99" s="13" t="str">
        <f t="shared" si="16"/>
        <v/>
      </c>
      <c r="AJ99" s="13" t="str">
        <f t="shared" si="17"/>
        <v/>
      </c>
      <c r="AL99" s="19" t="s">
        <v>241</v>
      </c>
    </row>
    <row r="100" spans="1:38" x14ac:dyDescent="0.25">
      <c r="A100" t="s">
        <v>229</v>
      </c>
      <c r="B100" t="s">
        <v>242</v>
      </c>
      <c r="C100" t="str">
        <f>VLOOKUP(B100,[1]Plantings!$A$2:$C$285,2,FALSE)</f>
        <v>JSP_mid_south_P1</v>
      </c>
      <c r="D100" t="str">
        <f>VLOOKUP(B100,[1]Plantings!$A$2:$C$285,3,FALSE)</f>
        <v>single</v>
      </c>
      <c r="E100">
        <v>2015</v>
      </c>
      <c r="G100" t="s">
        <v>75</v>
      </c>
      <c r="H100" t="s">
        <v>10</v>
      </c>
      <c r="I100" t="s">
        <v>29</v>
      </c>
      <c r="J100" t="s">
        <v>4</v>
      </c>
      <c r="K100" t="s">
        <v>43</v>
      </c>
      <c r="L100" t="s">
        <v>44</v>
      </c>
      <c r="O100" t="s">
        <v>35</v>
      </c>
      <c r="P100" t="s">
        <v>45</v>
      </c>
      <c r="Q100" t="s">
        <v>46</v>
      </c>
      <c r="R100" t="s">
        <v>76</v>
      </c>
      <c r="S100" s="20" t="s">
        <v>70</v>
      </c>
      <c r="T100" s="27">
        <v>42141</v>
      </c>
      <c r="U100" s="11">
        <v>47.222000000000001</v>
      </c>
      <c r="V100" s="11">
        <v>-122.81008333333334</v>
      </c>
      <c r="W100" t="str">
        <f>VLOOKUP(B100,[1]Plantings!$A$2:$E$285,4,FALSE)</f>
        <v>polygon</v>
      </c>
      <c r="X100" s="11" t="str">
        <f>VLOOKUP(B100,[1]Plantings!$A$2:$E$285,5,FALSE)</f>
        <v>retain</v>
      </c>
      <c r="Y100" s="16" t="s">
        <v>1</v>
      </c>
      <c r="Z100" s="12">
        <v>-1.524</v>
      </c>
      <c r="AA100" s="29" t="s">
        <v>39</v>
      </c>
      <c r="AE100" s="13"/>
      <c r="AF100" s="14"/>
      <c r="AG100" s="15"/>
      <c r="AH100" s="15"/>
      <c r="AI100" s="13" t="str">
        <f t="shared" si="16"/>
        <v/>
      </c>
      <c r="AJ100" s="13" t="str">
        <f t="shared" si="17"/>
        <v/>
      </c>
      <c r="AL100" s="19" t="s">
        <v>243</v>
      </c>
    </row>
    <row r="101" spans="1:38" x14ac:dyDescent="0.25">
      <c r="A101" t="s">
        <v>229</v>
      </c>
      <c r="B101" t="s">
        <v>244</v>
      </c>
      <c r="C101" t="str">
        <f>VLOOKUP(B101,[1]Plantings!$A$2:$C$285,2,FALSE)</f>
        <v>JSP_mid_north_P1</v>
      </c>
      <c r="D101" t="str">
        <f>VLOOKUP(B101,[1]Plantings!$A$2:$C$285,3,FALSE)</f>
        <v>single</v>
      </c>
      <c r="E101">
        <v>2015</v>
      </c>
      <c r="G101" t="s">
        <v>75</v>
      </c>
      <c r="H101" t="s">
        <v>10</v>
      </c>
      <c r="I101" t="s">
        <v>29</v>
      </c>
      <c r="J101" t="s">
        <v>4</v>
      </c>
      <c r="K101" t="s">
        <v>43</v>
      </c>
      <c r="L101" t="s">
        <v>44</v>
      </c>
      <c r="O101" t="s">
        <v>35</v>
      </c>
      <c r="P101" t="s">
        <v>45</v>
      </c>
      <c r="Q101" t="s">
        <v>245</v>
      </c>
      <c r="R101" t="s">
        <v>76</v>
      </c>
      <c r="S101" t="s">
        <v>76</v>
      </c>
      <c r="T101" s="27">
        <v>42162</v>
      </c>
      <c r="U101" s="11">
        <v>47.223383333333331</v>
      </c>
      <c r="V101" s="11">
        <v>-122.81066666666666</v>
      </c>
      <c r="W101" t="str">
        <f>VLOOKUP(B101,[1]Plantings!$A$2:$E$285,4,FALSE)</f>
        <v>polygon</v>
      </c>
      <c r="X101" s="11" t="str">
        <f>VLOOKUP(B101,[1]Plantings!$A$2:$E$285,5,FALSE)</f>
        <v>retain</v>
      </c>
      <c r="Y101" t="s">
        <v>1</v>
      </c>
      <c r="Z101" s="12">
        <v>-1.28016</v>
      </c>
      <c r="AA101" s="38" t="s">
        <v>39</v>
      </c>
      <c r="AB101" s="49">
        <v>60</v>
      </c>
      <c r="AC101" s="49">
        <v>40</v>
      </c>
      <c r="AD101">
        <f>AB101*AC101</f>
        <v>2400</v>
      </c>
      <c r="AE101" s="29">
        <v>151.25</v>
      </c>
      <c r="AF101" s="14">
        <f>IF(AA101="staple",AG101*0.005,IF(AA101="rebar",AG101*0.025,IF(AA101="burlap",AG101*0.0625,IF(AA101="washer",AG101*0.0025,IF(AA101="pucks",AG101*0.00785,IF(AA101="turf",AG101*0.01,IF(AA101="","")))))))</f>
        <v>15</v>
      </c>
      <c r="AG101" s="15">
        <f>AH101/4</f>
        <v>3000</v>
      </c>
      <c r="AH101" s="21">
        <v>12000</v>
      </c>
      <c r="AI101" s="13">
        <f t="shared" si="16"/>
        <v>5</v>
      </c>
      <c r="AJ101" s="13">
        <f t="shared" si="17"/>
        <v>79.338842975206617</v>
      </c>
      <c r="AK101" t="s">
        <v>236</v>
      </c>
      <c r="AL101" s="19" t="s">
        <v>246</v>
      </c>
    </row>
    <row r="102" spans="1:38" x14ac:dyDescent="0.25">
      <c r="A102" t="s">
        <v>229</v>
      </c>
      <c r="B102" t="s">
        <v>247</v>
      </c>
      <c r="C102" t="str">
        <f>VLOOKUP(B102,[1]Plantings!$A$2:$C$285,2,FALSE)</f>
        <v>JSP_mid_north_P1</v>
      </c>
      <c r="D102" t="str">
        <f>VLOOKUP(B102,[1]Plantings!$A$2:$C$285,3,FALSE)</f>
        <v>single</v>
      </c>
      <c r="E102">
        <v>2015</v>
      </c>
      <c r="G102" t="s">
        <v>75</v>
      </c>
      <c r="H102" t="s">
        <v>10</v>
      </c>
      <c r="I102" t="s">
        <v>29</v>
      </c>
      <c r="J102" t="s">
        <v>4</v>
      </c>
      <c r="K102" t="s">
        <v>43</v>
      </c>
      <c r="L102" t="s">
        <v>44</v>
      </c>
      <c r="O102" t="s">
        <v>35</v>
      </c>
      <c r="P102" t="s">
        <v>45</v>
      </c>
      <c r="Q102" t="s">
        <v>245</v>
      </c>
      <c r="R102" t="s">
        <v>76</v>
      </c>
      <c r="S102" s="20" t="s">
        <v>70</v>
      </c>
      <c r="T102" s="27">
        <v>42162</v>
      </c>
      <c r="U102" s="11">
        <v>47.223383333333331</v>
      </c>
      <c r="V102" s="11">
        <v>-122.81014999999999</v>
      </c>
      <c r="W102" t="str">
        <f>VLOOKUP(B102,[1]Plantings!$A$2:$E$285,4,FALSE)</f>
        <v>polygon</v>
      </c>
      <c r="X102" s="11" t="str">
        <f>VLOOKUP(B102,[1]Plantings!$A$2:$E$285,5,FALSE)</f>
        <v>retain</v>
      </c>
      <c r="Y102" s="16" t="s">
        <v>1</v>
      </c>
      <c r="Z102" s="12">
        <v>-0.51815999999999995</v>
      </c>
      <c r="AA102" s="38" t="s">
        <v>39</v>
      </c>
      <c r="AB102" s="50"/>
      <c r="AC102" s="50"/>
      <c r="AE102" s="29"/>
      <c r="AF102" s="14"/>
      <c r="AG102" s="21"/>
      <c r="AH102" s="21"/>
      <c r="AI102" s="13" t="str">
        <f t="shared" si="16"/>
        <v/>
      </c>
      <c r="AJ102" s="13" t="str">
        <f t="shared" si="17"/>
        <v/>
      </c>
      <c r="AL102" s="19" t="s">
        <v>248</v>
      </c>
    </row>
    <row r="103" spans="1:38" x14ac:dyDescent="0.25">
      <c r="A103" t="s">
        <v>229</v>
      </c>
      <c r="B103" t="s">
        <v>249</v>
      </c>
      <c r="C103" t="str">
        <f>VLOOKUP(B103,[1]Plantings!$A$2:$C$285,2,FALSE)</f>
        <v>JSP_mid_north_P1</v>
      </c>
      <c r="D103" t="str">
        <f>VLOOKUP(B103,[1]Plantings!$A$2:$C$285,3,FALSE)</f>
        <v>single</v>
      </c>
      <c r="E103">
        <v>2015</v>
      </c>
      <c r="G103" t="s">
        <v>75</v>
      </c>
      <c r="H103" t="s">
        <v>10</v>
      </c>
      <c r="I103" t="s">
        <v>29</v>
      </c>
      <c r="J103" t="s">
        <v>4</v>
      </c>
      <c r="K103" t="s">
        <v>43</v>
      </c>
      <c r="L103" t="s">
        <v>44</v>
      </c>
      <c r="O103" t="s">
        <v>35</v>
      </c>
      <c r="P103" t="s">
        <v>45</v>
      </c>
      <c r="Q103" t="s">
        <v>245</v>
      </c>
      <c r="R103" t="s">
        <v>76</v>
      </c>
      <c r="S103" s="20" t="s">
        <v>70</v>
      </c>
      <c r="T103" s="27">
        <v>42162</v>
      </c>
      <c r="U103" s="11">
        <v>47.222833333333334</v>
      </c>
      <c r="V103" s="11">
        <v>-122.81014999999999</v>
      </c>
      <c r="W103" t="str">
        <f>VLOOKUP(B103,[1]Plantings!$A$2:$E$285,4,FALSE)</f>
        <v>polygon</v>
      </c>
      <c r="X103" s="11" t="str">
        <f>VLOOKUP(B103,[1]Plantings!$A$2:$E$285,5,FALSE)</f>
        <v>retain</v>
      </c>
      <c r="Y103" s="16" t="s">
        <v>1</v>
      </c>
      <c r="Z103" s="12">
        <v>-0.97536</v>
      </c>
      <c r="AA103" s="38" t="s">
        <v>39</v>
      </c>
      <c r="AB103" s="50"/>
      <c r="AC103" s="50"/>
      <c r="AE103" s="29"/>
      <c r="AF103" s="14"/>
      <c r="AG103" s="21"/>
      <c r="AH103" s="21"/>
      <c r="AI103" s="13" t="str">
        <f t="shared" si="16"/>
        <v/>
      </c>
      <c r="AJ103" s="13" t="str">
        <f t="shared" si="17"/>
        <v/>
      </c>
      <c r="AL103" s="19" t="s">
        <v>250</v>
      </c>
    </row>
    <row r="104" spans="1:38" x14ac:dyDescent="0.25">
      <c r="A104" t="s">
        <v>229</v>
      </c>
      <c r="B104" t="s">
        <v>251</v>
      </c>
      <c r="C104" t="str">
        <f>VLOOKUP(B104,[1]Plantings!$A$2:$C$285,2,FALSE)</f>
        <v>JSP_mid_north_P1</v>
      </c>
      <c r="D104" t="str">
        <f>VLOOKUP(B104,[1]Plantings!$A$2:$C$285,3,FALSE)</f>
        <v>single</v>
      </c>
      <c r="E104">
        <v>2015</v>
      </c>
      <c r="G104" t="s">
        <v>75</v>
      </c>
      <c r="H104" t="s">
        <v>10</v>
      </c>
      <c r="I104" t="s">
        <v>29</v>
      </c>
      <c r="J104" t="s">
        <v>4</v>
      </c>
      <c r="K104" t="s">
        <v>43</v>
      </c>
      <c r="L104" t="s">
        <v>44</v>
      </c>
      <c r="O104" t="s">
        <v>35</v>
      </c>
      <c r="P104" t="s">
        <v>45</v>
      </c>
      <c r="Q104" t="s">
        <v>245</v>
      </c>
      <c r="R104" t="s">
        <v>76</v>
      </c>
      <c r="S104" s="20" t="s">
        <v>70</v>
      </c>
      <c r="T104" s="27">
        <v>42162</v>
      </c>
      <c r="U104" s="11">
        <v>47.222833333333334</v>
      </c>
      <c r="V104" s="11">
        <v>-122.81066666666666</v>
      </c>
      <c r="W104" t="str">
        <f>VLOOKUP(B104,[1]Plantings!$A$2:$E$285,4,FALSE)</f>
        <v>polygon</v>
      </c>
      <c r="X104" s="11" t="str">
        <f>VLOOKUP(B104,[1]Plantings!$A$2:$E$285,5,FALSE)</f>
        <v>retain</v>
      </c>
      <c r="Y104" s="16" t="s">
        <v>1</v>
      </c>
      <c r="Z104" s="12">
        <v>-1.7678400000000001</v>
      </c>
      <c r="AA104" s="38" t="s">
        <v>39</v>
      </c>
      <c r="AB104" s="50"/>
      <c r="AC104" s="50"/>
      <c r="AE104" s="29"/>
      <c r="AF104" s="14"/>
      <c r="AG104" s="21"/>
      <c r="AH104" s="21"/>
      <c r="AI104" s="13" t="str">
        <f t="shared" si="16"/>
        <v/>
      </c>
      <c r="AJ104" s="13" t="str">
        <f t="shared" si="17"/>
        <v/>
      </c>
      <c r="AL104" s="19" t="s">
        <v>252</v>
      </c>
    </row>
    <row r="105" spans="1:38" x14ac:dyDescent="0.25">
      <c r="A105" t="s">
        <v>229</v>
      </c>
      <c r="B105" t="s">
        <v>253</v>
      </c>
      <c r="C105" t="str">
        <f>VLOOKUP(B105,[1]Plantings!$A$2:$C$285,2,FALSE)</f>
        <v>JSP_southeast</v>
      </c>
      <c r="D105" t="str">
        <f>VLOOKUP(B105,[1]Plantings!$A$2:$C$285,3,FALSE)</f>
        <v>single</v>
      </c>
      <c r="E105">
        <v>2015</v>
      </c>
      <c r="G105" t="s">
        <v>0</v>
      </c>
      <c r="H105" t="s">
        <v>10</v>
      </c>
      <c r="I105" t="s">
        <v>29</v>
      </c>
      <c r="J105" t="s">
        <v>4</v>
      </c>
      <c r="K105" t="s">
        <v>43</v>
      </c>
      <c r="L105" t="s">
        <v>44</v>
      </c>
      <c r="O105" t="s">
        <v>35</v>
      </c>
      <c r="P105" t="s">
        <v>45</v>
      </c>
      <c r="Q105" t="s">
        <v>46</v>
      </c>
      <c r="R105" t="s">
        <v>38</v>
      </c>
      <c r="S105" t="s">
        <v>38</v>
      </c>
      <c r="T105" s="27">
        <v>42164</v>
      </c>
      <c r="U105" s="11">
        <v>47.210933333333337</v>
      </c>
      <c r="V105" s="11">
        <v>-122.80663333333334</v>
      </c>
      <c r="W105" t="str">
        <f>VLOOKUP(B105,[1]Plantings!$A$2:$E$285,4,FALSE)</f>
        <v>point</v>
      </c>
      <c r="X105" s="11" t="str">
        <f>VLOOKUP(B105,[1]Plantings!$A$2:$E$285,5,FALSE)</f>
        <v>retain</v>
      </c>
      <c r="Y105" s="16" t="s">
        <v>1</v>
      </c>
      <c r="Z105" s="12">
        <v>-1.3715999999999999</v>
      </c>
      <c r="AA105" s="38" t="s">
        <v>39</v>
      </c>
      <c r="AB105">
        <v>5</v>
      </c>
      <c r="AC105">
        <v>5</v>
      </c>
      <c r="AD105">
        <f>AB105*AC105</f>
        <v>25</v>
      </c>
      <c r="AE105">
        <v>25</v>
      </c>
      <c r="AF105" s="14">
        <f t="shared" ref="AF105:AF168" si="18">IF(AA105="staple",AG105*0.005,IF(AA105="rebar",AG105*0.025,IF(AA105="burlap",AG105*0.0625,IF(AA105="washer",AG105*0.0025,IF(AA105="pucks",AG105*0.00785,IF(AA105="turf",AG105*0.01,IF(AA105="","")))))))</f>
        <v>0.625</v>
      </c>
      <c r="AG105" s="15">
        <f>AH105/4</f>
        <v>125</v>
      </c>
      <c r="AH105" s="15">
        <v>500</v>
      </c>
      <c r="AI105" s="13">
        <f t="shared" si="16"/>
        <v>20</v>
      </c>
      <c r="AJ105" s="13">
        <f t="shared" si="17"/>
        <v>20</v>
      </c>
      <c r="AK105" t="s">
        <v>236</v>
      </c>
      <c r="AL105" s="3" t="s">
        <v>254</v>
      </c>
    </row>
    <row r="106" spans="1:38" x14ac:dyDescent="0.25">
      <c r="A106" t="s">
        <v>229</v>
      </c>
      <c r="B106" t="s">
        <v>255</v>
      </c>
      <c r="C106" t="str">
        <f>VLOOKUP(B106,[1]Plantings!$A$2:$C$285,2,FALSE)</f>
        <v>JSP_north</v>
      </c>
      <c r="D106" t="str">
        <f>VLOOKUP(B106,[1]Plantings!$A$2:$C$285,3,FALSE)</f>
        <v>single</v>
      </c>
      <c r="E106">
        <v>2016</v>
      </c>
      <c r="G106" t="s">
        <v>59</v>
      </c>
      <c r="H106" t="s">
        <v>10</v>
      </c>
      <c r="I106" t="s">
        <v>29</v>
      </c>
      <c r="J106" t="s">
        <v>60</v>
      </c>
      <c r="K106" t="s">
        <v>31</v>
      </c>
      <c r="L106" t="s">
        <v>32</v>
      </c>
      <c r="M106" t="s">
        <v>61</v>
      </c>
      <c r="N106" t="s">
        <v>123</v>
      </c>
      <c r="O106" t="s">
        <v>63</v>
      </c>
      <c r="P106" t="s">
        <v>64</v>
      </c>
      <c r="Q106" t="s">
        <v>65</v>
      </c>
      <c r="R106" t="s">
        <v>38</v>
      </c>
      <c r="S106" t="s">
        <v>38</v>
      </c>
      <c r="T106" s="27">
        <v>42507</v>
      </c>
      <c r="U106" s="18">
        <v>47.22589385277778</v>
      </c>
      <c r="V106" s="11">
        <v>-122.81332006111111</v>
      </c>
      <c r="W106" t="str">
        <f>VLOOKUP(B106,[1]Plantings!$A$2:$E$285,4,FALSE)</f>
        <v>line</v>
      </c>
      <c r="X106" s="11" t="str">
        <f>VLOOKUP(B106,[1]Plantings!$A$2:$E$285,5,FALSE)</f>
        <v>retain</v>
      </c>
      <c r="Y106" s="16" t="s">
        <v>1</v>
      </c>
      <c r="Z106" s="12">
        <v>-2</v>
      </c>
      <c r="AA106" s="38" t="s">
        <v>124</v>
      </c>
      <c r="AB106">
        <v>25</v>
      </c>
      <c r="AC106">
        <v>5</v>
      </c>
      <c r="AD106">
        <f>AB106*AC106</f>
        <v>125</v>
      </c>
      <c r="AE106">
        <v>75</v>
      </c>
      <c r="AF106" s="14">
        <f t="shared" si="18"/>
        <v>9.75</v>
      </c>
      <c r="AG106" s="15">
        <v>156</v>
      </c>
      <c r="AH106" s="15">
        <v>780</v>
      </c>
      <c r="AI106" s="13">
        <f t="shared" si="16"/>
        <v>6.24</v>
      </c>
      <c r="AJ106" s="13">
        <f t="shared" si="17"/>
        <v>10.4</v>
      </c>
      <c r="AK106" t="s">
        <v>67</v>
      </c>
      <c r="AL106" s="19" t="s">
        <v>126</v>
      </c>
    </row>
    <row r="107" spans="1:38" x14ac:dyDescent="0.25">
      <c r="A107" t="s">
        <v>229</v>
      </c>
      <c r="B107" t="s">
        <v>255</v>
      </c>
      <c r="C107" t="str">
        <f>VLOOKUP(B107,[1]Plantings!$A$2:$C$285,2,FALSE)</f>
        <v>JSP_north</v>
      </c>
      <c r="D107" t="str">
        <f>VLOOKUP(B107,[1]Plantings!$A$2:$C$285,3,FALSE)</f>
        <v>single</v>
      </c>
      <c r="E107">
        <v>2016</v>
      </c>
      <c r="G107" t="s">
        <v>59</v>
      </c>
      <c r="H107" t="s">
        <v>10</v>
      </c>
      <c r="I107" t="s">
        <v>29</v>
      </c>
      <c r="J107" t="s">
        <v>60</v>
      </c>
      <c r="K107" t="s">
        <v>31</v>
      </c>
      <c r="L107" t="s">
        <v>32</v>
      </c>
      <c r="M107" t="s">
        <v>61</v>
      </c>
      <c r="N107" t="s">
        <v>123</v>
      </c>
      <c r="O107" t="s">
        <v>63</v>
      </c>
      <c r="P107" t="s">
        <v>64</v>
      </c>
      <c r="Q107" t="s">
        <v>65</v>
      </c>
      <c r="R107" t="s">
        <v>38</v>
      </c>
      <c r="S107" s="20" t="s">
        <v>70</v>
      </c>
      <c r="T107" s="27">
        <v>42507</v>
      </c>
      <c r="U107" s="18">
        <v>47.225797075000003</v>
      </c>
      <c r="V107" s="11">
        <v>-122.81301273611111</v>
      </c>
      <c r="W107" t="str">
        <f>VLOOKUP(B107,[1]Plantings!$A$2:$E$285,4,FALSE)</f>
        <v>line</v>
      </c>
      <c r="X107" s="11" t="str">
        <f>VLOOKUP(B107,[1]Plantings!$A$2:$E$285,5,FALSE)</f>
        <v>retain</v>
      </c>
      <c r="Y107" s="16" t="s">
        <v>1</v>
      </c>
      <c r="Z107" s="12"/>
      <c r="AA107" s="13"/>
      <c r="AF107" s="14" t="str">
        <f t="shared" si="18"/>
        <v/>
      </c>
      <c r="AG107" s="15"/>
      <c r="AH107" s="15"/>
      <c r="AI107" s="13" t="str">
        <f t="shared" si="16"/>
        <v/>
      </c>
      <c r="AJ107" s="13" t="str">
        <f t="shared" si="17"/>
        <v/>
      </c>
      <c r="AL107" s="19"/>
    </row>
    <row r="108" spans="1:38" x14ac:dyDescent="0.25">
      <c r="A108" t="s">
        <v>229</v>
      </c>
      <c r="B108" t="s">
        <v>256</v>
      </c>
      <c r="C108" t="str">
        <f>VLOOKUP(B108,[1]Plantings!$A$2:$C$285,2,FALSE)</f>
        <v>JSP_south_P1</v>
      </c>
      <c r="D108" t="str">
        <f>VLOOKUP(B108,[1]Plantings!$A$2:$C$285,3,FALSE)</f>
        <v>single</v>
      </c>
      <c r="E108">
        <v>2016</v>
      </c>
      <c r="G108" t="s">
        <v>75</v>
      </c>
      <c r="H108" t="s">
        <v>10</v>
      </c>
      <c r="I108" t="s">
        <v>29</v>
      </c>
      <c r="J108" t="s">
        <v>60</v>
      </c>
      <c r="K108" t="s">
        <v>31</v>
      </c>
      <c r="L108" t="s">
        <v>32</v>
      </c>
      <c r="M108" t="s">
        <v>61</v>
      </c>
      <c r="N108" t="s">
        <v>123</v>
      </c>
      <c r="O108" t="s">
        <v>63</v>
      </c>
      <c r="P108" t="s">
        <v>64</v>
      </c>
      <c r="Q108" t="s">
        <v>65</v>
      </c>
      <c r="R108" t="s">
        <v>76</v>
      </c>
      <c r="S108" t="s">
        <v>76</v>
      </c>
      <c r="T108" s="27">
        <v>42576</v>
      </c>
      <c r="U108" s="18">
        <v>47.221797497222219</v>
      </c>
      <c r="V108" s="11">
        <v>-122.80987687222222</v>
      </c>
      <c r="W108" t="str">
        <f>VLOOKUP(B108,[1]Plantings!$A$2:$E$285,4,FALSE)</f>
        <v>polygon</v>
      </c>
      <c r="X108" s="11" t="str">
        <f>VLOOKUP(B108,[1]Plantings!$A$2:$E$285,5,FALSE)</f>
        <v>retain</v>
      </c>
      <c r="Y108" s="16" t="s">
        <v>1</v>
      </c>
      <c r="Z108" s="12">
        <v>-1.5</v>
      </c>
      <c r="AA108" s="38" t="s">
        <v>124</v>
      </c>
      <c r="AB108" s="15">
        <v>20</v>
      </c>
      <c r="AC108">
        <v>8</v>
      </c>
      <c r="AD108">
        <f>AB108*AC108</f>
        <v>160</v>
      </c>
      <c r="AE108">
        <v>60</v>
      </c>
      <c r="AF108" s="14">
        <f t="shared" si="18"/>
        <v>60</v>
      </c>
      <c r="AG108" s="15">
        <v>960</v>
      </c>
      <c r="AH108" s="21">
        <v>20260</v>
      </c>
      <c r="AI108" s="13">
        <f t="shared" si="16"/>
        <v>126.625</v>
      </c>
      <c r="AJ108" s="13">
        <f t="shared" si="17"/>
        <v>337.66666666666669</v>
      </c>
      <c r="AK108" t="s">
        <v>67</v>
      </c>
      <c r="AL108" s="19"/>
    </row>
    <row r="109" spans="1:38" x14ac:dyDescent="0.25">
      <c r="A109" t="s">
        <v>229</v>
      </c>
      <c r="B109" t="s">
        <v>257</v>
      </c>
      <c r="C109" t="str">
        <f>VLOOKUP(B109,[1]Plantings!$A$2:$C$285,2,FALSE)</f>
        <v>JSP_south_P1</v>
      </c>
      <c r="D109" t="str">
        <f>VLOOKUP(B109,[1]Plantings!$A$2:$C$285,3,FALSE)</f>
        <v>single</v>
      </c>
      <c r="E109">
        <v>2016</v>
      </c>
      <c r="G109" t="s">
        <v>75</v>
      </c>
      <c r="H109" t="s">
        <v>10</v>
      </c>
      <c r="I109" t="s">
        <v>29</v>
      </c>
      <c r="J109" t="s">
        <v>60</v>
      </c>
      <c r="K109" t="s">
        <v>31</v>
      </c>
      <c r="L109" t="s">
        <v>32</v>
      </c>
      <c r="M109" t="s">
        <v>61</v>
      </c>
      <c r="N109" t="s">
        <v>123</v>
      </c>
      <c r="O109" t="s">
        <v>63</v>
      </c>
      <c r="P109" t="s">
        <v>64</v>
      </c>
      <c r="Q109" t="s">
        <v>65</v>
      </c>
      <c r="R109" t="s">
        <v>76</v>
      </c>
      <c r="S109" s="20" t="s">
        <v>70</v>
      </c>
      <c r="T109" s="27">
        <v>42576</v>
      </c>
      <c r="U109" s="18">
        <v>47.221742027777779</v>
      </c>
      <c r="V109" s="11">
        <v>-122.80997454166666</v>
      </c>
      <c r="W109" t="str">
        <f>VLOOKUP(B109,[1]Plantings!$A$2:$E$285,4,FALSE)</f>
        <v>polygon</v>
      </c>
      <c r="X109" s="11" t="str">
        <f>VLOOKUP(B109,[1]Plantings!$A$2:$E$285,5,FALSE)</f>
        <v>retain</v>
      </c>
      <c r="Y109" s="16" t="s">
        <v>1</v>
      </c>
      <c r="Z109" s="12"/>
      <c r="AA109" s="13"/>
      <c r="AF109" s="14" t="str">
        <f t="shared" si="18"/>
        <v/>
      </c>
      <c r="AG109" s="15"/>
      <c r="AH109" s="15"/>
      <c r="AI109" s="13" t="str">
        <f t="shared" si="16"/>
        <v/>
      </c>
      <c r="AJ109" s="13" t="str">
        <f t="shared" si="17"/>
        <v/>
      </c>
      <c r="AL109" s="19"/>
    </row>
    <row r="110" spans="1:38" x14ac:dyDescent="0.25">
      <c r="A110" t="s">
        <v>229</v>
      </c>
      <c r="B110" t="s">
        <v>258</v>
      </c>
      <c r="C110" t="str">
        <f>VLOOKUP(B110,[1]Plantings!$A$2:$C$285,2,FALSE)</f>
        <v>JSP_south_P1</v>
      </c>
      <c r="D110" t="str">
        <f>VLOOKUP(B110,[1]Plantings!$A$2:$C$285,3,FALSE)</f>
        <v>single</v>
      </c>
      <c r="E110">
        <v>2016</v>
      </c>
      <c r="G110" t="s">
        <v>75</v>
      </c>
      <c r="H110" t="s">
        <v>10</v>
      </c>
      <c r="I110" t="s">
        <v>29</v>
      </c>
      <c r="J110" t="s">
        <v>60</v>
      </c>
      <c r="K110" t="s">
        <v>31</v>
      </c>
      <c r="L110" t="s">
        <v>32</v>
      </c>
      <c r="M110" t="s">
        <v>61</v>
      </c>
      <c r="N110" t="s">
        <v>123</v>
      </c>
      <c r="O110" t="s">
        <v>63</v>
      </c>
      <c r="P110" t="s">
        <v>64</v>
      </c>
      <c r="Q110" t="s">
        <v>65</v>
      </c>
      <c r="R110" t="s">
        <v>76</v>
      </c>
      <c r="S110" s="20" t="s">
        <v>70</v>
      </c>
      <c r="T110" s="27">
        <v>42576</v>
      </c>
      <c r="U110" s="18">
        <v>47.221992</v>
      </c>
      <c r="V110" s="11">
        <v>-122.809929</v>
      </c>
      <c r="W110" t="str">
        <f>VLOOKUP(B110,[1]Plantings!$A$2:$E$285,4,FALSE)</f>
        <v>polygon</v>
      </c>
      <c r="X110" s="11" t="str">
        <f>VLOOKUP(B110,[1]Plantings!$A$2:$E$285,5,FALSE)</f>
        <v>retain</v>
      </c>
      <c r="Y110" s="16" t="s">
        <v>1</v>
      </c>
      <c r="Z110" s="12"/>
      <c r="AA110" s="13"/>
      <c r="AF110" s="14" t="str">
        <f t="shared" si="18"/>
        <v/>
      </c>
      <c r="AG110" s="15"/>
      <c r="AH110" s="15"/>
      <c r="AI110" s="13" t="str">
        <f t="shared" si="16"/>
        <v/>
      </c>
      <c r="AJ110" s="13" t="str">
        <f t="shared" si="17"/>
        <v/>
      </c>
      <c r="AL110" s="19"/>
    </row>
    <row r="111" spans="1:38" x14ac:dyDescent="0.25">
      <c r="A111" t="s">
        <v>229</v>
      </c>
      <c r="B111" t="s">
        <v>259</v>
      </c>
      <c r="C111" t="str">
        <f>VLOOKUP(B111,[1]Plantings!$A$2:$C$285,2,FALSE)</f>
        <v>JSP_south_P1</v>
      </c>
      <c r="D111" t="str">
        <f>VLOOKUP(B111,[1]Plantings!$A$2:$C$285,3,FALSE)</f>
        <v>single</v>
      </c>
      <c r="E111">
        <v>2016</v>
      </c>
      <c r="G111" t="s">
        <v>75</v>
      </c>
      <c r="H111" t="s">
        <v>10</v>
      </c>
      <c r="I111" t="s">
        <v>29</v>
      </c>
      <c r="J111" t="s">
        <v>60</v>
      </c>
      <c r="K111" t="s">
        <v>31</v>
      </c>
      <c r="L111" t="s">
        <v>32</v>
      </c>
      <c r="M111" t="s">
        <v>61</v>
      </c>
      <c r="N111" t="s">
        <v>123</v>
      </c>
      <c r="O111" t="s">
        <v>63</v>
      </c>
      <c r="P111" t="s">
        <v>64</v>
      </c>
      <c r="Q111" t="s">
        <v>65</v>
      </c>
      <c r="R111" t="s">
        <v>76</v>
      </c>
      <c r="S111" s="20" t="s">
        <v>70</v>
      </c>
      <c r="T111" s="27">
        <v>42576</v>
      </c>
      <c r="U111" s="18">
        <v>47.221965447222225</v>
      </c>
      <c r="V111" s="11">
        <v>-122.81001890833333</v>
      </c>
      <c r="W111" t="str">
        <f>VLOOKUP(B111,[1]Plantings!$A$2:$E$285,4,FALSE)</f>
        <v>polygon</v>
      </c>
      <c r="X111" s="11" t="str">
        <f>VLOOKUP(B111,[1]Plantings!$A$2:$E$285,5,FALSE)</f>
        <v>retain</v>
      </c>
      <c r="Y111" s="16" t="s">
        <v>1</v>
      </c>
      <c r="Z111" s="12"/>
      <c r="AA111" s="13"/>
      <c r="AF111" s="14" t="str">
        <f t="shared" si="18"/>
        <v/>
      </c>
      <c r="AG111" s="15"/>
      <c r="AH111" s="15"/>
      <c r="AI111" s="13" t="str">
        <f t="shared" si="16"/>
        <v/>
      </c>
      <c r="AJ111" s="13" t="str">
        <f t="shared" si="17"/>
        <v/>
      </c>
      <c r="AL111" s="19"/>
    </row>
    <row r="112" spans="1:38" x14ac:dyDescent="0.25">
      <c r="A112" s="30" t="s">
        <v>229</v>
      </c>
      <c r="B112" t="s">
        <v>260</v>
      </c>
      <c r="C112" t="str">
        <f>VLOOKUP(B112,[1]Plantings!$A$2:$C$285,2,FALSE)</f>
        <v>JSP_chia_1</v>
      </c>
      <c r="D112" t="str">
        <f>VLOOKUP(B112,[1]Plantings!$A$2:$C$285,3,FALSE)</f>
        <v>single</v>
      </c>
      <c r="E112" s="4">
        <v>2016</v>
      </c>
      <c r="F112" s="4"/>
      <c r="G112" s="4" t="s">
        <v>0</v>
      </c>
      <c r="H112" s="4" t="s">
        <v>10</v>
      </c>
      <c r="I112" t="s">
        <v>29</v>
      </c>
      <c r="J112" s="4" t="s">
        <v>43</v>
      </c>
      <c r="K112" s="4" t="s">
        <v>43</v>
      </c>
      <c r="L112" s="4" t="s">
        <v>137</v>
      </c>
      <c r="M112" s="4"/>
      <c r="N112" s="4"/>
      <c r="O112" s="4"/>
      <c r="P112" s="4"/>
      <c r="Q112" s="4"/>
      <c r="R112" s="4" t="s">
        <v>38</v>
      </c>
      <c r="S112" s="20" t="s">
        <v>38</v>
      </c>
      <c r="T112" s="27">
        <v>42514</v>
      </c>
      <c r="U112" s="67"/>
      <c r="V112" s="67"/>
      <c r="W112" t="str">
        <f>VLOOKUP(B112,[1]Plantings!$A$2:$E$285,4,FALSE)</f>
        <v>point</v>
      </c>
      <c r="X112" s="11" t="str">
        <f>VLOOKUP(B112,[1]Plantings!$A$2:$E$285,5,FALSE)</f>
        <v>retain</v>
      </c>
      <c r="Y112" s="16" t="s">
        <v>1</v>
      </c>
      <c r="AA112" t="s">
        <v>54</v>
      </c>
      <c r="AB112">
        <v>9</v>
      </c>
      <c r="AC112">
        <v>0.25</v>
      </c>
      <c r="AD112">
        <f>AB112*AC112</f>
        <v>2.25</v>
      </c>
      <c r="AE112">
        <v>0.56000000000000005</v>
      </c>
      <c r="AF112" s="14">
        <f t="shared" si="18"/>
        <v>0.22500000000000001</v>
      </c>
      <c r="AG112" s="15">
        <v>9</v>
      </c>
      <c r="AH112">
        <v>360</v>
      </c>
      <c r="AI112" s="13">
        <f t="shared" si="16"/>
        <v>160</v>
      </c>
      <c r="AJ112" s="13">
        <f t="shared" si="17"/>
        <v>642.85714285714278</v>
      </c>
      <c r="AK112" t="s">
        <v>93</v>
      </c>
      <c r="AL112" s="19" t="s">
        <v>261</v>
      </c>
    </row>
    <row r="113" spans="1:38" x14ac:dyDescent="0.25">
      <c r="A113" t="s">
        <v>229</v>
      </c>
      <c r="B113" t="s">
        <v>262</v>
      </c>
      <c r="C113" t="str">
        <f>VLOOKUP(B113,[1]Plantings!$A$2:$C$285,2,FALSE)</f>
        <v>JSP_north_L1</v>
      </c>
      <c r="D113" t="str">
        <f>VLOOKUP(B113,[1]Plantings!$A$2:$C$285,3,FALSE)</f>
        <v>single</v>
      </c>
      <c r="E113">
        <v>2017</v>
      </c>
      <c r="G113" s="4" t="s">
        <v>59</v>
      </c>
      <c r="H113" t="s">
        <v>10</v>
      </c>
      <c r="I113" t="s">
        <v>29</v>
      </c>
      <c r="J113" t="s">
        <v>60</v>
      </c>
      <c r="K113" t="s">
        <v>31</v>
      </c>
      <c r="L113" t="s">
        <v>32</v>
      </c>
      <c r="M113" t="s">
        <v>61</v>
      </c>
      <c r="N113" t="s">
        <v>62</v>
      </c>
      <c r="O113" t="s">
        <v>63</v>
      </c>
      <c r="P113" t="s">
        <v>64</v>
      </c>
      <c r="Q113" t="s">
        <v>65</v>
      </c>
      <c r="R113" t="s">
        <v>38</v>
      </c>
      <c r="S113" t="s">
        <v>38</v>
      </c>
      <c r="T113" s="27">
        <v>42859</v>
      </c>
      <c r="U113" s="64">
        <v>47.226233333333333</v>
      </c>
      <c r="V113" s="18">
        <v>-122.8146</v>
      </c>
      <c r="W113" t="str">
        <f>VLOOKUP(B113,[1]Plantings!$A$2:$E$285,4,FALSE)</f>
        <v>line</v>
      </c>
      <c r="X113" s="11" t="str">
        <f>VLOOKUP(B113,[1]Plantings!$A$2:$E$285,5,FALSE)</f>
        <v>retain</v>
      </c>
      <c r="Y113" s="16" t="s">
        <v>1</v>
      </c>
      <c r="Z113" s="23">
        <v>-1.6</v>
      </c>
      <c r="AA113" t="s">
        <v>66</v>
      </c>
      <c r="AB113">
        <v>5</v>
      </c>
      <c r="AC113">
        <v>5</v>
      </c>
      <c r="AD113">
        <f>AB113*AC113</f>
        <v>25</v>
      </c>
      <c r="AE113">
        <v>39</v>
      </c>
      <c r="AF113" s="14">
        <f t="shared" si="18"/>
        <v>1.04</v>
      </c>
      <c r="AG113" s="24">
        <v>104</v>
      </c>
      <c r="AH113" s="15">
        <v>1042</v>
      </c>
      <c r="AI113" s="13">
        <f t="shared" si="16"/>
        <v>41.68</v>
      </c>
      <c r="AJ113" s="13">
        <f t="shared" si="17"/>
        <v>26.717948717948719</v>
      </c>
      <c r="AK113" t="s">
        <v>67</v>
      </c>
      <c r="AL113" s="19" t="s">
        <v>263</v>
      </c>
    </row>
    <row r="114" spans="1:38" x14ac:dyDescent="0.25">
      <c r="A114" t="s">
        <v>229</v>
      </c>
      <c r="B114" t="s">
        <v>264</v>
      </c>
      <c r="C114" t="str">
        <f>VLOOKUP(B114,[1]Plantings!$A$2:$C$285,2,FALSE)</f>
        <v>JSP_north_L1</v>
      </c>
      <c r="D114" t="str">
        <f>VLOOKUP(B114,[1]Plantings!$A$2:$C$285,3,FALSE)</f>
        <v>single</v>
      </c>
      <c r="E114">
        <v>2017</v>
      </c>
      <c r="G114" s="4" t="s">
        <v>59</v>
      </c>
      <c r="H114" t="s">
        <v>10</v>
      </c>
      <c r="I114" t="s">
        <v>29</v>
      </c>
      <c r="J114" t="s">
        <v>60</v>
      </c>
      <c r="K114" t="s">
        <v>31</v>
      </c>
      <c r="L114" t="s">
        <v>32</v>
      </c>
      <c r="M114" t="s">
        <v>61</v>
      </c>
      <c r="N114" t="s">
        <v>62</v>
      </c>
      <c r="O114" t="s">
        <v>63</v>
      </c>
      <c r="P114" t="s">
        <v>64</v>
      </c>
      <c r="Q114" t="s">
        <v>65</v>
      </c>
      <c r="R114" t="s">
        <v>38</v>
      </c>
      <c r="S114" s="20" t="s">
        <v>70</v>
      </c>
      <c r="T114" s="27">
        <v>42859</v>
      </c>
      <c r="U114" s="64">
        <v>47.226266666666668</v>
      </c>
      <c r="V114" s="18">
        <v>-122.81466666666699</v>
      </c>
      <c r="W114" t="str">
        <f>VLOOKUP(B114,[1]Plantings!$A$2:$E$285,4,FALSE)</f>
        <v>line</v>
      </c>
      <c r="X114" s="11" t="str">
        <f>VLOOKUP(B114,[1]Plantings!$A$2:$E$285,5,FALSE)</f>
        <v>retain</v>
      </c>
      <c r="Y114" s="16" t="s">
        <v>1</v>
      </c>
      <c r="AF114" s="14" t="str">
        <f t="shared" si="18"/>
        <v/>
      </c>
      <c r="AH114" s="15"/>
      <c r="AI114" s="13" t="str">
        <f t="shared" si="16"/>
        <v/>
      </c>
      <c r="AJ114" s="13" t="str">
        <f t="shared" si="17"/>
        <v/>
      </c>
      <c r="AL114" s="19"/>
    </row>
    <row r="115" spans="1:38" x14ac:dyDescent="0.25">
      <c r="A115" t="s">
        <v>229</v>
      </c>
      <c r="B115" t="s">
        <v>265</v>
      </c>
      <c r="C115" t="str">
        <f>VLOOKUP(B115,[1]Plantings!$A$2:$C$285,2,FALSE)</f>
        <v>JSP_north_L2</v>
      </c>
      <c r="D115" t="str">
        <f>VLOOKUP(B115,[1]Plantings!$A$2:$C$285,3,FALSE)</f>
        <v>single</v>
      </c>
      <c r="E115">
        <v>2017</v>
      </c>
      <c r="G115" s="4" t="s">
        <v>59</v>
      </c>
      <c r="H115" t="s">
        <v>10</v>
      </c>
      <c r="I115" t="s">
        <v>29</v>
      </c>
      <c r="J115" t="s">
        <v>60</v>
      </c>
      <c r="K115" t="s">
        <v>31</v>
      </c>
      <c r="L115" t="s">
        <v>32</v>
      </c>
      <c r="M115" t="s">
        <v>61</v>
      </c>
      <c r="N115" t="s">
        <v>62</v>
      </c>
      <c r="O115" t="s">
        <v>63</v>
      </c>
      <c r="P115" t="s">
        <v>64</v>
      </c>
      <c r="Q115" t="s">
        <v>65</v>
      </c>
      <c r="R115" t="s">
        <v>38</v>
      </c>
      <c r="S115" t="s">
        <v>38</v>
      </c>
      <c r="T115" s="27">
        <v>42859</v>
      </c>
      <c r="U115" s="64">
        <v>47.226266666666668</v>
      </c>
      <c r="V115" s="18">
        <v>-122.814833333333</v>
      </c>
      <c r="W115" t="str">
        <f>VLOOKUP(B115,[1]Plantings!$A$2:$E$285,4,FALSE)</f>
        <v>line</v>
      </c>
      <c r="X115" s="11" t="str">
        <f>VLOOKUP(B115,[1]Plantings!$A$2:$E$285,5,FALSE)</f>
        <v>retain</v>
      </c>
      <c r="Y115" s="16" t="s">
        <v>1</v>
      </c>
      <c r="Z115" s="23">
        <v>-1.6</v>
      </c>
      <c r="AA115" t="s">
        <v>66</v>
      </c>
      <c r="AB115">
        <v>5</v>
      </c>
      <c r="AC115">
        <v>5</v>
      </c>
      <c r="AD115">
        <f>AB115*AC115</f>
        <v>25</v>
      </c>
      <c r="AE115">
        <v>39</v>
      </c>
      <c r="AF115" s="14">
        <f t="shared" si="18"/>
        <v>1.05</v>
      </c>
      <c r="AG115" s="24">
        <v>105</v>
      </c>
      <c r="AH115" s="15">
        <v>1052</v>
      </c>
      <c r="AI115" s="13">
        <f t="shared" si="16"/>
        <v>42.08</v>
      </c>
      <c r="AJ115" s="13">
        <f t="shared" si="17"/>
        <v>26.974358974358974</v>
      </c>
      <c r="AK115" t="s">
        <v>67</v>
      </c>
      <c r="AL115" s="19" t="s">
        <v>266</v>
      </c>
    </row>
    <row r="116" spans="1:38" x14ac:dyDescent="0.25">
      <c r="A116" t="s">
        <v>229</v>
      </c>
      <c r="B116" t="s">
        <v>267</v>
      </c>
      <c r="C116" t="str">
        <f>VLOOKUP(B116,[1]Plantings!$A$2:$C$285,2,FALSE)</f>
        <v>JSP_north_L2</v>
      </c>
      <c r="D116" t="str">
        <f>VLOOKUP(B116,[1]Plantings!$A$2:$C$285,3,FALSE)</f>
        <v>single</v>
      </c>
      <c r="E116">
        <v>2017</v>
      </c>
      <c r="G116" s="4" t="s">
        <v>59</v>
      </c>
      <c r="H116" t="s">
        <v>10</v>
      </c>
      <c r="I116" t="s">
        <v>29</v>
      </c>
      <c r="J116" t="s">
        <v>60</v>
      </c>
      <c r="K116" t="s">
        <v>31</v>
      </c>
      <c r="L116" t="s">
        <v>32</v>
      </c>
      <c r="M116" t="s">
        <v>61</v>
      </c>
      <c r="N116" t="s">
        <v>62</v>
      </c>
      <c r="O116" t="s">
        <v>63</v>
      </c>
      <c r="P116" t="s">
        <v>64</v>
      </c>
      <c r="Q116" t="s">
        <v>65</v>
      </c>
      <c r="R116" t="s">
        <v>38</v>
      </c>
      <c r="S116" s="20" t="s">
        <v>70</v>
      </c>
      <c r="T116" s="27">
        <v>42859</v>
      </c>
      <c r="U116" s="64">
        <v>47.226316666666669</v>
      </c>
      <c r="V116" s="18">
        <v>-122.814966666667</v>
      </c>
      <c r="W116" t="str">
        <f>VLOOKUP(B116,[1]Plantings!$A$2:$E$285,4,FALSE)</f>
        <v>line</v>
      </c>
      <c r="X116" s="11" t="str">
        <f>VLOOKUP(B116,[1]Plantings!$A$2:$E$285,5,FALSE)</f>
        <v>retain</v>
      </c>
      <c r="Y116" s="16" t="s">
        <v>1</v>
      </c>
      <c r="AF116" s="14" t="str">
        <f t="shared" si="18"/>
        <v/>
      </c>
      <c r="AG116" s="15"/>
      <c r="AH116" s="15"/>
      <c r="AI116" s="13" t="str">
        <f t="shared" si="16"/>
        <v/>
      </c>
      <c r="AJ116" s="13" t="str">
        <f t="shared" si="17"/>
        <v/>
      </c>
      <c r="AL116" s="19"/>
    </row>
    <row r="117" spans="1:38" x14ac:dyDescent="0.25">
      <c r="A117" t="s">
        <v>229</v>
      </c>
      <c r="B117" t="s">
        <v>268</v>
      </c>
      <c r="C117" t="str">
        <f>VLOOKUP(B117,[1]Plantings!$A$2:$C$285,2,FALSE)</f>
        <v>JSP_south_P2</v>
      </c>
      <c r="D117" t="str">
        <f>VLOOKUP(B117,[1]Plantings!$A$2:$C$285,3,FALSE)</f>
        <v>single</v>
      </c>
      <c r="E117">
        <v>2017</v>
      </c>
      <c r="G117" t="s">
        <v>75</v>
      </c>
      <c r="H117" t="s">
        <v>10</v>
      </c>
      <c r="I117" t="s">
        <v>29</v>
      </c>
      <c r="J117" t="s">
        <v>60</v>
      </c>
      <c r="K117" t="s">
        <v>31</v>
      </c>
      <c r="L117" t="s">
        <v>32</v>
      </c>
      <c r="M117" t="s">
        <v>61</v>
      </c>
      <c r="N117" t="s">
        <v>62</v>
      </c>
      <c r="O117" t="s">
        <v>63</v>
      </c>
      <c r="P117" t="s">
        <v>64</v>
      </c>
      <c r="Q117" t="s">
        <v>65</v>
      </c>
      <c r="R117" t="s">
        <v>76</v>
      </c>
      <c r="S117" t="s">
        <v>76</v>
      </c>
      <c r="T117" s="27">
        <v>42862</v>
      </c>
      <c r="U117" s="11">
        <v>47.221533333333333</v>
      </c>
      <c r="V117" s="11">
        <v>-122.80978333333333</v>
      </c>
      <c r="W117" t="str">
        <f>VLOOKUP(B117,[1]Plantings!$A$2:$E$285,4,FALSE)</f>
        <v>polygon</v>
      </c>
      <c r="X117" s="11" t="str">
        <f>VLOOKUP(B117,[1]Plantings!$A$2:$E$285,5,FALSE)</f>
        <v>drop</v>
      </c>
      <c r="Y117" s="16" t="s">
        <v>1</v>
      </c>
      <c r="Z117" s="23">
        <v>-1.6</v>
      </c>
      <c r="AA117" t="s">
        <v>66</v>
      </c>
      <c r="AB117">
        <v>20</v>
      </c>
      <c r="AC117">
        <v>8</v>
      </c>
      <c r="AD117">
        <f>AB117*AC117</f>
        <v>160</v>
      </c>
      <c r="AE117">
        <v>80</v>
      </c>
      <c r="AF117" s="14">
        <f t="shared" si="18"/>
        <v>23.67</v>
      </c>
      <c r="AG117" s="24">
        <v>2367</v>
      </c>
      <c r="AH117" s="15">
        <v>16570</v>
      </c>
      <c r="AI117" s="13">
        <f t="shared" si="16"/>
        <v>103.5625</v>
      </c>
      <c r="AJ117" s="13">
        <f t="shared" si="17"/>
        <v>207.125</v>
      </c>
      <c r="AK117" t="s">
        <v>125</v>
      </c>
      <c r="AL117" s="19" t="s">
        <v>269</v>
      </c>
    </row>
    <row r="118" spans="1:38" x14ac:dyDescent="0.25">
      <c r="A118" t="s">
        <v>229</v>
      </c>
      <c r="B118" t="s">
        <v>270</v>
      </c>
      <c r="C118" t="str">
        <f>VLOOKUP(B118,[1]Plantings!$A$2:$C$285,2,FALSE)</f>
        <v>JSP_south_P2</v>
      </c>
      <c r="D118" t="str">
        <f>VLOOKUP(B118,[1]Plantings!$A$2:$C$285,3,FALSE)</f>
        <v>single</v>
      </c>
      <c r="E118">
        <v>2017</v>
      </c>
      <c r="G118" t="s">
        <v>75</v>
      </c>
      <c r="H118" t="s">
        <v>10</v>
      </c>
      <c r="I118" t="s">
        <v>29</v>
      </c>
      <c r="J118" t="s">
        <v>60</v>
      </c>
      <c r="K118" t="s">
        <v>31</v>
      </c>
      <c r="L118" t="s">
        <v>32</v>
      </c>
      <c r="M118" t="s">
        <v>61</v>
      </c>
      <c r="N118" t="s">
        <v>62</v>
      </c>
      <c r="O118" t="s">
        <v>63</v>
      </c>
      <c r="P118" t="s">
        <v>64</v>
      </c>
      <c r="Q118" t="s">
        <v>65</v>
      </c>
      <c r="R118" t="s">
        <v>76</v>
      </c>
      <c r="S118" s="20" t="s">
        <v>70</v>
      </c>
      <c r="T118" s="27">
        <v>42862</v>
      </c>
      <c r="U118" s="18"/>
      <c r="V118" s="18"/>
      <c r="W118" t="str">
        <f>VLOOKUP(B118,[1]Plantings!$A$2:$E$285,4,FALSE)</f>
        <v>polygon</v>
      </c>
      <c r="X118" s="11" t="str">
        <f>VLOOKUP(B118,[1]Plantings!$A$2:$E$285,5,FALSE)</f>
        <v>drop</v>
      </c>
      <c r="Y118" s="16" t="s">
        <v>1</v>
      </c>
      <c r="AA118" s="11"/>
      <c r="AF118" s="14" t="str">
        <f t="shared" si="18"/>
        <v/>
      </c>
      <c r="AG118" s="15"/>
      <c r="AH118" s="15"/>
      <c r="AI118" s="13" t="str">
        <f t="shared" si="16"/>
        <v/>
      </c>
      <c r="AJ118" s="13" t="str">
        <f t="shared" si="17"/>
        <v/>
      </c>
      <c r="AL118" s="19" t="s">
        <v>271</v>
      </c>
    </row>
    <row r="119" spans="1:38" x14ac:dyDescent="0.25">
      <c r="A119" t="s">
        <v>229</v>
      </c>
      <c r="B119" t="s">
        <v>272</v>
      </c>
      <c r="C119" t="str">
        <f>VLOOKUP(B119,[1]Plantings!$A$2:$C$285,2,FALSE)</f>
        <v>JSP_south_P2</v>
      </c>
      <c r="D119" t="str">
        <f>VLOOKUP(B119,[1]Plantings!$A$2:$C$285,3,FALSE)</f>
        <v>single</v>
      </c>
      <c r="E119">
        <v>2017</v>
      </c>
      <c r="G119" t="s">
        <v>75</v>
      </c>
      <c r="H119" t="s">
        <v>10</v>
      </c>
      <c r="I119" t="s">
        <v>29</v>
      </c>
      <c r="J119" t="s">
        <v>60</v>
      </c>
      <c r="K119" t="s">
        <v>31</v>
      </c>
      <c r="L119" t="s">
        <v>32</v>
      </c>
      <c r="M119" t="s">
        <v>61</v>
      </c>
      <c r="N119" t="s">
        <v>62</v>
      </c>
      <c r="O119" t="s">
        <v>63</v>
      </c>
      <c r="P119" t="s">
        <v>64</v>
      </c>
      <c r="Q119" t="s">
        <v>65</v>
      </c>
      <c r="R119" t="s">
        <v>76</v>
      </c>
      <c r="S119" s="20" t="s">
        <v>70</v>
      </c>
      <c r="T119" s="27">
        <v>42862</v>
      </c>
      <c r="U119" s="11">
        <v>47.221733333333333</v>
      </c>
      <c r="V119" s="11">
        <v>-122.80993333333333</v>
      </c>
      <c r="W119" t="str">
        <f>VLOOKUP(B119,[1]Plantings!$A$2:$E$285,4,FALSE)</f>
        <v>polygon</v>
      </c>
      <c r="X119" s="11" t="str">
        <f>VLOOKUP(B119,[1]Plantings!$A$2:$E$285,5,FALSE)</f>
        <v>drop</v>
      </c>
      <c r="Y119" s="16" t="s">
        <v>1</v>
      </c>
      <c r="AF119" s="14" t="str">
        <f t="shared" si="18"/>
        <v/>
      </c>
      <c r="AG119" s="15"/>
      <c r="AH119" s="15"/>
      <c r="AI119" s="13" t="str">
        <f t="shared" si="16"/>
        <v/>
      </c>
      <c r="AJ119" s="13" t="str">
        <f t="shared" si="17"/>
        <v/>
      </c>
      <c r="AL119" s="19" t="s">
        <v>271</v>
      </c>
    </row>
    <row r="120" spans="1:38" x14ac:dyDescent="0.25">
      <c r="A120" t="s">
        <v>229</v>
      </c>
      <c r="B120" t="s">
        <v>273</v>
      </c>
      <c r="C120" t="str">
        <f>VLOOKUP(B120,[1]Plantings!$A$2:$C$285,2,FALSE)</f>
        <v>JSP_south_P2</v>
      </c>
      <c r="D120" t="str">
        <f>VLOOKUP(B120,[1]Plantings!$A$2:$C$285,3,FALSE)</f>
        <v>single</v>
      </c>
      <c r="E120">
        <v>2017</v>
      </c>
      <c r="G120" t="s">
        <v>75</v>
      </c>
      <c r="H120" t="s">
        <v>10</v>
      </c>
      <c r="I120" t="s">
        <v>29</v>
      </c>
      <c r="J120" t="s">
        <v>60</v>
      </c>
      <c r="K120" t="s">
        <v>31</v>
      </c>
      <c r="L120" t="s">
        <v>32</v>
      </c>
      <c r="M120" t="s">
        <v>61</v>
      </c>
      <c r="N120" t="s">
        <v>62</v>
      </c>
      <c r="O120" t="s">
        <v>63</v>
      </c>
      <c r="P120" t="s">
        <v>64</v>
      </c>
      <c r="Q120" t="s">
        <v>65</v>
      </c>
      <c r="R120" t="s">
        <v>76</v>
      </c>
      <c r="S120" s="20" t="s">
        <v>70</v>
      </c>
      <c r="T120" s="27">
        <v>42862</v>
      </c>
      <c r="U120" s="18"/>
      <c r="V120" s="18"/>
      <c r="W120" t="str">
        <f>VLOOKUP(B120,[1]Plantings!$A$2:$E$285,4,FALSE)</f>
        <v>polygon</v>
      </c>
      <c r="X120" s="11" t="str">
        <f>VLOOKUP(B120,[1]Plantings!$A$2:$E$285,5,FALSE)</f>
        <v>drop</v>
      </c>
      <c r="Y120" s="16" t="s">
        <v>1</v>
      </c>
      <c r="AF120" s="14" t="str">
        <f t="shared" si="18"/>
        <v/>
      </c>
      <c r="AG120" s="15"/>
      <c r="AH120" s="15"/>
      <c r="AI120" s="13" t="str">
        <f t="shared" si="16"/>
        <v/>
      </c>
      <c r="AJ120" s="13" t="str">
        <f t="shared" si="17"/>
        <v/>
      </c>
      <c r="AL120" s="19" t="s">
        <v>271</v>
      </c>
    </row>
    <row r="121" spans="1:38" x14ac:dyDescent="0.25">
      <c r="A121" t="s">
        <v>229</v>
      </c>
      <c r="B121" t="s">
        <v>274</v>
      </c>
      <c r="C121" t="str">
        <f>VLOOKUP(B121,[1]Plantings!$A$2:$C$285,2,FALSE)</f>
        <v>JSP_south_P3</v>
      </c>
      <c r="D121" t="str">
        <f>VLOOKUP(B121,[1]Plantings!$A$2:$C$285,3,FALSE)</f>
        <v>single</v>
      </c>
      <c r="E121">
        <v>2017</v>
      </c>
      <c r="G121" t="s">
        <v>75</v>
      </c>
      <c r="H121" t="s">
        <v>10</v>
      </c>
      <c r="I121" t="s">
        <v>29</v>
      </c>
      <c r="J121" t="s">
        <v>60</v>
      </c>
      <c r="K121" t="s">
        <v>31</v>
      </c>
      <c r="L121" t="s">
        <v>32</v>
      </c>
      <c r="M121" t="s">
        <v>61</v>
      </c>
      <c r="N121" t="s">
        <v>62</v>
      </c>
      <c r="O121" t="s">
        <v>63</v>
      </c>
      <c r="P121" t="s">
        <v>64</v>
      </c>
      <c r="Q121" t="s">
        <v>65</v>
      </c>
      <c r="R121" t="s">
        <v>76</v>
      </c>
      <c r="S121" t="s">
        <v>76</v>
      </c>
      <c r="T121" s="27">
        <v>42874</v>
      </c>
      <c r="U121" s="18">
        <v>47.221559999999997</v>
      </c>
      <c r="V121" s="18">
        <v>-122.80979000000001</v>
      </c>
      <c r="W121" t="str">
        <f>VLOOKUP(B121,[1]Plantings!$A$2:$E$285,4,FALSE)</f>
        <v>polygon</v>
      </c>
      <c r="X121" s="11" t="str">
        <f>VLOOKUP(B121,[1]Plantings!$A$2:$E$285,5,FALSE)</f>
        <v>retain</v>
      </c>
      <c r="Y121" s="16" t="s">
        <v>1</v>
      </c>
      <c r="Z121">
        <v>-1.6</v>
      </c>
      <c r="AA121" t="s">
        <v>66</v>
      </c>
      <c r="AB121">
        <v>20</v>
      </c>
      <c r="AC121">
        <v>8</v>
      </c>
      <c r="AD121">
        <f>AB121*AC121</f>
        <v>160</v>
      </c>
      <c r="AE121">
        <v>77.5</v>
      </c>
      <c r="AF121" s="14">
        <f t="shared" si="18"/>
        <v>29.560000000000002</v>
      </c>
      <c r="AG121" s="15">
        <v>2956</v>
      </c>
      <c r="AH121" s="15">
        <v>24734</v>
      </c>
      <c r="AI121" s="13">
        <f t="shared" si="16"/>
        <v>154.58750000000001</v>
      </c>
      <c r="AJ121" s="13">
        <f t="shared" si="17"/>
        <v>319.14838709677417</v>
      </c>
      <c r="AK121" t="s">
        <v>93</v>
      </c>
      <c r="AL121" s="19" t="s">
        <v>275</v>
      </c>
    </row>
    <row r="122" spans="1:38" x14ac:dyDescent="0.25">
      <c r="A122" t="s">
        <v>229</v>
      </c>
      <c r="B122" t="s">
        <v>276</v>
      </c>
      <c r="C122" t="str">
        <f>VLOOKUP(B122,[1]Plantings!$A$2:$C$285,2,FALSE)</f>
        <v>JSP_south_P3</v>
      </c>
      <c r="D122" t="str">
        <f>VLOOKUP(B122,[1]Plantings!$A$2:$C$285,3,FALSE)</f>
        <v>single</v>
      </c>
      <c r="E122">
        <v>2017</v>
      </c>
      <c r="G122" t="s">
        <v>75</v>
      </c>
      <c r="H122" t="s">
        <v>10</v>
      </c>
      <c r="I122" t="s">
        <v>29</v>
      </c>
      <c r="J122" t="s">
        <v>60</v>
      </c>
      <c r="K122" t="s">
        <v>31</v>
      </c>
      <c r="L122" t="s">
        <v>32</v>
      </c>
      <c r="M122" t="s">
        <v>61</v>
      </c>
      <c r="N122" t="s">
        <v>62</v>
      </c>
      <c r="O122" t="s">
        <v>63</v>
      </c>
      <c r="P122" t="s">
        <v>64</v>
      </c>
      <c r="Q122" t="s">
        <v>65</v>
      </c>
      <c r="R122" t="s">
        <v>76</v>
      </c>
      <c r="S122" s="20" t="s">
        <v>70</v>
      </c>
      <c r="T122" s="27">
        <v>42874</v>
      </c>
      <c r="U122" s="18"/>
      <c r="V122" s="18"/>
      <c r="W122" t="str">
        <f>VLOOKUP(B122,[1]Plantings!$A$2:$E$285,4,FALSE)</f>
        <v>polygon</v>
      </c>
      <c r="X122" s="11" t="str">
        <f>VLOOKUP(B122,[1]Plantings!$A$2:$E$285,5,FALSE)</f>
        <v>drop</v>
      </c>
      <c r="Y122" s="16" t="s">
        <v>1</v>
      </c>
      <c r="AF122" s="14" t="str">
        <f t="shared" si="18"/>
        <v/>
      </c>
      <c r="AG122" s="15"/>
      <c r="AH122" s="15"/>
      <c r="AI122" s="13" t="str">
        <f t="shared" si="16"/>
        <v/>
      </c>
      <c r="AJ122" s="13" t="str">
        <f t="shared" si="17"/>
        <v/>
      </c>
      <c r="AL122" s="19"/>
    </row>
    <row r="123" spans="1:38" x14ac:dyDescent="0.25">
      <c r="A123" t="s">
        <v>229</v>
      </c>
      <c r="B123" t="s">
        <v>277</v>
      </c>
      <c r="C123" t="str">
        <f>VLOOKUP(B123,[1]Plantings!$A$2:$C$285,2,FALSE)</f>
        <v>JSP_south_P3</v>
      </c>
      <c r="D123" t="str">
        <f>VLOOKUP(B123,[1]Plantings!$A$2:$C$285,3,FALSE)</f>
        <v>single</v>
      </c>
      <c r="E123">
        <v>2017</v>
      </c>
      <c r="G123" t="s">
        <v>75</v>
      </c>
      <c r="H123" t="s">
        <v>10</v>
      </c>
      <c r="I123" t="s">
        <v>29</v>
      </c>
      <c r="J123" t="s">
        <v>60</v>
      </c>
      <c r="K123" t="s">
        <v>31</v>
      </c>
      <c r="L123" t="s">
        <v>32</v>
      </c>
      <c r="M123" t="s">
        <v>61</v>
      </c>
      <c r="N123" t="s">
        <v>62</v>
      </c>
      <c r="O123" t="s">
        <v>63</v>
      </c>
      <c r="P123" t="s">
        <v>64</v>
      </c>
      <c r="Q123" t="s">
        <v>65</v>
      </c>
      <c r="R123" t="s">
        <v>76</v>
      </c>
      <c r="S123" s="20" t="s">
        <v>70</v>
      </c>
      <c r="T123" s="27">
        <v>42874</v>
      </c>
      <c r="U123" s="18">
        <v>47.221760000000003</v>
      </c>
      <c r="V123" s="18">
        <v>-122.80991</v>
      </c>
      <c r="W123" t="str">
        <f>VLOOKUP(B123,[1]Plantings!$A$2:$E$285,4,FALSE)</f>
        <v>polygon</v>
      </c>
      <c r="X123" s="11" t="str">
        <f>VLOOKUP(B123,[1]Plantings!$A$2:$E$285,5,FALSE)</f>
        <v>drop</v>
      </c>
      <c r="Y123" s="16" t="s">
        <v>1</v>
      </c>
      <c r="AF123" s="14" t="str">
        <f t="shared" si="18"/>
        <v/>
      </c>
      <c r="AG123" s="15"/>
      <c r="AH123" s="15"/>
      <c r="AI123" s="13" t="str">
        <f t="shared" si="16"/>
        <v/>
      </c>
      <c r="AJ123" s="13" t="str">
        <f t="shared" si="17"/>
        <v/>
      </c>
      <c r="AL123" s="19"/>
    </row>
    <row r="124" spans="1:38" x14ac:dyDescent="0.25">
      <c r="A124" t="s">
        <v>229</v>
      </c>
      <c r="B124" t="s">
        <v>278</v>
      </c>
      <c r="C124" t="str">
        <f>VLOOKUP(B124,[1]Plantings!$A$2:$C$285,2,FALSE)</f>
        <v>JSP_south_P3</v>
      </c>
      <c r="D124" t="str">
        <f>VLOOKUP(B124,[1]Plantings!$A$2:$C$285,3,FALSE)</f>
        <v>single</v>
      </c>
      <c r="E124">
        <v>2017</v>
      </c>
      <c r="G124" t="s">
        <v>75</v>
      </c>
      <c r="H124" t="s">
        <v>10</v>
      </c>
      <c r="I124" t="s">
        <v>29</v>
      </c>
      <c r="J124" t="s">
        <v>60</v>
      </c>
      <c r="K124" t="s">
        <v>31</v>
      </c>
      <c r="L124" t="s">
        <v>32</v>
      </c>
      <c r="M124" t="s">
        <v>61</v>
      </c>
      <c r="N124" t="s">
        <v>62</v>
      </c>
      <c r="O124" t="s">
        <v>63</v>
      </c>
      <c r="P124" t="s">
        <v>64</v>
      </c>
      <c r="Q124" t="s">
        <v>65</v>
      </c>
      <c r="R124" t="s">
        <v>76</v>
      </c>
      <c r="S124" s="20" t="s">
        <v>70</v>
      </c>
      <c r="T124" s="27">
        <v>42874</v>
      </c>
      <c r="U124" s="18"/>
      <c r="V124" s="18"/>
      <c r="W124" t="str">
        <f>VLOOKUP(B124,[1]Plantings!$A$2:$E$285,4,FALSE)</f>
        <v>polygon</v>
      </c>
      <c r="X124" s="11" t="str">
        <f>VLOOKUP(B124,[1]Plantings!$A$2:$E$285,5,FALSE)</f>
        <v>drop</v>
      </c>
      <c r="Y124" s="16" t="s">
        <v>1</v>
      </c>
      <c r="AF124" s="14" t="str">
        <f t="shared" si="18"/>
        <v/>
      </c>
      <c r="AG124" s="15"/>
      <c r="AH124" s="15"/>
      <c r="AI124" s="13" t="str">
        <f t="shared" si="16"/>
        <v/>
      </c>
      <c r="AJ124" s="13" t="str">
        <f t="shared" si="17"/>
        <v/>
      </c>
      <c r="AL124" s="19"/>
    </row>
    <row r="125" spans="1:38" x14ac:dyDescent="0.25">
      <c r="A125" t="s">
        <v>229</v>
      </c>
      <c r="B125" t="s">
        <v>279</v>
      </c>
      <c r="C125" t="str">
        <f>VLOOKUP(B125,[1]Plantings!$A$2:$C$285,2,FALSE)</f>
        <v>JSP_south_P4</v>
      </c>
      <c r="D125" t="str">
        <f>VLOOKUP(B125,[1]Plantings!$A$2:$C$285,3,FALSE)</f>
        <v>single</v>
      </c>
      <c r="E125">
        <v>2017</v>
      </c>
      <c r="G125" t="s">
        <v>75</v>
      </c>
      <c r="H125" t="s">
        <v>10</v>
      </c>
      <c r="I125" t="s">
        <v>29</v>
      </c>
      <c r="J125" t="s">
        <v>60</v>
      </c>
      <c r="K125" t="s">
        <v>31</v>
      </c>
      <c r="L125" t="s">
        <v>32</v>
      </c>
      <c r="M125" t="s">
        <v>61</v>
      </c>
      <c r="N125" t="s">
        <v>62</v>
      </c>
      <c r="O125" t="s">
        <v>63</v>
      </c>
      <c r="P125" t="s">
        <v>64</v>
      </c>
      <c r="Q125" t="s">
        <v>65</v>
      </c>
      <c r="R125" t="s">
        <v>76</v>
      </c>
      <c r="S125" t="s">
        <v>76</v>
      </c>
      <c r="T125" s="27">
        <v>42877</v>
      </c>
      <c r="U125" s="18">
        <v>47.221207525600001</v>
      </c>
      <c r="V125" s="18">
        <v>-122.80959413390001</v>
      </c>
      <c r="W125" t="str">
        <f>VLOOKUP(B125,[1]Plantings!$A$2:$E$285,4,FALSE)</f>
        <v>polygon</v>
      </c>
      <c r="X125" s="11" t="str">
        <f>VLOOKUP(B125,[1]Plantings!$A$2:$E$285,5,FALSE)</f>
        <v>retain</v>
      </c>
      <c r="Y125" s="16" t="s">
        <v>1</v>
      </c>
      <c r="Z125">
        <v>-1.6</v>
      </c>
      <c r="AA125" t="s">
        <v>66</v>
      </c>
      <c r="AB125">
        <v>20</v>
      </c>
      <c r="AC125">
        <v>8</v>
      </c>
      <c r="AD125">
        <f>AB125*AC125</f>
        <v>160</v>
      </c>
      <c r="AE125">
        <v>80</v>
      </c>
      <c r="AF125" s="14">
        <f t="shared" si="18"/>
        <v>26.150000000000002</v>
      </c>
      <c r="AG125" s="15">
        <v>2615</v>
      </c>
      <c r="AH125" s="15">
        <v>26149</v>
      </c>
      <c r="AI125" s="13">
        <f t="shared" si="16"/>
        <v>163.43125000000001</v>
      </c>
      <c r="AJ125" s="13">
        <f t="shared" si="17"/>
        <v>326.86250000000001</v>
      </c>
      <c r="AK125" t="s">
        <v>67</v>
      </c>
      <c r="AL125" s="19" t="s">
        <v>280</v>
      </c>
    </row>
    <row r="126" spans="1:38" x14ac:dyDescent="0.25">
      <c r="A126" t="s">
        <v>229</v>
      </c>
      <c r="B126" t="s">
        <v>281</v>
      </c>
      <c r="C126" t="str">
        <f>VLOOKUP(B126,[1]Plantings!$A$2:$C$285,2,FALSE)</f>
        <v>JSP_south_P4</v>
      </c>
      <c r="D126" t="str">
        <f>VLOOKUP(B126,[1]Plantings!$A$2:$C$285,3,FALSE)</f>
        <v>single</v>
      </c>
      <c r="E126">
        <v>2017</v>
      </c>
      <c r="G126" t="s">
        <v>75</v>
      </c>
      <c r="H126" t="s">
        <v>10</v>
      </c>
      <c r="I126" t="s">
        <v>29</v>
      </c>
      <c r="J126" t="s">
        <v>60</v>
      </c>
      <c r="K126" t="s">
        <v>31</v>
      </c>
      <c r="L126" t="s">
        <v>32</v>
      </c>
      <c r="M126" t="s">
        <v>61</v>
      </c>
      <c r="N126" t="s">
        <v>62</v>
      </c>
      <c r="O126" t="s">
        <v>63</v>
      </c>
      <c r="P126" t="s">
        <v>64</v>
      </c>
      <c r="Q126" t="s">
        <v>65</v>
      </c>
      <c r="R126" t="s">
        <v>76</v>
      </c>
      <c r="S126" s="20" t="s">
        <v>70</v>
      </c>
      <c r="T126" s="27">
        <v>42877</v>
      </c>
      <c r="U126" s="18">
        <v>47.221167879200003</v>
      </c>
      <c r="V126" s="18">
        <v>-122.8096705768</v>
      </c>
      <c r="W126" t="str">
        <f>VLOOKUP(B126,[1]Plantings!$A$2:$E$285,4,FALSE)</f>
        <v>polygon</v>
      </c>
      <c r="X126" s="11" t="str">
        <f>VLOOKUP(B126,[1]Plantings!$A$2:$E$285,5,FALSE)</f>
        <v>drop</v>
      </c>
      <c r="Y126" s="16" t="s">
        <v>1</v>
      </c>
      <c r="AF126" s="14" t="str">
        <f t="shared" si="18"/>
        <v/>
      </c>
      <c r="AG126" s="15"/>
      <c r="AH126" s="15"/>
      <c r="AI126" s="13" t="str">
        <f t="shared" si="16"/>
        <v/>
      </c>
      <c r="AJ126" s="13" t="str">
        <f t="shared" si="17"/>
        <v/>
      </c>
    </row>
    <row r="127" spans="1:38" x14ac:dyDescent="0.25">
      <c r="A127" t="s">
        <v>229</v>
      </c>
      <c r="B127" t="s">
        <v>282</v>
      </c>
      <c r="C127" t="str">
        <f>VLOOKUP(B127,[1]Plantings!$A$2:$C$285,2,FALSE)</f>
        <v>JSP_south_P4</v>
      </c>
      <c r="D127" t="str">
        <f>VLOOKUP(B127,[1]Plantings!$A$2:$C$285,3,FALSE)</f>
        <v>single</v>
      </c>
      <c r="E127">
        <v>2017</v>
      </c>
      <c r="G127" t="s">
        <v>75</v>
      </c>
      <c r="H127" t="s">
        <v>10</v>
      </c>
      <c r="I127" t="s">
        <v>29</v>
      </c>
      <c r="J127" t="s">
        <v>60</v>
      </c>
      <c r="K127" t="s">
        <v>31</v>
      </c>
      <c r="L127" t="s">
        <v>32</v>
      </c>
      <c r="M127" t="s">
        <v>61</v>
      </c>
      <c r="N127" t="s">
        <v>62</v>
      </c>
      <c r="O127" t="s">
        <v>63</v>
      </c>
      <c r="P127" t="s">
        <v>64</v>
      </c>
      <c r="Q127" t="s">
        <v>65</v>
      </c>
      <c r="R127" t="s">
        <v>76</v>
      </c>
      <c r="S127" s="20" t="s">
        <v>70</v>
      </c>
      <c r="T127" s="27">
        <v>42877</v>
      </c>
      <c r="U127" s="18">
        <v>47.221339999999998</v>
      </c>
      <c r="V127" s="18">
        <v>-122.8096</v>
      </c>
      <c r="W127" t="str">
        <f>VLOOKUP(B127,[1]Plantings!$A$2:$E$285,4,FALSE)</f>
        <v>polygon</v>
      </c>
      <c r="X127" s="11" t="str">
        <f>VLOOKUP(B127,[1]Plantings!$A$2:$E$285,5,FALSE)</f>
        <v>drop</v>
      </c>
      <c r="Y127" s="16" t="s">
        <v>1</v>
      </c>
      <c r="AF127" s="14" t="str">
        <f t="shared" si="18"/>
        <v/>
      </c>
      <c r="AG127" s="15"/>
      <c r="AH127" s="15"/>
      <c r="AI127" s="13" t="str">
        <f t="shared" si="16"/>
        <v/>
      </c>
      <c r="AJ127" s="13" t="str">
        <f t="shared" si="17"/>
        <v/>
      </c>
      <c r="AL127" s="19"/>
    </row>
    <row r="128" spans="1:38" x14ac:dyDescent="0.25">
      <c r="A128" t="s">
        <v>229</v>
      </c>
      <c r="B128" t="s">
        <v>283</v>
      </c>
      <c r="C128" t="str">
        <f>VLOOKUP(B128,[1]Plantings!$A$2:$C$285,2,FALSE)</f>
        <v>JSP_south_P4</v>
      </c>
      <c r="D128" t="str">
        <f>VLOOKUP(B128,[1]Plantings!$A$2:$C$285,3,FALSE)</f>
        <v>single</v>
      </c>
      <c r="E128">
        <v>2017</v>
      </c>
      <c r="G128" t="s">
        <v>75</v>
      </c>
      <c r="H128" t="s">
        <v>10</v>
      </c>
      <c r="I128" t="s">
        <v>29</v>
      </c>
      <c r="J128" t="s">
        <v>60</v>
      </c>
      <c r="K128" t="s">
        <v>31</v>
      </c>
      <c r="L128" t="s">
        <v>32</v>
      </c>
      <c r="M128" t="s">
        <v>61</v>
      </c>
      <c r="N128" t="s">
        <v>62</v>
      </c>
      <c r="O128" t="s">
        <v>63</v>
      </c>
      <c r="P128" t="s">
        <v>64</v>
      </c>
      <c r="Q128" t="s">
        <v>65</v>
      </c>
      <c r="R128" t="s">
        <v>76</v>
      </c>
      <c r="S128" s="20" t="s">
        <v>70</v>
      </c>
      <c r="T128" s="27">
        <v>42877</v>
      </c>
      <c r="U128" s="18"/>
      <c r="V128" s="18"/>
      <c r="W128" t="str">
        <f>VLOOKUP(B128,[1]Plantings!$A$2:$E$285,4,FALSE)</f>
        <v>polygon</v>
      </c>
      <c r="X128" s="11" t="str">
        <f>VLOOKUP(B128,[1]Plantings!$A$2:$E$285,5,FALSE)</f>
        <v>drop</v>
      </c>
      <c r="Y128" s="16" t="s">
        <v>1</v>
      </c>
      <c r="AF128" s="14" t="str">
        <f t="shared" si="18"/>
        <v/>
      </c>
      <c r="AG128" s="15"/>
      <c r="AH128" s="15"/>
      <c r="AI128" s="13" t="str">
        <f t="shared" si="16"/>
        <v/>
      </c>
      <c r="AJ128" s="13" t="str">
        <f t="shared" si="17"/>
        <v/>
      </c>
      <c r="AL128" s="19"/>
    </row>
    <row r="129" spans="1:38" x14ac:dyDescent="0.25">
      <c r="A129" s="4" t="s">
        <v>229</v>
      </c>
      <c r="B129" s="4" t="s">
        <v>284</v>
      </c>
      <c r="C129" t="str">
        <f>VLOOKUP(B129,[1]Plantings!$A$2:$C$285,2,FALSE)</f>
        <v>JSP_mid_AG1</v>
      </c>
      <c r="D129" t="str">
        <f>VLOOKUP(B129,[1]Plantings!$A$2:$C$285,3,FALSE)</f>
        <v>single</v>
      </c>
      <c r="E129" s="4">
        <v>2017</v>
      </c>
      <c r="F129" s="4"/>
      <c r="G129" s="4" t="s">
        <v>0</v>
      </c>
      <c r="H129" s="4" t="s">
        <v>10</v>
      </c>
      <c r="I129" t="s">
        <v>29</v>
      </c>
      <c r="J129" s="4" t="s">
        <v>285</v>
      </c>
      <c r="K129" s="4" t="s">
        <v>43</v>
      </c>
      <c r="L129" s="4" t="s">
        <v>137</v>
      </c>
      <c r="M129" s="4"/>
      <c r="N129" s="4"/>
      <c r="O129" s="4"/>
      <c r="P129" s="4"/>
      <c r="Q129" s="4"/>
      <c r="R129" s="4" t="s">
        <v>38</v>
      </c>
      <c r="S129" s="4" t="s">
        <v>38</v>
      </c>
      <c r="T129" s="27">
        <v>42880</v>
      </c>
      <c r="U129" s="11">
        <v>47.222461000000003</v>
      </c>
      <c r="V129" s="11">
        <v>-122.810239</v>
      </c>
      <c r="W129" t="str">
        <f>VLOOKUP(B129,[1]Plantings!$A$2:$E$285,4,FALSE)</f>
        <v>point</v>
      </c>
      <c r="X129" s="11" t="str">
        <f>VLOOKUP(B129,[1]Plantings!$A$2:$E$285,5,FALSE)</f>
        <v>retain</v>
      </c>
      <c r="Y129" s="16" t="s">
        <v>1</v>
      </c>
      <c r="Z129">
        <v>-1.1499999999999999</v>
      </c>
      <c r="AA129" t="s">
        <v>39</v>
      </c>
      <c r="AB129">
        <v>1</v>
      </c>
      <c r="AC129">
        <v>1</v>
      </c>
      <c r="AD129">
        <f t="shared" ref="AD129:AD176" si="19">AB129*AC129</f>
        <v>1</v>
      </c>
      <c r="AE129">
        <v>8.0000000000000002E-3</v>
      </c>
      <c r="AF129" s="14">
        <f t="shared" si="18"/>
        <v>1.4999999999999999E-2</v>
      </c>
      <c r="AG129" s="15">
        <v>3</v>
      </c>
      <c r="AH129" s="15">
        <f t="shared" ref="AH129:AH140" si="20">AG129*4</f>
        <v>12</v>
      </c>
      <c r="AI129" s="13">
        <f t="shared" si="16"/>
        <v>12</v>
      </c>
      <c r="AJ129" s="13">
        <f t="shared" si="17"/>
        <v>1500</v>
      </c>
      <c r="AK129" t="s">
        <v>93</v>
      </c>
      <c r="AL129" s="19" t="s">
        <v>286</v>
      </c>
    </row>
    <row r="130" spans="1:38" x14ac:dyDescent="0.25">
      <c r="A130" s="4" t="s">
        <v>229</v>
      </c>
      <c r="B130" s="4" t="s">
        <v>287</v>
      </c>
      <c r="C130" t="str">
        <f>VLOOKUP(B130,[1]Plantings!$A$2:$C$285,2,FALSE)</f>
        <v>JSP_mid_BG1</v>
      </c>
      <c r="D130" t="str">
        <f>VLOOKUP(B130,[1]Plantings!$A$2:$C$285,3,FALSE)</f>
        <v>single</v>
      </c>
      <c r="E130" s="4">
        <v>2017</v>
      </c>
      <c r="F130" s="4"/>
      <c r="G130" s="4" t="s">
        <v>0</v>
      </c>
      <c r="H130" s="4" t="s">
        <v>10</v>
      </c>
      <c r="I130" t="s">
        <v>29</v>
      </c>
      <c r="J130" s="4" t="s">
        <v>285</v>
      </c>
      <c r="K130" s="4" t="s">
        <v>43</v>
      </c>
      <c r="L130" s="4" t="s">
        <v>137</v>
      </c>
      <c r="M130" s="4"/>
      <c r="N130" s="4"/>
      <c r="O130" s="4"/>
      <c r="P130" s="4"/>
      <c r="Q130" s="4"/>
      <c r="R130" s="4" t="s">
        <v>38</v>
      </c>
      <c r="S130" s="20" t="s">
        <v>70</v>
      </c>
      <c r="T130" s="27">
        <v>42880</v>
      </c>
      <c r="U130" s="11">
        <v>47.222489000000003</v>
      </c>
      <c r="V130" s="11">
        <v>-122.81026199999999</v>
      </c>
      <c r="W130" t="str">
        <f>VLOOKUP(B130,[1]Plantings!$A$2:$E$285,4,FALSE)</f>
        <v>point</v>
      </c>
      <c r="X130" s="11" t="str">
        <f>VLOOKUP(B130,[1]Plantings!$A$2:$E$285,5,FALSE)</f>
        <v>retain</v>
      </c>
      <c r="Y130" s="16" t="s">
        <v>1</v>
      </c>
      <c r="AA130" t="s">
        <v>39</v>
      </c>
      <c r="AB130">
        <v>1</v>
      </c>
      <c r="AC130">
        <v>1</v>
      </c>
      <c r="AD130">
        <f t="shared" si="19"/>
        <v>1</v>
      </c>
      <c r="AE130">
        <v>8.0000000000000002E-3</v>
      </c>
      <c r="AF130" s="14">
        <f t="shared" si="18"/>
        <v>1.4999999999999999E-2</v>
      </c>
      <c r="AG130" s="15">
        <v>3</v>
      </c>
      <c r="AH130" s="15">
        <f t="shared" si="20"/>
        <v>12</v>
      </c>
      <c r="AI130" s="13">
        <f t="shared" si="16"/>
        <v>12</v>
      </c>
      <c r="AJ130" s="13">
        <f t="shared" si="17"/>
        <v>1500</v>
      </c>
      <c r="AK130" t="s">
        <v>93</v>
      </c>
      <c r="AL130" s="19" t="s">
        <v>286</v>
      </c>
    </row>
    <row r="131" spans="1:38" x14ac:dyDescent="0.25">
      <c r="A131" s="4" t="s">
        <v>229</v>
      </c>
      <c r="B131" s="4" t="s">
        <v>288</v>
      </c>
      <c r="C131" t="str">
        <f>VLOOKUP(B131,[1]Plantings!$A$2:$C$285,2,FALSE)</f>
        <v>JSP_mid_C1</v>
      </c>
      <c r="D131" t="str">
        <f>VLOOKUP(B131,[1]Plantings!$A$2:$C$285,3,FALSE)</f>
        <v>single</v>
      </c>
      <c r="E131" s="4">
        <v>2017</v>
      </c>
      <c r="F131" s="4"/>
      <c r="G131" s="4" t="s">
        <v>0</v>
      </c>
      <c r="H131" s="4" t="s">
        <v>10</v>
      </c>
      <c r="I131" t="s">
        <v>29</v>
      </c>
      <c r="J131" s="4" t="s">
        <v>285</v>
      </c>
      <c r="K131" s="4" t="s">
        <v>43</v>
      </c>
      <c r="L131" s="4" t="s">
        <v>137</v>
      </c>
      <c r="M131" s="4"/>
      <c r="N131" s="4"/>
      <c r="O131" s="4"/>
      <c r="P131" s="4"/>
      <c r="Q131" s="4"/>
      <c r="R131" s="4" t="s">
        <v>38</v>
      </c>
      <c r="S131" s="20" t="s">
        <v>70</v>
      </c>
      <c r="T131" s="27">
        <v>42880</v>
      </c>
      <c r="U131" s="11">
        <v>47.222512000000002</v>
      </c>
      <c r="V131" s="11">
        <v>-122.810267</v>
      </c>
      <c r="W131" t="str">
        <f>VLOOKUP(B131,[1]Plantings!$A$2:$E$285,4,FALSE)</f>
        <v>point</v>
      </c>
      <c r="X131" s="11" t="str">
        <f>VLOOKUP(B131,[1]Plantings!$A$2:$E$285,5,FALSE)</f>
        <v>retain</v>
      </c>
      <c r="Y131" s="16" t="s">
        <v>1</v>
      </c>
      <c r="AA131" t="s">
        <v>39</v>
      </c>
      <c r="AB131">
        <v>1</v>
      </c>
      <c r="AC131">
        <v>1</v>
      </c>
      <c r="AD131">
        <f t="shared" si="19"/>
        <v>1</v>
      </c>
      <c r="AE131">
        <v>8.0000000000000002E-3</v>
      </c>
      <c r="AF131" s="14">
        <f t="shared" si="18"/>
        <v>1.4999999999999999E-2</v>
      </c>
      <c r="AG131" s="15">
        <v>3</v>
      </c>
      <c r="AH131" s="15">
        <f t="shared" si="20"/>
        <v>12</v>
      </c>
      <c r="AI131" s="13">
        <f t="shared" si="16"/>
        <v>12</v>
      </c>
      <c r="AJ131" s="13">
        <f t="shared" si="17"/>
        <v>1500</v>
      </c>
      <c r="AK131" t="s">
        <v>93</v>
      </c>
      <c r="AL131" s="19" t="s">
        <v>286</v>
      </c>
    </row>
    <row r="132" spans="1:38" x14ac:dyDescent="0.25">
      <c r="A132" s="4" t="s">
        <v>229</v>
      </c>
      <c r="B132" s="4" t="s">
        <v>289</v>
      </c>
      <c r="C132" t="str">
        <f>VLOOKUP(B132,[1]Plantings!$A$2:$C$285,2,FALSE)</f>
        <v>JSP_mid_AG2</v>
      </c>
      <c r="D132" t="str">
        <f>VLOOKUP(B132,[1]Plantings!$A$2:$C$285,3,FALSE)</f>
        <v>single</v>
      </c>
      <c r="E132" s="4">
        <v>2017</v>
      </c>
      <c r="F132" s="4"/>
      <c r="G132" s="4" t="s">
        <v>0</v>
      </c>
      <c r="H132" s="4" t="s">
        <v>10</v>
      </c>
      <c r="I132" t="s">
        <v>29</v>
      </c>
      <c r="J132" s="4" t="s">
        <v>285</v>
      </c>
      <c r="K132" s="4" t="s">
        <v>43</v>
      </c>
      <c r="L132" s="4" t="s">
        <v>137</v>
      </c>
      <c r="M132" s="4"/>
      <c r="N132" s="4"/>
      <c r="O132" s="4"/>
      <c r="P132" s="4"/>
      <c r="Q132" s="4"/>
      <c r="R132" s="4" t="s">
        <v>38</v>
      </c>
      <c r="S132" s="20" t="s">
        <v>70</v>
      </c>
      <c r="T132" s="27">
        <v>42880</v>
      </c>
      <c r="U132" s="11">
        <v>47.222541999999997</v>
      </c>
      <c r="V132" s="11">
        <v>-122.81027899999999</v>
      </c>
      <c r="W132" t="str">
        <f>VLOOKUP(B132,[1]Plantings!$A$2:$E$285,4,FALSE)</f>
        <v>point</v>
      </c>
      <c r="X132" s="11" t="str">
        <f>VLOOKUP(B132,[1]Plantings!$A$2:$E$285,5,FALSE)</f>
        <v>retain</v>
      </c>
      <c r="Y132" s="16" t="s">
        <v>1</v>
      </c>
      <c r="AA132" t="s">
        <v>39</v>
      </c>
      <c r="AB132">
        <v>1</v>
      </c>
      <c r="AC132">
        <v>1</v>
      </c>
      <c r="AD132">
        <f t="shared" si="19"/>
        <v>1</v>
      </c>
      <c r="AE132">
        <v>8.0000000000000002E-3</v>
      </c>
      <c r="AF132" s="14">
        <f t="shared" si="18"/>
        <v>1.4999999999999999E-2</v>
      </c>
      <c r="AG132" s="15">
        <v>3</v>
      </c>
      <c r="AH132" s="15">
        <f t="shared" si="20"/>
        <v>12</v>
      </c>
      <c r="AI132" s="13">
        <f t="shared" si="16"/>
        <v>12</v>
      </c>
      <c r="AJ132" s="13">
        <f t="shared" si="17"/>
        <v>1500</v>
      </c>
      <c r="AK132" t="s">
        <v>93</v>
      </c>
      <c r="AL132" s="19" t="s">
        <v>286</v>
      </c>
    </row>
    <row r="133" spans="1:38" x14ac:dyDescent="0.25">
      <c r="A133" s="4" t="s">
        <v>229</v>
      </c>
      <c r="B133" s="4" t="s">
        <v>290</v>
      </c>
      <c r="C133" t="str">
        <f>VLOOKUP(B133,[1]Plantings!$A$2:$C$285,2,FALSE)</f>
        <v>JSP_mid_C2</v>
      </c>
      <c r="D133" t="str">
        <f>VLOOKUP(B133,[1]Plantings!$A$2:$C$285,3,FALSE)</f>
        <v>single</v>
      </c>
      <c r="E133" s="4">
        <v>2017</v>
      </c>
      <c r="F133" s="4"/>
      <c r="G133" s="4" t="s">
        <v>0</v>
      </c>
      <c r="H133" s="4" t="s">
        <v>10</v>
      </c>
      <c r="I133" t="s">
        <v>29</v>
      </c>
      <c r="J133" s="4" t="s">
        <v>285</v>
      </c>
      <c r="K133" s="4" t="s">
        <v>43</v>
      </c>
      <c r="L133" s="4" t="s">
        <v>137</v>
      </c>
      <c r="M133" s="4"/>
      <c r="N133" s="4"/>
      <c r="O133" s="4"/>
      <c r="P133" s="4"/>
      <c r="Q133" s="4"/>
      <c r="R133" s="4" t="s">
        <v>38</v>
      </c>
      <c r="S133" s="20" t="s">
        <v>70</v>
      </c>
      <c r="T133" s="27">
        <v>42880</v>
      </c>
      <c r="U133" s="11">
        <v>47.222552</v>
      </c>
      <c r="V133" s="11">
        <v>-122.810293</v>
      </c>
      <c r="W133" t="str">
        <f>VLOOKUP(B133,[1]Plantings!$A$2:$E$285,4,FALSE)</f>
        <v>point</v>
      </c>
      <c r="X133" s="11" t="str">
        <f>VLOOKUP(B133,[1]Plantings!$A$2:$E$285,5,FALSE)</f>
        <v>retain</v>
      </c>
      <c r="Y133" s="16" t="s">
        <v>1</v>
      </c>
      <c r="AA133" t="s">
        <v>39</v>
      </c>
      <c r="AB133">
        <v>1</v>
      </c>
      <c r="AC133">
        <v>1</v>
      </c>
      <c r="AD133">
        <f t="shared" si="19"/>
        <v>1</v>
      </c>
      <c r="AE133">
        <v>8.0000000000000002E-3</v>
      </c>
      <c r="AF133" s="14">
        <f t="shared" si="18"/>
        <v>1.4999999999999999E-2</v>
      </c>
      <c r="AG133" s="15">
        <v>3</v>
      </c>
      <c r="AH133" s="15">
        <f t="shared" si="20"/>
        <v>12</v>
      </c>
      <c r="AI133" s="13">
        <f t="shared" si="16"/>
        <v>12</v>
      </c>
      <c r="AJ133" s="13">
        <f t="shared" si="17"/>
        <v>1500</v>
      </c>
      <c r="AK133" t="s">
        <v>93</v>
      </c>
      <c r="AL133" s="19" t="s">
        <v>286</v>
      </c>
    </row>
    <row r="134" spans="1:38" x14ac:dyDescent="0.25">
      <c r="A134" s="4" t="s">
        <v>229</v>
      </c>
      <c r="B134" s="4" t="s">
        <v>291</v>
      </c>
      <c r="C134" t="str">
        <f>VLOOKUP(B134,[1]Plantings!$A$2:$C$285,2,FALSE)</f>
        <v>JSP_mid_BG2</v>
      </c>
      <c r="D134" t="str">
        <f>VLOOKUP(B134,[1]Plantings!$A$2:$C$285,3,FALSE)</f>
        <v>single</v>
      </c>
      <c r="E134" s="4">
        <v>2017</v>
      </c>
      <c r="F134" s="4"/>
      <c r="G134" s="4" t="s">
        <v>0</v>
      </c>
      <c r="H134" s="4" t="s">
        <v>10</v>
      </c>
      <c r="I134" t="s">
        <v>29</v>
      </c>
      <c r="J134" s="4" t="s">
        <v>285</v>
      </c>
      <c r="K134" s="4" t="s">
        <v>43</v>
      </c>
      <c r="L134" s="4" t="s">
        <v>137</v>
      </c>
      <c r="M134" s="4"/>
      <c r="N134" s="4"/>
      <c r="O134" s="4"/>
      <c r="P134" s="4"/>
      <c r="Q134" s="4"/>
      <c r="R134" s="4" t="s">
        <v>38</v>
      </c>
      <c r="S134" s="20" t="s">
        <v>70</v>
      </c>
      <c r="T134" s="27">
        <v>42880</v>
      </c>
      <c r="U134" s="11">
        <v>47.222596000000003</v>
      </c>
      <c r="V134" s="11">
        <v>-122.810309</v>
      </c>
      <c r="W134" t="str">
        <f>VLOOKUP(B134,[1]Plantings!$A$2:$E$285,4,FALSE)</f>
        <v>point</v>
      </c>
      <c r="X134" s="11" t="str">
        <f>VLOOKUP(B134,[1]Plantings!$A$2:$E$285,5,FALSE)</f>
        <v>retain</v>
      </c>
      <c r="Y134" s="16" t="s">
        <v>1</v>
      </c>
      <c r="AA134" t="s">
        <v>39</v>
      </c>
      <c r="AB134">
        <v>1</v>
      </c>
      <c r="AC134">
        <v>1</v>
      </c>
      <c r="AD134">
        <f t="shared" si="19"/>
        <v>1</v>
      </c>
      <c r="AE134">
        <v>8.0000000000000002E-3</v>
      </c>
      <c r="AF134" s="14">
        <f t="shared" si="18"/>
        <v>1.4999999999999999E-2</v>
      </c>
      <c r="AG134" s="15">
        <v>3</v>
      </c>
      <c r="AH134" s="15">
        <f t="shared" si="20"/>
        <v>12</v>
      </c>
      <c r="AI134" s="13">
        <f t="shared" si="16"/>
        <v>12</v>
      </c>
      <c r="AJ134" s="13">
        <f t="shared" si="17"/>
        <v>1500</v>
      </c>
      <c r="AK134" t="s">
        <v>93</v>
      </c>
      <c r="AL134" s="19" t="s">
        <v>286</v>
      </c>
    </row>
    <row r="135" spans="1:38" x14ac:dyDescent="0.25">
      <c r="A135" s="4" t="s">
        <v>229</v>
      </c>
      <c r="B135" s="4" t="s">
        <v>292</v>
      </c>
      <c r="C135" t="str">
        <f>VLOOKUP(B135,[1]Plantings!$A$2:$C$285,2,FALSE)</f>
        <v>JSP_mid_C3</v>
      </c>
      <c r="D135" t="str">
        <f>VLOOKUP(B135,[1]Plantings!$A$2:$C$285,3,FALSE)</f>
        <v>single</v>
      </c>
      <c r="E135" s="4">
        <v>2017</v>
      </c>
      <c r="F135" s="4"/>
      <c r="G135" s="4" t="s">
        <v>0</v>
      </c>
      <c r="H135" s="4" t="s">
        <v>10</v>
      </c>
      <c r="I135" t="s">
        <v>29</v>
      </c>
      <c r="J135" s="4" t="s">
        <v>285</v>
      </c>
      <c r="K135" s="4" t="s">
        <v>43</v>
      </c>
      <c r="L135" s="4" t="s">
        <v>137</v>
      </c>
      <c r="M135" s="4"/>
      <c r="N135" s="4"/>
      <c r="O135" s="4"/>
      <c r="P135" s="4"/>
      <c r="Q135" s="4"/>
      <c r="R135" s="4" t="s">
        <v>38</v>
      </c>
      <c r="S135" s="20" t="s">
        <v>70</v>
      </c>
      <c r="T135" s="27">
        <v>42880</v>
      </c>
      <c r="U135" s="11">
        <v>47.222611999999998</v>
      </c>
      <c r="V135" s="11">
        <v>-122.810312</v>
      </c>
      <c r="W135" t="str">
        <f>VLOOKUP(B135,[1]Plantings!$A$2:$E$285,4,FALSE)</f>
        <v>point</v>
      </c>
      <c r="X135" s="11" t="str">
        <f>VLOOKUP(B135,[1]Plantings!$A$2:$E$285,5,FALSE)</f>
        <v>retain</v>
      </c>
      <c r="Y135" s="16" t="s">
        <v>1</v>
      </c>
      <c r="AA135" t="s">
        <v>39</v>
      </c>
      <c r="AB135">
        <v>1</v>
      </c>
      <c r="AC135">
        <v>1</v>
      </c>
      <c r="AD135">
        <f t="shared" si="19"/>
        <v>1</v>
      </c>
      <c r="AE135">
        <v>8.0000000000000002E-3</v>
      </c>
      <c r="AF135" s="14">
        <f t="shared" si="18"/>
        <v>1.4999999999999999E-2</v>
      </c>
      <c r="AG135" s="15">
        <v>3</v>
      </c>
      <c r="AH135" s="15">
        <f t="shared" si="20"/>
        <v>12</v>
      </c>
      <c r="AI135" s="13">
        <f t="shared" si="16"/>
        <v>12</v>
      </c>
      <c r="AJ135" s="13">
        <f t="shared" si="17"/>
        <v>1500</v>
      </c>
      <c r="AK135" t="s">
        <v>93</v>
      </c>
      <c r="AL135" s="19" t="s">
        <v>286</v>
      </c>
    </row>
    <row r="136" spans="1:38" x14ac:dyDescent="0.25">
      <c r="A136" s="4" t="s">
        <v>229</v>
      </c>
      <c r="B136" s="4" t="s">
        <v>293</v>
      </c>
      <c r="C136" t="str">
        <f>VLOOKUP(B136,[1]Plantings!$A$2:$C$285,2,FALSE)</f>
        <v>JSP_mid_BG3</v>
      </c>
      <c r="D136" t="str">
        <f>VLOOKUP(B136,[1]Plantings!$A$2:$C$285,3,FALSE)</f>
        <v>single</v>
      </c>
      <c r="E136" s="4">
        <v>2017</v>
      </c>
      <c r="F136" s="4"/>
      <c r="G136" s="4" t="s">
        <v>0</v>
      </c>
      <c r="H136" s="4" t="s">
        <v>10</v>
      </c>
      <c r="I136" t="s">
        <v>29</v>
      </c>
      <c r="J136" s="4" t="s">
        <v>285</v>
      </c>
      <c r="K136" s="4" t="s">
        <v>43</v>
      </c>
      <c r="L136" s="4" t="s">
        <v>137</v>
      </c>
      <c r="M136" s="4"/>
      <c r="N136" s="4"/>
      <c r="O136" s="4"/>
      <c r="P136" s="4"/>
      <c r="Q136" s="4"/>
      <c r="R136" s="4" t="s">
        <v>38</v>
      </c>
      <c r="S136" s="20" t="s">
        <v>70</v>
      </c>
      <c r="T136" s="27">
        <v>42880</v>
      </c>
      <c r="U136" s="11">
        <v>47.222638000000003</v>
      </c>
      <c r="V136" s="11">
        <v>-122.810339</v>
      </c>
      <c r="W136" t="str">
        <f>VLOOKUP(B136,[1]Plantings!$A$2:$E$285,4,FALSE)</f>
        <v>point</v>
      </c>
      <c r="X136" s="11" t="str">
        <f>VLOOKUP(B136,[1]Plantings!$A$2:$E$285,5,FALSE)</f>
        <v>retain</v>
      </c>
      <c r="Y136" s="16" t="s">
        <v>1</v>
      </c>
      <c r="AA136" t="s">
        <v>39</v>
      </c>
      <c r="AB136">
        <v>1</v>
      </c>
      <c r="AC136">
        <v>1</v>
      </c>
      <c r="AD136">
        <f t="shared" si="19"/>
        <v>1</v>
      </c>
      <c r="AE136">
        <v>8.0000000000000002E-3</v>
      </c>
      <c r="AF136" s="14">
        <f t="shared" si="18"/>
        <v>1.4999999999999999E-2</v>
      </c>
      <c r="AG136" s="15">
        <v>3</v>
      </c>
      <c r="AH136" s="15">
        <f t="shared" si="20"/>
        <v>12</v>
      </c>
      <c r="AI136" s="13">
        <f t="shared" si="16"/>
        <v>12</v>
      </c>
      <c r="AJ136" s="13">
        <f t="shared" si="17"/>
        <v>1500</v>
      </c>
      <c r="AK136" t="s">
        <v>93</v>
      </c>
      <c r="AL136" s="19" t="s">
        <v>286</v>
      </c>
    </row>
    <row r="137" spans="1:38" x14ac:dyDescent="0.25">
      <c r="A137" s="4" t="s">
        <v>229</v>
      </c>
      <c r="B137" s="4" t="s">
        <v>294</v>
      </c>
      <c r="C137" t="str">
        <f>VLOOKUP(B137,[1]Plantings!$A$2:$C$285,2,FALSE)</f>
        <v>JSP_mid_C4</v>
      </c>
      <c r="D137" t="str">
        <f>VLOOKUP(B137,[1]Plantings!$A$2:$C$285,3,FALSE)</f>
        <v>single</v>
      </c>
      <c r="E137" s="4">
        <v>2017</v>
      </c>
      <c r="F137" s="4"/>
      <c r="G137" s="4" t="s">
        <v>0</v>
      </c>
      <c r="H137" s="4" t="s">
        <v>10</v>
      </c>
      <c r="I137" t="s">
        <v>29</v>
      </c>
      <c r="J137" s="4" t="s">
        <v>285</v>
      </c>
      <c r="K137" s="4" t="s">
        <v>43</v>
      </c>
      <c r="L137" s="4" t="s">
        <v>137</v>
      </c>
      <c r="M137" s="4"/>
      <c r="N137" s="4"/>
      <c r="O137" s="4"/>
      <c r="P137" s="4"/>
      <c r="Q137" s="4"/>
      <c r="R137" s="4" t="s">
        <v>38</v>
      </c>
      <c r="S137" s="20" t="s">
        <v>70</v>
      </c>
      <c r="T137" s="27">
        <v>42880</v>
      </c>
      <c r="U137" s="11">
        <v>47.222720000000002</v>
      </c>
      <c r="V137" s="11">
        <v>-122.81038599999999</v>
      </c>
      <c r="W137" t="str">
        <f>VLOOKUP(B137,[1]Plantings!$A$2:$E$285,4,FALSE)</f>
        <v>point</v>
      </c>
      <c r="X137" s="11" t="str">
        <f>VLOOKUP(B137,[1]Plantings!$A$2:$E$285,5,FALSE)</f>
        <v>retain</v>
      </c>
      <c r="Y137" s="16" t="s">
        <v>1</v>
      </c>
      <c r="AA137" t="s">
        <v>39</v>
      </c>
      <c r="AB137">
        <v>1</v>
      </c>
      <c r="AC137">
        <v>1</v>
      </c>
      <c r="AD137">
        <f t="shared" si="19"/>
        <v>1</v>
      </c>
      <c r="AE137">
        <v>8.0000000000000002E-3</v>
      </c>
      <c r="AF137" s="14">
        <f t="shared" si="18"/>
        <v>1.4999999999999999E-2</v>
      </c>
      <c r="AG137" s="15">
        <v>3</v>
      </c>
      <c r="AH137" s="15">
        <f t="shared" si="20"/>
        <v>12</v>
      </c>
      <c r="AI137" s="13">
        <f t="shared" si="16"/>
        <v>12</v>
      </c>
      <c r="AJ137" s="13">
        <f t="shared" si="17"/>
        <v>1500</v>
      </c>
      <c r="AK137" t="s">
        <v>93</v>
      </c>
      <c r="AL137" s="19" t="s">
        <v>286</v>
      </c>
    </row>
    <row r="138" spans="1:38" x14ac:dyDescent="0.25">
      <c r="A138" s="4" t="s">
        <v>229</v>
      </c>
      <c r="B138" s="4" t="s">
        <v>295</v>
      </c>
      <c r="C138" t="str">
        <f>VLOOKUP(B138,[1]Plantings!$A$2:$C$285,2,FALSE)</f>
        <v>JSP_mid_BG4</v>
      </c>
      <c r="D138" t="str">
        <f>VLOOKUP(B138,[1]Plantings!$A$2:$C$285,3,FALSE)</f>
        <v>single</v>
      </c>
      <c r="E138" s="4">
        <v>2017</v>
      </c>
      <c r="F138" s="4"/>
      <c r="G138" s="4" t="s">
        <v>0</v>
      </c>
      <c r="H138" s="4" t="s">
        <v>10</v>
      </c>
      <c r="I138" t="s">
        <v>29</v>
      </c>
      <c r="J138" s="4" t="s">
        <v>285</v>
      </c>
      <c r="K138" s="4" t="s">
        <v>43</v>
      </c>
      <c r="L138" s="4" t="s">
        <v>137</v>
      </c>
      <c r="M138" s="4"/>
      <c r="N138" s="4"/>
      <c r="O138" s="4"/>
      <c r="P138" s="4"/>
      <c r="Q138" s="4"/>
      <c r="R138" s="4" t="s">
        <v>38</v>
      </c>
      <c r="S138" s="20" t="s">
        <v>70</v>
      </c>
      <c r="T138" s="27">
        <v>42880</v>
      </c>
      <c r="U138" s="11">
        <v>47.222659</v>
      </c>
      <c r="V138" s="11">
        <v>-122.810361</v>
      </c>
      <c r="W138" t="str">
        <f>VLOOKUP(B138,[1]Plantings!$A$2:$E$285,4,FALSE)</f>
        <v>point</v>
      </c>
      <c r="X138" s="11" t="str">
        <f>VLOOKUP(B138,[1]Plantings!$A$2:$E$285,5,FALSE)</f>
        <v>retain</v>
      </c>
      <c r="Y138" s="16" t="s">
        <v>1</v>
      </c>
      <c r="AA138" t="s">
        <v>39</v>
      </c>
      <c r="AB138">
        <v>1</v>
      </c>
      <c r="AC138">
        <v>1</v>
      </c>
      <c r="AD138">
        <f t="shared" si="19"/>
        <v>1</v>
      </c>
      <c r="AE138">
        <v>8.0000000000000002E-3</v>
      </c>
      <c r="AF138" s="14">
        <f t="shared" si="18"/>
        <v>1.4999999999999999E-2</v>
      </c>
      <c r="AG138" s="15">
        <v>3</v>
      </c>
      <c r="AH138" s="15">
        <f t="shared" si="20"/>
        <v>12</v>
      </c>
      <c r="AI138" s="13">
        <f t="shared" si="16"/>
        <v>12</v>
      </c>
      <c r="AJ138" s="13">
        <f t="shared" si="17"/>
        <v>1500</v>
      </c>
      <c r="AK138" t="s">
        <v>93</v>
      </c>
      <c r="AL138" s="19" t="s">
        <v>286</v>
      </c>
    </row>
    <row r="139" spans="1:38" x14ac:dyDescent="0.25">
      <c r="A139" s="4" t="s">
        <v>229</v>
      </c>
      <c r="B139" s="4" t="s">
        <v>296</v>
      </c>
      <c r="C139" t="str">
        <f>VLOOKUP(B139,[1]Plantings!$A$2:$C$285,2,FALSE)</f>
        <v>JSP_mid_AG3</v>
      </c>
      <c r="D139" t="str">
        <f>VLOOKUP(B139,[1]Plantings!$A$2:$C$285,3,FALSE)</f>
        <v>single</v>
      </c>
      <c r="E139" s="4">
        <v>2017</v>
      </c>
      <c r="F139" s="4"/>
      <c r="G139" s="4" t="s">
        <v>0</v>
      </c>
      <c r="H139" s="4" t="s">
        <v>10</v>
      </c>
      <c r="I139" t="s">
        <v>29</v>
      </c>
      <c r="J139" s="4" t="s">
        <v>285</v>
      </c>
      <c r="K139" s="4" t="s">
        <v>43</v>
      </c>
      <c r="L139" s="4" t="s">
        <v>137</v>
      </c>
      <c r="M139" s="4"/>
      <c r="N139" s="4"/>
      <c r="O139" s="4"/>
      <c r="P139" s="4"/>
      <c r="Q139" s="4"/>
      <c r="R139" s="4" t="s">
        <v>38</v>
      </c>
      <c r="S139" s="20" t="s">
        <v>70</v>
      </c>
      <c r="T139" s="27">
        <v>42880</v>
      </c>
      <c r="U139" s="11">
        <v>47.222687999999998</v>
      </c>
      <c r="V139" s="11">
        <v>-122.810372</v>
      </c>
      <c r="W139" t="str">
        <f>VLOOKUP(B139,[1]Plantings!$A$2:$E$285,4,FALSE)</f>
        <v>point</v>
      </c>
      <c r="X139" s="11" t="str">
        <f>VLOOKUP(B139,[1]Plantings!$A$2:$E$285,5,FALSE)</f>
        <v>retain</v>
      </c>
      <c r="Y139" s="16" t="s">
        <v>1</v>
      </c>
      <c r="AA139" t="s">
        <v>39</v>
      </c>
      <c r="AB139">
        <v>1</v>
      </c>
      <c r="AC139">
        <v>1</v>
      </c>
      <c r="AD139">
        <f t="shared" si="19"/>
        <v>1</v>
      </c>
      <c r="AE139">
        <v>8.0000000000000002E-3</v>
      </c>
      <c r="AF139" s="14">
        <f t="shared" si="18"/>
        <v>1.4999999999999999E-2</v>
      </c>
      <c r="AG139" s="15">
        <v>3</v>
      </c>
      <c r="AH139" s="15">
        <f t="shared" si="20"/>
        <v>12</v>
      </c>
      <c r="AI139" s="13">
        <f t="shared" si="16"/>
        <v>12</v>
      </c>
      <c r="AJ139" s="13">
        <f t="shared" si="17"/>
        <v>1500</v>
      </c>
      <c r="AK139" t="s">
        <v>93</v>
      </c>
      <c r="AL139" s="19" t="s">
        <v>286</v>
      </c>
    </row>
    <row r="140" spans="1:38" x14ac:dyDescent="0.25">
      <c r="A140" s="4" t="s">
        <v>229</v>
      </c>
      <c r="B140" s="4" t="s">
        <v>297</v>
      </c>
      <c r="C140" t="str">
        <f>VLOOKUP(B140,[1]Plantings!$A$2:$C$285,2,FALSE)</f>
        <v>JSP_mid_AG4</v>
      </c>
      <c r="D140" t="str">
        <f>VLOOKUP(B140,[1]Plantings!$A$2:$C$285,3,FALSE)</f>
        <v>single</v>
      </c>
      <c r="E140" s="4">
        <v>2017</v>
      </c>
      <c r="F140" s="4"/>
      <c r="G140" s="4" t="s">
        <v>0</v>
      </c>
      <c r="H140" s="4" t="s">
        <v>10</v>
      </c>
      <c r="I140" t="s">
        <v>29</v>
      </c>
      <c r="J140" s="4" t="s">
        <v>285</v>
      </c>
      <c r="K140" s="4" t="s">
        <v>43</v>
      </c>
      <c r="L140" s="4" t="s">
        <v>137</v>
      </c>
      <c r="M140" s="4"/>
      <c r="N140" s="4"/>
      <c r="O140" s="4"/>
      <c r="P140" s="4"/>
      <c r="Q140" s="4"/>
      <c r="R140" s="4" t="s">
        <v>38</v>
      </c>
      <c r="S140" s="20" t="s">
        <v>70</v>
      </c>
      <c r="T140" s="27">
        <v>42880</v>
      </c>
      <c r="U140" s="67">
        <v>47.222732999999998</v>
      </c>
      <c r="V140" s="67">
        <v>-122.8104</v>
      </c>
      <c r="W140" t="str">
        <f>VLOOKUP(B140,[1]Plantings!$A$2:$E$285,4,FALSE)</f>
        <v>point</v>
      </c>
      <c r="X140" s="11" t="str">
        <f>VLOOKUP(B140,[1]Plantings!$A$2:$E$285,5,FALSE)</f>
        <v>retain</v>
      </c>
      <c r="Y140" s="16" t="s">
        <v>1</v>
      </c>
      <c r="AA140" t="s">
        <v>39</v>
      </c>
      <c r="AB140">
        <v>1</v>
      </c>
      <c r="AC140">
        <v>1</v>
      </c>
      <c r="AD140">
        <f t="shared" si="19"/>
        <v>1</v>
      </c>
      <c r="AE140">
        <v>8.0000000000000002E-3</v>
      </c>
      <c r="AF140" s="14">
        <f t="shared" si="18"/>
        <v>1.4999999999999999E-2</v>
      </c>
      <c r="AG140" s="15">
        <v>3</v>
      </c>
      <c r="AH140" s="15">
        <f t="shared" si="20"/>
        <v>12</v>
      </c>
      <c r="AI140" s="13">
        <f t="shared" si="16"/>
        <v>12</v>
      </c>
      <c r="AJ140" s="13">
        <f t="shared" si="17"/>
        <v>1500</v>
      </c>
      <c r="AK140" t="s">
        <v>93</v>
      </c>
      <c r="AL140" s="19" t="s">
        <v>286</v>
      </c>
    </row>
    <row r="141" spans="1:38" x14ac:dyDescent="0.25">
      <c r="A141" s="4" t="s">
        <v>229</v>
      </c>
      <c r="B141" s="4" t="s">
        <v>298</v>
      </c>
      <c r="C141" t="str">
        <f>VLOOKUP(B141,[1]Plantings!$A$2:$C$285,2,FALSE)</f>
        <v>JSP_north_P1</v>
      </c>
      <c r="D141" t="str">
        <f>VLOOKUP(B141,[1]Plantings!$A$2:$C$285,3,FALSE)</f>
        <v>single</v>
      </c>
      <c r="E141" s="4">
        <v>2017</v>
      </c>
      <c r="F141" s="4"/>
      <c r="G141" t="s">
        <v>75</v>
      </c>
      <c r="H141" s="4" t="s">
        <v>10</v>
      </c>
      <c r="I141" t="s">
        <v>29</v>
      </c>
      <c r="J141" s="4" t="s">
        <v>299</v>
      </c>
      <c r="K141" s="4" t="s">
        <v>43</v>
      </c>
      <c r="L141" s="4" t="s">
        <v>137</v>
      </c>
      <c r="M141" s="4"/>
      <c r="N141" s="4"/>
      <c r="O141" s="4"/>
      <c r="P141" s="4"/>
      <c r="Q141" s="4"/>
      <c r="R141" s="4" t="s">
        <v>38</v>
      </c>
      <c r="S141" s="4" t="s">
        <v>38</v>
      </c>
      <c r="T141" s="27">
        <v>42881</v>
      </c>
      <c r="U141" s="64">
        <v>47.226010000000002</v>
      </c>
      <c r="V141" s="64">
        <v>-122.81377000000001</v>
      </c>
      <c r="W141" t="str">
        <f>VLOOKUP(B141,[1]Plantings!$A$2:$E$285,4,FALSE)</f>
        <v>polygon</v>
      </c>
      <c r="X141" s="11" t="str">
        <f>VLOOKUP(B141,[1]Plantings!$A$2:$E$285,5,FALSE)</f>
        <v>drop</v>
      </c>
      <c r="Y141" s="16" t="s">
        <v>1</v>
      </c>
      <c r="AA141" t="s">
        <v>124</v>
      </c>
      <c r="AB141">
        <v>10</v>
      </c>
      <c r="AC141">
        <v>4</v>
      </c>
      <c r="AD141">
        <f t="shared" si="19"/>
        <v>40</v>
      </c>
      <c r="AE141">
        <v>1.25</v>
      </c>
      <c r="AF141" s="14">
        <f t="shared" si="18"/>
        <v>0.1875</v>
      </c>
      <c r="AG141" s="15">
        <v>3</v>
      </c>
      <c r="AH141" s="15">
        <v>90</v>
      </c>
      <c r="AI141" s="13">
        <f t="shared" si="16"/>
        <v>2.25</v>
      </c>
      <c r="AJ141" s="13">
        <f t="shared" si="17"/>
        <v>72</v>
      </c>
      <c r="AK141" t="s">
        <v>93</v>
      </c>
      <c r="AL141" s="19" t="s">
        <v>300</v>
      </c>
    </row>
    <row r="142" spans="1:38" x14ac:dyDescent="0.25">
      <c r="A142" s="4" t="s">
        <v>229</v>
      </c>
      <c r="B142" s="4" t="s">
        <v>301</v>
      </c>
      <c r="C142" t="str">
        <f>VLOOKUP(B142,[1]Plantings!$A$2:$C$285,2,FALSE)</f>
        <v>JSP_north_P1</v>
      </c>
      <c r="D142" t="str">
        <f>VLOOKUP(B142,[1]Plantings!$A$2:$C$285,3,FALSE)</f>
        <v>single</v>
      </c>
      <c r="E142" s="4">
        <v>2017</v>
      </c>
      <c r="F142" s="4"/>
      <c r="G142" t="s">
        <v>75</v>
      </c>
      <c r="H142" s="4" t="s">
        <v>10</v>
      </c>
      <c r="I142" t="s">
        <v>29</v>
      </c>
      <c r="J142" s="4" t="s">
        <v>299</v>
      </c>
      <c r="K142" s="4" t="s">
        <v>43</v>
      </c>
      <c r="L142" s="4" t="s">
        <v>137</v>
      </c>
      <c r="M142" s="4"/>
      <c r="N142" s="4"/>
      <c r="O142" s="4"/>
      <c r="P142" s="4"/>
      <c r="Q142" s="4"/>
      <c r="R142" s="4" t="s">
        <v>38</v>
      </c>
      <c r="S142" s="20" t="s">
        <v>70</v>
      </c>
      <c r="T142" s="27">
        <v>42881</v>
      </c>
      <c r="U142" s="64"/>
      <c r="V142" s="64"/>
      <c r="W142" t="str">
        <f>VLOOKUP(B142,[1]Plantings!$A$2:$E$285,4,FALSE)</f>
        <v>polygon</v>
      </c>
      <c r="X142" s="11" t="str">
        <f>VLOOKUP(B142,[1]Plantings!$A$2:$E$285,5,FALSE)</f>
        <v>drop</v>
      </c>
      <c r="Y142" s="16" t="s">
        <v>1</v>
      </c>
      <c r="AA142" t="s">
        <v>302</v>
      </c>
      <c r="AB142">
        <v>10</v>
      </c>
      <c r="AC142">
        <v>4</v>
      </c>
      <c r="AD142">
        <f t="shared" si="19"/>
        <v>40</v>
      </c>
      <c r="AE142">
        <v>1.25</v>
      </c>
      <c r="AF142" s="14">
        <f t="shared" si="18"/>
        <v>2.2499999999999999E-2</v>
      </c>
      <c r="AG142" s="15">
        <v>9</v>
      </c>
      <c r="AH142" s="15">
        <v>90</v>
      </c>
      <c r="AI142" s="13">
        <f t="shared" si="16"/>
        <v>2.25</v>
      </c>
      <c r="AJ142" s="13">
        <f t="shared" si="17"/>
        <v>72</v>
      </c>
      <c r="AK142" t="s">
        <v>93</v>
      </c>
      <c r="AL142" s="19"/>
    </row>
    <row r="143" spans="1:38" x14ac:dyDescent="0.25">
      <c r="A143" s="4" t="s">
        <v>229</v>
      </c>
      <c r="B143" s="4" t="s">
        <v>303</v>
      </c>
      <c r="C143" t="str">
        <f>VLOOKUP(B143,[1]Plantings!$A$2:$C$285,2,FALSE)</f>
        <v>JSP_north_P1</v>
      </c>
      <c r="D143" t="str">
        <f>VLOOKUP(B143,[1]Plantings!$A$2:$C$285,3,FALSE)</f>
        <v>single</v>
      </c>
      <c r="E143" s="4">
        <v>2017</v>
      </c>
      <c r="F143" s="4"/>
      <c r="G143" t="s">
        <v>75</v>
      </c>
      <c r="H143" s="4" t="s">
        <v>10</v>
      </c>
      <c r="I143" t="s">
        <v>29</v>
      </c>
      <c r="J143" s="4" t="s">
        <v>299</v>
      </c>
      <c r="K143" s="4" t="s">
        <v>43</v>
      </c>
      <c r="L143" s="4" t="s">
        <v>137</v>
      </c>
      <c r="M143" s="4"/>
      <c r="N143" s="4"/>
      <c r="O143" s="4"/>
      <c r="P143" s="4"/>
      <c r="Q143" s="4"/>
      <c r="R143" s="4" t="s">
        <v>38</v>
      </c>
      <c r="S143" s="20" t="s">
        <v>70</v>
      </c>
      <c r="T143" s="27">
        <v>42881</v>
      </c>
      <c r="U143" s="64">
        <v>47.225969999999997</v>
      </c>
      <c r="V143" s="64">
        <v>-122.81366</v>
      </c>
      <c r="W143" t="str">
        <f>VLOOKUP(B143,[1]Plantings!$A$2:$E$285,4,FALSE)</f>
        <v>polygon</v>
      </c>
      <c r="X143" s="11" t="str">
        <f>VLOOKUP(B143,[1]Plantings!$A$2:$E$285,5,FALSE)</f>
        <v>drop</v>
      </c>
      <c r="Y143" s="16" t="s">
        <v>1</v>
      </c>
      <c r="AA143" t="s">
        <v>39</v>
      </c>
      <c r="AB143">
        <v>10</v>
      </c>
      <c r="AC143">
        <v>4</v>
      </c>
      <c r="AD143">
        <f t="shared" si="19"/>
        <v>40</v>
      </c>
      <c r="AE143">
        <v>1.25</v>
      </c>
      <c r="AF143" s="14">
        <f t="shared" si="18"/>
        <v>4.4999999999999998E-2</v>
      </c>
      <c r="AG143" s="15">
        <v>9</v>
      </c>
      <c r="AH143" s="15">
        <v>90</v>
      </c>
      <c r="AI143" s="13">
        <f t="shared" si="16"/>
        <v>2.25</v>
      </c>
      <c r="AJ143" s="13">
        <f t="shared" si="17"/>
        <v>72</v>
      </c>
      <c r="AK143" t="s">
        <v>93</v>
      </c>
      <c r="AL143" s="19"/>
    </row>
    <row r="144" spans="1:38" x14ac:dyDescent="0.25">
      <c r="A144" s="4" t="s">
        <v>229</v>
      </c>
      <c r="B144" s="4" t="s">
        <v>304</v>
      </c>
      <c r="C144" t="str">
        <f>VLOOKUP(B144,[1]Plantings!$A$2:$C$285,2,FALSE)</f>
        <v>JSP_north_P1</v>
      </c>
      <c r="D144" t="str">
        <f>VLOOKUP(B144,[1]Plantings!$A$2:$C$285,3,FALSE)</f>
        <v>single</v>
      </c>
      <c r="E144" s="4">
        <v>2017</v>
      </c>
      <c r="F144" s="4"/>
      <c r="G144" t="s">
        <v>75</v>
      </c>
      <c r="H144" s="4" t="s">
        <v>10</v>
      </c>
      <c r="I144" t="s">
        <v>29</v>
      </c>
      <c r="J144" s="4" t="s">
        <v>299</v>
      </c>
      <c r="K144" s="4" t="s">
        <v>43</v>
      </c>
      <c r="L144" s="4" t="s">
        <v>137</v>
      </c>
      <c r="M144" s="4"/>
      <c r="N144" s="4"/>
      <c r="O144" s="4"/>
      <c r="P144" s="4"/>
      <c r="Q144" s="4"/>
      <c r="R144" s="4" t="s">
        <v>38</v>
      </c>
      <c r="S144" s="20" t="s">
        <v>70</v>
      </c>
      <c r="T144" s="27">
        <v>42881</v>
      </c>
      <c r="U144" s="64"/>
      <c r="V144" s="64"/>
      <c r="W144" t="str">
        <f>VLOOKUP(B144,[1]Plantings!$A$2:$E$285,4,FALSE)</f>
        <v>polygon</v>
      </c>
      <c r="X144" s="11" t="str">
        <f>VLOOKUP(B144,[1]Plantings!$A$2:$E$285,5,FALSE)</f>
        <v>drop</v>
      </c>
      <c r="Y144" s="16" t="s">
        <v>1</v>
      </c>
      <c r="AA144" t="s">
        <v>54</v>
      </c>
      <c r="AB144">
        <v>10</v>
      </c>
      <c r="AC144">
        <v>4</v>
      </c>
      <c r="AD144">
        <f t="shared" si="19"/>
        <v>40</v>
      </c>
      <c r="AE144">
        <v>1.25</v>
      </c>
      <c r="AF144" s="14">
        <f t="shared" si="18"/>
        <v>7.5000000000000011E-2</v>
      </c>
      <c r="AG144" s="15">
        <v>3</v>
      </c>
      <c r="AH144" s="15">
        <v>90</v>
      </c>
      <c r="AI144" s="13">
        <f t="shared" si="16"/>
        <v>2.25</v>
      </c>
      <c r="AJ144" s="13">
        <f t="shared" si="17"/>
        <v>72</v>
      </c>
      <c r="AK144" t="s">
        <v>93</v>
      </c>
      <c r="AL144" s="19"/>
    </row>
    <row r="145" spans="1:38" x14ac:dyDescent="0.25">
      <c r="A145" s="4" t="s">
        <v>229</v>
      </c>
      <c r="B145" s="4" t="s">
        <v>305</v>
      </c>
      <c r="C145" t="str">
        <f>VLOOKUP(B145,[1]Plantings!$A$2:$C$285,2,FALSE)</f>
        <v>JSP_mid_P1</v>
      </c>
      <c r="D145" t="str">
        <f>VLOOKUP(B145,[1]Plantings!$A$2:$C$285,3,FALSE)</f>
        <v>single</v>
      </c>
      <c r="E145" s="4">
        <v>2017</v>
      </c>
      <c r="F145" s="4"/>
      <c r="G145" t="s">
        <v>75</v>
      </c>
      <c r="H145" s="4" t="s">
        <v>10</v>
      </c>
      <c r="I145" t="s">
        <v>29</v>
      </c>
      <c r="J145" s="4" t="s">
        <v>299</v>
      </c>
      <c r="K145" s="4" t="s">
        <v>43</v>
      </c>
      <c r="L145" s="4" t="s">
        <v>137</v>
      </c>
      <c r="M145" s="4"/>
      <c r="N145" s="4"/>
      <c r="O145" s="4"/>
      <c r="P145" s="4"/>
      <c r="Q145" s="4"/>
      <c r="R145" s="4" t="s">
        <v>38</v>
      </c>
      <c r="S145" s="4" t="s">
        <v>38</v>
      </c>
      <c r="T145" s="27">
        <v>42881</v>
      </c>
      <c r="U145" s="64">
        <v>47.222769999999997</v>
      </c>
      <c r="V145" s="64">
        <v>-122.81052</v>
      </c>
      <c r="W145" t="str">
        <f>VLOOKUP(B145,[1]Plantings!$A$2:$E$285,4,FALSE)</f>
        <v>polygon</v>
      </c>
      <c r="X145" s="11" t="str">
        <f>VLOOKUP(B145,[1]Plantings!$A$2:$E$285,5,FALSE)</f>
        <v>drop</v>
      </c>
      <c r="Y145" s="16" t="s">
        <v>1</v>
      </c>
      <c r="AA145" t="s">
        <v>124</v>
      </c>
      <c r="AB145">
        <v>10</v>
      </c>
      <c r="AC145">
        <v>4</v>
      </c>
      <c r="AD145">
        <f t="shared" si="19"/>
        <v>40</v>
      </c>
      <c r="AE145">
        <v>1.25</v>
      </c>
      <c r="AF145" s="14">
        <f t="shared" si="18"/>
        <v>0.1875</v>
      </c>
      <c r="AG145" s="15">
        <v>3</v>
      </c>
      <c r="AH145" s="15">
        <v>90</v>
      </c>
      <c r="AI145" s="13">
        <f t="shared" si="16"/>
        <v>2.25</v>
      </c>
      <c r="AJ145" s="13">
        <f t="shared" si="17"/>
        <v>72</v>
      </c>
      <c r="AK145" t="s">
        <v>93</v>
      </c>
      <c r="AL145" s="19" t="s">
        <v>300</v>
      </c>
    </row>
    <row r="146" spans="1:38" x14ac:dyDescent="0.25">
      <c r="A146" s="4" t="s">
        <v>229</v>
      </c>
      <c r="B146" s="4" t="s">
        <v>306</v>
      </c>
      <c r="C146" t="str">
        <f>VLOOKUP(B146,[1]Plantings!$A$2:$C$285,2,FALSE)</f>
        <v>JSP_mid_P1</v>
      </c>
      <c r="D146" t="str">
        <f>VLOOKUP(B146,[1]Plantings!$A$2:$C$285,3,FALSE)</f>
        <v>single</v>
      </c>
      <c r="E146" s="4">
        <v>2017</v>
      </c>
      <c r="F146" s="4"/>
      <c r="G146" t="s">
        <v>75</v>
      </c>
      <c r="H146" s="4" t="s">
        <v>10</v>
      </c>
      <c r="I146" t="s">
        <v>29</v>
      </c>
      <c r="J146" s="4" t="s">
        <v>299</v>
      </c>
      <c r="K146" s="4" t="s">
        <v>43</v>
      </c>
      <c r="L146" s="4" t="s">
        <v>137</v>
      </c>
      <c r="M146" s="4"/>
      <c r="N146" s="4"/>
      <c r="O146" s="4"/>
      <c r="P146" s="4"/>
      <c r="Q146" s="4"/>
      <c r="R146" s="4" t="s">
        <v>38</v>
      </c>
      <c r="S146" s="20" t="s">
        <v>70</v>
      </c>
      <c r="T146" s="27">
        <v>42881</v>
      </c>
      <c r="U146" s="64"/>
      <c r="V146" s="64"/>
      <c r="W146" t="str">
        <f>VLOOKUP(B146,[1]Plantings!$A$2:$E$285,4,FALSE)</f>
        <v>polygon</v>
      </c>
      <c r="X146" s="11" t="str">
        <f>VLOOKUP(B146,[1]Plantings!$A$2:$E$285,5,FALSE)</f>
        <v>drop</v>
      </c>
      <c r="Y146" s="16" t="s">
        <v>1</v>
      </c>
      <c r="AA146" t="s">
        <v>302</v>
      </c>
      <c r="AB146">
        <v>10</v>
      </c>
      <c r="AC146">
        <v>4</v>
      </c>
      <c r="AD146">
        <f t="shared" si="19"/>
        <v>40</v>
      </c>
      <c r="AE146">
        <v>1.25</v>
      </c>
      <c r="AF146" s="14">
        <f t="shared" si="18"/>
        <v>2.2499999999999999E-2</v>
      </c>
      <c r="AG146" s="15">
        <v>9</v>
      </c>
      <c r="AH146" s="15">
        <v>90</v>
      </c>
      <c r="AI146" s="13">
        <f t="shared" si="16"/>
        <v>2.25</v>
      </c>
      <c r="AJ146" s="13">
        <f t="shared" si="17"/>
        <v>72</v>
      </c>
      <c r="AK146" t="s">
        <v>93</v>
      </c>
      <c r="AL146" s="19"/>
    </row>
    <row r="147" spans="1:38" x14ac:dyDescent="0.25">
      <c r="A147" s="4" t="s">
        <v>229</v>
      </c>
      <c r="B147" s="4" t="s">
        <v>307</v>
      </c>
      <c r="C147" t="str">
        <f>VLOOKUP(B147,[1]Plantings!$A$2:$C$285,2,FALSE)</f>
        <v>JSP_mid_P1</v>
      </c>
      <c r="D147" t="str">
        <f>VLOOKUP(B147,[1]Plantings!$A$2:$C$285,3,FALSE)</f>
        <v>single</v>
      </c>
      <c r="E147" s="4">
        <v>2017</v>
      </c>
      <c r="F147" s="4"/>
      <c r="G147" t="s">
        <v>75</v>
      </c>
      <c r="H147" s="4" t="s">
        <v>10</v>
      </c>
      <c r="I147" t="s">
        <v>29</v>
      </c>
      <c r="J147" s="4" t="s">
        <v>299</v>
      </c>
      <c r="K147" s="4" t="s">
        <v>43</v>
      </c>
      <c r="L147" s="4" t="s">
        <v>137</v>
      </c>
      <c r="M147" s="4"/>
      <c r="N147" s="4"/>
      <c r="O147" s="4"/>
      <c r="P147" s="4"/>
      <c r="Q147" s="4"/>
      <c r="R147" s="4" t="s">
        <v>38</v>
      </c>
      <c r="S147" s="20" t="s">
        <v>70</v>
      </c>
      <c r="T147" s="27">
        <v>42881</v>
      </c>
      <c r="U147" s="64">
        <v>47.222839999999998</v>
      </c>
      <c r="V147" s="64">
        <v>-122.81056</v>
      </c>
      <c r="W147" t="str">
        <f>VLOOKUP(B147,[1]Plantings!$A$2:$E$285,4,FALSE)</f>
        <v>polygon</v>
      </c>
      <c r="X147" s="11" t="str">
        <f>VLOOKUP(B147,[1]Plantings!$A$2:$E$285,5,FALSE)</f>
        <v>drop</v>
      </c>
      <c r="Y147" s="16" t="s">
        <v>1</v>
      </c>
      <c r="AA147" t="s">
        <v>39</v>
      </c>
      <c r="AB147">
        <v>10</v>
      </c>
      <c r="AC147">
        <v>4</v>
      </c>
      <c r="AD147">
        <f t="shared" si="19"/>
        <v>40</v>
      </c>
      <c r="AE147">
        <v>1.25</v>
      </c>
      <c r="AF147" s="14">
        <f t="shared" si="18"/>
        <v>4.4999999999999998E-2</v>
      </c>
      <c r="AG147" s="15">
        <v>9</v>
      </c>
      <c r="AH147" s="15">
        <v>90</v>
      </c>
      <c r="AI147" s="13">
        <f t="shared" si="16"/>
        <v>2.25</v>
      </c>
      <c r="AJ147" s="13">
        <f t="shared" si="17"/>
        <v>72</v>
      </c>
      <c r="AK147" t="s">
        <v>93</v>
      </c>
      <c r="AL147" s="19"/>
    </row>
    <row r="148" spans="1:38" x14ac:dyDescent="0.25">
      <c r="A148" s="4" t="s">
        <v>229</v>
      </c>
      <c r="B148" s="4" t="s">
        <v>308</v>
      </c>
      <c r="C148" t="str">
        <f>VLOOKUP(B148,[1]Plantings!$A$2:$C$285,2,FALSE)</f>
        <v>JSP_mid_P1</v>
      </c>
      <c r="D148" t="str">
        <f>VLOOKUP(B148,[1]Plantings!$A$2:$C$285,3,FALSE)</f>
        <v>single</v>
      </c>
      <c r="E148" s="4">
        <v>2017</v>
      </c>
      <c r="F148" s="4"/>
      <c r="G148" t="s">
        <v>75</v>
      </c>
      <c r="H148" s="4" t="s">
        <v>10</v>
      </c>
      <c r="I148" t="s">
        <v>29</v>
      </c>
      <c r="J148" s="4" t="s">
        <v>299</v>
      </c>
      <c r="K148" s="4" t="s">
        <v>43</v>
      </c>
      <c r="L148" s="4" t="s">
        <v>137</v>
      </c>
      <c r="M148" s="4"/>
      <c r="N148" s="4"/>
      <c r="O148" s="4"/>
      <c r="P148" s="4"/>
      <c r="Q148" s="4"/>
      <c r="R148" s="4" t="s">
        <v>38</v>
      </c>
      <c r="S148" s="20" t="s">
        <v>70</v>
      </c>
      <c r="T148" s="27">
        <v>42881</v>
      </c>
      <c r="U148" s="64"/>
      <c r="V148" s="64"/>
      <c r="W148" t="str">
        <f>VLOOKUP(B148,[1]Plantings!$A$2:$E$285,4,FALSE)</f>
        <v>polygon</v>
      </c>
      <c r="X148" s="11" t="str">
        <f>VLOOKUP(B148,[1]Plantings!$A$2:$E$285,5,FALSE)</f>
        <v>drop</v>
      </c>
      <c r="Y148" s="16" t="s">
        <v>1</v>
      </c>
      <c r="AA148" t="s">
        <v>54</v>
      </c>
      <c r="AB148">
        <v>10</v>
      </c>
      <c r="AC148">
        <v>4</v>
      </c>
      <c r="AD148">
        <f t="shared" si="19"/>
        <v>40</v>
      </c>
      <c r="AE148">
        <v>1.25</v>
      </c>
      <c r="AF148" s="14">
        <f t="shared" si="18"/>
        <v>7.5000000000000011E-2</v>
      </c>
      <c r="AG148" s="15">
        <v>3</v>
      </c>
      <c r="AH148" s="15">
        <v>90</v>
      </c>
      <c r="AI148" s="13">
        <f t="shared" si="16"/>
        <v>2.25</v>
      </c>
      <c r="AJ148" s="13">
        <f t="shared" si="17"/>
        <v>72</v>
      </c>
      <c r="AK148" t="s">
        <v>93</v>
      </c>
      <c r="AL148" s="19"/>
    </row>
    <row r="149" spans="1:38" x14ac:dyDescent="0.25">
      <c r="A149" s="4" t="s">
        <v>229</v>
      </c>
      <c r="B149" s="4" t="s">
        <v>309</v>
      </c>
      <c r="C149" t="str">
        <f>VLOOKUP(B149,[1]Plantings!$A$2:$C$285,2,FALSE)</f>
        <v>JSP_south_P5</v>
      </c>
      <c r="D149" t="str">
        <f>VLOOKUP(B149,[1]Plantings!$A$2:$C$285,3,FALSE)</f>
        <v>single</v>
      </c>
      <c r="E149" s="4">
        <v>2017</v>
      </c>
      <c r="F149" s="4"/>
      <c r="G149" t="s">
        <v>75</v>
      </c>
      <c r="H149" s="4" t="s">
        <v>10</v>
      </c>
      <c r="I149" t="s">
        <v>29</v>
      </c>
      <c r="J149" s="4" t="s">
        <v>299</v>
      </c>
      <c r="K149" s="4" t="s">
        <v>43</v>
      </c>
      <c r="L149" s="4" t="s">
        <v>137</v>
      </c>
      <c r="M149" s="4"/>
      <c r="N149" s="4"/>
      <c r="O149" s="4"/>
      <c r="P149" s="4"/>
      <c r="Q149" s="4"/>
      <c r="R149" s="4" t="s">
        <v>38</v>
      </c>
      <c r="S149" s="4" t="s">
        <v>38</v>
      </c>
      <c r="T149" s="27">
        <v>42881</v>
      </c>
      <c r="U149" s="64">
        <v>47.221080000000001</v>
      </c>
      <c r="V149" s="64">
        <v>-122.80929</v>
      </c>
      <c r="W149" t="str">
        <f>VLOOKUP(B149,[1]Plantings!$A$2:$E$285,4,FALSE)</f>
        <v>point</v>
      </c>
      <c r="X149" s="11" t="str">
        <f>VLOOKUP(B149,[1]Plantings!$A$2:$E$285,5,FALSE)</f>
        <v>retain</v>
      </c>
      <c r="Y149" s="16" t="s">
        <v>1</v>
      </c>
      <c r="AA149" t="s">
        <v>124</v>
      </c>
      <c r="AB149">
        <v>10</v>
      </c>
      <c r="AC149">
        <v>4</v>
      </c>
      <c r="AD149">
        <f t="shared" si="19"/>
        <v>40</v>
      </c>
      <c r="AE149">
        <v>1.25</v>
      </c>
      <c r="AF149" s="14">
        <f t="shared" si="18"/>
        <v>0.1875</v>
      </c>
      <c r="AG149" s="15">
        <v>3</v>
      </c>
      <c r="AH149" s="15">
        <v>90</v>
      </c>
      <c r="AI149" s="13">
        <f t="shared" si="16"/>
        <v>2.25</v>
      </c>
      <c r="AJ149" s="13">
        <f t="shared" si="17"/>
        <v>72</v>
      </c>
      <c r="AK149" t="s">
        <v>93</v>
      </c>
      <c r="AL149" s="19" t="s">
        <v>300</v>
      </c>
    </row>
    <row r="150" spans="1:38" x14ac:dyDescent="0.25">
      <c r="A150" s="4" t="s">
        <v>229</v>
      </c>
      <c r="B150" s="4" t="s">
        <v>310</v>
      </c>
      <c r="C150" t="str">
        <f>VLOOKUP(B150,[1]Plantings!$A$2:$C$285,2,FALSE)</f>
        <v>JSP_south_P5</v>
      </c>
      <c r="D150" t="str">
        <f>VLOOKUP(B150,[1]Plantings!$A$2:$C$285,3,FALSE)</f>
        <v>single</v>
      </c>
      <c r="E150" s="4">
        <v>2017</v>
      </c>
      <c r="F150" s="4"/>
      <c r="G150" t="s">
        <v>75</v>
      </c>
      <c r="H150" s="4" t="s">
        <v>10</v>
      </c>
      <c r="I150" t="s">
        <v>29</v>
      </c>
      <c r="J150" s="4" t="s">
        <v>299</v>
      </c>
      <c r="K150" s="4" t="s">
        <v>43</v>
      </c>
      <c r="L150" s="4" t="s">
        <v>137</v>
      </c>
      <c r="M150" s="4"/>
      <c r="N150" s="4"/>
      <c r="O150" s="4"/>
      <c r="P150" s="4"/>
      <c r="Q150" s="4"/>
      <c r="R150" s="4" t="s">
        <v>38</v>
      </c>
      <c r="S150" s="20" t="s">
        <v>70</v>
      </c>
      <c r="T150" s="27">
        <v>42881</v>
      </c>
      <c r="U150" s="64">
        <v>47.221069999999997</v>
      </c>
      <c r="V150" s="64">
        <v>-122.80933</v>
      </c>
      <c r="W150" t="str">
        <f>VLOOKUP(B150,[1]Plantings!$A$2:$E$285,4,FALSE)</f>
        <v>point</v>
      </c>
      <c r="X150" s="11" t="str">
        <f>VLOOKUP(B150,[1]Plantings!$A$2:$E$285,5,FALSE)</f>
        <v>retain</v>
      </c>
      <c r="Y150" s="16" t="s">
        <v>1</v>
      </c>
      <c r="AA150" t="s">
        <v>302</v>
      </c>
      <c r="AB150">
        <v>10</v>
      </c>
      <c r="AC150">
        <v>4</v>
      </c>
      <c r="AD150">
        <f t="shared" si="19"/>
        <v>40</v>
      </c>
      <c r="AE150">
        <v>1.25</v>
      </c>
      <c r="AF150" s="14">
        <f t="shared" si="18"/>
        <v>2.2499999999999999E-2</v>
      </c>
      <c r="AG150" s="15">
        <v>9</v>
      </c>
      <c r="AH150" s="15">
        <v>90</v>
      </c>
      <c r="AI150" s="13">
        <f t="shared" si="16"/>
        <v>2.25</v>
      </c>
      <c r="AJ150" s="13">
        <f t="shared" si="17"/>
        <v>72</v>
      </c>
      <c r="AK150" t="s">
        <v>93</v>
      </c>
      <c r="AL150" s="19"/>
    </row>
    <row r="151" spans="1:38" x14ac:dyDescent="0.25">
      <c r="A151" s="4" t="s">
        <v>229</v>
      </c>
      <c r="B151" s="4" t="s">
        <v>311</v>
      </c>
      <c r="C151" t="str">
        <f>VLOOKUP(B151,[1]Plantings!$A$2:$C$285,2,FALSE)</f>
        <v>JSP_south_P5</v>
      </c>
      <c r="D151" t="str">
        <f>VLOOKUP(B151,[1]Plantings!$A$2:$C$285,3,FALSE)</f>
        <v>single</v>
      </c>
      <c r="E151" s="4">
        <v>2017</v>
      </c>
      <c r="F151" s="4"/>
      <c r="G151" t="s">
        <v>75</v>
      </c>
      <c r="H151" s="4" t="s">
        <v>10</v>
      </c>
      <c r="I151" t="s">
        <v>29</v>
      </c>
      <c r="J151" s="4" t="s">
        <v>299</v>
      </c>
      <c r="K151" s="4" t="s">
        <v>43</v>
      </c>
      <c r="L151" s="4" t="s">
        <v>137</v>
      </c>
      <c r="M151" s="4"/>
      <c r="N151" s="4"/>
      <c r="O151" s="4"/>
      <c r="P151" s="4"/>
      <c r="Q151" s="4"/>
      <c r="R151" s="4" t="s">
        <v>38</v>
      </c>
      <c r="S151" s="20" t="s">
        <v>70</v>
      </c>
      <c r="T151" s="27">
        <v>42881</v>
      </c>
      <c r="U151" s="64">
        <v>47.221179999999997</v>
      </c>
      <c r="V151" s="64">
        <v>-122.80933</v>
      </c>
      <c r="W151" t="str">
        <f>VLOOKUP(B151,[1]Plantings!$A$2:$E$285,4,FALSE)</f>
        <v>point</v>
      </c>
      <c r="X151" s="11" t="str">
        <f>VLOOKUP(B151,[1]Plantings!$A$2:$E$285,5,FALSE)</f>
        <v>retain</v>
      </c>
      <c r="Y151" s="16" t="s">
        <v>1</v>
      </c>
      <c r="AA151" t="s">
        <v>39</v>
      </c>
      <c r="AB151">
        <v>10</v>
      </c>
      <c r="AC151">
        <v>4</v>
      </c>
      <c r="AD151">
        <f t="shared" si="19"/>
        <v>40</v>
      </c>
      <c r="AE151">
        <v>1.25</v>
      </c>
      <c r="AF151" s="14">
        <f t="shared" si="18"/>
        <v>4.4999999999999998E-2</v>
      </c>
      <c r="AG151" s="15">
        <v>9</v>
      </c>
      <c r="AH151" s="15">
        <v>90</v>
      </c>
      <c r="AI151" s="13">
        <f t="shared" si="16"/>
        <v>2.25</v>
      </c>
      <c r="AJ151" s="13">
        <f t="shared" si="17"/>
        <v>72</v>
      </c>
      <c r="AK151" t="s">
        <v>93</v>
      </c>
      <c r="AL151" s="19"/>
    </row>
    <row r="152" spans="1:38" x14ac:dyDescent="0.25">
      <c r="A152" s="4" t="s">
        <v>229</v>
      </c>
      <c r="B152" s="4" t="s">
        <v>312</v>
      </c>
      <c r="C152" t="str">
        <f>VLOOKUP(B152,[1]Plantings!$A$2:$C$285,2,FALSE)</f>
        <v>JSP_south_P5</v>
      </c>
      <c r="D152" t="str">
        <f>VLOOKUP(B152,[1]Plantings!$A$2:$C$285,3,FALSE)</f>
        <v>single</v>
      </c>
      <c r="E152" s="4">
        <v>2017</v>
      </c>
      <c r="F152" s="4"/>
      <c r="G152" t="s">
        <v>75</v>
      </c>
      <c r="H152" s="4" t="s">
        <v>10</v>
      </c>
      <c r="I152" t="s">
        <v>29</v>
      </c>
      <c r="J152" s="4" t="s">
        <v>299</v>
      </c>
      <c r="K152" s="4" t="s">
        <v>43</v>
      </c>
      <c r="L152" s="4" t="s">
        <v>137</v>
      </c>
      <c r="M152" s="4"/>
      <c r="N152" s="4"/>
      <c r="O152" s="4"/>
      <c r="P152" s="4"/>
      <c r="Q152" s="4"/>
      <c r="R152" s="4" t="s">
        <v>38</v>
      </c>
      <c r="S152" s="20" t="s">
        <v>70</v>
      </c>
      <c r="T152" s="27">
        <v>42881</v>
      </c>
      <c r="U152" s="64">
        <v>47.221110000000003</v>
      </c>
      <c r="V152" s="64">
        <v>-122.80936</v>
      </c>
      <c r="W152" t="str">
        <f>VLOOKUP(B152,[1]Plantings!$A$2:$E$285,4,FALSE)</f>
        <v>point</v>
      </c>
      <c r="X152" s="11" t="str">
        <f>VLOOKUP(B152,[1]Plantings!$A$2:$E$285,5,FALSE)</f>
        <v>retain</v>
      </c>
      <c r="Y152" s="16" t="s">
        <v>1</v>
      </c>
      <c r="AA152" t="s">
        <v>54</v>
      </c>
      <c r="AB152">
        <v>10</v>
      </c>
      <c r="AC152">
        <v>4</v>
      </c>
      <c r="AD152">
        <f t="shared" si="19"/>
        <v>40</v>
      </c>
      <c r="AE152">
        <v>1.25</v>
      </c>
      <c r="AF152" s="14">
        <f t="shared" si="18"/>
        <v>7.5000000000000011E-2</v>
      </c>
      <c r="AG152" s="15">
        <v>3</v>
      </c>
      <c r="AH152" s="15">
        <v>90</v>
      </c>
      <c r="AI152" s="13">
        <f t="shared" ref="AI152:AI215" si="21">IFERROR(AH152/AD152, "")</f>
        <v>2.25</v>
      </c>
      <c r="AJ152" s="13">
        <f t="shared" ref="AJ152:AJ215" si="22">IFERROR(AH152/AE152, "")</f>
        <v>72</v>
      </c>
      <c r="AK152" t="s">
        <v>93</v>
      </c>
      <c r="AL152" s="19"/>
    </row>
    <row r="153" spans="1:38" x14ac:dyDescent="0.25">
      <c r="A153" s="30" t="s">
        <v>229</v>
      </c>
      <c r="B153" t="s">
        <v>313</v>
      </c>
      <c r="C153" t="str">
        <f>VLOOKUP(B153,[1]Plantings!$A$2:$C$285,2,FALSE)</f>
        <v>JSP_mid_south_2</v>
      </c>
      <c r="D153" t="str">
        <f>VLOOKUP(B153,[1]Plantings!$A$2:$C$285,3,FALSE)</f>
        <v>single</v>
      </c>
      <c r="E153" s="4">
        <v>2017</v>
      </c>
      <c r="F153" s="4"/>
      <c r="G153" t="s">
        <v>0</v>
      </c>
      <c r="H153" s="4" t="s">
        <v>10</v>
      </c>
      <c r="I153" t="s">
        <v>29</v>
      </c>
      <c r="J153" s="4" t="s">
        <v>43</v>
      </c>
      <c r="K153" s="4" t="s">
        <v>43</v>
      </c>
      <c r="L153" s="4" t="s">
        <v>137</v>
      </c>
      <c r="M153" s="4"/>
      <c r="N153" s="4"/>
      <c r="O153" s="4"/>
      <c r="P153" s="4"/>
      <c r="Q153" s="4"/>
      <c r="R153" s="4" t="s">
        <v>38</v>
      </c>
      <c r="S153" s="20" t="s">
        <v>38</v>
      </c>
      <c r="T153" s="27">
        <v>42883</v>
      </c>
      <c r="U153" s="64"/>
      <c r="V153" s="64"/>
      <c r="W153" t="str">
        <f>VLOOKUP(B153,[1]Plantings!$A$2:$E$285,4,FALSE)</f>
        <v>point</v>
      </c>
      <c r="X153" s="11" t="str">
        <f>VLOOKUP(B153,[1]Plantings!$A$2:$E$285,5,FALSE)</f>
        <v>drop</v>
      </c>
      <c r="Y153" s="16" t="s">
        <v>1</v>
      </c>
      <c r="AA153" t="s">
        <v>54</v>
      </c>
      <c r="AB153">
        <v>4</v>
      </c>
      <c r="AC153">
        <v>0.25</v>
      </c>
      <c r="AD153">
        <f t="shared" si="19"/>
        <v>1</v>
      </c>
      <c r="AE153">
        <f>AG153*0.25</f>
        <v>1</v>
      </c>
      <c r="AF153" s="14">
        <f t="shared" si="18"/>
        <v>0.1</v>
      </c>
      <c r="AG153" s="15">
        <v>4</v>
      </c>
      <c r="AH153" s="15">
        <v>80</v>
      </c>
      <c r="AI153" s="13">
        <f t="shared" si="21"/>
        <v>80</v>
      </c>
      <c r="AJ153" s="13">
        <f t="shared" si="22"/>
        <v>80</v>
      </c>
      <c r="AK153" t="s">
        <v>93</v>
      </c>
      <c r="AL153" s="19" t="s">
        <v>314</v>
      </c>
    </row>
    <row r="154" spans="1:38" x14ac:dyDescent="0.25">
      <c r="A154" s="30" t="s">
        <v>229</v>
      </c>
      <c r="B154" t="s">
        <v>313</v>
      </c>
      <c r="C154" t="str">
        <f>VLOOKUP(B154,[1]Plantings!$A$2:$C$285,2,FALSE)</f>
        <v>JSP_mid_south_2</v>
      </c>
      <c r="D154" t="str">
        <f>VLOOKUP(B154,[1]Plantings!$A$2:$C$285,3,FALSE)</f>
        <v>single</v>
      </c>
      <c r="E154" s="7">
        <v>2017</v>
      </c>
      <c r="G154" s="4" t="s">
        <v>0</v>
      </c>
      <c r="H154" s="4" t="s">
        <v>10</v>
      </c>
      <c r="I154" t="s">
        <v>29</v>
      </c>
      <c r="J154" s="4" t="s">
        <v>43</v>
      </c>
      <c r="K154" s="4" t="s">
        <v>43</v>
      </c>
      <c r="L154" s="4" t="s">
        <v>137</v>
      </c>
      <c r="R154" s="4" t="s">
        <v>38</v>
      </c>
      <c r="S154" t="s">
        <v>38</v>
      </c>
      <c r="T154" s="27">
        <v>42883</v>
      </c>
      <c r="W154" t="str">
        <f>VLOOKUP(B154,[1]Plantings!$A$2:$E$285,4,FALSE)</f>
        <v>point</v>
      </c>
      <c r="X154" s="11" t="str">
        <f>VLOOKUP(B154,[1]Plantings!$A$2:$E$285,5,FALSE)</f>
        <v>drop</v>
      </c>
      <c r="Y154" s="16" t="s">
        <v>1</v>
      </c>
      <c r="AA154" t="s">
        <v>54</v>
      </c>
      <c r="AB154">
        <v>4</v>
      </c>
      <c r="AC154">
        <v>0.25</v>
      </c>
      <c r="AD154">
        <f t="shared" si="19"/>
        <v>1</v>
      </c>
      <c r="AE154">
        <f>AG154*0.25</f>
        <v>1</v>
      </c>
      <c r="AF154" s="14">
        <f t="shared" si="18"/>
        <v>0.1</v>
      </c>
      <c r="AG154" s="15">
        <v>4</v>
      </c>
      <c r="AH154" s="34">
        <f>AG154*25</f>
        <v>100</v>
      </c>
      <c r="AI154" s="13">
        <f t="shared" si="21"/>
        <v>100</v>
      </c>
      <c r="AJ154" s="13">
        <f t="shared" si="22"/>
        <v>100</v>
      </c>
      <c r="AK154" t="s">
        <v>93</v>
      </c>
      <c r="AL154" s="3" t="s">
        <v>315</v>
      </c>
    </row>
    <row r="155" spans="1:38" x14ac:dyDescent="0.25">
      <c r="A155" s="30" t="s">
        <v>229</v>
      </c>
      <c r="B155" t="s">
        <v>313</v>
      </c>
      <c r="C155" t="str">
        <f>VLOOKUP(B155,[1]Plantings!$A$2:$C$285,2,FALSE)</f>
        <v>JSP_mid_south_2</v>
      </c>
      <c r="D155" t="str">
        <f>VLOOKUP(B155,[1]Plantings!$A$2:$C$285,3,FALSE)</f>
        <v>single</v>
      </c>
      <c r="E155" s="7">
        <v>2017</v>
      </c>
      <c r="G155" s="4" t="s">
        <v>0</v>
      </c>
      <c r="H155" s="4" t="s">
        <v>10</v>
      </c>
      <c r="I155" t="s">
        <v>29</v>
      </c>
      <c r="J155" s="4" t="s">
        <v>43</v>
      </c>
      <c r="K155" s="4" t="s">
        <v>43</v>
      </c>
      <c r="L155" s="4" t="s">
        <v>137</v>
      </c>
      <c r="R155" s="4" t="s">
        <v>38</v>
      </c>
      <c r="S155" t="s">
        <v>38</v>
      </c>
      <c r="T155" s="27">
        <v>42883</v>
      </c>
      <c r="W155" t="str">
        <f>VLOOKUP(B155,[1]Plantings!$A$2:$E$285,4,FALSE)</f>
        <v>point</v>
      </c>
      <c r="X155" s="11" t="str">
        <f>VLOOKUP(B155,[1]Plantings!$A$2:$E$285,5,FALSE)</f>
        <v>drop</v>
      </c>
      <c r="Y155" s="16" t="s">
        <v>1</v>
      </c>
      <c r="AA155" t="s">
        <v>54</v>
      </c>
      <c r="AB155">
        <v>2</v>
      </c>
      <c r="AC155">
        <v>0.25</v>
      </c>
      <c r="AD155">
        <f t="shared" si="19"/>
        <v>0.5</v>
      </c>
      <c r="AE155">
        <f>AG155*0.25</f>
        <v>0.5</v>
      </c>
      <c r="AF155" s="14">
        <f t="shared" si="18"/>
        <v>0.05</v>
      </c>
      <c r="AG155" s="15">
        <v>2</v>
      </c>
      <c r="AH155" s="34">
        <f>AG155*25</f>
        <v>50</v>
      </c>
      <c r="AI155" s="13">
        <f t="shared" si="21"/>
        <v>100</v>
      </c>
      <c r="AJ155" s="13">
        <f t="shared" si="22"/>
        <v>100</v>
      </c>
      <c r="AK155" t="s">
        <v>93</v>
      </c>
      <c r="AL155" s="3" t="s">
        <v>316</v>
      </c>
    </row>
    <row r="156" spans="1:38" x14ac:dyDescent="0.25">
      <c r="A156" s="30" t="s">
        <v>229</v>
      </c>
      <c r="B156" t="s">
        <v>313</v>
      </c>
      <c r="C156" t="str">
        <f>VLOOKUP(B156,[1]Plantings!$A$2:$C$285,2,FALSE)</f>
        <v>JSP_mid_south_2</v>
      </c>
      <c r="D156" t="str">
        <f>VLOOKUP(B156,[1]Plantings!$A$2:$C$285,3,FALSE)</f>
        <v>single</v>
      </c>
      <c r="E156" s="7">
        <v>2017</v>
      </c>
      <c r="G156" s="4" t="s">
        <v>0</v>
      </c>
      <c r="H156" s="4" t="s">
        <v>10</v>
      </c>
      <c r="I156" t="s">
        <v>29</v>
      </c>
      <c r="J156" s="4" t="s">
        <v>43</v>
      </c>
      <c r="K156" s="4" t="s">
        <v>43</v>
      </c>
      <c r="L156" s="4" t="s">
        <v>137</v>
      </c>
      <c r="R156" s="4" t="s">
        <v>38</v>
      </c>
      <c r="S156" t="s">
        <v>38</v>
      </c>
      <c r="T156" s="27">
        <v>42883</v>
      </c>
      <c r="W156" t="str">
        <f>VLOOKUP(B156,[1]Plantings!$A$2:$E$285,4,FALSE)</f>
        <v>point</v>
      </c>
      <c r="X156" s="11" t="str">
        <f>VLOOKUP(B156,[1]Plantings!$A$2:$E$285,5,FALSE)</f>
        <v>drop</v>
      </c>
      <c r="Y156" s="16" t="s">
        <v>1</v>
      </c>
      <c r="AA156" t="s">
        <v>124</v>
      </c>
      <c r="AB156">
        <v>2</v>
      </c>
      <c r="AC156">
        <v>0.25</v>
      </c>
      <c r="AD156">
        <f t="shared" si="19"/>
        <v>0.5</v>
      </c>
      <c r="AE156">
        <v>0.5</v>
      </c>
      <c r="AF156" s="14">
        <f t="shared" si="18"/>
        <v>0.125</v>
      </c>
      <c r="AG156" s="15">
        <v>2</v>
      </c>
      <c r="AH156" s="34">
        <f>AG156*25</f>
        <v>50</v>
      </c>
      <c r="AI156" s="13">
        <f t="shared" si="21"/>
        <v>100</v>
      </c>
      <c r="AJ156" s="13">
        <f t="shared" si="22"/>
        <v>100</v>
      </c>
      <c r="AK156" t="s">
        <v>93</v>
      </c>
      <c r="AL156" s="3" t="s">
        <v>317</v>
      </c>
    </row>
    <row r="157" spans="1:38" x14ac:dyDescent="0.25">
      <c r="A157" s="30" t="s">
        <v>229</v>
      </c>
      <c r="B157" t="s">
        <v>318</v>
      </c>
      <c r="C157" t="e">
        <f>VLOOKUP(B157,[1]Plantings!$A$2:$C$285,2,FALSE)</f>
        <v>#N/A</v>
      </c>
      <c r="D157" t="e">
        <f>VLOOKUP(B157,[1]Plantings!$A$2:$C$285,3,FALSE)</f>
        <v>#N/A</v>
      </c>
      <c r="E157" s="7">
        <v>2017</v>
      </c>
      <c r="G157" s="4" t="s">
        <v>0</v>
      </c>
      <c r="H157" s="4" t="s">
        <v>10</v>
      </c>
      <c r="I157" t="s">
        <v>29</v>
      </c>
      <c r="J157" s="4" t="s">
        <v>43</v>
      </c>
      <c r="K157" s="4" t="s">
        <v>43</v>
      </c>
      <c r="L157" s="4" t="s">
        <v>137</v>
      </c>
      <c r="R157" s="4" t="s">
        <v>38</v>
      </c>
      <c r="S157" s="4" t="s">
        <v>38</v>
      </c>
      <c r="T157" s="27">
        <v>42854</v>
      </c>
      <c r="U157">
        <v>47.222461000000003</v>
      </c>
      <c r="V157">
        <v>-122.810239</v>
      </c>
      <c r="W157" t="e">
        <f>VLOOKUP(B157,[1]Plantings!$A$2:$E$285,4,FALSE)</f>
        <v>#N/A</v>
      </c>
      <c r="X157" s="11" t="e">
        <f>VLOOKUP(B157,[1]Plantings!$A$2:$E$285,5,FALSE)</f>
        <v>#N/A</v>
      </c>
      <c r="Y157" s="16" t="s">
        <v>1</v>
      </c>
      <c r="Z157">
        <v>-1.1000000000000001</v>
      </c>
      <c r="AA157" t="s">
        <v>39</v>
      </c>
      <c r="AB157">
        <v>1</v>
      </c>
      <c r="AC157">
        <v>1</v>
      </c>
      <c r="AD157">
        <f t="shared" si="19"/>
        <v>1</v>
      </c>
      <c r="AE157">
        <v>8.0000000000000002E-3</v>
      </c>
      <c r="AF157" s="14">
        <f t="shared" si="18"/>
        <v>1.4999999999999999E-2</v>
      </c>
      <c r="AG157" s="15">
        <v>3</v>
      </c>
      <c r="AH157" s="34">
        <f t="shared" ref="AH157:AH168" si="23">AG157*4</f>
        <v>12</v>
      </c>
      <c r="AI157" s="13">
        <f t="shared" si="21"/>
        <v>12</v>
      </c>
      <c r="AJ157" s="13">
        <f t="shared" si="22"/>
        <v>1500</v>
      </c>
      <c r="AK157" t="s">
        <v>24</v>
      </c>
      <c r="AL157" s="3" t="s">
        <v>319</v>
      </c>
    </row>
    <row r="158" spans="1:38" x14ac:dyDescent="0.25">
      <c r="A158" s="30" t="s">
        <v>229</v>
      </c>
      <c r="B158" t="s">
        <v>320</v>
      </c>
      <c r="C158" t="e">
        <f>VLOOKUP(B158,[1]Plantings!$A$2:$C$285,2,FALSE)</f>
        <v>#N/A</v>
      </c>
      <c r="D158" t="e">
        <f>VLOOKUP(B158,[1]Plantings!$A$2:$C$285,3,FALSE)</f>
        <v>#N/A</v>
      </c>
      <c r="E158" s="7">
        <v>2017</v>
      </c>
      <c r="G158" s="4" t="s">
        <v>0</v>
      </c>
      <c r="H158" s="4" t="s">
        <v>10</v>
      </c>
      <c r="I158" t="s">
        <v>29</v>
      </c>
      <c r="J158" s="4" t="s">
        <v>43</v>
      </c>
      <c r="K158" s="4" t="s">
        <v>43</v>
      </c>
      <c r="L158" s="4" t="s">
        <v>137</v>
      </c>
      <c r="R158" s="4" t="s">
        <v>38</v>
      </c>
      <c r="S158" s="20" t="s">
        <v>70</v>
      </c>
      <c r="T158" s="27">
        <v>42854</v>
      </c>
      <c r="U158">
        <v>47.222489000000003</v>
      </c>
      <c r="V158">
        <v>-122.81026199999999</v>
      </c>
      <c r="W158" t="e">
        <f>VLOOKUP(B158,[1]Plantings!$A$2:$E$285,4,FALSE)</f>
        <v>#N/A</v>
      </c>
      <c r="X158" s="11" t="e">
        <f>VLOOKUP(B158,[1]Plantings!$A$2:$E$285,5,FALSE)</f>
        <v>#N/A</v>
      </c>
      <c r="Y158" s="16" t="s">
        <v>1</v>
      </c>
      <c r="AA158" t="s">
        <v>39</v>
      </c>
      <c r="AB158">
        <v>1</v>
      </c>
      <c r="AC158">
        <v>1</v>
      </c>
      <c r="AD158">
        <f t="shared" si="19"/>
        <v>1</v>
      </c>
      <c r="AE158">
        <v>8.0000000000000002E-3</v>
      </c>
      <c r="AF158" s="14">
        <f t="shared" si="18"/>
        <v>1.4999999999999999E-2</v>
      </c>
      <c r="AG158" s="15">
        <v>3</v>
      </c>
      <c r="AH158" s="34">
        <f t="shared" si="23"/>
        <v>12</v>
      </c>
      <c r="AI158" s="13">
        <f t="shared" si="21"/>
        <v>12</v>
      </c>
      <c r="AJ158" s="13">
        <f t="shared" si="22"/>
        <v>1500</v>
      </c>
      <c r="AK158" t="s">
        <v>24</v>
      </c>
      <c r="AL158" s="3" t="s">
        <v>319</v>
      </c>
    </row>
    <row r="159" spans="1:38" x14ac:dyDescent="0.25">
      <c r="A159" s="30" t="s">
        <v>229</v>
      </c>
      <c r="B159" t="s">
        <v>321</v>
      </c>
      <c r="C159" t="e">
        <f>VLOOKUP(B159,[1]Plantings!$A$2:$C$285,2,FALSE)</f>
        <v>#N/A</v>
      </c>
      <c r="D159" t="e">
        <f>VLOOKUP(B159,[1]Plantings!$A$2:$C$285,3,FALSE)</f>
        <v>#N/A</v>
      </c>
      <c r="E159" s="7">
        <v>2017</v>
      </c>
      <c r="G159" s="4" t="s">
        <v>0</v>
      </c>
      <c r="H159" s="4" t="s">
        <v>10</v>
      </c>
      <c r="I159" t="s">
        <v>29</v>
      </c>
      <c r="J159" s="4" t="s">
        <v>43</v>
      </c>
      <c r="K159" s="4" t="s">
        <v>43</v>
      </c>
      <c r="L159" s="4" t="s">
        <v>137</v>
      </c>
      <c r="R159" s="4" t="s">
        <v>38</v>
      </c>
      <c r="S159" s="20" t="s">
        <v>70</v>
      </c>
      <c r="T159" s="27">
        <v>42854</v>
      </c>
      <c r="U159">
        <v>47.222512000000002</v>
      </c>
      <c r="V159">
        <v>-122.810267</v>
      </c>
      <c r="W159" t="e">
        <f>VLOOKUP(B159,[1]Plantings!$A$2:$E$285,4,FALSE)</f>
        <v>#N/A</v>
      </c>
      <c r="X159" s="11" t="e">
        <f>VLOOKUP(B159,[1]Plantings!$A$2:$E$285,5,FALSE)</f>
        <v>#N/A</v>
      </c>
      <c r="Y159" s="16" t="s">
        <v>1</v>
      </c>
      <c r="AA159" t="s">
        <v>39</v>
      </c>
      <c r="AB159">
        <v>1</v>
      </c>
      <c r="AC159">
        <v>1</v>
      </c>
      <c r="AD159">
        <f t="shared" si="19"/>
        <v>1</v>
      </c>
      <c r="AE159">
        <v>8.0000000000000002E-3</v>
      </c>
      <c r="AF159" s="14">
        <f t="shared" si="18"/>
        <v>1.4999999999999999E-2</v>
      </c>
      <c r="AG159" s="15">
        <v>3</v>
      </c>
      <c r="AH159" s="34">
        <f t="shared" si="23"/>
        <v>12</v>
      </c>
      <c r="AI159" s="13">
        <f t="shared" si="21"/>
        <v>12</v>
      </c>
      <c r="AJ159" s="13">
        <f t="shared" si="22"/>
        <v>1500</v>
      </c>
      <c r="AK159" t="s">
        <v>24</v>
      </c>
      <c r="AL159" s="3" t="s">
        <v>319</v>
      </c>
    </row>
    <row r="160" spans="1:38" x14ac:dyDescent="0.25">
      <c r="A160" s="30" t="s">
        <v>229</v>
      </c>
      <c r="B160" t="s">
        <v>322</v>
      </c>
      <c r="C160" t="e">
        <f>VLOOKUP(B160,[1]Plantings!$A$2:$C$285,2,FALSE)</f>
        <v>#N/A</v>
      </c>
      <c r="D160" t="e">
        <f>VLOOKUP(B160,[1]Plantings!$A$2:$C$285,3,FALSE)</f>
        <v>#N/A</v>
      </c>
      <c r="E160" s="7">
        <v>2017</v>
      </c>
      <c r="G160" s="4" t="s">
        <v>0</v>
      </c>
      <c r="H160" s="4" t="s">
        <v>10</v>
      </c>
      <c r="I160" t="s">
        <v>29</v>
      </c>
      <c r="J160" s="4" t="s">
        <v>43</v>
      </c>
      <c r="K160" s="4" t="s">
        <v>43</v>
      </c>
      <c r="L160" s="4" t="s">
        <v>137</v>
      </c>
      <c r="R160" s="4" t="s">
        <v>38</v>
      </c>
      <c r="S160" s="20" t="s">
        <v>70</v>
      </c>
      <c r="T160" s="27">
        <v>42854</v>
      </c>
      <c r="U160">
        <v>47.222541999999997</v>
      </c>
      <c r="V160">
        <v>-122.81027899999999</v>
      </c>
      <c r="W160" t="e">
        <f>VLOOKUP(B160,[1]Plantings!$A$2:$E$285,4,FALSE)</f>
        <v>#N/A</v>
      </c>
      <c r="X160" s="11" t="e">
        <f>VLOOKUP(B160,[1]Plantings!$A$2:$E$285,5,FALSE)</f>
        <v>#N/A</v>
      </c>
      <c r="Y160" s="16" t="s">
        <v>1</v>
      </c>
      <c r="AA160" t="s">
        <v>39</v>
      </c>
      <c r="AB160">
        <v>1</v>
      </c>
      <c r="AC160">
        <v>1</v>
      </c>
      <c r="AD160">
        <f t="shared" si="19"/>
        <v>1</v>
      </c>
      <c r="AE160">
        <v>8.0000000000000002E-3</v>
      </c>
      <c r="AF160" s="14">
        <f t="shared" si="18"/>
        <v>1.4999999999999999E-2</v>
      </c>
      <c r="AG160" s="15">
        <v>3</v>
      </c>
      <c r="AH160" s="34">
        <f t="shared" si="23"/>
        <v>12</v>
      </c>
      <c r="AI160" s="13">
        <f t="shared" si="21"/>
        <v>12</v>
      </c>
      <c r="AJ160" s="13">
        <f t="shared" si="22"/>
        <v>1500</v>
      </c>
      <c r="AK160" t="s">
        <v>24</v>
      </c>
      <c r="AL160" s="3" t="s">
        <v>319</v>
      </c>
    </row>
    <row r="161" spans="1:38" x14ac:dyDescent="0.25">
      <c r="A161" s="30" t="s">
        <v>229</v>
      </c>
      <c r="B161" t="s">
        <v>323</v>
      </c>
      <c r="C161" t="e">
        <f>VLOOKUP(B161,[1]Plantings!$A$2:$C$285,2,FALSE)</f>
        <v>#N/A</v>
      </c>
      <c r="D161" t="e">
        <f>VLOOKUP(B161,[1]Plantings!$A$2:$C$285,3,FALSE)</f>
        <v>#N/A</v>
      </c>
      <c r="E161" s="7">
        <v>2017</v>
      </c>
      <c r="G161" s="4" t="s">
        <v>0</v>
      </c>
      <c r="H161" s="4" t="s">
        <v>10</v>
      </c>
      <c r="I161" t="s">
        <v>29</v>
      </c>
      <c r="J161" s="4" t="s">
        <v>43</v>
      </c>
      <c r="K161" s="4" t="s">
        <v>43</v>
      </c>
      <c r="L161" s="4" t="s">
        <v>137</v>
      </c>
      <c r="R161" s="4" t="s">
        <v>38</v>
      </c>
      <c r="S161" s="20" t="s">
        <v>70</v>
      </c>
      <c r="T161" s="27">
        <v>42854</v>
      </c>
      <c r="U161">
        <v>47.222552</v>
      </c>
      <c r="V161">
        <v>-122.810293</v>
      </c>
      <c r="W161" t="e">
        <f>VLOOKUP(B161,[1]Plantings!$A$2:$E$285,4,FALSE)</f>
        <v>#N/A</v>
      </c>
      <c r="X161" s="11" t="e">
        <f>VLOOKUP(B161,[1]Plantings!$A$2:$E$285,5,FALSE)</f>
        <v>#N/A</v>
      </c>
      <c r="Y161" s="16" t="s">
        <v>1</v>
      </c>
      <c r="AA161" t="s">
        <v>39</v>
      </c>
      <c r="AB161">
        <v>1</v>
      </c>
      <c r="AC161">
        <v>1</v>
      </c>
      <c r="AD161">
        <f t="shared" si="19"/>
        <v>1</v>
      </c>
      <c r="AE161">
        <v>8.0000000000000002E-3</v>
      </c>
      <c r="AF161" s="14">
        <f t="shared" si="18"/>
        <v>1.4999999999999999E-2</v>
      </c>
      <c r="AG161" s="15">
        <v>3</v>
      </c>
      <c r="AH161" s="34">
        <f t="shared" si="23"/>
        <v>12</v>
      </c>
      <c r="AI161" s="13">
        <f t="shared" si="21"/>
        <v>12</v>
      </c>
      <c r="AJ161" s="13">
        <f t="shared" si="22"/>
        <v>1500</v>
      </c>
      <c r="AK161" t="s">
        <v>24</v>
      </c>
      <c r="AL161" s="3" t="s">
        <v>319</v>
      </c>
    </row>
    <row r="162" spans="1:38" x14ac:dyDescent="0.25">
      <c r="A162" s="30" t="s">
        <v>229</v>
      </c>
      <c r="B162" t="s">
        <v>324</v>
      </c>
      <c r="C162" t="e">
        <f>VLOOKUP(B162,[1]Plantings!$A$2:$C$285,2,FALSE)</f>
        <v>#N/A</v>
      </c>
      <c r="D162" t="e">
        <f>VLOOKUP(B162,[1]Plantings!$A$2:$C$285,3,FALSE)</f>
        <v>#N/A</v>
      </c>
      <c r="E162" s="7">
        <v>2017</v>
      </c>
      <c r="G162" s="4" t="s">
        <v>0</v>
      </c>
      <c r="H162" s="4" t="s">
        <v>10</v>
      </c>
      <c r="I162" t="s">
        <v>29</v>
      </c>
      <c r="J162" s="4" t="s">
        <v>43</v>
      </c>
      <c r="K162" s="4" t="s">
        <v>43</v>
      </c>
      <c r="L162" s="4" t="s">
        <v>137</v>
      </c>
      <c r="R162" s="4" t="s">
        <v>38</v>
      </c>
      <c r="S162" s="20" t="s">
        <v>70</v>
      </c>
      <c r="T162" s="27">
        <v>42854</v>
      </c>
      <c r="U162">
        <v>47.222596000000003</v>
      </c>
      <c r="V162">
        <v>-122.810309</v>
      </c>
      <c r="W162" t="e">
        <f>VLOOKUP(B162,[1]Plantings!$A$2:$E$285,4,FALSE)</f>
        <v>#N/A</v>
      </c>
      <c r="X162" s="11" t="e">
        <f>VLOOKUP(B162,[1]Plantings!$A$2:$E$285,5,FALSE)</f>
        <v>#N/A</v>
      </c>
      <c r="Y162" s="16" t="s">
        <v>1</v>
      </c>
      <c r="AA162" t="s">
        <v>39</v>
      </c>
      <c r="AB162">
        <v>1</v>
      </c>
      <c r="AC162">
        <v>1</v>
      </c>
      <c r="AD162">
        <f t="shared" si="19"/>
        <v>1</v>
      </c>
      <c r="AE162">
        <v>8.0000000000000002E-3</v>
      </c>
      <c r="AF162" s="14">
        <f t="shared" si="18"/>
        <v>1.4999999999999999E-2</v>
      </c>
      <c r="AG162" s="15">
        <v>3</v>
      </c>
      <c r="AH162" s="34">
        <f t="shared" si="23"/>
        <v>12</v>
      </c>
      <c r="AI162" s="13">
        <f t="shared" si="21"/>
        <v>12</v>
      </c>
      <c r="AJ162" s="13">
        <f t="shared" si="22"/>
        <v>1500</v>
      </c>
      <c r="AK162" t="s">
        <v>24</v>
      </c>
      <c r="AL162" s="3" t="s">
        <v>319</v>
      </c>
    </row>
    <row r="163" spans="1:38" x14ac:dyDescent="0.25">
      <c r="A163" s="30" t="s">
        <v>229</v>
      </c>
      <c r="B163" t="s">
        <v>325</v>
      </c>
      <c r="C163" t="e">
        <f>VLOOKUP(B163,[1]Plantings!$A$2:$C$285,2,FALSE)</f>
        <v>#N/A</v>
      </c>
      <c r="D163" t="e">
        <f>VLOOKUP(B163,[1]Plantings!$A$2:$C$285,3,FALSE)</f>
        <v>#N/A</v>
      </c>
      <c r="E163" s="7">
        <v>2017</v>
      </c>
      <c r="G163" s="4" t="s">
        <v>0</v>
      </c>
      <c r="H163" s="4" t="s">
        <v>10</v>
      </c>
      <c r="I163" t="s">
        <v>29</v>
      </c>
      <c r="J163" s="4" t="s">
        <v>43</v>
      </c>
      <c r="K163" s="4" t="s">
        <v>43</v>
      </c>
      <c r="L163" s="4" t="s">
        <v>137</v>
      </c>
      <c r="R163" s="4" t="s">
        <v>38</v>
      </c>
      <c r="S163" s="20" t="s">
        <v>70</v>
      </c>
      <c r="T163" s="27">
        <v>42854</v>
      </c>
      <c r="U163">
        <v>47.222611999999998</v>
      </c>
      <c r="V163">
        <v>-122.810312</v>
      </c>
      <c r="W163" t="e">
        <f>VLOOKUP(B163,[1]Plantings!$A$2:$E$285,4,FALSE)</f>
        <v>#N/A</v>
      </c>
      <c r="X163" s="11" t="e">
        <f>VLOOKUP(B163,[1]Plantings!$A$2:$E$285,5,FALSE)</f>
        <v>#N/A</v>
      </c>
      <c r="Y163" s="16" t="s">
        <v>1</v>
      </c>
      <c r="AA163" t="s">
        <v>39</v>
      </c>
      <c r="AB163">
        <v>1</v>
      </c>
      <c r="AC163">
        <v>1</v>
      </c>
      <c r="AD163">
        <f t="shared" si="19"/>
        <v>1</v>
      </c>
      <c r="AE163">
        <v>8.0000000000000002E-3</v>
      </c>
      <c r="AF163" s="14">
        <f t="shared" si="18"/>
        <v>1.4999999999999999E-2</v>
      </c>
      <c r="AG163" s="15">
        <v>3</v>
      </c>
      <c r="AH163" s="34">
        <f t="shared" si="23"/>
        <v>12</v>
      </c>
      <c r="AI163" s="13">
        <f t="shared" si="21"/>
        <v>12</v>
      </c>
      <c r="AJ163" s="13">
        <f t="shared" si="22"/>
        <v>1500</v>
      </c>
      <c r="AK163" t="s">
        <v>24</v>
      </c>
      <c r="AL163" s="3" t="s">
        <v>319</v>
      </c>
    </row>
    <row r="164" spans="1:38" x14ac:dyDescent="0.25">
      <c r="A164" s="30" t="s">
        <v>229</v>
      </c>
      <c r="B164" t="s">
        <v>326</v>
      </c>
      <c r="C164" t="e">
        <f>VLOOKUP(B164,[1]Plantings!$A$2:$C$285,2,FALSE)</f>
        <v>#N/A</v>
      </c>
      <c r="D164" t="e">
        <f>VLOOKUP(B164,[1]Plantings!$A$2:$C$285,3,FALSE)</f>
        <v>#N/A</v>
      </c>
      <c r="E164" s="7">
        <v>2017</v>
      </c>
      <c r="G164" s="4" t="s">
        <v>0</v>
      </c>
      <c r="H164" s="4" t="s">
        <v>10</v>
      </c>
      <c r="I164" t="s">
        <v>29</v>
      </c>
      <c r="J164" s="4" t="s">
        <v>43</v>
      </c>
      <c r="K164" s="4" t="s">
        <v>43</v>
      </c>
      <c r="L164" s="4" t="s">
        <v>137</v>
      </c>
      <c r="R164" s="4" t="s">
        <v>38</v>
      </c>
      <c r="S164" s="20" t="s">
        <v>70</v>
      </c>
      <c r="T164" s="27">
        <v>42854</v>
      </c>
      <c r="U164">
        <v>47.222638000000003</v>
      </c>
      <c r="V164">
        <v>-122.810339</v>
      </c>
      <c r="W164" t="e">
        <f>VLOOKUP(B164,[1]Plantings!$A$2:$E$285,4,FALSE)</f>
        <v>#N/A</v>
      </c>
      <c r="X164" s="11" t="e">
        <f>VLOOKUP(B164,[1]Plantings!$A$2:$E$285,5,FALSE)</f>
        <v>#N/A</v>
      </c>
      <c r="Y164" s="16" t="s">
        <v>1</v>
      </c>
      <c r="AA164" t="s">
        <v>39</v>
      </c>
      <c r="AB164">
        <v>1</v>
      </c>
      <c r="AC164">
        <v>1</v>
      </c>
      <c r="AD164">
        <f t="shared" si="19"/>
        <v>1</v>
      </c>
      <c r="AE164">
        <v>8.0000000000000002E-3</v>
      </c>
      <c r="AF164" s="14">
        <f t="shared" si="18"/>
        <v>1.4999999999999999E-2</v>
      </c>
      <c r="AG164" s="15">
        <v>3</v>
      </c>
      <c r="AH164" s="34">
        <f t="shared" si="23"/>
        <v>12</v>
      </c>
      <c r="AI164" s="13">
        <f t="shared" si="21"/>
        <v>12</v>
      </c>
      <c r="AJ164" s="13">
        <f t="shared" si="22"/>
        <v>1500</v>
      </c>
      <c r="AK164" t="s">
        <v>24</v>
      </c>
      <c r="AL164" s="3" t="s">
        <v>319</v>
      </c>
    </row>
    <row r="165" spans="1:38" x14ac:dyDescent="0.25">
      <c r="A165" s="30" t="s">
        <v>229</v>
      </c>
      <c r="B165" t="s">
        <v>327</v>
      </c>
      <c r="C165" t="e">
        <f>VLOOKUP(B165,[1]Plantings!$A$2:$C$285,2,FALSE)</f>
        <v>#N/A</v>
      </c>
      <c r="D165" t="e">
        <f>VLOOKUP(B165,[1]Plantings!$A$2:$C$285,3,FALSE)</f>
        <v>#N/A</v>
      </c>
      <c r="E165" s="7">
        <v>2017</v>
      </c>
      <c r="G165" s="4" t="s">
        <v>0</v>
      </c>
      <c r="H165" s="4" t="s">
        <v>10</v>
      </c>
      <c r="I165" t="s">
        <v>29</v>
      </c>
      <c r="J165" s="4" t="s">
        <v>43</v>
      </c>
      <c r="K165" s="4" t="s">
        <v>43</v>
      </c>
      <c r="L165" s="4" t="s">
        <v>137</v>
      </c>
      <c r="R165" s="4" t="s">
        <v>38</v>
      </c>
      <c r="S165" s="20" t="s">
        <v>70</v>
      </c>
      <c r="T165" s="27">
        <v>42854</v>
      </c>
      <c r="U165">
        <v>47.222659</v>
      </c>
      <c r="V165">
        <v>-122.810361</v>
      </c>
      <c r="W165" t="e">
        <f>VLOOKUP(B165,[1]Plantings!$A$2:$E$285,4,FALSE)</f>
        <v>#N/A</v>
      </c>
      <c r="X165" s="11" t="e">
        <f>VLOOKUP(B165,[1]Plantings!$A$2:$E$285,5,FALSE)</f>
        <v>#N/A</v>
      </c>
      <c r="Y165" s="16" t="s">
        <v>1</v>
      </c>
      <c r="AA165" t="s">
        <v>39</v>
      </c>
      <c r="AB165">
        <v>1</v>
      </c>
      <c r="AC165">
        <v>1</v>
      </c>
      <c r="AD165">
        <f t="shared" si="19"/>
        <v>1</v>
      </c>
      <c r="AE165">
        <v>8.0000000000000002E-3</v>
      </c>
      <c r="AF165" s="14">
        <f t="shared" si="18"/>
        <v>1.4999999999999999E-2</v>
      </c>
      <c r="AG165" s="15">
        <v>3</v>
      </c>
      <c r="AH165" s="34">
        <f t="shared" si="23"/>
        <v>12</v>
      </c>
      <c r="AI165" s="13">
        <f t="shared" si="21"/>
        <v>12</v>
      </c>
      <c r="AJ165" s="13">
        <f t="shared" si="22"/>
        <v>1500</v>
      </c>
      <c r="AK165" t="s">
        <v>24</v>
      </c>
      <c r="AL165" s="3" t="s">
        <v>319</v>
      </c>
    </row>
    <row r="166" spans="1:38" x14ac:dyDescent="0.25">
      <c r="A166" s="30" t="s">
        <v>229</v>
      </c>
      <c r="B166" t="s">
        <v>328</v>
      </c>
      <c r="C166" t="e">
        <f>VLOOKUP(B166,[1]Plantings!$A$2:$C$285,2,FALSE)</f>
        <v>#N/A</v>
      </c>
      <c r="D166" t="e">
        <f>VLOOKUP(B166,[1]Plantings!$A$2:$C$285,3,FALSE)</f>
        <v>#N/A</v>
      </c>
      <c r="E166" s="7">
        <v>2017</v>
      </c>
      <c r="G166" s="4" t="s">
        <v>0</v>
      </c>
      <c r="H166" s="4" t="s">
        <v>10</v>
      </c>
      <c r="I166" t="s">
        <v>29</v>
      </c>
      <c r="J166" s="4" t="s">
        <v>43</v>
      </c>
      <c r="K166" s="4" t="s">
        <v>43</v>
      </c>
      <c r="L166" s="4" t="s">
        <v>137</v>
      </c>
      <c r="R166" s="4" t="s">
        <v>38</v>
      </c>
      <c r="S166" s="20" t="s">
        <v>70</v>
      </c>
      <c r="T166" s="27">
        <v>42854</v>
      </c>
      <c r="U166">
        <v>47.222687999999998</v>
      </c>
      <c r="V166">
        <v>-122.810372</v>
      </c>
      <c r="W166" t="e">
        <f>VLOOKUP(B166,[1]Plantings!$A$2:$E$285,4,FALSE)</f>
        <v>#N/A</v>
      </c>
      <c r="X166" s="11" t="e">
        <f>VLOOKUP(B166,[1]Plantings!$A$2:$E$285,5,FALSE)</f>
        <v>#N/A</v>
      </c>
      <c r="Y166" s="16" t="s">
        <v>1</v>
      </c>
      <c r="AA166" t="s">
        <v>39</v>
      </c>
      <c r="AB166">
        <v>1</v>
      </c>
      <c r="AC166">
        <v>1</v>
      </c>
      <c r="AD166">
        <f t="shared" si="19"/>
        <v>1</v>
      </c>
      <c r="AE166">
        <v>8.0000000000000002E-3</v>
      </c>
      <c r="AF166" s="14">
        <f t="shared" si="18"/>
        <v>1.4999999999999999E-2</v>
      </c>
      <c r="AG166" s="15">
        <v>3</v>
      </c>
      <c r="AH166" s="34">
        <f t="shared" si="23"/>
        <v>12</v>
      </c>
      <c r="AI166" s="13">
        <f t="shared" si="21"/>
        <v>12</v>
      </c>
      <c r="AJ166" s="13">
        <f t="shared" si="22"/>
        <v>1500</v>
      </c>
      <c r="AK166" t="s">
        <v>24</v>
      </c>
      <c r="AL166" s="3" t="s">
        <v>319</v>
      </c>
    </row>
    <row r="167" spans="1:38" x14ac:dyDescent="0.25">
      <c r="A167" s="30" t="s">
        <v>229</v>
      </c>
      <c r="B167" t="s">
        <v>329</v>
      </c>
      <c r="C167" t="e">
        <f>VLOOKUP(B167,[1]Plantings!$A$2:$C$285,2,FALSE)</f>
        <v>#N/A</v>
      </c>
      <c r="D167" t="e">
        <f>VLOOKUP(B167,[1]Plantings!$A$2:$C$285,3,FALSE)</f>
        <v>#N/A</v>
      </c>
      <c r="E167" s="7">
        <v>2017</v>
      </c>
      <c r="G167" s="4" t="s">
        <v>0</v>
      </c>
      <c r="H167" s="4" t="s">
        <v>10</v>
      </c>
      <c r="I167" t="s">
        <v>29</v>
      </c>
      <c r="J167" s="4" t="s">
        <v>43</v>
      </c>
      <c r="K167" s="4" t="s">
        <v>43</v>
      </c>
      <c r="L167" s="4" t="s">
        <v>137</v>
      </c>
      <c r="R167" s="4" t="s">
        <v>38</v>
      </c>
      <c r="S167" s="20" t="s">
        <v>70</v>
      </c>
      <c r="T167" s="27">
        <v>42854</v>
      </c>
      <c r="U167" s="69">
        <v>47.222720000000002</v>
      </c>
      <c r="V167">
        <v>-122.81038599999999</v>
      </c>
      <c r="W167" t="e">
        <f>VLOOKUP(B167,[1]Plantings!$A$2:$E$285,4,FALSE)</f>
        <v>#N/A</v>
      </c>
      <c r="X167" s="11" t="e">
        <f>VLOOKUP(B167,[1]Plantings!$A$2:$E$285,5,FALSE)</f>
        <v>#N/A</v>
      </c>
      <c r="Y167" s="16" t="s">
        <v>1</v>
      </c>
      <c r="AA167" t="s">
        <v>39</v>
      </c>
      <c r="AB167">
        <v>1</v>
      </c>
      <c r="AC167">
        <v>1</v>
      </c>
      <c r="AD167">
        <f t="shared" si="19"/>
        <v>1</v>
      </c>
      <c r="AE167">
        <v>8.0000000000000002E-3</v>
      </c>
      <c r="AF167" s="14">
        <f t="shared" si="18"/>
        <v>1.4999999999999999E-2</v>
      </c>
      <c r="AG167" s="15">
        <v>3</v>
      </c>
      <c r="AH167" s="34">
        <f t="shared" si="23"/>
        <v>12</v>
      </c>
      <c r="AI167" s="13">
        <f t="shared" si="21"/>
        <v>12</v>
      </c>
      <c r="AJ167" s="13">
        <f t="shared" si="22"/>
        <v>1500</v>
      </c>
      <c r="AK167" t="s">
        <v>24</v>
      </c>
      <c r="AL167" s="3" t="s">
        <v>319</v>
      </c>
    </row>
    <row r="168" spans="1:38" x14ac:dyDescent="0.25">
      <c r="A168" s="30" t="s">
        <v>229</v>
      </c>
      <c r="B168" t="s">
        <v>330</v>
      </c>
      <c r="C168" t="e">
        <f>VLOOKUP(B168,[1]Plantings!$A$2:$C$285,2,FALSE)</f>
        <v>#N/A</v>
      </c>
      <c r="D168" t="e">
        <f>VLOOKUP(B168,[1]Plantings!$A$2:$C$285,3,FALSE)</f>
        <v>#N/A</v>
      </c>
      <c r="E168" s="7">
        <v>2017</v>
      </c>
      <c r="G168" s="4" t="s">
        <v>0</v>
      </c>
      <c r="H168" s="4" t="s">
        <v>10</v>
      </c>
      <c r="I168" t="s">
        <v>29</v>
      </c>
      <c r="J168" s="4" t="s">
        <v>43</v>
      </c>
      <c r="K168" s="4" t="s">
        <v>43</v>
      </c>
      <c r="L168" s="4" t="s">
        <v>137</v>
      </c>
      <c r="R168" s="4" t="s">
        <v>38</v>
      </c>
      <c r="S168" s="20" t="s">
        <v>70</v>
      </c>
      <c r="T168" s="27">
        <v>42854</v>
      </c>
      <c r="U168">
        <v>47.222732999999998</v>
      </c>
      <c r="V168" s="69">
        <v>-122.8104</v>
      </c>
      <c r="W168" t="e">
        <f>VLOOKUP(B168,[1]Plantings!$A$2:$E$285,4,FALSE)</f>
        <v>#N/A</v>
      </c>
      <c r="X168" s="11" t="e">
        <f>VLOOKUP(B168,[1]Plantings!$A$2:$E$285,5,FALSE)</f>
        <v>#N/A</v>
      </c>
      <c r="Y168" s="16" t="s">
        <v>1</v>
      </c>
      <c r="AA168" t="s">
        <v>39</v>
      </c>
      <c r="AB168">
        <v>1</v>
      </c>
      <c r="AC168">
        <v>1</v>
      </c>
      <c r="AD168">
        <f t="shared" si="19"/>
        <v>1</v>
      </c>
      <c r="AE168">
        <v>8.0000000000000002E-3</v>
      </c>
      <c r="AF168" s="14">
        <f t="shared" si="18"/>
        <v>1.4999999999999999E-2</v>
      </c>
      <c r="AG168" s="15">
        <v>3</v>
      </c>
      <c r="AH168" s="34">
        <f t="shared" si="23"/>
        <v>12</v>
      </c>
      <c r="AI168" s="13">
        <f t="shared" si="21"/>
        <v>12</v>
      </c>
      <c r="AJ168" s="13">
        <f t="shared" si="22"/>
        <v>1500</v>
      </c>
      <c r="AK168" t="s">
        <v>24</v>
      </c>
      <c r="AL168" s="3" t="s">
        <v>319</v>
      </c>
    </row>
    <row r="169" spans="1:38" x14ac:dyDescent="0.25">
      <c r="A169" s="30" t="s">
        <v>229</v>
      </c>
      <c r="B169" t="s">
        <v>313</v>
      </c>
      <c r="C169" t="str">
        <f>VLOOKUP(B169,[1]Plantings!$A$2:$C$285,2,FALSE)</f>
        <v>JSP_mid_south_2</v>
      </c>
      <c r="D169" t="str">
        <f>VLOOKUP(B169,[1]Plantings!$A$2:$C$285,3,FALSE)</f>
        <v>single</v>
      </c>
      <c r="E169" s="7">
        <v>2018</v>
      </c>
      <c r="G169" s="4" t="s">
        <v>0</v>
      </c>
      <c r="H169" s="4" t="s">
        <v>10</v>
      </c>
      <c r="I169" t="s">
        <v>29</v>
      </c>
      <c r="J169" s="4" t="s">
        <v>43</v>
      </c>
      <c r="K169" s="4" t="s">
        <v>43</v>
      </c>
      <c r="L169" s="4" t="s">
        <v>137</v>
      </c>
      <c r="R169" s="4" t="s">
        <v>38</v>
      </c>
      <c r="S169" t="s">
        <v>38</v>
      </c>
      <c r="T169" s="27">
        <v>43264</v>
      </c>
      <c r="W169" t="str">
        <f>VLOOKUP(B169,[1]Plantings!$A$2:$E$285,4,FALSE)</f>
        <v>point</v>
      </c>
      <c r="X169" s="11" t="str">
        <f>VLOOKUP(B169,[1]Plantings!$A$2:$E$285,5,FALSE)</f>
        <v>drop</v>
      </c>
      <c r="Y169" s="16" t="s">
        <v>1</v>
      </c>
      <c r="AA169" t="s">
        <v>54</v>
      </c>
      <c r="AB169">
        <v>4</v>
      </c>
      <c r="AC169">
        <v>0.25</v>
      </c>
      <c r="AD169">
        <f t="shared" si="19"/>
        <v>1</v>
      </c>
      <c r="AE169">
        <v>0.25</v>
      </c>
      <c r="AF169" s="14">
        <f t="shared" ref="AF169:AF182" si="24">IF(AA169="staple",AG169*0.005,IF(AA169="rebar",AG169*0.025,IF(AA169="burlap",AG169*0.0625,IF(AA169="washer",AG169*0.0025,IF(AA169="pucks",AG169*0.00785,IF(AA169="turf",AG169*0.01,IF(AA169="","")))))))</f>
        <v>0.1</v>
      </c>
      <c r="AG169" s="15">
        <v>4</v>
      </c>
      <c r="AH169" s="34">
        <f>AG169*25</f>
        <v>100</v>
      </c>
      <c r="AI169" s="13">
        <f t="shared" si="21"/>
        <v>100</v>
      </c>
      <c r="AJ169" s="13">
        <f t="shared" si="22"/>
        <v>400</v>
      </c>
      <c r="AK169" t="s">
        <v>93</v>
      </c>
      <c r="AL169" s="3" t="s">
        <v>331</v>
      </c>
    </row>
    <row r="170" spans="1:38" x14ac:dyDescent="0.25">
      <c r="A170" s="30" t="s">
        <v>229</v>
      </c>
      <c r="B170" t="s">
        <v>332</v>
      </c>
      <c r="C170" t="str">
        <f>VLOOKUP(B170,[1]Plantings!$A$2:$C$285,2,FALSE)</f>
        <v>JSP_mid_south_1</v>
      </c>
      <c r="D170" t="str">
        <f>VLOOKUP(B170,[1]Plantings!$A$2:$C$285,3,FALSE)</f>
        <v>single</v>
      </c>
      <c r="E170" s="7">
        <v>2018</v>
      </c>
      <c r="G170" s="4" t="s">
        <v>0</v>
      </c>
      <c r="H170" s="4" t="s">
        <v>10</v>
      </c>
      <c r="I170" t="s">
        <v>29</v>
      </c>
      <c r="J170" s="4" t="s">
        <v>43</v>
      </c>
      <c r="K170" s="4" t="s">
        <v>43</v>
      </c>
      <c r="L170" s="4" t="s">
        <v>137</v>
      </c>
      <c r="R170" s="4" t="s">
        <v>38</v>
      </c>
      <c r="S170" t="s">
        <v>38</v>
      </c>
      <c r="T170" s="27">
        <v>43264</v>
      </c>
      <c r="W170" t="str">
        <f>VLOOKUP(B170,[1]Plantings!$A$2:$E$285,4,FALSE)</f>
        <v>point</v>
      </c>
      <c r="X170" s="11" t="str">
        <f>VLOOKUP(B170,[1]Plantings!$A$2:$E$285,5,FALSE)</f>
        <v>drop</v>
      </c>
      <c r="Y170" s="16" t="s">
        <v>1</v>
      </c>
      <c r="AA170" t="s">
        <v>54</v>
      </c>
      <c r="AB170">
        <v>3</v>
      </c>
      <c r="AC170">
        <v>0.25</v>
      </c>
      <c r="AD170">
        <f t="shared" si="19"/>
        <v>0.75</v>
      </c>
      <c r="AE170">
        <v>0.25</v>
      </c>
      <c r="AF170" s="14">
        <f t="shared" si="24"/>
        <v>7.5000000000000011E-2</v>
      </c>
      <c r="AG170" s="15">
        <v>3</v>
      </c>
      <c r="AH170" s="34">
        <f>AG170*25</f>
        <v>75</v>
      </c>
      <c r="AI170" s="13">
        <f t="shared" si="21"/>
        <v>100</v>
      </c>
      <c r="AJ170" s="13">
        <f t="shared" si="22"/>
        <v>300</v>
      </c>
      <c r="AK170" t="s">
        <v>93</v>
      </c>
      <c r="AL170" s="3" t="s">
        <v>333</v>
      </c>
    </row>
    <row r="171" spans="1:38" x14ac:dyDescent="0.25">
      <c r="A171" s="30" t="s">
        <v>229</v>
      </c>
      <c r="B171" t="s">
        <v>334</v>
      </c>
      <c r="C171" t="str">
        <f>VLOOKUP(B171,[1]Plantings!$A$2:$C$285,2,FALSE)</f>
        <v>JSP_mid_1</v>
      </c>
      <c r="D171" t="str">
        <f>VLOOKUP(B171,[1]Plantings!$A$2:$C$285,3,FALSE)</f>
        <v>colocated</v>
      </c>
      <c r="E171" s="7">
        <v>2018</v>
      </c>
      <c r="G171" s="4" t="s">
        <v>0</v>
      </c>
      <c r="H171" s="4" t="s">
        <v>10</v>
      </c>
      <c r="I171" t="s">
        <v>29</v>
      </c>
      <c r="J171" s="4" t="s">
        <v>43</v>
      </c>
      <c r="K171" s="4" t="s">
        <v>43</v>
      </c>
      <c r="L171" s="4" t="s">
        <v>137</v>
      </c>
      <c r="R171" s="4" t="s">
        <v>38</v>
      </c>
      <c r="S171" t="s">
        <v>38</v>
      </c>
      <c r="T171" s="27">
        <v>43295</v>
      </c>
      <c r="U171">
        <v>47.222470000000001</v>
      </c>
      <c r="V171">
        <v>-122.81049</v>
      </c>
      <c r="W171" t="str">
        <f>VLOOKUP(B171,[1]Plantings!$A$2:$E$285,4,FALSE)</f>
        <v>point</v>
      </c>
      <c r="X171" s="11" t="str">
        <f>VLOOKUP(B171,[1]Plantings!$A$2:$E$285,5,FALSE)</f>
        <v>retain</v>
      </c>
      <c r="Y171" s="16" t="s">
        <v>1</v>
      </c>
      <c r="AA171" t="s">
        <v>54</v>
      </c>
      <c r="AB171">
        <v>0.5</v>
      </c>
      <c r="AC171">
        <v>0.5</v>
      </c>
      <c r="AD171">
        <f t="shared" si="19"/>
        <v>0.25</v>
      </c>
      <c r="AE171">
        <v>0.25</v>
      </c>
      <c r="AF171" s="14">
        <f t="shared" si="24"/>
        <v>7.5000000000000011E-2</v>
      </c>
      <c r="AG171" s="15">
        <v>3</v>
      </c>
      <c r="AH171" s="34">
        <f>AG171*21</f>
        <v>63</v>
      </c>
      <c r="AI171" s="13">
        <f t="shared" si="21"/>
        <v>252</v>
      </c>
      <c r="AJ171" s="13">
        <f t="shared" si="22"/>
        <v>252</v>
      </c>
      <c r="AK171" t="s">
        <v>93</v>
      </c>
      <c r="AL171" s="3" t="s">
        <v>335</v>
      </c>
    </row>
    <row r="172" spans="1:38" x14ac:dyDescent="0.25">
      <c r="A172" s="30" t="s">
        <v>229</v>
      </c>
      <c r="B172" t="s">
        <v>336</v>
      </c>
      <c r="C172" t="str">
        <f>VLOOKUP(B172,[1]Plantings!$A$2:$C$285,2,FALSE)</f>
        <v>JSP_mid_1</v>
      </c>
      <c r="D172" t="str">
        <f>VLOOKUP(B172,[1]Plantings!$A$2:$C$285,3,FALSE)</f>
        <v>colocated</v>
      </c>
      <c r="E172" s="7">
        <v>2018</v>
      </c>
      <c r="G172" s="4" t="s">
        <v>0</v>
      </c>
      <c r="H172" s="4" t="s">
        <v>10</v>
      </c>
      <c r="I172" t="s">
        <v>29</v>
      </c>
      <c r="J172" s="4" t="s">
        <v>43</v>
      </c>
      <c r="K172" s="4" t="s">
        <v>43</v>
      </c>
      <c r="L172" s="4" t="s">
        <v>137</v>
      </c>
      <c r="R172" s="4" t="s">
        <v>38</v>
      </c>
      <c r="S172" t="s">
        <v>38</v>
      </c>
      <c r="T172" s="27">
        <v>43295</v>
      </c>
      <c r="U172">
        <v>47.222470000000001</v>
      </c>
      <c r="V172">
        <v>-122.81049</v>
      </c>
      <c r="W172" t="str">
        <f>VLOOKUP(B172,[1]Plantings!$A$2:$E$285,4,FALSE)</f>
        <v>point</v>
      </c>
      <c r="X172" s="11" t="str">
        <f>VLOOKUP(B172,[1]Plantings!$A$2:$E$285,5,FALSE)</f>
        <v>retain</v>
      </c>
      <c r="Y172" s="16" t="s">
        <v>1</v>
      </c>
      <c r="AA172" t="s">
        <v>337</v>
      </c>
      <c r="AB172">
        <v>0.5</v>
      </c>
      <c r="AC172">
        <v>0.5</v>
      </c>
      <c r="AD172">
        <f t="shared" si="19"/>
        <v>0.25</v>
      </c>
      <c r="AE172">
        <v>0.25</v>
      </c>
      <c r="AF172" s="14">
        <f t="shared" si="24"/>
        <v>7.0649999999999991E-2</v>
      </c>
      <c r="AG172" s="15">
        <v>9</v>
      </c>
      <c r="AH172" s="34">
        <f>AG172*7</f>
        <v>63</v>
      </c>
      <c r="AI172" s="13">
        <f t="shared" si="21"/>
        <v>252</v>
      </c>
      <c r="AJ172" s="13">
        <f t="shared" si="22"/>
        <v>252</v>
      </c>
      <c r="AK172" t="s">
        <v>93</v>
      </c>
      <c r="AL172" s="3" t="s">
        <v>338</v>
      </c>
    </row>
    <row r="173" spans="1:38" x14ac:dyDescent="0.25">
      <c r="A173" s="30" t="s">
        <v>229</v>
      </c>
      <c r="B173" t="s">
        <v>339</v>
      </c>
      <c r="C173" t="str">
        <f>VLOOKUP(B173,[1]Plantings!$A$2:$C$285,2,FALSE)</f>
        <v>JSP_mid_2</v>
      </c>
      <c r="D173" t="str">
        <f>VLOOKUP(B173,[1]Plantings!$A$2:$C$285,3,FALSE)</f>
        <v>single</v>
      </c>
      <c r="E173" s="7">
        <v>2018</v>
      </c>
      <c r="G173" s="4" t="s">
        <v>0</v>
      </c>
      <c r="H173" s="4" t="s">
        <v>10</v>
      </c>
      <c r="I173" t="s">
        <v>29</v>
      </c>
      <c r="J173" s="4" t="s">
        <v>43</v>
      </c>
      <c r="K173" s="4" t="s">
        <v>43</v>
      </c>
      <c r="L173" s="4" t="s">
        <v>137</v>
      </c>
      <c r="R173" s="4" t="s">
        <v>38</v>
      </c>
      <c r="S173" t="s">
        <v>38</v>
      </c>
      <c r="T173" s="27">
        <v>43295</v>
      </c>
      <c r="W173" t="str">
        <f>VLOOKUP(B173,[1]Plantings!$A$2:$E$285,4,FALSE)</f>
        <v>point</v>
      </c>
      <c r="X173" s="11" t="str">
        <f>VLOOKUP(B173,[1]Plantings!$A$2:$E$285,5,FALSE)</f>
        <v>drop</v>
      </c>
      <c r="Y173" s="16" t="s">
        <v>1</v>
      </c>
      <c r="AA173" t="s">
        <v>337</v>
      </c>
      <c r="AB173">
        <v>0.5</v>
      </c>
      <c r="AC173">
        <v>0.5</v>
      </c>
      <c r="AD173">
        <f t="shared" si="19"/>
        <v>0.25</v>
      </c>
      <c r="AE173">
        <v>0.25</v>
      </c>
      <c r="AF173" s="14">
        <f t="shared" si="24"/>
        <v>7.0649999999999991E-2</v>
      </c>
      <c r="AG173" s="15">
        <v>9</v>
      </c>
      <c r="AH173" s="34">
        <f>AG173*7</f>
        <v>63</v>
      </c>
      <c r="AI173" s="13">
        <f t="shared" si="21"/>
        <v>252</v>
      </c>
      <c r="AJ173" s="13">
        <f t="shared" si="22"/>
        <v>252</v>
      </c>
      <c r="AK173" t="s">
        <v>93</v>
      </c>
      <c r="AL173" s="3" t="s">
        <v>338</v>
      </c>
    </row>
    <row r="174" spans="1:38" x14ac:dyDescent="0.25">
      <c r="A174" s="30" t="s">
        <v>229</v>
      </c>
      <c r="B174" t="s">
        <v>340</v>
      </c>
      <c r="C174" t="str">
        <f>VLOOKUP(B174,[1]Plantings!$A$2:$C$285,2,FALSE)</f>
        <v>JSP_mid_2</v>
      </c>
      <c r="D174" t="str">
        <f>VLOOKUP(B174,[1]Plantings!$A$2:$C$285,3,FALSE)</f>
        <v>single</v>
      </c>
      <c r="E174" s="7">
        <v>2018</v>
      </c>
      <c r="G174" s="4" t="s">
        <v>0</v>
      </c>
      <c r="H174" s="4" t="s">
        <v>10</v>
      </c>
      <c r="I174" t="s">
        <v>29</v>
      </c>
      <c r="J174" s="4" t="s">
        <v>43</v>
      </c>
      <c r="K174" s="4" t="s">
        <v>43</v>
      </c>
      <c r="L174" s="4" t="s">
        <v>137</v>
      </c>
      <c r="R174" s="4" t="s">
        <v>38</v>
      </c>
      <c r="S174" t="s">
        <v>38</v>
      </c>
      <c r="T174" s="27">
        <v>43295</v>
      </c>
      <c r="W174" t="str">
        <f>VLOOKUP(B174,[1]Plantings!$A$2:$E$285,4,FALSE)</f>
        <v>point</v>
      </c>
      <c r="X174" s="11" t="str">
        <f>VLOOKUP(B174,[1]Plantings!$A$2:$E$285,5,FALSE)</f>
        <v>drop</v>
      </c>
      <c r="Y174" s="16" t="s">
        <v>1</v>
      </c>
      <c r="AA174" t="s">
        <v>54</v>
      </c>
      <c r="AB174">
        <v>0.5</v>
      </c>
      <c r="AC174">
        <v>0.5</v>
      </c>
      <c r="AD174">
        <f t="shared" si="19"/>
        <v>0.25</v>
      </c>
      <c r="AE174">
        <v>0.25</v>
      </c>
      <c r="AF174" s="14">
        <f t="shared" si="24"/>
        <v>7.5000000000000011E-2</v>
      </c>
      <c r="AG174" s="15">
        <v>3</v>
      </c>
      <c r="AH174" s="34">
        <f>AG174*21</f>
        <v>63</v>
      </c>
      <c r="AI174" s="13">
        <f t="shared" si="21"/>
        <v>252</v>
      </c>
      <c r="AJ174" s="13">
        <f t="shared" si="22"/>
        <v>252</v>
      </c>
      <c r="AK174" t="s">
        <v>93</v>
      </c>
      <c r="AL174" s="3" t="s">
        <v>341</v>
      </c>
    </row>
    <row r="175" spans="1:38" x14ac:dyDescent="0.25">
      <c r="A175" s="30" t="s">
        <v>229</v>
      </c>
      <c r="B175" t="s">
        <v>342</v>
      </c>
      <c r="C175" t="str">
        <f>VLOOKUP(B175,[1]Plantings!$A$2:$C$285,2,FALSE)</f>
        <v>JSP_mid_3</v>
      </c>
      <c r="D175" t="str">
        <f>VLOOKUP(B175,[1]Plantings!$A$2:$C$285,3,FALSE)</f>
        <v>colocated</v>
      </c>
      <c r="E175" s="7">
        <v>2018</v>
      </c>
      <c r="G175" s="4" t="s">
        <v>0</v>
      </c>
      <c r="H175" s="4" t="s">
        <v>10</v>
      </c>
      <c r="I175" t="s">
        <v>29</v>
      </c>
      <c r="J175" s="4" t="s">
        <v>43</v>
      </c>
      <c r="K175" s="4" t="s">
        <v>43</v>
      </c>
      <c r="L175" s="4" t="s">
        <v>137</v>
      </c>
      <c r="R175" s="4" t="s">
        <v>38</v>
      </c>
      <c r="S175" t="s">
        <v>38</v>
      </c>
      <c r="T175" s="27">
        <v>43295</v>
      </c>
      <c r="U175">
        <v>47.222619999999999</v>
      </c>
      <c r="V175">
        <v>-122.81053</v>
      </c>
      <c r="W175" t="str">
        <f>VLOOKUP(B175,[1]Plantings!$A$2:$E$285,4,FALSE)</f>
        <v>point</v>
      </c>
      <c r="X175" s="11" t="str">
        <f>VLOOKUP(B175,[1]Plantings!$A$2:$E$285,5,FALSE)</f>
        <v>retain</v>
      </c>
      <c r="Y175" s="16" t="s">
        <v>1</v>
      </c>
      <c r="AA175" t="s">
        <v>54</v>
      </c>
      <c r="AB175">
        <v>0.5</v>
      </c>
      <c r="AC175">
        <v>0.5</v>
      </c>
      <c r="AD175">
        <f t="shared" si="19"/>
        <v>0.25</v>
      </c>
      <c r="AE175">
        <v>0.25</v>
      </c>
      <c r="AF175" s="14">
        <f t="shared" si="24"/>
        <v>7.5000000000000011E-2</v>
      </c>
      <c r="AG175" s="15">
        <v>3</v>
      </c>
      <c r="AH175" s="34">
        <f>AG175*21</f>
        <v>63</v>
      </c>
      <c r="AI175" s="13">
        <f t="shared" si="21"/>
        <v>252</v>
      </c>
      <c r="AJ175" s="13">
        <f t="shared" si="22"/>
        <v>252</v>
      </c>
      <c r="AK175" t="s">
        <v>93</v>
      </c>
      <c r="AL175" s="3" t="s">
        <v>343</v>
      </c>
    </row>
    <row r="176" spans="1:38" x14ac:dyDescent="0.25">
      <c r="A176" s="30" t="s">
        <v>229</v>
      </c>
      <c r="B176" t="s">
        <v>344</v>
      </c>
      <c r="C176" t="str">
        <f>VLOOKUP(B176,[1]Plantings!$A$2:$C$285,2,FALSE)</f>
        <v>JSP_mid_3</v>
      </c>
      <c r="D176" t="str">
        <f>VLOOKUP(B176,[1]Plantings!$A$2:$C$285,3,FALSE)</f>
        <v>single</v>
      </c>
      <c r="E176" s="7">
        <v>2018</v>
      </c>
      <c r="G176" s="4" t="s">
        <v>0</v>
      </c>
      <c r="H176" s="4" t="s">
        <v>10</v>
      </c>
      <c r="I176" t="s">
        <v>29</v>
      </c>
      <c r="J176" s="4" t="s">
        <v>43</v>
      </c>
      <c r="K176" s="4" t="s">
        <v>43</v>
      </c>
      <c r="L176" s="4" t="s">
        <v>137</v>
      </c>
      <c r="R176" s="4" t="s">
        <v>38</v>
      </c>
      <c r="S176" t="s">
        <v>38</v>
      </c>
      <c r="T176" s="27">
        <v>43295</v>
      </c>
      <c r="U176">
        <v>47.222619999999999</v>
      </c>
      <c r="V176">
        <v>-122.81053</v>
      </c>
      <c r="W176" t="str">
        <f>VLOOKUP(B176,[1]Plantings!$A$2:$E$285,4,FALSE)</f>
        <v>point</v>
      </c>
      <c r="X176" s="11" t="str">
        <f>VLOOKUP(B176,[1]Plantings!$A$2:$E$285,5,FALSE)</f>
        <v>retain</v>
      </c>
      <c r="Y176" s="16" t="s">
        <v>1</v>
      </c>
      <c r="AA176" t="s">
        <v>337</v>
      </c>
      <c r="AB176">
        <v>0.5</v>
      </c>
      <c r="AC176">
        <v>0.5</v>
      </c>
      <c r="AD176">
        <f t="shared" si="19"/>
        <v>0.25</v>
      </c>
      <c r="AE176">
        <v>0.25</v>
      </c>
      <c r="AF176" s="14">
        <f t="shared" si="24"/>
        <v>7.0649999999999991E-2</v>
      </c>
      <c r="AG176" s="15">
        <v>9</v>
      </c>
      <c r="AH176" s="34">
        <f>AG176*7</f>
        <v>63</v>
      </c>
      <c r="AI176" s="13">
        <f t="shared" si="21"/>
        <v>252</v>
      </c>
      <c r="AJ176" s="13">
        <f t="shared" si="22"/>
        <v>252</v>
      </c>
      <c r="AK176" t="s">
        <v>93</v>
      </c>
      <c r="AL176" s="3" t="s">
        <v>345</v>
      </c>
    </row>
    <row r="177" spans="1:38" x14ac:dyDescent="0.25">
      <c r="A177" s="30" t="s">
        <v>229</v>
      </c>
      <c r="B177" t="s">
        <v>346</v>
      </c>
      <c r="C177" t="str">
        <f>VLOOKUP(B177,[1]Plantings!$A$2:$C$285,2,FALSE)</f>
        <v>JSP_mid_4</v>
      </c>
      <c r="D177" t="str">
        <f>VLOOKUP(B177,[1]Plantings!$A$2:$C$285,3,FALSE)</f>
        <v>single</v>
      </c>
      <c r="E177" s="7">
        <v>2020</v>
      </c>
      <c r="G177" s="4" t="s">
        <v>0</v>
      </c>
      <c r="H177" s="4" t="s">
        <v>10</v>
      </c>
      <c r="I177" t="s">
        <v>29</v>
      </c>
      <c r="J177" s="4" t="s">
        <v>43</v>
      </c>
      <c r="K177" s="4" t="s">
        <v>43</v>
      </c>
      <c r="L177" s="4" t="s">
        <v>137</v>
      </c>
      <c r="R177" s="4" t="s">
        <v>38</v>
      </c>
      <c r="S177" t="s">
        <v>38</v>
      </c>
      <c r="T177" s="27">
        <v>44018</v>
      </c>
      <c r="U177">
        <v>47.222589999999997</v>
      </c>
      <c r="V177">
        <v>-122.81049</v>
      </c>
      <c r="W177" t="str">
        <f>VLOOKUP(B177,[1]Plantings!$A$2:$E$285,4,FALSE)</f>
        <v>point</v>
      </c>
      <c r="X177" s="11" t="str">
        <f>VLOOKUP(B177,[1]Plantings!$A$2:$E$285,5,FALSE)</f>
        <v>retain</v>
      </c>
      <c r="Y177" s="16" t="s">
        <v>1</v>
      </c>
      <c r="Z177" s="12">
        <v>-1.3</v>
      </c>
      <c r="AA177" s="13" t="s">
        <v>54</v>
      </c>
      <c r="AB177">
        <v>8</v>
      </c>
      <c r="AC177">
        <v>0.5</v>
      </c>
      <c r="AD177" s="4">
        <v>4</v>
      </c>
      <c r="AE177">
        <v>1</v>
      </c>
      <c r="AF177" s="14">
        <f t="shared" si="24"/>
        <v>0.30000000000000004</v>
      </c>
      <c r="AG177">
        <v>12</v>
      </c>
      <c r="AH177" s="51">
        <v>240</v>
      </c>
      <c r="AI177" s="13">
        <f t="shared" si="21"/>
        <v>60</v>
      </c>
      <c r="AJ177" s="13">
        <f t="shared" si="22"/>
        <v>240</v>
      </c>
      <c r="AK177" t="s">
        <v>24</v>
      </c>
      <c r="AL177" s="3" t="s">
        <v>347</v>
      </c>
    </row>
    <row r="178" spans="1:38" x14ac:dyDescent="0.25">
      <c r="A178" t="s">
        <v>229</v>
      </c>
      <c r="B178" t="s">
        <v>348</v>
      </c>
      <c r="C178" t="str">
        <f>VLOOKUP(B178,[1]Plantings!$A$2:$C$285,2,FALSE)</f>
        <v>WHB_test_1</v>
      </c>
      <c r="D178" t="str">
        <f>VLOOKUP(B178,[1]Plantings!$A$2:$C$285,3,FALSE)</f>
        <v>single</v>
      </c>
      <c r="E178" s="7">
        <v>2020</v>
      </c>
      <c r="G178" t="s">
        <v>0</v>
      </c>
      <c r="H178" s="4" t="s">
        <v>10</v>
      </c>
      <c r="I178" t="s">
        <v>29</v>
      </c>
      <c r="J178" s="4" t="s">
        <v>86</v>
      </c>
      <c r="K178" s="4" t="s">
        <v>50</v>
      </c>
      <c r="L178" s="4" t="s">
        <v>50</v>
      </c>
      <c r="M178" s="7" t="s">
        <v>51</v>
      </c>
      <c r="N178" s="4" t="s">
        <v>52</v>
      </c>
      <c r="O178" s="4" t="s">
        <v>35</v>
      </c>
      <c r="R178" s="4" t="s">
        <v>38</v>
      </c>
      <c r="S178" t="s">
        <v>38</v>
      </c>
      <c r="T178" s="27">
        <v>44011</v>
      </c>
      <c r="U178" s="11">
        <v>47.207729999999998</v>
      </c>
      <c r="V178" s="11">
        <v>-122.80525</v>
      </c>
      <c r="W178" t="str">
        <f>VLOOKUP(B178,[1]Plantings!$A$2:$E$285,4,FALSE)</f>
        <v>point</v>
      </c>
      <c r="X178" s="11" t="str">
        <f>VLOOKUP(B178,[1]Plantings!$A$2:$E$285,5,FALSE)</f>
        <v>retain</v>
      </c>
      <c r="Y178" s="16" t="s">
        <v>1</v>
      </c>
      <c r="Z178" s="12">
        <v>-1.9</v>
      </c>
      <c r="AA178" s="13" t="s">
        <v>54</v>
      </c>
      <c r="AB178">
        <v>2.5</v>
      </c>
      <c r="AC178">
        <v>2.5</v>
      </c>
      <c r="AD178">
        <f t="shared" ref="AD178:AD186" si="25">AB178*AC178</f>
        <v>6.25</v>
      </c>
      <c r="AE178">
        <f>AG178*0.25</f>
        <v>5</v>
      </c>
      <c r="AF178" s="14">
        <f t="shared" si="24"/>
        <v>0.5</v>
      </c>
      <c r="AG178">
        <v>20</v>
      </c>
      <c r="AH178">
        <v>500</v>
      </c>
      <c r="AI178" s="13">
        <f t="shared" si="21"/>
        <v>80</v>
      </c>
      <c r="AJ178" s="13">
        <f t="shared" si="22"/>
        <v>100</v>
      </c>
      <c r="AK178" t="s">
        <v>67</v>
      </c>
      <c r="AL178" s="3" t="s">
        <v>349</v>
      </c>
    </row>
    <row r="179" spans="1:38" x14ac:dyDescent="0.25">
      <c r="A179" t="s">
        <v>229</v>
      </c>
      <c r="B179" t="s">
        <v>350</v>
      </c>
      <c r="C179" t="str">
        <f>VLOOKUP(B179,[1]Plantings!$A$2:$C$285,2,FALSE)</f>
        <v>JSP_south_test</v>
      </c>
      <c r="D179" t="str">
        <f>VLOOKUP(B179,[1]Plantings!$A$2:$C$285,3,FALSE)</f>
        <v>single</v>
      </c>
      <c r="E179" s="7">
        <v>2021</v>
      </c>
      <c r="G179" s="4" t="s">
        <v>0</v>
      </c>
      <c r="H179" s="4" t="s">
        <v>10</v>
      </c>
      <c r="I179" s="4" t="s">
        <v>29</v>
      </c>
      <c r="J179" s="4" t="s">
        <v>43</v>
      </c>
      <c r="K179" s="4" t="s">
        <v>43</v>
      </c>
      <c r="L179" s="4"/>
      <c r="M179" s="7"/>
      <c r="N179" s="4"/>
      <c r="O179" s="4"/>
      <c r="R179" s="4" t="s">
        <v>38</v>
      </c>
      <c r="S179" t="s">
        <v>38</v>
      </c>
      <c r="T179" s="27">
        <v>44372</v>
      </c>
      <c r="U179" s="11"/>
      <c r="V179" s="11"/>
      <c r="W179" t="str">
        <f>VLOOKUP(B179,[1]Plantings!$A$2:$E$285,4,FALSE)</f>
        <v>point</v>
      </c>
      <c r="X179" s="11" t="str">
        <f>VLOOKUP(B179,[1]Plantings!$A$2:$E$285,5,FALSE)</f>
        <v>retain</v>
      </c>
      <c r="Y179" s="16" t="s">
        <v>1</v>
      </c>
      <c r="Z179" s="12">
        <v>-1.5</v>
      </c>
      <c r="AA179" s="13" t="s">
        <v>54</v>
      </c>
      <c r="AB179">
        <v>3.5</v>
      </c>
      <c r="AC179">
        <v>0.5</v>
      </c>
      <c r="AD179">
        <f t="shared" si="25"/>
        <v>1.75</v>
      </c>
      <c r="AE179">
        <f>AG179*0.25</f>
        <v>2.25</v>
      </c>
      <c r="AF179" s="14">
        <f t="shared" si="24"/>
        <v>0.22500000000000001</v>
      </c>
      <c r="AG179" s="15">
        <v>9</v>
      </c>
      <c r="AH179">
        <v>135</v>
      </c>
      <c r="AI179" s="13">
        <f t="shared" si="21"/>
        <v>77.142857142857139</v>
      </c>
      <c r="AJ179" s="13">
        <f t="shared" si="22"/>
        <v>60</v>
      </c>
      <c r="AK179" t="s">
        <v>93</v>
      </c>
      <c r="AL179" s="3" t="s">
        <v>351</v>
      </c>
    </row>
    <row r="180" spans="1:38" x14ac:dyDescent="0.25">
      <c r="A180" t="s">
        <v>229</v>
      </c>
      <c r="B180" t="s">
        <v>352</v>
      </c>
      <c r="C180" t="str">
        <f>VLOOKUP(B180,[1]Plantings!$A$2:$C$285,2,FALSE)</f>
        <v>JSP_mid_connect</v>
      </c>
      <c r="D180" t="str">
        <f>VLOOKUP(B180,[1]Plantings!$A$2:$C$285,3,FALSE)</f>
        <v>single</v>
      </c>
      <c r="E180" s="7">
        <v>2022</v>
      </c>
      <c r="G180" s="4" t="s">
        <v>0</v>
      </c>
      <c r="H180" s="4" t="s">
        <v>10</v>
      </c>
      <c r="I180" s="4" t="s">
        <v>29</v>
      </c>
      <c r="J180" s="4" t="s">
        <v>43</v>
      </c>
      <c r="K180" s="4" t="s">
        <v>43</v>
      </c>
      <c r="L180" s="4"/>
      <c r="M180" s="7"/>
      <c r="N180" s="4"/>
      <c r="O180" s="4"/>
      <c r="R180" s="4" t="s">
        <v>38</v>
      </c>
      <c r="S180" t="s">
        <v>38</v>
      </c>
      <c r="T180" s="27">
        <v>44729</v>
      </c>
      <c r="U180" s="11"/>
      <c r="V180" s="11"/>
      <c r="W180" t="str">
        <f>VLOOKUP(B180,[1]Plantings!$A$2:$E$285,4,FALSE)</f>
        <v>point</v>
      </c>
      <c r="X180" s="11" t="str">
        <f>VLOOKUP(B180,[1]Plantings!$A$2:$E$285,5,FALSE)</f>
        <v>retain</v>
      </c>
      <c r="Y180" s="16" t="s">
        <v>1</v>
      </c>
      <c r="Z180" s="12">
        <v>-1.5</v>
      </c>
      <c r="AA180" s="13" t="s">
        <v>54</v>
      </c>
      <c r="AB180">
        <v>2.5</v>
      </c>
      <c r="AC180">
        <v>0.5</v>
      </c>
      <c r="AD180">
        <f t="shared" si="25"/>
        <v>1.25</v>
      </c>
      <c r="AE180">
        <v>1.75</v>
      </c>
      <c r="AF180" s="14">
        <f t="shared" si="24"/>
        <v>0.375</v>
      </c>
      <c r="AG180" s="15">
        <v>15</v>
      </c>
      <c r="AH180">
        <v>180</v>
      </c>
      <c r="AI180" s="13">
        <f t="shared" si="21"/>
        <v>144</v>
      </c>
      <c r="AJ180" s="13">
        <f t="shared" si="22"/>
        <v>102.85714285714286</v>
      </c>
      <c r="AK180" t="s">
        <v>93</v>
      </c>
      <c r="AL180" s="3" t="s">
        <v>353</v>
      </c>
    </row>
    <row r="181" spans="1:38" x14ac:dyDescent="0.25">
      <c r="A181" t="s">
        <v>229</v>
      </c>
      <c r="B181" t="s">
        <v>354</v>
      </c>
      <c r="C181" t="str">
        <f>VLOOKUP(B181,[1]Plantings!$A$2:$C$285,2,FALSE)</f>
        <v>HC_off_1</v>
      </c>
      <c r="D181" t="str">
        <f>VLOOKUP(B181,[1]Plantings!$A$2:$C$285,3,FALSE)</f>
        <v>single</v>
      </c>
      <c r="E181" s="7">
        <v>2022</v>
      </c>
      <c r="G181" s="4" t="s">
        <v>0</v>
      </c>
      <c r="H181" s="4" t="s">
        <v>10</v>
      </c>
      <c r="I181" s="4" t="s">
        <v>29</v>
      </c>
      <c r="J181" s="4" t="s">
        <v>43</v>
      </c>
      <c r="K181" s="4" t="s">
        <v>43</v>
      </c>
      <c r="L181" s="4"/>
      <c r="M181" s="7"/>
      <c r="N181" s="4"/>
      <c r="O181" s="4"/>
      <c r="R181" s="4" t="s">
        <v>38</v>
      </c>
      <c r="S181" t="s">
        <v>38</v>
      </c>
      <c r="T181" s="27">
        <v>44729</v>
      </c>
      <c r="U181" s="11"/>
      <c r="V181" s="11"/>
      <c r="W181" t="str">
        <f>VLOOKUP(B181,[1]Plantings!$A$2:$E$285,4,FALSE)</f>
        <v>point</v>
      </c>
      <c r="X181" s="11" t="str">
        <f>VLOOKUP(B181,[1]Plantings!$A$2:$E$285,5,FALSE)</f>
        <v>retain</v>
      </c>
      <c r="Y181" s="16" t="s">
        <v>1</v>
      </c>
      <c r="Z181" s="12">
        <v>-1.5</v>
      </c>
      <c r="AA181" s="13" t="s">
        <v>54</v>
      </c>
      <c r="AB181">
        <v>1</v>
      </c>
      <c r="AC181">
        <v>0.5</v>
      </c>
      <c r="AD181">
        <f t="shared" si="25"/>
        <v>0.5</v>
      </c>
      <c r="AE181">
        <v>0.25</v>
      </c>
      <c r="AF181" s="14">
        <f t="shared" si="24"/>
        <v>0.15000000000000002</v>
      </c>
      <c r="AG181" s="15">
        <v>6</v>
      </c>
      <c r="AH181">
        <v>48</v>
      </c>
      <c r="AI181" s="13">
        <f t="shared" si="21"/>
        <v>96</v>
      </c>
      <c r="AJ181" s="13">
        <f t="shared" si="22"/>
        <v>192</v>
      </c>
      <c r="AK181" t="s">
        <v>93</v>
      </c>
      <c r="AL181" s="3" t="s">
        <v>355</v>
      </c>
    </row>
    <row r="182" spans="1:38" x14ac:dyDescent="0.25">
      <c r="A182" t="s">
        <v>229</v>
      </c>
      <c r="B182" t="s">
        <v>356</v>
      </c>
      <c r="C182" t="str">
        <f>VLOOKUP(B182,[1]Plantings!$A$2:$C$285,2,FALSE)</f>
        <v>HC_off_2</v>
      </c>
      <c r="D182" t="str">
        <f>VLOOKUP(B182,[1]Plantings!$A$2:$C$285,3,FALSE)</f>
        <v>single</v>
      </c>
      <c r="E182" s="7">
        <v>2025</v>
      </c>
      <c r="G182" s="4" t="s">
        <v>0</v>
      </c>
      <c r="H182" s="4" t="s">
        <v>10</v>
      </c>
      <c r="I182" s="4" t="s">
        <v>29</v>
      </c>
      <c r="J182" s="4" t="s">
        <v>43</v>
      </c>
      <c r="K182" s="4" t="s">
        <v>43</v>
      </c>
      <c r="L182" s="4"/>
      <c r="M182" s="7"/>
      <c r="N182" s="4"/>
      <c r="O182" s="4"/>
      <c r="R182" s="4" t="s">
        <v>38</v>
      </c>
      <c r="S182" t="s">
        <v>38</v>
      </c>
      <c r="T182" s="27">
        <v>45848</v>
      </c>
      <c r="U182" s="11"/>
      <c r="V182" s="11"/>
      <c r="W182" t="str">
        <f>VLOOKUP(B182,[1]Plantings!$A$2:$E$285,4,FALSE)</f>
        <v>point</v>
      </c>
      <c r="X182" s="11" t="str">
        <f>VLOOKUP(B182,[1]Plantings!$A$2:$E$285,5,FALSE)</f>
        <v>retain</v>
      </c>
      <c r="Y182" s="16" t="s">
        <v>1</v>
      </c>
      <c r="Z182" s="12">
        <v>-1.5</v>
      </c>
      <c r="AA182" s="13" t="s">
        <v>54</v>
      </c>
      <c r="AB182">
        <v>32</v>
      </c>
      <c r="AC182">
        <v>0.5</v>
      </c>
      <c r="AD182">
        <f t="shared" si="25"/>
        <v>16</v>
      </c>
      <c r="AE182">
        <v>16</v>
      </c>
      <c r="AF182" s="14">
        <f t="shared" si="24"/>
        <v>0.8</v>
      </c>
      <c r="AG182" s="15">
        <v>32</v>
      </c>
      <c r="AH182">
        <v>700</v>
      </c>
      <c r="AI182" s="13">
        <f t="shared" si="21"/>
        <v>43.75</v>
      </c>
      <c r="AJ182" s="13">
        <f t="shared" si="22"/>
        <v>43.75</v>
      </c>
      <c r="AK182" t="s">
        <v>93</v>
      </c>
      <c r="AL182" s="3" t="s">
        <v>357</v>
      </c>
    </row>
    <row r="183" spans="1:38" x14ac:dyDescent="0.25">
      <c r="A183" t="s">
        <v>358</v>
      </c>
      <c r="B183" t="s">
        <v>359</v>
      </c>
      <c r="C183" t="str">
        <f>VLOOKUP(B183,[1]Plantings!$A$2:$C$285,2,FALSE)</f>
        <v>KYP_dog1</v>
      </c>
      <c r="D183" t="str">
        <f>VLOOKUP(B183,[1]Plantings!$A$2:$C$285,3,FALSE)</f>
        <v>single</v>
      </c>
      <c r="E183" s="7">
        <v>2020</v>
      </c>
      <c r="G183" t="s">
        <v>0</v>
      </c>
      <c r="H183" t="s">
        <v>19</v>
      </c>
      <c r="I183" t="s">
        <v>29</v>
      </c>
      <c r="J183" s="4" t="s">
        <v>86</v>
      </c>
      <c r="K183" s="4" t="s">
        <v>50</v>
      </c>
      <c r="L183" s="4" t="s">
        <v>50</v>
      </c>
      <c r="M183" s="7" t="s">
        <v>51</v>
      </c>
      <c r="N183" s="4" t="s">
        <v>52</v>
      </c>
      <c r="O183" s="4" t="s">
        <v>35</v>
      </c>
      <c r="R183" s="4" t="s">
        <v>38</v>
      </c>
      <c r="S183" t="s">
        <v>38</v>
      </c>
      <c r="T183" s="27">
        <v>44012</v>
      </c>
      <c r="U183" s="11">
        <v>47.177030000000002</v>
      </c>
      <c r="V183" s="11">
        <v>-122.7462833</v>
      </c>
      <c r="W183" t="str">
        <f>VLOOKUP(B183,[1]Plantings!$A$2:$E$285,4,FALSE)</f>
        <v>point</v>
      </c>
      <c r="X183" s="11" t="str">
        <f>VLOOKUP(B183,[1]Plantings!$A$2:$E$285,5,FALSE)</f>
        <v>retain</v>
      </c>
      <c r="Y183" s="16" t="s">
        <v>1</v>
      </c>
      <c r="Z183" s="12">
        <v>-1.7</v>
      </c>
      <c r="AA183" s="13" t="s">
        <v>54</v>
      </c>
      <c r="AB183">
        <v>2.5</v>
      </c>
      <c r="AC183">
        <v>2.5</v>
      </c>
      <c r="AD183">
        <f t="shared" si="25"/>
        <v>6.25</v>
      </c>
      <c r="AE183">
        <f>AG183*0.25</f>
        <v>4.75</v>
      </c>
      <c r="AF183" s="14">
        <v>0.15</v>
      </c>
      <c r="AG183">
        <v>19</v>
      </c>
      <c r="AH183">
        <v>475</v>
      </c>
      <c r="AI183" s="13">
        <f t="shared" si="21"/>
        <v>76</v>
      </c>
      <c r="AJ183" s="13">
        <f t="shared" si="22"/>
        <v>100</v>
      </c>
      <c r="AK183" t="s">
        <v>3</v>
      </c>
      <c r="AL183" s="3" t="s">
        <v>360</v>
      </c>
    </row>
    <row r="184" spans="1:38" x14ac:dyDescent="0.25">
      <c r="A184" t="s">
        <v>2</v>
      </c>
      <c r="B184" t="s">
        <v>361</v>
      </c>
      <c r="C184" t="str">
        <f>VLOOKUP(B184,[1]Plantings!$A$2:$C$285,2,FALSE)</f>
        <v>LBT_east</v>
      </c>
      <c r="D184" t="str">
        <f>VLOOKUP(B184,[1]Plantings!$A$2:$C$285,3,FALSE)</f>
        <v>single</v>
      </c>
      <c r="E184">
        <v>2013</v>
      </c>
      <c r="F184" t="s">
        <v>28</v>
      </c>
      <c r="G184" t="s">
        <v>0</v>
      </c>
      <c r="H184" t="s">
        <v>2</v>
      </c>
      <c r="I184" t="s">
        <v>29</v>
      </c>
      <c r="J184" t="s">
        <v>30</v>
      </c>
      <c r="K184" t="s">
        <v>31</v>
      </c>
      <c r="L184" t="s">
        <v>32</v>
      </c>
      <c r="M184" t="s">
        <v>33</v>
      </c>
      <c r="N184" t="s">
        <v>34</v>
      </c>
      <c r="O184" t="s">
        <v>35</v>
      </c>
      <c r="P184" t="s">
        <v>36</v>
      </c>
      <c r="Q184" t="s">
        <v>37</v>
      </c>
      <c r="R184" t="s">
        <v>38</v>
      </c>
      <c r="S184" t="s">
        <v>38</v>
      </c>
      <c r="T184" s="27">
        <v>41432</v>
      </c>
      <c r="U184" s="11">
        <v>47.703783333333334</v>
      </c>
      <c r="V184" s="11">
        <v>-122.60514999999999</v>
      </c>
      <c r="W184" t="str">
        <f>VLOOKUP(B184,[1]Plantings!$A$2:$E$285,4,FALSE)</f>
        <v>point</v>
      </c>
      <c r="X184" s="11" t="str">
        <f>VLOOKUP(B184,[1]Plantings!$A$2:$E$285,5,FALSE)</f>
        <v>retain</v>
      </c>
      <c r="Y184" s="16" t="s">
        <v>1</v>
      </c>
      <c r="Z184" s="12">
        <v>-1.524</v>
      </c>
      <c r="AA184" s="13" t="s">
        <v>39</v>
      </c>
      <c r="AB184">
        <v>6</v>
      </c>
      <c r="AC184">
        <v>6</v>
      </c>
      <c r="AD184">
        <f t="shared" si="25"/>
        <v>36</v>
      </c>
      <c r="AE184">
        <v>36</v>
      </c>
      <c r="AF184" s="14">
        <f t="shared" ref="AF184:AF189" si="26">IF(AA184="staple",AG184*0.005,IF(AA184="rebar",AG184*0.025,IF(AA184="burlap",AG184*0.0625,IF(AA184="washer",AG184*0.0025,IF(AA184="pucks",AG184*0.00785,IF(AA184="turf",AG184*0.01,IF(AA184="","")))))))</f>
        <v>0.9</v>
      </c>
      <c r="AG184" s="15">
        <f>AH184/4</f>
        <v>180</v>
      </c>
      <c r="AH184" s="15">
        <v>720</v>
      </c>
      <c r="AI184" s="13">
        <f t="shared" si="21"/>
        <v>20</v>
      </c>
      <c r="AJ184" s="13">
        <f t="shared" si="22"/>
        <v>20</v>
      </c>
      <c r="AK184" t="s">
        <v>362</v>
      </c>
    </row>
    <row r="185" spans="1:38" x14ac:dyDescent="0.25">
      <c r="A185" t="s">
        <v>2</v>
      </c>
      <c r="B185" t="s">
        <v>363</v>
      </c>
      <c r="C185" t="str">
        <f>VLOOKUP(B185,[1]Plantings!$A$2:$C$285,2,FALSE)</f>
        <v>LBT_west</v>
      </c>
      <c r="D185" t="str">
        <f>VLOOKUP(B185,[1]Plantings!$A$2:$C$285,3,FALSE)</f>
        <v>single</v>
      </c>
      <c r="E185">
        <v>2013</v>
      </c>
      <c r="F185" t="s">
        <v>28</v>
      </c>
      <c r="G185" t="s">
        <v>0</v>
      </c>
      <c r="H185" t="s">
        <v>2</v>
      </c>
      <c r="I185" t="s">
        <v>29</v>
      </c>
      <c r="J185" t="s">
        <v>30</v>
      </c>
      <c r="K185" t="s">
        <v>31</v>
      </c>
      <c r="L185" t="s">
        <v>32</v>
      </c>
      <c r="M185" t="s">
        <v>33</v>
      </c>
      <c r="N185" t="s">
        <v>34</v>
      </c>
      <c r="O185" t="s">
        <v>35</v>
      </c>
      <c r="P185" t="s">
        <v>36</v>
      </c>
      <c r="Q185" t="s">
        <v>37</v>
      </c>
      <c r="R185" t="s">
        <v>38</v>
      </c>
      <c r="S185" t="s">
        <v>38</v>
      </c>
      <c r="T185" s="27">
        <v>41432</v>
      </c>
      <c r="U185" s="11">
        <v>47.71</v>
      </c>
      <c r="V185" s="11">
        <v>-122.61401666666667</v>
      </c>
      <c r="W185" t="str">
        <f>VLOOKUP(B185,[1]Plantings!$A$2:$E$285,4,FALSE)</f>
        <v>point</v>
      </c>
      <c r="X185" s="11" t="str">
        <f>VLOOKUP(B185,[1]Plantings!$A$2:$E$285,5,FALSE)</f>
        <v>retain</v>
      </c>
      <c r="Y185" s="16" t="s">
        <v>1</v>
      </c>
      <c r="Z185" s="12">
        <v>-1.6763999999999999</v>
      </c>
      <c r="AA185" s="13" t="s">
        <v>39</v>
      </c>
      <c r="AB185">
        <v>5</v>
      </c>
      <c r="AC185">
        <v>6</v>
      </c>
      <c r="AD185">
        <f t="shared" si="25"/>
        <v>30</v>
      </c>
      <c r="AE185">
        <v>30</v>
      </c>
      <c r="AF185" s="14">
        <f t="shared" si="26"/>
        <v>0.75</v>
      </c>
      <c r="AG185" s="15">
        <f>AH185/4</f>
        <v>150</v>
      </c>
      <c r="AH185" s="15">
        <v>600</v>
      </c>
      <c r="AI185" s="13">
        <f t="shared" si="21"/>
        <v>20</v>
      </c>
      <c r="AJ185" s="13">
        <f t="shared" si="22"/>
        <v>20</v>
      </c>
      <c r="AK185" t="s">
        <v>362</v>
      </c>
    </row>
    <row r="186" spans="1:38" x14ac:dyDescent="0.25">
      <c r="A186" t="s">
        <v>364</v>
      </c>
      <c r="B186" t="s">
        <v>365</v>
      </c>
      <c r="C186" t="str">
        <f>VLOOKUP(B186,[1]Plantings!$A$2:$C$285,2,FALSE)</f>
        <v>MCD_south_L1</v>
      </c>
      <c r="D186" t="str">
        <f>VLOOKUP(B186,[1]Plantings!$A$2:$C$285,3,FALSE)</f>
        <v>single</v>
      </c>
      <c r="E186">
        <v>2017</v>
      </c>
      <c r="F186" t="s">
        <v>28</v>
      </c>
      <c r="G186" s="4" t="s">
        <v>59</v>
      </c>
      <c r="H186" t="s">
        <v>19</v>
      </c>
      <c r="I186" t="s">
        <v>29</v>
      </c>
      <c r="J186" t="s">
        <v>60</v>
      </c>
      <c r="K186" t="s">
        <v>31</v>
      </c>
      <c r="L186" t="s">
        <v>32</v>
      </c>
      <c r="M186" t="s">
        <v>61</v>
      </c>
      <c r="N186" t="s">
        <v>62</v>
      </c>
      <c r="O186" t="s">
        <v>63</v>
      </c>
      <c r="P186" t="s">
        <v>64</v>
      </c>
      <c r="Q186" t="s">
        <v>65</v>
      </c>
      <c r="R186" t="s">
        <v>38</v>
      </c>
      <c r="S186" t="s">
        <v>38</v>
      </c>
      <c r="T186" s="27">
        <v>42859</v>
      </c>
      <c r="U186" s="18">
        <v>47.198616700000002</v>
      </c>
      <c r="V186" s="18">
        <v>-122.7392667</v>
      </c>
      <c r="W186" t="str">
        <f>VLOOKUP(B186,[1]Plantings!$A$2:$E$285,4,FALSE)</f>
        <v>line</v>
      </c>
      <c r="X186" s="11" t="str">
        <f>VLOOKUP(B186,[1]Plantings!$A$2:$E$285,5,FALSE)</f>
        <v>retain</v>
      </c>
      <c r="Y186" s="16" t="s">
        <v>1</v>
      </c>
      <c r="Z186">
        <v>-1.6</v>
      </c>
      <c r="AA186" t="s">
        <v>66</v>
      </c>
      <c r="AB186">
        <v>5</v>
      </c>
      <c r="AC186">
        <v>5</v>
      </c>
      <c r="AD186">
        <f t="shared" si="25"/>
        <v>25</v>
      </c>
      <c r="AE186">
        <v>39</v>
      </c>
      <c r="AF186" s="14">
        <f t="shared" si="26"/>
        <v>0.99</v>
      </c>
      <c r="AG186" s="15">
        <v>99</v>
      </c>
      <c r="AH186" s="34">
        <v>998</v>
      </c>
      <c r="AI186" s="13">
        <f t="shared" si="21"/>
        <v>39.92</v>
      </c>
      <c r="AJ186" s="13">
        <f t="shared" si="22"/>
        <v>25.589743589743591</v>
      </c>
      <c r="AK186" t="s">
        <v>67</v>
      </c>
      <c r="AL186" s="19" t="s">
        <v>366</v>
      </c>
    </row>
    <row r="187" spans="1:38" x14ac:dyDescent="0.25">
      <c r="A187" t="s">
        <v>364</v>
      </c>
      <c r="B187" t="s">
        <v>367</v>
      </c>
      <c r="C187" t="str">
        <f>VLOOKUP(B187,[1]Plantings!$A$2:$C$285,2,FALSE)</f>
        <v>MCD_south_L1</v>
      </c>
      <c r="D187" t="str">
        <f>VLOOKUP(B187,[1]Plantings!$A$2:$C$285,3,FALSE)</f>
        <v>single</v>
      </c>
      <c r="E187">
        <v>2017</v>
      </c>
      <c r="F187" t="s">
        <v>28</v>
      </c>
      <c r="G187" s="4" t="s">
        <v>59</v>
      </c>
      <c r="H187" t="s">
        <v>19</v>
      </c>
      <c r="I187" t="s">
        <v>29</v>
      </c>
      <c r="J187" t="s">
        <v>60</v>
      </c>
      <c r="K187" t="s">
        <v>31</v>
      </c>
      <c r="L187" t="s">
        <v>32</v>
      </c>
      <c r="M187" t="s">
        <v>61</v>
      </c>
      <c r="N187" t="s">
        <v>62</v>
      </c>
      <c r="O187" t="s">
        <v>63</v>
      </c>
      <c r="P187" t="s">
        <v>64</v>
      </c>
      <c r="Q187" t="s">
        <v>65</v>
      </c>
      <c r="R187" t="s">
        <v>38</v>
      </c>
      <c r="S187" s="20" t="s">
        <v>70</v>
      </c>
      <c r="T187" s="27">
        <v>42859</v>
      </c>
      <c r="U187" s="18">
        <v>47.198683299999999</v>
      </c>
      <c r="V187" s="18">
        <v>-122.7392333</v>
      </c>
      <c r="W187" t="str">
        <f>VLOOKUP(B187,[1]Plantings!$A$2:$E$285,4,FALSE)</f>
        <v>line</v>
      </c>
      <c r="X187" s="11" t="str">
        <f>VLOOKUP(B187,[1]Plantings!$A$2:$E$285,5,FALSE)</f>
        <v>retain</v>
      </c>
      <c r="Y187" s="16" t="s">
        <v>1</v>
      </c>
      <c r="AF187" s="14" t="str">
        <f t="shared" si="26"/>
        <v/>
      </c>
      <c r="AG187" s="15"/>
      <c r="AH187" s="34"/>
      <c r="AI187" s="13" t="str">
        <f t="shared" si="21"/>
        <v/>
      </c>
      <c r="AJ187" s="13" t="str">
        <f t="shared" si="22"/>
        <v/>
      </c>
      <c r="AL187" s="19"/>
    </row>
    <row r="188" spans="1:38" x14ac:dyDescent="0.25">
      <c r="A188" t="s">
        <v>364</v>
      </c>
      <c r="B188" t="s">
        <v>368</v>
      </c>
      <c r="C188" t="str">
        <f>VLOOKUP(B188,[1]Plantings!$A$2:$C$285,2,FALSE)</f>
        <v>MCD_north_L1</v>
      </c>
      <c r="D188" t="str">
        <f>VLOOKUP(B188,[1]Plantings!$A$2:$C$285,3,FALSE)</f>
        <v>single</v>
      </c>
      <c r="E188">
        <v>2017</v>
      </c>
      <c r="F188" t="s">
        <v>28</v>
      </c>
      <c r="G188" s="4" t="s">
        <v>59</v>
      </c>
      <c r="H188" t="s">
        <v>19</v>
      </c>
      <c r="I188" t="s">
        <v>29</v>
      </c>
      <c r="J188" t="s">
        <v>60</v>
      </c>
      <c r="K188" t="s">
        <v>31</v>
      </c>
      <c r="L188" t="s">
        <v>32</v>
      </c>
      <c r="M188" t="s">
        <v>61</v>
      </c>
      <c r="N188" t="s">
        <v>62</v>
      </c>
      <c r="O188" t="s">
        <v>63</v>
      </c>
      <c r="P188" t="s">
        <v>64</v>
      </c>
      <c r="Q188" t="s">
        <v>65</v>
      </c>
      <c r="R188" t="s">
        <v>38</v>
      </c>
      <c r="S188" t="s">
        <v>38</v>
      </c>
      <c r="T188" s="27">
        <v>42859</v>
      </c>
      <c r="U188" s="18">
        <v>47.198983300000002</v>
      </c>
      <c r="V188" s="18">
        <v>-122.7391667</v>
      </c>
      <c r="W188" t="str">
        <f>VLOOKUP(B188,[1]Plantings!$A$2:$E$285,4,FALSE)</f>
        <v>line</v>
      </c>
      <c r="X188" s="11" t="str">
        <f>VLOOKUP(B188,[1]Plantings!$A$2:$E$285,5,FALSE)</f>
        <v>retain</v>
      </c>
      <c r="Y188" s="16" t="s">
        <v>1</v>
      </c>
      <c r="Z188">
        <v>-1.6</v>
      </c>
      <c r="AA188" t="s">
        <v>66</v>
      </c>
      <c r="AB188">
        <v>5</v>
      </c>
      <c r="AC188">
        <v>5</v>
      </c>
      <c r="AD188">
        <f>AB188*AC188</f>
        <v>25</v>
      </c>
      <c r="AE188">
        <v>39</v>
      </c>
      <c r="AF188" s="14">
        <f t="shared" si="26"/>
        <v>0.99</v>
      </c>
      <c r="AG188" s="15">
        <v>99</v>
      </c>
      <c r="AH188" s="34">
        <v>994</v>
      </c>
      <c r="AI188" s="13">
        <f t="shared" si="21"/>
        <v>39.76</v>
      </c>
      <c r="AJ188" s="13">
        <f t="shared" si="22"/>
        <v>25.487179487179485</v>
      </c>
      <c r="AK188" t="s">
        <v>67</v>
      </c>
      <c r="AL188" s="19" t="s">
        <v>369</v>
      </c>
    </row>
    <row r="189" spans="1:38" x14ac:dyDescent="0.25">
      <c r="A189" t="s">
        <v>364</v>
      </c>
      <c r="B189" t="s">
        <v>370</v>
      </c>
      <c r="C189" t="str">
        <f>VLOOKUP(B189,[1]Plantings!$A$2:$C$285,2,FALSE)</f>
        <v>MCD_north_L1</v>
      </c>
      <c r="D189" t="str">
        <f>VLOOKUP(B189,[1]Plantings!$A$2:$C$285,3,FALSE)</f>
        <v>single</v>
      </c>
      <c r="E189">
        <v>2017</v>
      </c>
      <c r="F189" t="s">
        <v>28</v>
      </c>
      <c r="G189" s="4" t="s">
        <v>59</v>
      </c>
      <c r="H189" t="s">
        <v>19</v>
      </c>
      <c r="I189" t="s">
        <v>29</v>
      </c>
      <c r="J189" t="s">
        <v>60</v>
      </c>
      <c r="K189" t="s">
        <v>31</v>
      </c>
      <c r="L189" t="s">
        <v>32</v>
      </c>
      <c r="M189" t="s">
        <v>61</v>
      </c>
      <c r="N189" t="s">
        <v>62</v>
      </c>
      <c r="O189" t="s">
        <v>63</v>
      </c>
      <c r="P189" t="s">
        <v>64</v>
      </c>
      <c r="Q189" t="s">
        <v>65</v>
      </c>
      <c r="R189" t="s">
        <v>38</v>
      </c>
      <c r="S189" s="20" t="s">
        <v>70</v>
      </c>
      <c r="T189" s="27">
        <v>42859</v>
      </c>
      <c r="U189" s="18">
        <v>47.199033300000004</v>
      </c>
      <c r="V189" s="18">
        <v>-122.73913330000001</v>
      </c>
      <c r="W189" t="str">
        <f>VLOOKUP(B189,[1]Plantings!$A$2:$E$285,4,FALSE)</f>
        <v>line</v>
      </c>
      <c r="X189" s="11" t="str">
        <f>VLOOKUP(B189,[1]Plantings!$A$2:$E$285,5,FALSE)</f>
        <v>retain</v>
      </c>
      <c r="Y189" s="16" t="s">
        <v>1</v>
      </c>
      <c r="AF189" s="14" t="str">
        <f t="shared" si="26"/>
        <v/>
      </c>
      <c r="AG189" s="15"/>
      <c r="AH189" s="15"/>
      <c r="AI189" s="13" t="str">
        <f t="shared" si="21"/>
        <v/>
      </c>
      <c r="AJ189" s="13" t="str">
        <f t="shared" si="22"/>
        <v/>
      </c>
      <c r="AL189" s="19"/>
    </row>
    <row r="190" spans="1:38" x14ac:dyDescent="0.25">
      <c r="A190" t="s">
        <v>364</v>
      </c>
      <c r="B190" t="s">
        <v>371</v>
      </c>
      <c r="C190" t="str">
        <f>VLOOKUP(B190,[1]Plantings!$A$2:$C$285,2,FALSE)</f>
        <v>MCD_1</v>
      </c>
      <c r="D190" t="str">
        <f>VLOOKUP(B190,[1]Plantings!$A$2:$C$285,3,FALSE)</f>
        <v>single</v>
      </c>
      <c r="E190" s="7">
        <v>2020</v>
      </c>
      <c r="F190" t="s">
        <v>28</v>
      </c>
      <c r="G190" t="s">
        <v>0</v>
      </c>
      <c r="H190" t="s">
        <v>19</v>
      </c>
      <c r="I190" t="s">
        <v>29</v>
      </c>
      <c r="J190" s="4" t="s">
        <v>86</v>
      </c>
      <c r="K190" s="4" t="s">
        <v>50</v>
      </c>
      <c r="L190" s="4" t="s">
        <v>50</v>
      </c>
      <c r="M190" s="7" t="s">
        <v>51</v>
      </c>
      <c r="N190" s="4" t="s">
        <v>52</v>
      </c>
      <c r="O190" s="4" t="s">
        <v>35</v>
      </c>
      <c r="R190" s="4" t="s">
        <v>38</v>
      </c>
      <c r="S190" t="s">
        <v>38</v>
      </c>
      <c r="T190" s="27">
        <v>44012</v>
      </c>
      <c r="U190" s="11">
        <v>47.198129999999999</v>
      </c>
      <c r="V190" s="11">
        <v>-122.7396</v>
      </c>
      <c r="W190" t="str">
        <f>VLOOKUP(B190,[1]Plantings!$A$2:$E$285,4,FALSE)</f>
        <v>point</v>
      </c>
      <c r="X190" s="11" t="str">
        <f>VLOOKUP(B190,[1]Plantings!$A$2:$E$285,5,FALSE)</f>
        <v>retain</v>
      </c>
      <c r="Y190" s="16" t="s">
        <v>1</v>
      </c>
      <c r="Z190" s="12">
        <v>-1.7</v>
      </c>
      <c r="AA190" s="13" t="s">
        <v>54</v>
      </c>
      <c r="AB190">
        <v>2.5</v>
      </c>
      <c r="AC190">
        <v>2.5</v>
      </c>
      <c r="AD190">
        <f t="shared" ref="AD190:AD200" si="27">AB190*AC190</f>
        <v>6.25</v>
      </c>
      <c r="AE190">
        <f>AG190*0.25</f>
        <v>5</v>
      </c>
      <c r="AF190" s="14">
        <v>0.15</v>
      </c>
      <c r="AG190">
        <v>20</v>
      </c>
      <c r="AH190">
        <v>500</v>
      </c>
      <c r="AI190" s="13">
        <f t="shared" si="21"/>
        <v>80</v>
      </c>
      <c r="AJ190" s="13">
        <f t="shared" si="22"/>
        <v>100</v>
      </c>
      <c r="AK190" t="s">
        <v>3</v>
      </c>
      <c r="AL190" s="3" t="s">
        <v>372</v>
      </c>
    </row>
    <row r="191" spans="1:38" x14ac:dyDescent="0.25">
      <c r="A191" t="s">
        <v>5</v>
      </c>
      <c r="B191" t="s">
        <v>373</v>
      </c>
      <c r="C191" t="str">
        <f>VLOOKUP(B191,[1]Plantings!$A$2:$C$285,2,FALSE)</f>
        <v>MCN_north</v>
      </c>
      <c r="D191" t="str">
        <f>VLOOKUP(B191,[1]Plantings!$A$2:$C$285,3,FALSE)</f>
        <v>single</v>
      </c>
      <c r="E191">
        <v>2015</v>
      </c>
      <c r="G191" t="s">
        <v>0</v>
      </c>
      <c r="H191" t="s">
        <v>18</v>
      </c>
      <c r="I191" t="s">
        <v>29</v>
      </c>
      <c r="J191" t="s">
        <v>4</v>
      </c>
      <c r="K191" t="s">
        <v>43</v>
      </c>
      <c r="L191" t="s">
        <v>44</v>
      </c>
      <c r="O191" t="s">
        <v>35</v>
      </c>
      <c r="P191" t="s">
        <v>45</v>
      </c>
      <c r="Q191" t="s">
        <v>46</v>
      </c>
      <c r="R191" t="s">
        <v>38</v>
      </c>
      <c r="S191" t="s">
        <v>38</v>
      </c>
      <c r="T191" s="10">
        <v>42061</v>
      </c>
      <c r="U191" s="11">
        <v>47.224733333333333</v>
      </c>
      <c r="V191" s="11">
        <v>-122.67310000000001</v>
      </c>
      <c r="W191" t="str">
        <f>VLOOKUP(B191,[1]Plantings!$A$2:$E$285,4,FALSE)</f>
        <v>point</v>
      </c>
      <c r="X191" s="11" t="str">
        <f>VLOOKUP(B191,[1]Plantings!$A$2:$E$285,5,FALSE)</f>
        <v>retain</v>
      </c>
      <c r="Y191" s="16" t="s">
        <v>1</v>
      </c>
      <c r="Z191" s="12">
        <v>-0.76200000000000001</v>
      </c>
      <c r="AA191" s="13" t="s">
        <v>39</v>
      </c>
      <c r="AB191">
        <v>5</v>
      </c>
      <c r="AC191">
        <v>5</v>
      </c>
      <c r="AD191">
        <f t="shared" si="27"/>
        <v>25</v>
      </c>
      <c r="AE191">
        <v>25</v>
      </c>
      <c r="AF191" s="14">
        <f>IF(AA191="staple",AG191*0.005,IF(AA191="rebar",AG191*0.025,IF(AA191="burlap",AG191*0.0625,IF(AA191="washer",AG191*0.0025,IF(AA191="pucks",AG191*0.00785,IF(AA191="turf",AG191*0.01,IF(AA191="","")))))))</f>
        <v>0.625</v>
      </c>
      <c r="AG191" s="15">
        <f>AH191/4</f>
        <v>125</v>
      </c>
      <c r="AH191" s="15">
        <v>500</v>
      </c>
      <c r="AI191" s="13">
        <f t="shared" si="21"/>
        <v>20</v>
      </c>
      <c r="AJ191" s="13">
        <f t="shared" si="22"/>
        <v>20</v>
      </c>
      <c r="AK191" t="s">
        <v>47</v>
      </c>
    </row>
    <row r="192" spans="1:38" x14ac:dyDescent="0.25">
      <c r="A192" t="s">
        <v>5</v>
      </c>
      <c r="B192" t="s">
        <v>374</v>
      </c>
      <c r="C192" t="str">
        <f>VLOOKUP(B192,[1]Plantings!$A$2:$C$285,2,FALSE)</f>
        <v>MCN_south_1</v>
      </c>
      <c r="D192" t="str">
        <f>VLOOKUP(B192,[1]Plantings!$A$2:$C$285,3,FALSE)</f>
        <v>single</v>
      </c>
      <c r="E192">
        <v>2016</v>
      </c>
      <c r="G192" s="4" t="s">
        <v>0</v>
      </c>
      <c r="H192" s="4" t="s">
        <v>18</v>
      </c>
      <c r="I192" t="s">
        <v>29</v>
      </c>
      <c r="J192" s="4" t="s">
        <v>86</v>
      </c>
      <c r="K192" s="4" t="s">
        <v>17</v>
      </c>
      <c r="L192" s="4" t="s">
        <v>17</v>
      </c>
      <c r="M192" s="4" t="s">
        <v>112</v>
      </c>
      <c r="N192" s="4"/>
      <c r="O192" s="4" t="s">
        <v>35</v>
      </c>
      <c r="P192" s="4" t="s">
        <v>113</v>
      </c>
      <c r="R192" s="4" t="s">
        <v>38</v>
      </c>
      <c r="S192" s="4" t="s">
        <v>38</v>
      </c>
      <c r="T192" s="10">
        <v>42634</v>
      </c>
      <c r="U192" s="67">
        <v>47.191533333333332</v>
      </c>
      <c r="V192" s="67">
        <v>-122.67189999999999</v>
      </c>
      <c r="W192" t="str">
        <f>VLOOKUP(B192,[1]Plantings!$A$2:$E$285,4,FALSE)</f>
        <v>point</v>
      </c>
      <c r="X192" s="11" t="str">
        <f>VLOOKUP(B192,[1]Plantings!$A$2:$E$285,5,FALSE)</f>
        <v>retain</v>
      </c>
      <c r="Y192" s="16" t="s">
        <v>1</v>
      </c>
      <c r="Z192" s="12">
        <v>-1.5849599999999999</v>
      </c>
      <c r="AA192" t="s">
        <v>54</v>
      </c>
      <c r="AB192">
        <v>2.5</v>
      </c>
      <c r="AC192">
        <v>2.5</v>
      </c>
      <c r="AD192">
        <f t="shared" si="27"/>
        <v>6.25</v>
      </c>
      <c r="AE192">
        <f>AG192*0.25</f>
        <v>5</v>
      </c>
      <c r="AF192" s="14">
        <v>0.15</v>
      </c>
      <c r="AG192" s="15">
        <v>20</v>
      </c>
      <c r="AH192" s="15">
        <v>500</v>
      </c>
      <c r="AI192" s="13">
        <f t="shared" si="21"/>
        <v>80</v>
      </c>
      <c r="AJ192" s="13">
        <f t="shared" si="22"/>
        <v>100</v>
      </c>
      <c r="AK192" t="s">
        <v>55</v>
      </c>
    </row>
    <row r="193" spans="1:38" x14ac:dyDescent="0.25">
      <c r="A193" t="s">
        <v>5</v>
      </c>
      <c r="B193" t="s">
        <v>375</v>
      </c>
      <c r="C193" t="str">
        <f>VLOOKUP(B193,[1]Plantings!$A$2:$C$285,2,FALSE)</f>
        <v>MCN_south_2</v>
      </c>
      <c r="D193" t="str">
        <f>VLOOKUP(B193,[1]Plantings!$A$2:$C$285,3,FALSE)</f>
        <v>single</v>
      </c>
      <c r="E193">
        <v>2016</v>
      </c>
      <c r="G193" s="4" t="s">
        <v>0</v>
      </c>
      <c r="H193" s="4" t="s">
        <v>18</v>
      </c>
      <c r="I193" t="s">
        <v>29</v>
      </c>
      <c r="J193" s="4" t="s">
        <v>86</v>
      </c>
      <c r="K193" s="4" t="s">
        <v>17</v>
      </c>
      <c r="L193" s="4" t="s">
        <v>17</v>
      </c>
      <c r="M193" s="4" t="s">
        <v>112</v>
      </c>
      <c r="N193" s="4"/>
      <c r="O193" s="4" t="s">
        <v>35</v>
      </c>
      <c r="P193" s="4" t="s">
        <v>113</v>
      </c>
      <c r="R193" s="4" t="s">
        <v>38</v>
      </c>
      <c r="S193" t="s">
        <v>38</v>
      </c>
      <c r="T193" s="10">
        <v>42634</v>
      </c>
      <c r="U193" s="67">
        <v>47.191600000000001</v>
      </c>
      <c r="V193" s="67">
        <v>-122.67108333333333</v>
      </c>
      <c r="W193" t="str">
        <f>VLOOKUP(B193,[1]Plantings!$A$2:$E$285,4,FALSE)</f>
        <v>point</v>
      </c>
      <c r="X193" s="11" t="str">
        <f>VLOOKUP(B193,[1]Plantings!$A$2:$E$285,5,FALSE)</f>
        <v>retain</v>
      </c>
      <c r="Y193" s="16" t="s">
        <v>1</v>
      </c>
      <c r="Z193" s="12">
        <v>-1.7678400000000001</v>
      </c>
      <c r="AA193" t="s">
        <v>54</v>
      </c>
      <c r="AB193">
        <v>2.5</v>
      </c>
      <c r="AC193">
        <v>2.5</v>
      </c>
      <c r="AD193">
        <f t="shared" si="27"/>
        <v>6.25</v>
      </c>
      <c r="AE193">
        <f>AG193*0.25</f>
        <v>5</v>
      </c>
      <c r="AF193" s="14">
        <f t="shared" ref="AF193:AF204" si="28">IF(AA193="staple",AG193*0.005,IF(AA193="rebar",AG193*0.025,IF(AA193="burlap",AG193*0.0625,IF(AA193="washer",AG193*0.0025,IF(AA193="pucks",AG193*0.00785,IF(AA193="turf",AG193*0.01,IF(AA193="","")))))))</f>
        <v>0.5</v>
      </c>
      <c r="AG193" s="15">
        <v>20</v>
      </c>
      <c r="AH193" s="15">
        <v>500</v>
      </c>
      <c r="AI193" s="13">
        <f t="shared" si="21"/>
        <v>80</v>
      </c>
      <c r="AJ193" s="13">
        <f t="shared" si="22"/>
        <v>100</v>
      </c>
      <c r="AK193" t="s">
        <v>55</v>
      </c>
    </row>
    <row r="194" spans="1:38" x14ac:dyDescent="0.25">
      <c r="A194" t="s">
        <v>5</v>
      </c>
      <c r="B194" t="s">
        <v>376</v>
      </c>
      <c r="C194" t="str">
        <f>VLOOKUP(B194,[1]Plantings!$A$2:$C$285,2,FALSE)</f>
        <v>MCN_south_3</v>
      </c>
      <c r="D194" t="str">
        <f>VLOOKUP(B194,[1]Plantings!$A$2:$C$285,3,FALSE)</f>
        <v>single</v>
      </c>
      <c r="E194">
        <v>2016</v>
      </c>
      <c r="G194" s="4" t="s">
        <v>0</v>
      </c>
      <c r="H194" s="4" t="s">
        <v>18</v>
      </c>
      <c r="I194" t="s">
        <v>29</v>
      </c>
      <c r="J194" s="4" t="s">
        <v>86</v>
      </c>
      <c r="K194" s="4" t="s">
        <v>17</v>
      </c>
      <c r="L194" s="4" t="s">
        <v>17</v>
      </c>
      <c r="M194" s="4" t="s">
        <v>112</v>
      </c>
      <c r="N194" s="4"/>
      <c r="O194" s="4" t="s">
        <v>35</v>
      </c>
      <c r="P194" s="4" t="s">
        <v>113</v>
      </c>
      <c r="R194" s="4" t="s">
        <v>38</v>
      </c>
      <c r="S194" t="s">
        <v>38</v>
      </c>
      <c r="T194" s="10">
        <v>42634</v>
      </c>
      <c r="U194" s="67">
        <v>47.192450000000001</v>
      </c>
      <c r="V194" s="67">
        <v>-122.66495</v>
      </c>
      <c r="W194" t="str">
        <f>VLOOKUP(B194,[1]Plantings!$A$2:$E$285,4,FALSE)</f>
        <v>point</v>
      </c>
      <c r="X194" s="11" t="str">
        <f>VLOOKUP(B194,[1]Plantings!$A$2:$E$285,5,FALSE)</f>
        <v>retain</v>
      </c>
      <c r="Y194" s="16" t="s">
        <v>1</v>
      </c>
      <c r="Z194" s="12">
        <v>-1.7068799999999997</v>
      </c>
      <c r="AA194" t="s">
        <v>54</v>
      </c>
      <c r="AB194">
        <v>2.5</v>
      </c>
      <c r="AC194">
        <v>2.5</v>
      </c>
      <c r="AD194">
        <f t="shared" si="27"/>
        <v>6.25</v>
      </c>
      <c r="AE194">
        <f>AG194*0.25</f>
        <v>5</v>
      </c>
      <c r="AF194" s="14">
        <f t="shared" si="28"/>
        <v>0.5</v>
      </c>
      <c r="AG194" s="15">
        <v>20</v>
      </c>
      <c r="AH194" s="15">
        <v>500</v>
      </c>
      <c r="AI194" s="13">
        <f t="shared" si="21"/>
        <v>80</v>
      </c>
      <c r="AJ194" s="13">
        <f t="shared" si="22"/>
        <v>100</v>
      </c>
      <c r="AK194" t="s">
        <v>55</v>
      </c>
    </row>
    <row r="195" spans="1:38" x14ac:dyDescent="0.25">
      <c r="A195" s="4" t="s">
        <v>5</v>
      </c>
      <c r="B195" s="4" t="s">
        <v>377</v>
      </c>
      <c r="C195" t="str">
        <f>VLOOKUP(B195,[1]Plantings!$A$2:$C$285,2,FALSE)</f>
        <v>MCN_still_1</v>
      </c>
      <c r="D195" t="str">
        <f>VLOOKUP(B195,[1]Plantings!$A$2:$C$285,3,FALSE)</f>
        <v>single</v>
      </c>
      <c r="E195" s="4">
        <v>2016</v>
      </c>
      <c r="F195" s="4"/>
      <c r="G195" s="4" t="s">
        <v>0</v>
      </c>
      <c r="H195" s="4" t="s">
        <v>18</v>
      </c>
      <c r="I195" t="s">
        <v>29</v>
      </c>
      <c r="J195" s="4" t="s">
        <v>86</v>
      </c>
      <c r="K195" s="4" t="s">
        <v>17</v>
      </c>
      <c r="L195" s="4" t="s">
        <v>17</v>
      </c>
      <c r="M195" s="4" t="s">
        <v>112</v>
      </c>
      <c r="N195" s="4"/>
      <c r="O195" s="4" t="s">
        <v>35</v>
      </c>
      <c r="P195" s="4" t="s">
        <v>113</v>
      </c>
      <c r="R195" s="4" t="s">
        <v>38</v>
      </c>
      <c r="S195" t="s">
        <v>38</v>
      </c>
      <c r="T195" s="10">
        <v>42634</v>
      </c>
      <c r="U195" s="11">
        <v>47.218483333333332</v>
      </c>
      <c r="V195" s="11">
        <v>-122.66786666666667</v>
      </c>
      <c r="W195" t="str">
        <f>VLOOKUP(B195,[1]Plantings!$A$2:$E$285,4,FALSE)</f>
        <v>point</v>
      </c>
      <c r="X195" s="11" t="str">
        <f>VLOOKUP(B195,[1]Plantings!$A$2:$E$285,5,FALSE)</f>
        <v>retain</v>
      </c>
      <c r="Y195" s="16" t="s">
        <v>1</v>
      </c>
      <c r="Z195" s="12">
        <v>-1.8288</v>
      </c>
      <c r="AA195" t="s">
        <v>54</v>
      </c>
      <c r="AB195">
        <v>2.5</v>
      </c>
      <c r="AC195">
        <v>2.5</v>
      </c>
      <c r="AD195">
        <f t="shared" si="27"/>
        <v>6.25</v>
      </c>
      <c r="AE195">
        <f>AG195*0.25</f>
        <v>5</v>
      </c>
      <c r="AF195" s="14">
        <f t="shared" si="28"/>
        <v>0.5</v>
      </c>
      <c r="AG195" s="15">
        <v>20</v>
      </c>
      <c r="AH195" s="15">
        <v>500</v>
      </c>
      <c r="AI195" s="13">
        <f t="shared" si="21"/>
        <v>80</v>
      </c>
      <c r="AJ195" s="13">
        <f t="shared" si="22"/>
        <v>100</v>
      </c>
      <c r="AK195" t="s">
        <v>55</v>
      </c>
    </row>
    <row r="196" spans="1:38" x14ac:dyDescent="0.25">
      <c r="A196" s="4" t="s">
        <v>5</v>
      </c>
      <c r="B196" s="4" t="s">
        <v>378</v>
      </c>
      <c r="C196" t="str">
        <f>VLOOKUP(B196,[1]Plantings!$A$2:$C$285,2,FALSE)</f>
        <v>MCN_still_2</v>
      </c>
      <c r="D196" t="str">
        <f>VLOOKUP(B196,[1]Plantings!$A$2:$C$285,3,FALSE)</f>
        <v>colocated</v>
      </c>
      <c r="E196" s="4">
        <v>2016</v>
      </c>
      <c r="F196" s="4"/>
      <c r="G196" s="4" t="s">
        <v>0</v>
      </c>
      <c r="H196" s="4" t="s">
        <v>18</v>
      </c>
      <c r="I196" t="s">
        <v>29</v>
      </c>
      <c r="J196" s="4" t="s">
        <v>86</v>
      </c>
      <c r="K196" s="4" t="s">
        <v>17</v>
      </c>
      <c r="L196" s="4" t="s">
        <v>17</v>
      </c>
      <c r="M196" s="4" t="s">
        <v>112</v>
      </c>
      <c r="N196" s="4"/>
      <c r="O196" s="4" t="s">
        <v>35</v>
      </c>
      <c r="P196" s="4" t="s">
        <v>113</v>
      </c>
      <c r="Q196" s="4"/>
      <c r="R196" s="4" t="s">
        <v>38</v>
      </c>
      <c r="S196" s="4" t="s">
        <v>38</v>
      </c>
      <c r="T196" s="1">
        <v>42634</v>
      </c>
      <c r="U196" s="17">
        <v>47.220333333333336</v>
      </c>
      <c r="V196" s="17">
        <v>-122.66726666666666</v>
      </c>
      <c r="W196" t="str">
        <f>VLOOKUP(B196,[1]Plantings!$A$2:$E$285,4,FALSE)</f>
        <v>point</v>
      </c>
      <c r="X196" s="11" t="str">
        <f>VLOOKUP(B196,[1]Plantings!$A$2:$E$285,5,FALSE)</f>
        <v>retain</v>
      </c>
      <c r="Y196" s="4" t="s">
        <v>1</v>
      </c>
      <c r="Z196" s="23">
        <v>-1.7678400000000001</v>
      </c>
      <c r="AA196" s="4" t="s">
        <v>54</v>
      </c>
      <c r="AB196" s="4">
        <v>2.5</v>
      </c>
      <c r="AC196" s="4">
        <v>2</v>
      </c>
      <c r="AD196">
        <f t="shared" si="27"/>
        <v>5</v>
      </c>
      <c r="AE196">
        <f>AG196*0.25</f>
        <v>5</v>
      </c>
      <c r="AF196" s="14">
        <f t="shared" si="28"/>
        <v>0.5</v>
      </c>
      <c r="AG196" s="24">
        <v>20</v>
      </c>
      <c r="AH196" s="24">
        <v>500</v>
      </c>
      <c r="AI196" s="13">
        <f t="shared" si="21"/>
        <v>100</v>
      </c>
      <c r="AJ196" s="13">
        <f t="shared" si="22"/>
        <v>100</v>
      </c>
      <c r="AK196" s="30" t="s">
        <v>55</v>
      </c>
      <c r="AL196" s="36" t="s">
        <v>379</v>
      </c>
    </row>
    <row r="197" spans="1:38" x14ac:dyDescent="0.25">
      <c r="A197" s="4" t="s">
        <v>5</v>
      </c>
      <c r="B197" s="4" t="s">
        <v>380</v>
      </c>
      <c r="C197" t="str">
        <f>VLOOKUP(B197,[1]Plantings!$A$2:$C$285,2,FALSE)</f>
        <v>MCN_still_2</v>
      </c>
      <c r="D197" t="str">
        <f>VLOOKUP(B197,[1]Plantings!$A$2:$C$285,3,FALSE)</f>
        <v>colocated</v>
      </c>
      <c r="E197" s="4">
        <v>2016</v>
      </c>
      <c r="F197" s="4"/>
      <c r="G197" s="4" t="s">
        <v>0</v>
      </c>
      <c r="H197" s="4" t="s">
        <v>18</v>
      </c>
      <c r="I197" t="s">
        <v>29</v>
      </c>
      <c r="J197" s="4" t="s">
        <v>86</v>
      </c>
      <c r="K197" s="4" t="s">
        <v>17</v>
      </c>
      <c r="L197" s="4" t="s">
        <v>17</v>
      </c>
      <c r="M197" s="4" t="s">
        <v>112</v>
      </c>
      <c r="N197" s="4"/>
      <c r="O197" s="4" t="s">
        <v>35</v>
      </c>
      <c r="P197" s="4" t="s">
        <v>113</v>
      </c>
      <c r="Q197" s="4"/>
      <c r="R197" s="4" t="s">
        <v>38</v>
      </c>
      <c r="S197" s="4" t="s">
        <v>38</v>
      </c>
      <c r="T197" s="1">
        <v>42634</v>
      </c>
      <c r="U197" s="17">
        <v>47.220333333333336</v>
      </c>
      <c r="V197" s="17">
        <v>-122.66726666666666</v>
      </c>
      <c r="W197" t="str">
        <f>VLOOKUP(B197,[1]Plantings!$A$2:$E$285,4,FALSE)</f>
        <v>point</v>
      </c>
      <c r="X197" s="11" t="str">
        <f>VLOOKUP(B197,[1]Plantings!$A$2:$E$285,5,FALSE)</f>
        <v>retain</v>
      </c>
      <c r="Y197" s="4" t="s">
        <v>1</v>
      </c>
      <c r="Z197" s="23">
        <v>-1.7678400000000001</v>
      </c>
      <c r="AA197" s="4" t="s">
        <v>39</v>
      </c>
      <c r="AB197" s="4">
        <v>2.5</v>
      </c>
      <c r="AC197" s="4">
        <v>2</v>
      </c>
      <c r="AD197">
        <f t="shared" si="27"/>
        <v>5</v>
      </c>
      <c r="AE197" s="30">
        <v>5</v>
      </c>
      <c r="AF197" s="14">
        <f t="shared" si="28"/>
        <v>0.625</v>
      </c>
      <c r="AG197" s="24">
        <v>125</v>
      </c>
      <c r="AH197" s="24">
        <v>500</v>
      </c>
      <c r="AI197" s="13">
        <f t="shared" si="21"/>
        <v>100</v>
      </c>
      <c r="AJ197" s="13">
        <f t="shared" si="22"/>
        <v>100</v>
      </c>
      <c r="AK197" s="30" t="s">
        <v>55</v>
      </c>
      <c r="AL197" s="36" t="s">
        <v>379</v>
      </c>
    </row>
    <row r="198" spans="1:38" x14ac:dyDescent="0.25">
      <c r="A198" s="4" t="s">
        <v>5</v>
      </c>
      <c r="B198" s="4" t="s">
        <v>381</v>
      </c>
      <c r="C198" t="str">
        <f>VLOOKUP(B198,[1]Plantings!$A$2:$C$285,2,FALSE)</f>
        <v>MCN_north_2</v>
      </c>
      <c r="D198" t="str">
        <f>VLOOKUP(B198,[1]Plantings!$A$2:$C$285,3,FALSE)</f>
        <v>single</v>
      </c>
      <c r="E198" s="4">
        <v>2017</v>
      </c>
      <c r="F198" s="4"/>
      <c r="G198" s="4" t="s">
        <v>0</v>
      </c>
      <c r="H198" s="4" t="s">
        <v>18</v>
      </c>
      <c r="I198" t="s">
        <v>29</v>
      </c>
      <c r="J198" s="4" t="s">
        <v>86</v>
      </c>
      <c r="K198" s="4" t="s">
        <v>17</v>
      </c>
      <c r="L198" s="4" t="s">
        <v>17</v>
      </c>
      <c r="M198" s="4" t="s">
        <v>112</v>
      </c>
      <c r="N198" s="4"/>
      <c r="O198" s="4" t="s">
        <v>35</v>
      </c>
      <c r="P198" s="4" t="s">
        <v>113</v>
      </c>
      <c r="Q198" s="4"/>
      <c r="R198" s="4" t="s">
        <v>38</v>
      </c>
      <c r="S198" s="4" t="s">
        <v>38</v>
      </c>
      <c r="T198" s="1">
        <v>42893</v>
      </c>
      <c r="U198" s="17">
        <v>47.232016666666667</v>
      </c>
      <c r="V198" s="17">
        <v>-122.69750000000001</v>
      </c>
      <c r="W198" t="str">
        <f>VLOOKUP(B198,[1]Plantings!$A$2:$E$285,4,FALSE)</f>
        <v>point</v>
      </c>
      <c r="X198" s="11" t="str">
        <f>VLOOKUP(B198,[1]Plantings!$A$2:$E$285,5,FALSE)</f>
        <v>retain</v>
      </c>
      <c r="Y198" s="22" t="s">
        <v>1</v>
      </c>
      <c r="Z198" s="23">
        <v>-1.2</v>
      </c>
      <c r="AA198" s="4" t="s">
        <v>54</v>
      </c>
      <c r="AB198" s="4">
        <v>2.5</v>
      </c>
      <c r="AC198" s="4">
        <v>2</v>
      </c>
      <c r="AD198">
        <f t="shared" si="27"/>
        <v>5</v>
      </c>
      <c r="AE198">
        <f>AG198*0.25</f>
        <v>5</v>
      </c>
      <c r="AF198" s="14">
        <f t="shared" si="28"/>
        <v>0.5</v>
      </c>
      <c r="AG198" s="24">
        <v>20</v>
      </c>
      <c r="AH198" s="24">
        <v>500</v>
      </c>
      <c r="AI198" s="13">
        <f t="shared" si="21"/>
        <v>100</v>
      </c>
      <c r="AJ198" s="13">
        <f t="shared" si="22"/>
        <v>100</v>
      </c>
      <c r="AK198" s="4" t="s">
        <v>40</v>
      </c>
      <c r="AL198" s="6"/>
    </row>
    <row r="199" spans="1:38" x14ac:dyDescent="0.25">
      <c r="A199" s="4" t="s">
        <v>5</v>
      </c>
      <c r="B199" s="4" t="s">
        <v>382</v>
      </c>
      <c r="C199" t="str">
        <f>VLOOKUP(B199,[1]Plantings!$A$2:$C$285,2,FALSE)</f>
        <v>MCN_North_3</v>
      </c>
      <c r="D199" t="str">
        <f>VLOOKUP(B199,[1]Plantings!$A$2:$C$285,3,FALSE)</f>
        <v>single</v>
      </c>
      <c r="E199" s="4">
        <v>2017</v>
      </c>
      <c r="F199" s="4"/>
      <c r="G199" s="4" t="s">
        <v>0</v>
      </c>
      <c r="H199" s="4" t="s">
        <v>18</v>
      </c>
      <c r="I199" t="s">
        <v>29</v>
      </c>
      <c r="J199" s="4" t="s">
        <v>86</v>
      </c>
      <c r="K199" s="4" t="s">
        <v>17</v>
      </c>
      <c r="L199" s="4" t="s">
        <v>17</v>
      </c>
      <c r="M199" s="4" t="s">
        <v>112</v>
      </c>
      <c r="N199" s="4"/>
      <c r="O199" s="4" t="s">
        <v>35</v>
      </c>
      <c r="P199" s="4" t="s">
        <v>113</v>
      </c>
      <c r="Q199" s="4"/>
      <c r="R199" s="4" t="s">
        <v>38</v>
      </c>
      <c r="S199" s="4" t="s">
        <v>38</v>
      </c>
      <c r="T199" s="1">
        <v>42893</v>
      </c>
      <c r="U199" s="17">
        <v>47.232149999999997</v>
      </c>
      <c r="V199" s="17">
        <v>-122.69753333333334</v>
      </c>
      <c r="W199" t="str">
        <f>VLOOKUP(B199,[1]Plantings!$A$2:$E$285,4,FALSE)</f>
        <v>point</v>
      </c>
      <c r="X199" s="11" t="str">
        <f>VLOOKUP(B199,[1]Plantings!$A$2:$E$285,5,FALSE)</f>
        <v>retain</v>
      </c>
      <c r="Y199" s="22" t="s">
        <v>1</v>
      </c>
      <c r="Z199" s="23">
        <v>-1.7</v>
      </c>
      <c r="AA199" s="4" t="s">
        <v>54</v>
      </c>
      <c r="AB199" s="4">
        <v>2.5</v>
      </c>
      <c r="AC199" s="4">
        <v>2</v>
      </c>
      <c r="AD199">
        <f t="shared" si="27"/>
        <v>5</v>
      </c>
      <c r="AE199">
        <f>AG199*0.25</f>
        <v>5</v>
      </c>
      <c r="AF199" s="14">
        <f t="shared" si="28"/>
        <v>0.5</v>
      </c>
      <c r="AG199" s="24">
        <v>20</v>
      </c>
      <c r="AH199" s="24">
        <v>500</v>
      </c>
      <c r="AI199" s="13">
        <f t="shared" si="21"/>
        <v>100</v>
      </c>
      <c r="AJ199" s="13">
        <f t="shared" si="22"/>
        <v>100</v>
      </c>
      <c r="AK199" s="4" t="s">
        <v>40</v>
      </c>
      <c r="AL199" s="6"/>
    </row>
    <row r="200" spans="1:38" x14ac:dyDescent="0.25">
      <c r="A200" s="30" t="s">
        <v>5</v>
      </c>
      <c r="B200" s="7" t="s">
        <v>383</v>
      </c>
      <c r="C200" t="str">
        <f>VLOOKUP(B200,[1]Plantings!$A$2:$C$285,2,FALSE)</f>
        <v>MCN_south_L2</v>
      </c>
      <c r="D200" t="str">
        <f>VLOOKUP(B200,[1]Plantings!$A$2:$C$285,3,FALSE)</f>
        <v>single</v>
      </c>
      <c r="E200" s="30">
        <v>2017</v>
      </c>
      <c r="F200" s="30"/>
      <c r="G200" s="30" t="s">
        <v>59</v>
      </c>
      <c r="H200" s="30" t="s">
        <v>18</v>
      </c>
      <c r="I200" s="30" t="s">
        <v>29</v>
      </c>
      <c r="J200" s="7" t="s">
        <v>86</v>
      </c>
      <c r="K200" s="7" t="s">
        <v>17</v>
      </c>
      <c r="L200" s="7" t="s">
        <v>17</v>
      </c>
      <c r="M200" s="7" t="s">
        <v>112</v>
      </c>
      <c r="N200" s="30"/>
      <c r="O200" s="30" t="s">
        <v>35</v>
      </c>
      <c r="P200" s="4" t="s">
        <v>113</v>
      </c>
      <c r="Q200" s="30"/>
      <c r="R200" s="30" t="s">
        <v>76</v>
      </c>
      <c r="S200" s="30" t="s">
        <v>76</v>
      </c>
      <c r="T200" s="27">
        <v>42922</v>
      </c>
      <c r="U200" s="32">
        <v>47.191600000000001</v>
      </c>
      <c r="V200" s="32">
        <v>-122.6711</v>
      </c>
      <c r="W200" t="str">
        <f>VLOOKUP(B200,[1]Plantings!$A$2:$E$285,4,FALSE)</f>
        <v>line</v>
      </c>
      <c r="X200" s="11" t="str">
        <f>VLOOKUP(B200,[1]Plantings!$A$2:$E$285,5,FALSE)</f>
        <v>retain</v>
      </c>
      <c r="Y200" s="30" t="s">
        <v>1</v>
      </c>
      <c r="Z200" s="30">
        <v>-2.4</v>
      </c>
      <c r="AA200" s="30" t="s">
        <v>54</v>
      </c>
      <c r="AB200" s="30">
        <v>24</v>
      </c>
      <c r="AC200" s="7">
        <v>5</v>
      </c>
      <c r="AD200">
        <f t="shared" si="27"/>
        <v>120</v>
      </c>
      <c r="AE200">
        <f>AG200*0.25</f>
        <v>58.25</v>
      </c>
      <c r="AF200" s="14">
        <f t="shared" si="28"/>
        <v>5.8250000000000002</v>
      </c>
      <c r="AG200" s="34">
        <v>233</v>
      </c>
      <c r="AH200" s="34">
        <f>AG200*25</f>
        <v>5825</v>
      </c>
      <c r="AI200" s="13">
        <f t="shared" si="21"/>
        <v>48.541666666666664</v>
      </c>
      <c r="AJ200" s="13">
        <f t="shared" si="22"/>
        <v>100</v>
      </c>
      <c r="AK200" s="30" t="s">
        <v>40</v>
      </c>
      <c r="AL200" s="36"/>
    </row>
    <row r="201" spans="1:38" x14ac:dyDescent="0.25">
      <c r="A201" s="30" t="s">
        <v>5</v>
      </c>
      <c r="B201" s="7" t="s">
        <v>383</v>
      </c>
      <c r="C201" t="str">
        <f>VLOOKUP(B201,[1]Plantings!$A$2:$C$285,2,FALSE)</f>
        <v>MCN_south_L2</v>
      </c>
      <c r="D201" t="str">
        <f>VLOOKUP(B201,[1]Plantings!$A$2:$C$285,3,FALSE)</f>
        <v>single</v>
      </c>
      <c r="E201" s="30">
        <v>2017</v>
      </c>
      <c r="F201" s="30"/>
      <c r="G201" s="30" t="s">
        <v>59</v>
      </c>
      <c r="H201" s="30" t="s">
        <v>18</v>
      </c>
      <c r="I201" s="30" t="s">
        <v>29</v>
      </c>
      <c r="J201" s="7" t="s">
        <v>86</v>
      </c>
      <c r="K201" s="7" t="s">
        <v>17</v>
      </c>
      <c r="L201" s="7" t="s">
        <v>17</v>
      </c>
      <c r="M201" s="7" t="s">
        <v>112</v>
      </c>
      <c r="N201" s="30"/>
      <c r="O201" s="30" t="s">
        <v>35</v>
      </c>
      <c r="P201" s="4" t="s">
        <v>113</v>
      </c>
      <c r="Q201" s="30"/>
      <c r="R201" s="30" t="s">
        <v>76</v>
      </c>
      <c r="S201" s="37" t="s">
        <v>70</v>
      </c>
      <c r="T201" s="27">
        <v>42922</v>
      </c>
      <c r="U201" s="32">
        <v>47.191659999999999</v>
      </c>
      <c r="V201" s="32">
        <v>-122.67077999999999</v>
      </c>
      <c r="W201" t="str">
        <f>VLOOKUP(B201,[1]Plantings!$A$2:$E$285,4,FALSE)</f>
        <v>line</v>
      </c>
      <c r="X201" s="11" t="str">
        <f>VLOOKUP(B201,[1]Plantings!$A$2:$E$285,5,FALSE)</f>
        <v>retain</v>
      </c>
      <c r="Y201" s="30" t="s">
        <v>1</v>
      </c>
      <c r="Z201" s="30"/>
      <c r="AA201" s="30"/>
      <c r="AB201" s="30"/>
      <c r="AC201" s="7"/>
      <c r="AE201" s="30"/>
      <c r="AF201" s="14" t="str">
        <f t="shared" si="28"/>
        <v/>
      </c>
      <c r="AG201" s="34"/>
      <c r="AH201" s="34"/>
      <c r="AI201" s="13" t="str">
        <f t="shared" si="21"/>
        <v/>
      </c>
      <c r="AJ201" s="13" t="str">
        <f t="shared" si="22"/>
        <v/>
      </c>
      <c r="AK201" s="30"/>
      <c r="AL201" s="36"/>
    </row>
    <row r="202" spans="1:38" x14ac:dyDescent="0.25">
      <c r="A202" s="30" t="s">
        <v>5</v>
      </c>
      <c r="B202" s="7" t="s">
        <v>384</v>
      </c>
      <c r="C202" t="str">
        <f>VLOOKUP(B202,[1]Plantings!$A$2:$C$285,2,FALSE)</f>
        <v>MCN_south_L1</v>
      </c>
      <c r="D202" t="str">
        <f>VLOOKUP(B202,[1]Plantings!$A$2:$C$285,3,FALSE)</f>
        <v>single</v>
      </c>
      <c r="E202" s="30">
        <v>2017</v>
      </c>
      <c r="F202" s="4"/>
      <c r="G202" s="30" t="s">
        <v>59</v>
      </c>
      <c r="H202" s="30" t="s">
        <v>18</v>
      </c>
      <c r="I202" s="30" t="s">
        <v>29</v>
      </c>
      <c r="J202" s="7" t="s">
        <v>86</v>
      </c>
      <c r="K202" s="7" t="s">
        <v>17</v>
      </c>
      <c r="L202" s="7" t="s">
        <v>17</v>
      </c>
      <c r="M202" s="7" t="s">
        <v>112</v>
      </c>
      <c r="N202" s="4"/>
      <c r="O202" s="30" t="s">
        <v>35</v>
      </c>
      <c r="P202" s="4" t="s">
        <v>113</v>
      </c>
      <c r="Q202" s="4"/>
      <c r="R202" s="30" t="s">
        <v>76</v>
      </c>
      <c r="S202" s="4" t="s">
        <v>76</v>
      </c>
      <c r="T202" s="1">
        <v>42923</v>
      </c>
      <c r="U202" s="32">
        <v>47.192450000000001</v>
      </c>
      <c r="V202" s="32">
        <v>-122.66495</v>
      </c>
      <c r="W202" t="str">
        <f>VLOOKUP(B202,[1]Plantings!$A$2:$E$285,4,FALSE)</f>
        <v>line</v>
      </c>
      <c r="X202" s="11" t="str">
        <f>VLOOKUP(B202,[1]Plantings!$A$2:$E$285,5,FALSE)</f>
        <v>retain</v>
      </c>
      <c r="Y202" s="23" t="s">
        <v>1</v>
      </c>
      <c r="Z202" s="23">
        <v>-0.6</v>
      </c>
      <c r="AA202" s="30" t="s">
        <v>54</v>
      </c>
      <c r="AB202" s="4">
        <v>8</v>
      </c>
      <c r="AC202" s="4">
        <v>5</v>
      </c>
      <c r="AD202">
        <f>AB202*AC202</f>
        <v>40</v>
      </c>
      <c r="AE202">
        <f>AG202*0.25</f>
        <v>20</v>
      </c>
      <c r="AF202" s="14">
        <f t="shared" si="28"/>
        <v>2</v>
      </c>
      <c r="AG202" s="24">
        <v>80</v>
      </c>
      <c r="AH202" s="24">
        <v>2000</v>
      </c>
      <c r="AI202" s="13">
        <f t="shared" si="21"/>
        <v>50</v>
      </c>
      <c r="AJ202" s="13">
        <f t="shared" si="22"/>
        <v>100</v>
      </c>
      <c r="AK202" s="4" t="s">
        <v>40</v>
      </c>
      <c r="AL202" s="6" t="s">
        <v>385</v>
      </c>
    </row>
    <row r="203" spans="1:38" x14ac:dyDescent="0.25">
      <c r="A203" s="30" t="s">
        <v>5</v>
      </c>
      <c r="B203" s="7" t="s">
        <v>384</v>
      </c>
      <c r="C203" t="str">
        <f>VLOOKUP(B203,[1]Plantings!$A$2:$C$285,2,FALSE)</f>
        <v>MCN_south_L1</v>
      </c>
      <c r="D203" t="str">
        <f>VLOOKUP(B203,[1]Plantings!$A$2:$C$285,3,FALSE)</f>
        <v>single</v>
      </c>
      <c r="E203" s="30">
        <v>2017</v>
      </c>
      <c r="F203" s="4"/>
      <c r="G203" s="30" t="s">
        <v>59</v>
      </c>
      <c r="H203" s="30" t="s">
        <v>18</v>
      </c>
      <c r="I203" s="30" t="s">
        <v>29</v>
      </c>
      <c r="J203" s="7" t="s">
        <v>86</v>
      </c>
      <c r="K203" s="7" t="s">
        <v>17</v>
      </c>
      <c r="L203" s="7" t="s">
        <v>17</v>
      </c>
      <c r="M203" s="7" t="s">
        <v>112</v>
      </c>
      <c r="N203" s="4"/>
      <c r="O203" s="30" t="s">
        <v>35</v>
      </c>
      <c r="P203" s="4" t="s">
        <v>113</v>
      </c>
      <c r="Q203" s="4"/>
      <c r="R203" s="30" t="s">
        <v>76</v>
      </c>
      <c r="S203" s="37" t="s">
        <v>70</v>
      </c>
      <c r="T203" s="1">
        <v>42923</v>
      </c>
      <c r="U203" s="32">
        <v>47.192480000000003</v>
      </c>
      <c r="V203" s="32">
        <v>-122.66473999999999</v>
      </c>
      <c r="W203" t="str">
        <f>VLOOKUP(B203,[1]Plantings!$A$2:$E$285,4,FALSE)</f>
        <v>line</v>
      </c>
      <c r="X203" s="11" t="str">
        <f>VLOOKUP(B203,[1]Plantings!$A$2:$E$285,5,FALSE)</f>
        <v>retain</v>
      </c>
      <c r="Y203" s="23" t="s">
        <v>1</v>
      </c>
      <c r="Z203" s="17"/>
      <c r="AA203" s="4"/>
      <c r="AB203" s="4"/>
      <c r="AC203" s="4"/>
      <c r="AE203" s="30"/>
      <c r="AF203" s="14" t="str">
        <f t="shared" si="28"/>
        <v/>
      </c>
      <c r="AG203" s="24"/>
      <c r="AH203" s="24"/>
      <c r="AI203" s="13" t="str">
        <f t="shared" si="21"/>
        <v/>
      </c>
      <c r="AJ203" s="13" t="str">
        <f t="shared" si="22"/>
        <v/>
      </c>
      <c r="AK203" s="4"/>
      <c r="AL203" s="6"/>
    </row>
    <row r="204" spans="1:38" x14ac:dyDescent="0.25">
      <c r="A204" s="30" t="s">
        <v>5</v>
      </c>
      <c r="B204" s="7" t="s">
        <v>386</v>
      </c>
      <c r="C204" t="str">
        <f>VLOOKUP(B204,[1]Plantings!$A$2:$C$285,2,FALSE)</f>
        <v>MCN_south_L3</v>
      </c>
      <c r="D204" t="str">
        <f>VLOOKUP(B204,[1]Plantings!$A$2:$C$285,3,FALSE)</f>
        <v>single</v>
      </c>
      <c r="E204" s="30">
        <v>2017</v>
      </c>
      <c r="F204" s="30"/>
      <c r="G204" s="30" t="s">
        <v>59</v>
      </c>
      <c r="H204" s="30" t="s">
        <v>18</v>
      </c>
      <c r="I204" s="30" t="s">
        <v>29</v>
      </c>
      <c r="J204" s="7" t="s">
        <v>86</v>
      </c>
      <c r="K204" s="7" t="s">
        <v>17</v>
      </c>
      <c r="L204" s="7" t="s">
        <v>17</v>
      </c>
      <c r="M204" s="7" t="s">
        <v>112</v>
      </c>
      <c r="N204" s="30"/>
      <c r="O204" s="30" t="s">
        <v>35</v>
      </c>
      <c r="P204" s="4" t="s">
        <v>113</v>
      </c>
      <c r="Q204" s="30"/>
      <c r="R204" s="30" t="s">
        <v>76</v>
      </c>
      <c r="S204" s="30" t="s">
        <v>76</v>
      </c>
      <c r="T204" s="27">
        <v>42924</v>
      </c>
      <c r="U204" s="32">
        <v>47.19153</v>
      </c>
      <c r="V204" s="32">
        <v>-122.67189999999999</v>
      </c>
      <c r="W204" t="str">
        <f>VLOOKUP(B204,[1]Plantings!$A$2:$E$285,4,FALSE)</f>
        <v>line</v>
      </c>
      <c r="X204" s="11" t="str">
        <f>VLOOKUP(B204,[1]Plantings!$A$2:$E$285,5,FALSE)</f>
        <v>retain</v>
      </c>
      <c r="Y204" s="30" t="s">
        <v>1</v>
      </c>
      <c r="Z204" s="30">
        <v>-1.6</v>
      </c>
      <c r="AA204" s="30" t="s">
        <v>54</v>
      </c>
      <c r="AB204" s="30">
        <v>16</v>
      </c>
      <c r="AC204" s="7">
        <v>5</v>
      </c>
      <c r="AD204">
        <f>AB204*AC204</f>
        <v>80</v>
      </c>
      <c r="AE204">
        <f>AG204*0.25</f>
        <v>40</v>
      </c>
      <c r="AF204" s="14">
        <f t="shared" si="28"/>
        <v>4</v>
      </c>
      <c r="AG204" s="34">
        <v>160</v>
      </c>
      <c r="AH204" s="34">
        <f>AG204*25</f>
        <v>4000</v>
      </c>
      <c r="AI204" s="13">
        <f t="shared" si="21"/>
        <v>50</v>
      </c>
      <c r="AJ204" s="13">
        <f t="shared" si="22"/>
        <v>100</v>
      </c>
      <c r="AK204" s="30" t="s">
        <v>40</v>
      </c>
      <c r="AL204" s="36" t="s">
        <v>387</v>
      </c>
    </row>
    <row r="205" spans="1:38" x14ac:dyDescent="0.25">
      <c r="A205" s="30" t="s">
        <v>5</v>
      </c>
      <c r="B205" s="7" t="s">
        <v>386</v>
      </c>
      <c r="C205" t="str">
        <f>VLOOKUP(B205,[1]Plantings!$A$2:$C$285,2,FALSE)</f>
        <v>MCN_south_L3</v>
      </c>
      <c r="D205" t="str">
        <f>VLOOKUP(B205,[1]Plantings!$A$2:$C$285,3,FALSE)</f>
        <v>single</v>
      </c>
      <c r="E205" s="30">
        <v>2017</v>
      </c>
      <c r="F205" s="30"/>
      <c r="G205" s="30" t="s">
        <v>59</v>
      </c>
      <c r="H205" s="30" t="s">
        <v>18</v>
      </c>
      <c r="I205" s="30" t="s">
        <v>29</v>
      </c>
      <c r="J205" s="7" t="s">
        <v>86</v>
      </c>
      <c r="K205" s="7" t="s">
        <v>17</v>
      </c>
      <c r="L205" s="7" t="s">
        <v>17</v>
      </c>
      <c r="M205" s="7" t="s">
        <v>112</v>
      </c>
      <c r="N205" s="30"/>
      <c r="O205" s="30" t="s">
        <v>35</v>
      </c>
      <c r="P205" s="4" t="s">
        <v>113</v>
      </c>
      <c r="Q205" s="30"/>
      <c r="R205" s="30" t="s">
        <v>76</v>
      </c>
      <c r="S205" s="37" t="s">
        <v>70</v>
      </c>
      <c r="T205" s="27">
        <v>42924</v>
      </c>
      <c r="U205" s="32">
        <v>47.191470000000002</v>
      </c>
      <c r="V205" s="32">
        <v>-122.67221000000001</v>
      </c>
      <c r="W205" t="str">
        <f>VLOOKUP(B205,[1]Plantings!$A$2:$E$285,4,FALSE)</f>
        <v>line</v>
      </c>
      <c r="X205" s="11" t="str">
        <f>VLOOKUP(B205,[1]Plantings!$A$2:$E$285,5,FALSE)</f>
        <v>retain</v>
      </c>
      <c r="Y205" s="30" t="s">
        <v>1</v>
      </c>
      <c r="Z205" s="30"/>
      <c r="AA205" s="30"/>
      <c r="AB205" s="30"/>
      <c r="AC205" s="7"/>
      <c r="AE205" s="30"/>
      <c r="AF205" s="14"/>
      <c r="AG205" s="34"/>
      <c r="AH205" s="34"/>
      <c r="AI205" s="13" t="str">
        <f t="shared" si="21"/>
        <v/>
      </c>
      <c r="AJ205" s="13" t="str">
        <f t="shared" si="22"/>
        <v/>
      </c>
      <c r="AK205" s="30"/>
      <c r="AL205" s="36"/>
    </row>
    <row r="206" spans="1:38" x14ac:dyDescent="0.25">
      <c r="A206" s="7" t="s">
        <v>388</v>
      </c>
      <c r="B206" s="7" t="s">
        <v>389</v>
      </c>
      <c r="C206" t="str">
        <f>VLOOKUP(B206,[1]Plantings!$A$2:$C$285,2,FALSE)</f>
        <v>MIL_1</v>
      </c>
      <c r="D206" t="str">
        <f>VLOOKUP(B206,[1]Plantings!$A$2:$C$285,3,FALSE)</f>
        <v>single</v>
      </c>
      <c r="E206" s="7">
        <v>2017</v>
      </c>
      <c r="F206" s="7"/>
      <c r="G206" s="4" t="s">
        <v>0</v>
      </c>
      <c r="H206" s="7" t="s">
        <v>390</v>
      </c>
      <c r="I206" s="7" t="s">
        <v>29</v>
      </c>
      <c r="J206" s="7" t="s">
        <v>86</v>
      </c>
      <c r="K206" s="7" t="s">
        <v>17</v>
      </c>
      <c r="L206" s="7" t="s">
        <v>17</v>
      </c>
      <c r="M206" s="7" t="s">
        <v>112</v>
      </c>
      <c r="N206" s="7"/>
      <c r="O206" s="7" t="s">
        <v>35</v>
      </c>
      <c r="P206" s="4" t="s">
        <v>113</v>
      </c>
      <c r="Q206" s="7"/>
      <c r="R206" s="7" t="s">
        <v>38</v>
      </c>
      <c r="S206" s="7" t="s">
        <v>38</v>
      </c>
      <c r="T206" s="52">
        <v>42978</v>
      </c>
      <c r="U206" s="53">
        <v>47.616869999999999</v>
      </c>
      <c r="V206" s="53">
        <v>-122.49728</v>
      </c>
      <c r="W206" t="str">
        <f>VLOOKUP(B206,[1]Plantings!$A$2:$E$285,4,FALSE)</f>
        <v>point</v>
      </c>
      <c r="X206" s="11" t="str">
        <f>VLOOKUP(B206,[1]Plantings!$A$2:$E$285,5,FALSE)</f>
        <v>retain</v>
      </c>
      <c r="Y206" s="54" t="s">
        <v>1</v>
      </c>
      <c r="Z206" s="55">
        <v>-2.4</v>
      </c>
      <c r="AA206" s="7" t="s">
        <v>54</v>
      </c>
      <c r="AB206" s="7">
        <v>2.5</v>
      </c>
      <c r="AC206" s="7">
        <v>2.5</v>
      </c>
      <c r="AD206">
        <f t="shared" ref="AD206:AD221" si="29">AB206*AC206</f>
        <v>6.25</v>
      </c>
      <c r="AE206">
        <f t="shared" ref="AE206:AE211" si="30">AG206*0.25</f>
        <v>4.5</v>
      </c>
      <c r="AF206" s="14">
        <f t="shared" ref="AF206:AF212" si="31">IF(AA206="staple",AG206*0.005,IF(AA206="rebar",AG206*0.025,IF(AA206="burlap",AG206*0.0625,IF(AA206="washer",AG206*0.0025,IF(AA206="pucks",AG206*0.00785,IF(AA206="turf",AG206*0.01,IF(AA206="","")))))))</f>
        <v>0.45</v>
      </c>
      <c r="AG206" s="42">
        <v>18</v>
      </c>
      <c r="AH206" s="42">
        <f>AG206*25</f>
        <v>450</v>
      </c>
      <c r="AI206" s="13">
        <f t="shared" si="21"/>
        <v>72</v>
      </c>
      <c r="AJ206" s="13">
        <f t="shared" si="22"/>
        <v>100</v>
      </c>
      <c r="AK206" s="30" t="s">
        <v>110</v>
      </c>
      <c r="AL206" s="56" t="s">
        <v>391</v>
      </c>
    </row>
    <row r="207" spans="1:38" x14ac:dyDescent="0.25">
      <c r="A207" s="7" t="s">
        <v>388</v>
      </c>
      <c r="B207" s="7" t="s">
        <v>392</v>
      </c>
      <c r="C207" t="str">
        <f>VLOOKUP(B207,[1]Plantings!$A$2:$C$285,2,FALSE)</f>
        <v>MIL_3</v>
      </c>
      <c r="D207" t="str">
        <f>VLOOKUP(B207,[1]Plantings!$A$2:$C$285,3,FALSE)</f>
        <v>single</v>
      </c>
      <c r="E207" s="7">
        <v>2017</v>
      </c>
      <c r="F207" s="7"/>
      <c r="G207" s="4" t="s">
        <v>0</v>
      </c>
      <c r="H207" s="7" t="s">
        <v>390</v>
      </c>
      <c r="I207" s="7" t="s">
        <v>29</v>
      </c>
      <c r="J207" s="7" t="s">
        <v>86</v>
      </c>
      <c r="K207" s="7" t="s">
        <v>17</v>
      </c>
      <c r="L207" s="7" t="s">
        <v>17</v>
      </c>
      <c r="M207" s="7" t="s">
        <v>112</v>
      </c>
      <c r="N207" s="7"/>
      <c r="O207" s="7" t="s">
        <v>35</v>
      </c>
      <c r="P207" s="4" t="s">
        <v>113</v>
      </c>
      <c r="Q207" s="7"/>
      <c r="R207" s="7" t="s">
        <v>38</v>
      </c>
      <c r="S207" s="57" t="s">
        <v>38</v>
      </c>
      <c r="T207" s="52">
        <v>42978</v>
      </c>
      <c r="U207" s="53">
        <v>47.61683</v>
      </c>
      <c r="V207" s="53">
        <v>-122.49723</v>
      </c>
      <c r="W207" t="str">
        <f>VLOOKUP(B207,[1]Plantings!$A$2:$E$285,4,FALSE)</f>
        <v>point</v>
      </c>
      <c r="X207" s="11" t="str">
        <f>VLOOKUP(B207,[1]Plantings!$A$2:$E$285,5,FALSE)</f>
        <v>retain</v>
      </c>
      <c r="Y207" s="54" t="s">
        <v>1</v>
      </c>
      <c r="Z207" s="55">
        <v>-2.4</v>
      </c>
      <c r="AA207" s="7" t="s">
        <v>54</v>
      </c>
      <c r="AB207" s="7">
        <v>2.5</v>
      </c>
      <c r="AC207" s="7">
        <v>2.5</v>
      </c>
      <c r="AD207">
        <f t="shared" si="29"/>
        <v>6.25</v>
      </c>
      <c r="AE207">
        <f t="shared" si="30"/>
        <v>5</v>
      </c>
      <c r="AF207" s="14">
        <f t="shared" si="31"/>
        <v>0.5</v>
      </c>
      <c r="AG207" s="42">
        <f>AH207/25</f>
        <v>20</v>
      </c>
      <c r="AH207" s="42">
        <v>500</v>
      </c>
      <c r="AI207" s="13">
        <f t="shared" si="21"/>
        <v>80</v>
      </c>
      <c r="AJ207" s="13">
        <f t="shared" si="22"/>
        <v>100</v>
      </c>
      <c r="AK207" s="30" t="s">
        <v>110</v>
      </c>
      <c r="AL207" s="56" t="s">
        <v>391</v>
      </c>
    </row>
    <row r="208" spans="1:38" x14ac:dyDescent="0.25">
      <c r="A208" t="s">
        <v>393</v>
      </c>
      <c r="B208" t="s">
        <v>394</v>
      </c>
      <c r="C208" t="str">
        <f>VLOOKUP(B208,[1]Plantings!$A$2:$C$285,2,FALSE)</f>
        <v>MRE_1</v>
      </c>
      <c r="D208" t="str">
        <f>VLOOKUP(B208,[1]Plantings!$A$2:$C$285,3,FALSE)</f>
        <v>single</v>
      </c>
      <c r="E208">
        <v>2021</v>
      </c>
      <c r="G208" t="s">
        <v>0</v>
      </c>
      <c r="H208" t="s">
        <v>11</v>
      </c>
      <c r="I208" t="s">
        <v>29</v>
      </c>
      <c r="J208" t="s">
        <v>23</v>
      </c>
      <c r="K208" t="s">
        <v>23</v>
      </c>
      <c r="L208" s="4" t="s">
        <v>151</v>
      </c>
      <c r="N208" t="s">
        <v>152</v>
      </c>
      <c r="R208" t="s">
        <v>38</v>
      </c>
      <c r="S208" t="s">
        <v>38</v>
      </c>
      <c r="T208" s="10">
        <v>44344</v>
      </c>
      <c r="U208">
        <v>47.620460000000001</v>
      </c>
      <c r="V208">
        <v>-122.36398</v>
      </c>
      <c r="W208" t="str">
        <f>VLOOKUP(B208,[1]Plantings!$A$2:$E$285,4,FALSE)</f>
        <v>point</v>
      </c>
      <c r="X208" s="11" t="str">
        <f>VLOOKUP(B208,[1]Plantings!$A$2:$E$285,5,FALSE)</f>
        <v>retain</v>
      </c>
      <c r="Y208" s="16" t="s">
        <v>1</v>
      </c>
      <c r="Z208" s="12">
        <v>-1.5</v>
      </c>
      <c r="AA208" s="13" t="s">
        <v>54</v>
      </c>
      <c r="AB208">
        <v>1.5</v>
      </c>
      <c r="AC208">
        <v>1</v>
      </c>
      <c r="AD208">
        <f t="shared" si="29"/>
        <v>1.5</v>
      </c>
      <c r="AE208">
        <f t="shared" si="30"/>
        <v>3.75</v>
      </c>
      <c r="AF208" s="14">
        <f t="shared" si="31"/>
        <v>0.375</v>
      </c>
      <c r="AG208">
        <v>15</v>
      </c>
      <c r="AH208" s="28">
        <v>300</v>
      </c>
      <c r="AI208" s="13">
        <f t="shared" si="21"/>
        <v>200</v>
      </c>
      <c r="AJ208" s="13">
        <f t="shared" si="22"/>
        <v>80</v>
      </c>
      <c r="AK208" t="s">
        <v>93</v>
      </c>
      <c r="AL208" s="3" t="s">
        <v>395</v>
      </c>
    </row>
    <row r="209" spans="1:38" x14ac:dyDescent="0.25">
      <c r="A209" t="s">
        <v>393</v>
      </c>
      <c r="B209" t="s">
        <v>396</v>
      </c>
      <c r="C209" t="str">
        <f>VLOOKUP(B209,[1]Plantings!$A$2:$C$285,2,FALSE)</f>
        <v>MRE_1</v>
      </c>
      <c r="D209" t="str">
        <f>VLOOKUP(B209,[1]Plantings!$A$2:$C$285,3,FALSE)</f>
        <v>single</v>
      </c>
      <c r="E209">
        <v>2021</v>
      </c>
      <c r="G209" t="s">
        <v>0</v>
      </c>
      <c r="H209" t="s">
        <v>11</v>
      </c>
      <c r="I209" t="s">
        <v>29</v>
      </c>
      <c r="J209" t="s">
        <v>23</v>
      </c>
      <c r="K209" t="s">
        <v>23</v>
      </c>
      <c r="L209" s="4" t="s">
        <v>151</v>
      </c>
      <c r="N209" t="s">
        <v>152</v>
      </c>
      <c r="R209" t="s">
        <v>38</v>
      </c>
      <c r="S209" t="s">
        <v>38</v>
      </c>
      <c r="T209" s="10">
        <v>44344</v>
      </c>
      <c r="U209">
        <v>47.620460000000001</v>
      </c>
      <c r="V209">
        <v>-122.36398</v>
      </c>
      <c r="W209" t="str">
        <f>VLOOKUP(B209,[1]Plantings!$A$2:$E$285,4,FALSE)</f>
        <v>point</v>
      </c>
      <c r="X209" s="11" t="str">
        <f>VLOOKUP(B209,[1]Plantings!$A$2:$E$285,5,FALSE)</f>
        <v>retain</v>
      </c>
      <c r="Y209" s="16" t="s">
        <v>1</v>
      </c>
      <c r="Z209" s="12">
        <v>-1.5</v>
      </c>
      <c r="AA209" s="13" t="s">
        <v>54</v>
      </c>
      <c r="AB209">
        <v>1</v>
      </c>
      <c r="AC209">
        <v>1</v>
      </c>
      <c r="AD209">
        <f t="shared" si="29"/>
        <v>1</v>
      </c>
      <c r="AE209">
        <f t="shared" si="30"/>
        <v>3</v>
      </c>
      <c r="AF209" s="14">
        <f t="shared" si="31"/>
        <v>0.30000000000000004</v>
      </c>
      <c r="AG209" s="15">
        <v>12</v>
      </c>
      <c r="AH209" s="28">
        <v>240</v>
      </c>
      <c r="AI209" s="13">
        <f t="shared" si="21"/>
        <v>240</v>
      </c>
      <c r="AJ209" s="13">
        <f t="shared" si="22"/>
        <v>80</v>
      </c>
      <c r="AK209" t="s">
        <v>24</v>
      </c>
      <c r="AL209" s="3" t="s">
        <v>397</v>
      </c>
    </row>
    <row r="210" spans="1:38" x14ac:dyDescent="0.25">
      <c r="A210" t="s">
        <v>393</v>
      </c>
      <c r="B210" t="s">
        <v>398</v>
      </c>
      <c r="C210" t="str">
        <f>VLOOKUP(B210,[1]Plantings!$A$2:$C$285,2,FALSE)</f>
        <v>MRE_2</v>
      </c>
      <c r="D210" t="str">
        <f>VLOOKUP(B210,[1]Plantings!$A$2:$C$285,3,FALSE)</f>
        <v>single</v>
      </c>
      <c r="E210">
        <v>2022</v>
      </c>
      <c r="G210" t="s">
        <v>0</v>
      </c>
      <c r="H210" t="s">
        <v>11</v>
      </c>
      <c r="I210" t="s">
        <v>29</v>
      </c>
      <c r="J210" t="s">
        <v>23</v>
      </c>
      <c r="K210" t="s">
        <v>23</v>
      </c>
      <c r="L210" t="s">
        <v>151</v>
      </c>
      <c r="N210" t="s">
        <v>152</v>
      </c>
      <c r="R210" t="s">
        <v>38</v>
      </c>
      <c r="S210" t="s">
        <v>38</v>
      </c>
      <c r="T210" s="10">
        <v>44698</v>
      </c>
      <c r="U210">
        <v>47.620460000000001</v>
      </c>
      <c r="V210">
        <v>-122.36398</v>
      </c>
      <c r="W210" t="str">
        <f>VLOOKUP(B210,[1]Plantings!$A$2:$E$285,4,FALSE)</f>
        <v>point</v>
      </c>
      <c r="X210" s="11" t="str">
        <f>VLOOKUP(B210,[1]Plantings!$A$2:$E$285,5,FALSE)</f>
        <v>retain</v>
      </c>
      <c r="Y210" s="16" t="s">
        <v>1</v>
      </c>
      <c r="Z210" s="12">
        <v>-1.5</v>
      </c>
      <c r="AA210" s="13" t="s">
        <v>54</v>
      </c>
      <c r="AB210">
        <v>1</v>
      </c>
      <c r="AC210">
        <v>0.5</v>
      </c>
      <c r="AD210">
        <f t="shared" si="29"/>
        <v>0.5</v>
      </c>
      <c r="AE210">
        <f t="shared" si="30"/>
        <v>1.5</v>
      </c>
      <c r="AF210" s="14">
        <f t="shared" si="31"/>
        <v>0.15000000000000002</v>
      </c>
      <c r="AG210" s="15">
        <v>6</v>
      </c>
      <c r="AH210" s="28">
        <v>120</v>
      </c>
      <c r="AI210" s="13">
        <f t="shared" si="21"/>
        <v>240</v>
      </c>
      <c r="AJ210" s="13">
        <f t="shared" si="22"/>
        <v>80</v>
      </c>
      <c r="AK210" t="s">
        <v>93</v>
      </c>
      <c r="AL210" s="3" t="s">
        <v>399</v>
      </c>
    </row>
    <row r="211" spans="1:38" x14ac:dyDescent="0.25">
      <c r="A211" t="s">
        <v>393</v>
      </c>
      <c r="B211" t="s">
        <v>400</v>
      </c>
      <c r="C211" t="str">
        <f>VLOOKUP(B211,[1]Plantings!$A$2:$C$285,2,FALSE)</f>
        <v>MRE_2</v>
      </c>
      <c r="D211" t="str">
        <f>VLOOKUP(B211,[1]Plantings!$A$2:$C$285,3,FALSE)</f>
        <v>single</v>
      </c>
      <c r="E211">
        <v>2022</v>
      </c>
      <c r="G211" t="s">
        <v>0</v>
      </c>
      <c r="H211" t="s">
        <v>11</v>
      </c>
      <c r="I211" t="s">
        <v>29</v>
      </c>
      <c r="J211" t="s">
        <v>23</v>
      </c>
      <c r="K211" t="s">
        <v>23</v>
      </c>
      <c r="L211" t="s">
        <v>151</v>
      </c>
      <c r="N211" t="s">
        <v>152</v>
      </c>
      <c r="R211" t="s">
        <v>38</v>
      </c>
      <c r="S211" t="s">
        <v>38</v>
      </c>
      <c r="T211" s="10">
        <v>44698</v>
      </c>
      <c r="W211" t="str">
        <f>VLOOKUP(B211,[1]Plantings!$A$2:$E$285,4,FALSE)</f>
        <v>point</v>
      </c>
      <c r="X211" s="11" t="str">
        <f>VLOOKUP(B211,[1]Plantings!$A$2:$E$285,5,FALSE)</f>
        <v>retain</v>
      </c>
      <c r="Y211" s="16" t="s">
        <v>1</v>
      </c>
      <c r="Z211" s="12">
        <v>-1.6</v>
      </c>
      <c r="AA211" s="13" t="s">
        <v>54</v>
      </c>
      <c r="AB211">
        <v>2.5</v>
      </c>
      <c r="AC211">
        <v>1</v>
      </c>
      <c r="AD211">
        <f t="shared" si="29"/>
        <v>2.5</v>
      </c>
      <c r="AE211">
        <f t="shared" si="30"/>
        <v>7.75</v>
      </c>
      <c r="AF211" s="14">
        <f t="shared" si="31"/>
        <v>0.77500000000000002</v>
      </c>
      <c r="AG211" s="15">
        <v>31</v>
      </c>
      <c r="AH211" s="28">
        <v>620</v>
      </c>
      <c r="AI211" s="13">
        <f t="shared" si="21"/>
        <v>248</v>
      </c>
      <c r="AJ211" s="13">
        <f t="shared" si="22"/>
        <v>80</v>
      </c>
      <c r="AK211" t="s">
        <v>93</v>
      </c>
      <c r="AL211" s="3" t="s">
        <v>401</v>
      </c>
    </row>
    <row r="212" spans="1:38" x14ac:dyDescent="0.25">
      <c r="A212" t="s">
        <v>402</v>
      </c>
      <c r="B212" t="s">
        <v>403</v>
      </c>
      <c r="C212" t="str">
        <f>VLOOKUP(B212,[1]Plantings!$A$2:$C$285,2,FALSE)</f>
        <v>OST</v>
      </c>
      <c r="D212" t="str">
        <f>VLOOKUP(B212,[1]Plantings!$A$2:$C$285,3,FALSE)</f>
        <v>single</v>
      </c>
      <c r="E212">
        <v>2015</v>
      </c>
      <c r="G212" t="s">
        <v>0</v>
      </c>
      <c r="H212" t="s">
        <v>7</v>
      </c>
      <c r="I212" t="s">
        <v>29</v>
      </c>
      <c r="J212" t="s">
        <v>4</v>
      </c>
      <c r="K212" t="s">
        <v>43</v>
      </c>
      <c r="L212" t="s">
        <v>44</v>
      </c>
      <c r="O212" t="s">
        <v>35</v>
      </c>
      <c r="P212" t="s">
        <v>45</v>
      </c>
      <c r="Q212" t="s">
        <v>46</v>
      </c>
      <c r="R212" t="s">
        <v>38</v>
      </c>
      <c r="S212" t="s">
        <v>38</v>
      </c>
      <c r="T212" s="10">
        <v>42053</v>
      </c>
      <c r="U212" s="11">
        <v>47.592083333333335</v>
      </c>
      <c r="V212" s="11">
        <v>-122.67906666666667</v>
      </c>
      <c r="W212" t="str">
        <f>VLOOKUP(B212,[1]Plantings!$A$2:$E$285,4,FALSE)</f>
        <v>point</v>
      </c>
      <c r="X212" s="11" t="str">
        <f>VLOOKUP(B212,[1]Plantings!$A$2:$E$285,5,FALSE)</f>
        <v>retain</v>
      </c>
      <c r="Y212" s="16" t="s">
        <v>1</v>
      </c>
      <c r="Z212" s="12">
        <v>-1.4325600000000001</v>
      </c>
      <c r="AA212" s="13" t="s">
        <v>39</v>
      </c>
      <c r="AB212">
        <v>5</v>
      </c>
      <c r="AC212">
        <v>5</v>
      </c>
      <c r="AD212">
        <f t="shared" si="29"/>
        <v>25</v>
      </c>
      <c r="AE212">
        <v>25</v>
      </c>
      <c r="AF212" s="14">
        <f t="shared" si="31"/>
        <v>0.625</v>
      </c>
      <c r="AG212" s="15">
        <f>AH212/4</f>
        <v>125</v>
      </c>
      <c r="AH212" s="15">
        <v>500</v>
      </c>
      <c r="AI212" s="13">
        <f t="shared" si="21"/>
        <v>20</v>
      </c>
      <c r="AJ212" s="13">
        <f t="shared" si="22"/>
        <v>20</v>
      </c>
      <c r="AK212" t="s">
        <v>110</v>
      </c>
    </row>
    <row r="213" spans="1:38" x14ac:dyDescent="0.25">
      <c r="A213" t="s">
        <v>404</v>
      </c>
      <c r="B213" t="s">
        <v>405</v>
      </c>
      <c r="C213" t="str">
        <f>VLOOKUP(B213,[1]Plantings!$A$2:$C$285,2,FALSE)</f>
        <v>OTB_1</v>
      </c>
      <c r="D213" t="str">
        <f>VLOOKUP(B213,[1]Plantings!$A$2:$C$285,3,FALSE)</f>
        <v>single</v>
      </c>
      <c r="E213">
        <v>2023</v>
      </c>
      <c r="G213" t="s">
        <v>0</v>
      </c>
      <c r="H213" t="s">
        <v>406</v>
      </c>
      <c r="I213" t="s">
        <v>164</v>
      </c>
      <c r="R213" t="s">
        <v>38</v>
      </c>
      <c r="S213" t="s">
        <v>38</v>
      </c>
      <c r="T213" s="27">
        <v>45053</v>
      </c>
      <c r="U213">
        <v>47.163100800000002</v>
      </c>
      <c r="V213">
        <v>-122.828051</v>
      </c>
      <c r="W213" t="str">
        <f>VLOOKUP(B213,[1]Plantings!$A$2:$E$285,4,FALSE)</f>
        <v>point</v>
      </c>
      <c r="X213" s="11" t="str">
        <f>VLOOKUP(B213,[1]Plantings!$A$2:$E$285,5,FALSE)</f>
        <v>retain</v>
      </c>
      <c r="Y213" s="16" t="s">
        <v>1</v>
      </c>
      <c r="Z213" s="12">
        <v>-1</v>
      </c>
      <c r="AA213" s="13" t="s">
        <v>54</v>
      </c>
      <c r="AB213">
        <v>1.5</v>
      </c>
      <c r="AC213">
        <v>0.5</v>
      </c>
      <c r="AD213">
        <f t="shared" si="29"/>
        <v>0.75</v>
      </c>
      <c r="AE213">
        <f>AG213*0.25</f>
        <v>2.75</v>
      </c>
      <c r="AF213" s="14">
        <f>IF(AA213="staple",AG213*0.005,IF(AA213="rebar",AG213*0.025,IF(AA213="burlap",AG213*0.0625,IF(AA213="washer",AG213*0.0025,IF(AA213="pucks",AG213*0.00785,IF(AA213="turf",AG213*0.01,IF(AA213="TERFS",AG213*0.25,IF(AA213="",""))))))))</f>
        <v>0.27500000000000002</v>
      </c>
      <c r="AG213" s="15">
        <v>11</v>
      </c>
      <c r="AH213" s="28">
        <v>150</v>
      </c>
      <c r="AI213" s="13">
        <f t="shared" si="21"/>
        <v>200</v>
      </c>
      <c r="AJ213" s="13">
        <f t="shared" si="22"/>
        <v>54.545454545454547</v>
      </c>
      <c r="AK213" t="s">
        <v>93</v>
      </c>
      <c r="AL213" s="3" t="s">
        <v>407</v>
      </c>
    </row>
    <row r="214" spans="1:38" x14ac:dyDescent="0.25">
      <c r="A214" t="s">
        <v>408</v>
      </c>
      <c r="B214" t="s">
        <v>409</v>
      </c>
      <c r="C214" t="str">
        <f>VLOOKUP(B214,[1]Plantings!$A$2:$C$285,2,FALSE)</f>
        <v>PEN_L1</v>
      </c>
      <c r="D214" t="str">
        <f>VLOOKUP(B214,[1]Plantings!$A$2:$C$285,3,FALSE)</f>
        <v>single</v>
      </c>
      <c r="E214">
        <v>2016</v>
      </c>
      <c r="F214" t="s">
        <v>28</v>
      </c>
      <c r="G214" t="s">
        <v>0</v>
      </c>
      <c r="H214" t="s">
        <v>18</v>
      </c>
      <c r="I214" t="s">
        <v>29</v>
      </c>
      <c r="J214" t="s">
        <v>60</v>
      </c>
      <c r="K214" t="s">
        <v>31</v>
      </c>
      <c r="L214" t="s">
        <v>32</v>
      </c>
      <c r="M214" t="s">
        <v>61</v>
      </c>
      <c r="N214" t="s">
        <v>123</v>
      </c>
      <c r="O214" t="s">
        <v>63</v>
      </c>
      <c r="P214" t="s">
        <v>64</v>
      </c>
      <c r="Q214" t="s">
        <v>65</v>
      </c>
      <c r="R214" t="s">
        <v>38</v>
      </c>
      <c r="S214" t="s">
        <v>38</v>
      </c>
      <c r="T214" s="10">
        <v>42510</v>
      </c>
      <c r="U214" s="18">
        <v>47.264066961111112</v>
      </c>
      <c r="V214" s="11">
        <v>-122.73925913055555</v>
      </c>
      <c r="W214" t="str">
        <f>VLOOKUP(B214,[1]Plantings!$A$2:$E$285,4,FALSE)</f>
        <v>point</v>
      </c>
      <c r="X214" s="11" t="str">
        <f>VLOOKUP(B214,[1]Plantings!$A$2:$E$285,5,FALSE)</f>
        <v>retain</v>
      </c>
      <c r="Y214" s="16" t="s">
        <v>1</v>
      </c>
      <c r="Z214" s="12">
        <v>-2</v>
      </c>
      <c r="AA214" s="13" t="s">
        <v>124</v>
      </c>
      <c r="AB214">
        <v>5</v>
      </c>
      <c r="AC214">
        <v>5</v>
      </c>
      <c r="AD214">
        <f t="shared" si="29"/>
        <v>25</v>
      </c>
      <c r="AE214">
        <v>39</v>
      </c>
      <c r="AF214" s="14">
        <f t="shared" ref="AF214:AF221" si="32">IF(AA214="staple",AG214*0.005,IF(AA214="rebar",AG214*0.025,IF(AA214="burlap",AG214*0.0625,IF(AA214="washer",AG214*0.0025,IF(AA214="pucks",AG214*0.00785,IF(AA214="turf",AG214*0.01,IF(AA214="","")))))))</f>
        <v>9.75</v>
      </c>
      <c r="AG214" s="15">
        <v>156</v>
      </c>
      <c r="AH214" s="15">
        <v>780</v>
      </c>
      <c r="AI214" s="13">
        <f t="shared" si="21"/>
        <v>31.2</v>
      </c>
      <c r="AJ214" s="13">
        <f t="shared" si="22"/>
        <v>20</v>
      </c>
      <c r="AK214" t="s">
        <v>67</v>
      </c>
      <c r="AL214" s="19" t="s">
        <v>126</v>
      </c>
    </row>
    <row r="215" spans="1:38" x14ac:dyDescent="0.25">
      <c r="A215" t="s">
        <v>410</v>
      </c>
      <c r="B215" t="s">
        <v>411</v>
      </c>
      <c r="C215" t="str">
        <f>VLOOKUP(B215,[1]Plantings!$A$2:$C$285,2,FALSE)</f>
        <v>PTG_5</v>
      </c>
      <c r="D215" t="str">
        <f>VLOOKUP(B215,[1]Plantings!$A$2:$C$285,3,FALSE)</f>
        <v>single</v>
      </c>
      <c r="E215">
        <v>2014</v>
      </c>
      <c r="F215" t="s">
        <v>412</v>
      </c>
      <c r="G215" t="s">
        <v>0</v>
      </c>
      <c r="H215" t="s">
        <v>410</v>
      </c>
      <c r="I215" t="s">
        <v>413</v>
      </c>
      <c r="J215" t="s">
        <v>414</v>
      </c>
      <c r="K215" t="s">
        <v>415</v>
      </c>
      <c r="L215" t="s">
        <v>416</v>
      </c>
      <c r="M215" t="s">
        <v>417</v>
      </c>
      <c r="N215" t="s">
        <v>418</v>
      </c>
      <c r="O215" t="s">
        <v>35</v>
      </c>
      <c r="P215" t="s">
        <v>419</v>
      </c>
      <c r="Q215" t="s">
        <v>420</v>
      </c>
      <c r="R215" t="s">
        <v>38</v>
      </c>
      <c r="S215" t="s">
        <v>38</v>
      </c>
      <c r="T215" s="10">
        <v>41961</v>
      </c>
      <c r="U215" s="11">
        <v>47.820416666666667</v>
      </c>
      <c r="V215" s="11">
        <v>-122.57201666666667</v>
      </c>
      <c r="W215" t="str">
        <f>VLOOKUP(B215,[1]Plantings!$A$2:$E$285,4,FALSE)</f>
        <v>point</v>
      </c>
      <c r="X215" s="11" t="str">
        <f>VLOOKUP(B215,[1]Plantings!$A$2:$E$285,5,FALSE)</f>
        <v>retain</v>
      </c>
      <c r="Y215" s="16" t="s">
        <v>1</v>
      </c>
      <c r="Z215" s="12">
        <v>-1.8288</v>
      </c>
      <c r="AA215" s="13" t="s">
        <v>39</v>
      </c>
      <c r="AB215">
        <v>5</v>
      </c>
      <c r="AC215">
        <v>5</v>
      </c>
      <c r="AD215">
        <f t="shared" si="29"/>
        <v>25</v>
      </c>
      <c r="AE215">
        <v>25</v>
      </c>
      <c r="AF215" s="14">
        <f t="shared" si="32"/>
        <v>0.625</v>
      </c>
      <c r="AG215" s="15">
        <f t="shared" ref="AG215:AG221" si="33">AH215/4</f>
        <v>125</v>
      </c>
      <c r="AH215" s="15">
        <v>500</v>
      </c>
      <c r="AI215" s="13">
        <f t="shared" si="21"/>
        <v>20</v>
      </c>
      <c r="AJ215" s="13">
        <f t="shared" si="22"/>
        <v>20</v>
      </c>
      <c r="AK215" t="s">
        <v>421</v>
      </c>
    </row>
    <row r="216" spans="1:38" x14ac:dyDescent="0.25">
      <c r="A216" t="s">
        <v>410</v>
      </c>
      <c r="B216" t="s">
        <v>422</v>
      </c>
      <c r="C216" t="str">
        <f>VLOOKUP(B216,[1]Plantings!$A$2:$C$285,2,FALSE)</f>
        <v>PTG_2</v>
      </c>
      <c r="D216" t="str">
        <f>VLOOKUP(B216,[1]Plantings!$A$2:$C$285,3,FALSE)</f>
        <v>single</v>
      </c>
      <c r="E216">
        <v>2014</v>
      </c>
      <c r="F216" t="s">
        <v>412</v>
      </c>
      <c r="G216" t="s">
        <v>0</v>
      </c>
      <c r="H216" t="s">
        <v>410</v>
      </c>
      <c r="I216" t="s">
        <v>413</v>
      </c>
      <c r="J216" t="s">
        <v>414</v>
      </c>
      <c r="K216" t="s">
        <v>415</v>
      </c>
      <c r="L216" t="s">
        <v>416</v>
      </c>
      <c r="M216" t="s">
        <v>417</v>
      </c>
      <c r="N216" t="s">
        <v>418</v>
      </c>
      <c r="O216" t="s">
        <v>35</v>
      </c>
      <c r="P216" t="s">
        <v>419</v>
      </c>
      <c r="Q216" t="s">
        <v>420</v>
      </c>
      <c r="R216" t="s">
        <v>38</v>
      </c>
      <c r="S216" t="s">
        <v>38</v>
      </c>
      <c r="T216" s="10">
        <v>41962</v>
      </c>
      <c r="U216" s="11">
        <v>47.821100000000001</v>
      </c>
      <c r="V216" s="11">
        <v>-122.57796666666667</v>
      </c>
      <c r="W216" t="str">
        <f>VLOOKUP(B216,[1]Plantings!$A$2:$E$285,4,FALSE)</f>
        <v>point</v>
      </c>
      <c r="X216" s="11" t="str">
        <f>VLOOKUP(B216,[1]Plantings!$A$2:$E$285,5,FALSE)</f>
        <v>retain</v>
      </c>
      <c r="Y216" s="16" t="s">
        <v>1</v>
      </c>
      <c r="Z216" s="12">
        <v>-1.8288</v>
      </c>
      <c r="AA216" s="13" t="s">
        <v>39</v>
      </c>
      <c r="AB216">
        <v>5</v>
      </c>
      <c r="AC216">
        <v>5</v>
      </c>
      <c r="AD216">
        <f t="shared" si="29"/>
        <v>25</v>
      </c>
      <c r="AE216">
        <v>25</v>
      </c>
      <c r="AF216" s="14">
        <f t="shared" si="32"/>
        <v>0.625</v>
      </c>
      <c r="AG216" s="15">
        <f t="shared" si="33"/>
        <v>125</v>
      </c>
      <c r="AH216" s="15">
        <v>500</v>
      </c>
      <c r="AI216" s="13">
        <f t="shared" ref="AI216:AI279" si="34">IFERROR(AH216/AD216, "")</f>
        <v>20</v>
      </c>
      <c r="AJ216" s="13">
        <f t="shared" ref="AJ216:AJ279" si="35">IFERROR(AH216/AE216, "")</f>
        <v>20</v>
      </c>
      <c r="AK216" t="s">
        <v>421</v>
      </c>
    </row>
    <row r="217" spans="1:38" x14ac:dyDescent="0.25">
      <c r="A217" t="s">
        <v>410</v>
      </c>
      <c r="B217" t="s">
        <v>423</v>
      </c>
      <c r="C217" t="str">
        <f>VLOOKUP(B217,[1]Plantings!$A$2:$C$285,2,FALSE)</f>
        <v>PTG_3</v>
      </c>
      <c r="D217" t="str">
        <f>VLOOKUP(B217,[1]Plantings!$A$2:$C$285,3,FALSE)</f>
        <v>single</v>
      </c>
      <c r="E217">
        <v>2014</v>
      </c>
      <c r="F217" t="s">
        <v>412</v>
      </c>
      <c r="G217" t="s">
        <v>0</v>
      </c>
      <c r="H217" t="s">
        <v>410</v>
      </c>
      <c r="I217" t="s">
        <v>413</v>
      </c>
      <c r="J217" t="s">
        <v>414</v>
      </c>
      <c r="K217" t="s">
        <v>415</v>
      </c>
      <c r="L217" t="s">
        <v>416</v>
      </c>
      <c r="M217" t="s">
        <v>417</v>
      </c>
      <c r="N217" t="s">
        <v>418</v>
      </c>
      <c r="O217" t="s">
        <v>35</v>
      </c>
      <c r="P217" t="s">
        <v>419</v>
      </c>
      <c r="Q217" t="s">
        <v>420</v>
      </c>
      <c r="R217" t="s">
        <v>38</v>
      </c>
      <c r="S217" t="s">
        <v>38</v>
      </c>
      <c r="T217" s="10">
        <v>41962</v>
      </c>
      <c r="U217" s="11">
        <v>47.821566666666669</v>
      </c>
      <c r="V217" s="11">
        <v>-122.57531666666667</v>
      </c>
      <c r="W217" t="str">
        <f>VLOOKUP(B217,[1]Plantings!$A$2:$E$285,4,FALSE)</f>
        <v>point</v>
      </c>
      <c r="X217" s="11" t="str">
        <f>VLOOKUP(B217,[1]Plantings!$A$2:$E$285,5,FALSE)</f>
        <v>retain</v>
      </c>
      <c r="Y217" s="16" t="s">
        <v>1</v>
      </c>
      <c r="Z217" s="12">
        <v>-2.7431999999999999</v>
      </c>
      <c r="AA217" s="13" t="s">
        <v>39</v>
      </c>
      <c r="AB217">
        <v>5</v>
      </c>
      <c r="AC217">
        <v>5</v>
      </c>
      <c r="AD217">
        <f t="shared" si="29"/>
        <v>25</v>
      </c>
      <c r="AE217">
        <v>25</v>
      </c>
      <c r="AF217" s="14">
        <f t="shared" si="32"/>
        <v>0.625</v>
      </c>
      <c r="AG217" s="15">
        <f t="shared" si="33"/>
        <v>125</v>
      </c>
      <c r="AH217" s="15">
        <v>500</v>
      </c>
      <c r="AI217" s="13">
        <f t="shared" si="34"/>
        <v>20</v>
      </c>
      <c r="AJ217" s="13">
        <f t="shared" si="35"/>
        <v>20</v>
      </c>
      <c r="AK217" t="s">
        <v>421</v>
      </c>
    </row>
    <row r="218" spans="1:38" x14ac:dyDescent="0.25">
      <c r="A218" t="s">
        <v>410</v>
      </c>
      <c r="B218" t="s">
        <v>424</v>
      </c>
      <c r="C218" t="str">
        <f>VLOOKUP(B218,[1]Plantings!$A$2:$C$285,2,FALSE)</f>
        <v>PTG_4</v>
      </c>
      <c r="D218" t="str">
        <f>VLOOKUP(B218,[1]Plantings!$A$2:$C$285,3,FALSE)</f>
        <v>single</v>
      </c>
      <c r="E218">
        <v>2014</v>
      </c>
      <c r="F218" t="s">
        <v>412</v>
      </c>
      <c r="G218" t="s">
        <v>0</v>
      </c>
      <c r="H218" t="s">
        <v>410</v>
      </c>
      <c r="I218" t="s">
        <v>413</v>
      </c>
      <c r="J218" t="s">
        <v>414</v>
      </c>
      <c r="K218" t="s">
        <v>415</v>
      </c>
      <c r="L218" t="s">
        <v>416</v>
      </c>
      <c r="M218" t="s">
        <v>417</v>
      </c>
      <c r="N218" t="s">
        <v>418</v>
      </c>
      <c r="O218" t="s">
        <v>35</v>
      </c>
      <c r="P218" t="s">
        <v>419</v>
      </c>
      <c r="Q218" t="s">
        <v>420</v>
      </c>
      <c r="R218" t="s">
        <v>38</v>
      </c>
      <c r="S218" t="s">
        <v>38</v>
      </c>
      <c r="T218" s="10">
        <v>41962</v>
      </c>
      <c r="U218" s="11">
        <v>47.820300000000003</v>
      </c>
      <c r="V218" s="11">
        <v>-122.5757</v>
      </c>
      <c r="W218" t="str">
        <f>VLOOKUP(B218,[1]Plantings!$A$2:$E$285,4,FALSE)</f>
        <v>point</v>
      </c>
      <c r="X218" s="11" t="str">
        <f>VLOOKUP(B218,[1]Plantings!$A$2:$E$285,5,FALSE)</f>
        <v>retain</v>
      </c>
      <c r="Y218" s="16" t="s">
        <v>1</v>
      </c>
      <c r="Z218" s="12">
        <v>-1.2192000000000001</v>
      </c>
      <c r="AA218" s="13" t="s">
        <v>39</v>
      </c>
      <c r="AB218">
        <v>5</v>
      </c>
      <c r="AC218">
        <v>5</v>
      </c>
      <c r="AD218">
        <f t="shared" si="29"/>
        <v>25</v>
      </c>
      <c r="AE218">
        <v>25</v>
      </c>
      <c r="AF218" s="14">
        <f t="shared" si="32"/>
        <v>0.625</v>
      </c>
      <c r="AG218" s="15">
        <f t="shared" si="33"/>
        <v>125</v>
      </c>
      <c r="AH218" s="15">
        <v>500</v>
      </c>
      <c r="AI218" s="13">
        <f t="shared" si="34"/>
        <v>20</v>
      </c>
      <c r="AJ218" s="13">
        <f t="shared" si="35"/>
        <v>20</v>
      </c>
      <c r="AK218" t="s">
        <v>421</v>
      </c>
    </row>
    <row r="219" spans="1:38" x14ac:dyDescent="0.25">
      <c r="A219" t="s">
        <v>410</v>
      </c>
      <c r="B219" t="s">
        <v>425</v>
      </c>
      <c r="C219" t="str">
        <f>VLOOKUP(B219,[1]Plantings!$A$2:$C$285,2,FALSE)</f>
        <v>PTG_1</v>
      </c>
      <c r="D219" t="str">
        <f>VLOOKUP(B219,[1]Plantings!$A$2:$C$285,3,FALSE)</f>
        <v>single</v>
      </c>
      <c r="E219">
        <v>2014</v>
      </c>
      <c r="F219" t="s">
        <v>412</v>
      </c>
      <c r="G219" t="s">
        <v>0</v>
      </c>
      <c r="H219" t="s">
        <v>410</v>
      </c>
      <c r="I219" t="s">
        <v>413</v>
      </c>
      <c r="J219" t="s">
        <v>414</v>
      </c>
      <c r="K219" t="s">
        <v>415</v>
      </c>
      <c r="L219" t="s">
        <v>416</v>
      </c>
      <c r="M219" t="s">
        <v>417</v>
      </c>
      <c r="N219" t="s">
        <v>418</v>
      </c>
      <c r="O219" t="s">
        <v>35</v>
      </c>
      <c r="P219" t="s">
        <v>419</v>
      </c>
      <c r="Q219" t="s">
        <v>420</v>
      </c>
      <c r="R219" t="s">
        <v>38</v>
      </c>
      <c r="S219" t="s">
        <v>38</v>
      </c>
      <c r="T219" s="10">
        <v>41963</v>
      </c>
      <c r="U219" s="11">
        <v>47.823266666666669</v>
      </c>
      <c r="V219" s="11">
        <v>-122.5821</v>
      </c>
      <c r="W219" t="str">
        <f>VLOOKUP(B219,[1]Plantings!$A$2:$E$285,4,FALSE)</f>
        <v>point</v>
      </c>
      <c r="X219" s="11" t="str">
        <f>VLOOKUP(B219,[1]Plantings!$A$2:$E$285,5,FALSE)</f>
        <v>retain</v>
      </c>
      <c r="Y219" s="16" t="s">
        <v>1</v>
      </c>
      <c r="Z219" s="12">
        <v>-1.8288</v>
      </c>
      <c r="AA219" s="13" t="s">
        <v>39</v>
      </c>
      <c r="AB219">
        <v>5</v>
      </c>
      <c r="AC219">
        <v>5</v>
      </c>
      <c r="AD219">
        <f t="shared" si="29"/>
        <v>25</v>
      </c>
      <c r="AE219">
        <v>25</v>
      </c>
      <c r="AF219" s="14">
        <f t="shared" si="32"/>
        <v>0.625</v>
      </c>
      <c r="AG219" s="15">
        <f t="shared" si="33"/>
        <v>125</v>
      </c>
      <c r="AH219" s="15">
        <v>500</v>
      </c>
      <c r="AI219" s="13">
        <f t="shared" si="34"/>
        <v>20</v>
      </c>
      <c r="AJ219" s="13">
        <f t="shared" si="35"/>
        <v>20</v>
      </c>
      <c r="AK219" t="s">
        <v>421</v>
      </c>
    </row>
    <row r="220" spans="1:38" x14ac:dyDescent="0.25">
      <c r="A220" t="s">
        <v>410</v>
      </c>
      <c r="B220" t="s">
        <v>426</v>
      </c>
      <c r="C220" t="str">
        <f>VLOOKUP(B220,[1]Plantings!$A$2:$C$285,2,FALSE)</f>
        <v>PTG_6</v>
      </c>
      <c r="D220" t="str">
        <f>VLOOKUP(B220,[1]Plantings!$A$2:$C$285,3,FALSE)</f>
        <v>single</v>
      </c>
      <c r="E220">
        <v>2014</v>
      </c>
      <c r="F220" t="s">
        <v>412</v>
      </c>
      <c r="G220" t="s">
        <v>0</v>
      </c>
      <c r="H220" t="s">
        <v>410</v>
      </c>
      <c r="I220" t="s">
        <v>413</v>
      </c>
      <c r="J220" t="s">
        <v>414</v>
      </c>
      <c r="K220" t="s">
        <v>415</v>
      </c>
      <c r="L220" t="s">
        <v>416</v>
      </c>
      <c r="M220" t="s">
        <v>417</v>
      </c>
      <c r="N220" t="s">
        <v>418</v>
      </c>
      <c r="O220" t="s">
        <v>35</v>
      </c>
      <c r="P220" t="s">
        <v>419</v>
      </c>
      <c r="Q220" t="s">
        <v>420</v>
      </c>
      <c r="R220" t="s">
        <v>38</v>
      </c>
      <c r="S220" t="s">
        <v>38</v>
      </c>
      <c r="T220" s="10">
        <v>41963</v>
      </c>
      <c r="U220" s="11">
        <v>47.821066666666667</v>
      </c>
      <c r="V220" s="11">
        <v>-122.56726666666667</v>
      </c>
      <c r="W220" t="str">
        <f>VLOOKUP(B220,[1]Plantings!$A$2:$E$285,4,FALSE)</f>
        <v>point</v>
      </c>
      <c r="X220" s="11" t="str">
        <f>VLOOKUP(B220,[1]Plantings!$A$2:$E$285,5,FALSE)</f>
        <v>retain</v>
      </c>
      <c r="Y220" s="16" t="s">
        <v>1</v>
      </c>
      <c r="Z220" s="12">
        <v>-1.8288</v>
      </c>
      <c r="AA220" s="13" t="s">
        <v>39</v>
      </c>
      <c r="AB220">
        <v>5</v>
      </c>
      <c r="AC220">
        <v>5</v>
      </c>
      <c r="AD220">
        <f t="shared" si="29"/>
        <v>25</v>
      </c>
      <c r="AE220">
        <v>25</v>
      </c>
      <c r="AF220" s="14">
        <f t="shared" si="32"/>
        <v>0.625</v>
      </c>
      <c r="AG220" s="15">
        <f t="shared" si="33"/>
        <v>125</v>
      </c>
      <c r="AH220" s="15">
        <v>500</v>
      </c>
      <c r="AI220" s="13">
        <f t="shared" si="34"/>
        <v>20</v>
      </c>
      <c r="AJ220" s="13">
        <f t="shared" si="35"/>
        <v>20</v>
      </c>
      <c r="AK220" t="s">
        <v>421</v>
      </c>
    </row>
    <row r="221" spans="1:38" x14ac:dyDescent="0.25">
      <c r="A221" t="s">
        <v>410</v>
      </c>
      <c r="B221" t="s">
        <v>427</v>
      </c>
      <c r="C221" t="str">
        <f>VLOOKUP(B221,[1]Plantings!$A$2:$C$285,2,FALSE)</f>
        <v>PTG_P1</v>
      </c>
      <c r="D221" t="str">
        <f>VLOOKUP(B221,[1]Plantings!$A$2:$C$285,3,FALSE)</f>
        <v>single</v>
      </c>
      <c r="E221">
        <v>2015</v>
      </c>
      <c r="F221" t="s">
        <v>412</v>
      </c>
      <c r="G221" t="s">
        <v>75</v>
      </c>
      <c r="H221" t="s">
        <v>410</v>
      </c>
      <c r="I221" t="s">
        <v>413</v>
      </c>
      <c r="J221" t="s">
        <v>414</v>
      </c>
      <c r="K221" t="s">
        <v>415</v>
      </c>
      <c r="L221" t="s">
        <v>416</v>
      </c>
      <c r="M221" t="s">
        <v>417</v>
      </c>
      <c r="N221" t="s">
        <v>418</v>
      </c>
      <c r="O221" t="s">
        <v>35</v>
      </c>
      <c r="P221" t="s">
        <v>419</v>
      </c>
      <c r="Q221" t="s">
        <v>420</v>
      </c>
      <c r="R221" t="s">
        <v>76</v>
      </c>
      <c r="S221" t="s">
        <v>76</v>
      </c>
      <c r="T221" s="10">
        <v>42095</v>
      </c>
      <c r="U221" s="11">
        <v>47.823466666666668</v>
      </c>
      <c r="V221" s="11">
        <v>-122.58203333333333</v>
      </c>
      <c r="W221" t="str">
        <f>VLOOKUP(B221,[1]Plantings!$A$2:$E$285,4,FALSE)</f>
        <v>polygon</v>
      </c>
      <c r="X221" s="11" t="str">
        <f>VLOOKUP(B221,[1]Plantings!$A$2:$E$285,5,FALSE)</f>
        <v>retain</v>
      </c>
      <c r="Y221" s="16" t="s">
        <v>1</v>
      </c>
      <c r="Z221" s="12"/>
      <c r="AA221" s="38" t="s">
        <v>39</v>
      </c>
      <c r="AB221" s="50">
        <v>48</v>
      </c>
      <c r="AC221" s="50">
        <v>36</v>
      </c>
      <c r="AD221">
        <f t="shared" si="29"/>
        <v>1728</v>
      </c>
      <c r="AE221" s="38">
        <v>240</v>
      </c>
      <c r="AF221" s="14">
        <f t="shared" si="32"/>
        <v>6</v>
      </c>
      <c r="AG221" s="15">
        <f t="shared" si="33"/>
        <v>1200</v>
      </c>
      <c r="AH221" s="21">
        <v>4800</v>
      </c>
      <c r="AI221" s="13">
        <f t="shared" si="34"/>
        <v>2.7777777777777777</v>
      </c>
      <c r="AJ221" s="13">
        <f t="shared" si="35"/>
        <v>20</v>
      </c>
      <c r="AK221" t="s">
        <v>421</v>
      </c>
      <c r="AL221" s="19"/>
    </row>
    <row r="222" spans="1:38" x14ac:dyDescent="0.25">
      <c r="A222" t="s">
        <v>410</v>
      </c>
      <c r="B222" t="s">
        <v>428</v>
      </c>
      <c r="C222" t="str">
        <f>VLOOKUP(B222,[1]Plantings!$A$2:$C$285,2,FALSE)</f>
        <v>PTG_P1</v>
      </c>
      <c r="D222" t="str">
        <f>VLOOKUP(B222,[1]Plantings!$A$2:$C$285,3,FALSE)</f>
        <v>single</v>
      </c>
      <c r="E222">
        <v>2015</v>
      </c>
      <c r="F222" t="s">
        <v>412</v>
      </c>
      <c r="G222" t="s">
        <v>75</v>
      </c>
      <c r="H222" t="s">
        <v>410</v>
      </c>
      <c r="I222" t="s">
        <v>413</v>
      </c>
      <c r="J222" t="s">
        <v>414</v>
      </c>
      <c r="K222" t="s">
        <v>415</v>
      </c>
      <c r="L222" t="s">
        <v>416</v>
      </c>
      <c r="M222" t="s">
        <v>417</v>
      </c>
      <c r="N222" t="s">
        <v>418</v>
      </c>
      <c r="O222" t="s">
        <v>35</v>
      </c>
      <c r="P222" t="s">
        <v>419</v>
      </c>
      <c r="Q222" t="s">
        <v>420</v>
      </c>
      <c r="R222" t="s">
        <v>76</v>
      </c>
      <c r="S222" s="20" t="s">
        <v>70</v>
      </c>
      <c r="T222" s="10">
        <v>42095</v>
      </c>
      <c r="U222" s="11">
        <v>47.8232</v>
      </c>
      <c r="V222" s="11">
        <v>-122.58154999999999</v>
      </c>
      <c r="W222" t="str">
        <f>VLOOKUP(B222,[1]Plantings!$A$2:$E$285,4,FALSE)</f>
        <v>polygon</v>
      </c>
      <c r="X222" s="11" t="str">
        <f>VLOOKUP(B222,[1]Plantings!$A$2:$E$285,5,FALSE)</f>
        <v>retain</v>
      </c>
      <c r="Y222" s="16" t="s">
        <v>1</v>
      </c>
      <c r="Z222" s="12"/>
      <c r="AA222" s="38" t="s">
        <v>39</v>
      </c>
      <c r="AB222" s="50"/>
      <c r="AC222" s="50"/>
      <c r="AE222" s="38"/>
      <c r="AF222" s="14"/>
      <c r="AG222" s="21"/>
      <c r="AH222" s="21"/>
      <c r="AI222" s="13" t="str">
        <f t="shared" si="34"/>
        <v/>
      </c>
      <c r="AJ222" s="13" t="str">
        <f t="shared" si="35"/>
        <v/>
      </c>
      <c r="AL222" s="19"/>
    </row>
    <row r="223" spans="1:38" x14ac:dyDescent="0.25">
      <c r="A223" t="s">
        <v>410</v>
      </c>
      <c r="B223" t="s">
        <v>429</v>
      </c>
      <c r="C223" t="str">
        <f>VLOOKUP(B223,[1]Plantings!$A$2:$C$285,2,FALSE)</f>
        <v>PTG_P1</v>
      </c>
      <c r="D223" t="str">
        <f>VLOOKUP(B223,[1]Plantings!$A$2:$C$285,3,FALSE)</f>
        <v>single</v>
      </c>
      <c r="E223">
        <v>2015</v>
      </c>
      <c r="F223" t="s">
        <v>412</v>
      </c>
      <c r="G223" t="s">
        <v>75</v>
      </c>
      <c r="H223" t="s">
        <v>410</v>
      </c>
      <c r="I223" t="s">
        <v>413</v>
      </c>
      <c r="J223" t="s">
        <v>414</v>
      </c>
      <c r="K223" t="s">
        <v>415</v>
      </c>
      <c r="L223" t="s">
        <v>416</v>
      </c>
      <c r="M223" t="s">
        <v>417</v>
      </c>
      <c r="N223" t="s">
        <v>418</v>
      </c>
      <c r="O223" t="s">
        <v>35</v>
      </c>
      <c r="P223" t="s">
        <v>419</v>
      </c>
      <c r="Q223" t="s">
        <v>420</v>
      </c>
      <c r="R223" t="s">
        <v>76</v>
      </c>
      <c r="S223" s="20" t="s">
        <v>70</v>
      </c>
      <c r="T223" s="10">
        <v>42095</v>
      </c>
      <c r="U223" s="11">
        <v>47.823050000000002</v>
      </c>
      <c r="V223" s="11">
        <v>-122.58188333333334</v>
      </c>
      <c r="W223" t="str">
        <f>VLOOKUP(B223,[1]Plantings!$A$2:$E$285,4,FALSE)</f>
        <v>polygon</v>
      </c>
      <c r="X223" s="11" t="str">
        <f>VLOOKUP(B223,[1]Plantings!$A$2:$E$285,5,FALSE)</f>
        <v>retain</v>
      </c>
      <c r="Y223" s="16" t="s">
        <v>1</v>
      </c>
      <c r="Z223" s="12"/>
      <c r="AA223" s="38" t="s">
        <v>39</v>
      </c>
      <c r="AB223" s="50"/>
      <c r="AC223" s="50"/>
      <c r="AE223" s="38"/>
      <c r="AF223" s="14"/>
      <c r="AG223" s="21"/>
      <c r="AH223" s="21"/>
      <c r="AI223" s="13" t="str">
        <f t="shared" si="34"/>
        <v/>
      </c>
      <c r="AJ223" s="13" t="str">
        <f t="shared" si="35"/>
        <v/>
      </c>
      <c r="AL223" s="19"/>
    </row>
    <row r="224" spans="1:38" x14ac:dyDescent="0.25">
      <c r="A224" t="s">
        <v>410</v>
      </c>
      <c r="B224" t="s">
        <v>430</v>
      </c>
      <c r="C224" t="str">
        <f>VLOOKUP(B224,[1]Plantings!$A$2:$C$285,2,FALSE)</f>
        <v>PTG_P1</v>
      </c>
      <c r="D224" t="str">
        <f>VLOOKUP(B224,[1]Plantings!$A$2:$C$285,3,FALSE)</f>
        <v>single</v>
      </c>
      <c r="E224">
        <v>2015</v>
      </c>
      <c r="F224" t="s">
        <v>412</v>
      </c>
      <c r="G224" t="s">
        <v>75</v>
      </c>
      <c r="H224" t="s">
        <v>410</v>
      </c>
      <c r="I224" t="s">
        <v>413</v>
      </c>
      <c r="J224" t="s">
        <v>414</v>
      </c>
      <c r="K224" t="s">
        <v>415</v>
      </c>
      <c r="L224" t="s">
        <v>416</v>
      </c>
      <c r="M224" t="s">
        <v>417</v>
      </c>
      <c r="N224" t="s">
        <v>418</v>
      </c>
      <c r="O224" t="s">
        <v>35</v>
      </c>
      <c r="P224" t="s">
        <v>419</v>
      </c>
      <c r="Q224" t="s">
        <v>420</v>
      </c>
      <c r="R224" t="s">
        <v>76</v>
      </c>
      <c r="S224" s="20" t="s">
        <v>70</v>
      </c>
      <c r="T224" s="10">
        <v>42095</v>
      </c>
      <c r="U224" s="11">
        <v>47.823283333333336</v>
      </c>
      <c r="V224" s="11">
        <v>-122.58235000000001</v>
      </c>
      <c r="W224" t="str">
        <f>VLOOKUP(B224,[1]Plantings!$A$2:$E$285,4,FALSE)</f>
        <v>polygon</v>
      </c>
      <c r="X224" s="11" t="str">
        <f>VLOOKUP(B224,[1]Plantings!$A$2:$E$285,5,FALSE)</f>
        <v>retain</v>
      </c>
      <c r="Y224" s="16" t="s">
        <v>1</v>
      </c>
      <c r="Z224" s="12">
        <v>-1.8288</v>
      </c>
      <c r="AA224" s="38" t="s">
        <v>39</v>
      </c>
      <c r="AB224" s="50"/>
      <c r="AC224" s="50"/>
      <c r="AE224" s="38"/>
      <c r="AF224" s="14"/>
      <c r="AG224" s="21"/>
      <c r="AH224" s="21"/>
      <c r="AI224" s="13" t="str">
        <f t="shared" si="34"/>
        <v/>
      </c>
      <c r="AJ224" s="13" t="str">
        <f t="shared" si="35"/>
        <v/>
      </c>
      <c r="AL224" s="19"/>
    </row>
    <row r="225" spans="1:38" x14ac:dyDescent="0.25">
      <c r="A225" t="s">
        <v>410</v>
      </c>
      <c r="B225" t="s">
        <v>431</v>
      </c>
      <c r="C225" t="str">
        <f>VLOOKUP(B225,[1]Plantings!$A$2:$C$285,2,FALSE)</f>
        <v>PTG_P2</v>
      </c>
      <c r="D225" t="str">
        <f>VLOOKUP(B225,[1]Plantings!$A$2:$C$285,3,FALSE)</f>
        <v>single</v>
      </c>
      <c r="E225">
        <v>2015</v>
      </c>
      <c r="F225" t="s">
        <v>412</v>
      </c>
      <c r="G225" t="s">
        <v>75</v>
      </c>
      <c r="H225" t="s">
        <v>410</v>
      </c>
      <c r="I225" t="s">
        <v>413</v>
      </c>
      <c r="J225" t="s">
        <v>414</v>
      </c>
      <c r="K225" t="s">
        <v>415</v>
      </c>
      <c r="L225" t="s">
        <v>416</v>
      </c>
      <c r="M225" t="s">
        <v>417</v>
      </c>
      <c r="N225" t="s">
        <v>418</v>
      </c>
      <c r="O225" t="s">
        <v>35</v>
      </c>
      <c r="P225" t="s">
        <v>419</v>
      </c>
      <c r="Q225" t="s">
        <v>420</v>
      </c>
      <c r="R225" t="s">
        <v>76</v>
      </c>
      <c r="S225" t="s">
        <v>76</v>
      </c>
      <c r="T225" s="10">
        <v>42095</v>
      </c>
      <c r="U225" s="11">
        <v>47.822049999999997</v>
      </c>
      <c r="V225" s="11">
        <v>-122.5805</v>
      </c>
      <c r="W225" t="str">
        <f>VLOOKUP(B225,[1]Plantings!$A$2:$E$285,4,FALSE)</f>
        <v>polygon</v>
      </c>
      <c r="X225" s="11" t="str">
        <f>VLOOKUP(B225,[1]Plantings!$A$2:$E$285,5,FALSE)</f>
        <v>retain</v>
      </c>
      <c r="Y225" s="16" t="s">
        <v>1</v>
      </c>
      <c r="Z225" s="12"/>
      <c r="AA225" s="38" t="s">
        <v>39</v>
      </c>
      <c r="AB225" s="50">
        <v>60</v>
      </c>
      <c r="AC225" s="50">
        <v>36</v>
      </c>
      <c r="AD225">
        <f>AB225*AC225</f>
        <v>2160</v>
      </c>
      <c r="AE225" s="38">
        <v>320</v>
      </c>
      <c r="AF225" s="14">
        <f>IF(AA225="staple",AG225*0.005,IF(AA225="rebar",AG225*0.025,IF(AA225="burlap",AG225*0.0625,IF(AA225="washer",AG225*0.0025,IF(AA225="pucks",AG225*0.00785,IF(AA225="turf",AG225*0.01,IF(AA225="","")))))))</f>
        <v>7.9125000000000005</v>
      </c>
      <c r="AG225" s="15">
        <f>AH225/4</f>
        <v>1582.5</v>
      </c>
      <c r="AH225" s="21">
        <v>6330</v>
      </c>
      <c r="AI225" s="13">
        <f t="shared" si="34"/>
        <v>2.9305555555555554</v>
      </c>
      <c r="AJ225" s="13">
        <f t="shared" si="35"/>
        <v>19.78125</v>
      </c>
      <c r="AK225" t="s">
        <v>421</v>
      </c>
      <c r="AL225" s="19"/>
    </row>
    <row r="226" spans="1:38" x14ac:dyDescent="0.25">
      <c r="A226" t="s">
        <v>410</v>
      </c>
      <c r="B226" t="s">
        <v>432</v>
      </c>
      <c r="C226" t="str">
        <f>VLOOKUP(B226,[1]Plantings!$A$2:$C$285,2,FALSE)</f>
        <v>PTG_P2</v>
      </c>
      <c r="D226" t="str">
        <f>VLOOKUP(B226,[1]Plantings!$A$2:$C$285,3,FALSE)</f>
        <v>single</v>
      </c>
      <c r="E226">
        <v>2015</v>
      </c>
      <c r="F226" t="s">
        <v>412</v>
      </c>
      <c r="G226" t="s">
        <v>75</v>
      </c>
      <c r="H226" t="s">
        <v>410</v>
      </c>
      <c r="I226" t="s">
        <v>413</v>
      </c>
      <c r="J226" t="s">
        <v>414</v>
      </c>
      <c r="K226" t="s">
        <v>415</v>
      </c>
      <c r="L226" t="s">
        <v>416</v>
      </c>
      <c r="M226" t="s">
        <v>417</v>
      </c>
      <c r="N226" t="s">
        <v>418</v>
      </c>
      <c r="O226" t="s">
        <v>35</v>
      </c>
      <c r="P226" t="s">
        <v>419</v>
      </c>
      <c r="Q226" t="s">
        <v>420</v>
      </c>
      <c r="R226" t="s">
        <v>76</v>
      </c>
      <c r="S226" s="20" t="s">
        <v>70</v>
      </c>
      <c r="T226" s="10">
        <v>42095</v>
      </c>
      <c r="U226" s="11">
        <v>47.821750000000002</v>
      </c>
      <c r="V226" s="11">
        <v>-122.57996666666666</v>
      </c>
      <c r="W226" t="str">
        <f>VLOOKUP(B226,[1]Plantings!$A$2:$E$285,4,FALSE)</f>
        <v>polygon</v>
      </c>
      <c r="X226" s="11" t="str">
        <f>VLOOKUP(B226,[1]Plantings!$A$2:$E$285,5,FALSE)</f>
        <v>retain</v>
      </c>
      <c r="Y226" s="16" t="s">
        <v>1</v>
      </c>
      <c r="Z226" s="12"/>
      <c r="AA226" s="38" t="s">
        <v>39</v>
      </c>
      <c r="AB226" s="50"/>
      <c r="AC226" s="50"/>
      <c r="AE226" s="38"/>
      <c r="AF226" s="14"/>
      <c r="AG226" s="21"/>
      <c r="AH226" s="21"/>
      <c r="AI226" s="13" t="str">
        <f t="shared" si="34"/>
        <v/>
      </c>
      <c r="AJ226" s="13" t="str">
        <f t="shared" si="35"/>
        <v/>
      </c>
      <c r="AL226" s="19"/>
    </row>
    <row r="227" spans="1:38" x14ac:dyDescent="0.25">
      <c r="A227" t="s">
        <v>410</v>
      </c>
      <c r="B227" t="s">
        <v>433</v>
      </c>
      <c r="C227" t="str">
        <f>VLOOKUP(B227,[1]Plantings!$A$2:$C$285,2,FALSE)</f>
        <v>PTG_P2</v>
      </c>
      <c r="D227" t="str">
        <f>VLOOKUP(B227,[1]Plantings!$A$2:$C$285,3,FALSE)</f>
        <v>single</v>
      </c>
      <c r="E227">
        <v>2015</v>
      </c>
      <c r="F227" t="s">
        <v>412</v>
      </c>
      <c r="G227" t="s">
        <v>75</v>
      </c>
      <c r="H227" t="s">
        <v>410</v>
      </c>
      <c r="I227" t="s">
        <v>413</v>
      </c>
      <c r="J227" t="s">
        <v>414</v>
      </c>
      <c r="K227" t="s">
        <v>415</v>
      </c>
      <c r="L227" t="s">
        <v>416</v>
      </c>
      <c r="M227" t="s">
        <v>417</v>
      </c>
      <c r="N227" t="s">
        <v>418</v>
      </c>
      <c r="O227" t="s">
        <v>35</v>
      </c>
      <c r="P227" t="s">
        <v>419</v>
      </c>
      <c r="Q227" t="s">
        <v>420</v>
      </c>
      <c r="R227" t="s">
        <v>76</v>
      </c>
      <c r="S227" s="20" t="s">
        <v>70</v>
      </c>
      <c r="T227" s="10">
        <v>42095</v>
      </c>
      <c r="U227" s="11">
        <v>47.821516666666668</v>
      </c>
      <c r="V227" s="11">
        <v>-122.58021666666667</v>
      </c>
      <c r="W227" t="str">
        <f>VLOOKUP(B227,[1]Plantings!$A$2:$E$285,4,FALSE)</f>
        <v>polygon</v>
      </c>
      <c r="X227" s="11" t="str">
        <f>VLOOKUP(B227,[1]Plantings!$A$2:$E$285,5,FALSE)</f>
        <v>retain</v>
      </c>
      <c r="Y227" s="16" t="s">
        <v>1</v>
      </c>
      <c r="Z227" s="12"/>
      <c r="AA227" s="38" t="s">
        <v>39</v>
      </c>
      <c r="AB227" s="50"/>
      <c r="AC227" s="50"/>
      <c r="AE227" s="38"/>
      <c r="AF227" s="14"/>
      <c r="AG227" s="21"/>
      <c r="AH227" s="21"/>
      <c r="AI227" s="13" t="str">
        <f t="shared" si="34"/>
        <v/>
      </c>
      <c r="AJ227" s="13" t="str">
        <f t="shared" si="35"/>
        <v/>
      </c>
      <c r="AL227" s="19"/>
    </row>
    <row r="228" spans="1:38" x14ac:dyDescent="0.25">
      <c r="A228" t="s">
        <v>410</v>
      </c>
      <c r="B228" t="s">
        <v>434</v>
      </c>
      <c r="C228" t="str">
        <f>VLOOKUP(B228,[1]Plantings!$A$2:$C$285,2,FALSE)</f>
        <v>PTG_P2</v>
      </c>
      <c r="D228" t="str">
        <f>VLOOKUP(B228,[1]Plantings!$A$2:$C$285,3,FALSE)</f>
        <v>single</v>
      </c>
      <c r="E228">
        <v>2015</v>
      </c>
      <c r="F228" t="s">
        <v>412</v>
      </c>
      <c r="G228" t="s">
        <v>75</v>
      </c>
      <c r="H228" t="s">
        <v>410</v>
      </c>
      <c r="I228" t="s">
        <v>413</v>
      </c>
      <c r="J228" t="s">
        <v>414</v>
      </c>
      <c r="K228" t="s">
        <v>415</v>
      </c>
      <c r="L228" t="s">
        <v>416</v>
      </c>
      <c r="M228" t="s">
        <v>417</v>
      </c>
      <c r="N228" t="s">
        <v>418</v>
      </c>
      <c r="O228" t="s">
        <v>35</v>
      </c>
      <c r="P228" t="s">
        <v>419</v>
      </c>
      <c r="Q228" t="s">
        <v>420</v>
      </c>
      <c r="R228" t="s">
        <v>76</v>
      </c>
      <c r="S228" s="20" t="s">
        <v>70</v>
      </c>
      <c r="T228" s="10">
        <v>42095</v>
      </c>
      <c r="U228" s="11">
        <v>47.821783333333336</v>
      </c>
      <c r="V228" s="11">
        <v>-122.58091666666667</v>
      </c>
      <c r="W228" t="str">
        <f>VLOOKUP(B228,[1]Plantings!$A$2:$E$285,4,FALSE)</f>
        <v>polygon</v>
      </c>
      <c r="X228" s="11" t="str">
        <f>VLOOKUP(B228,[1]Plantings!$A$2:$E$285,5,FALSE)</f>
        <v>retain</v>
      </c>
      <c r="Y228" s="16" t="s">
        <v>1</v>
      </c>
      <c r="Z228" s="12"/>
      <c r="AA228" s="38" t="s">
        <v>39</v>
      </c>
      <c r="AB228" s="50"/>
      <c r="AC228" s="50"/>
      <c r="AE228" s="38"/>
      <c r="AF228" s="14"/>
      <c r="AG228" s="21"/>
      <c r="AH228" s="21"/>
      <c r="AI228" s="13" t="str">
        <f t="shared" si="34"/>
        <v/>
      </c>
      <c r="AJ228" s="13" t="str">
        <f t="shared" si="35"/>
        <v/>
      </c>
      <c r="AL228" s="19"/>
    </row>
    <row r="229" spans="1:38" x14ac:dyDescent="0.25">
      <c r="A229" t="s">
        <v>410</v>
      </c>
      <c r="B229" t="s">
        <v>435</v>
      </c>
      <c r="C229" t="str">
        <f>VLOOKUP(B229,[1]Plantings!$A$2:$C$285,2,FALSE)</f>
        <v>PTG_P3</v>
      </c>
      <c r="D229" t="str">
        <f>VLOOKUP(B229,[1]Plantings!$A$2:$C$285,3,FALSE)</f>
        <v>single</v>
      </c>
      <c r="E229">
        <v>2015</v>
      </c>
      <c r="F229" t="s">
        <v>412</v>
      </c>
      <c r="G229" t="s">
        <v>75</v>
      </c>
      <c r="H229" t="s">
        <v>410</v>
      </c>
      <c r="I229" t="s">
        <v>413</v>
      </c>
      <c r="J229" t="s">
        <v>414</v>
      </c>
      <c r="K229" t="s">
        <v>415</v>
      </c>
      <c r="L229" t="s">
        <v>416</v>
      </c>
      <c r="M229" t="s">
        <v>417</v>
      </c>
      <c r="N229" t="s">
        <v>418</v>
      </c>
      <c r="O229" t="s">
        <v>35</v>
      </c>
      <c r="P229" t="s">
        <v>419</v>
      </c>
      <c r="Q229" t="s">
        <v>420</v>
      </c>
      <c r="R229" t="s">
        <v>76</v>
      </c>
      <c r="S229" t="s">
        <v>76</v>
      </c>
      <c r="T229" s="10">
        <v>42095</v>
      </c>
      <c r="U229" s="11">
        <v>47.821566666666669</v>
      </c>
      <c r="V229" s="11">
        <v>-122.57801666666667</v>
      </c>
      <c r="W229" t="str">
        <f>VLOOKUP(B229,[1]Plantings!$A$2:$E$285,4,FALSE)</f>
        <v>polygon</v>
      </c>
      <c r="X229" s="11" t="str">
        <f>VLOOKUP(B229,[1]Plantings!$A$2:$E$285,5,FALSE)</f>
        <v>retain</v>
      </c>
      <c r="Y229" s="16" t="s">
        <v>1</v>
      </c>
      <c r="Z229" s="12"/>
      <c r="AA229" s="38" t="s">
        <v>39</v>
      </c>
      <c r="AB229" s="50">
        <v>60</v>
      </c>
      <c r="AC229" s="50">
        <v>36</v>
      </c>
      <c r="AD229">
        <f>AB229*AC229</f>
        <v>2160</v>
      </c>
      <c r="AE229" s="38">
        <v>320</v>
      </c>
      <c r="AF229" s="14">
        <f>IF(AA229="staple",AG229*0.005,IF(AA229="rebar",AG229*0.025,IF(AA229="burlap",AG229*0.0625,IF(AA229="washer",AG229*0.0025,IF(AA229="pucks",AG229*0.00785,IF(AA229="turf",AG229*0.01,IF(AA229="","")))))))</f>
        <v>8</v>
      </c>
      <c r="AG229" s="15">
        <f>AH229/4</f>
        <v>1600</v>
      </c>
      <c r="AH229" s="21">
        <v>6400</v>
      </c>
      <c r="AI229" s="13">
        <f t="shared" si="34"/>
        <v>2.9629629629629628</v>
      </c>
      <c r="AJ229" s="13">
        <f t="shared" si="35"/>
        <v>20</v>
      </c>
      <c r="AK229" t="s">
        <v>421</v>
      </c>
      <c r="AL229" s="19"/>
    </row>
    <row r="230" spans="1:38" x14ac:dyDescent="0.25">
      <c r="A230" t="s">
        <v>410</v>
      </c>
      <c r="B230" t="s">
        <v>436</v>
      </c>
      <c r="C230" t="str">
        <f>VLOOKUP(B230,[1]Plantings!$A$2:$C$285,2,FALSE)</f>
        <v>PTG_P3</v>
      </c>
      <c r="D230" t="str">
        <f>VLOOKUP(B230,[1]Plantings!$A$2:$C$285,3,FALSE)</f>
        <v>single</v>
      </c>
      <c r="E230">
        <v>2015</v>
      </c>
      <c r="F230" t="s">
        <v>412</v>
      </c>
      <c r="G230" t="s">
        <v>75</v>
      </c>
      <c r="H230" t="s">
        <v>410</v>
      </c>
      <c r="I230" t="s">
        <v>413</v>
      </c>
      <c r="J230" t="s">
        <v>414</v>
      </c>
      <c r="K230" t="s">
        <v>415</v>
      </c>
      <c r="L230" t="s">
        <v>416</v>
      </c>
      <c r="M230" t="s">
        <v>417</v>
      </c>
      <c r="N230" t="s">
        <v>418</v>
      </c>
      <c r="O230" t="s">
        <v>35</v>
      </c>
      <c r="P230" t="s">
        <v>419</v>
      </c>
      <c r="Q230" t="s">
        <v>420</v>
      </c>
      <c r="R230" t="s">
        <v>76</v>
      </c>
      <c r="S230" s="20" t="s">
        <v>70</v>
      </c>
      <c r="T230" s="10">
        <v>42095</v>
      </c>
      <c r="U230" s="11">
        <v>47.821516666666668</v>
      </c>
      <c r="V230" s="11">
        <v>-122.57721666666667</v>
      </c>
      <c r="W230" t="str">
        <f>VLOOKUP(B230,[1]Plantings!$A$2:$E$285,4,FALSE)</f>
        <v>polygon</v>
      </c>
      <c r="X230" s="11" t="str">
        <f>VLOOKUP(B230,[1]Plantings!$A$2:$E$285,5,FALSE)</f>
        <v>retain</v>
      </c>
      <c r="Y230" s="16" t="s">
        <v>1</v>
      </c>
      <c r="Z230" s="12"/>
      <c r="AA230" s="38" t="s">
        <v>39</v>
      </c>
      <c r="AB230" s="50"/>
      <c r="AC230" s="50"/>
      <c r="AE230" s="38"/>
      <c r="AF230" s="14"/>
      <c r="AG230" s="21"/>
      <c r="AH230" s="21"/>
      <c r="AI230" s="13" t="str">
        <f t="shared" si="34"/>
        <v/>
      </c>
      <c r="AJ230" s="13" t="str">
        <f t="shared" si="35"/>
        <v/>
      </c>
      <c r="AL230" s="19"/>
    </row>
    <row r="231" spans="1:38" x14ac:dyDescent="0.25">
      <c r="A231" t="s">
        <v>410</v>
      </c>
      <c r="B231" t="s">
        <v>437</v>
      </c>
      <c r="C231" t="str">
        <f>VLOOKUP(B231,[1]Plantings!$A$2:$C$285,2,FALSE)</f>
        <v>PTG_P3</v>
      </c>
      <c r="D231" t="str">
        <f>VLOOKUP(B231,[1]Plantings!$A$2:$C$285,3,FALSE)</f>
        <v>single</v>
      </c>
      <c r="E231">
        <v>2015</v>
      </c>
      <c r="F231" t="s">
        <v>412</v>
      </c>
      <c r="G231" t="s">
        <v>75</v>
      </c>
      <c r="H231" t="s">
        <v>410</v>
      </c>
      <c r="I231" t="s">
        <v>413</v>
      </c>
      <c r="J231" t="s">
        <v>414</v>
      </c>
      <c r="K231" t="s">
        <v>415</v>
      </c>
      <c r="L231" t="s">
        <v>416</v>
      </c>
      <c r="M231" t="s">
        <v>417</v>
      </c>
      <c r="N231" t="s">
        <v>418</v>
      </c>
      <c r="O231" t="s">
        <v>35</v>
      </c>
      <c r="P231" t="s">
        <v>419</v>
      </c>
      <c r="Q231" t="s">
        <v>420</v>
      </c>
      <c r="R231" t="s">
        <v>76</v>
      </c>
      <c r="S231" s="20" t="s">
        <v>70</v>
      </c>
      <c r="T231" s="10">
        <v>42095</v>
      </c>
      <c r="U231" s="11">
        <v>47.82118333333333</v>
      </c>
      <c r="V231" s="11">
        <v>-122.57711666666667</v>
      </c>
      <c r="W231" t="str">
        <f>VLOOKUP(B231,[1]Plantings!$A$2:$E$285,4,FALSE)</f>
        <v>polygon</v>
      </c>
      <c r="X231" s="11" t="str">
        <f>VLOOKUP(B231,[1]Plantings!$A$2:$E$285,5,FALSE)</f>
        <v>retain</v>
      </c>
      <c r="Y231" s="16" t="s">
        <v>1</v>
      </c>
      <c r="Z231" s="12"/>
      <c r="AA231" s="38" t="s">
        <v>39</v>
      </c>
      <c r="AB231" s="50"/>
      <c r="AC231" s="50"/>
      <c r="AE231" s="38"/>
      <c r="AF231" s="14"/>
      <c r="AG231" s="21"/>
      <c r="AH231" s="21"/>
      <c r="AI231" s="13" t="str">
        <f t="shared" si="34"/>
        <v/>
      </c>
      <c r="AJ231" s="13" t="str">
        <f t="shared" si="35"/>
        <v/>
      </c>
      <c r="AL231" s="19"/>
    </row>
    <row r="232" spans="1:38" x14ac:dyDescent="0.25">
      <c r="A232" t="s">
        <v>410</v>
      </c>
      <c r="B232" t="s">
        <v>438</v>
      </c>
      <c r="C232" t="str">
        <f>VLOOKUP(B232,[1]Plantings!$A$2:$C$285,2,FALSE)</f>
        <v>PTG_P3</v>
      </c>
      <c r="D232" t="str">
        <f>VLOOKUP(B232,[1]Plantings!$A$2:$C$285,3,FALSE)</f>
        <v>single</v>
      </c>
      <c r="E232">
        <v>2015</v>
      </c>
      <c r="F232" t="s">
        <v>412</v>
      </c>
      <c r="G232" t="s">
        <v>75</v>
      </c>
      <c r="H232" t="s">
        <v>410</v>
      </c>
      <c r="I232" t="s">
        <v>413</v>
      </c>
      <c r="J232" t="s">
        <v>414</v>
      </c>
      <c r="K232" t="s">
        <v>415</v>
      </c>
      <c r="L232" t="s">
        <v>416</v>
      </c>
      <c r="M232" t="s">
        <v>417</v>
      </c>
      <c r="N232" t="s">
        <v>418</v>
      </c>
      <c r="O232" t="s">
        <v>35</v>
      </c>
      <c r="P232" t="s">
        <v>419</v>
      </c>
      <c r="Q232" t="s">
        <v>420</v>
      </c>
      <c r="R232" t="s">
        <v>76</v>
      </c>
      <c r="S232" s="20" t="s">
        <v>70</v>
      </c>
      <c r="T232" s="10">
        <v>42095</v>
      </c>
      <c r="U232" s="11">
        <v>47.821216666666665</v>
      </c>
      <c r="V232" s="11">
        <v>-122.57791666666667</v>
      </c>
      <c r="W232" t="str">
        <f>VLOOKUP(B232,[1]Plantings!$A$2:$E$285,4,FALSE)</f>
        <v>polygon</v>
      </c>
      <c r="X232" s="11" t="str">
        <f>VLOOKUP(B232,[1]Plantings!$A$2:$E$285,5,FALSE)</f>
        <v>retain</v>
      </c>
      <c r="Y232" s="16" t="s">
        <v>1</v>
      </c>
      <c r="Z232" s="12">
        <v>-1.8288</v>
      </c>
      <c r="AA232" s="38" t="s">
        <v>39</v>
      </c>
      <c r="AB232" s="50"/>
      <c r="AC232" s="50"/>
      <c r="AE232" s="38"/>
      <c r="AF232" s="14"/>
      <c r="AG232" s="21"/>
      <c r="AH232" s="21"/>
      <c r="AI232" s="13" t="str">
        <f t="shared" si="34"/>
        <v/>
      </c>
      <c r="AJ232" s="13" t="str">
        <f t="shared" si="35"/>
        <v/>
      </c>
      <c r="AL232" s="19"/>
    </row>
    <row r="233" spans="1:38" x14ac:dyDescent="0.25">
      <c r="A233" t="s">
        <v>410</v>
      </c>
      <c r="B233" t="s">
        <v>439</v>
      </c>
      <c r="C233" t="str">
        <f>VLOOKUP(B233,[1]Plantings!$A$2:$C$285,2,FALSE)</f>
        <v>PTG_P4</v>
      </c>
      <c r="D233" t="str">
        <f>VLOOKUP(B233,[1]Plantings!$A$2:$C$285,3,FALSE)</f>
        <v>single</v>
      </c>
      <c r="E233">
        <v>2015</v>
      </c>
      <c r="F233" t="s">
        <v>412</v>
      </c>
      <c r="G233" t="s">
        <v>75</v>
      </c>
      <c r="H233" t="s">
        <v>410</v>
      </c>
      <c r="I233" t="s">
        <v>413</v>
      </c>
      <c r="J233" t="s">
        <v>414</v>
      </c>
      <c r="K233" t="s">
        <v>415</v>
      </c>
      <c r="L233" t="s">
        <v>416</v>
      </c>
      <c r="M233" t="s">
        <v>417</v>
      </c>
      <c r="N233" t="s">
        <v>418</v>
      </c>
      <c r="O233" t="s">
        <v>35</v>
      </c>
      <c r="P233" t="s">
        <v>419</v>
      </c>
      <c r="Q233" t="s">
        <v>420</v>
      </c>
      <c r="R233" t="s">
        <v>76</v>
      </c>
      <c r="S233" t="s">
        <v>76</v>
      </c>
      <c r="T233" s="10">
        <v>42095</v>
      </c>
      <c r="U233" s="11">
        <v>47.821666666666665</v>
      </c>
      <c r="V233" s="11">
        <v>-122.57623333333333</v>
      </c>
      <c r="W233" t="str">
        <f>VLOOKUP(B233,[1]Plantings!$A$2:$E$285,4,FALSE)</f>
        <v>polygon</v>
      </c>
      <c r="X233" s="11" t="str">
        <f>VLOOKUP(B233,[1]Plantings!$A$2:$E$285,5,FALSE)</f>
        <v>retain</v>
      </c>
      <c r="Y233" s="16" t="s">
        <v>1</v>
      </c>
      <c r="Z233" s="12"/>
      <c r="AA233" s="38" t="s">
        <v>39</v>
      </c>
      <c r="AB233" s="50">
        <v>60</v>
      </c>
      <c r="AC233" s="50">
        <v>36</v>
      </c>
      <c r="AD233">
        <f>AB233*AC233</f>
        <v>2160</v>
      </c>
      <c r="AE233" s="38">
        <v>320</v>
      </c>
      <c r="AF233" s="14">
        <f>IF(AA233="staple",AG233*0.005,IF(AA233="rebar",AG233*0.025,IF(AA233="burlap",AG233*0.0625,IF(AA233="washer",AG233*0.0025,IF(AA233="pucks",AG233*0.00785,IF(AA233="turf",AG233*0.01,IF(AA233="","")))))))</f>
        <v>7.9649999999999999</v>
      </c>
      <c r="AG233" s="15">
        <f>AH233/4</f>
        <v>1593</v>
      </c>
      <c r="AH233" s="21">
        <v>6372</v>
      </c>
      <c r="AI233" s="13">
        <f t="shared" si="34"/>
        <v>2.95</v>
      </c>
      <c r="AJ233" s="13">
        <f t="shared" si="35"/>
        <v>19.912500000000001</v>
      </c>
      <c r="AK233" t="s">
        <v>421</v>
      </c>
      <c r="AL233" s="19"/>
    </row>
    <row r="234" spans="1:38" x14ac:dyDescent="0.25">
      <c r="A234" t="s">
        <v>410</v>
      </c>
      <c r="B234" t="s">
        <v>440</v>
      </c>
      <c r="C234" t="str">
        <f>VLOOKUP(B234,[1]Plantings!$A$2:$C$285,2,FALSE)</f>
        <v>PTG_P4</v>
      </c>
      <c r="D234" t="str">
        <f>VLOOKUP(B234,[1]Plantings!$A$2:$C$285,3,FALSE)</f>
        <v>single</v>
      </c>
      <c r="E234">
        <v>2015</v>
      </c>
      <c r="F234" t="s">
        <v>412</v>
      </c>
      <c r="G234" t="s">
        <v>75</v>
      </c>
      <c r="H234" t="s">
        <v>410</v>
      </c>
      <c r="I234" t="s">
        <v>413</v>
      </c>
      <c r="J234" t="s">
        <v>414</v>
      </c>
      <c r="K234" t="s">
        <v>415</v>
      </c>
      <c r="L234" t="s">
        <v>416</v>
      </c>
      <c r="M234" t="s">
        <v>417</v>
      </c>
      <c r="N234" t="s">
        <v>418</v>
      </c>
      <c r="O234" t="s">
        <v>35</v>
      </c>
      <c r="P234" t="s">
        <v>419</v>
      </c>
      <c r="Q234" t="s">
        <v>420</v>
      </c>
      <c r="R234" t="s">
        <v>76</v>
      </c>
      <c r="S234" s="20" t="s">
        <v>70</v>
      </c>
      <c r="T234" s="10">
        <v>42095</v>
      </c>
      <c r="U234" s="11">
        <v>47.821533333333335</v>
      </c>
      <c r="V234" s="11">
        <v>-122.57538333333333</v>
      </c>
      <c r="W234" t="str">
        <f>VLOOKUP(B234,[1]Plantings!$A$2:$E$285,4,FALSE)</f>
        <v>polygon</v>
      </c>
      <c r="X234" s="11" t="str">
        <f>VLOOKUP(B234,[1]Plantings!$A$2:$E$285,5,FALSE)</f>
        <v>retain</v>
      </c>
      <c r="Y234" s="16" t="s">
        <v>1</v>
      </c>
      <c r="Z234" s="12">
        <v>-2.7431999999999999</v>
      </c>
      <c r="AA234" s="38" t="s">
        <v>39</v>
      </c>
      <c r="AF234" s="14"/>
      <c r="AG234" s="15"/>
      <c r="AH234" s="15"/>
      <c r="AI234" s="13" t="str">
        <f t="shared" si="34"/>
        <v/>
      </c>
      <c r="AJ234" s="13" t="str">
        <f t="shared" si="35"/>
        <v/>
      </c>
      <c r="AL234" s="19"/>
    </row>
    <row r="235" spans="1:38" x14ac:dyDescent="0.25">
      <c r="A235" t="s">
        <v>410</v>
      </c>
      <c r="B235" t="s">
        <v>441</v>
      </c>
      <c r="C235" t="str">
        <f>VLOOKUP(B235,[1]Plantings!$A$2:$C$285,2,FALSE)</f>
        <v>PTG_P4</v>
      </c>
      <c r="D235" t="str">
        <f>VLOOKUP(B235,[1]Plantings!$A$2:$C$285,3,FALSE)</f>
        <v>single</v>
      </c>
      <c r="E235">
        <v>2015</v>
      </c>
      <c r="F235" t="s">
        <v>412</v>
      </c>
      <c r="G235" t="s">
        <v>75</v>
      </c>
      <c r="H235" t="s">
        <v>410</v>
      </c>
      <c r="I235" t="s">
        <v>413</v>
      </c>
      <c r="J235" t="s">
        <v>414</v>
      </c>
      <c r="K235" t="s">
        <v>415</v>
      </c>
      <c r="L235" t="s">
        <v>416</v>
      </c>
      <c r="M235" t="s">
        <v>417</v>
      </c>
      <c r="N235" t="s">
        <v>418</v>
      </c>
      <c r="O235" t="s">
        <v>35</v>
      </c>
      <c r="P235" t="s">
        <v>419</v>
      </c>
      <c r="Q235" t="s">
        <v>420</v>
      </c>
      <c r="R235" t="s">
        <v>76</v>
      </c>
      <c r="S235" s="20" t="s">
        <v>70</v>
      </c>
      <c r="T235" s="10">
        <v>42095</v>
      </c>
      <c r="U235" s="11">
        <v>47.821216666666665</v>
      </c>
      <c r="V235" s="11">
        <v>-122.57528333333333</v>
      </c>
      <c r="W235" t="str">
        <f>VLOOKUP(B235,[1]Plantings!$A$2:$E$285,4,FALSE)</f>
        <v>polygon</v>
      </c>
      <c r="X235" s="11" t="str">
        <f>VLOOKUP(B235,[1]Plantings!$A$2:$E$285,5,FALSE)</f>
        <v>retain</v>
      </c>
      <c r="Y235" s="16" t="s">
        <v>1</v>
      </c>
      <c r="Z235" s="12"/>
      <c r="AA235" s="38" t="s">
        <v>39</v>
      </c>
      <c r="AF235" s="14"/>
      <c r="AG235" s="15"/>
      <c r="AH235" s="15"/>
      <c r="AI235" s="13" t="str">
        <f t="shared" si="34"/>
        <v/>
      </c>
      <c r="AJ235" s="13" t="str">
        <f t="shared" si="35"/>
        <v/>
      </c>
      <c r="AL235" s="19"/>
    </row>
    <row r="236" spans="1:38" x14ac:dyDescent="0.25">
      <c r="A236" t="s">
        <v>410</v>
      </c>
      <c r="B236" t="s">
        <v>442</v>
      </c>
      <c r="C236" t="str">
        <f>VLOOKUP(B236,[1]Plantings!$A$2:$C$285,2,FALSE)</f>
        <v>PTG_P4</v>
      </c>
      <c r="D236" t="str">
        <f>VLOOKUP(B236,[1]Plantings!$A$2:$C$285,3,FALSE)</f>
        <v>single</v>
      </c>
      <c r="E236">
        <v>2015</v>
      </c>
      <c r="F236" t="s">
        <v>412</v>
      </c>
      <c r="G236" t="s">
        <v>75</v>
      </c>
      <c r="H236" t="s">
        <v>410</v>
      </c>
      <c r="I236" t="s">
        <v>413</v>
      </c>
      <c r="J236" t="s">
        <v>414</v>
      </c>
      <c r="K236" t="s">
        <v>415</v>
      </c>
      <c r="L236" t="s">
        <v>416</v>
      </c>
      <c r="M236" t="s">
        <v>417</v>
      </c>
      <c r="N236" t="s">
        <v>418</v>
      </c>
      <c r="O236" t="s">
        <v>35</v>
      </c>
      <c r="P236" t="s">
        <v>419</v>
      </c>
      <c r="Q236" t="s">
        <v>420</v>
      </c>
      <c r="R236" t="s">
        <v>76</v>
      </c>
      <c r="S236" s="20" t="s">
        <v>70</v>
      </c>
      <c r="T236" s="10">
        <v>42095</v>
      </c>
      <c r="U236" s="11">
        <v>47.821283333333334</v>
      </c>
      <c r="V236" s="11">
        <v>-122.57618333333333</v>
      </c>
      <c r="W236" t="str">
        <f>VLOOKUP(B236,[1]Plantings!$A$2:$E$285,4,FALSE)</f>
        <v>polygon</v>
      </c>
      <c r="X236" s="11" t="str">
        <f>VLOOKUP(B236,[1]Plantings!$A$2:$E$285,5,FALSE)</f>
        <v>retain</v>
      </c>
      <c r="Y236" s="16" t="s">
        <v>1</v>
      </c>
      <c r="Z236" s="12"/>
      <c r="AA236" s="38" t="s">
        <v>39</v>
      </c>
      <c r="AF236" s="14"/>
      <c r="AG236" s="15"/>
      <c r="AH236" s="15"/>
      <c r="AI236" s="13" t="str">
        <f t="shared" si="34"/>
        <v/>
      </c>
      <c r="AJ236" s="13" t="str">
        <f t="shared" si="35"/>
        <v/>
      </c>
      <c r="AL236" s="19"/>
    </row>
    <row r="237" spans="1:38" x14ac:dyDescent="0.25">
      <c r="A237" t="s">
        <v>22</v>
      </c>
      <c r="B237" s="4" t="s">
        <v>443</v>
      </c>
      <c r="C237" t="str">
        <f>VLOOKUP(B237,[1]Plantings!$A$2:$C$285,2,FALSE)</f>
        <v>QMH_1S</v>
      </c>
      <c r="D237" t="str">
        <f>VLOOKUP(B237,[1]Plantings!$A$2:$C$285,3,FALSE)</f>
        <v>single</v>
      </c>
      <c r="E237" s="4">
        <v>2018</v>
      </c>
      <c r="G237" s="4" t="s">
        <v>0</v>
      </c>
      <c r="H237" s="4" t="s">
        <v>22</v>
      </c>
      <c r="I237" s="4" t="s">
        <v>29</v>
      </c>
      <c r="J237" s="7" t="s">
        <v>86</v>
      </c>
      <c r="K237" s="7" t="s">
        <v>17</v>
      </c>
      <c r="L237" s="7" t="s">
        <v>17</v>
      </c>
      <c r="M237" s="7" t="s">
        <v>112</v>
      </c>
      <c r="O237" s="4" t="s">
        <v>35</v>
      </c>
      <c r="P237" s="4" t="s">
        <v>113</v>
      </c>
      <c r="R237" t="s">
        <v>38</v>
      </c>
      <c r="S237" t="s">
        <v>38</v>
      </c>
      <c r="T237" s="10">
        <v>43250</v>
      </c>
      <c r="U237" s="11">
        <v>47.383499999999998</v>
      </c>
      <c r="V237" s="11">
        <v>-122.45133</v>
      </c>
      <c r="W237" t="str">
        <f>VLOOKUP(B237,[1]Plantings!$A$2:$E$285,4,FALSE)</f>
        <v>point</v>
      </c>
      <c r="X237" s="11" t="str">
        <f>VLOOKUP(B237,[1]Plantings!$A$2:$E$285,5,FALSE)</f>
        <v>retain</v>
      </c>
      <c r="Y237" s="22" t="s">
        <v>1</v>
      </c>
      <c r="Z237" s="12">
        <v>-1.0363199999999999</v>
      </c>
      <c r="AA237" s="43" t="s">
        <v>54</v>
      </c>
      <c r="AB237">
        <v>12</v>
      </c>
      <c r="AC237">
        <v>1</v>
      </c>
      <c r="AD237">
        <f t="shared" ref="AD237:AD269" si="36">AB237*AC237</f>
        <v>12</v>
      </c>
      <c r="AE237">
        <f t="shared" ref="AE237:AE245" si="37">AG237*0.25</f>
        <v>7.5</v>
      </c>
      <c r="AF237" s="14">
        <f t="shared" ref="AF237:AF251" si="38">IF(AA237="staple",AG237*0.005,IF(AA237="rebar",AG237*0.025,IF(AA237="burlap",AG237*0.0625,IF(AA237="washer",AG237*0.0025,IF(AA237="pucks",AG237*0.00785,IF(AA237="turf",AG237*0.01,IF(AA237="","")))))))</f>
        <v>0.75</v>
      </c>
      <c r="AG237" s="15">
        <v>30</v>
      </c>
      <c r="AH237" s="15">
        <v>600</v>
      </c>
      <c r="AI237" s="13">
        <f t="shared" si="34"/>
        <v>50</v>
      </c>
      <c r="AJ237" s="13">
        <f t="shared" si="35"/>
        <v>80</v>
      </c>
      <c r="AK237" t="s">
        <v>24</v>
      </c>
      <c r="AL237" s="3" t="s">
        <v>444</v>
      </c>
    </row>
    <row r="238" spans="1:38" x14ac:dyDescent="0.25">
      <c r="A238" t="s">
        <v>22</v>
      </c>
      <c r="B238" s="4" t="s">
        <v>445</v>
      </c>
      <c r="C238" t="str">
        <f>VLOOKUP(B238,[1]Plantings!$A$2:$C$285,2,FALSE)</f>
        <v>QMH_1D</v>
      </c>
      <c r="D238" t="str">
        <f>VLOOKUP(B238,[1]Plantings!$A$2:$C$285,3,FALSE)</f>
        <v>single</v>
      </c>
      <c r="E238" s="4">
        <v>2018</v>
      </c>
      <c r="G238" s="4" t="s">
        <v>0</v>
      </c>
      <c r="H238" s="4" t="s">
        <v>22</v>
      </c>
      <c r="I238" s="4" t="s">
        <v>29</v>
      </c>
      <c r="J238" s="7" t="s">
        <v>86</v>
      </c>
      <c r="K238" s="7" t="s">
        <v>17</v>
      </c>
      <c r="L238" s="7" t="s">
        <v>17</v>
      </c>
      <c r="M238" s="7" t="s">
        <v>112</v>
      </c>
      <c r="O238" s="4" t="s">
        <v>35</v>
      </c>
      <c r="P238" s="4" t="s">
        <v>113</v>
      </c>
      <c r="R238" t="s">
        <v>38</v>
      </c>
      <c r="S238" t="s">
        <v>38</v>
      </c>
      <c r="T238" s="10">
        <v>43250</v>
      </c>
      <c r="U238" s="11">
        <v>47.383339999999997</v>
      </c>
      <c r="V238" s="11">
        <v>-122.4513</v>
      </c>
      <c r="W238" t="str">
        <f>VLOOKUP(B238,[1]Plantings!$A$2:$E$285,4,FALSE)</f>
        <v>point</v>
      </c>
      <c r="X238" s="11" t="str">
        <f>VLOOKUP(B238,[1]Plantings!$A$2:$E$285,5,FALSE)</f>
        <v>retain</v>
      </c>
      <c r="Y238" s="22" t="s">
        <v>1</v>
      </c>
      <c r="Z238" s="12">
        <v>-1.8897600000000001</v>
      </c>
      <c r="AA238" s="43" t="s">
        <v>54</v>
      </c>
      <c r="AB238">
        <v>12</v>
      </c>
      <c r="AC238">
        <v>1</v>
      </c>
      <c r="AD238">
        <f t="shared" si="36"/>
        <v>12</v>
      </c>
      <c r="AE238">
        <f t="shared" si="37"/>
        <v>7.5</v>
      </c>
      <c r="AF238" s="14">
        <f t="shared" si="38"/>
        <v>0.75</v>
      </c>
      <c r="AG238" s="15">
        <v>30</v>
      </c>
      <c r="AH238" s="15">
        <v>600</v>
      </c>
      <c r="AI238" s="13">
        <f t="shared" si="34"/>
        <v>50</v>
      </c>
      <c r="AJ238" s="13">
        <f t="shared" si="35"/>
        <v>80</v>
      </c>
      <c r="AK238" t="s">
        <v>24</v>
      </c>
      <c r="AL238" s="3" t="s">
        <v>446</v>
      </c>
    </row>
    <row r="239" spans="1:38" x14ac:dyDescent="0.25">
      <c r="A239" t="s">
        <v>22</v>
      </c>
      <c r="B239" s="4" t="s">
        <v>447</v>
      </c>
      <c r="C239" t="str">
        <f>VLOOKUP(B239,[1]Plantings!$A$2:$C$285,2,FALSE)</f>
        <v>QMH_4S</v>
      </c>
      <c r="D239" t="str">
        <f>VLOOKUP(B239,[1]Plantings!$A$2:$C$285,3,FALSE)</f>
        <v>single</v>
      </c>
      <c r="E239" s="4">
        <v>2018</v>
      </c>
      <c r="G239" s="4" t="s">
        <v>0</v>
      </c>
      <c r="H239" s="4" t="s">
        <v>22</v>
      </c>
      <c r="I239" s="4" t="s">
        <v>29</v>
      </c>
      <c r="J239" s="7" t="s">
        <v>86</v>
      </c>
      <c r="K239" s="7" t="s">
        <v>17</v>
      </c>
      <c r="L239" s="7" t="s">
        <v>17</v>
      </c>
      <c r="M239" s="7" t="s">
        <v>112</v>
      </c>
      <c r="O239" s="4" t="s">
        <v>35</v>
      </c>
      <c r="P239" s="4" t="s">
        <v>113</v>
      </c>
      <c r="R239" t="s">
        <v>38</v>
      </c>
      <c r="S239" t="s">
        <v>38</v>
      </c>
      <c r="T239" s="10">
        <v>43250</v>
      </c>
      <c r="U239" s="11">
        <v>47.390659999999997</v>
      </c>
      <c r="V239" s="11">
        <v>-122.43606</v>
      </c>
      <c r="W239" t="str">
        <f>VLOOKUP(B239,[1]Plantings!$A$2:$E$285,4,FALSE)</f>
        <v>point</v>
      </c>
      <c r="X239" s="11" t="str">
        <f>VLOOKUP(B239,[1]Plantings!$A$2:$E$285,5,FALSE)</f>
        <v>retain</v>
      </c>
      <c r="Y239" s="22" t="s">
        <v>1</v>
      </c>
      <c r="Z239" s="12">
        <v>-1.2192000000000001</v>
      </c>
      <c r="AA239" s="43" t="s">
        <v>54</v>
      </c>
      <c r="AB239">
        <v>12</v>
      </c>
      <c r="AC239">
        <v>1</v>
      </c>
      <c r="AD239">
        <f t="shared" si="36"/>
        <v>12</v>
      </c>
      <c r="AE239">
        <f t="shared" si="37"/>
        <v>7.5</v>
      </c>
      <c r="AF239" s="14">
        <f t="shared" si="38"/>
        <v>0.75</v>
      </c>
      <c r="AG239" s="15">
        <v>30</v>
      </c>
      <c r="AH239" s="15">
        <v>600</v>
      </c>
      <c r="AI239" s="13">
        <f t="shared" si="34"/>
        <v>50</v>
      </c>
      <c r="AJ239" s="13">
        <f t="shared" si="35"/>
        <v>80</v>
      </c>
      <c r="AK239" t="s">
        <v>24</v>
      </c>
      <c r="AL239" s="3" t="s">
        <v>448</v>
      </c>
    </row>
    <row r="240" spans="1:38" x14ac:dyDescent="0.25">
      <c r="A240" t="s">
        <v>22</v>
      </c>
      <c r="B240" s="4" t="s">
        <v>449</v>
      </c>
      <c r="C240" t="str">
        <f>VLOOKUP(B240,[1]Plantings!$A$2:$C$285,2,FALSE)</f>
        <v>QMH_4D</v>
      </c>
      <c r="D240" t="str">
        <f>VLOOKUP(B240,[1]Plantings!$A$2:$C$285,3,FALSE)</f>
        <v>single</v>
      </c>
      <c r="E240" s="4">
        <v>2018</v>
      </c>
      <c r="G240" s="4" t="s">
        <v>0</v>
      </c>
      <c r="H240" s="4" t="s">
        <v>22</v>
      </c>
      <c r="I240" s="4" t="s">
        <v>29</v>
      </c>
      <c r="J240" s="7" t="s">
        <v>86</v>
      </c>
      <c r="K240" s="7" t="s">
        <v>17</v>
      </c>
      <c r="L240" s="7" t="s">
        <v>17</v>
      </c>
      <c r="M240" s="7" t="s">
        <v>112</v>
      </c>
      <c r="O240" s="4" t="s">
        <v>35</v>
      </c>
      <c r="P240" s="4" t="s">
        <v>113</v>
      </c>
      <c r="R240" t="s">
        <v>38</v>
      </c>
      <c r="S240" t="s">
        <v>38</v>
      </c>
      <c r="T240" s="10">
        <v>43250</v>
      </c>
      <c r="U240" s="11">
        <v>47.390219999999999</v>
      </c>
      <c r="V240" s="11">
        <v>-122.43597</v>
      </c>
      <c r="W240" t="str">
        <f>VLOOKUP(B240,[1]Plantings!$A$2:$E$285,4,FALSE)</f>
        <v>point</v>
      </c>
      <c r="X240" s="11" t="str">
        <f>VLOOKUP(B240,[1]Plantings!$A$2:$E$285,5,FALSE)</f>
        <v>retain</v>
      </c>
      <c r="Y240" s="22" t="s">
        <v>1</v>
      </c>
      <c r="Z240" s="12">
        <v>-1.61544</v>
      </c>
      <c r="AA240" s="43" t="s">
        <v>54</v>
      </c>
      <c r="AB240">
        <v>12</v>
      </c>
      <c r="AC240">
        <v>1</v>
      </c>
      <c r="AD240">
        <f t="shared" si="36"/>
        <v>12</v>
      </c>
      <c r="AE240">
        <f t="shared" si="37"/>
        <v>7.5</v>
      </c>
      <c r="AF240" s="14">
        <f t="shared" si="38"/>
        <v>0.75</v>
      </c>
      <c r="AG240" s="15">
        <v>30</v>
      </c>
      <c r="AH240" s="15">
        <v>600</v>
      </c>
      <c r="AI240" s="13">
        <f t="shared" si="34"/>
        <v>50</v>
      </c>
      <c r="AJ240" s="13">
        <f t="shared" si="35"/>
        <v>80</v>
      </c>
      <c r="AK240" t="s">
        <v>24</v>
      </c>
      <c r="AL240" s="3" t="s">
        <v>448</v>
      </c>
    </row>
    <row r="241" spans="1:38" x14ac:dyDescent="0.25">
      <c r="A241" t="s">
        <v>22</v>
      </c>
      <c r="B241" s="4" t="s">
        <v>450</v>
      </c>
      <c r="C241" t="str">
        <f>VLOOKUP(B241,[1]Plantings!$A$2:$C$285,2,FALSE)</f>
        <v>QMH_5S</v>
      </c>
      <c r="D241" t="str">
        <f>VLOOKUP(B241,[1]Plantings!$A$2:$C$285,3,FALSE)</f>
        <v>single</v>
      </c>
      <c r="E241" s="4">
        <v>2018</v>
      </c>
      <c r="G241" s="4" t="s">
        <v>0</v>
      </c>
      <c r="H241" s="4" t="s">
        <v>22</v>
      </c>
      <c r="I241" s="4" t="s">
        <v>29</v>
      </c>
      <c r="J241" s="7" t="s">
        <v>86</v>
      </c>
      <c r="K241" s="7" t="s">
        <v>17</v>
      </c>
      <c r="L241" s="7" t="s">
        <v>17</v>
      </c>
      <c r="M241" s="7" t="s">
        <v>112</v>
      </c>
      <c r="O241" s="4" t="s">
        <v>35</v>
      </c>
      <c r="P241" s="4" t="s">
        <v>113</v>
      </c>
      <c r="R241" t="s">
        <v>38</v>
      </c>
      <c r="S241" t="s">
        <v>38</v>
      </c>
      <c r="T241" s="10">
        <v>43251</v>
      </c>
      <c r="U241" s="11">
        <v>47.385919999999999</v>
      </c>
      <c r="V241" s="11">
        <v>-122.43792999999999</v>
      </c>
      <c r="W241" t="str">
        <f>VLOOKUP(B241,[1]Plantings!$A$2:$E$285,4,FALSE)</f>
        <v>point</v>
      </c>
      <c r="X241" s="11" t="str">
        <f>VLOOKUP(B241,[1]Plantings!$A$2:$E$285,5,FALSE)</f>
        <v>retain</v>
      </c>
      <c r="Y241" s="22" t="s">
        <v>1</v>
      </c>
      <c r="Z241" s="12">
        <v>-1.18872</v>
      </c>
      <c r="AA241" s="43" t="s">
        <v>54</v>
      </c>
      <c r="AB241">
        <v>12</v>
      </c>
      <c r="AC241">
        <v>1</v>
      </c>
      <c r="AD241">
        <f t="shared" si="36"/>
        <v>12</v>
      </c>
      <c r="AE241">
        <f t="shared" si="37"/>
        <v>7.5</v>
      </c>
      <c r="AF241" s="14">
        <f t="shared" si="38"/>
        <v>0.75</v>
      </c>
      <c r="AG241" s="15">
        <v>30</v>
      </c>
      <c r="AH241" s="15">
        <v>600</v>
      </c>
      <c r="AI241" s="13">
        <f t="shared" si="34"/>
        <v>50</v>
      </c>
      <c r="AJ241" s="13">
        <f t="shared" si="35"/>
        <v>80</v>
      </c>
      <c r="AK241" t="s">
        <v>24</v>
      </c>
      <c r="AL241" s="3" t="s">
        <v>446</v>
      </c>
    </row>
    <row r="242" spans="1:38" x14ac:dyDescent="0.25">
      <c r="A242" t="s">
        <v>22</v>
      </c>
      <c r="B242" s="4" t="s">
        <v>451</v>
      </c>
      <c r="C242" t="str">
        <f>VLOOKUP(B242,[1]Plantings!$A$2:$C$285,2,FALSE)</f>
        <v>QMH_5D</v>
      </c>
      <c r="D242" t="str">
        <f>VLOOKUP(B242,[1]Plantings!$A$2:$C$285,3,FALSE)</f>
        <v>single</v>
      </c>
      <c r="E242" s="4">
        <v>2018</v>
      </c>
      <c r="G242" s="4" t="s">
        <v>0</v>
      </c>
      <c r="H242" s="4" t="s">
        <v>22</v>
      </c>
      <c r="I242" s="4" t="s">
        <v>29</v>
      </c>
      <c r="J242" s="7" t="s">
        <v>86</v>
      </c>
      <c r="K242" s="7" t="s">
        <v>17</v>
      </c>
      <c r="L242" s="7" t="s">
        <v>17</v>
      </c>
      <c r="M242" s="7" t="s">
        <v>112</v>
      </c>
      <c r="O242" s="4" t="s">
        <v>35</v>
      </c>
      <c r="P242" s="4" t="s">
        <v>113</v>
      </c>
      <c r="R242" t="s">
        <v>38</v>
      </c>
      <c r="S242" t="s">
        <v>38</v>
      </c>
      <c r="T242" s="10">
        <v>43251</v>
      </c>
      <c r="U242" s="11">
        <v>47.38597</v>
      </c>
      <c r="V242" s="11">
        <v>-122.43799</v>
      </c>
      <c r="W242" t="str">
        <f>VLOOKUP(B242,[1]Plantings!$A$2:$E$285,4,FALSE)</f>
        <v>point</v>
      </c>
      <c r="X242" s="11" t="str">
        <f>VLOOKUP(B242,[1]Plantings!$A$2:$E$285,5,FALSE)</f>
        <v>retain</v>
      </c>
      <c r="Y242" s="22" t="s">
        <v>1</v>
      </c>
      <c r="Z242" s="12">
        <v>-1.73736</v>
      </c>
      <c r="AA242" s="43" t="s">
        <v>54</v>
      </c>
      <c r="AB242">
        <v>12</v>
      </c>
      <c r="AC242">
        <v>1</v>
      </c>
      <c r="AD242">
        <f t="shared" si="36"/>
        <v>12</v>
      </c>
      <c r="AE242">
        <f t="shared" si="37"/>
        <v>7.5</v>
      </c>
      <c r="AF242" s="14">
        <f t="shared" si="38"/>
        <v>0.75</v>
      </c>
      <c r="AG242" s="15">
        <v>30</v>
      </c>
      <c r="AH242" s="15">
        <v>600</v>
      </c>
      <c r="AI242" s="13">
        <f t="shared" si="34"/>
        <v>50</v>
      </c>
      <c r="AJ242" s="13">
        <f t="shared" si="35"/>
        <v>80</v>
      </c>
      <c r="AK242" t="s">
        <v>24</v>
      </c>
      <c r="AL242" s="3" t="s">
        <v>444</v>
      </c>
    </row>
    <row r="243" spans="1:38" x14ac:dyDescent="0.25">
      <c r="A243" t="s">
        <v>22</v>
      </c>
      <c r="B243" s="4" t="s">
        <v>452</v>
      </c>
      <c r="C243" t="str">
        <f>VLOOKUP(B243,[1]Plantings!$A$2:$C$285,2,FALSE)</f>
        <v>QMH_2D</v>
      </c>
      <c r="D243" t="str">
        <f>VLOOKUP(B243,[1]Plantings!$A$2:$C$285,3,FALSE)</f>
        <v>single</v>
      </c>
      <c r="E243" s="4">
        <v>2018</v>
      </c>
      <c r="G243" s="4" t="s">
        <v>0</v>
      </c>
      <c r="H243" s="4" t="s">
        <v>22</v>
      </c>
      <c r="I243" s="4" t="s">
        <v>29</v>
      </c>
      <c r="J243" s="7" t="s">
        <v>86</v>
      </c>
      <c r="K243" s="7" t="s">
        <v>17</v>
      </c>
      <c r="L243" s="7" t="s">
        <v>17</v>
      </c>
      <c r="M243" s="7" t="s">
        <v>112</v>
      </c>
      <c r="O243" s="4" t="s">
        <v>35</v>
      </c>
      <c r="P243" s="4" t="s">
        <v>113</v>
      </c>
      <c r="R243" t="s">
        <v>38</v>
      </c>
      <c r="S243" t="s">
        <v>38</v>
      </c>
      <c r="T243" s="10">
        <v>43252</v>
      </c>
      <c r="U243" s="11">
        <v>47.394410000000001</v>
      </c>
      <c r="V243" s="11">
        <v>-122.44898000000001</v>
      </c>
      <c r="W243" t="str">
        <f>VLOOKUP(B243,[1]Plantings!$A$2:$E$285,4,FALSE)</f>
        <v>point</v>
      </c>
      <c r="X243" s="11" t="str">
        <f>VLOOKUP(B243,[1]Plantings!$A$2:$E$285,5,FALSE)</f>
        <v>retain</v>
      </c>
      <c r="Y243" s="22" t="s">
        <v>1</v>
      </c>
      <c r="Z243" s="12">
        <v>-1.7983199999999999</v>
      </c>
      <c r="AA243" s="43" t="s">
        <v>54</v>
      </c>
      <c r="AB243">
        <v>12</v>
      </c>
      <c r="AC243">
        <v>1</v>
      </c>
      <c r="AD243">
        <f t="shared" si="36"/>
        <v>12</v>
      </c>
      <c r="AE243">
        <f t="shared" si="37"/>
        <v>7.5</v>
      </c>
      <c r="AF243" s="14">
        <f t="shared" si="38"/>
        <v>0.75</v>
      </c>
      <c r="AG243" s="15">
        <v>30</v>
      </c>
      <c r="AH243" s="15">
        <v>600</v>
      </c>
      <c r="AI243" s="13">
        <f t="shared" si="34"/>
        <v>50</v>
      </c>
      <c r="AJ243" s="13">
        <f t="shared" si="35"/>
        <v>80</v>
      </c>
      <c r="AK243" t="s">
        <v>24</v>
      </c>
      <c r="AL243" s="3" t="s">
        <v>453</v>
      </c>
    </row>
    <row r="244" spans="1:38" x14ac:dyDescent="0.25">
      <c r="A244" t="s">
        <v>22</v>
      </c>
      <c r="B244" s="4" t="s">
        <v>454</v>
      </c>
      <c r="C244" t="str">
        <f>VLOOKUP(B244,[1]Plantings!$A$2:$C$285,2,FALSE)</f>
        <v>QMH_3S</v>
      </c>
      <c r="D244" t="str">
        <f>VLOOKUP(B244,[1]Plantings!$A$2:$C$285,3,FALSE)</f>
        <v>single</v>
      </c>
      <c r="E244" s="4">
        <v>2018</v>
      </c>
      <c r="G244" s="4" t="s">
        <v>0</v>
      </c>
      <c r="H244" s="4" t="s">
        <v>22</v>
      </c>
      <c r="I244" s="4" t="s">
        <v>29</v>
      </c>
      <c r="J244" s="7" t="s">
        <v>86</v>
      </c>
      <c r="K244" s="7" t="s">
        <v>17</v>
      </c>
      <c r="L244" s="7" t="s">
        <v>17</v>
      </c>
      <c r="M244" s="7" t="s">
        <v>112</v>
      </c>
      <c r="O244" s="4" t="s">
        <v>35</v>
      </c>
      <c r="P244" s="4" t="s">
        <v>113</v>
      </c>
      <c r="R244" t="s">
        <v>38</v>
      </c>
      <c r="S244" t="s">
        <v>38</v>
      </c>
      <c r="T244" s="10">
        <v>43252</v>
      </c>
      <c r="U244" s="11">
        <v>47.403919999999999</v>
      </c>
      <c r="V244" s="11">
        <v>-122.44499</v>
      </c>
      <c r="W244" t="str">
        <f>VLOOKUP(B244,[1]Plantings!$A$2:$E$285,4,FALSE)</f>
        <v>point</v>
      </c>
      <c r="X244" s="11" t="str">
        <f>VLOOKUP(B244,[1]Plantings!$A$2:$E$285,5,FALSE)</f>
        <v>retain</v>
      </c>
      <c r="Y244" s="22" t="s">
        <v>1</v>
      </c>
      <c r="Z244" s="12">
        <v>-1.2192000000000001</v>
      </c>
      <c r="AA244" s="43" t="s">
        <v>54</v>
      </c>
      <c r="AB244">
        <v>12</v>
      </c>
      <c r="AC244">
        <v>1</v>
      </c>
      <c r="AD244">
        <f t="shared" si="36"/>
        <v>12</v>
      </c>
      <c r="AE244">
        <f t="shared" si="37"/>
        <v>7.5</v>
      </c>
      <c r="AF244" s="14">
        <f t="shared" si="38"/>
        <v>0.75</v>
      </c>
      <c r="AG244" s="15">
        <v>30</v>
      </c>
      <c r="AH244" s="15">
        <v>600</v>
      </c>
      <c r="AI244" s="13">
        <f t="shared" si="34"/>
        <v>50</v>
      </c>
      <c r="AJ244" s="13">
        <f t="shared" si="35"/>
        <v>80</v>
      </c>
      <c r="AK244" t="s">
        <v>24</v>
      </c>
      <c r="AL244" s="3" t="s">
        <v>455</v>
      </c>
    </row>
    <row r="245" spans="1:38" x14ac:dyDescent="0.25">
      <c r="A245" t="s">
        <v>22</v>
      </c>
      <c r="B245" s="4" t="s">
        <v>456</v>
      </c>
      <c r="C245" t="str">
        <f>VLOOKUP(B245,[1]Plantings!$A$2:$C$285,2,FALSE)</f>
        <v>QMH_3D</v>
      </c>
      <c r="D245" t="str">
        <f>VLOOKUP(B245,[1]Plantings!$A$2:$C$285,3,FALSE)</f>
        <v>single</v>
      </c>
      <c r="E245" s="4">
        <v>2018</v>
      </c>
      <c r="G245" s="4" t="s">
        <v>0</v>
      </c>
      <c r="H245" s="4" t="s">
        <v>22</v>
      </c>
      <c r="I245" s="4" t="s">
        <v>29</v>
      </c>
      <c r="J245" s="7" t="s">
        <v>86</v>
      </c>
      <c r="K245" s="7" t="s">
        <v>17</v>
      </c>
      <c r="L245" s="7" t="s">
        <v>17</v>
      </c>
      <c r="M245" s="7" t="s">
        <v>112</v>
      </c>
      <c r="O245" s="4" t="s">
        <v>35</v>
      </c>
      <c r="P245" s="4" t="s">
        <v>113</v>
      </c>
      <c r="R245" t="s">
        <v>38</v>
      </c>
      <c r="S245" t="s">
        <v>38</v>
      </c>
      <c r="T245" s="10">
        <v>43252</v>
      </c>
      <c r="U245" s="11">
        <v>47.403860000000002</v>
      </c>
      <c r="V245" s="11">
        <v>-122.44484</v>
      </c>
      <c r="W245" t="str">
        <f>VLOOKUP(B245,[1]Plantings!$A$2:$E$285,4,FALSE)</f>
        <v>point</v>
      </c>
      <c r="X245" s="11" t="str">
        <f>VLOOKUP(B245,[1]Plantings!$A$2:$E$285,5,FALSE)</f>
        <v>retain</v>
      </c>
      <c r="Y245" s="22" t="s">
        <v>1</v>
      </c>
      <c r="Z245" s="12">
        <v>-1.85928</v>
      </c>
      <c r="AA245" s="43" t="s">
        <v>54</v>
      </c>
      <c r="AB245">
        <v>12</v>
      </c>
      <c r="AC245">
        <v>1</v>
      </c>
      <c r="AD245">
        <f t="shared" si="36"/>
        <v>12</v>
      </c>
      <c r="AE245">
        <f t="shared" si="37"/>
        <v>7.5</v>
      </c>
      <c r="AF245" s="14">
        <f t="shared" si="38"/>
        <v>0.75</v>
      </c>
      <c r="AG245" s="15">
        <v>30</v>
      </c>
      <c r="AH245" s="15">
        <v>600</v>
      </c>
      <c r="AI245" s="13">
        <f t="shared" si="34"/>
        <v>50</v>
      </c>
      <c r="AJ245" s="13">
        <f t="shared" si="35"/>
        <v>80</v>
      </c>
      <c r="AK245" t="s">
        <v>24</v>
      </c>
      <c r="AL245" s="3" t="s">
        <v>457</v>
      </c>
    </row>
    <row r="246" spans="1:38" x14ac:dyDescent="0.25">
      <c r="A246" t="s">
        <v>22</v>
      </c>
      <c r="B246" s="4" t="s">
        <v>458</v>
      </c>
      <c r="C246" t="e">
        <f>VLOOKUP(B246,[1]Plantings!$A$2:$C$285,2,FALSE)</f>
        <v>#N/A</v>
      </c>
      <c r="D246" t="e">
        <f>VLOOKUP(B246,[1]Plantings!$A$2:$C$285,3,FALSE)</f>
        <v>#N/A</v>
      </c>
      <c r="E246" s="4">
        <v>2021</v>
      </c>
      <c r="G246" s="4" t="s">
        <v>0</v>
      </c>
      <c r="H246" s="4" t="s">
        <v>22</v>
      </c>
      <c r="I246" s="4" t="s">
        <v>29</v>
      </c>
      <c r="J246" s="7" t="s">
        <v>23</v>
      </c>
      <c r="K246" s="4" t="s">
        <v>23</v>
      </c>
      <c r="L246" s="4" t="s">
        <v>151</v>
      </c>
      <c r="N246" t="s">
        <v>152</v>
      </c>
      <c r="O246" s="4"/>
      <c r="P246" s="4"/>
      <c r="R246" t="s">
        <v>38</v>
      </c>
      <c r="S246" t="s">
        <v>38</v>
      </c>
      <c r="T246" s="10">
        <v>44329</v>
      </c>
      <c r="U246" s="11">
        <v>47.390659999999997</v>
      </c>
      <c r="V246" s="11">
        <v>-122.43606</v>
      </c>
      <c r="W246" t="e">
        <f>VLOOKUP(B246,[1]Plantings!$A$2:$E$285,4,FALSE)</f>
        <v>#N/A</v>
      </c>
      <c r="X246" s="11" t="e">
        <f>VLOOKUP(B246,[1]Plantings!$A$2:$E$285,5,FALSE)</f>
        <v>#N/A</v>
      </c>
      <c r="Y246" s="22" t="s">
        <v>1</v>
      </c>
      <c r="Z246" s="12">
        <v>-1.5</v>
      </c>
      <c r="AA246" s="43" t="s">
        <v>54</v>
      </c>
      <c r="AB246">
        <v>3.5</v>
      </c>
      <c r="AC246">
        <v>0.5</v>
      </c>
      <c r="AD246">
        <f t="shared" si="36"/>
        <v>1.75</v>
      </c>
      <c r="AE246">
        <v>1</v>
      </c>
      <c r="AF246" s="14">
        <f t="shared" si="38"/>
        <v>0.30000000000000004</v>
      </c>
      <c r="AG246" s="15">
        <v>12</v>
      </c>
      <c r="AH246" s="15">
        <v>240</v>
      </c>
      <c r="AI246" s="13">
        <f t="shared" si="34"/>
        <v>137.14285714285714</v>
      </c>
      <c r="AJ246" s="13">
        <f t="shared" si="35"/>
        <v>240</v>
      </c>
      <c r="AK246" t="s">
        <v>93</v>
      </c>
      <c r="AL246" s="3" t="s">
        <v>459</v>
      </c>
    </row>
    <row r="247" spans="1:38" x14ac:dyDescent="0.25">
      <c r="A247" t="s">
        <v>22</v>
      </c>
      <c r="B247" s="4" t="s">
        <v>458</v>
      </c>
      <c r="C247" t="e">
        <f>VLOOKUP(B247,[1]Plantings!$A$2:$C$285,2,FALSE)</f>
        <v>#N/A</v>
      </c>
      <c r="D247" t="e">
        <f>VLOOKUP(B247,[1]Plantings!$A$2:$C$285,3,FALSE)</f>
        <v>#N/A</v>
      </c>
      <c r="E247" s="4">
        <v>2021</v>
      </c>
      <c r="G247" s="4" t="s">
        <v>0</v>
      </c>
      <c r="H247" s="4" t="s">
        <v>22</v>
      </c>
      <c r="I247" s="4" t="s">
        <v>29</v>
      </c>
      <c r="J247" s="7" t="s">
        <v>23</v>
      </c>
      <c r="K247" s="4" t="s">
        <v>23</v>
      </c>
      <c r="L247" s="4" t="s">
        <v>151</v>
      </c>
      <c r="N247" t="s">
        <v>152</v>
      </c>
      <c r="O247" s="4"/>
      <c r="P247" s="4"/>
      <c r="R247" t="s">
        <v>38</v>
      </c>
      <c r="S247" t="s">
        <v>38</v>
      </c>
      <c r="T247" s="10">
        <v>44330</v>
      </c>
      <c r="U247" s="11">
        <v>47.390659999999997</v>
      </c>
      <c r="V247" s="11">
        <v>-122.43606</v>
      </c>
      <c r="W247" t="e">
        <f>VLOOKUP(B247,[1]Plantings!$A$2:$E$285,4,FALSE)</f>
        <v>#N/A</v>
      </c>
      <c r="X247" s="11" t="e">
        <f>VLOOKUP(B247,[1]Plantings!$A$2:$E$285,5,FALSE)</f>
        <v>#N/A</v>
      </c>
      <c r="Y247" s="22" t="s">
        <v>1</v>
      </c>
      <c r="Z247" s="12">
        <v>-1.5</v>
      </c>
      <c r="AA247" s="43" t="s">
        <v>54</v>
      </c>
      <c r="AB247">
        <v>4.5</v>
      </c>
      <c r="AC247">
        <v>0.5</v>
      </c>
      <c r="AD247">
        <f t="shared" si="36"/>
        <v>2.25</v>
      </c>
      <c r="AE247">
        <v>1.25</v>
      </c>
      <c r="AF247" s="14">
        <f t="shared" si="38"/>
        <v>0.375</v>
      </c>
      <c r="AG247" s="15">
        <v>15</v>
      </c>
      <c r="AH247" s="15">
        <v>375</v>
      </c>
      <c r="AI247" s="13">
        <f t="shared" si="34"/>
        <v>166.66666666666666</v>
      </c>
      <c r="AJ247" s="13">
        <f t="shared" si="35"/>
        <v>300</v>
      </c>
      <c r="AK247" t="s">
        <v>24</v>
      </c>
      <c r="AL247" s="3" t="s">
        <v>460</v>
      </c>
    </row>
    <row r="248" spans="1:38" x14ac:dyDescent="0.25">
      <c r="A248" t="s">
        <v>22</v>
      </c>
      <c r="B248" s="4" t="s">
        <v>458</v>
      </c>
      <c r="C248" t="e">
        <f>VLOOKUP(B248,[1]Plantings!$A$2:$C$285,2,FALSE)</f>
        <v>#N/A</v>
      </c>
      <c r="D248" t="e">
        <f>VLOOKUP(B248,[1]Plantings!$A$2:$C$285,3,FALSE)</f>
        <v>#N/A</v>
      </c>
      <c r="E248" s="4">
        <v>2021</v>
      </c>
      <c r="G248" s="4" t="s">
        <v>0</v>
      </c>
      <c r="H248" s="4" t="s">
        <v>22</v>
      </c>
      <c r="I248" s="4" t="s">
        <v>29</v>
      </c>
      <c r="J248" s="7" t="s">
        <v>23</v>
      </c>
      <c r="K248" s="4" t="s">
        <v>23</v>
      </c>
      <c r="L248" s="4" t="s">
        <v>151</v>
      </c>
      <c r="N248" t="s">
        <v>152</v>
      </c>
      <c r="O248" s="4"/>
      <c r="P248" s="4"/>
      <c r="R248" t="s">
        <v>38</v>
      </c>
      <c r="S248" t="s">
        <v>38</v>
      </c>
      <c r="T248" s="10">
        <v>44342</v>
      </c>
      <c r="U248" s="11">
        <v>47.390659999999997</v>
      </c>
      <c r="V248" s="11">
        <v>-122.43606</v>
      </c>
      <c r="W248" t="e">
        <f>VLOOKUP(B248,[1]Plantings!$A$2:$E$285,4,FALSE)</f>
        <v>#N/A</v>
      </c>
      <c r="X248" s="11" t="e">
        <f>VLOOKUP(B248,[1]Plantings!$A$2:$E$285,5,FALSE)</f>
        <v>#N/A</v>
      </c>
      <c r="Y248" s="22" t="s">
        <v>1</v>
      </c>
      <c r="Z248" s="12">
        <v>-1.5</v>
      </c>
      <c r="AA248" s="43" t="s">
        <v>54</v>
      </c>
      <c r="AB248">
        <v>2.5</v>
      </c>
      <c r="AC248">
        <v>1</v>
      </c>
      <c r="AD248">
        <f t="shared" si="36"/>
        <v>2.5</v>
      </c>
      <c r="AE248">
        <v>1.5</v>
      </c>
      <c r="AF248" s="14">
        <f t="shared" si="38"/>
        <v>0.45</v>
      </c>
      <c r="AG248" s="15">
        <v>18</v>
      </c>
      <c r="AH248" s="15">
        <v>270</v>
      </c>
      <c r="AI248" s="13">
        <f t="shared" si="34"/>
        <v>108</v>
      </c>
      <c r="AJ248" s="13">
        <f t="shared" si="35"/>
        <v>180</v>
      </c>
      <c r="AK248" t="s">
        <v>93</v>
      </c>
      <c r="AL248" s="3" t="s">
        <v>461</v>
      </c>
    </row>
    <row r="249" spans="1:38" x14ac:dyDescent="0.25">
      <c r="A249" t="s">
        <v>22</v>
      </c>
      <c r="B249" s="4" t="s">
        <v>462</v>
      </c>
      <c r="C249" t="e">
        <f>VLOOKUP(B249,[1]Plantings!$A$2:$C$285,2,FALSE)</f>
        <v>#N/A</v>
      </c>
      <c r="D249" t="e">
        <f>VLOOKUP(B249,[1]Plantings!$A$2:$C$285,3,FALSE)</f>
        <v>#N/A</v>
      </c>
      <c r="E249" s="4">
        <v>2021</v>
      </c>
      <c r="G249" s="4" t="s">
        <v>0</v>
      </c>
      <c r="H249" s="4" t="s">
        <v>22</v>
      </c>
      <c r="I249" s="4" t="s">
        <v>29</v>
      </c>
      <c r="J249" s="7" t="s">
        <v>23</v>
      </c>
      <c r="K249" s="4" t="s">
        <v>23</v>
      </c>
      <c r="L249" s="4" t="s">
        <v>151</v>
      </c>
      <c r="N249" t="s">
        <v>152</v>
      </c>
      <c r="O249" s="4"/>
      <c r="P249" s="4"/>
      <c r="R249" t="s">
        <v>38</v>
      </c>
      <c r="S249" t="s">
        <v>38</v>
      </c>
      <c r="T249" s="10">
        <v>44329</v>
      </c>
      <c r="U249" s="11">
        <v>47.385899999999999</v>
      </c>
      <c r="V249" s="11">
        <v>-122.4379</v>
      </c>
      <c r="W249" t="e">
        <f>VLOOKUP(B249,[1]Plantings!$A$2:$E$285,4,FALSE)</f>
        <v>#N/A</v>
      </c>
      <c r="X249" s="11" t="e">
        <f>VLOOKUP(B249,[1]Plantings!$A$2:$E$285,5,FALSE)</f>
        <v>#N/A</v>
      </c>
      <c r="Y249" s="22" t="s">
        <v>1</v>
      </c>
      <c r="Z249" s="12">
        <v>-1.5</v>
      </c>
      <c r="AA249" s="43" t="s">
        <v>54</v>
      </c>
      <c r="AB249">
        <v>2.5</v>
      </c>
      <c r="AC249">
        <v>0.5</v>
      </c>
      <c r="AD249">
        <f t="shared" si="36"/>
        <v>1.25</v>
      </c>
      <c r="AE249">
        <v>0.75</v>
      </c>
      <c r="AF249" s="14">
        <f t="shared" si="38"/>
        <v>0.22500000000000001</v>
      </c>
      <c r="AG249" s="15">
        <v>9</v>
      </c>
      <c r="AH249" s="15">
        <v>180</v>
      </c>
      <c r="AI249" s="13">
        <f t="shared" si="34"/>
        <v>144</v>
      </c>
      <c r="AJ249" s="13">
        <f t="shared" si="35"/>
        <v>240</v>
      </c>
      <c r="AK249" t="s">
        <v>93</v>
      </c>
      <c r="AL249" s="3" t="s">
        <v>463</v>
      </c>
    </row>
    <row r="250" spans="1:38" x14ac:dyDescent="0.25">
      <c r="A250" t="s">
        <v>22</v>
      </c>
      <c r="B250" s="4" t="s">
        <v>462</v>
      </c>
      <c r="C250" t="e">
        <f>VLOOKUP(B250,[1]Plantings!$A$2:$C$285,2,FALSE)</f>
        <v>#N/A</v>
      </c>
      <c r="D250" t="e">
        <f>VLOOKUP(B250,[1]Plantings!$A$2:$C$285,3,FALSE)</f>
        <v>#N/A</v>
      </c>
      <c r="E250" s="4">
        <v>2021</v>
      </c>
      <c r="G250" s="4" t="s">
        <v>0</v>
      </c>
      <c r="H250" s="4" t="s">
        <v>22</v>
      </c>
      <c r="I250" s="4" t="s">
        <v>29</v>
      </c>
      <c r="J250" s="7" t="s">
        <v>23</v>
      </c>
      <c r="K250" s="4" t="s">
        <v>23</v>
      </c>
      <c r="L250" s="4" t="s">
        <v>151</v>
      </c>
      <c r="N250" t="s">
        <v>152</v>
      </c>
      <c r="O250" s="4"/>
      <c r="P250" s="4"/>
      <c r="R250" t="s">
        <v>38</v>
      </c>
      <c r="S250" t="s">
        <v>38</v>
      </c>
      <c r="T250" s="10">
        <v>44330</v>
      </c>
      <c r="U250" s="11">
        <v>47.385899999999999</v>
      </c>
      <c r="V250" s="11">
        <v>-122.4379</v>
      </c>
      <c r="W250" t="e">
        <f>VLOOKUP(B250,[1]Plantings!$A$2:$E$285,4,FALSE)</f>
        <v>#N/A</v>
      </c>
      <c r="X250" s="11" t="e">
        <f>VLOOKUP(B250,[1]Plantings!$A$2:$E$285,5,FALSE)</f>
        <v>#N/A</v>
      </c>
      <c r="Y250" s="22" t="s">
        <v>1</v>
      </c>
      <c r="Z250" s="12">
        <v>-1.5</v>
      </c>
      <c r="AA250" s="43" t="s">
        <v>54</v>
      </c>
      <c r="AB250">
        <v>2.5</v>
      </c>
      <c r="AC250">
        <v>0.5</v>
      </c>
      <c r="AD250">
        <f t="shared" si="36"/>
        <v>1.25</v>
      </c>
      <c r="AE250">
        <v>0.75</v>
      </c>
      <c r="AF250" s="14">
        <f t="shared" si="38"/>
        <v>0.22500000000000001</v>
      </c>
      <c r="AG250" s="15">
        <v>9</v>
      </c>
      <c r="AH250" s="15">
        <v>180</v>
      </c>
      <c r="AI250" s="13">
        <f t="shared" si="34"/>
        <v>144</v>
      </c>
      <c r="AJ250" s="13">
        <f t="shared" si="35"/>
        <v>240</v>
      </c>
      <c r="AK250" t="s">
        <v>24</v>
      </c>
      <c r="AL250" s="3" t="s">
        <v>464</v>
      </c>
    </row>
    <row r="251" spans="1:38" x14ac:dyDescent="0.25">
      <c r="A251" t="s">
        <v>22</v>
      </c>
      <c r="B251" s="4" t="s">
        <v>458</v>
      </c>
      <c r="C251" t="e">
        <f>VLOOKUP(B251,[1]Plantings!$A$2:$C$285,2,FALSE)</f>
        <v>#N/A</v>
      </c>
      <c r="D251" t="e">
        <f>VLOOKUP(B251,[1]Plantings!$A$2:$C$285,3,FALSE)</f>
        <v>#N/A</v>
      </c>
      <c r="E251" s="4">
        <v>2021</v>
      </c>
      <c r="G251" s="4" t="s">
        <v>0</v>
      </c>
      <c r="H251" s="4" t="s">
        <v>22</v>
      </c>
      <c r="I251" s="4" t="s">
        <v>29</v>
      </c>
      <c r="J251" s="7" t="s">
        <v>23</v>
      </c>
      <c r="K251" s="4" t="s">
        <v>23</v>
      </c>
      <c r="L251" s="4" t="s">
        <v>151</v>
      </c>
      <c r="N251" t="s">
        <v>152</v>
      </c>
      <c r="O251" s="4"/>
      <c r="P251" s="4"/>
      <c r="R251" t="s">
        <v>38</v>
      </c>
      <c r="S251" t="s">
        <v>38</v>
      </c>
      <c r="T251" s="10">
        <v>44342</v>
      </c>
      <c r="U251" s="11">
        <v>47.390659999999997</v>
      </c>
      <c r="V251" s="11">
        <v>-122.43606</v>
      </c>
      <c r="W251" t="e">
        <f>VLOOKUP(B251,[1]Plantings!$A$2:$E$285,4,FALSE)</f>
        <v>#N/A</v>
      </c>
      <c r="X251" s="11" t="e">
        <f>VLOOKUP(B251,[1]Plantings!$A$2:$E$285,5,FALSE)</f>
        <v>#N/A</v>
      </c>
      <c r="Y251" s="22" t="s">
        <v>1</v>
      </c>
      <c r="Z251" s="12">
        <v>-1.5</v>
      </c>
      <c r="AA251" s="43" t="s">
        <v>54</v>
      </c>
      <c r="AB251">
        <v>2.5</v>
      </c>
      <c r="AC251">
        <v>1</v>
      </c>
      <c r="AD251">
        <f t="shared" si="36"/>
        <v>2.5</v>
      </c>
      <c r="AE251">
        <f>AG251*0.25</f>
        <v>4.5</v>
      </c>
      <c r="AF251" s="14">
        <f t="shared" si="38"/>
        <v>0.45</v>
      </c>
      <c r="AG251" s="15">
        <v>18</v>
      </c>
      <c r="AH251" s="15">
        <v>360</v>
      </c>
      <c r="AI251" s="13">
        <f t="shared" si="34"/>
        <v>144</v>
      </c>
      <c r="AJ251" s="13">
        <f t="shared" si="35"/>
        <v>80</v>
      </c>
      <c r="AK251" t="s">
        <v>93</v>
      </c>
      <c r="AL251" s="3" t="s">
        <v>465</v>
      </c>
    </row>
    <row r="252" spans="1:38" x14ac:dyDescent="0.25">
      <c r="A252" t="s">
        <v>22</v>
      </c>
      <c r="B252" s="4" t="s">
        <v>466</v>
      </c>
      <c r="C252" t="e">
        <f>VLOOKUP(B252,[1]Plantings!$A$2:$C$285,2,FALSE)</f>
        <v>#N/A</v>
      </c>
      <c r="D252" t="e">
        <f>VLOOKUP(B252,[1]Plantings!$A$2:$C$285,3,FALSE)</f>
        <v>#N/A</v>
      </c>
      <c r="E252" s="4">
        <v>2022</v>
      </c>
      <c r="G252" s="4" t="s">
        <v>0</v>
      </c>
      <c r="H252" s="4" t="s">
        <v>22</v>
      </c>
      <c r="I252" s="4" t="s">
        <v>29</v>
      </c>
      <c r="J252" s="7" t="s">
        <v>23</v>
      </c>
      <c r="K252" s="4" t="s">
        <v>23</v>
      </c>
      <c r="L252" s="4" t="s">
        <v>151</v>
      </c>
      <c r="N252" t="s">
        <v>152</v>
      </c>
      <c r="R252" t="s">
        <v>38</v>
      </c>
      <c r="S252" t="s">
        <v>38</v>
      </c>
      <c r="T252" s="27">
        <v>44700</v>
      </c>
      <c r="U252" s="11">
        <v>47.390659999999997</v>
      </c>
      <c r="V252" s="11">
        <v>-122.43606</v>
      </c>
      <c r="W252" t="e">
        <f>VLOOKUP(B252,[1]Plantings!$A$2:$E$285,4,FALSE)</f>
        <v>#N/A</v>
      </c>
      <c r="X252" s="11" t="e">
        <f>VLOOKUP(B252,[1]Plantings!$A$2:$E$285,5,FALSE)</f>
        <v>#N/A</v>
      </c>
      <c r="Y252" s="16" t="s">
        <v>1</v>
      </c>
      <c r="Z252" s="12">
        <v>-1.5</v>
      </c>
      <c r="AA252" s="43" t="s">
        <v>467</v>
      </c>
      <c r="AB252">
        <v>1.5</v>
      </c>
      <c r="AC252">
        <v>0.5</v>
      </c>
      <c r="AD252">
        <f t="shared" si="36"/>
        <v>0.75</v>
      </c>
      <c r="AE252">
        <f>AG252*0.25</f>
        <v>0.75</v>
      </c>
      <c r="AF252" s="14">
        <f>IF(AA252="staple",AG252*0.005,IF(AA252="rebar",AG252*0.025,IF(AA252="burlap",AG252*0.0625,IF(AA252="washer",AG252*0.0025,IF(AA252="pucks",AG252*0.00785,IF(AA252="turf",AG252*0.01,IF(AA252="TERFS",AG252*0.25,IF(AA252="",""))))))))</f>
        <v>0.75</v>
      </c>
      <c r="AG252" s="15">
        <v>3</v>
      </c>
      <c r="AH252" s="28">
        <v>75</v>
      </c>
      <c r="AI252" s="13">
        <f t="shared" si="34"/>
        <v>100</v>
      </c>
      <c r="AJ252" s="13">
        <f t="shared" si="35"/>
        <v>100</v>
      </c>
      <c r="AK252" t="s">
        <v>93</v>
      </c>
      <c r="AL252" s="3" t="s">
        <v>468</v>
      </c>
    </row>
    <row r="253" spans="1:38" x14ac:dyDescent="0.25">
      <c r="A253" t="s">
        <v>469</v>
      </c>
      <c r="B253" t="s">
        <v>470</v>
      </c>
      <c r="C253" t="str">
        <f>VLOOKUP(B253,[1]Plantings!$A$2:$C$285,2,FALSE)</f>
        <v>QLC01</v>
      </c>
      <c r="D253" t="str">
        <f>VLOOKUP(B253,[1]Plantings!$A$2:$C$285,3,FALSE)</f>
        <v>single</v>
      </c>
      <c r="E253">
        <v>2014</v>
      </c>
      <c r="F253" t="s">
        <v>28</v>
      </c>
      <c r="G253" t="s">
        <v>0</v>
      </c>
      <c r="H253" t="s">
        <v>469</v>
      </c>
      <c r="I253" t="s">
        <v>413</v>
      </c>
      <c r="J253" t="s">
        <v>4</v>
      </c>
      <c r="K253" t="s">
        <v>43</v>
      </c>
      <c r="L253" t="s">
        <v>44</v>
      </c>
      <c r="O253" t="s">
        <v>35</v>
      </c>
      <c r="P253" t="s">
        <v>45</v>
      </c>
      <c r="Q253" t="s">
        <v>46</v>
      </c>
      <c r="R253" t="s">
        <v>38</v>
      </c>
      <c r="S253" t="s">
        <v>38</v>
      </c>
      <c r="T253" s="10">
        <v>41967</v>
      </c>
      <c r="U253" s="17">
        <v>47.797766666666668</v>
      </c>
      <c r="V253" s="17">
        <v>-122.84966666666666</v>
      </c>
      <c r="W253" t="str">
        <f>VLOOKUP(B253,[1]Plantings!$A$2:$E$285,4,FALSE)</f>
        <v>point</v>
      </c>
      <c r="X253" s="11" t="str">
        <f>VLOOKUP(B253,[1]Plantings!$A$2:$E$285,5,FALSE)</f>
        <v>retain</v>
      </c>
      <c r="Y253" s="16" t="s">
        <v>1</v>
      </c>
      <c r="Z253" s="12">
        <v>-0.4</v>
      </c>
      <c r="AA253" s="13" t="s">
        <v>39</v>
      </c>
      <c r="AB253">
        <v>5</v>
      </c>
      <c r="AC253">
        <v>5</v>
      </c>
      <c r="AD253">
        <f t="shared" si="36"/>
        <v>25</v>
      </c>
      <c r="AE253">
        <v>25</v>
      </c>
      <c r="AF253" s="14">
        <f t="shared" ref="AF253:AF262" si="39">IF(AA253="staple",AG253*0.005,IF(AA253="rebar",AG253*0.025,IF(AA253="burlap",AG253*0.0625,IF(AA253="washer",AG253*0.0025,IF(AA253="pucks",AG253*0.00785,IF(AA253="turf",AG253*0.01,IF(AA253="","")))))))</f>
        <v>0.625</v>
      </c>
      <c r="AG253" s="15">
        <f>AH253/4</f>
        <v>125</v>
      </c>
      <c r="AH253" s="15">
        <v>500</v>
      </c>
      <c r="AI253" s="13">
        <f t="shared" si="34"/>
        <v>20</v>
      </c>
      <c r="AJ253" s="13">
        <f t="shared" si="35"/>
        <v>20</v>
      </c>
      <c r="AK253" t="s">
        <v>469</v>
      </c>
    </row>
    <row r="254" spans="1:38" x14ac:dyDescent="0.25">
      <c r="A254" s="4" t="s">
        <v>16</v>
      </c>
      <c r="B254" s="4" t="s">
        <v>471</v>
      </c>
      <c r="C254" t="str">
        <f>VLOOKUP(B254,[1]Plantings!$A$2:$C$285,2,FALSE)</f>
        <v>QLC_north1</v>
      </c>
      <c r="D254" t="str">
        <f>VLOOKUP(B254,[1]Plantings!$A$2:$C$285,3,FALSE)</f>
        <v>single</v>
      </c>
      <c r="E254" s="4">
        <v>2016</v>
      </c>
      <c r="F254" t="s">
        <v>28</v>
      </c>
      <c r="G254" s="4" t="s">
        <v>0</v>
      </c>
      <c r="H254" s="4" t="s">
        <v>469</v>
      </c>
      <c r="I254" s="4" t="s">
        <v>413</v>
      </c>
      <c r="J254" s="4" t="s">
        <v>12</v>
      </c>
      <c r="K254" s="4" t="s">
        <v>50</v>
      </c>
      <c r="L254" s="4" t="s">
        <v>50</v>
      </c>
      <c r="M254" s="7" t="s">
        <v>51</v>
      </c>
      <c r="N254" s="4" t="s">
        <v>52</v>
      </c>
      <c r="O254" s="4" t="s">
        <v>35</v>
      </c>
      <c r="P254" s="4" t="s">
        <v>53</v>
      </c>
      <c r="Q254" s="4"/>
      <c r="R254" s="4" t="s">
        <v>38</v>
      </c>
      <c r="S254" s="4" t="s">
        <v>38</v>
      </c>
      <c r="T254" s="1">
        <v>42551</v>
      </c>
      <c r="U254" s="17">
        <v>47.799083333333336</v>
      </c>
      <c r="V254" s="17">
        <v>-122.84871666666666</v>
      </c>
      <c r="W254" t="str">
        <f>VLOOKUP(B254,[1]Plantings!$A$2:$E$285,4,FALSE)</f>
        <v>point?</v>
      </c>
      <c r="X254" s="11" t="str">
        <f>VLOOKUP(B254,[1]Plantings!$A$2:$E$285,5,FALSE)</f>
        <v>retain</v>
      </c>
      <c r="Y254" s="22" t="s">
        <v>1</v>
      </c>
      <c r="Z254" s="23">
        <v>-1.6459200000000003</v>
      </c>
      <c r="AA254" s="4" t="s">
        <v>39</v>
      </c>
      <c r="AB254" s="15">
        <v>2</v>
      </c>
      <c r="AC254">
        <v>2</v>
      </c>
      <c r="AD254">
        <f t="shared" si="36"/>
        <v>4</v>
      </c>
      <c r="AE254">
        <v>4</v>
      </c>
      <c r="AF254" s="14">
        <f t="shared" si="39"/>
        <v>0.3</v>
      </c>
      <c r="AG254" s="15">
        <v>60</v>
      </c>
      <c r="AH254" s="15">
        <v>240</v>
      </c>
      <c r="AI254" s="13">
        <f t="shared" si="34"/>
        <v>60</v>
      </c>
      <c r="AJ254" s="13">
        <f t="shared" si="35"/>
        <v>60</v>
      </c>
      <c r="AK254" s="4" t="s">
        <v>469</v>
      </c>
    </row>
    <row r="255" spans="1:38" x14ac:dyDescent="0.25">
      <c r="A255" s="4" t="s">
        <v>16</v>
      </c>
      <c r="B255" s="4" t="s">
        <v>472</v>
      </c>
      <c r="C255" t="str">
        <f>VLOOKUP(B255,[1]Plantings!$A$2:$C$285,2,FALSE)</f>
        <v>QLC_north2</v>
      </c>
      <c r="D255" t="str">
        <f>VLOOKUP(B255,[1]Plantings!$A$2:$C$285,3,FALSE)</f>
        <v>single</v>
      </c>
      <c r="E255" s="4">
        <v>2016</v>
      </c>
      <c r="F255" t="s">
        <v>28</v>
      </c>
      <c r="G255" s="4" t="s">
        <v>0</v>
      </c>
      <c r="H255" s="4" t="s">
        <v>469</v>
      </c>
      <c r="I255" s="4" t="s">
        <v>413</v>
      </c>
      <c r="J255" s="4" t="s">
        <v>12</v>
      </c>
      <c r="K255" s="4" t="s">
        <v>50</v>
      </c>
      <c r="L255" s="4" t="s">
        <v>50</v>
      </c>
      <c r="M255" s="7" t="s">
        <v>51</v>
      </c>
      <c r="N255" s="4" t="s">
        <v>52</v>
      </c>
      <c r="O255" s="4" t="s">
        <v>35</v>
      </c>
      <c r="P255" s="4" t="s">
        <v>53</v>
      </c>
      <c r="Q255" s="4"/>
      <c r="R255" s="4" t="s">
        <v>38</v>
      </c>
      <c r="S255" s="4" t="s">
        <v>38</v>
      </c>
      <c r="T255" s="1">
        <v>42551</v>
      </c>
      <c r="U255" s="17">
        <v>47.799149999999997</v>
      </c>
      <c r="V255" s="17">
        <v>-122.84875</v>
      </c>
      <c r="W255" t="str">
        <f>VLOOKUP(B255,[1]Plantings!$A$2:$E$285,4,FALSE)</f>
        <v>point?</v>
      </c>
      <c r="X255" s="11" t="str">
        <f>VLOOKUP(B255,[1]Plantings!$A$2:$E$285,5,FALSE)</f>
        <v>retain</v>
      </c>
      <c r="Y255" s="22" t="s">
        <v>1</v>
      </c>
      <c r="Z255" s="23">
        <v>-1.7068799999999997</v>
      </c>
      <c r="AA255" s="4" t="s">
        <v>39</v>
      </c>
      <c r="AB255" s="15">
        <v>2</v>
      </c>
      <c r="AC255">
        <v>2</v>
      </c>
      <c r="AD255">
        <f t="shared" si="36"/>
        <v>4</v>
      </c>
      <c r="AE255">
        <v>4</v>
      </c>
      <c r="AF255" s="14">
        <f t="shared" si="39"/>
        <v>0.3</v>
      </c>
      <c r="AG255" s="15">
        <v>60</v>
      </c>
      <c r="AH255" s="15">
        <v>240</v>
      </c>
      <c r="AI255" s="13">
        <f t="shared" si="34"/>
        <v>60</v>
      </c>
      <c r="AJ255" s="13">
        <f t="shared" si="35"/>
        <v>60</v>
      </c>
      <c r="AK255" s="4" t="s">
        <v>469</v>
      </c>
    </row>
    <row r="256" spans="1:38" x14ac:dyDescent="0.25">
      <c r="A256" s="4" t="s">
        <v>16</v>
      </c>
      <c r="B256" s="4" t="s">
        <v>473</v>
      </c>
      <c r="C256" t="str">
        <f>VLOOKUP(B256,[1]Plantings!$A$2:$C$285,2,FALSE)</f>
        <v>QLC_north3</v>
      </c>
      <c r="D256" t="str">
        <f>VLOOKUP(B256,[1]Plantings!$A$2:$C$285,3,FALSE)</f>
        <v>single</v>
      </c>
      <c r="E256" s="4">
        <v>2016</v>
      </c>
      <c r="F256" t="s">
        <v>28</v>
      </c>
      <c r="G256" s="4" t="s">
        <v>0</v>
      </c>
      <c r="H256" s="4" t="s">
        <v>469</v>
      </c>
      <c r="I256" s="4" t="s">
        <v>413</v>
      </c>
      <c r="J256" s="4" t="s">
        <v>12</v>
      </c>
      <c r="K256" s="4" t="s">
        <v>50</v>
      </c>
      <c r="L256" s="4" t="s">
        <v>50</v>
      </c>
      <c r="M256" s="7" t="s">
        <v>51</v>
      </c>
      <c r="N256" s="4" t="s">
        <v>52</v>
      </c>
      <c r="O256" s="4" t="s">
        <v>35</v>
      </c>
      <c r="P256" s="4" t="s">
        <v>53</v>
      </c>
      <c r="Q256" s="4"/>
      <c r="R256" s="4" t="s">
        <v>38</v>
      </c>
      <c r="S256" s="4" t="s">
        <v>38</v>
      </c>
      <c r="T256" s="1">
        <v>42551</v>
      </c>
      <c r="U256" s="17">
        <v>47.799166666666665</v>
      </c>
      <c r="V256" s="17">
        <v>-122.8488</v>
      </c>
      <c r="W256" t="str">
        <f>VLOOKUP(B256,[1]Plantings!$A$2:$E$285,4,FALSE)</f>
        <v>point?</v>
      </c>
      <c r="X256" s="11" t="str">
        <f>VLOOKUP(B256,[1]Plantings!$A$2:$E$285,5,FALSE)</f>
        <v>retain</v>
      </c>
      <c r="Y256" s="22" t="s">
        <v>1</v>
      </c>
      <c r="Z256" s="23"/>
      <c r="AA256" s="4" t="s">
        <v>39</v>
      </c>
      <c r="AB256" s="15">
        <v>2</v>
      </c>
      <c r="AC256">
        <v>2</v>
      </c>
      <c r="AD256">
        <f t="shared" si="36"/>
        <v>4</v>
      </c>
      <c r="AE256">
        <v>4</v>
      </c>
      <c r="AF256" s="14">
        <f t="shared" si="39"/>
        <v>0.3</v>
      </c>
      <c r="AG256" s="15">
        <v>60</v>
      </c>
      <c r="AH256" s="15">
        <v>240</v>
      </c>
      <c r="AI256" s="13">
        <f t="shared" si="34"/>
        <v>60</v>
      </c>
      <c r="AJ256" s="13">
        <f t="shared" si="35"/>
        <v>60</v>
      </c>
      <c r="AK256" s="4" t="s">
        <v>469</v>
      </c>
    </row>
    <row r="257" spans="1:38" x14ac:dyDescent="0.25">
      <c r="A257" s="4" t="s">
        <v>16</v>
      </c>
      <c r="B257" s="4" t="s">
        <v>474</v>
      </c>
      <c r="C257" t="str">
        <f>VLOOKUP(B257,[1]Plantings!$A$2:$C$285,2,FALSE)</f>
        <v>QLC_mid1</v>
      </c>
      <c r="D257" t="str">
        <f>VLOOKUP(B257,[1]Plantings!$A$2:$C$285,3,FALSE)</f>
        <v>single</v>
      </c>
      <c r="E257" s="4">
        <v>2016</v>
      </c>
      <c r="F257" t="s">
        <v>28</v>
      </c>
      <c r="G257" s="4" t="s">
        <v>0</v>
      </c>
      <c r="H257" s="4" t="s">
        <v>469</v>
      </c>
      <c r="I257" s="4" t="s">
        <v>413</v>
      </c>
      <c r="J257" s="4" t="s">
        <v>12</v>
      </c>
      <c r="K257" s="4" t="s">
        <v>50</v>
      </c>
      <c r="L257" s="4" t="s">
        <v>50</v>
      </c>
      <c r="M257" s="7" t="s">
        <v>51</v>
      </c>
      <c r="N257" s="4" t="s">
        <v>52</v>
      </c>
      <c r="O257" s="4" t="s">
        <v>35</v>
      </c>
      <c r="P257" s="4" t="s">
        <v>53</v>
      </c>
      <c r="Q257" s="4"/>
      <c r="R257" s="4" t="s">
        <v>38</v>
      </c>
      <c r="S257" s="4" t="s">
        <v>38</v>
      </c>
      <c r="T257" s="1">
        <v>42551</v>
      </c>
      <c r="U257" s="17">
        <v>47.798033333333336</v>
      </c>
      <c r="V257" s="17">
        <v>-122.84951666666667</v>
      </c>
      <c r="W257" t="str">
        <f>VLOOKUP(B257,[1]Plantings!$A$2:$E$285,4,FALSE)</f>
        <v>point?</v>
      </c>
      <c r="X257" s="11" t="str">
        <f>VLOOKUP(B257,[1]Plantings!$A$2:$E$285,5,FALSE)</f>
        <v>retain</v>
      </c>
      <c r="Y257" s="22" t="s">
        <v>1</v>
      </c>
      <c r="Z257" s="23">
        <v>-1.4325600000000001</v>
      </c>
      <c r="AA257" s="4" t="s">
        <v>39</v>
      </c>
      <c r="AB257" s="15">
        <v>2</v>
      </c>
      <c r="AC257">
        <v>2</v>
      </c>
      <c r="AD257">
        <f t="shared" si="36"/>
        <v>4</v>
      </c>
      <c r="AE257">
        <v>4</v>
      </c>
      <c r="AF257" s="14">
        <f t="shared" si="39"/>
        <v>0.3</v>
      </c>
      <c r="AG257" s="15">
        <v>60</v>
      </c>
      <c r="AH257" s="15">
        <v>240</v>
      </c>
      <c r="AI257" s="13">
        <f t="shared" si="34"/>
        <v>60</v>
      </c>
      <c r="AJ257" s="13">
        <f t="shared" si="35"/>
        <v>60</v>
      </c>
      <c r="AK257" s="4" t="s">
        <v>469</v>
      </c>
    </row>
    <row r="258" spans="1:38" x14ac:dyDescent="0.25">
      <c r="A258" s="4" t="s">
        <v>16</v>
      </c>
      <c r="B258" s="4" t="s">
        <v>475</v>
      </c>
      <c r="C258" t="str">
        <f>VLOOKUP(B258,[1]Plantings!$A$2:$C$285,2,FALSE)</f>
        <v>QLC_mid2</v>
      </c>
      <c r="D258" t="str">
        <f>VLOOKUP(B258,[1]Plantings!$A$2:$C$285,3,FALSE)</f>
        <v>single</v>
      </c>
      <c r="E258" s="4">
        <v>2016</v>
      </c>
      <c r="F258" t="s">
        <v>28</v>
      </c>
      <c r="G258" s="4" t="s">
        <v>0</v>
      </c>
      <c r="H258" s="4" t="s">
        <v>469</v>
      </c>
      <c r="I258" s="4" t="s">
        <v>413</v>
      </c>
      <c r="J258" s="4" t="s">
        <v>12</v>
      </c>
      <c r="K258" s="4" t="s">
        <v>50</v>
      </c>
      <c r="L258" s="4" t="s">
        <v>50</v>
      </c>
      <c r="M258" s="7" t="s">
        <v>51</v>
      </c>
      <c r="N258" s="4" t="s">
        <v>52</v>
      </c>
      <c r="O258" s="4" t="s">
        <v>35</v>
      </c>
      <c r="P258" s="4" t="s">
        <v>53</v>
      </c>
      <c r="Q258" s="4"/>
      <c r="R258" s="4" t="s">
        <v>38</v>
      </c>
      <c r="S258" s="4" t="s">
        <v>38</v>
      </c>
      <c r="T258" s="1">
        <v>42551</v>
      </c>
      <c r="U258" s="17">
        <v>47.798083333333331</v>
      </c>
      <c r="V258" s="17">
        <v>-122.84958333333333</v>
      </c>
      <c r="W258" t="str">
        <f>VLOOKUP(B258,[1]Plantings!$A$2:$E$285,4,FALSE)</f>
        <v>point?</v>
      </c>
      <c r="X258" s="11" t="str">
        <f>VLOOKUP(B258,[1]Plantings!$A$2:$E$285,5,FALSE)</f>
        <v>retain</v>
      </c>
      <c r="Y258" s="22" t="s">
        <v>1</v>
      </c>
      <c r="Z258" s="23">
        <v>-1.7983199999999999</v>
      </c>
      <c r="AA258" s="4" t="s">
        <v>39</v>
      </c>
      <c r="AB258" s="15">
        <v>2</v>
      </c>
      <c r="AC258">
        <v>2</v>
      </c>
      <c r="AD258">
        <f t="shared" si="36"/>
        <v>4</v>
      </c>
      <c r="AE258">
        <v>4</v>
      </c>
      <c r="AF258" s="14">
        <f t="shared" si="39"/>
        <v>0.3</v>
      </c>
      <c r="AG258" s="15">
        <v>60</v>
      </c>
      <c r="AH258" s="15">
        <v>240</v>
      </c>
      <c r="AI258" s="13">
        <f t="shared" si="34"/>
        <v>60</v>
      </c>
      <c r="AJ258" s="13">
        <f t="shared" si="35"/>
        <v>60</v>
      </c>
      <c r="AK258" s="4" t="s">
        <v>469</v>
      </c>
    </row>
    <row r="259" spans="1:38" x14ac:dyDescent="0.25">
      <c r="A259" s="4" t="s">
        <v>16</v>
      </c>
      <c r="B259" s="4" t="s">
        <v>476</v>
      </c>
      <c r="C259" t="str">
        <f>VLOOKUP(B259,[1]Plantings!$A$2:$C$285,2,FALSE)</f>
        <v>QLC_mid3</v>
      </c>
      <c r="D259" t="str">
        <f>VLOOKUP(B259,[1]Plantings!$A$2:$C$285,3,FALSE)</f>
        <v>single</v>
      </c>
      <c r="E259" s="4">
        <v>2016</v>
      </c>
      <c r="F259" t="s">
        <v>28</v>
      </c>
      <c r="G259" s="4" t="s">
        <v>0</v>
      </c>
      <c r="H259" s="4" t="s">
        <v>469</v>
      </c>
      <c r="I259" s="4" t="s">
        <v>413</v>
      </c>
      <c r="J259" s="4" t="s">
        <v>12</v>
      </c>
      <c r="K259" s="4" t="s">
        <v>50</v>
      </c>
      <c r="L259" s="4" t="s">
        <v>50</v>
      </c>
      <c r="M259" s="7" t="s">
        <v>51</v>
      </c>
      <c r="N259" s="4" t="s">
        <v>52</v>
      </c>
      <c r="O259" s="4" t="s">
        <v>35</v>
      </c>
      <c r="P259" s="4" t="s">
        <v>53</v>
      </c>
      <c r="Q259" s="4"/>
      <c r="R259" s="4" t="s">
        <v>38</v>
      </c>
      <c r="S259" s="4" t="s">
        <v>38</v>
      </c>
      <c r="T259" s="1">
        <v>42551</v>
      </c>
      <c r="U259" s="17">
        <v>47.798116666666665</v>
      </c>
      <c r="V259" s="17">
        <v>-122.8496</v>
      </c>
      <c r="W259" t="str">
        <f>VLOOKUP(B259,[1]Plantings!$A$2:$E$285,4,FALSE)</f>
        <v>point?</v>
      </c>
      <c r="X259" s="11" t="str">
        <f>VLOOKUP(B259,[1]Plantings!$A$2:$E$285,5,FALSE)</f>
        <v>retain</v>
      </c>
      <c r="Y259" s="22" t="s">
        <v>1</v>
      </c>
      <c r="Z259" s="23">
        <v>-2.1335999999999999</v>
      </c>
      <c r="AA259" s="4" t="s">
        <v>39</v>
      </c>
      <c r="AB259" s="15">
        <v>2</v>
      </c>
      <c r="AC259">
        <v>2</v>
      </c>
      <c r="AD259">
        <f t="shared" si="36"/>
        <v>4</v>
      </c>
      <c r="AE259">
        <v>4</v>
      </c>
      <c r="AF259" s="14">
        <f t="shared" si="39"/>
        <v>0.3</v>
      </c>
      <c r="AG259" s="15">
        <v>60</v>
      </c>
      <c r="AH259" s="15">
        <v>240</v>
      </c>
      <c r="AI259" s="13">
        <f t="shared" si="34"/>
        <v>60</v>
      </c>
      <c r="AJ259" s="13">
        <f t="shared" si="35"/>
        <v>60</v>
      </c>
      <c r="AK259" s="4" t="s">
        <v>469</v>
      </c>
    </row>
    <row r="260" spans="1:38" x14ac:dyDescent="0.25">
      <c r="A260" s="4" t="s">
        <v>16</v>
      </c>
      <c r="B260" s="4" t="s">
        <v>477</v>
      </c>
      <c r="C260" t="str">
        <f>VLOOKUP(B260,[1]Plantings!$A$2:$C$285,2,FALSE)</f>
        <v>QLC_south1</v>
      </c>
      <c r="D260" t="str">
        <f>VLOOKUP(B260,[1]Plantings!$A$2:$C$285,3,FALSE)</f>
        <v>single</v>
      </c>
      <c r="E260" s="4">
        <v>2016</v>
      </c>
      <c r="F260" t="s">
        <v>28</v>
      </c>
      <c r="G260" s="4" t="s">
        <v>0</v>
      </c>
      <c r="H260" s="4" t="s">
        <v>469</v>
      </c>
      <c r="I260" s="4" t="s">
        <v>413</v>
      </c>
      <c r="J260" s="4" t="s">
        <v>12</v>
      </c>
      <c r="K260" s="4" t="s">
        <v>50</v>
      </c>
      <c r="L260" s="4" t="s">
        <v>50</v>
      </c>
      <c r="M260" s="7" t="s">
        <v>51</v>
      </c>
      <c r="N260" s="4" t="s">
        <v>52</v>
      </c>
      <c r="O260" s="4" t="s">
        <v>35</v>
      </c>
      <c r="P260" s="4" t="s">
        <v>53</v>
      </c>
      <c r="Q260" s="4"/>
      <c r="R260" s="4" t="s">
        <v>38</v>
      </c>
      <c r="S260" s="4" t="s">
        <v>38</v>
      </c>
      <c r="T260" s="1">
        <v>42551</v>
      </c>
      <c r="U260" s="64">
        <v>47.79665</v>
      </c>
      <c r="V260" s="64">
        <v>-122.8501333</v>
      </c>
      <c r="W260" t="str">
        <f>VLOOKUP(B260,[1]Plantings!$A$2:$E$285,4,FALSE)</f>
        <v>point?</v>
      </c>
      <c r="X260" s="11" t="str">
        <f>VLOOKUP(B260,[1]Plantings!$A$2:$E$285,5,FALSE)</f>
        <v>retain</v>
      </c>
      <c r="Y260" s="22" t="s">
        <v>1</v>
      </c>
      <c r="Z260" s="23">
        <v>-1.1582399999999999</v>
      </c>
      <c r="AA260" s="4" t="s">
        <v>39</v>
      </c>
      <c r="AB260" s="15">
        <v>2</v>
      </c>
      <c r="AC260">
        <v>2</v>
      </c>
      <c r="AD260">
        <f t="shared" si="36"/>
        <v>4</v>
      </c>
      <c r="AE260">
        <v>4</v>
      </c>
      <c r="AF260" s="14">
        <f t="shared" si="39"/>
        <v>0.3</v>
      </c>
      <c r="AG260" s="15">
        <v>60</v>
      </c>
      <c r="AH260" s="15">
        <v>240</v>
      </c>
      <c r="AI260" s="13">
        <f t="shared" si="34"/>
        <v>60</v>
      </c>
      <c r="AJ260" s="13">
        <f t="shared" si="35"/>
        <v>60</v>
      </c>
      <c r="AK260" s="4" t="s">
        <v>469</v>
      </c>
    </row>
    <row r="261" spans="1:38" x14ac:dyDescent="0.25">
      <c r="A261" s="4" t="s">
        <v>16</v>
      </c>
      <c r="B261" s="4" t="s">
        <v>478</v>
      </c>
      <c r="C261" t="str">
        <f>VLOOKUP(B261,[1]Plantings!$A$2:$C$285,2,FALSE)</f>
        <v>QLC_south2</v>
      </c>
      <c r="D261" t="str">
        <f>VLOOKUP(B261,[1]Plantings!$A$2:$C$285,3,FALSE)</f>
        <v>single</v>
      </c>
      <c r="E261" s="4">
        <v>2016</v>
      </c>
      <c r="F261" t="s">
        <v>28</v>
      </c>
      <c r="G261" s="4" t="s">
        <v>0</v>
      </c>
      <c r="H261" s="4" t="s">
        <v>469</v>
      </c>
      <c r="I261" s="4" t="s">
        <v>413</v>
      </c>
      <c r="J261" s="4" t="s">
        <v>12</v>
      </c>
      <c r="K261" s="4" t="s">
        <v>50</v>
      </c>
      <c r="L261" s="4" t="s">
        <v>50</v>
      </c>
      <c r="M261" s="7" t="s">
        <v>51</v>
      </c>
      <c r="N261" s="4" t="s">
        <v>52</v>
      </c>
      <c r="O261" s="4" t="s">
        <v>35</v>
      </c>
      <c r="P261" s="4" t="s">
        <v>53</v>
      </c>
      <c r="Q261" s="4"/>
      <c r="R261" s="4" t="s">
        <v>38</v>
      </c>
      <c r="S261" s="4" t="s">
        <v>38</v>
      </c>
      <c r="T261" s="1">
        <v>42551</v>
      </c>
      <c r="U261" s="64">
        <v>47.79668333</v>
      </c>
      <c r="V261" s="64">
        <v>-122.8502</v>
      </c>
      <c r="W261" t="str">
        <f>VLOOKUP(B261,[1]Plantings!$A$2:$E$285,4,FALSE)</f>
        <v>point?</v>
      </c>
      <c r="X261" s="11" t="str">
        <f>VLOOKUP(B261,[1]Plantings!$A$2:$E$285,5,FALSE)</f>
        <v>retain</v>
      </c>
      <c r="Y261" s="22" t="s">
        <v>1</v>
      </c>
      <c r="Z261" s="23">
        <v>-1.4630399999999999</v>
      </c>
      <c r="AA261" s="4" t="s">
        <v>39</v>
      </c>
      <c r="AB261" s="15">
        <v>2</v>
      </c>
      <c r="AC261">
        <v>2</v>
      </c>
      <c r="AD261">
        <f t="shared" si="36"/>
        <v>4</v>
      </c>
      <c r="AE261">
        <v>4</v>
      </c>
      <c r="AF261" s="14">
        <f t="shared" si="39"/>
        <v>0.3</v>
      </c>
      <c r="AG261" s="15">
        <v>60</v>
      </c>
      <c r="AH261" s="15">
        <v>240</v>
      </c>
      <c r="AI261" s="13">
        <f t="shared" si="34"/>
        <v>60</v>
      </c>
      <c r="AJ261" s="13">
        <f t="shared" si="35"/>
        <v>60</v>
      </c>
      <c r="AK261" s="4" t="s">
        <v>469</v>
      </c>
    </row>
    <row r="262" spans="1:38" x14ac:dyDescent="0.25">
      <c r="A262" s="4" t="s">
        <v>16</v>
      </c>
      <c r="B262" s="4" t="s">
        <v>479</v>
      </c>
      <c r="C262" t="str">
        <f>VLOOKUP(B262,[1]Plantings!$A$2:$C$285,2,FALSE)</f>
        <v>QLC_south3</v>
      </c>
      <c r="D262" t="str">
        <f>VLOOKUP(B262,[1]Plantings!$A$2:$C$285,3,FALSE)</f>
        <v>single</v>
      </c>
      <c r="E262" s="4">
        <v>2016</v>
      </c>
      <c r="F262" t="s">
        <v>28</v>
      </c>
      <c r="G262" s="4" t="s">
        <v>0</v>
      </c>
      <c r="H262" s="4" t="s">
        <v>469</v>
      </c>
      <c r="I262" s="4" t="s">
        <v>413</v>
      </c>
      <c r="J262" s="4" t="s">
        <v>12</v>
      </c>
      <c r="K262" s="4" t="s">
        <v>50</v>
      </c>
      <c r="L262" s="4" t="s">
        <v>50</v>
      </c>
      <c r="M262" s="7" t="s">
        <v>51</v>
      </c>
      <c r="N262" s="4" t="s">
        <v>52</v>
      </c>
      <c r="O262" s="4" t="s">
        <v>35</v>
      </c>
      <c r="P262" s="4" t="s">
        <v>53</v>
      </c>
      <c r="Q262" s="4"/>
      <c r="R262" s="4" t="s">
        <v>38</v>
      </c>
      <c r="S262" s="4" t="s">
        <v>38</v>
      </c>
      <c r="T262" s="1">
        <v>42551</v>
      </c>
      <c r="U262" s="64">
        <v>47.79668333</v>
      </c>
      <c r="V262" s="64">
        <v>-122.8502333</v>
      </c>
      <c r="W262" t="str">
        <f>VLOOKUP(B262,[1]Plantings!$A$2:$E$285,4,FALSE)</f>
        <v>point?</v>
      </c>
      <c r="X262" s="11" t="str">
        <f>VLOOKUP(B262,[1]Plantings!$A$2:$E$285,5,FALSE)</f>
        <v>retain</v>
      </c>
      <c r="Y262" s="22" t="s">
        <v>1</v>
      </c>
      <c r="Z262" s="23">
        <v>-2.0726399999999998</v>
      </c>
      <c r="AA262" s="4" t="s">
        <v>39</v>
      </c>
      <c r="AB262" s="15">
        <v>2</v>
      </c>
      <c r="AC262">
        <v>2</v>
      </c>
      <c r="AD262">
        <f t="shared" si="36"/>
        <v>4</v>
      </c>
      <c r="AE262">
        <v>4</v>
      </c>
      <c r="AF262" s="14">
        <f t="shared" si="39"/>
        <v>0.3</v>
      </c>
      <c r="AG262" s="15">
        <v>60</v>
      </c>
      <c r="AH262" s="15">
        <v>240</v>
      </c>
      <c r="AI262" s="13">
        <f t="shared" si="34"/>
        <v>60</v>
      </c>
      <c r="AJ262" s="13">
        <f t="shared" si="35"/>
        <v>60</v>
      </c>
      <c r="AK262" s="4" t="s">
        <v>469</v>
      </c>
    </row>
    <row r="263" spans="1:38" x14ac:dyDescent="0.25">
      <c r="A263" t="s">
        <v>480</v>
      </c>
      <c r="B263" t="s">
        <v>481</v>
      </c>
      <c r="C263" t="str">
        <f>VLOOKUP(B263,[1]Plantings!$A$2:$C$285,2,FALSE)</f>
        <v>SHB_1</v>
      </c>
      <c r="D263" t="str">
        <f>VLOOKUP(B263,[1]Plantings!$A$2:$C$285,3,FALSE)</f>
        <v>single</v>
      </c>
      <c r="E263">
        <v>2023</v>
      </c>
      <c r="G263" t="s">
        <v>0</v>
      </c>
      <c r="H263" t="s">
        <v>482</v>
      </c>
      <c r="I263" t="s">
        <v>413</v>
      </c>
      <c r="R263" t="s">
        <v>38</v>
      </c>
      <c r="S263" t="s">
        <v>38</v>
      </c>
      <c r="T263" s="27">
        <v>45081</v>
      </c>
      <c r="U263" s="64">
        <v>47.866653999999997</v>
      </c>
      <c r="V263" s="64">
        <v>-122.67272</v>
      </c>
      <c r="W263" t="str">
        <f>VLOOKUP(B263,[1]Plantings!$A$2:$E$285,4,FALSE)</f>
        <v>point</v>
      </c>
      <c r="X263" s="11" t="str">
        <f>VLOOKUP(B263,[1]Plantings!$A$2:$E$285,5,FALSE)</f>
        <v>retain</v>
      </c>
      <c r="Y263" s="16" t="s">
        <v>1</v>
      </c>
      <c r="Z263" s="23">
        <v>-0.5</v>
      </c>
      <c r="AA263" s="13" t="s">
        <v>54</v>
      </c>
      <c r="AD263">
        <f t="shared" si="36"/>
        <v>0</v>
      </c>
      <c r="AE263">
        <f>AG263*0.25</f>
        <v>2.25</v>
      </c>
      <c r="AF263" s="14">
        <f>IF(AA263="staple",AG263*0.005,IF(AA263="rebar",AG263*0.025,IF(AA263="burlap",AG263*0.0625,IF(AA263="washer",AG263*0.0025,IF(AA263="pucks",AG263*0.00785,IF(AA263="turf",AG263*0.01,IF(AA263="TERFS",AG263*0.25,IF(AA263="",""))))))))</f>
        <v>0.22500000000000001</v>
      </c>
      <c r="AG263" s="15">
        <v>9</v>
      </c>
      <c r="AI263" s="13" t="str">
        <f t="shared" si="34"/>
        <v/>
      </c>
      <c r="AJ263" s="13">
        <f t="shared" si="35"/>
        <v>0</v>
      </c>
      <c r="AK263" t="s">
        <v>483</v>
      </c>
    </row>
    <row r="264" spans="1:38" x14ac:dyDescent="0.25">
      <c r="A264" t="s">
        <v>15</v>
      </c>
      <c r="B264" s="4" t="s">
        <v>484</v>
      </c>
      <c r="C264" t="str">
        <f>VLOOKUP(B264,[1]Plantings!$A$2:$C$285,2,FALSE)</f>
        <v>SKG_1</v>
      </c>
      <c r="D264" t="str">
        <f>VLOOKUP(B264,[1]Plantings!$A$2:$C$285,3,FALSE)</f>
        <v>single</v>
      </c>
      <c r="E264" s="4">
        <v>2016</v>
      </c>
      <c r="F264" t="s">
        <v>485</v>
      </c>
      <c r="G264" s="4" t="s">
        <v>0</v>
      </c>
      <c r="H264" s="4" t="s">
        <v>486</v>
      </c>
      <c r="I264" s="4" t="s">
        <v>487</v>
      </c>
      <c r="J264" s="4" t="s">
        <v>12</v>
      </c>
      <c r="K264" s="4" t="s">
        <v>50</v>
      </c>
      <c r="L264" s="4" t="s">
        <v>50</v>
      </c>
      <c r="M264" s="7" t="s">
        <v>51</v>
      </c>
      <c r="N264" s="4" t="s">
        <v>52</v>
      </c>
      <c r="O264" s="4" t="s">
        <v>35</v>
      </c>
      <c r="P264" s="4" t="s">
        <v>53</v>
      </c>
      <c r="Q264" s="4"/>
      <c r="R264" s="4" t="s">
        <v>38</v>
      </c>
      <c r="S264" s="4" t="s">
        <v>38</v>
      </c>
      <c r="T264" s="10">
        <v>42621</v>
      </c>
      <c r="U264" s="70">
        <v>48.347106666666669</v>
      </c>
      <c r="V264" s="70">
        <v>-122.54136666666666</v>
      </c>
      <c r="W264" t="str">
        <f>VLOOKUP(B264,[1]Plantings!$A$2:$E$285,4,FALSE)</f>
        <v>point</v>
      </c>
      <c r="X264" s="11" t="str">
        <f>VLOOKUP(B264,[1]Plantings!$A$2:$E$285,5,FALSE)</f>
        <v>retain</v>
      </c>
      <c r="Y264" s="16" t="s">
        <v>1</v>
      </c>
      <c r="Z264" s="12">
        <v>-0.70104000000000022</v>
      </c>
      <c r="AA264" t="s">
        <v>54</v>
      </c>
      <c r="AB264">
        <v>2</v>
      </c>
      <c r="AC264">
        <v>2</v>
      </c>
      <c r="AD264">
        <f t="shared" si="36"/>
        <v>4</v>
      </c>
      <c r="AE264">
        <f>AG264*0.25</f>
        <v>5</v>
      </c>
      <c r="AF264" s="14">
        <f t="shared" ref="AF264:AF276" si="40">IF(AA264="staple",AG264*0.005,IF(AA264="rebar",AG264*0.025,IF(AA264="burlap",AG264*0.0625,IF(AA264="washer",AG264*0.0025,IF(AA264="pucks",AG264*0.00785,IF(AA264="turf",AG264*0.01,IF(AA264="","")))))))</f>
        <v>0.5</v>
      </c>
      <c r="AG264" s="15">
        <v>20</v>
      </c>
      <c r="AH264" s="15">
        <v>500</v>
      </c>
      <c r="AI264" s="13">
        <f t="shared" si="34"/>
        <v>125</v>
      </c>
      <c r="AJ264" s="13">
        <f t="shared" si="35"/>
        <v>100</v>
      </c>
      <c r="AK264" t="s">
        <v>488</v>
      </c>
      <c r="AL264" s="58" t="s">
        <v>489</v>
      </c>
    </row>
    <row r="265" spans="1:38" x14ac:dyDescent="0.25">
      <c r="A265" t="s">
        <v>15</v>
      </c>
      <c r="B265" s="4" t="s">
        <v>490</v>
      </c>
      <c r="C265" t="str">
        <f>VLOOKUP(B265,[1]Plantings!$A$2:$C$285,2,FALSE)</f>
        <v>SKG_2</v>
      </c>
      <c r="D265" t="str">
        <f>VLOOKUP(B265,[1]Plantings!$A$2:$C$285,3,FALSE)</f>
        <v>single</v>
      </c>
      <c r="E265" s="4">
        <v>2016</v>
      </c>
      <c r="F265" t="s">
        <v>485</v>
      </c>
      <c r="G265" s="4" t="s">
        <v>0</v>
      </c>
      <c r="H265" s="4" t="s">
        <v>486</v>
      </c>
      <c r="I265" s="4" t="s">
        <v>487</v>
      </c>
      <c r="J265" s="4" t="s">
        <v>12</v>
      </c>
      <c r="K265" s="4" t="s">
        <v>50</v>
      </c>
      <c r="L265" s="4" t="s">
        <v>50</v>
      </c>
      <c r="M265" s="7" t="s">
        <v>51</v>
      </c>
      <c r="N265" s="4" t="s">
        <v>52</v>
      </c>
      <c r="O265" s="4" t="s">
        <v>35</v>
      </c>
      <c r="P265" s="4" t="s">
        <v>53</v>
      </c>
      <c r="Q265" s="4"/>
      <c r="R265" s="4" t="s">
        <v>38</v>
      </c>
      <c r="S265" s="4" t="s">
        <v>38</v>
      </c>
      <c r="T265" s="10">
        <v>42621</v>
      </c>
      <c r="U265" s="67">
        <v>48.347566666666665</v>
      </c>
      <c r="V265" s="70">
        <v>-122.54205</v>
      </c>
      <c r="W265" t="str">
        <f>VLOOKUP(B265,[1]Plantings!$A$2:$E$285,4,FALSE)</f>
        <v>point</v>
      </c>
      <c r="X265" s="11" t="str">
        <f>VLOOKUP(B265,[1]Plantings!$A$2:$E$285,5,FALSE)</f>
        <v>retain</v>
      </c>
      <c r="Y265" s="16" t="s">
        <v>1</v>
      </c>
      <c r="Z265" s="12">
        <v>-0.70104000000000022</v>
      </c>
      <c r="AA265" t="s">
        <v>54</v>
      </c>
      <c r="AB265">
        <v>2</v>
      </c>
      <c r="AC265">
        <v>2</v>
      </c>
      <c r="AD265">
        <f t="shared" si="36"/>
        <v>4</v>
      </c>
      <c r="AE265">
        <f>AG265*0.25</f>
        <v>5</v>
      </c>
      <c r="AF265" s="14">
        <f t="shared" si="40"/>
        <v>0.5</v>
      </c>
      <c r="AG265" s="15">
        <v>20</v>
      </c>
      <c r="AH265" s="15">
        <v>500</v>
      </c>
      <c r="AI265" s="13">
        <f t="shared" si="34"/>
        <v>125</v>
      </c>
      <c r="AJ265" s="13">
        <f t="shared" si="35"/>
        <v>100</v>
      </c>
      <c r="AK265" t="s">
        <v>488</v>
      </c>
      <c r="AL265" s="58" t="s">
        <v>491</v>
      </c>
    </row>
    <row r="266" spans="1:38" x14ac:dyDescent="0.25">
      <c r="A266" t="s">
        <v>15</v>
      </c>
      <c r="B266" s="4" t="s">
        <v>492</v>
      </c>
      <c r="C266" t="str">
        <f>VLOOKUP(B266,[1]Plantings!$A$2:$C$285,2,FALSE)</f>
        <v>SKG_5</v>
      </c>
      <c r="D266" t="str">
        <f>VLOOKUP(B266,[1]Plantings!$A$2:$C$285,3,FALSE)</f>
        <v>single</v>
      </c>
      <c r="E266" s="4">
        <v>2016</v>
      </c>
      <c r="F266" t="s">
        <v>485</v>
      </c>
      <c r="G266" s="4" t="s">
        <v>0</v>
      </c>
      <c r="H266" s="4" t="s">
        <v>486</v>
      </c>
      <c r="I266" s="4" t="s">
        <v>487</v>
      </c>
      <c r="J266" s="4" t="s">
        <v>12</v>
      </c>
      <c r="K266" s="4" t="s">
        <v>50</v>
      </c>
      <c r="L266" s="4" t="s">
        <v>50</v>
      </c>
      <c r="M266" s="7" t="s">
        <v>51</v>
      </c>
      <c r="N266" s="4" t="s">
        <v>52</v>
      </c>
      <c r="O266" s="4" t="s">
        <v>35</v>
      </c>
      <c r="P266" s="4" t="s">
        <v>53</v>
      </c>
      <c r="Q266" s="4"/>
      <c r="R266" s="4" t="s">
        <v>38</v>
      </c>
      <c r="S266" s="4" t="s">
        <v>38</v>
      </c>
      <c r="T266" s="10">
        <v>42622</v>
      </c>
      <c r="U266" s="67">
        <v>48.348199999999999</v>
      </c>
      <c r="V266" s="70">
        <v>-122.54325</v>
      </c>
      <c r="W266" t="str">
        <f>VLOOKUP(B266,[1]Plantings!$A$2:$E$285,4,FALSE)</f>
        <v>point</v>
      </c>
      <c r="X266" s="11" t="str">
        <f>VLOOKUP(B266,[1]Plantings!$A$2:$E$285,5,FALSE)</f>
        <v>retain</v>
      </c>
      <c r="Y266" s="16" t="s">
        <v>1</v>
      </c>
      <c r="Z266" s="12">
        <v>-0.4267200000000001</v>
      </c>
      <c r="AA266" t="s">
        <v>54</v>
      </c>
      <c r="AB266">
        <v>1.5</v>
      </c>
      <c r="AC266">
        <v>2</v>
      </c>
      <c r="AD266">
        <f t="shared" si="36"/>
        <v>3</v>
      </c>
      <c r="AE266">
        <f>AG266*0.25</f>
        <v>4</v>
      </c>
      <c r="AF266" s="14">
        <f t="shared" si="40"/>
        <v>0.4</v>
      </c>
      <c r="AG266" s="15">
        <v>16</v>
      </c>
      <c r="AH266" s="15">
        <v>400</v>
      </c>
      <c r="AI266" s="13">
        <f t="shared" si="34"/>
        <v>133.33333333333334</v>
      </c>
      <c r="AJ266" s="13">
        <f t="shared" si="35"/>
        <v>100</v>
      </c>
      <c r="AK266" t="s">
        <v>488</v>
      </c>
      <c r="AL266" s="58" t="s">
        <v>493</v>
      </c>
    </row>
    <row r="267" spans="1:38" x14ac:dyDescent="0.25">
      <c r="A267" t="s">
        <v>15</v>
      </c>
      <c r="B267" s="4" t="s">
        <v>494</v>
      </c>
      <c r="C267" t="str">
        <f>VLOOKUP(B267,[1]Plantings!$A$2:$C$285,2,FALSE)</f>
        <v>SKG_6</v>
      </c>
      <c r="D267" t="str">
        <f>VLOOKUP(B267,[1]Plantings!$A$2:$C$285,3,FALSE)</f>
        <v>single</v>
      </c>
      <c r="E267" s="4">
        <v>2016</v>
      </c>
      <c r="F267" t="s">
        <v>485</v>
      </c>
      <c r="G267" s="4" t="s">
        <v>0</v>
      </c>
      <c r="H267" s="4" t="s">
        <v>486</v>
      </c>
      <c r="I267" s="4" t="s">
        <v>487</v>
      </c>
      <c r="J267" s="4" t="s">
        <v>12</v>
      </c>
      <c r="K267" s="4" t="s">
        <v>50</v>
      </c>
      <c r="L267" s="4" t="s">
        <v>50</v>
      </c>
      <c r="M267" s="7" t="s">
        <v>51</v>
      </c>
      <c r="N267" s="4" t="s">
        <v>52</v>
      </c>
      <c r="O267" s="4" t="s">
        <v>35</v>
      </c>
      <c r="P267" s="4" t="s">
        <v>53</v>
      </c>
      <c r="Q267" s="4"/>
      <c r="R267" s="4" t="s">
        <v>38</v>
      </c>
      <c r="S267" s="4" t="s">
        <v>38</v>
      </c>
      <c r="T267" s="10">
        <v>42622</v>
      </c>
      <c r="U267" s="67">
        <v>48.348199999999999</v>
      </c>
      <c r="V267" s="70">
        <v>-122.54381666666667</v>
      </c>
      <c r="W267" t="str">
        <f>VLOOKUP(B267,[1]Plantings!$A$2:$E$285,4,FALSE)</f>
        <v>point</v>
      </c>
      <c r="X267" s="11" t="str">
        <f>VLOOKUP(B267,[1]Plantings!$A$2:$E$285,5,FALSE)</f>
        <v>retain</v>
      </c>
      <c r="Y267" s="16" t="s">
        <v>1</v>
      </c>
      <c r="Z267" s="12">
        <v>-0.51816000000000006</v>
      </c>
      <c r="AA267" t="s">
        <v>54</v>
      </c>
      <c r="AB267">
        <v>1.5</v>
      </c>
      <c r="AC267">
        <v>2</v>
      </c>
      <c r="AD267">
        <f t="shared" si="36"/>
        <v>3</v>
      </c>
      <c r="AE267">
        <f>AG267*0.25</f>
        <v>4</v>
      </c>
      <c r="AF267" s="14">
        <f t="shared" si="40"/>
        <v>0.4</v>
      </c>
      <c r="AG267" s="15">
        <v>16</v>
      </c>
      <c r="AH267" s="15">
        <v>400</v>
      </c>
      <c r="AI267" s="13">
        <f t="shared" si="34"/>
        <v>133.33333333333334</v>
      </c>
      <c r="AJ267" s="13">
        <f t="shared" si="35"/>
        <v>100</v>
      </c>
      <c r="AK267" t="s">
        <v>488</v>
      </c>
      <c r="AL267" s="58" t="s">
        <v>493</v>
      </c>
    </row>
    <row r="268" spans="1:38" x14ac:dyDescent="0.25">
      <c r="A268" t="s">
        <v>495</v>
      </c>
      <c r="B268" t="s">
        <v>496</v>
      </c>
      <c r="C268" t="str">
        <f>VLOOKUP(B268,[1]Plantings!$A$2:$C$285,2,FALSE)</f>
        <v>STI</v>
      </c>
      <c r="D268" t="str">
        <f>VLOOKUP(B268,[1]Plantings!$A$2:$C$285,3,FALSE)</f>
        <v>single</v>
      </c>
      <c r="E268">
        <v>2015</v>
      </c>
      <c r="G268" t="s">
        <v>0</v>
      </c>
      <c r="H268" t="s">
        <v>10</v>
      </c>
      <c r="I268" t="s">
        <v>29</v>
      </c>
      <c r="J268" t="s">
        <v>4</v>
      </c>
      <c r="K268" t="s">
        <v>43</v>
      </c>
      <c r="L268" t="s">
        <v>44</v>
      </c>
      <c r="O268" t="s">
        <v>35</v>
      </c>
      <c r="P268" t="s">
        <v>45</v>
      </c>
      <c r="Q268" t="s">
        <v>46</v>
      </c>
      <c r="R268" t="s">
        <v>38</v>
      </c>
      <c r="S268" t="s">
        <v>38</v>
      </c>
      <c r="T268" s="10">
        <v>42075</v>
      </c>
      <c r="U268" s="17">
        <v>47.320098000000002</v>
      </c>
      <c r="V268" s="68">
        <v>-122.831565</v>
      </c>
      <c r="W268" t="str">
        <f>VLOOKUP(B268,[1]Plantings!$A$2:$E$285,4,FALSE)</f>
        <v>point</v>
      </c>
      <c r="X268" s="11" t="str">
        <f>VLOOKUP(B268,[1]Plantings!$A$2:$E$285,5,FALSE)</f>
        <v>retain</v>
      </c>
      <c r="Y268" s="16" t="s">
        <v>1</v>
      </c>
      <c r="Z268" s="12">
        <v>-1.0668</v>
      </c>
      <c r="AA268" s="38" t="s">
        <v>39</v>
      </c>
      <c r="AB268">
        <v>5</v>
      </c>
      <c r="AC268">
        <v>5</v>
      </c>
      <c r="AD268">
        <f t="shared" si="36"/>
        <v>25</v>
      </c>
      <c r="AE268">
        <v>25</v>
      </c>
      <c r="AF268" s="14">
        <f t="shared" si="40"/>
        <v>0.625</v>
      </c>
      <c r="AG268" s="15">
        <f>AH268/4</f>
        <v>125</v>
      </c>
      <c r="AH268" s="15">
        <v>500</v>
      </c>
      <c r="AI268" s="13">
        <f t="shared" si="34"/>
        <v>20</v>
      </c>
      <c r="AJ268" s="13">
        <f t="shared" si="35"/>
        <v>20</v>
      </c>
      <c r="AK268" t="s">
        <v>165</v>
      </c>
      <c r="AL268" s="3" t="s">
        <v>497</v>
      </c>
    </row>
    <row r="269" spans="1:38" x14ac:dyDescent="0.25">
      <c r="A269" t="s">
        <v>498</v>
      </c>
      <c r="B269" t="s">
        <v>499</v>
      </c>
      <c r="C269" t="str">
        <f>VLOOKUP(B269,[1]Plantings!$A$2:$C$285,2,FALSE)</f>
        <v>TAY_L1</v>
      </c>
      <c r="D269" t="str">
        <f>VLOOKUP(B269,[1]Plantings!$A$2:$C$285,3,FALSE)</f>
        <v>single</v>
      </c>
      <c r="E269">
        <v>2016</v>
      </c>
      <c r="G269" t="s">
        <v>59</v>
      </c>
      <c r="H269" t="s">
        <v>10</v>
      </c>
      <c r="I269" t="s">
        <v>29</v>
      </c>
      <c r="J269" t="s">
        <v>60</v>
      </c>
      <c r="K269" t="s">
        <v>31</v>
      </c>
      <c r="L269" t="s">
        <v>32</v>
      </c>
      <c r="M269" t="s">
        <v>61</v>
      </c>
      <c r="N269" t="s">
        <v>123</v>
      </c>
      <c r="O269" t="s">
        <v>63</v>
      </c>
      <c r="P269" t="s">
        <v>64</v>
      </c>
      <c r="Q269" t="s">
        <v>65</v>
      </c>
      <c r="R269" t="s">
        <v>38</v>
      </c>
      <c r="S269" t="s">
        <v>38</v>
      </c>
      <c r="T269" s="10">
        <v>42509</v>
      </c>
      <c r="U269" s="11">
        <v>47.183090558333333</v>
      </c>
      <c r="V269" s="11">
        <v>-122.77779399444445</v>
      </c>
      <c r="W269" t="str">
        <f>VLOOKUP(B269,[1]Plantings!$A$2:$E$285,4,FALSE)</f>
        <v>line?</v>
      </c>
      <c r="X269" s="11" t="str">
        <f>VLOOKUP(B269,[1]Plantings!$A$2:$E$285,5,FALSE)</f>
        <v>retain</v>
      </c>
      <c r="Y269" s="16" t="s">
        <v>1</v>
      </c>
      <c r="Z269" s="12">
        <v>-2</v>
      </c>
      <c r="AA269" s="13" t="s">
        <v>124</v>
      </c>
      <c r="AB269">
        <v>25</v>
      </c>
      <c r="AC269">
        <v>5</v>
      </c>
      <c r="AD269">
        <f t="shared" si="36"/>
        <v>125</v>
      </c>
      <c r="AE269">
        <v>75</v>
      </c>
      <c r="AF269" s="14">
        <f t="shared" si="40"/>
        <v>9.75</v>
      </c>
      <c r="AG269" s="15">
        <v>156</v>
      </c>
      <c r="AH269" s="15">
        <v>780</v>
      </c>
      <c r="AI269" s="13">
        <f t="shared" si="34"/>
        <v>6.24</v>
      </c>
      <c r="AJ269" s="13">
        <f t="shared" si="35"/>
        <v>10.4</v>
      </c>
      <c r="AK269" t="s">
        <v>67</v>
      </c>
      <c r="AL269" s="19" t="s">
        <v>126</v>
      </c>
    </row>
    <row r="270" spans="1:38" x14ac:dyDescent="0.25">
      <c r="A270" t="s">
        <v>498</v>
      </c>
      <c r="B270" t="s">
        <v>500</v>
      </c>
      <c r="C270" t="str">
        <f>VLOOKUP(B270,[1]Plantings!$A$2:$C$285,2,FALSE)</f>
        <v>TAY_L1</v>
      </c>
      <c r="D270" t="str">
        <f>VLOOKUP(B270,[1]Plantings!$A$2:$C$285,3,FALSE)</f>
        <v>single</v>
      </c>
      <c r="E270">
        <v>2016</v>
      </c>
      <c r="G270" t="s">
        <v>59</v>
      </c>
      <c r="H270" t="s">
        <v>10</v>
      </c>
      <c r="I270" t="s">
        <v>29</v>
      </c>
      <c r="J270" t="s">
        <v>60</v>
      </c>
      <c r="K270" t="s">
        <v>31</v>
      </c>
      <c r="L270" t="s">
        <v>32</v>
      </c>
      <c r="M270" t="s">
        <v>61</v>
      </c>
      <c r="N270" t="s">
        <v>123</v>
      </c>
      <c r="O270" t="s">
        <v>63</v>
      </c>
      <c r="P270" t="s">
        <v>64</v>
      </c>
      <c r="Q270" t="s">
        <v>65</v>
      </c>
      <c r="R270" t="s">
        <v>38</v>
      </c>
      <c r="S270" s="20" t="s">
        <v>70</v>
      </c>
      <c r="T270" s="10">
        <v>42509</v>
      </c>
      <c r="U270" s="18">
        <v>47.182860077777775</v>
      </c>
      <c r="V270" s="11">
        <v>-122.77778232222222</v>
      </c>
      <c r="W270" t="str">
        <f>VLOOKUP(B270,[1]Plantings!$A$2:$E$285,4,FALSE)</f>
        <v>line?</v>
      </c>
      <c r="X270" s="11" t="str">
        <f>VLOOKUP(B270,[1]Plantings!$A$2:$E$285,5,FALSE)</f>
        <v>retain</v>
      </c>
      <c r="Y270" s="16" t="s">
        <v>1</v>
      </c>
      <c r="Z270" s="12"/>
      <c r="AA270" s="13"/>
      <c r="AF270" s="14" t="str">
        <f t="shared" si="40"/>
        <v/>
      </c>
      <c r="AG270" s="15"/>
      <c r="AH270" s="15"/>
      <c r="AI270" s="13" t="str">
        <f t="shared" si="34"/>
        <v/>
      </c>
      <c r="AJ270" s="13" t="str">
        <f t="shared" si="35"/>
        <v/>
      </c>
      <c r="AL270" s="19"/>
    </row>
    <row r="271" spans="1:38" x14ac:dyDescent="0.25">
      <c r="A271" t="s">
        <v>20</v>
      </c>
      <c r="B271" t="s">
        <v>501</v>
      </c>
      <c r="C271" t="str">
        <f>VLOOKUP(B271,[1]Plantings!$A$2:$C$285,2,FALSE)</f>
        <v>WES_east</v>
      </c>
      <c r="D271" t="str">
        <f>VLOOKUP(B271,[1]Plantings!$A$2:$C$285,3,FALSE)</f>
        <v>single</v>
      </c>
      <c r="E271">
        <v>2013</v>
      </c>
      <c r="F271" t="s">
        <v>28</v>
      </c>
      <c r="G271" t="s">
        <v>0</v>
      </c>
      <c r="H271" t="s">
        <v>20</v>
      </c>
      <c r="I271" t="s">
        <v>100</v>
      </c>
      <c r="J271" t="s">
        <v>30</v>
      </c>
      <c r="K271" t="s">
        <v>31</v>
      </c>
      <c r="L271" t="s">
        <v>32</v>
      </c>
      <c r="M271" t="s">
        <v>33</v>
      </c>
      <c r="N271" t="s">
        <v>34</v>
      </c>
      <c r="O271" t="s">
        <v>35</v>
      </c>
      <c r="P271" t="s">
        <v>36</v>
      </c>
      <c r="Q271" t="s">
        <v>37</v>
      </c>
      <c r="R271" t="s">
        <v>38</v>
      </c>
      <c r="S271" t="s">
        <v>38</v>
      </c>
      <c r="T271" s="10">
        <v>41439</v>
      </c>
      <c r="U271" s="11">
        <v>48.60178333333333</v>
      </c>
      <c r="V271" s="11">
        <v>-123.13939999999999</v>
      </c>
      <c r="W271" t="str">
        <f>VLOOKUP(B271,[1]Plantings!$A$2:$E$285,4,FALSE)</f>
        <v>point</v>
      </c>
      <c r="X271" s="11" t="str">
        <f>VLOOKUP(B271,[1]Plantings!$A$2:$E$285,5,FALSE)</f>
        <v>retain</v>
      </c>
      <c r="Y271" s="16" t="s">
        <v>1</v>
      </c>
      <c r="Z271" s="12">
        <v>-1.2192000000000001</v>
      </c>
      <c r="AA271" s="13" t="s">
        <v>39</v>
      </c>
      <c r="AB271">
        <v>5</v>
      </c>
      <c r="AC271">
        <v>95</v>
      </c>
      <c r="AD271">
        <f t="shared" ref="AD271:AD283" si="41">AB271*AC271</f>
        <v>475</v>
      </c>
      <c r="AE271">
        <v>25</v>
      </c>
      <c r="AF271" s="14">
        <f t="shared" si="40"/>
        <v>0.56000000000000005</v>
      </c>
      <c r="AG271" s="15">
        <f>AH271/4</f>
        <v>112</v>
      </c>
      <c r="AH271" s="15">
        <v>448</v>
      </c>
      <c r="AI271" s="13">
        <f t="shared" si="34"/>
        <v>0.94315789473684208</v>
      </c>
      <c r="AJ271" s="13">
        <f t="shared" si="35"/>
        <v>17.920000000000002</v>
      </c>
      <c r="AK271" t="s">
        <v>502</v>
      </c>
      <c r="AL271" s="3" t="s">
        <v>503</v>
      </c>
    </row>
    <row r="272" spans="1:38" x14ac:dyDescent="0.25">
      <c r="A272" t="s">
        <v>20</v>
      </c>
      <c r="B272" t="s">
        <v>504</v>
      </c>
      <c r="C272" t="str">
        <f>VLOOKUP(B272,[1]Plantings!$A$2:$C$285,2,FALSE)</f>
        <v>WES_west</v>
      </c>
      <c r="D272" t="str">
        <f>VLOOKUP(B272,[1]Plantings!$A$2:$C$285,3,FALSE)</f>
        <v>single</v>
      </c>
      <c r="E272">
        <v>2013</v>
      </c>
      <c r="F272" t="s">
        <v>28</v>
      </c>
      <c r="G272" t="s">
        <v>0</v>
      </c>
      <c r="H272" t="s">
        <v>20</v>
      </c>
      <c r="I272" t="s">
        <v>100</v>
      </c>
      <c r="J272" t="s">
        <v>30</v>
      </c>
      <c r="K272" t="s">
        <v>31</v>
      </c>
      <c r="L272" t="s">
        <v>32</v>
      </c>
      <c r="M272" t="s">
        <v>33</v>
      </c>
      <c r="N272" t="s">
        <v>34</v>
      </c>
      <c r="O272" t="s">
        <v>35</v>
      </c>
      <c r="P272" t="s">
        <v>36</v>
      </c>
      <c r="Q272" t="s">
        <v>37</v>
      </c>
      <c r="R272" t="s">
        <v>38</v>
      </c>
      <c r="S272" t="s">
        <v>38</v>
      </c>
      <c r="T272" s="10">
        <v>41439</v>
      </c>
      <c r="U272" s="11">
        <v>48.596449999999997</v>
      </c>
      <c r="V272" s="11">
        <v>-123.16086666666666</v>
      </c>
      <c r="W272" t="str">
        <f>VLOOKUP(B272,[1]Plantings!$A$2:$E$285,4,FALSE)</f>
        <v>point</v>
      </c>
      <c r="X272" s="11" t="str">
        <f>VLOOKUP(B272,[1]Plantings!$A$2:$E$285,5,FALSE)</f>
        <v>retain</v>
      </c>
      <c r="Y272" s="16" t="s">
        <v>1</v>
      </c>
      <c r="Z272" s="12">
        <v>-1.524</v>
      </c>
      <c r="AA272" s="13" t="s">
        <v>39</v>
      </c>
      <c r="AB272">
        <v>5</v>
      </c>
      <c r="AC272">
        <v>57</v>
      </c>
      <c r="AD272">
        <f t="shared" si="41"/>
        <v>285</v>
      </c>
      <c r="AE272">
        <v>25</v>
      </c>
      <c r="AF272" s="14">
        <f t="shared" si="40"/>
        <v>0.59</v>
      </c>
      <c r="AG272" s="15">
        <f>AH272/4</f>
        <v>118</v>
      </c>
      <c r="AH272" s="15">
        <v>472</v>
      </c>
      <c r="AI272" s="13">
        <f t="shared" si="34"/>
        <v>1.656140350877193</v>
      </c>
      <c r="AJ272" s="13">
        <f t="shared" si="35"/>
        <v>18.88</v>
      </c>
      <c r="AK272" t="s">
        <v>502</v>
      </c>
      <c r="AL272" s="3" t="s">
        <v>505</v>
      </c>
    </row>
    <row r="273" spans="1:38" x14ac:dyDescent="0.25">
      <c r="A273" t="s">
        <v>20</v>
      </c>
      <c r="B273" s="4" t="s">
        <v>506</v>
      </c>
      <c r="C273" t="str">
        <f>VLOOKUP(B273,[1]Plantings!$A$2:$C$285,2,FALSE)</f>
        <v>WES_A</v>
      </c>
      <c r="D273" t="str">
        <f>VLOOKUP(B273,[1]Plantings!$A$2:$C$285,3,FALSE)</f>
        <v>single</v>
      </c>
      <c r="E273" s="4">
        <v>2017</v>
      </c>
      <c r="F273" t="s">
        <v>28</v>
      </c>
      <c r="G273" s="4" t="s">
        <v>0</v>
      </c>
      <c r="H273" s="4" t="s">
        <v>20</v>
      </c>
      <c r="I273" s="4" t="s">
        <v>100</v>
      </c>
      <c r="J273" s="4" t="s">
        <v>86</v>
      </c>
      <c r="K273" s="4" t="s">
        <v>17</v>
      </c>
      <c r="L273" s="4" t="s">
        <v>17</v>
      </c>
      <c r="M273" s="4" t="s">
        <v>112</v>
      </c>
      <c r="N273" s="4"/>
      <c r="O273" s="4" t="s">
        <v>35</v>
      </c>
      <c r="P273" s="4" t="s">
        <v>113</v>
      </c>
      <c r="Q273" s="4"/>
      <c r="R273" s="4" t="s">
        <v>38</v>
      </c>
      <c r="S273" s="4" t="s">
        <v>38</v>
      </c>
      <c r="T273" s="10">
        <v>42887</v>
      </c>
      <c r="U273" s="67">
        <v>48.595866666666666</v>
      </c>
      <c r="V273" s="67">
        <v>-123.16155000000001</v>
      </c>
      <c r="W273" t="str">
        <f>VLOOKUP(B273,[1]Plantings!$A$2:$E$285,4,FALSE)</f>
        <v>point</v>
      </c>
      <c r="X273" s="11" t="str">
        <f>VLOOKUP(B273,[1]Plantings!$A$2:$E$285,5,FALSE)</f>
        <v>retain</v>
      </c>
      <c r="Y273" s="16" t="s">
        <v>1</v>
      </c>
      <c r="Z273" s="12">
        <v>-1.4020799999999998</v>
      </c>
      <c r="AA273" t="s">
        <v>54</v>
      </c>
      <c r="AB273">
        <v>2.5</v>
      </c>
      <c r="AC273">
        <v>2.5</v>
      </c>
      <c r="AD273">
        <f t="shared" si="41"/>
        <v>6.25</v>
      </c>
      <c r="AE273">
        <f t="shared" ref="AE273:AE281" si="42">AG273*0.25</f>
        <v>5</v>
      </c>
      <c r="AF273" s="14">
        <f t="shared" si="40"/>
        <v>0.5</v>
      </c>
      <c r="AG273" s="15">
        <f>AH273/25</f>
        <v>20</v>
      </c>
      <c r="AH273" s="15">
        <v>500</v>
      </c>
      <c r="AI273" s="13">
        <f t="shared" si="34"/>
        <v>80</v>
      </c>
      <c r="AJ273" s="13">
        <f t="shared" si="35"/>
        <v>100</v>
      </c>
      <c r="AK273" t="s">
        <v>507</v>
      </c>
      <c r="AL273" s="19"/>
    </row>
    <row r="274" spans="1:38" x14ac:dyDescent="0.25">
      <c r="A274" t="s">
        <v>20</v>
      </c>
      <c r="B274" s="4" t="s">
        <v>508</v>
      </c>
      <c r="C274" t="str">
        <f>VLOOKUP(B274,[1]Plantings!$A$2:$C$285,2,FALSE)</f>
        <v>WES_B</v>
      </c>
      <c r="D274" t="str">
        <f>VLOOKUP(B274,[1]Plantings!$A$2:$C$285,3,FALSE)</f>
        <v>single</v>
      </c>
      <c r="E274" s="4">
        <v>2017</v>
      </c>
      <c r="F274" t="s">
        <v>28</v>
      </c>
      <c r="G274" s="4" t="s">
        <v>0</v>
      </c>
      <c r="H274" s="4" t="s">
        <v>20</v>
      </c>
      <c r="I274" s="4" t="s">
        <v>100</v>
      </c>
      <c r="J274" s="4" t="s">
        <v>86</v>
      </c>
      <c r="K274" s="4" t="s">
        <v>17</v>
      </c>
      <c r="L274" s="4" t="s">
        <v>17</v>
      </c>
      <c r="M274" s="4" t="s">
        <v>112</v>
      </c>
      <c r="N274" s="4"/>
      <c r="O274" s="4" t="s">
        <v>35</v>
      </c>
      <c r="P274" s="4" t="s">
        <v>113</v>
      </c>
      <c r="Q274" s="4"/>
      <c r="R274" s="4" t="s">
        <v>38</v>
      </c>
      <c r="S274" s="4" t="s">
        <v>38</v>
      </c>
      <c r="T274" s="10">
        <v>42887</v>
      </c>
      <c r="U274" s="67">
        <v>48.596449999999997</v>
      </c>
      <c r="V274" s="67">
        <v>-123.16128333333333</v>
      </c>
      <c r="W274" t="str">
        <f>VLOOKUP(B274,[1]Plantings!$A$2:$E$285,4,FALSE)</f>
        <v>point</v>
      </c>
      <c r="X274" s="11" t="str">
        <f>VLOOKUP(B274,[1]Plantings!$A$2:$E$285,5,FALSE)</f>
        <v>retain</v>
      </c>
      <c r="Y274" s="16" t="s">
        <v>1</v>
      </c>
      <c r="Z274" s="12">
        <v>-1.4630399999999999</v>
      </c>
      <c r="AA274" t="s">
        <v>54</v>
      </c>
      <c r="AB274">
        <v>2.5</v>
      </c>
      <c r="AC274">
        <v>2.5</v>
      </c>
      <c r="AD274">
        <f t="shared" si="41"/>
        <v>6.25</v>
      </c>
      <c r="AE274">
        <f t="shared" si="42"/>
        <v>5</v>
      </c>
      <c r="AF274" s="14">
        <f t="shared" si="40"/>
        <v>0.5</v>
      </c>
      <c r="AG274" s="15">
        <f>AH274/25</f>
        <v>20</v>
      </c>
      <c r="AH274" s="15">
        <v>500</v>
      </c>
      <c r="AI274" s="13">
        <f t="shared" si="34"/>
        <v>80</v>
      </c>
      <c r="AJ274" s="13">
        <f t="shared" si="35"/>
        <v>100</v>
      </c>
      <c r="AK274" t="s">
        <v>509</v>
      </c>
      <c r="AL274" s="19"/>
    </row>
    <row r="275" spans="1:38" x14ac:dyDescent="0.25">
      <c r="A275" t="s">
        <v>20</v>
      </c>
      <c r="B275" s="4" t="s">
        <v>510</v>
      </c>
      <c r="C275" t="str">
        <f>VLOOKUP(B275,[1]Plantings!$A$2:$C$285,2,FALSE)</f>
        <v>WES_C</v>
      </c>
      <c r="D275" t="str">
        <f>VLOOKUP(B275,[1]Plantings!$A$2:$C$285,3,FALSE)</f>
        <v>single</v>
      </c>
      <c r="E275" s="4">
        <v>2017</v>
      </c>
      <c r="F275" t="s">
        <v>28</v>
      </c>
      <c r="G275" s="4" t="s">
        <v>0</v>
      </c>
      <c r="H275" s="4" t="s">
        <v>20</v>
      </c>
      <c r="I275" s="4" t="s">
        <v>100</v>
      </c>
      <c r="J275" s="4" t="s">
        <v>86</v>
      </c>
      <c r="K275" s="4" t="s">
        <v>17</v>
      </c>
      <c r="L275" s="4" t="s">
        <v>17</v>
      </c>
      <c r="M275" s="4" t="s">
        <v>112</v>
      </c>
      <c r="N275" s="4"/>
      <c r="O275" s="4" t="s">
        <v>35</v>
      </c>
      <c r="P275" s="4" t="s">
        <v>113</v>
      </c>
      <c r="Q275" s="4"/>
      <c r="R275" s="4" t="s">
        <v>38</v>
      </c>
      <c r="S275" s="4" t="s">
        <v>38</v>
      </c>
      <c r="T275" s="10">
        <v>42888</v>
      </c>
      <c r="U275" s="67">
        <v>48.597716666666663</v>
      </c>
      <c r="V275" s="67">
        <v>-123.15998333333333</v>
      </c>
      <c r="W275" t="str">
        <f>VLOOKUP(B275,[1]Plantings!$A$2:$E$285,4,FALSE)</f>
        <v>point</v>
      </c>
      <c r="X275" s="11" t="str">
        <f>VLOOKUP(B275,[1]Plantings!$A$2:$E$285,5,FALSE)</f>
        <v>retain</v>
      </c>
      <c r="Y275" s="16" t="s">
        <v>1</v>
      </c>
      <c r="Z275" s="12">
        <v>-1.4935200000000002</v>
      </c>
      <c r="AA275" t="s">
        <v>54</v>
      </c>
      <c r="AB275">
        <v>2.5</v>
      </c>
      <c r="AC275">
        <v>2.5</v>
      </c>
      <c r="AD275">
        <f t="shared" si="41"/>
        <v>6.25</v>
      </c>
      <c r="AE275">
        <f t="shared" si="42"/>
        <v>4.75</v>
      </c>
      <c r="AF275" s="14">
        <f t="shared" si="40"/>
        <v>0.47500000000000003</v>
      </c>
      <c r="AG275" s="15">
        <f>AH275/25</f>
        <v>19</v>
      </c>
      <c r="AH275" s="15">
        <v>475</v>
      </c>
      <c r="AI275" s="13">
        <f t="shared" si="34"/>
        <v>76</v>
      </c>
      <c r="AJ275" s="13">
        <f t="shared" si="35"/>
        <v>100</v>
      </c>
      <c r="AK275" t="s">
        <v>511</v>
      </c>
      <c r="AL275" s="19"/>
    </row>
    <row r="276" spans="1:38" x14ac:dyDescent="0.25">
      <c r="A276" t="s">
        <v>20</v>
      </c>
      <c r="B276" s="4" t="s">
        <v>512</v>
      </c>
      <c r="C276" t="str">
        <f>VLOOKUP(B276,[1]Plantings!$A$2:$C$285,2,FALSE)</f>
        <v>WES_D</v>
      </c>
      <c r="D276" t="str">
        <f>VLOOKUP(B276,[1]Plantings!$A$2:$C$285,3,FALSE)</f>
        <v>single</v>
      </c>
      <c r="E276" s="4">
        <v>2017</v>
      </c>
      <c r="F276" t="s">
        <v>28</v>
      </c>
      <c r="G276" s="4" t="s">
        <v>0</v>
      </c>
      <c r="H276" s="4" t="s">
        <v>20</v>
      </c>
      <c r="I276" s="4" t="s">
        <v>100</v>
      </c>
      <c r="J276" s="4" t="s">
        <v>86</v>
      </c>
      <c r="K276" s="4" t="s">
        <v>17</v>
      </c>
      <c r="L276" s="4" t="s">
        <v>17</v>
      </c>
      <c r="M276" s="4" t="s">
        <v>112</v>
      </c>
      <c r="N276" s="4"/>
      <c r="O276" s="4" t="s">
        <v>35</v>
      </c>
      <c r="P276" s="4" t="s">
        <v>113</v>
      </c>
      <c r="R276" s="4" t="s">
        <v>38</v>
      </c>
      <c r="S276" s="4" t="s">
        <v>38</v>
      </c>
      <c r="T276" s="10">
        <v>42888</v>
      </c>
      <c r="U276" s="67">
        <v>48.598483333333334</v>
      </c>
      <c r="V276" s="67">
        <v>-123.15683333333334</v>
      </c>
      <c r="W276" t="str">
        <f>VLOOKUP(B276,[1]Plantings!$A$2:$E$285,4,FALSE)</f>
        <v>point</v>
      </c>
      <c r="X276" s="11" t="str">
        <f>VLOOKUP(B276,[1]Plantings!$A$2:$E$285,5,FALSE)</f>
        <v>retain</v>
      </c>
      <c r="Y276" s="16" t="s">
        <v>1</v>
      </c>
      <c r="Z276" s="12">
        <v>-1.524</v>
      </c>
      <c r="AA276" t="s">
        <v>54</v>
      </c>
      <c r="AB276">
        <v>3</v>
      </c>
      <c r="AC276">
        <v>2.5</v>
      </c>
      <c r="AD276">
        <f t="shared" si="41"/>
        <v>7.5</v>
      </c>
      <c r="AE276">
        <f t="shared" si="42"/>
        <v>6.18</v>
      </c>
      <c r="AF276" s="14">
        <f t="shared" si="40"/>
        <v>0.61799999999999999</v>
      </c>
      <c r="AG276" s="15">
        <f>AH276/25</f>
        <v>24.72</v>
      </c>
      <c r="AH276" s="15">
        <v>618</v>
      </c>
      <c r="AI276" s="13">
        <f t="shared" si="34"/>
        <v>82.4</v>
      </c>
      <c r="AJ276" s="13">
        <f t="shared" si="35"/>
        <v>100</v>
      </c>
      <c r="AK276" t="s">
        <v>105</v>
      </c>
    </row>
    <row r="277" spans="1:38" x14ac:dyDescent="0.25">
      <c r="A277" t="s">
        <v>20</v>
      </c>
      <c r="B277" t="s">
        <v>513</v>
      </c>
      <c r="C277" t="str">
        <f>VLOOKUP(B277,[1]Plantings!$A$2:$C$285,2,FALSE)</f>
        <v>WES_test_1</v>
      </c>
      <c r="D277" t="str">
        <f>VLOOKUP(B277,[1]Plantings!$A$2:$C$285,3,FALSE)</f>
        <v>single</v>
      </c>
      <c r="E277" s="7">
        <v>2020</v>
      </c>
      <c r="F277" t="s">
        <v>99</v>
      </c>
      <c r="G277" s="4" t="s">
        <v>59</v>
      </c>
      <c r="H277" s="4" t="s">
        <v>20</v>
      </c>
      <c r="I277" s="4" t="s">
        <v>100</v>
      </c>
      <c r="J277" s="4" t="s">
        <v>101</v>
      </c>
      <c r="K277" s="4" t="s">
        <v>43</v>
      </c>
      <c r="L277" s="4" t="s">
        <v>102</v>
      </c>
      <c r="R277" s="4" t="s">
        <v>38</v>
      </c>
      <c r="S277" s="4" t="s">
        <v>38</v>
      </c>
      <c r="T277" s="27">
        <v>44044</v>
      </c>
      <c r="U277" s="17">
        <v>48.593940000000003</v>
      </c>
      <c r="V277" s="17">
        <v>-123.15505</v>
      </c>
      <c r="W277" t="str">
        <f>VLOOKUP(B277,[1]Plantings!$A$2:$E$285,4,FALSE)</f>
        <v>line</v>
      </c>
      <c r="X277" s="11" t="str">
        <f>VLOOKUP(B277,[1]Plantings!$A$2:$E$285,5,FALSE)</f>
        <v>retain</v>
      </c>
      <c r="Y277" s="16" t="s">
        <v>1</v>
      </c>
      <c r="Z277">
        <v>-1.7</v>
      </c>
      <c r="AA277" s="13" t="s">
        <v>54</v>
      </c>
      <c r="AB277">
        <v>14</v>
      </c>
      <c r="AC277">
        <v>1</v>
      </c>
      <c r="AD277">
        <f t="shared" si="41"/>
        <v>14</v>
      </c>
      <c r="AE277">
        <f t="shared" si="42"/>
        <v>6</v>
      </c>
      <c r="AF277" s="14">
        <v>0.6</v>
      </c>
      <c r="AG277">
        <v>24</v>
      </c>
      <c r="AH277" s="30">
        <v>640</v>
      </c>
      <c r="AI277" s="13">
        <f t="shared" si="34"/>
        <v>45.714285714285715</v>
      </c>
      <c r="AJ277" s="13">
        <f t="shared" si="35"/>
        <v>106.66666666666667</v>
      </c>
      <c r="AK277" t="s">
        <v>24</v>
      </c>
      <c r="AL277" s="3" t="s">
        <v>514</v>
      </c>
    </row>
    <row r="278" spans="1:38" x14ac:dyDescent="0.25">
      <c r="A278" t="s">
        <v>20</v>
      </c>
      <c r="B278" t="s">
        <v>515</v>
      </c>
      <c r="C278" t="str">
        <f>VLOOKUP(B278,[1]Plantings!$A$2:$C$285,2,FALSE)</f>
        <v>WES_test_1</v>
      </c>
      <c r="D278" t="str">
        <f>VLOOKUP(B278,[1]Plantings!$A$2:$C$285,3,FALSE)</f>
        <v>single</v>
      </c>
      <c r="E278" s="7">
        <v>2020</v>
      </c>
      <c r="F278" t="s">
        <v>99</v>
      </c>
      <c r="G278" s="4" t="s">
        <v>59</v>
      </c>
      <c r="H278" s="4" t="s">
        <v>20</v>
      </c>
      <c r="I278" s="4" t="s">
        <v>100</v>
      </c>
      <c r="J278" s="4" t="s">
        <v>101</v>
      </c>
      <c r="K278" s="4" t="s">
        <v>43</v>
      </c>
      <c r="L278" s="4" t="s">
        <v>102</v>
      </c>
      <c r="R278" s="4" t="s">
        <v>38</v>
      </c>
      <c r="S278" s="4" t="s">
        <v>38</v>
      </c>
      <c r="T278" s="27">
        <v>44044</v>
      </c>
      <c r="U278" s="17">
        <v>48.593940000000003</v>
      </c>
      <c r="V278" s="17">
        <v>-123.15505</v>
      </c>
      <c r="W278" t="str">
        <f>VLOOKUP(B278,[1]Plantings!$A$2:$E$285,4,FALSE)</f>
        <v>line</v>
      </c>
      <c r="X278" s="11" t="str">
        <f>VLOOKUP(B278,[1]Plantings!$A$2:$E$285,5,FALSE)</f>
        <v>retain</v>
      </c>
      <c r="Y278" s="16" t="s">
        <v>1</v>
      </c>
      <c r="Z278">
        <v>-1.7</v>
      </c>
      <c r="AA278" s="13" t="s">
        <v>54</v>
      </c>
      <c r="AB278">
        <v>14</v>
      </c>
      <c r="AC278">
        <v>1</v>
      </c>
      <c r="AD278">
        <f t="shared" si="41"/>
        <v>14</v>
      </c>
      <c r="AE278">
        <f t="shared" si="42"/>
        <v>0.75</v>
      </c>
      <c r="AF278">
        <v>7.4999999999999997E-2</v>
      </c>
      <c r="AG278">
        <v>3</v>
      </c>
      <c r="AH278">
        <v>60</v>
      </c>
      <c r="AI278" s="13">
        <f t="shared" si="34"/>
        <v>4.2857142857142856</v>
      </c>
      <c r="AJ278" s="13">
        <f t="shared" si="35"/>
        <v>80</v>
      </c>
      <c r="AK278" t="s">
        <v>104</v>
      </c>
      <c r="AL278" s="3" t="s">
        <v>514</v>
      </c>
    </row>
    <row r="279" spans="1:38" x14ac:dyDescent="0.25">
      <c r="A279" t="s">
        <v>20</v>
      </c>
      <c r="B279" t="s">
        <v>516</v>
      </c>
      <c r="C279" t="str">
        <f>VLOOKUP(B279,[1]Plantings!$A$2:$C$285,2,FALSE)</f>
        <v>WES_test_1</v>
      </c>
      <c r="D279" t="str">
        <f>VLOOKUP(B279,[1]Plantings!$A$2:$C$285,3,FALSE)</f>
        <v>single</v>
      </c>
      <c r="E279" s="7">
        <v>2020</v>
      </c>
      <c r="F279" t="s">
        <v>99</v>
      </c>
      <c r="G279" s="4" t="s">
        <v>59</v>
      </c>
      <c r="H279" s="4" t="s">
        <v>20</v>
      </c>
      <c r="I279" s="4" t="s">
        <v>100</v>
      </c>
      <c r="J279" s="4" t="s">
        <v>101</v>
      </c>
      <c r="K279" s="4" t="s">
        <v>43</v>
      </c>
      <c r="L279" s="4" t="s">
        <v>102</v>
      </c>
      <c r="R279" s="4" t="s">
        <v>38</v>
      </c>
      <c r="S279" s="4" t="s">
        <v>38</v>
      </c>
      <c r="T279" s="27">
        <v>44044</v>
      </c>
      <c r="U279" s="17">
        <v>48.593940000000003</v>
      </c>
      <c r="V279" s="17">
        <v>-123.15505</v>
      </c>
      <c r="W279" t="str">
        <f>VLOOKUP(B279,[1]Plantings!$A$2:$E$285,4,FALSE)</f>
        <v>line</v>
      </c>
      <c r="X279" s="11" t="str">
        <f>VLOOKUP(B279,[1]Plantings!$A$2:$E$285,5,FALSE)</f>
        <v>retain</v>
      </c>
      <c r="Y279" s="16" t="s">
        <v>1</v>
      </c>
      <c r="Z279">
        <v>-1.7</v>
      </c>
      <c r="AA279" s="13" t="s">
        <v>54</v>
      </c>
      <c r="AB279">
        <v>14</v>
      </c>
      <c r="AC279">
        <v>1</v>
      </c>
      <c r="AD279">
        <f t="shared" si="41"/>
        <v>14</v>
      </c>
      <c r="AE279">
        <f t="shared" si="42"/>
        <v>2.25</v>
      </c>
      <c r="AF279">
        <v>0.22500000000000001</v>
      </c>
      <c r="AG279">
        <v>9</v>
      </c>
      <c r="AH279">
        <v>135</v>
      </c>
      <c r="AI279" s="13">
        <f t="shared" si="34"/>
        <v>9.6428571428571423</v>
      </c>
      <c r="AJ279" s="13">
        <f t="shared" si="35"/>
        <v>60</v>
      </c>
      <c r="AK279" t="s">
        <v>105</v>
      </c>
      <c r="AL279" s="3" t="s">
        <v>517</v>
      </c>
    </row>
    <row r="280" spans="1:38" x14ac:dyDescent="0.25">
      <c r="A280" t="s">
        <v>20</v>
      </c>
      <c r="B280" t="s">
        <v>518</v>
      </c>
      <c r="C280" t="str">
        <f>VLOOKUP(B280,[1]Plantings!$A$2:$C$285,2,FALSE)</f>
        <v>WES_test_1</v>
      </c>
      <c r="D280" t="str">
        <f>VLOOKUP(B280,[1]Plantings!$A$2:$C$285,3,FALSE)</f>
        <v>single</v>
      </c>
      <c r="E280" s="7">
        <v>2020</v>
      </c>
      <c r="F280" t="s">
        <v>99</v>
      </c>
      <c r="G280" s="4" t="s">
        <v>59</v>
      </c>
      <c r="H280" s="4" t="s">
        <v>20</v>
      </c>
      <c r="I280" s="4" t="s">
        <v>100</v>
      </c>
      <c r="J280" s="4" t="s">
        <v>101</v>
      </c>
      <c r="K280" s="4" t="s">
        <v>43</v>
      </c>
      <c r="L280" s="4" t="s">
        <v>102</v>
      </c>
      <c r="R280" s="4" t="s">
        <v>38</v>
      </c>
      <c r="S280" s="4" t="s">
        <v>38</v>
      </c>
      <c r="T280" s="27">
        <v>44044</v>
      </c>
      <c r="U280" s="17">
        <v>48.593940000000003</v>
      </c>
      <c r="V280" s="17">
        <v>-123.15505</v>
      </c>
      <c r="W280" t="str">
        <f>VLOOKUP(B280,[1]Plantings!$A$2:$E$285,4,FALSE)</f>
        <v>line</v>
      </c>
      <c r="X280" s="11" t="str">
        <f>VLOOKUP(B280,[1]Plantings!$A$2:$E$285,5,FALSE)</f>
        <v>retain</v>
      </c>
      <c r="Y280" s="16" t="s">
        <v>1</v>
      </c>
      <c r="Z280">
        <v>-1.7</v>
      </c>
      <c r="AA280" s="13" t="s">
        <v>54</v>
      </c>
      <c r="AB280">
        <v>14</v>
      </c>
      <c r="AC280">
        <v>1</v>
      </c>
      <c r="AD280">
        <f t="shared" si="41"/>
        <v>14</v>
      </c>
      <c r="AE280">
        <f t="shared" si="42"/>
        <v>3.75</v>
      </c>
      <c r="AF280">
        <v>0.375</v>
      </c>
      <c r="AG280">
        <v>15</v>
      </c>
      <c r="AH280">
        <v>210</v>
      </c>
      <c r="AI280" s="13">
        <f t="shared" ref="AI280:AI289" si="43">IFERROR(AH280/AD280, "")</f>
        <v>15</v>
      </c>
      <c r="AJ280" s="13">
        <f t="shared" ref="AJ280:AJ289" si="44">IFERROR(AH280/AE280, "")</f>
        <v>56</v>
      </c>
      <c r="AK280" t="s">
        <v>107</v>
      </c>
      <c r="AL280" s="3" t="s">
        <v>514</v>
      </c>
    </row>
    <row r="281" spans="1:38" x14ac:dyDescent="0.25">
      <c r="A281" t="s">
        <v>20</v>
      </c>
      <c r="B281" t="s">
        <v>519</v>
      </c>
      <c r="C281" t="str">
        <f>VLOOKUP(B281,[1]Plantings!$A$2:$C$285,2,FALSE)</f>
        <v>WES_test_1</v>
      </c>
      <c r="D281" t="str">
        <f>VLOOKUP(B281,[1]Plantings!$A$2:$C$285,3,FALSE)</f>
        <v>single</v>
      </c>
      <c r="E281" s="7">
        <v>2020</v>
      </c>
      <c r="F281" t="s">
        <v>99</v>
      </c>
      <c r="G281" s="4" t="s">
        <v>59</v>
      </c>
      <c r="H281" s="4" t="s">
        <v>20</v>
      </c>
      <c r="I281" s="4" t="s">
        <v>100</v>
      </c>
      <c r="J281" s="4" t="s">
        <v>101</v>
      </c>
      <c r="K281" s="4" t="s">
        <v>43</v>
      </c>
      <c r="L281" s="4" t="s">
        <v>102</v>
      </c>
      <c r="R281" s="4" t="s">
        <v>38</v>
      </c>
      <c r="S281" s="4" t="s">
        <v>38</v>
      </c>
      <c r="T281" s="27">
        <v>44044</v>
      </c>
      <c r="U281" s="17">
        <v>48.593940000000003</v>
      </c>
      <c r="V281" s="17">
        <v>-123.15505</v>
      </c>
      <c r="W281" t="str">
        <f>VLOOKUP(B281,[1]Plantings!$A$2:$E$285,4,FALSE)</f>
        <v>line</v>
      </c>
      <c r="X281" s="11" t="str">
        <f>VLOOKUP(B281,[1]Plantings!$A$2:$E$285,5,FALSE)</f>
        <v>retain</v>
      </c>
      <c r="Y281" s="16" t="s">
        <v>1</v>
      </c>
      <c r="Z281">
        <v>-1.7</v>
      </c>
      <c r="AA281" s="13" t="s">
        <v>54</v>
      </c>
      <c r="AB281">
        <v>14</v>
      </c>
      <c r="AC281">
        <v>1</v>
      </c>
      <c r="AD281">
        <f t="shared" si="41"/>
        <v>14</v>
      </c>
      <c r="AE281">
        <f t="shared" si="42"/>
        <v>2.25</v>
      </c>
      <c r="AF281">
        <v>0.22500000000000001</v>
      </c>
      <c r="AG281">
        <v>9</v>
      </c>
      <c r="AH281">
        <v>275</v>
      </c>
      <c r="AI281" s="13">
        <f t="shared" si="43"/>
        <v>19.642857142857142</v>
      </c>
      <c r="AJ281" s="13">
        <f t="shared" si="44"/>
        <v>122.22222222222223</v>
      </c>
      <c r="AK281" t="s">
        <v>108</v>
      </c>
      <c r="AL281" s="3" t="s">
        <v>514</v>
      </c>
    </row>
    <row r="282" spans="1:38" x14ac:dyDescent="0.25">
      <c r="A282" t="s">
        <v>520</v>
      </c>
      <c r="B282" t="s">
        <v>521</v>
      </c>
      <c r="C282" t="str">
        <f>VLOOKUP(B282,[1]Plantings!$A$2:$C$285,2,FALSE)</f>
        <v>ZAN_1</v>
      </c>
      <c r="D282" t="str">
        <f>VLOOKUP(B282,[1]Plantings!$A$2:$C$285,3,FALSE)</f>
        <v>single</v>
      </c>
      <c r="E282">
        <v>2013</v>
      </c>
      <c r="F282" t="s">
        <v>522</v>
      </c>
      <c r="G282" t="s">
        <v>0</v>
      </c>
      <c r="H282" t="s">
        <v>523</v>
      </c>
      <c r="I282" t="s">
        <v>164</v>
      </c>
      <c r="J282" t="s">
        <v>30</v>
      </c>
      <c r="K282" t="s">
        <v>31</v>
      </c>
      <c r="L282" t="s">
        <v>32</v>
      </c>
      <c r="M282" t="s">
        <v>33</v>
      </c>
      <c r="N282" t="s">
        <v>34</v>
      </c>
      <c r="O282" t="s">
        <v>35</v>
      </c>
      <c r="P282" t="s">
        <v>36</v>
      </c>
      <c r="Q282" t="s">
        <v>37</v>
      </c>
      <c r="R282" t="s">
        <v>38</v>
      </c>
      <c r="S282" t="s">
        <v>38</v>
      </c>
      <c r="T282" s="10">
        <v>41431</v>
      </c>
      <c r="U282" s="11">
        <v>47.14555</v>
      </c>
      <c r="V282" s="11">
        <v>-122.89323333333333</v>
      </c>
      <c r="W282" t="str">
        <f>VLOOKUP(B282,[1]Plantings!$A$2:$E$285,4,FALSE)</f>
        <v>point</v>
      </c>
      <c r="X282" s="11" t="str">
        <f>VLOOKUP(B282,[1]Plantings!$A$2:$E$285,5,FALSE)</f>
        <v>retain</v>
      </c>
      <c r="Y282" s="16" t="s">
        <v>1</v>
      </c>
      <c r="Z282" s="12">
        <v>-1.2192000000000001</v>
      </c>
      <c r="AA282" s="13" t="s">
        <v>39</v>
      </c>
      <c r="AB282">
        <v>5</v>
      </c>
      <c r="AC282">
        <v>9</v>
      </c>
      <c r="AD282">
        <f t="shared" si="41"/>
        <v>45</v>
      </c>
      <c r="AE282">
        <v>45</v>
      </c>
      <c r="AF282" s="14">
        <f>IF(AA282="staple",AG282*0.005,IF(AA282="rebar",AG282*0.025,IF(AA282="burlap",AG282*0.0625,IF(AA282="washer",AG282*0.0025,IF(AA282="pucks",AG282*0.00785,IF(AA282="turf",AG282*0.01,IF(AA282="","")))))))</f>
        <v>1.0900000000000001</v>
      </c>
      <c r="AG282" s="15">
        <f>AH282/4</f>
        <v>218</v>
      </c>
      <c r="AH282" s="15">
        <v>872</v>
      </c>
      <c r="AI282" s="13">
        <f t="shared" si="43"/>
        <v>19.377777777777776</v>
      </c>
      <c r="AJ282" s="13">
        <f t="shared" si="44"/>
        <v>19.377777777777776</v>
      </c>
      <c r="AK282" t="s">
        <v>40</v>
      </c>
    </row>
    <row r="283" spans="1:38" x14ac:dyDescent="0.25">
      <c r="A283" t="s">
        <v>520</v>
      </c>
      <c r="B283" t="s">
        <v>524</v>
      </c>
      <c r="C283" t="str">
        <f>VLOOKUP(B283,[1]Plantings!$A$2:$C$285,2,FALSE)</f>
        <v>ZAN_P1</v>
      </c>
      <c r="D283" t="str">
        <f>VLOOKUP(B283,[1]Plantings!$A$2:$C$285,3,FALSE)</f>
        <v>single</v>
      </c>
      <c r="E283">
        <v>2015</v>
      </c>
      <c r="F283" t="s">
        <v>522</v>
      </c>
      <c r="G283" t="s">
        <v>75</v>
      </c>
      <c r="H283" t="s">
        <v>523</v>
      </c>
      <c r="I283" t="s">
        <v>164</v>
      </c>
      <c r="J283" t="s">
        <v>4</v>
      </c>
      <c r="K283" t="s">
        <v>43</v>
      </c>
      <c r="L283" t="s">
        <v>44</v>
      </c>
      <c r="O283" t="s">
        <v>35</v>
      </c>
      <c r="P283" t="s">
        <v>45</v>
      </c>
      <c r="Q283" t="s">
        <v>46</v>
      </c>
      <c r="R283" t="s">
        <v>76</v>
      </c>
      <c r="S283" t="s">
        <v>76</v>
      </c>
      <c r="T283" s="10">
        <v>42128</v>
      </c>
      <c r="U283" s="11">
        <v>47.145733333333332</v>
      </c>
      <c r="V283" s="11">
        <v>-122.89318333333334</v>
      </c>
      <c r="W283" t="str">
        <f>VLOOKUP(B283,[1]Plantings!$A$2:$E$285,4,FALSE)</f>
        <v>polygon</v>
      </c>
      <c r="X283" s="11" t="str">
        <f>VLOOKUP(B283,[1]Plantings!$A$2:$E$285,5,FALSE)</f>
        <v>retain</v>
      </c>
      <c r="Y283" s="16" t="s">
        <v>1</v>
      </c>
      <c r="Z283" s="12">
        <v>-2.286</v>
      </c>
      <c r="AA283" s="38" t="s">
        <v>39</v>
      </c>
      <c r="AB283">
        <v>55</v>
      </c>
      <c r="AC283">
        <v>30</v>
      </c>
      <c r="AD283">
        <f t="shared" si="41"/>
        <v>1650</v>
      </c>
      <c r="AE283" s="38">
        <v>220</v>
      </c>
      <c r="AF283" s="14">
        <f>IF(AA283="staple",AG283*0.005,IF(AA283="rebar",AG283*0.025,IF(AA283="burlap",AG283*0.0625,IF(AA283="washer",AG283*0.0025,IF(AA283="pucks",AG283*0.00785,IF(AA283="turf",AG283*0.01,IF(AA283="","")))))))</f>
        <v>11.225</v>
      </c>
      <c r="AG283" s="15">
        <f>AH283/4</f>
        <v>2245</v>
      </c>
      <c r="AH283" s="21">
        <v>8980</v>
      </c>
      <c r="AI283" s="13">
        <f t="shared" si="43"/>
        <v>5.4424242424242424</v>
      </c>
      <c r="AJ283" s="13">
        <f t="shared" si="44"/>
        <v>40.81818181818182</v>
      </c>
      <c r="AK283" t="s">
        <v>40</v>
      </c>
      <c r="AL283" s="19" t="s">
        <v>525</v>
      </c>
    </row>
    <row r="284" spans="1:38" x14ac:dyDescent="0.25">
      <c r="A284" t="s">
        <v>520</v>
      </c>
      <c r="B284" t="s">
        <v>526</v>
      </c>
      <c r="C284" t="str">
        <f>VLOOKUP(B284,[1]Plantings!$A$2:$C$285,2,FALSE)</f>
        <v>ZAN_P1</v>
      </c>
      <c r="D284" t="str">
        <f>VLOOKUP(B284,[1]Plantings!$A$2:$C$285,3,FALSE)</f>
        <v>single</v>
      </c>
      <c r="E284">
        <v>2015</v>
      </c>
      <c r="F284" t="s">
        <v>522</v>
      </c>
      <c r="G284" t="s">
        <v>75</v>
      </c>
      <c r="H284" t="s">
        <v>523</v>
      </c>
      <c r="I284" t="s">
        <v>164</v>
      </c>
      <c r="J284" t="s">
        <v>4</v>
      </c>
      <c r="K284" t="s">
        <v>43</v>
      </c>
      <c r="L284" t="s">
        <v>44</v>
      </c>
      <c r="O284" t="s">
        <v>35</v>
      </c>
      <c r="P284" t="s">
        <v>45</v>
      </c>
      <c r="Q284" t="s">
        <v>46</v>
      </c>
      <c r="R284" t="s">
        <v>76</v>
      </c>
      <c r="S284" s="20" t="s">
        <v>70</v>
      </c>
      <c r="T284" s="10">
        <v>42128</v>
      </c>
      <c r="U284" s="11">
        <v>47.145633333333336</v>
      </c>
      <c r="V284" s="11">
        <v>-122.89246666666666</v>
      </c>
      <c r="W284" t="str">
        <f>VLOOKUP(B284,[1]Plantings!$A$2:$E$285,4,FALSE)</f>
        <v>polygon</v>
      </c>
      <c r="X284" s="11" t="str">
        <f>VLOOKUP(B284,[1]Plantings!$A$2:$E$285,5,FALSE)</f>
        <v>retain</v>
      </c>
      <c r="Y284" s="16" t="s">
        <v>1</v>
      </c>
      <c r="Z284" s="12"/>
      <c r="AA284" s="38" t="s">
        <v>39</v>
      </c>
      <c r="AE284" s="50"/>
      <c r="AF284" s="14"/>
      <c r="AG284" s="21"/>
      <c r="AH284" s="21"/>
      <c r="AI284" s="13" t="str">
        <f t="shared" si="43"/>
        <v/>
      </c>
      <c r="AJ284" s="13" t="str">
        <f t="shared" si="44"/>
        <v/>
      </c>
    </row>
    <row r="285" spans="1:38" x14ac:dyDescent="0.25">
      <c r="A285" t="s">
        <v>520</v>
      </c>
      <c r="B285" t="s">
        <v>527</v>
      </c>
      <c r="C285" t="str">
        <f>VLOOKUP(B285,[1]Plantings!$A$2:$C$285,2,FALSE)</f>
        <v>ZAN_P1</v>
      </c>
      <c r="D285" t="str">
        <f>VLOOKUP(B285,[1]Plantings!$A$2:$C$285,3,FALSE)</f>
        <v>single</v>
      </c>
      <c r="E285">
        <v>2015</v>
      </c>
      <c r="F285" t="s">
        <v>522</v>
      </c>
      <c r="G285" t="s">
        <v>75</v>
      </c>
      <c r="H285" t="s">
        <v>523</v>
      </c>
      <c r="I285" t="s">
        <v>164</v>
      </c>
      <c r="J285" t="s">
        <v>4</v>
      </c>
      <c r="K285" t="s">
        <v>43</v>
      </c>
      <c r="L285" t="s">
        <v>44</v>
      </c>
      <c r="O285" t="s">
        <v>35</v>
      </c>
      <c r="P285" t="s">
        <v>45</v>
      </c>
      <c r="Q285" t="s">
        <v>46</v>
      </c>
      <c r="R285" t="s">
        <v>76</v>
      </c>
      <c r="S285" s="20" t="s">
        <v>70</v>
      </c>
      <c r="T285" s="10">
        <v>42128</v>
      </c>
      <c r="U285" s="11">
        <v>47.145400000000002</v>
      </c>
      <c r="V285" s="11">
        <v>-122.89255</v>
      </c>
      <c r="W285" t="str">
        <f>VLOOKUP(B285,[1]Plantings!$A$2:$E$285,4,FALSE)</f>
        <v>polygon</v>
      </c>
      <c r="X285" s="11" t="str">
        <f>VLOOKUP(B285,[1]Plantings!$A$2:$E$285,5,FALSE)</f>
        <v>retain</v>
      </c>
      <c r="Y285" s="16" t="s">
        <v>1</v>
      </c>
      <c r="Z285" s="12"/>
      <c r="AA285" s="38" t="s">
        <v>39</v>
      </c>
      <c r="AE285" s="50"/>
      <c r="AF285" s="14"/>
      <c r="AG285" s="21"/>
      <c r="AH285" s="21"/>
      <c r="AI285" s="13" t="str">
        <f t="shared" si="43"/>
        <v/>
      </c>
      <c r="AJ285" s="13" t="str">
        <f t="shared" si="44"/>
        <v/>
      </c>
    </row>
    <row r="286" spans="1:38" x14ac:dyDescent="0.25">
      <c r="A286" t="s">
        <v>520</v>
      </c>
      <c r="B286" t="s">
        <v>528</v>
      </c>
      <c r="C286" t="str">
        <f>VLOOKUP(B286,[1]Plantings!$A$2:$C$285,2,FALSE)</f>
        <v>ZAN_P1</v>
      </c>
      <c r="D286" t="str">
        <f>VLOOKUP(B286,[1]Plantings!$A$2:$C$285,3,FALSE)</f>
        <v>single</v>
      </c>
      <c r="E286">
        <v>2015</v>
      </c>
      <c r="F286" t="s">
        <v>522</v>
      </c>
      <c r="G286" t="s">
        <v>75</v>
      </c>
      <c r="H286" t="s">
        <v>523</v>
      </c>
      <c r="I286" t="s">
        <v>164</v>
      </c>
      <c r="J286" t="s">
        <v>4</v>
      </c>
      <c r="K286" t="s">
        <v>43</v>
      </c>
      <c r="L286" t="s">
        <v>44</v>
      </c>
      <c r="O286" t="s">
        <v>35</v>
      </c>
      <c r="P286" t="s">
        <v>45</v>
      </c>
      <c r="Q286" t="s">
        <v>46</v>
      </c>
      <c r="R286" t="s">
        <v>76</v>
      </c>
      <c r="S286" s="20" t="s">
        <v>70</v>
      </c>
      <c r="T286" s="10">
        <v>42128</v>
      </c>
      <c r="U286" s="11">
        <v>47.14555</v>
      </c>
      <c r="V286" s="11">
        <v>-122.89323333333333</v>
      </c>
      <c r="W286" t="str">
        <f>VLOOKUP(B286,[1]Plantings!$A$2:$E$285,4,FALSE)</f>
        <v>polygon</v>
      </c>
      <c r="X286" s="11" t="str">
        <f>VLOOKUP(B286,[1]Plantings!$A$2:$E$285,5,FALSE)</f>
        <v>retain</v>
      </c>
      <c r="Y286" s="16" t="s">
        <v>1</v>
      </c>
      <c r="Z286" s="12">
        <v>-1.1277600000000001</v>
      </c>
      <c r="AA286" s="38" t="s">
        <v>39</v>
      </c>
      <c r="AE286" s="50"/>
      <c r="AF286" s="14"/>
      <c r="AG286" s="21"/>
      <c r="AH286" s="21"/>
      <c r="AI286" s="13" t="str">
        <f t="shared" si="43"/>
        <v/>
      </c>
      <c r="AJ286" s="13" t="str">
        <f t="shared" si="44"/>
        <v/>
      </c>
    </row>
    <row r="287" spans="1:38" x14ac:dyDescent="0.25">
      <c r="A287" t="s">
        <v>520</v>
      </c>
      <c r="B287" t="s">
        <v>529</v>
      </c>
      <c r="C287" t="str">
        <f>VLOOKUP(B287,[1]Plantings!$A$2:$C$285,2,FALSE)</f>
        <v>ZAN_2</v>
      </c>
      <c r="D287" t="str">
        <f>VLOOKUP(B287,[1]Plantings!$A$2:$C$285,3,FALSE)</f>
        <v>single</v>
      </c>
      <c r="E287">
        <v>2015</v>
      </c>
      <c r="F287" t="s">
        <v>522</v>
      </c>
      <c r="G287" t="s">
        <v>0</v>
      </c>
      <c r="H287" t="s">
        <v>523</v>
      </c>
      <c r="I287" t="s">
        <v>164</v>
      </c>
      <c r="J287" t="s">
        <v>4</v>
      </c>
      <c r="K287" t="s">
        <v>43</v>
      </c>
      <c r="L287" t="s">
        <v>44</v>
      </c>
      <c r="O287" t="s">
        <v>35</v>
      </c>
      <c r="P287" t="s">
        <v>45</v>
      </c>
      <c r="Q287" t="s">
        <v>46</v>
      </c>
      <c r="R287" t="s">
        <v>38</v>
      </c>
      <c r="S287" t="s">
        <v>38</v>
      </c>
      <c r="T287" s="10">
        <v>42130</v>
      </c>
      <c r="U287" s="11">
        <v>47.145699999999998</v>
      </c>
      <c r="V287" s="11">
        <v>-122.89225</v>
      </c>
      <c r="W287" t="str">
        <f>VLOOKUP(B287,[1]Plantings!$A$2:$E$285,4,FALSE)</f>
        <v>point</v>
      </c>
      <c r="X287" s="11" t="str">
        <f>VLOOKUP(B287,[1]Plantings!$A$2:$E$285,5,FALSE)</f>
        <v>retain</v>
      </c>
      <c r="Y287" s="16" t="s">
        <v>1</v>
      </c>
      <c r="Z287" s="12">
        <v>-2.3469600000000002</v>
      </c>
      <c r="AA287" s="13" t="s">
        <v>39</v>
      </c>
      <c r="AB287">
        <v>5</v>
      </c>
      <c r="AC287">
        <v>5</v>
      </c>
      <c r="AD287">
        <f>AB287*AC287</f>
        <v>25</v>
      </c>
      <c r="AE287">
        <v>25</v>
      </c>
      <c r="AF287" s="14">
        <f>IF(AA287="staple",AG287*0.005,IF(AA287="rebar",AG287*0.025,IF(AA287="burlap",AG287*0.0625,IF(AA287="washer",AG287*0.0025,IF(AA287="pucks",AG287*0.00785,IF(AA287="turf",AG287*0.01,IF(AA287="","")))))))</f>
        <v>0.625</v>
      </c>
      <c r="AG287" s="15">
        <f>AH287/4</f>
        <v>125</v>
      </c>
      <c r="AH287" s="28">
        <v>500</v>
      </c>
      <c r="AI287" s="13">
        <f t="shared" si="43"/>
        <v>20</v>
      </c>
      <c r="AJ287" s="13">
        <f t="shared" si="44"/>
        <v>20</v>
      </c>
      <c r="AK287" t="s">
        <v>40</v>
      </c>
    </row>
    <row r="288" spans="1:38" x14ac:dyDescent="0.25">
      <c r="A288" t="s">
        <v>520</v>
      </c>
      <c r="B288" t="s">
        <v>530</v>
      </c>
      <c r="C288" t="str">
        <f>VLOOKUP(B288,[1]Plantings!$A$2:$C$285,2,FALSE)</f>
        <v>ZAN_3</v>
      </c>
      <c r="D288" t="str">
        <f>VLOOKUP(B288,[1]Plantings!$A$2:$C$285,3,FALSE)</f>
        <v>single</v>
      </c>
      <c r="E288">
        <v>2016</v>
      </c>
      <c r="F288" t="s">
        <v>522</v>
      </c>
      <c r="G288" t="s">
        <v>0</v>
      </c>
      <c r="H288" t="s">
        <v>523</v>
      </c>
      <c r="I288" t="s">
        <v>164</v>
      </c>
      <c r="J288" t="s">
        <v>43</v>
      </c>
      <c r="K288" t="s">
        <v>43</v>
      </c>
      <c r="L288" t="s">
        <v>44</v>
      </c>
      <c r="R288" t="s">
        <v>38</v>
      </c>
      <c r="S288" t="s">
        <v>38</v>
      </c>
      <c r="T288" s="10">
        <v>42527</v>
      </c>
      <c r="U288" s="11">
        <v>47.145636789500003</v>
      </c>
      <c r="V288" s="11">
        <v>-122.8932577651</v>
      </c>
      <c r="W288" t="str">
        <f>VLOOKUP(B288,[1]Plantings!$A$2:$E$285,4,FALSE)</f>
        <v>point</v>
      </c>
      <c r="X288" s="11" t="str">
        <f>VLOOKUP(B288,[1]Plantings!$A$2:$E$285,5,FALSE)</f>
        <v>retain</v>
      </c>
      <c r="Y288" s="16" t="s">
        <v>1</v>
      </c>
      <c r="Z288" s="12"/>
      <c r="AA288" s="13" t="s">
        <v>54</v>
      </c>
      <c r="AB288">
        <v>0.25</v>
      </c>
      <c r="AC288">
        <v>0.25</v>
      </c>
      <c r="AD288">
        <f>AB288*AC288</f>
        <v>6.25E-2</v>
      </c>
      <c r="AE288">
        <f>AG288*0.25</f>
        <v>0.25</v>
      </c>
      <c r="AF288" s="14">
        <f>IF(AA288="staple",AG288*0.005,IF(AA288="rebar",AG288*0.025,IF(AA288="burlap",AG288*0.0625,IF(AA288="washer",AG288*0.0025,IF(AA288="pucks",AG288*0.00785,IF(AA288="turf",AG288*0.01,IF(AA288="","")))))))</f>
        <v>2.5000000000000001E-2</v>
      </c>
      <c r="AG288" s="15">
        <v>1</v>
      </c>
      <c r="AH288" s="28">
        <v>40</v>
      </c>
      <c r="AI288" s="13">
        <f t="shared" si="43"/>
        <v>640</v>
      </c>
      <c r="AJ288" s="13">
        <f t="shared" si="44"/>
        <v>160</v>
      </c>
      <c r="AK288" t="s">
        <v>93</v>
      </c>
      <c r="AL288" s="3" t="s">
        <v>531</v>
      </c>
    </row>
    <row r="289" spans="1:38" x14ac:dyDescent="0.25">
      <c r="A289" t="s">
        <v>520</v>
      </c>
      <c r="B289" t="s">
        <v>532</v>
      </c>
      <c r="C289" t="str">
        <f>VLOOKUP(B289,[1]Plantings!$A$2:$C$285,2,FALSE)</f>
        <v>ZAN_4</v>
      </c>
      <c r="D289" t="str">
        <f>VLOOKUP(B289,[1]Plantings!$A$2:$C$285,3,FALSE)</f>
        <v>single</v>
      </c>
      <c r="E289">
        <v>2016</v>
      </c>
      <c r="F289" t="s">
        <v>522</v>
      </c>
      <c r="G289" t="s">
        <v>0</v>
      </c>
      <c r="H289" t="s">
        <v>523</v>
      </c>
      <c r="I289" t="s">
        <v>164</v>
      </c>
      <c r="J289" t="s">
        <v>43</v>
      </c>
      <c r="K289" t="s">
        <v>43</v>
      </c>
      <c r="L289" t="s">
        <v>44</v>
      </c>
      <c r="R289" t="s">
        <v>38</v>
      </c>
      <c r="S289" t="s">
        <v>38</v>
      </c>
      <c r="T289" s="10">
        <v>42572</v>
      </c>
      <c r="U289" s="11">
        <v>47.145493289999997</v>
      </c>
      <c r="V289" s="11">
        <v>-122.8937296</v>
      </c>
      <c r="W289" t="str">
        <f>VLOOKUP(B289,[1]Plantings!$A$2:$E$285,4,FALSE)</f>
        <v>point</v>
      </c>
      <c r="X289" s="11" t="str">
        <f>VLOOKUP(B289,[1]Plantings!$A$2:$E$285,5,FALSE)</f>
        <v>retain</v>
      </c>
      <c r="Y289" s="16" t="s">
        <v>1</v>
      </c>
      <c r="Z289" s="12">
        <v>-0.5</v>
      </c>
      <c r="AA289" s="13" t="s">
        <v>54</v>
      </c>
      <c r="AB289">
        <v>4</v>
      </c>
      <c r="AC289">
        <v>0.25</v>
      </c>
      <c r="AD289">
        <f>AB289*AC289</f>
        <v>1</v>
      </c>
      <c r="AE289">
        <f>AG289*0.25</f>
        <v>1</v>
      </c>
      <c r="AF289" s="14">
        <f>IF(AA289="staple",AG289*0.005,IF(AA289="rebar",AG289*0.025,IF(AA289="burlap",AG289*0.0625,IF(AA289="washer",AG289*0.0025,IF(AA289="pucks",AG289*0.00785,IF(AA289="turf",AG289*0.01,IF(AA289="","")))))))</f>
        <v>0.1</v>
      </c>
      <c r="AG289" s="15">
        <v>4</v>
      </c>
      <c r="AH289" s="28">
        <v>200</v>
      </c>
      <c r="AI289" s="13">
        <f t="shared" si="43"/>
        <v>200</v>
      </c>
      <c r="AJ289" s="13">
        <f t="shared" si="44"/>
        <v>200</v>
      </c>
      <c r="AK289" t="s">
        <v>93</v>
      </c>
      <c r="AL289" s="3" t="s">
        <v>533</v>
      </c>
    </row>
    <row r="290" spans="1:38" x14ac:dyDescent="0.25">
      <c r="X290" s="11"/>
    </row>
    <row r="291" spans="1:38" x14ac:dyDescent="0.25">
      <c r="X291" s="11"/>
    </row>
    <row r="292" spans="1:38" x14ac:dyDescent="0.25">
      <c r="AD292" s="59">
        <f>SUM(AD2:AD289)</f>
        <v>20577.8125</v>
      </c>
      <c r="AE292" s="59">
        <f>SUM(AE2:AE289)</f>
        <v>5257.6444999999958</v>
      </c>
      <c r="AF292" s="59">
        <f>SUM(AF2:AF289)</f>
        <v>566.41869999999949</v>
      </c>
      <c r="AG292" t="s">
        <v>534</v>
      </c>
      <c r="AH292" s="15">
        <f>SUM(AH3:AH289)</f>
        <v>393716</v>
      </c>
    </row>
    <row r="296" spans="1:38" x14ac:dyDescent="0.25">
      <c r="S296" t="s">
        <v>14</v>
      </c>
    </row>
    <row r="306" spans="21:24" x14ac:dyDescent="0.25">
      <c r="U306" s="11"/>
      <c r="V306" s="11"/>
      <c r="W306" s="11"/>
      <c r="X306"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4EC91-52CE-4402-8753-F97FCFD1FA71}">
  <dimension ref="A1:H310"/>
  <sheetViews>
    <sheetView tabSelected="1" workbookViewId="0">
      <pane ySplit="1" topLeftCell="A279" activePane="bottomLeft" state="frozen"/>
      <selection pane="bottomLeft" activeCell="D295" sqref="D295"/>
    </sheetView>
  </sheetViews>
  <sheetFormatPr defaultRowHeight="15" x14ac:dyDescent="0.25"/>
  <cols>
    <col min="1" max="1" width="69.7109375" bestFit="1" customWidth="1"/>
    <col min="2" max="2" width="22" bestFit="1" customWidth="1"/>
    <col min="3" max="3" width="21.140625" bestFit="1" customWidth="1"/>
    <col min="4" max="4" width="17.42578125" bestFit="1" customWidth="1"/>
    <col min="5" max="5" width="18" bestFit="1" customWidth="1"/>
    <col min="8" max="8" width="214.5703125" bestFit="1" customWidth="1"/>
  </cols>
  <sheetData>
    <row r="1" spans="1:5" x14ac:dyDescent="0.25">
      <c r="A1" t="s">
        <v>776</v>
      </c>
      <c r="B1" t="s">
        <v>25</v>
      </c>
      <c r="C1" t="s">
        <v>26</v>
      </c>
      <c r="D1" t="s">
        <v>786</v>
      </c>
      <c r="E1" t="s">
        <v>799</v>
      </c>
    </row>
    <row r="2" spans="1:5" x14ac:dyDescent="0.25">
      <c r="A2" t="s">
        <v>27</v>
      </c>
      <c r="B2" t="s">
        <v>535</v>
      </c>
      <c r="C2" t="s">
        <v>536</v>
      </c>
      <c r="D2" t="s">
        <v>0</v>
      </c>
      <c r="E2" t="s">
        <v>537</v>
      </c>
    </row>
    <row r="3" spans="1:5" x14ac:dyDescent="0.25">
      <c r="A3" t="s">
        <v>41</v>
      </c>
      <c r="B3" t="s">
        <v>538</v>
      </c>
      <c r="C3" t="s">
        <v>536</v>
      </c>
      <c r="D3" t="s">
        <v>0</v>
      </c>
      <c r="E3" t="s">
        <v>537</v>
      </c>
    </row>
    <row r="4" spans="1:5" x14ac:dyDescent="0.25">
      <c r="A4" t="s">
        <v>230</v>
      </c>
      <c r="B4" t="s">
        <v>539</v>
      </c>
      <c r="C4" t="s">
        <v>536</v>
      </c>
      <c r="D4" t="s">
        <v>0</v>
      </c>
      <c r="E4" t="s">
        <v>537</v>
      </c>
    </row>
    <row r="5" spans="1:5" x14ac:dyDescent="0.25">
      <c r="A5" t="s">
        <v>233</v>
      </c>
      <c r="B5" t="s">
        <v>540</v>
      </c>
      <c r="C5" t="s">
        <v>536</v>
      </c>
      <c r="D5" t="s">
        <v>0</v>
      </c>
      <c r="E5" t="s">
        <v>537</v>
      </c>
    </row>
    <row r="6" spans="1:5" x14ac:dyDescent="0.25">
      <c r="A6" t="s">
        <v>361</v>
      </c>
      <c r="B6" t="s">
        <v>541</v>
      </c>
      <c r="C6" t="s">
        <v>536</v>
      </c>
      <c r="D6" t="s">
        <v>0</v>
      </c>
      <c r="E6" t="s">
        <v>537</v>
      </c>
    </row>
    <row r="7" spans="1:5" x14ac:dyDescent="0.25">
      <c r="A7" t="s">
        <v>363</v>
      </c>
      <c r="B7" t="s">
        <v>542</v>
      </c>
      <c r="C7" t="s">
        <v>536</v>
      </c>
      <c r="D7" t="s">
        <v>0</v>
      </c>
      <c r="E7" t="s">
        <v>537</v>
      </c>
    </row>
    <row r="8" spans="1:5" x14ac:dyDescent="0.25">
      <c r="A8" t="s">
        <v>501</v>
      </c>
      <c r="B8" t="s">
        <v>543</v>
      </c>
      <c r="C8" t="s">
        <v>536</v>
      </c>
      <c r="D8" t="s">
        <v>0</v>
      </c>
      <c r="E8" t="s">
        <v>537</v>
      </c>
    </row>
    <row r="9" spans="1:5" x14ac:dyDescent="0.25">
      <c r="A9" t="s">
        <v>504</v>
      </c>
      <c r="B9" t="s">
        <v>544</v>
      </c>
      <c r="C9" t="s">
        <v>536</v>
      </c>
      <c r="D9" t="s">
        <v>0</v>
      </c>
      <c r="E9" t="s">
        <v>537</v>
      </c>
    </row>
    <row r="10" spans="1:5" x14ac:dyDescent="0.25">
      <c r="A10" t="s">
        <v>521</v>
      </c>
      <c r="B10" t="s">
        <v>545</v>
      </c>
      <c r="C10" t="s">
        <v>536</v>
      </c>
      <c r="D10" t="s">
        <v>0</v>
      </c>
      <c r="E10" t="s">
        <v>537</v>
      </c>
    </row>
    <row r="11" spans="1:5" x14ac:dyDescent="0.25">
      <c r="A11" t="s">
        <v>411</v>
      </c>
      <c r="B11" t="s">
        <v>546</v>
      </c>
      <c r="C11" t="s">
        <v>536</v>
      </c>
      <c r="D11" t="s">
        <v>0</v>
      </c>
      <c r="E11" t="s">
        <v>537</v>
      </c>
    </row>
    <row r="12" spans="1:5" x14ac:dyDescent="0.25">
      <c r="A12" t="s">
        <v>422</v>
      </c>
      <c r="B12" t="s">
        <v>547</v>
      </c>
      <c r="C12" t="s">
        <v>536</v>
      </c>
      <c r="D12" t="s">
        <v>0</v>
      </c>
      <c r="E12" t="s">
        <v>537</v>
      </c>
    </row>
    <row r="13" spans="1:5" x14ac:dyDescent="0.25">
      <c r="A13" t="s">
        <v>423</v>
      </c>
      <c r="B13" t="s">
        <v>548</v>
      </c>
      <c r="C13" t="s">
        <v>536</v>
      </c>
      <c r="D13" t="s">
        <v>0</v>
      </c>
      <c r="E13" t="s">
        <v>537</v>
      </c>
    </row>
    <row r="14" spans="1:5" x14ac:dyDescent="0.25">
      <c r="A14" t="s">
        <v>424</v>
      </c>
      <c r="B14" t="s">
        <v>549</v>
      </c>
      <c r="C14" t="s">
        <v>536</v>
      </c>
      <c r="D14" t="s">
        <v>0</v>
      </c>
      <c r="E14" t="s">
        <v>537</v>
      </c>
    </row>
    <row r="15" spans="1:5" x14ac:dyDescent="0.25">
      <c r="A15" t="s">
        <v>425</v>
      </c>
      <c r="B15" t="s">
        <v>550</v>
      </c>
      <c r="C15" t="s">
        <v>536</v>
      </c>
      <c r="D15" t="s">
        <v>0</v>
      </c>
      <c r="E15" t="s">
        <v>537</v>
      </c>
    </row>
    <row r="16" spans="1:5" x14ac:dyDescent="0.25">
      <c r="A16" t="s">
        <v>426</v>
      </c>
      <c r="B16" t="s">
        <v>551</v>
      </c>
      <c r="C16" t="s">
        <v>536</v>
      </c>
      <c r="D16" t="s">
        <v>0</v>
      </c>
      <c r="E16" t="s">
        <v>537</v>
      </c>
    </row>
    <row r="17" spans="1:8" x14ac:dyDescent="0.25">
      <c r="A17" t="s">
        <v>470</v>
      </c>
      <c r="B17" t="s">
        <v>552</v>
      </c>
      <c r="C17" t="s">
        <v>536</v>
      </c>
      <c r="D17" t="s">
        <v>0</v>
      </c>
      <c r="E17" t="s">
        <v>537</v>
      </c>
    </row>
    <row r="18" spans="1:8" x14ac:dyDescent="0.25">
      <c r="A18" t="s">
        <v>42</v>
      </c>
      <c r="B18" t="s">
        <v>553</v>
      </c>
      <c r="C18" t="s">
        <v>536</v>
      </c>
      <c r="D18" t="s">
        <v>0</v>
      </c>
      <c r="E18" t="s">
        <v>537</v>
      </c>
    </row>
    <row r="19" spans="1:8" x14ac:dyDescent="0.25">
      <c r="A19" t="s">
        <v>109</v>
      </c>
      <c r="B19" t="s">
        <v>554</v>
      </c>
      <c r="C19" t="s">
        <v>536</v>
      </c>
      <c r="D19" t="s">
        <v>0</v>
      </c>
      <c r="E19" t="s">
        <v>537</v>
      </c>
    </row>
    <row r="20" spans="1:8" x14ac:dyDescent="0.25">
      <c r="A20" t="s">
        <v>120</v>
      </c>
      <c r="B20" t="s">
        <v>555</v>
      </c>
      <c r="C20" t="s">
        <v>556</v>
      </c>
      <c r="D20" t="s">
        <v>0</v>
      </c>
      <c r="E20" t="s">
        <v>537</v>
      </c>
    </row>
    <row r="21" spans="1:8" x14ac:dyDescent="0.25">
      <c r="A21" t="s">
        <v>163</v>
      </c>
      <c r="B21" t="s">
        <v>557</v>
      </c>
      <c r="C21" t="s">
        <v>536</v>
      </c>
      <c r="D21" t="s">
        <v>0</v>
      </c>
      <c r="E21" t="s">
        <v>537</v>
      </c>
    </row>
    <row r="22" spans="1:8" x14ac:dyDescent="0.25">
      <c r="A22" t="s">
        <v>167</v>
      </c>
      <c r="B22" t="s">
        <v>558</v>
      </c>
      <c r="C22" t="s">
        <v>536</v>
      </c>
      <c r="D22" t="s">
        <v>0</v>
      </c>
      <c r="E22" t="s">
        <v>537</v>
      </c>
    </row>
    <row r="23" spans="1:8" x14ac:dyDescent="0.25">
      <c r="A23" t="s">
        <v>188</v>
      </c>
      <c r="B23" t="s">
        <v>559</v>
      </c>
      <c r="C23" t="s">
        <v>536</v>
      </c>
      <c r="D23" t="s">
        <v>0</v>
      </c>
      <c r="E23" t="s">
        <v>537</v>
      </c>
    </row>
    <row r="24" spans="1:8" x14ac:dyDescent="0.25">
      <c r="A24" t="s">
        <v>218</v>
      </c>
      <c r="B24" t="s">
        <v>560</v>
      </c>
      <c r="C24" t="s">
        <v>536</v>
      </c>
      <c r="D24" t="s">
        <v>0</v>
      </c>
      <c r="E24" t="s">
        <v>537</v>
      </c>
    </row>
    <row r="25" spans="1:8" x14ac:dyDescent="0.25">
      <c r="A25" t="s">
        <v>221</v>
      </c>
      <c r="B25" t="s">
        <v>561</v>
      </c>
      <c r="C25" t="s">
        <v>536</v>
      </c>
      <c r="D25" t="s">
        <v>0</v>
      </c>
      <c r="E25" t="s">
        <v>537</v>
      </c>
      <c r="H25" t="s">
        <v>562</v>
      </c>
    </row>
    <row r="26" spans="1:8" x14ac:dyDescent="0.25">
      <c r="A26" t="s">
        <v>223</v>
      </c>
      <c r="B26" t="s">
        <v>563</v>
      </c>
      <c r="C26" t="s">
        <v>536</v>
      </c>
      <c r="D26" t="s">
        <v>0</v>
      </c>
      <c r="E26" t="s">
        <v>537</v>
      </c>
      <c r="H26" t="s">
        <v>564</v>
      </c>
    </row>
    <row r="27" spans="1:8" x14ac:dyDescent="0.25">
      <c r="A27" t="s">
        <v>235</v>
      </c>
      <c r="B27" t="s">
        <v>565</v>
      </c>
      <c r="C27" t="s">
        <v>536</v>
      </c>
      <c r="D27" t="s">
        <v>75</v>
      </c>
      <c r="E27" t="s">
        <v>537</v>
      </c>
    </row>
    <row r="28" spans="1:8" x14ac:dyDescent="0.25">
      <c r="A28" t="s">
        <v>238</v>
      </c>
      <c r="B28" t="s">
        <v>565</v>
      </c>
      <c r="C28" t="s">
        <v>536</v>
      </c>
      <c r="D28" t="s">
        <v>75</v>
      </c>
      <c r="E28" t="s">
        <v>537</v>
      </c>
    </row>
    <row r="29" spans="1:8" x14ac:dyDescent="0.25">
      <c r="A29" t="s">
        <v>240</v>
      </c>
      <c r="B29" t="s">
        <v>565</v>
      </c>
      <c r="C29" t="s">
        <v>536</v>
      </c>
      <c r="D29" t="s">
        <v>75</v>
      </c>
      <c r="E29" t="s">
        <v>537</v>
      </c>
    </row>
    <row r="30" spans="1:8" x14ac:dyDescent="0.25">
      <c r="A30" t="s">
        <v>242</v>
      </c>
      <c r="B30" t="s">
        <v>565</v>
      </c>
      <c r="C30" t="s">
        <v>536</v>
      </c>
      <c r="D30" t="s">
        <v>75</v>
      </c>
      <c r="E30" t="s">
        <v>537</v>
      </c>
    </row>
    <row r="31" spans="1:8" x14ac:dyDescent="0.25">
      <c r="A31" t="s">
        <v>244</v>
      </c>
      <c r="B31" t="s">
        <v>566</v>
      </c>
      <c r="C31" t="s">
        <v>536</v>
      </c>
      <c r="D31" t="s">
        <v>75</v>
      </c>
      <c r="E31" t="s">
        <v>537</v>
      </c>
    </row>
    <row r="32" spans="1:8" x14ac:dyDescent="0.25">
      <c r="A32" t="s">
        <v>247</v>
      </c>
      <c r="B32" t="s">
        <v>566</v>
      </c>
      <c r="C32" t="s">
        <v>536</v>
      </c>
      <c r="D32" t="s">
        <v>75</v>
      </c>
      <c r="E32" t="s">
        <v>537</v>
      </c>
    </row>
    <row r="33" spans="1:5" x14ac:dyDescent="0.25">
      <c r="A33" t="s">
        <v>249</v>
      </c>
      <c r="B33" t="s">
        <v>566</v>
      </c>
      <c r="C33" t="s">
        <v>536</v>
      </c>
      <c r="D33" t="s">
        <v>75</v>
      </c>
      <c r="E33" t="s">
        <v>537</v>
      </c>
    </row>
    <row r="34" spans="1:5" x14ac:dyDescent="0.25">
      <c r="A34" t="s">
        <v>251</v>
      </c>
      <c r="B34" t="s">
        <v>566</v>
      </c>
      <c r="C34" t="s">
        <v>536</v>
      </c>
      <c r="D34" t="s">
        <v>75</v>
      </c>
      <c r="E34" t="s">
        <v>537</v>
      </c>
    </row>
    <row r="35" spans="1:5" x14ac:dyDescent="0.25">
      <c r="A35" t="s">
        <v>253</v>
      </c>
      <c r="B35" t="s">
        <v>567</v>
      </c>
      <c r="C35" t="s">
        <v>536</v>
      </c>
      <c r="D35" t="s">
        <v>0</v>
      </c>
      <c r="E35" t="s">
        <v>537</v>
      </c>
    </row>
    <row r="36" spans="1:5" x14ac:dyDescent="0.25">
      <c r="A36" t="s">
        <v>373</v>
      </c>
      <c r="B36" t="s">
        <v>568</v>
      </c>
      <c r="C36" t="s">
        <v>536</v>
      </c>
      <c r="D36" t="s">
        <v>0</v>
      </c>
      <c r="E36" t="s">
        <v>537</v>
      </c>
    </row>
    <row r="37" spans="1:5" x14ac:dyDescent="0.25">
      <c r="A37" t="s">
        <v>403</v>
      </c>
      <c r="B37" t="s">
        <v>569</v>
      </c>
      <c r="C37" t="s">
        <v>536</v>
      </c>
      <c r="D37" t="s">
        <v>0</v>
      </c>
      <c r="E37" t="s">
        <v>537</v>
      </c>
    </row>
    <row r="38" spans="1:5" x14ac:dyDescent="0.25">
      <c r="A38" t="s">
        <v>427</v>
      </c>
      <c r="B38" t="s">
        <v>570</v>
      </c>
      <c r="C38" t="s">
        <v>536</v>
      </c>
      <c r="D38" t="s">
        <v>75</v>
      </c>
      <c r="E38" t="s">
        <v>537</v>
      </c>
    </row>
    <row r="39" spans="1:5" x14ac:dyDescent="0.25">
      <c r="A39" t="s">
        <v>428</v>
      </c>
      <c r="B39" t="s">
        <v>570</v>
      </c>
      <c r="C39" t="s">
        <v>536</v>
      </c>
      <c r="D39" t="s">
        <v>75</v>
      </c>
      <c r="E39" t="s">
        <v>537</v>
      </c>
    </row>
    <row r="40" spans="1:5" x14ac:dyDescent="0.25">
      <c r="A40" t="s">
        <v>429</v>
      </c>
      <c r="B40" t="s">
        <v>570</v>
      </c>
      <c r="C40" t="s">
        <v>536</v>
      </c>
      <c r="D40" t="s">
        <v>75</v>
      </c>
      <c r="E40" t="s">
        <v>537</v>
      </c>
    </row>
    <row r="41" spans="1:5" x14ac:dyDescent="0.25">
      <c r="A41" t="s">
        <v>430</v>
      </c>
      <c r="B41" t="s">
        <v>570</v>
      </c>
      <c r="C41" t="s">
        <v>536</v>
      </c>
      <c r="D41" t="s">
        <v>75</v>
      </c>
      <c r="E41" t="s">
        <v>537</v>
      </c>
    </row>
    <row r="42" spans="1:5" x14ac:dyDescent="0.25">
      <c r="A42" t="s">
        <v>431</v>
      </c>
      <c r="B42" t="s">
        <v>571</v>
      </c>
      <c r="C42" t="s">
        <v>536</v>
      </c>
      <c r="D42" t="s">
        <v>75</v>
      </c>
      <c r="E42" t="s">
        <v>537</v>
      </c>
    </row>
    <row r="43" spans="1:5" x14ac:dyDescent="0.25">
      <c r="A43" t="s">
        <v>432</v>
      </c>
      <c r="B43" t="s">
        <v>571</v>
      </c>
      <c r="C43" t="s">
        <v>536</v>
      </c>
      <c r="D43" t="s">
        <v>75</v>
      </c>
      <c r="E43" t="s">
        <v>537</v>
      </c>
    </row>
    <row r="44" spans="1:5" x14ac:dyDescent="0.25">
      <c r="A44" t="s">
        <v>433</v>
      </c>
      <c r="B44" t="s">
        <v>571</v>
      </c>
      <c r="C44" t="s">
        <v>536</v>
      </c>
      <c r="D44" t="s">
        <v>75</v>
      </c>
      <c r="E44" t="s">
        <v>537</v>
      </c>
    </row>
    <row r="45" spans="1:5" x14ac:dyDescent="0.25">
      <c r="A45" t="s">
        <v>434</v>
      </c>
      <c r="B45" t="s">
        <v>571</v>
      </c>
      <c r="C45" t="s">
        <v>536</v>
      </c>
      <c r="D45" t="s">
        <v>75</v>
      </c>
      <c r="E45" t="s">
        <v>537</v>
      </c>
    </row>
    <row r="46" spans="1:5" x14ac:dyDescent="0.25">
      <c r="A46" t="s">
        <v>435</v>
      </c>
      <c r="B46" t="s">
        <v>572</v>
      </c>
      <c r="C46" t="s">
        <v>536</v>
      </c>
      <c r="D46" t="s">
        <v>75</v>
      </c>
      <c r="E46" t="s">
        <v>537</v>
      </c>
    </row>
    <row r="47" spans="1:5" x14ac:dyDescent="0.25">
      <c r="A47" t="s">
        <v>436</v>
      </c>
      <c r="B47" t="s">
        <v>572</v>
      </c>
      <c r="C47" t="s">
        <v>536</v>
      </c>
      <c r="D47" t="s">
        <v>75</v>
      </c>
      <c r="E47" t="s">
        <v>537</v>
      </c>
    </row>
    <row r="48" spans="1:5" x14ac:dyDescent="0.25">
      <c r="A48" t="s">
        <v>437</v>
      </c>
      <c r="B48" t="s">
        <v>572</v>
      </c>
      <c r="C48" t="s">
        <v>536</v>
      </c>
      <c r="D48" t="s">
        <v>75</v>
      </c>
      <c r="E48" t="s">
        <v>537</v>
      </c>
    </row>
    <row r="49" spans="1:5" x14ac:dyDescent="0.25">
      <c r="A49" t="s">
        <v>438</v>
      </c>
      <c r="B49" t="s">
        <v>572</v>
      </c>
      <c r="C49" t="s">
        <v>536</v>
      </c>
      <c r="D49" t="s">
        <v>75</v>
      </c>
      <c r="E49" t="s">
        <v>537</v>
      </c>
    </row>
    <row r="50" spans="1:5" x14ac:dyDescent="0.25">
      <c r="A50" t="s">
        <v>439</v>
      </c>
      <c r="B50" t="s">
        <v>573</v>
      </c>
      <c r="C50" t="s">
        <v>536</v>
      </c>
      <c r="D50" t="s">
        <v>75</v>
      </c>
      <c r="E50" t="s">
        <v>537</v>
      </c>
    </row>
    <row r="51" spans="1:5" x14ac:dyDescent="0.25">
      <c r="A51" t="s">
        <v>440</v>
      </c>
      <c r="B51" t="s">
        <v>573</v>
      </c>
      <c r="C51" t="s">
        <v>536</v>
      </c>
      <c r="D51" t="s">
        <v>75</v>
      </c>
      <c r="E51" t="s">
        <v>537</v>
      </c>
    </row>
    <row r="52" spans="1:5" x14ac:dyDescent="0.25">
      <c r="A52" t="s">
        <v>441</v>
      </c>
      <c r="B52" t="s">
        <v>573</v>
      </c>
      <c r="C52" t="s">
        <v>536</v>
      </c>
      <c r="D52" t="s">
        <v>75</v>
      </c>
      <c r="E52" t="s">
        <v>537</v>
      </c>
    </row>
    <row r="53" spans="1:5" x14ac:dyDescent="0.25">
      <c r="A53" t="s">
        <v>442</v>
      </c>
      <c r="B53" t="s">
        <v>573</v>
      </c>
      <c r="C53" t="s">
        <v>536</v>
      </c>
      <c r="D53" t="s">
        <v>75</v>
      </c>
      <c r="E53" t="s">
        <v>537</v>
      </c>
    </row>
    <row r="54" spans="1:5" x14ac:dyDescent="0.25">
      <c r="A54" t="s">
        <v>496</v>
      </c>
      <c r="B54" t="s">
        <v>574</v>
      </c>
      <c r="C54" t="s">
        <v>536</v>
      </c>
      <c r="D54" t="s">
        <v>0</v>
      </c>
      <c r="E54" t="s">
        <v>537</v>
      </c>
    </row>
    <row r="55" spans="1:5" x14ac:dyDescent="0.25">
      <c r="A55" t="s">
        <v>524</v>
      </c>
      <c r="B55" t="s">
        <v>575</v>
      </c>
      <c r="C55" t="s">
        <v>536</v>
      </c>
      <c r="D55" t="s">
        <v>75</v>
      </c>
      <c r="E55" t="s">
        <v>537</v>
      </c>
    </row>
    <row r="56" spans="1:5" x14ac:dyDescent="0.25">
      <c r="A56" t="s">
        <v>526</v>
      </c>
      <c r="B56" t="s">
        <v>575</v>
      </c>
      <c r="C56" t="s">
        <v>536</v>
      </c>
      <c r="D56" t="s">
        <v>75</v>
      </c>
      <c r="E56" t="s">
        <v>537</v>
      </c>
    </row>
    <row r="57" spans="1:5" x14ac:dyDescent="0.25">
      <c r="A57" t="s">
        <v>527</v>
      </c>
      <c r="B57" t="s">
        <v>575</v>
      </c>
      <c r="C57" t="s">
        <v>536</v>
      </c>
      <c r="D57" t="s">
        <v>75</v>
      </c>
      <c r="E57" t="s">
        <v>537</v>
      </c>
    </row>
    <row r="58" spans="1:5" x14ac:dyDescent="0.25">
      <c r="A58" t="s">
        <v>528</v>
      </c>
      <c r="B58" t="s">
        <v>575</v>
      </c>
      <c r="C58" t="s">
        <v>536</v>
      </c>
      <c r="D58" t="s">
        <v>75</v>
      </c>
      <c r="E58" t="s">
        <v>537</v>
      </c>
    </row>
    <row r="59" spans="1:5" x14ac:dyDescent="0.25">
      <c r="A59" t="s">
        <v>529</v>
      </c>
      <c r="B59" t="s">
        <v>576</v>
      </c>
      <c r="C59" t="s">
        <v>536</v>
      </c>
      <c r="D59" t="s">
        <v>0</v>
      </c>
      <c r="E59" t="s">
        <v>537</v>
      </c>
    </row>
    <row r="60" spans="1:5" x14ac:dyDescent="0.25">
      <c r="A60" t="s">
        <v>48</v>
      </c>
      <c r="B60" t="s">
        <v>577</v>
      </c>
      <c r="C60" t="s">
        <v>536</v>
      </c>
      <c r="D60" t="s">
        <v>0</v>
      </c>
      <c r="E60" t="s">
        <v>537</v>
      </c>
    </row>
    <row r="61" spans="1:5" x14ac:dyDescent="0.25">
      <c r="A61" t="s">
        <v>56</v>
      </c>
      <c r="B61" t="s">
        <v>578</v>
      </c>
      <c r="C61" t="s">
        <v>536</v>
      </c>
      <c r="D61" t="s">
        <v>0</v>
      </c>
      <c r="E61" t="s">
        <v>537</v>
      </c>
    </row>
    <row r="62" spans="1:5" x14ac:dyDescent="0.25">
      <c r="A62" t="s">
        <v>122</v>
      </c>
      <c r="B62" t="s">
        <v>579</v>
      </c>
      <c r="C62" t="s">
        <v>536</v>
      </c>
      <c r="D62" t="s">
        <v>59</v>
      </c>
      <c r="E62" t="s">
        <v>537</v>
      </c>
    </row>
    <row r="63" spans="1:5" x14ac:dyDescent="0.25">
      <c r="A63" t="s">
        <v>127</v>
      </c>
      <c r="B63" t="s">
        <v>579</v>
      </c>
      <c r="C63" t="s">
        <v>536</v>
      </c>
      <c r="D63" t="s">
        <v>59</v>
      </c>
      <c r="E63" t="s">
        <v>537</v>
      </c>
    </row>
    <row r="64" spans="1:5" x14ac:dyDescent="0.25">
      <c r="A64" t="s">
        <v>128</v>
      </c>
      <c r="B64" t="s">
        <v>580</v>
      </c>
      <c r="C64" t="s">
        <v>536</v>
      </c>
      <c r="D64" t="s">
        <v>75</v>
      </c>
      <c r="E64" t="s">
        <v>537</v>
      </c>
    </row>
    <row r="65" spans="1:5" x14ac:dyDescent="0.25">
      <c r="A65" t="s">
        <v>129</v>
      </c>
      <c r="B65" t="s">
        <v>580</v>
      </c>
      <c r="C65" t="s">
        <v>536</v>
      </c>
      <c r="D65" t="s">
        <v>75</v>
      </c>
      <c r="E65" t="s">
        <v>537</v>
      </c>
    </row>
    <row r="66" spans="1:5" x14ac:dyDescent="0.25">
      <c r="A66" t="s">
        <v>130</v>
      </c>
      <c r="B66" t="s">
        <v>580</v>
      </c>
      <c r="C66" t="s">
        <v>536</v>
      </c>
      <c r="D66" t="s">
        <v>75</v>
      </c>
      <c r="E66" t="s">
        <v>537</v>
      </c>
    </row>
    <row r="67" spans="1:5" x14ac:dyDescent="0.25">
      <c r="A67" t="s">
        <v>131</v>
      </c>
      <c r="B67" t="s">
        <v>580</v>
      </c>
      <c r="C67" t="s">
        <v>536</v>
      </c>
      <c r="D67" t="s">
        <v>75</v>
      </c>
      <c r="E67" t="s">
        <v>537</v>
      </c>
    </row>
    <row r="68" spans="1:5" x14ac:dyDescent="0.25">
      <c r="A68" t="s">
        <v>581</v>
      </c>
      <c r="B68" t="s">
        <v>582</v>
      </c>
      <c r="C68" t="s">
        <v>536</v>
      </c>
      <c r="D68" t="s">
        <v>0</v>
      </c>
      <c r="E68" t="s">
        <v>537</v>
      </c>
    </row>
    <row r="69" spans="1:5" x14ac:dyDescent="0.25">
      <c r="A69" t="s">
        <v>171</v>
      </c>
      <c r="B69" t="s">
        <v>583</v>
      </c>
      <c r="C69" t="s">
        <v>536</v>
      </c>
      <c r="D69" t="s">
        <v>0</v>
      </c>
      <c r="E69" t="s">
        <v>537</v>
      </c>
    </row>
    <row r="70" spans="1:5" x14ac:dyDescent="0.25">
      <c r="A70" t="s">
        <v>584</v>
      </c>
      <c r="B70" t="s">
        <v>585</v>
      </c>
      <c r="C70" t="s">
        <v>536</v>
      </c>
      <c r="D70" t="s">
        <v>0</v>
      </c>
      <c r="E70" t="s">
        <v>537</v>
      </c>
    </row>
    <row r="71" spans="1:5" x14ac:dyDescent="0.25">
      <c r="A71" t="s">
        <v>190</v>
      </c>
      <c r="B71" t="s">
        <v>586</v>
      </c>
      <c r="C71" t="s">
        <v>536</v>
      </c>
      <c r="D71" t="s">
        <v>0</v>
      </c>
      <c r="E71" t="s">
        <v>587</v>
      </c>
    </row>
    <row r="72" spans="1:5" x14ac:dyDescent="0.25">
      <c r="A72" t="s">
        <v>255</v>
      </c>
      <c r="B72" t="s">
        <v>588</v>
      </c>
      <c r="C72" t="s">
        <v>536</v>
      </c>
      <c r="D72" t="s">
        <v>59</v>
      </c>
      <c r="E72" t="s">
        <v>537</v>
      </c>
    </row>
    <row r="73" spans="1:5" x14ac:dyDescent="0.25">
      <c r="A73" t="s">
        <v>255</v>
      </c>
      <c r="B73" t="s">
        <v>588</v>
      </c>
      <c r="C73" t="s">
        <v>536</v>
      </c>
      <c r="D73" t="s">
        <v>59</v>
      </c>
      <c r="E73" t="s">
        <v>537</v>
      </c>
    </row>
    <row r="74" spans="1:5" x14ac:dyDescent="0.25">
      <c r="A74" t="s">
        <v>256</v>
      </c>
      <c r="B74" t="s">
        <v>589</v>
      </c>
      <c r="C74" t="s">
        <v>536</v>
      </c>
      <c r="D74" t="s">
        <v>75</v>
      </c>
      <c r="E74" t="s">
        <v>537</v>
      </c>
    </row>
    <row r="75" spans="1:5" x14ac:dyDescent="0.25">
      <c r="A75" t="s">
        <v>257</v>
      </c>
      <c r="B75" t="s">
        <v>589</v>
      </c>
      <c r="C75" t="s">
        <v>536</v>
      </c>
      <c r="D75" t="s">
        <v>75</v>
      </c>
      <c r="E75" t="s">
        <v>537</v>
      </c>
    </row>
    <row r="76" spans="1:5" x14ac:dyDescent="0.25">
      <c r="A76" t="s">
        <v>258</v>
      </c>
      <c r="B76" t="s">
        <v>589</v>
      </c>
      <c r="C76" t="s">
        <v>536</v>
      </c>
      <c r="D76" t="s">
        <v>75</v>
      </c>
      <c r="E76" t="s">
        <v>537</v>
      </c>
    </row>
    <row r="77" spans="1:5" x14ac:dyDescent="0.25">
      <c r="A77" t="s">
        <v>259</v>
      </c>
      <c r="B77" t="s">
        <v>589</v>
      </c>
      <c r="C77" t="s">
        <v>536</v>
      </c>
      <c r="D77" t="s">
        <v>75</v>
      </c>
      <c r="E77" t="s">
        <v>537</v>
      </c>
    </row>
    <row r="78" spans="1:5" x14ac:dyDescent="0.25">
      <c r="A78" t="s">
        <v>374</v>
      </c>
      <c r="B78" t="s">
        <v>590</v>
      </c>
      <c r="C78" t="s">
        <v>536</v>
      </c>
      <c r="D78" t="s">
        <v>0</v>
      </c>
      <c r="E78" t="s">
        <v>537</v>
      </c>
    </row>
    <row r="79" spans="1:5" x14ac:dyDescent="0.25">
      <c r="A79" t="s">
        <v>375</v>
      </c>
      <c r="B79" t="s">
        <v>591</v>
      </c>
      <c r="C79" t="s">
        <v>536</v>
      </c>
      <c r="D79" t="s">
        <v>0</v>
      </c>
      <c r="E79" t="s">
        <v>537</v>
      </c>
    </row>
    <row r="80" spans="1:5" x14ac:dyDescent="0.25">
      <c r="A80" t="s">
        <v>376</v>
      </c>
      <c r="B80" t="s">
        <v>592</v>
      </c>
      <c r="C80" t="s">
        <v>536</v>
      </c>
      <c r="D80" t="s">
        <v>0</v>
      </c>
      <c r="E80" t="s">
        <v>537</v>
      </c>
    </row>
    <row r="81" spans="1:5" x14ac:dyDescent="0.25">
      <c r="A81" t="s">
        <v>377</v>
      </c>
      <c r="B81" t="s">
        <v>593</v>
      </c>
      <c r="C81" t="s">
        <v>536</v>
      </c>
      <c r="D81" t="s">
        <v>0</v>
      </c>
      <c r="E81" t="s">
        <v>537</v>
      </c>
    </row>
    <row r="82" spans="1:5" x14ac:dyDescent="0.25">
      <c r="A82" t="s">
        <v>378</v>
      </c>
      <c r="B82" t="s">
        <v>594</v>
      </c>
      <c r="C82" t="s">
        <v>595</v>
      </c>
      <c r="D82" t="s">
        <v>0</v>
      </c>
      <c r="E82" t="s">
        <v>537</v>
      </c>
    </row>
    <row r="83" spans="1:5" x14ac:dyDescent="0.25">
      <c r="A83" t="s">
        <v>380</v>
      </c>
      <c r="B83" t="s">
        <v>594</v>
      </c>
      <c r="C83" t="s">
        <v>595</v>
      </c>
      <c r="D83" t="s">
        <v>0</v>
      </c>
      <c r="E83" t="s">
        <v>537</v>
      </c>
    </row>
    <row r="84" spans="1:5" x14ac:dyDescent="0.25">
      <c r="A84" t="s">
        <v>409</v>
      </c>
      <c r="B84" t="s">
        <v>596</v>
      </c>
      <c r="C84" t="s">
        <v>536</v>
      </c>
      <c r="D84" t="s">
        <v>0</v>
      </c>
      <c r="E84" t="s">
        <v>537</v>
      </c>
    </row>
    <row r="85" spans="1:5" x14ac:dyDescent="0.25">
      <c r="A85" t="s">
        <v>471</v>
      </c>
      <c r="B85" t="s">
        <v>597</v>
      </c>
      <c r="C85" t="s">
        <v>536</v>
      </c>
      <c r="D85" t="s">
        <v>598</v>
      </c>
      <c r="E85" t="s">
        <v>537</v>
      </c>
    </row>
    <row r="86" spans="1:5" x14ac:dyDescent="0.25">
      <c r="A86" t="s">
        <v>472</v>
      </c>
      <c r="B86" t="s">
        <v>599</v>
      </c>
      <c r="C86" t="s">
        <v>536</v>
      </c>
      <c r="D86" t="s">
        <v>598</v>
      </c>
      <c r="E86" t="s">
        <v>537</v>
      </c>
    </row>
    <row r="87" spans="1:5" x14ac:dyDescent="0.25">
      <c r="A87" t="s">
        <v>473</v>
      </c>
      <c r="B87" t="s">
        <v>600</v>
      </c>
      <c r="C87" t="s">
        <v>536</v>
      </c>
      <c r="D87" t="s">
        <v>598</v>
      </c>
      <c r="E87" t="s">
        <v>537</v>
      </c>
    </row>
    <row r="88" spans="1:5" x14ac:dyDescent="0.25">
      <c r="A88" t="s">
        <v>474</v>
      </c>
      <c r="B88" t="s">
        <v>601</v>
      </c>
      <c r="C88" t="s">
        <v>536</v>
      </c>
      <c r="D88" t="s">
        <v>598</v>
      </c>
      <c r="E88" t="s">
        <v>537</v>
      </c>
    </row>
    <row r="89" spans="1:5" x14ac:dyDescent="0.25">
      <c r="A89" t="s">
        <v>475</v>
      </c>
      <c r="B89" t="s">
        <v>602</v>
      </c>
      <c r="C89" t="s">
        <v>536</v>
      </c>
      <c r="D89" t="s">
        <v>598</v>
      </c>
      <c r="E89" t="s">
        <v>537</v>
      </c>
    </row>
    <row r="90" spans="1:5" x14ac:dyDescent="0.25">
      <c r="A90" t="s">
        <v>476</v>
      </c>
      <c r="B90" t="s">
        <v>603</v>
      </c>
      <c r="C90" t="s">
        <v>536</v>
      </c>
      <c r="D90" t="s">
        <v>598</v>
      </c>
      <c r="E90" t="s">
        <v>537</v>
      </c>
    </row>
    <row r="91" spans="1:5" x14ac:dyDescent="0.25">
      <c r="A91" t="s">
        <v>477</v>
      </c>
      <c r="B91" t="s">
        <v>604</v>
      </c>
      <c r="C91" t="s">
        <v>536</v>
      </c>
      <c r="D91" t="s">
        <v>598</v>
      </c>
      <c r="E91" t="s">
        <v>537</v>
      </c>
    </row>
    <row r="92" spans="1:5" x14ac:dyDescent="0.25">
      <c r="A92" t="s">
        <v>478</v>
      </c>
      <c r="B92" t="s">
        <v>605</v>
      </c>
      <c r="C92" t="s">
        <v>536</v>
      </c>
      <c r="D92" t="s">
        <v>598</v>
      </c>
      <c r="E92" t="s">
        <v>537</v>
      </c>
    </row>
    <row r="93" spans="1:5" x14ac:dyDescent="0.25">
      <c r="A93" t="s">
        <v>479</v>
      </c>
      <c r="B93" t="s">
        <v>606</v>
      </c>
      <c r="C93" t="s">
        <v>536</v>
      </c>
      <c r="D93" t="s">
        <v>598</v>
      </c>
      <c r="E93" t="s">
        <v>537</v>
      </c>
    </row>
    <row r="94" spans="1:5" x14ac:dyDescent="0.25">
      <c r="A94" t="s">
        <v>484</v>
      </c>
      <c r="B94" t="s">
        <v>607</v>
      </c>
      <c r="C94" t="s">
        <v>536</v>
      </c>
      <c r="D94" t="s">
        <v>0</v>
      </c>
      <c r="E94" t="s">
        <v>537</v>
      </c>
    </row>
    <row r="95" spans="1:5" x14ac:dyDescent="0.25">
      <c r="A95" t="s">
        <v>490</v>
      </c>
      <c r="B95" t="s">
        <v>608</v>
      </c>
      <c r="C95" t="s">
        <v>536</v>
      </c>
      <c r="D95" t="s">
        <v>0</v>
      </c>
      <c r="E95" t="s">
        <v>537</v>
      </c>
    </row>
    <row r="96" spans="1:5" x14ac:dyDescent="0.25">
      <c r="A96" t="s">
        <v>492</v>
      </c>
      <c r="B96" t="s">
        <v>609</v>
      </c>
      <c r="C96" t="s">
        <v>536</v>
      </c>
      <c r="D96" t="s">
        <v>0</v>
      </c>
      <c r="E96" t="s">
        <v>537</v>
      </c>
    </row>
    <row r="97" spans="1:5" x14ac:dyDescent="0.25">
      <c r="A97" t="s">
        <v>494</v>
      </c>
      <c r="B97" t="s">
        <v>610</v>
      </c>
      <c r="C97" t="s">
        <v>536</v>
      </c>
      <c r="D97" t="s">
        <v>0</v>
      </c>
      <c r="E97" t="s">
        <v>537</v>
      </c>
    </row>
    <row r="98" spans="1:5" x14ac:dyDescent="0.25">
      <c r="A98" t="s">
        <v>499</v>
      </c>
      <c r="B98" t="s">
        <v>611</v>
      </c>
      <c r="C98" t="s">
        <v>536</v>
      </c>
      <c r="D98" t="s">
        <v>612</v>
      </c>
      <c r="E98" t="s">
        <v>537</v>
      </c>
    </row>
    <row r="99" spans="1:5" x14ac:dyDescent="0.25">
      <c r="A99" t="s">
        <v>500</v>
      </c>
      <c r="B99" t="s">
        <v>611</v>
      </c>
      <c r="C99" t="s">
        <v>536</v>
      </c>
      <c r="D99" t="s">
        <v>612</v>
      </c>
      <c r="E99" t="s">
        <v>537</v>
      </c>
    </row>
    <row r="100" spans="1:5" x14ac:dyDescent="0.25">
      <c r="A100" t="s">
        <v>530</v>
      </c>
      <c r="B100" t="s">
        <v>613</v>
      </c>
      <c r="C100" t="s">
        <v>536</v>
      </c>
      <c r="D100" t="s">
        <v>0</v>
      </c>
      <c r="E100" t="s">
        <v>537</v>
      </c>
    </row>
    <row r="101" spans="1:5" x14ac:dyDescent="0.25">
      <c r="A101" t="s">
        <v>532</v>
      </c>
      <c r="B101" t="s">
        <v>614</v>
      </c>
      <c r="C101" t="s">
        <v>536</v>
      </c>
      <c r="D101" t="s">
        <v>0</v>
      </c>
      <c r="E101" t="s">
        <v>537</v>
      </c>
    </row>
    <row r="102" spans="1:5" x14ac:dyDescent="0.25">
      <c r="A102" t="s">
        <v>58</v>
      </c>
      <c r="B102" t="s">
        <v>615</v>
      </c>
      <c r="C102" t="s">
        <v>536</v>
      </c>
      <c r="D102" t="s">
        <v>59</v>
      </c>
      <c r="E102" t="s">
        <v>537</v>
      </c>
    </row>
    <row r="103" spans="1:5" x14ac:dyDescent="0.25">
      <c r="A103" t="s">
        <v>69</v>
      </c>
      <c r="B103" t="s">
        <v>615</v>
      </c>
      <c r="C103" t="s">
        <v>536</v>
      </c>
      <c r="D103" t="s">
        <v>59</v>
      </c>
      <c r="E103" t="s">
        <v>537</v>
      </c>
    </row>
    <row r="104" spans="1:5" x14ac:dyDescent="0.25">
      <c r="A104" t="s">
        <v>71</v>
      </c>
      <c r="B104" t="s">
        <v>616</v>
      </c>
      <c r="C104" t="s">
        <v>536</v>
      </c>
      <c r="D104" t="s">
        <v>59</v>
      </c>
      <c r="E104" t="s">
        <v>537</v>
      </c>
    </row>
    <row r="105" spans="1:5" x14ac:dyDescent="0.25">
      <c r="A105" t="s">
        <v>73</v>
      </c>
      <c r="B105" t="s">
        <v>616</v>
      </c>
      <c r="C105" t="s">
        <v>536</v>
      </c>
      <c r="D105" t="s">
        <v>59</v>
      </c>
      <c r="E105" t="s">
        <v>537</v>
      </c>
    </row>
    <row r="106" spans="1:5" x14ac:dyDescent="0.25">
      <c r="A106" t="s">
        <v>74</v>
      </c>
      <c r="B106" t="s">
        <v>617</v>
      </c>
      <c r="C106" t="s">
        <v>536</v>
      </c>
      <c r="D106" t="s">
        <v>59</v>
      </c>
      <c r="E106" t="s">
        <v>537</v>
      </c>
    </row>
    <row r="107" spans="1:5" x14ac:dyDescent="0.25">
      <c r="A107" t="s">
        <v>78</v>
      </c>
      <c r="B107" t="s">
        <v>617</v>
      </c>
      <c r="C107" t="s">
        <v>536</v>
      </c>
      <c r="D107" t="s">
        <v>59</v>
      </c>
      <c r="E107" t="s">
        <v>537</v>
      </c>
    </row>
    <row r="108" spans="1:5" x14ac:dyDescent="0.25">
      <c r="A108" t="s">
        <v>79</v>
      </c>
      <c r="B108" t="s">
        <v>618</v>
      </c>
      <c r="C108" t="s">
        <v>536</v>
      </c>
      <c r="D108" t="s">
        <v>59</v>
      </c>
      <c r="E108" t="s">
        <v>537</v>
      </c>
    </row>
    <row r="109" spans="1:5" x14ac:dyDescent="0.25">
      <c r="A109" t="s">
        <v>81</v>
      </c>
      <c r="B109" t="s">
        <v>618</v>
      </c>
      <c r="C109" t="s">
        <v>536</v>
      </c>
      <c r="D109" t="s">
        <v>59</v>
      </c>
      <c r="E109" t="s">
        <v>537</v>
      </c>
    </row>
    <row r="110" spans="1:5" x14ac:dyDescent="0.25">
      <c r="A110" t="s">
        <v>82</v>
      </c>
      <c r="B110" t="s">
        <v>619</v>
      </c>
      <c r="C110" t="s">
        <v>536</v>
      </c>
      <c r="D110" t="s">
        <v>59</v>
      </c>
      <c r="E110" t="s">
        <v>537</v>
      </c>
    </row>
    <row r="111" spans="1:5" x14ac:dyDescent="0.25">
      <c r="A111" t="s">
        <v>82</v>
      </c>
      <c r="B111" t="s">
        <v>619</v>
      </c>
      <c r="C111" t="s">
        <v>536</v>
      </c>
      <c r="D111" t="s">
        <v>59</v>
      </c>
      <c r="E111" t="s">
        <v>537</v>
      </c>
    </row>
    <row r="112" spans="1:5" x14ac:dyDescent="0.25">
      <c r="A112" t="s">
        <v>111</v>
      </c>
      <c r="B112" t="s">
        <v>620</v>
      </c>
      <c r="C112" t="s">
        <v>536</v>
      </c>
      <c r="D112" t="s">
        <v>0</v>
      </c>
      <c r="E112" t="s">
        <v>537</v>
      </c>
    </row>
    <row r="113" spans="1:5" x14ac:dyDescent="0.25">
      <c r="A113" t="s">
        <v>114</v>
      </c>
      <c r="B113" t="s">
        <v>621</v>
      </c>
      <c r="C113" t="s">
        <v>536</v>
      </c>
      <c r="D113" t="s">
        <v>0</v>
      </c>
      <c r="E113" t="s">
        <v>537</v>
      </c>
    </row>
    <row r="114" spans="1:5" x14ac:dyDescent="0.25">
      <c r="A114" t="s">
        <v>132</v>
      </c>
      <c r="B114" t="s">
        <v>622</v>
      </c>
      <c r="C114" t="s">
        <v>556</v>
      </c>
      <c r="D114" t="s">
        <v>0</v>
      </c>
      <c r="E114" t="s">
        <v>537</v>
      </c>
    </row>
    <row r="115" spans="1:5" x14ac:dyDescent="0.25">
      <c r="A115" t="s">
        <v>134</v>
      </c>
      <c r="B115" t="s">
        <v>623</v>
      </c>
      <c r="C115" t="s">
        <v>536</v>
      </c>
      <c r="D115" t="s">
        <v>0</v>
      </c>
      <c r="E115" t="s">
        <v>537</v>
      </c>
    </row>
    <row r="116" spans="1:5" x14ac:dyDescent="0.25">
      <c r="A116" t="s">
        <v>175</v>
      </c>
      <c r="B116" t="s">
        <v>624</v>
      </c>
      <c r="C116" t="s">
        <v>536</v>
      </c>
      <c r="D116" t="s">
        <v>0</v>
      </c>
      <c r="E116" t="s">
        <v>537</v>
      </c>
    </row>
    <row r="117" spans="1:5" x14ac:dyDescent="0.25">
      <c r="A117" t="s">
        <v>176</v>
      </c>
      <c r="B117" t="s">
        <v>625</v>
      </c>
      <c r="C117" t="s">
        <v>556</v>
      </c>
      <c r="D117" t="s">
        <v>59</v>
      </c>
      <c r="E117" t="s">
        <v>537</v>
      </c>
    </row>
    <row r="118" spans="1:5" x14ac:dyDescent="0.25">
      <c r="A118" t="s">
        <v>178</v>
      </c>
      <c r="B118" t="s">
        <v>625</v>
      </c>
      <c r="C118" t="s">
        <v>556</v>
      </c>
      <c r="D118" t="s">
        <v>59</v>
      </c>
      <c r="E118" t="s">
        <v>537</v>
      </c>
    </row>
    <row r="119" spans="1:5" x14ac:dyDescent="0.25">
      <c r="A119" t="s">
        <v>179</v>
      </c>
      <c r="B119" t="s">
        <v>626</v>
      </c>
      <c r="C119" t="s">
        <v>556</v>
      </c>
      <c r="D119" t="s">
        <v>59</v>
      </c>
      <c r="E119" t="s">
        <v>537</v>
      </c>
    </row>
    <row r="120" spans="1:5" x14ac:dyDescent="0.25">
      <c r="A120" t="s">
        <v>181</v>
      </c>
      <c r="B120" t="s">
        <v>626</v>
      </c>
      <c r="C120" t="s">
        <v>556</v>
      </c>
      <c r="D120" t="s">
        <v>59</v>
      </c>
      <c r="E120" t="s">
        <v>537</v>
      </c>
    </row>
    <row r="121" spans="1:5" x14ac:dyDescent="0.25">
      <c r="A121" t="s">
        <v>193</v>
      </c>
      <c r="B121" t="s">
        <v>627</v>
      </c>
      <c r="C121" t="s">
        <v>536</v>
      </c>
      <c r="D121" t="s">
        <v>0</v>
      </c>
      <c r="E121" t="s">
        <v>537</v>
      </c>
    </row>
    <row r="122" spans="1:5" x14ac:dyDescent="0.25">
      <c r="A122" t="s">
        <v>195</v>
      </c>
      <c r="B122" t="s">
        <v>628</v>
      </c>
      <c r="C122" t="s">
        <v>536</v>
      </c>
      <c r="D122" t="s">
        <v>0</v>
      </c>
      <c r="E122" t="s">
        <v>537</v>
      </c>
    </row>
    <row r="123" spans="1:5" x14ac:dyDescent="0.25">
      <c r="A123" t="s">
        <v>629</v>
      </c>
      <c r="B123" t="s">
        <v>630</v>
      </c>
      <c r="C123" t="s">
        <v>595</v>
      </c>
      <c r="D123" t="s">
        <v>0</v>
      </c>
      <c r="E123" t="s">
        <v>537</v>
      </c>
    </row>
    <row r="124" spans="1:5" x14ac:dyDescent="0.25">
      <c r="A124" t="s">
        <v>631</v>
      </c>
      <c r="B124" t="s">
        <v>630</v>
      </c>
      <c r="C124" t="s">
        <v>595</v>
      </c>
      <c r="D124" t="s">
        <v>0</v>
      </c>
      <c r="E124" t="s">
        <v>537</v>
      </c>
    </row>
    <row r="125" spans="1:5" x14ac:dyDescent="0.25">
      <c r="A125" t="s">
        <v>199</v>
      </c>
      <c r="B125" t="s">
        <v>632</v>
      </c>
      <c r="C125" t="s">
        <v>536</v>
      </c>
      <c r="D125" t="s">
        <v>0</v>
      </c>
      <c r="E125" t="s">
        <v>537</v>
      </c>
    </row>
    <row r="126" spans="1:5" x14ac:dyDescent="0.25">
      <c r="A126" t="s">
        <v>262</v>
      </c>
      <c r="B126" t="s">
        <v>633</v>
      </c>
      <c r="C126" t="s">
        <v>536</v>
      </c>
      <c r="D126" t="s">
        <v>59</v>
      </c>
      <c r="E126" t="s">
        <v>537</v>
      </c>
    </row>
    <row r="127" spans="1:5" x14ac:dyDescent="0.25">
      <c r="A127" t="s">
        <v>264</v>
      </c>
      <c r="B127" t="s">
        <v>633</v>
      </c>
      <c r="C127" t="s">
        <v>536</v>
      </c>
      <c r="D127" t="s">
        <v>59</v>
      </c>
      <c r="E127" t="s">
        <v>537</v>
      </c>
    </row>
    <row r="128" spans="1:5" x14ac:dyDescent="0.25">
      <c r="A128" t="s">
        <v>265</v>
      </c>
      <c r="B128" t="s">
        <v>634</v>
      </c>
      <c r="C128" t="s">
        <v>536</v>
      </c>
      <c r="D128" t="s">
        <v>59</v>
      </c>
      <c r="E128" t="s">
        <v>537</v>
      </c>
    </row>
    <row r="129" spans="1:5" x14ac:dyDescent="0.25">
      <c r="A129" t="s">
        <v>267</v>
      </c>
      <c r="B129" t="s">
        <v>634</v>
      </c>
      <c r="C129" t="s">
        <v>536</v>
      </c>
      <c r="D129" t="s">
        <v>59</v>
      </c>
      <c r="E129" t="s">
        <v>537</v>
      </c>
    </row>
    <row r="130" spans="1:5" x14ac:dyDescent="0.25">
      <c r="A130" t="s">
        <v>268</v>
      </c>
      <c r="B130" t="s">
        <v>635</v>
      </c>
      <c r="C130" t="s">
        <v>536</v>
      </c>
      <c r="D130" t="s">
        <v>75</v>
      </c>
      <c r="E130" t="s">
        <v>587</v>
      </c>
    </row>
    <row r="131" spans="1:5" x14ac:dyDescent="0.25">
      <c r="A131" t="s">
        <v>270</v>
      </c>
      <c r="B131" t="s">
        <v>635</v>
      </c>
      <c r="C131" t="s">
        <v>536</v>
      </c>
      <c r="D131" t="s">
        <v>75</v>
      </c>
      <c r="E131" t="s">
        <v>587</v>
      </c>
    </row>
    <row r="132" spans="1:5" x14ac:dyDescent="0.25">
      <c r="A132" t="s">
        <v>272</v>
      </c>
      <c r="B132" t="s">
        <v>635</v>
      </c>
      <c r="C132" t="s">
        <v>536</v>
      </c>
      <c r="D132" t="s">
        <v>75</v>
      </c>
      <c r="E132" t="s">
        <v>587</v>
      </c>
    </row>
    <row r="133" spans="1:5" x14ac:dyDescent="0.25">
      <c r="A133" t="s">
        <v>273</v>
      </c>
      <c r="B133" t="s">
        <v>635</v>
      </c>
      <c r="C133" t="s">
        <v>536</v>
      </c>
      <c r="D133" t="s">
        <v>75</v>
      </c>
      <c r="E133" t="s">
        <v>587</v>
      </c>
    </row>
    <row r="134" spans="1:5" x14ac:dyDescent="0.25">
      <c r="A134" t="s">
        <v>636</v>
      </c>
      <c r="B134" t="s">
        <v>637</v>
      </c>
      <c r="C134" t="s">
        <v>536</v>
      </c>
      <c r="D134" t="s">
        <v>75</v>
      </c>
      <c r="E134" t="s">
        <v>587</v>
      </c>
    </row>
    <row r="135" spans="1:5" x14ac:dyDescent="0.25">
      <c r="A135" t="s">
        <v>276</v>
      </c>
      <c r="B135" t="s">
        <v>637</v>
      </c>
      <c r="C135" t="s">
        <v>536</v>
      </c>
      <c r="D135" t="s">
        <v>75</v>
      </c>
      <c r="E135" t="s">
        <v>587</v>
      </c>
    </row>
    <row r="136" spans="1:5" x14ac:dyDescent="0.25">
      <c r="A136" t="s">
        <v>277</v>
      </c>
      <c r="B136" t="s">
        <v>637</v>
      </c>
      <c r="C136" t="s">
        <v>536</v>
      </c>
      <c r="D136" t="s">
        <v>75</v>
      </c>
      <c r="E136" t="s">
        <v>587</v>
      </c>
    </row>
    <row r="137" spans="1:5" x14ac:dyDescent="0.25">
      <c r="A137" t="s">
        <v>278</v>
      </c>
      <c r="B137" t="s">
        <v>637</v>
      </c>
      <c r="C137" t="s">
        <v>536</v>
      </c>
      <c r="D137" t="s">
        <v>75</v>
      </c>
      <c r="E137" t="s">
        <v>587</v>
      </c>
    </row>
    <row r="138" spans="1:5" x14ac:dyDescent="0.25">
      <c r="A138" t="s">
        <v>638</v>
      </c>
      <c r="B138" t="s">
        <v>639</v>
      </c>
      <c r="C138" t="s">
        <v>536</v>
      </c>
      <c r="D138" t="s">
        <v>75</v>
      </c>
      <c r="E138" t="s">
        <v>587</v>
      </c>
    </row>
    <row r="139" spans="1:5" x14ac:dyDescent="0.25">
      <c r="A139" t="s">
        <v>281</v>
      </c>
      <c r="B139" t="s">
        <v>639</v>
      </c>
      <c r="C139" t="s">
        <v>536</v>
      </c>
      <c r="D139" t="s">
        <v>75</v>
      </c>
      <c r="E139" t="s">
        <v>587</v>
      </c>
    </row>
    <row r="140" spans="1:5" x14ac:dyDescent="0.25">
      <c r="A140" t="s">
        <v>282</v>
      </c>
      <c r="B140" t="s">
        <v>639</v>
      </c>
      <c r="C140" t="s">
        <v>536</v>
      </c>
      <c r="D140" t="s">
        <v>75</v>
      </c>
      <c r="E140" t="s">
        <v>587</v>
      </c>
    </row>
    <row r="141" spans="1:5" x14ac:dyDescent="0.25">
      <c r="A141" t="s">
        <v>283</v>
      </c>
      <c r="B141" t="s">
        <v>639</v>
      </c>
      <c r="C141" t="s">
        <v>536</v>
      </c>
      <c r="D141" t="s">
        <v>75</v>
      </c>
      <c r="E141" t="s">
        <v>587</v>
      </c>
    </row>
    <row r="142" spans="1:5" x14ac:dyDescent="0.25">
      <c r="A142" t="s">
        <v>284</v>
      </c>
      <c r="B142" t="s">
        <v>640</v>
      </c>
      <c r="C142" t="s">
        <v>536</v>
      </c>
      <c r="D142" t="s">
        <v>0</v>
      </c>
      <c r="E142" t="s">
        <v>537</v>
      </c>
    </row>
    <row r="143" spans="1:5" x14ac:dyDescent="0.25">
      <c r="A143" t="s">
        <v>287</v>
      </c>
      <c r="B143" t="s">
        <v>641</v>
      </c>
      <c r="C143" t="s">
        <v>536</v>
      </c>
      <c r="D143" t="s">
        <v>0</v>
      </c>
      <c r="E143" t="s">
        <v>537</v>
      </c>
    </row>
    <row r="144" spans="1:5" x14ac:dyDescent="0.25">
      <c r="A144" t="s">
        <v>288</v>
      </c>
      <c r="B144" t="s">
        <v>642</v>
      </c>
      <c r="C144" t="s">
        <v>536</v>
      </c>
      <c r="D144" t="s">
        <v>0</v>
      </c>
      <c r="E144" t="s">
        <v>537</v>
      </c>
    </row>
    <row r="145" spans="1:5" x14ac:dyDescent="0.25">
      <c r="A145" t="s">
        <v>289</v>
      </c>
      <c r="B145" t="s">
        <v>643</v>
      </c>
      <c r="C145" t="s">
        <v>536</v>
      </c>
      <c r="D145" t="s">
        <v>0</v>
      </c>
      <c r="E145" t="s">
        <v>537</v>
      </c>
    </row>
    <row r="146" spans="1:5" x14ac:dyDescent="0.25">
      <c r="A146" t="s">
        <v>290</v>
      </c>
      <c r="B146" t="s">
        <v>644</v>
      </c>
      <c r="C146" t="s">
        <v>536</v>
      </c>
      <c r="D146" t="s">
        <v>0</v>
      </c>
      <c r="E146" t="s">
        <v>537</v>
      </c>
    </row>
    <row r="147" spans="1:5" x14ac:dyDescent="0.25">
      <c r="A147" t="s">
        <v>291</v>
      </c>
      <c r="B147" t="s">
        <v>645</v>
      </c>
      <c r="C147" t="s">
        <v>536</v>
      </c>
      <c r="D147" t="s">
        <v>0</v>
      </c>
      <c r="E147" t="s">
        <v>537</v>
      </c>
    </row>
    <row r="148" spans="1:5" x14ac:dyDescent="0.25">
      <c r="A148" t="s">
        <v>292</v>
      </c>
      <c r="B148" t="s">
        <v>646</v>
      </c>
      <c r="C148" t="s">
        <v>536</v>
      </c>
      <c r="D148" t="s">
        <v>0</v>
      </c>
      <c r="E148" t="s">
        <v>537</v>
      </c>
    </row>
    <row r="149" spans="1:5" x14ac:dyDescent="0.25">
      <c r="A149" t="s">
        <v>293</v>
      </c>
      <c r="B149" t="s">
        <v>647</v>
      </c>
      <c r="C149" t="s">
        <v>536</v>
      </c>
      <c r="D149" t="s">
        <v>0</v>
      </c>
      <c r="E149" t="s">
        <v>537</v>
      </c>
    </row>
    <row r="150" spans="1:5" x14ac:dyDescent="0.25">
      <c r="A150" t="s">
        <v>294</v>
      </c>
      <c r="B150" t="s">
        <v>648</v>
      </c>
      <c r="C150" t="s">
        <v>536</v>
      </c>
      <c r="D150" t="s">
        <v>0</v>
      </c>
      <c r="E150" t="s">
        <v>537</v>
      </c>
    </row>
    <row r="151" spans="1:5" x14ac:dyDescent="0.25">
      <c r="A151" t="s">
        <v>295</v>
      </c>
      <c r="B151" t="s">
        <v>649</v>
      </c>
      <c r="C151" t="s">
        <v>536</v>
      </c>
      <c r="D151" t="s">
        <v>0</v>
      </c>
      <c r="E151" t="s">
        <v>537</v>
      </c>
    </row>
    <row r="152" spans="1:5" x14ac:dyDescent="0.25">
      <c r="A152" t="s">
        <v>296</v>
      </c>
      <c r="B152" t="s">
        <v>650</v>
      </c>
      <c r="C152" t="s">
        <v>536</v>
      </c>
      <c r="D152" t="s">
        <v>0</v>
      </c>
      <c r="E152" t="s">
        <v>537</v>
      </c>
    </row>
    <row r="153" spans="1:5" x14ac:dyDescent="0.25">
      <c r="A153" t="s">
        <v>297</v>
      </c>
      <c r="B153" t="s">
        <v>651</v>
      </c>
      <c r="C153" t="s">
        <v>536</v>
      </c>
      <c r="D153" t="s">
        <v>0</v>
      </c>
      <c r="E153" t="s">
        <v>537</v>
      </c>
    </row>
    <row r="154" spans="1:5" x14ac:dyDescent="0.25">
      <c r="A154" t="s">
        <v>298</v>
      </c>
      <c r="B154" t="s">
        <v>652</v>
      </c>
      <c r="C154" t="s">
        <v>536</v>
      </c>
      <c r="D154" t="s">
        <v>75</v>
      </c>
      <c r="E154" t="s">
        <v>587</v>
      </c>
    </row>
    <row r="155" spans="1:5" x14ac:dyDescent="0.25">
      <c r="A155" t="s">
        <v>301</v>
      </c>
      <c r="B155" t="s">
        <v>652</v>
      </c>
      <c r="C155" t="s">
        <v>536</v>
      </c>
      <c r="D155" t="s">
        <v>75</v>
      </c>
      <c r="E155" t="s">
        <v>587</v>
      </c>
    </row>
    <row r="156" spans="1:5" x14ac:dyDescent="0.25">
      <c r="A156" t="s">
        <v>303</v>
      </c>
      <c r="B156" t="s">
        <v>652</v>
      </c>
      <c r="C156" t="s">
        <v>536</v>
      </c>
      <c r="D156" t="s">
        <v>75</v>
      </c>
      <c r="E156" t="s">
        <v>587</v>
      </c>
    </row>
    <row r="157" spans="1:5" x14ac:dyDescent="0.25">
      <c r="A157" t="s">
        <v>304</v>
      </c>
      <c r="B157" t="s">
        <v>652</v>
      </c>
      <c r="C157" t="s">
        <v>536</v>
      </c>
      <c r="D157" t="s">
        <v>75</v>
      </c>
      <c r="E157" t="s">
        <v>587</v>
      </c>
    </row>
    <row r="158" spans="1:5" x14ac:dyDescent="0.25">
      <c r="A158" t="s">
        <v>305</v>
      </c>
      <c r="B158" t="s">
        <v>653</v>
      </c>
      <c r="C158" t="s">
        <v>536</v>
      </c>
      <c r="D158" t="s">
        <v>75</v>
      </c>
      <c r="E158" t="s">
        <v>587</v>
      </c>
    </row>
    <row r="159" spans="1:5" x14ac:dyDescent="0.25">
      <c r="A159" t="s">
        <v>306</v>
      </c>
      <c r="B159" t="s">
        <v>653</v>
      </c>
      <c r="C159" t="s">
        <v>536</v>
      </c>
      <c r="D159" t="s">
        <v>75</v>
      </c>
      <c r="E159" t="s">
        <v>587</v>
      </c>
    </row>
    <row r="160" spans="1:5" x14ac:dyDescent="0.25">
      <c r="A160" t="s">
        <v>307</v>
      </c>
      <c r="B160" t="s">
        <v>653</v>
      </c>
      <c r="C160" t="s">
        <v>536</v>
      </c>
      <c r="D160" t="s">
        <v>75</v>
      </c>
      <c r="E160" t="s">
        <v>587</v>
      </c>
    </row>
    <row r="161" spans="1:5" x14ac:dyDescent="0.25">
      <c r="A161" t="s">
        <v>308</v>
      </c>
      <c r="B161" t="s">
        <v>653</v>
      </c>
      <c r="C161" t="s">
        <v>536</v>
      </c>
      <c r="D161" t="s">
        <v>75</v>
      </c>
      <c r="E161" t="s">
        <v>587</v>
      </c>
    </row>
    <row r="162" spans="1:5" x14ac:dyDescent="0.25">
      <c r="A162" t="s">
        <v>309</v>
      </c>
      <c r="B162" t="s">
        <v>654</v>
      </c>
      <c r="C162" t="s">
        <v>536</v>
      </c>
      <c r="D162" t="s">
        <v>0</v>
      </c>
      <c r="E162" t="s">
        <v>537</v>
      </c>
    </row>
    <row r="163" spans="1:5" x14ac:dyDescent="0.25">
      <c r="A163" t="s">
        <v>310</v>
      </c>
      <c r="B163" t="s">
        <v>654</v>
      </c>
      <c r="C163" t="s">
        <v>536</v>
      </c>
      <c r="D163" t="s">
        <v>0</v>
      </c>
      <c r="E163" t="s">
        <v>537</v>
      </c>
    </row>
    <row r="164" spans="1:5" x14ac:dyDescent="0.25">
      <c r="A164" t="s">
        <v>311</v>
      </c>
      <c r="B164" t="s">
        <v>654</v>
      </c>
      <c r="C164" t="s">
        <v>536</v>
      </c>
      <c r="D164" t="s">
        <v>0</v>
      </c>
      <c r="E164" t="s">
        <v>537</v>
      </c>
    </row>
    <row r="165" spans="1:5" x14ac:dyDescent="0.25">
      <c r="A165" t="s">
        <v>312</v>
      </c>
      <c r="B165" t="s">
        <v>654</v>
      </c>
      <c r="C165" t="s">
        <v>536</v>
      </c>
      <c r="D165" t="s">
        <v>0</v>
      </c>
      <c r="E165" t="s">
        <v>537</v>
      </c>
    </row>
    <row r="166" spans="1:5" x14ac:dyDescent="0.25">
      <c r="A166" t="s">
        <v>313</v>
      </c>
      <c r="B166" t="s">
        <v>655</v>
      </c>
      <c r="C166" t="s">
        <v>536</v>
      </c>
      <c r="D166" t="s">
        <v>0</v>
      </c>
      <c r="E166" t="s">
        <v>587</v>
      </c>
    </row>
    <row r="167" spans="1:5" x14ac:dyDescent="0.25">
      <c r="A167" t="s">
        <v>313</v>
      </c>
      <c r="B167" t="s">
        <v>656</v>
      </c>
      <c r="C167" t="s">
        <v>536</v>
      </c>
      <c r="D167" t="s">
        <v>0</v>
      </c>
      <c r="E167" t="s">
        <v>587</v>
      </c>
    </row>
    <row r="168" spans="1:5" x14ac:dyDescent="0.25">
      <c r="A168" t="s">
        <v>313</v>
      </c>
      <c r="B168" t="s">
        <v>657</v>
      </c>
      <c r="C168" t="s">
        <v>536</v>
      </c>
      <c r="D168" t="s">
        <v>0</v>
      </c>
      <c r="E168" t="s">
        <v>587</v>
      </c>
    </row>
    <row r="169" spans="1:5" x14ac:dyDescent="0.25">
      <c r="A169" t="s">
        <v>313</v>
      </c>
      <c r="B169" t="s">
        <v>658</v>
      </c>
      <c r="C169" t="s">
        <v>536</v>
      </c>
      <c r="D169" t="s">
        <v>0</v>
      </c>
      <c r="E169" t="s">
        <v>587</v>
      </c>
    </row>
    <row r="170" spans="1:5" x14ac:dyDescent="0.25">
      <c r="A170" t="s">
        <v>659</v>
      </c>
      <c r="B170" t="s">
        <v>660</v>
      </c>
      <c r="C170" t="s">
        <v>536</v>
      </c>
      <c r="D170" t="s">
        <v>0</v>
      </c>
      <c r="E170" t="s">
        <v>537</v>
      </c>
    </row>
    <row r="171" spans="1:5" x14ac:dyDescent="0.25">
      <c r="A171" t="s">
        <v>661</v>
      </c>
      <c r="B171" t="s">
        <v>662</v>
      </c>
      <c r="C171" t="s">
        <v>536</v>
      </c>
      <c r="D171" t="s">
        <v>0</v>
      </c>
      <c r="E171" t="s">
        <v>537</v>
      </c>
    </row>
    <row r="172" spans="1:5" x14ac:dyDescent="0.25">
      <c r="A172" t="s">
        <v>663</v>
      </c>
      <c r="B172" t="s">
        <v>664</v>
      </c>
      <c r="C172" t="s">
        <v>536</v>
      </c>
      <c r="D172" t="s">
        <v>0</v>
      </c>
      <c r="E172" t="s">
        <v>537</v>
      </c>
    </row>
    <row r="173" spans="1:5" x14ac:dyDescent="0.25">
      <c r="A173" t="s">
        <v>665</v>
      </c>
      <c r="B173" t="s">
        <v>666</v>
      </c>
      <c r="C173" t="s">
        <v>536</v>
      </c>
      <c r="D173" t="s">
        <v>0</v>
      </c>
      <c r="E173" t="s">
        <v>537</v>
      </c>
    </row>
    <row r="174" spans="1:5" x14ac:dyDescent="0.25">
      <c r="A174" t="s">
        <v>667</v>
      </c>
      <c r="B174" t="s">
        <v>668</v>
      </c>
      <c r="C174" t="s">
        <v>536</v>
      </c>
      <c r="D174" t="s">
        <v>0</v>
      </c>
      <c r="E174" t="s">
        <v>537</v>
      </c>
    </row>
    <row r="175" spans="1:5" x14ac:dyDescent="0.25">
      <c r="A175" t="s">
        <v>669</v>
      </c>
      <c r="B175" t="s">
        <v>670</v>
      </c>
      <c r="C175" t="s">
        <v>536</v>
      </c>
      <c r="D175" t="s">
        <v>0</v>
      </c>
      <c r="E175" t="s">
        <v>537</v>
      </c>
    </row>
    <row r="176" spans="1:5" x14ac:dyDescent="0.25">
      <c r="A176" t="s">
        <v>671</v>
      </c>
      <c r="B176" t="s">
        <v>672</v>
      </c>
      <c r="C176" t="s">
        <v>536</v>
      </c>
      <c r="D176" t="s">
        <v>0</v>
      </c>
      <c r="E176" t="s">
        <v>537</v>
      </c>
    </row>
    <row r="177" spans="1:5" x14ac:dyDescent="0.25">
      <c r="A177" t="s">
        <v>673</v>
      </c>
      <c r="B177" t="s">
        <v>674</v>
      </c>
      <c r="C177" t="s">
        <v>536</v>
      </c>
      <c r="D177" t="s">
        <v>0</v>
      </c>
      <c r="E177" t="s">
        <v>537</v>
      </c>
    </row>
    <row r="178" spans="1:5" x14ac:dyDescent="0.25">
      <c r="A178" t="s">
        <v>675</v>
      </c>
      <c r="B178" t="s">
        <v>676</v>
      </c>
      <c r="C178" t="s">
        <v>536</v>
      </c>
      <c r="D178" t="s">
        <v>0</v>
      </c>
      <c r="E178" t="s">
        <v>537</v>
      </c>
    </row>
    <row r="179" spans="1:5" x14ac:dyDescent="0.25">
      <c r="A179" t="s">
        <v>677</v>
      </c>
      <c r="B179" t="s">
        <v>678</v>
      </c>
      <c r="C179" t="s">
        <v>536</v>
      </c>
      <c r="D179" t="s">
        <v>0</v>
      </c>
      <c r="E179" t="s">
        <v>537</v>
      </c>
    </row>
    <row r="180" spans="1:5" x14ac:dyDescent="0.25">
      <c r="A180" t="s">
        <v>679</v>
      </c>
      <c r="B180" t="s">
        <v>680</v>
      </c>
      <c r="C180" t="s">
        <v>536</v>
      </c>
      <c r="D180" t="s">
        <v>0</v>
      </c>
      <c r="E180" t="s">
        <v>537</v>
      </c>
    </row>
    <row r="181" spans="1:5" x14ac:dyDescent="0.25">
      <c r="A181" t="s">
        <v>681</v>
      </c>
      <c r="B181" t="s">
        <v>682</v>
      </c>
      <c r="C181" t="s">
        <v>536</v>
      </c>
      <c r="D181" t="s">
        <v>0</v>
      </c>
      <c r="E181" t="s">
        <v>537</v>
      </c>
    </row>
    <row r="182" spans="1:5" x14ac:dyDescent="0.25">
      <c r="A182" t="s">
        <v>365</v>
      </c>
      <c r="B182" t="s">
        <v>683</v>
      </c>
      <c r="C182" t="s">
        <v>536</v>
      </c>
      <c r="D182" t="s">
        <v>59</v>
      </c>
      <c r="E182" t="s">
        <v>537</v>
      </c>
    </row>
    <row r="183" spans="1:5" x14ac:dyDescent="0.25">
      <c r="A183" t="s">
        <v>367</v>
      </c>
      <c r="B183" t="s">
        <v>683</v>
      </c>
      <c r="C183" t="s">
        <v>536</v>
      </c>
      <c r="D183" t="s">
        <v>59</v>
      </c>
      <c r="E183" t="s">
        <v>537</v>
      </c>
    </row>
    <row r="184" spans="1:5" x14ac:dyDescent="0.25">
      <c r="A184" t="s">
        <v>368</v>
      </c>
      <c r="B184" t="s">
        <v>684</v>
      </c>
      <c r="C184" t="s">
        <v>536</v>
      </c>
      <c r="D184" t="s">
        <v>59</v>
      </c>
      <c r="E184" t="s">
        <v>537</v>
      </c>
    </row>
    <row r="185" spans="1:5" x14ac:dyDescent="0.25">
      <c r="A185" t="s">
        <v>370</v>
      </c>
      <c r="B185" t="s">
        <v>684</v>
      </c>
      <c r="C185" t="s">
        <v>536</v>
      </c>
      <c r="D185" t="s">
        <v>59</v>
      </c>
      <c r="E185" t="s">
        <v>537</v>
      </c>
    </row>
    <row r="186" spans="1:5" x14ac:dyDescent="0.25">
      <c r="A186" t="s">
        <v>381</v>
      </c>
      <c r="B186" t="s">
        <v>685</v>
      </c>
      <c r="C186" t="s">
        <v>536</v>
      </c>
      <c r="D186" t="s">
        <v>0</v>
      </c>
      <c r="E186" t="s">
        <v>537</v>
      </c>
    </row>
    <row r="187" spans="1:5" x14ac:dyDescent="0.25">
      <c r="A187" t="s">
        <v>382</v>
      </c>
      <c r="B187" t="s">
        <v>686</v>
      </c>
      <c r="C187" t="s">
        <v>536</v>
      </c>
      <c r="D187" t="s">
        <v>0</v>
      </c>
      <c r="E187" t="s">
        <v>537</v>
      </c>
    </row>
    <row r="188" spans="1:5" x14ac:dyDescent="0.25">
      <c r="A188" t="s">
        <v>383</v>
      </c>
      <c r="B188" t="s">
        <v>687</v>
      </c>
      <c r="C188" t="s">
        <v>536</v>
      </c>
      <c r="D188" t="s">
        <v>59</v>
      </c>
      <c r="E188" t="s">
        <v>537</v>
      </c>
    </row>
    <row r="189" spans="1:5" x14ac:dyDescent="0.25">
      <c r="A189" t="s">
        <v>383</v>
      </c>
      <c r="B189" t="s">
        <v>687</v>
      </c>
      <c r="C189" t="s">
        <v>536</v>
      </c>
      <c r="D189" t="s">
        <v>59</v>
      </c>
      <c r="E189" t="s">
        <v>537</v>
      </c>
    </row>
    <row r="190" spans="1:5" x14ac:dyDescent="0.25">
      <c r="A190" t="s">
        <v>384</v>
      </c>
      <c r="B190" t="s">
        <v>688</v>
      </c>
      <c r="C190" t="s">
        <v>536</v>
      </c>
      <c r="D190" t="s">
        <v>59</v>
      </c>
      <c r="E190" t="s">
        <v>537</v>
      </c>
    </row>
    <row r="191" spans="1:5" x14ac:dyDescent="0.25">
      <c r="A191" t="s">
        <v>384</v>
      </c>
      <c r="B191" t="s">
        <v>688</v>
      </c>
      <c r="C191" t="s">
        <v>536</v>
      </c>
      <c r="D191" t="s">
        <v>59</v>
      </c>
      <c r="E191" t="s">
        <v>537</v>
      </c>
    </row>
    <row r="192" spans="1:5" x14ac:dyDescent="0.25">
      <c r="A192" t="s">
        <v>386</v>
      </c>
      <c r="B192" t="s">
        <v>689</v>
      </c>
      <c r="C192" t="s">
        <v>536</v>
      </c>
      <c r="D192" t="s">
        <v>59</v>
      </c>
      <c r="E192" t="s">
        <v>537</v>
      </c>
    </row>
    <row r="193" spans="1:5" x14ac:dyDescent="0.25">
      <c r="A193" t="s">
        <v>386</v>
      </c>
      <c r="B193" t="s">
        <v>689</v>
      </c>
      <c r="C193" t="s">
        <v>536</v>
      </c>
      <c r="D193" t="s">
        <v>59</v>
      </c>
      <c r="E193" t="s">
        <v>537</v>
      </c>
    </row>
    <row r="194" spans="1:5" x14ac:dyDescent="0.25">
      <c r="A194" t="s">
        <v>389</v>
      </c>
      <c r="B194" t="s">
        <v>690</v>
      </c>
      <c r="C194" t="s">
        <v>536</v>
      </c>
      <c r="D194" t="s">
        <v>0</v>
      </c>
      <c r="E194" t="s">
        <v>537</v>
      </c>
    </row>
    <row r="195" spans="1:5" x14ac:dyDescent="0.25">
      <c r="A195" t="s">
        <v>392</v>
      </c>
      <c r="B195" t="s">
        <v>691</v>
      </c>
      <c r="C195" t="s">
        <v>536</v>
      </c>
      <c r="D195" t="s">
        <v>0</v>
      </c>
      <c r="E195" t="s">
        <v>537</v>
      </c>
    </row>
    <row r="196" spans="1:5" x14ac:dyDescent="0.25">
      <c r="A196" t="s">
        <v>506</v>
      </c>
      <c r="B196" t="s">
        <v>692</v>
      </c>
      <c r="C196" t="s">
        <v>536</v>
      </c>
      <c r="D196" t="s">
        <v>0</v>
      </c>
      <c r="E196" t="s">
        <v>537</v>
      </c>
    </row>
    <row r="197" spans="1:5" x14ac:dyDescent="0.25">
      <c r="A197" t="s">
        <v>508</v>
      </c>
      <c r="B197" t="s">
        <v>693</v>
      </c>
      <c r="C197" t="s">
        <v>536</v>
      </c>
      <c r="D197" t="s">
        <v>0</v>
      </c>
      <c r="E197" t="s">
        <v>537</v>
      </c>
    </row>
    <row r="198" spans="1:5" x14ac:dyDescent="0.25">
      <c r="A198" t="s">
        <v>510</v>
      </c>
      <c r="B198" t="s">
        <v>694</v>
      </c>
      <c r="C198" t="s">
        <v>536</v>
      </c>
      <c r="D198" t="s">
        <v>0</v>
      </c>
      <c r="E198" t="s">
        <v>537</v>
      </c>
    </row>
    <row r="199" spans="1:5" x14ac:dyDescent="0.25">
      <c r="A199" t="s">
        <v>512</v>
      </c>
      <c r="B199" t="s">
        <v>695</v>
      </c>
      <c r="C199" t="s">
        <v>536</v>
      </c>
      <c r="D199" t="s">
        <v>0</v>
      </c>
      <c r="E199" t="s">
        <v>537</v>
      </c>
    </row>
    <row r="200" spans="1:5" x14ac:dyDescent="0.25">
      <c r="A200" t="s">
        <v>115</v>
      </c>
      <c r="B200" t="s">
        <v>696</v>
      </c>
      <c r="C200" t="s">
        <v>536</v>
      </c>
      <c r="D200" t="s">
        <v>59</v>
      </c>
      <c r="E200" t="s">
        <v>537</v>
      </c>
    </row>
    <row r="201" spans="1:5" x14ac:dyDescent="0.25">
      <c r="A201" t="s">
        <v>115</v>
      </c>
      <c r="B201" t="s">
        <v>696</v>
      </c>
      <c r="C201" t="s">
        <v>536</v>
      </c>
      <c r="D201" t="s">
        <v>59</v>
      </c>
      <c r="E201" t="s">
        <v>537</v>
      </c>
    </row>
    <row r="202" spans="1:5" x14ac:dyDescent="0.25">
      <c r="A202" t="s">
        <v>136</v>
      </c>
      <c r="B202" t="s">
        <v>555</v>
      </c>
      <c r="C202" t="s">
        <v>697</v>
      </c>
      <c r="D202" t="s">
        <v>0</v>
      </c>
      <c r="E202" t="s">
        <v>537</v>
      </c>
    </row>
    <row r="203" spans="1:5" x14ac:dyDescent="0.25">
      <c r="A203" t="s">
        <v>139</v>
      </c>
      <c r="B203" t="s">
        <v>622</v>
      </c>
      <c r="C203" t="s">
        <v>697</v>
      </c>
      <c r="D203" t="s">
        <v>0</v>
      </c>
      <c r="E203" t="s">
        <v>537</v>
      </c>
    </row>
    <row r="204" spans="1:5" x14ac:dyDescent="0.25">
      <c r="A204" t="s">
        <v>182</v>
      </c>
      <c r="B204" t="s">
        <v>625</v>
      </c>
      <c r="C204" t="s">
        <v>697</v>
      </c>
      <c r="D204" t="s">
        <v>59</v>
      </c>
      <c r="E204" t="s">
        <v>537</v>
      </c>
    </row>
    <row r="205" spans="1:5" x14ac:dyDescent="0.25">
      <c r="A205" t="s">
        <v>184</v>
      </c>
      <c r="B205" t="s">
        <v>625</v>
      </c>
      <c r="C205" t="s">
        <v>697</v>
      </c>
      <c r="D205" t="s">
        <v>59</v>
      </c>
      <c r="E205" t="s">
        <v>537</v>
      </c>
    </row>
    <row r="206" spans="1:5" x14ac:dyDescent="0.25">
      <c r="A206" t="s">
        <v>185</v>
      </c>
      <c r="B206" t="s">
        <v>626</v>
      </c>
      <c r="C206" t="s">
        <v>697</v>
      </c>
      <c r="D206" t="s">
        <v>59</v>
      </c>
      <c r="E206" t="s">
        <v>537</v>
      </c>
    </row>
    <row r="207" spans="1:5" x14ac:dyDescent="0.25">
      <c r="A207" t="s">
        <v>186</v>
      </c>
      <c r="B207" t="s">
        <v>626</v>
      </c>
      <c r="C207" t="s">
        <v>697</v>
      </c>
      <c r="D207" t="s">
        <v>59</v>
      </c>
      <c r="E207" t="s">
        <v>537</v>
      </c>
    </row>
    <row r="208" spans="1:5" x14ac:dyDescent="0.25">
      <c r="A208" t="s">
        <v>698</v>
      </c>
      <c r="B208" t="s">
        <v>699</v>
      </c>
      <c r="C208" t="s">
        <v>536</v>
      </c>
      <c r="D208" t="s">
        <v>59</v>
      </c>
      <c r="E208" t="s">
        <v>537</v>
      </c>
    </row>
    <row r="209" spans="1:5" x14ac:dyDescent="0.25">
      <c r="A209" t="s">
        <v>698</v>
      </c>
      <c r="B209" t="s">
        <v>699</v>
      </c>
      <c r="C209" t="s">
        <v>536</v>
      </c>
      <c r="D209" t="s">
        <v>59</v>
      </c>
      <c r="E209" t="s">
        <v>537</v>
      </c>
    </row>
    <row r="210" spans="1:5" x14ac:dyDescent="0.25">
      <c r="A210" t="s">
        <v>700</v>
      </c>
      <c r="B210" t="s">
        <v>701</v>
      </c>
      <c r="C210" t="s">
        <v>536</v>
      </c>
      <c r="D210" t="s">
        <v>59</v>
      </c>
      <c r="E210" t="s">
        <v>537</v>
      </c>
    </row>
    <row r="211" spans="1:5" x14ac:dyDescent="0.25">
      <c r="A211" t="s">
        <v>700</v>
      </c>
      <c r="B211" t="s">
        <v>701</v>
      </c>
      <c r="C211" t="s">
        <v>536</v>
      </c>
      <c r="D211" t="s">
        <v>59</v>
      </c>
      <c r="E211" t="s">
        <v>537</v>
      </c>
    </row>
    <row r="212" spans="1:5" x14ac:dyDescent="0.25">
      <c r="A212" t="s">
        <v>313</v>
      </c>
      <c r="B212" t="s">
        <v>702</v>
      </c>
      <c r="C212" t="s">
        <v>536</v>
      </c>
      <c r="D212" t="s">
        <v>0</v>
      </c>
      <c r="E212" t="s">
        <v>587</v>
      </c>
    </row>
    <row r="213" spans="1:5" x14ac:dyDescent="0.25">
      <c r="A213" t="s">
        <v>332</v>
      </c>
      <c r="B213" t="s">
        <v>703</v>
      </c>
      <c r="C213" t="s">
        <v>536</v>
      </c>
      <c r="D213" t="s">
        <v>0</v>
      </c>
      <c r="E213" t="s">
        <v>587</v>
      </c>
    </row>
    <row r="214" spans="1:5" x14ac:dyDescent="0.25">
      <c r="A214" t="s">
        <v>443</v>
      </c>
      <c r="B214" t="s">
        <v>704</v>
      </c>
      <c r="C214" t="s">
        <v>536</v>
      </c>
      <c r="D214" t="s">
        <v>0</v>
      </c>
      <c r="E214" t="s">
        <v>537</v>
      </c>
    </row>
    <row r="215" spans="1:5" x14ac:dyDescent="0.25">
      <c r="A215" t="s">
        <v>445</v>
      </c>
      <c r="B215" t="s">
        <v>705</v>
      </c>
      <c r="C215" t="s">
        <v>536</v>
      </c>
      <c r="D215" t="s">
        <v>0</v>
      </c>
      <c r="E215" t="s">
        <v>537</v>
      </c>
    </row>
    <row r="216" spans="1:5" x14ac:dyDescent="0.25">
      <c r="A216" t="s">
        <v>447</v>
      </c>
      <c r="B216" t="s">
        <v>706</v>
      </c>
      <c r="C216" t="s">
        <v>536</v>
      </c>
      <c r="D216" t="s">
        <v>0</v>
      </c>
      <c r="E216" t="s">
        <v>537</v>
      </c>
    </row>
    <row r="217" spans="1:5" x14ac:dyDescent="0.25">
      <c r="A217" t="s">
        <v>449</v>
      </c>
      <c r="B217" t="s">
        <v>707</v>
      </c>
      <c r="C217" t="s">
        <v>536</v>
      </c>
      <c r="D217" t="s">
        <v>0</v>
      </c>
      <c r="E217" t="s">
        <v>537</v>
      </c>
    </row>
    <row r="218" spans="1:5" x14ac:dyDescent="0.25">
      <c r="A218" t="s">
        <v>450</v>
      </c>
      <c r="B218" t="s">
        <v>708</v>
      </c>
      <c r="C218" t="s">
        <v>536</v>
      </c>
      <c r="D218" t="s">
        <v>0</v>
      </c>
      <c r="E218" t="s">
        <v>537</v>
      </c>
    </row>
    <row r="219" spans="1:5" x14ac:dyDescent="0.25">
      <c r="A219" t="s">
        <v>451</v>
      </c>
      <c r="B219" t="s">
        <v>709</v>
      </c>
      <c r="C219" t="s">
        <v>536</v>
      </c>
      <c r="D219" t="s">
        <v>0</v>
      </c>
      <c r="E219" t="s">
        <v>537</v>
      </c>
    </row>
    <row r="220" spans="1:5" x14ac:dyDescent="0.25">
      <c r="A220" t="s">
        <v>452</v>
      </c>
      <c r="B220" t="s">
        <v>710</v>
      </c>
      <c r="C220" t="s">
        <v>536</v>
      </c>
      <c r="D220" t="s">
        <v>0</v>
      </c>
      <c r="E220" t="s">
        <v>537</v>
      </c>
    </row>
    <row r="221" spans="1:5" x14ac:dyDescent="0.25">
      <c r="A221" t="s">
        <v>454</v>
      </c>
      <c r="B221" t="s">
        <v>711</v>
      </c>
      <c r="C221" t="s">
        <v>536</v>
      </c>
      <c r="D221" t="s">
        <v>0</v>
      </c>
      <c r="E221" t="s">
        <v>537</v>
      </c>
    </row>
    <row r="222" spans="1:5" x14ac:dyDescent="0.25">
      <c r="A222" t="s">
        <v>456</v>
      </c>
      <c r="B222" t="s">
        <v>712</v>
      </c>
      <c r="C222" t="s">
        <v>536</v>
      </c>
      <c r="D222" t="s">
        <v>0</v>
      </c>
      <c r="E222" t="s">
        <v>537</v>
      </c>
    </row>
    <row r="223" spans="1:5" x14ac:dyDescent="0.25">
      <c r="A223" t="s">
        <v>334</v>
      </c>
      <c r="B223" t="s">
        <v>713</v>
      </c>
      <c r="C223" t="s">
        <v>595</v>
      </c>
      <c r="D223" t="s">
        <v>0</v>
      </c>
      <c r="E223" t="s">
        <v>537</v>
      </c>
    </row>
    <row r="224" spans="1:5" x14ac:dyDescent="0.25">
      <c r="A224" t="s">
        <v>336</v>
      </c>
      <c r="B224" t="s">
        <v>713</v>
      </c>
      <c r="C224" t="s">
        <v>595</v>
      </c>
      <c r="D224" t="s">
        <v>0</v>
      </c>
      <c r="E224" t="s">
        <v>537</v>
      </c>
    </row>
    <row r="225" spans="1:5" x14ac:dyDescent="0.25">
      <c r="A225" t="s">
        <v>339</v>
      </c>
      <c r="B225" t="s">
        <v>714</v>
      </c>
      <c r="C225" t="s">
        <v>536</v>
      </c>
      <c r="D225" t="s">
        <v>0</v>
      </c>
      <c r="E225" t="s">
        <v>587</v>
      </c>
    </row>
    <row r="226" spans="1:5" x14ac:dyDescent="0.25">
      <c r="A226" t="s">
        <v>340</v>
      </c>
      <c r="B226" t="s">
        <v>714</v>
      </c>
      <c r="C226" t="s">
        <v>536</v>
      </c>
      <c r="D226" t="s">
        <v>0</v>
      </c>
      <c r="E226" t="s">
        <v>587</v>
      </c>
    </row>
    <row r="227" spans="1:5" x14ac:dyDescent="0.25">
      <c r="A227" t="s">
        <v>342</v>
      </c>
      <c r="B227" t="s">
        <v>715</v>
      </c>
      <c r="C227" t="s">
        <v>595</v>
      </c>
      <c r="D227" t="s">
        <v>0</v>
      </c>
      <c r="E227" t="s">
        <v>537</v>
      </c>
    </row>
    <row r="228" spans="1:5" x14ac:dyDescent="0.25">
      <c r="A228" t="s">
        <v>344</v>
      </c>
      <c r="B228" t="s">
        <v>715</v>
      </c>
      <c r="C228" t="s">
        <v>536</v>
      </c>
      <c r="D228" t="s">
        <v>0</v>
      </c>
      <c r="E228" t="s">
        <v>537</v>
      </c>
    </row>
    <row r="229" spans="1:5" x14ac:dyDescent="0.25">
      <c r="A229" s="60">
        <v>0</v>
      </c>
    </row>
    <row r="230" spans="1:5" x14ac:dyDescent="0.25">
      <c r="A230" t="s">
        <v>98</v>
      </c>
      <c r="B230" t="s">
        <v>716</v>
      </c>
      <c r="C230" t="s">
        <v>536</v>
      </c>
      <c r="D230" t="s">
        <v>59</v>
      </c>
      <c r="E230" t="s">
        <v>537</v>
      </c>
    </row>
    <row r="231" spans="1:5" x14ac:dyDescent="0.25">
      <c r="A231" t="s">
        <v>117</v>
      </c>
      <c r="B231" t="s">
        <v>717</v>
      </c>
      <c r="C231" t="s">
        <v>536</v>
      </c>
      <c r="D231" t="s">
        <v>59</v>
      </c>
      <c r="E231" t="s">
        <v>537</v>
      </c>
    </row>
    <row r="232" spans="1:5" x14ac:dyDescent="0.25">
      <c r="A232" t="s">
        <v>141</v>
      </c>
      <c r="B232" t="s">
        <v>718</v>
      </c>
      <c r="C232" t="s">
        <v>536</v>
      </c>
      <c r="D232" t="s">
        <v>0</v>
      </c>
      <c r="E232" t="s">
        <v>537</v>
      </c>
    </row>
    <row r="233" spans="1:5" x14ac:dyDescent="0.25">
      <c r="A233" t="s">
        <v>143</v>
      </c>
      <c r="B233" t="s">
        <v>719</v>
      </c>
      <c r="C233" t="s">
        <v>536</v>
      </c>
      <c r="D233" t="s">
        <v>0</v>
      </c>
      <c r="E233" t="s">
        <v>537</v>
      </c>
    </row>
    <row r="234" spans="1:5" x14ac:dyDescent="0.25">
      <c r="A234" s="4" t="s">
        <v>145</v>
      </c>
      <c r="B234" t="s">
        <v>720</v>
      </c>
      <c r="C234" t="s">
        <v>536</v>
      </c>
      <c r="D234" t="s">
        <v>0</v>
      </c>
      <c r="E234" t="s">
        <v>537</v>
      </c>
    </row>
    <row r="235" spans="1:5" x14ac:dyDescent="0.25">
      <c r="A235" t="s">
        <v>147</v>
      </c>
      <c r="B235" t="s">
        <v>721</v>
      </c>
      <c r="C235" t="s">
        <v>536</v>
      </c>
      <c r="D235" t="s">
        <v>0</v>
      </c>
      <c r="E235" t="s">
        <v>537</v>
      </c>
    </row>
    <row r="236" spans="1:5" x14ac:dyDescent="0.25">
      <c r="A236" t="s">
        <v>148</v>
      </c>
      <c r="B236" t="s">
        <v>722</v>
      </c>
      <c r="C236" t="s">
        <v>536</v>
      </c>
      <c r="D236" t="s">
        <v>0</v>
      </c>
      <c r="E236" t="s">
        <v>537</v>
      </c>
    </row>
    <row r="237" spans="1:5" x14ac:dyDescent="0.25">
      <c r="A237" t="s">
        <v>149</v>
      </c>
      <c r="B237" t="s">
        <v>723</v>
      </c>
      <c r="C237" t="s">
        <v>536</v>
      </c>
      <c r="D237" t="s">
        <v>0</v>
      </c>
      <c r="E237" t="s">
        <v>537</v>
      </c>
    </row>
    <row r="238" spans="1:5" x14ac:dyDescent="0.25">
      <c r="A238" t="s">
        <v>154</v>
      </c>
      <c r="B238" t="s">
        <v>724</v>
      </c>
      <c r="C238" t="s">
        <v>536</v>
      </c>
      <c r="D238" t="s">
        <v>0</v>
      </c>
      <c r="E238" t="s">
        <v>537</v>
      </c>
    </row>
    <row r="239" spans="1:5" x14ac:dyDescent="0.25">
      <c r="A239" t="s">
        <v>154</v>
      </c>
      <c r="B239" t="s">
        <v>725</v>
      </c>
      <c r="C239" t="s">
        <v>536</v>
      </c>
      <c r="D239" t="s">
        <v>0</v>
      </c>
      <c r="E239" t="s">
        <v>537</v>
      </c>
    </row>
    <row r="240" spans="1:5" x14ac:dyDescent="0.25">
      <c r="A240" t="s">
        <v>154</v>
      </c>
      <c r="B240" t="s">
        <v>726</v>
      </c>
      <c r="C240" t="s">
        <v>536</v>
      </c>
      <c r="D240" t="s">
        <v>0</v>
      </c>
      <c r="E240" t="s">
        <v>537</v>
      </c>
    </row>
    <row r="241" spans="1:8" x14ac:dyDescent="0.25">
      <c r="A241" t="s">
        <v>154</v>
      </c>
      <c r="B241" t="s">
        <v>727</v>
      </c>
      <c r="C241" t="s">
        <v>536</v>
      </c>
      <c r="D241" t="s">
        <v>0</v>
      </c>
      <c r="E241" t="s">
        <v>537</v>
      </c>
    </row>
    <row r="242" spans="1:8" x14ac:dyDescent="0.25">
      <c r="A242" t="s">
        <v>159</v>
      </c>
      <c r="B242" t="s">
        <v>728</v>
      </c>
      <c r="C242" t="s">
        <v>536</v>
      </c>
      <c r="D242" t="s">
        <v>0</v>
      </c>
      <c r="E242" t="s">
        <v>537</v>
      </c>
    </row>
    <row r="243" spans="1:8" x14ac:dyDescent="0.25">
      <c r="A243" t="s">
        <v>161</v>
      </c>
      <c r="B243" t="s">
        <v>729</v>
      </c>
      <c r="C243" t="s">
        <v>536</v>
      </c>
      <c r="D243" t="s">
        <v>0</v>
      </c>
      <c r="E243" t="s">
        <v>537</v>
      </c>
    </row>
    <row r="244" spans="1:8" x14ac:dyDescent="0.25">
      <c r="A244" s="4" t="s">
        <v>173</v>
      </c>
      <c r="B244" t="s">
        <v>730</v>
      </c>
      <c r="C244" t="s">
        <v>536</v>
      </c>
      <c r="D244" t="s">
        <v>0</v>
      </c>
      <c r="E244" t="s">
        <v>537</v>
      </c>
    </row>
    <row r="245" spans="1:8" x14ac:dyDescent="0.25">
      <c r="A245" t="s">
        <v>169</v>
      </c>
      <c r="B245" t="s">
        <v>731</v>
      </c>
      <c r="C245" t="s">
        <v>536</v>
      </c>
      <c r="D245" t="s">
        <v>0</v>
      </c>
      <c r="E245" t="s">
        <v>537</v>
      </c>
    </row>
    <row r="246" spans="1:8" x14ac:dyDescent="0.25">
      <c r="A246" s="4" t="s">
        <v>200</v>
      </c>
      <c r="B246" t="s">
        <v>732</v>
      </c>
      <c r="C246" t="s">
        <v>536</v>
      </c>
      <c r="D246" t="s">
        <v>59</v>
      </c>
      <c r="E246" t="s">
        <v>537</v>
      </c>
    </row>
    <row r="247" spans="1:8" x14ac:dyDescent="0.25">
      <c r="A247" s="4" t="s">
        <v>203</v>
      </c>
      <c r="B247" t="s">
        <v>733</v>
      </c>
      <c r="C247" t="s">
        <v>536</v>
      </c>
      <c r="D247" t="s">
        <v>59</v>
      </c>
      <c r="E247" t="s">
        <v>537</v>
      </c>
    </row>
    <row r="248" spans="1:8" x14ac:dyDescent="0.25">
      <c r="A248" t="s">
        <v>206</v>
      </c>
      <c r="B248" t="s">
        <v>734</v>
      </c>
      <c r="C248" t="s">
        <v>536</v>
      </c>
      <c r="D248" t="s">
        <v>59</v>
      </c>
      <c r="E248" t="s">
        <v>537</v>
      </c>
    </row>
    <row r="249" spans="1:8" x14ac:dyDescent="0.25">
      <c r="A249" t="s">
        <v>210</v>
      </c>
      <c r="B249" t="s">
        <v>735</v>
      </c>
      <c r="C249" t="s">
        <v>536</v>
      </c>
      <c r="D249" t="s">
        <v>59</v>
      </c>
      <c r="E249" t="s">
        <v>537</v>
      </c>
    </row>
    <row r="250" spans="1:8" x14ac:dyDescent="0.25">
      <c r="A250" s="4" t="s">
        <v>213</v>
      </c>
      <c r="B250" t="s">
        <v>736</v>
      </c>
      <c r="C250" t="s">
        <v>536</v>
      </c>
      <c r="D250" t="s">
        <v>0</v>
      </c>
      <c r="E250" t="s">
        <v>537</v>
      </c>
    </row>
    <row r="251" spans="1:8" x14ac:dyDescent="0.25">
      <c r="A251" s="7" t="s">
        <v>215</v>
      </c>
      <c r="B251" t="s">
        <v>737</v>
      </c>
      <c r="C251" t="s">
        <v>536</v>
      </c>
      <c r="D251" t="s">
        <v>0</v>
      </c>
      <c r="E251" t="s">
        <v>537</v>
      </c>
    </row>
    <row r="252" spans="1:8" x14ac:dyDescent="0.25">
      <c r="A252" s="7" t="s">
        <v>196</v>
      </c>
      <c r="B252" t="s">
        <v>630</v>
      </c>
      <c r="C252" t="s">
        <v>536</v>
      </c>
      <c r="D252" t="s">
        <v>0</v>
      </c>
      <c r="E252" t="s">
        <v>537</v>
      </c>
    </row>
    <row r="253" spans="1:8" x14ac:dyDescent="0.25">
      <c r="A253" s="7" t="s">
        <v>198</v>
      </c>
      <c r="B253" t="s">
        <v>630</v>
      </c>
      <c r="C253" t="s">
        <v>536</v>
      </c>
      <c r="D253" t="s">
        <v>0</v>
      </c>
      <c r="E253" t="s">
        <v>537</v>
      </c>
      <c r="H253" t="s">
        <v>738</v>
      </c>
    </row>
    <row r="254" spans="1:8" x14ac:dyDescent="0.25">
      <c r="A254" t="s">
        <v>225</v>
      </c>
      <c r="B254" t="s">
        <v>739</v>
      </c>
      <c r="C254" t="s">
        <v>536</v>
      </c>
      <c r="D254" t="s">
        <v>0</v>
      </c>
      <c r="E254" t="s">
        <v>537</v>
      </c>
    </row>
    <row r="255" spans="1:8" x14ac:dyDescent="0.25">
      <c r="A255" t="s">
        <v>227</v>
      </c>
      <c r="B255" t="s">
        <v>563</v>
      </c>
      <c r="C255" t="s">
        <v>536</v>
      </c>
      <c r="D255" t="s">
        <v>0</v>
      </c>
      <c r="E255" t="s">
        <v>537</v>
      </c>
    </row>
    <row r="256" spans="1:8" x14ac:dyDescent="0.25">
      <c r="A256" t="s">
        <v>274</v>
      </c>
      <c r="B256" t="s">
        <v>637</v>
      </c>
      <c r="C256" t="s">
        <v>536</v>
      </c>
      <c r="D256" t="s">
        <v>75</v>
      </c>
      <c r="E256" t="s">
        <v>537</v>
      </c>
    </row>
    <row r="257" spans="1:8" x14ac:dyDescent="0.25">
      <c r="A257" t="s">
        <v>279</v>
      </c>
      <c r="B257" t="s">
        <v>639</v>
      </c>
      <c r="C257" t="s">
        <v>536</v>
      </c>
      <c r="D257" t="s">
        <v>75</v>
      </c>
      <c r="E257" t="s">
        <v>537</v>
      </c>
    </row>
    <row r="258" spans="1:8" x14ac:dyDescent="0.25">
      <c r="A258" t="s">
        <v>260</v>
      </c>
      <c r="B258" t="s">
        <v>740</v>
      </c>
      <c r="C258" t="s">
        <v>536</v>
      </c>
      <c r="D258" t="s">
        <v>0</v>
      </c>
      <c r="E258" t="s">
        <v>537</v>
      </c>
      <c r="H258" t="s">
        <v>741</v>
      </c>
    </row>
    <row r="259" spans="1:8" x14ac:dyDescent="0.25">
      <c r="A259" t="s">
        <v>371</v>
      </c>
      <c r="B259" t="s">
        <v>742</v>
      </c>
      <c r="C259" t="s">
        <v>536</v>
      </c>
      <c r="D259" t="s">
        <v>0</v>
      </c>
      <c r="E259" t="s">
        <v>537</v>
      </c>
    </row>
    <row r="260" spans="1:8" x14ac:dyDescent="0.25">
      <c r="A260" t="s">
        <v>481</v>
      </c>
      <c r="B260" t="s">
        <v>743</v>
      </c>
      <c r="C260" t="s">
        <v>536</v>
      </c>
      <c r="D260" t="s">
        <v>0</v>
      </c>
      <c r="E260" t="s">
        <v>537</v>
      </c>
    </row>
    <row r="261" spans="1:8" x14ac:dyDescent="0.25">
      <c r="A261" t="s">
        <v>405</v>
      </c>
      <c r="B261" t="s">
        <v>744</v>
      </c>
      <c r="C261" t="s">
        <v>536</v>
      </c>
      <c r="D261" t="s">
        <v>0</v>
      </c>
      <c r="E261" t="s">
        <v>537</v>
      </c>
    </row>
    <row r="262" spans="1:8" x14ac:dyDescent="0.25">
      <c r="A262" t="s">
        <v>394</v>
      </c>
      <c r="B262" t="s">
        <v>745</v>
      </c>
      <c r="C262" t="s">
        <v>536</v>
      </c>
      <c r="D262" t="s">
        <v>0</v>
      </c>
      <c r="E262" t="s">
        <v>537</v>
      </c>
      <c r="H262" t="s">
        <v>746</v>
      </c>
    </row>
    <row r="263" spans="1:8" x14ac:dyDescent="0.25">
      <c r="A263" t="s">
        <v>396</v>
      </c>
      <c r="B263" t="s">
        <v>745</v>
      </c>
      <c r="C263" t="s">
        <v>536</v>
      </c>
      <c r="D263" t="s">
        <v>0</v>
      </c>
      <c r="E263" t="s">
        <v>537</v>
      </c>
      <c r="H263" t="s">
        <v>746</v>
      </c>
    </row>
    <row r="264" spans="1:8" x14ac:dyDescent="0.25">
      <c r="A264" t="s">
        <v>398</v>
      </c>
      <c r="B264" t="s">
        <v>747</v>
      </c>
      <c r="C264" t="s">
        <v>536</v>
      </c>
      <c r="D264" t="s">
        <v>0</v>
      </c>
      <c r="E264" t="s">
        <v>537</v>
      </c>
      <c r="H264" t="s">
        <v>748</v>
      </c>
    </row>
    <row r="265" spans="1:8" x14ac:dyDescent="0.25">
      <c r="A265" t="s">
        <v>400</v>
      </c>
      <c r="B265" t="s">
        <v>747</v>
      </c>
      <c r="C265" t="s">
        <v>536</v>
      </c>
      <c r="D265" t="s">
        <v>0</v>
      </c>
      <c r="E265" t="s">
        <v>537</v>
      </c>
      <c r="H265" t="s">
        <v>748</v>
      </c>
    </row>
    <row r="266" spans="1:8" x14ac:dyDescent="0.25">
      <c r="A266" t="s">
        <v>85</v>
      </c>
      <c r="B266" t="s">
        <v>749</v>
      </c>
      <c r="C266" t="s">
        <v>536</v>
      </c>
      <c r="D266" t="s">
        <v>0</v>
      </c>
      <c r="E266" t="s">
        <v>537</v>
      </c>
    </row>
    <row r="267" spans="1:8" x14ac:dyDescent="0.25">
      <c r="A267" t="s">
        <v>88</v>
      </c>
      <c r="B267" t="s">
        <v>750</v>
      </c>
      <c r="C267" t="s">
        <v>536</v>
      </c>
      <c r="D267" t="s">
        <v>0</v>
      </c>
      <c r="E267" t="s">
        <v>537</v>
      </c>
      <c r="H267" t="s">
        <v>751</v>
      </c>
    </row>
    <row r="268" spans="1:8" x14ac:dyDescent="0.25">
      <c r="A268" t="s">
        <v>90</v>
      </c>
      <c r="B268" t="s">
        <v>752</v>
      </c>
      <c r="C268" t="s">
        <v>536</v>
      </c>
      <c r="D268" t="s">
        <v>0</v>
      </c>
      <c r="E268" t="s">
        <v>537</v>
      </c>
    </row>
    <row r="269" spans="1:8" x14ac:dyDescent="0.25">
      <c r="A269" s="4" t="s">
        <v>92</v>
      </c>
      <c r="B269" t="s">
        <v>753</v>
      </c>
      <c r="C269" t="s">
        <v>536</v>
      </c>
      <c r="D269" t="s">
        <v>0</v>
      </c>
      <c r="E269" t="s">
        <v>537</v>
      </c>
    </row>
    <row r="270" spans="1:8" x14ac:dyDescent="0.25">
      <c r="A270" s="4" t="s">
        <v>94</v>
      </c>
      <c r="B270" t="s">
        <v>754</v>
      </c>
      <c r="C270" t="s">
        <v>536</v>
      </c>
      <c r="D270" t="s">
        <v>0</v>
      </c>
      <c r="E270" t="s">
        <v>537</v>
      </c>
    </row>
    <row r="271" spans="1:8" x14ac:dyDescent="0.25">
      <c r="A271" s="4" t="s">
        <v>95</v>
      </c>
      <c r="B271" t="s">
        <v>755</v>
      </c>
      <c r="C271" t="s">
        <v>536</v>
      </c>
      <c r="D271" t="s">
        <v>0</v>
      </c>
      <c r="E271" t="s">
        <v>537</v>
      </c>
    </row>
    <row r="272" spans="1:8" x14ac:dyDescent="0.25">
      <c r="A272" t="s">
        <v>96</v>
      </c>
      <c r="B272" t="s">
        <v>756</v>
      </c>
      <c r="C272" t="s">
        <v>536</v>
      </c>
      <c r="D272" t="s">
        <v>0</v>
      </c>
      <c r="E272" t="s">
        <v>537</v>
      </c>
    </row>
    <row r="273" spans="1:8" x14ac:dyDescent="0.25">
      <c r="A273" t="s">
        <v>359</v>
      </c>
      <c r="B273" t="s">
        <v>757</v>
      </c>
      <c r="C273" t="s">
        <v>536</v>
      </c>
      <c r="D273" t="s">
        <v>0</v>
      </c>
      <c r="E273" t="s">
        <v>537</v>
      </c>
    </row>
    <row r="274" spans="1:8" x14ac:dyDescent="0.25">
      <c r="A274" t="s">
        <v>513</v>
      </c>
      <c r="B274" t="s">
        <v>758</v>
      </c>
      <c r="C274" t="s">
        <v>536</v>
      </c>
      <c r="D274" t="s">
        <v>59</v>
      </c>
      <c r="E274" t="s">
        <v>537</v>
      </c>
      <c r="H274" t="s">
        <v>759</v>
      </c>
    </row>
    <row r="275" spans="1:8" x14ac:dyDescent="0.25">
      <c r="A275" t="s">
        <v>515</v>
      </c>
      <c r="B275" t="s">
        <v>758</v>
      </c>
      <c r="C275" t="s">
        <v>536</v>
      </c>
      <c r="D275" t="s">
        <v>59</v>
      </c>
      <c r="E275" t="s">
        <v>537</v>
      </c>
      <c r="H275" t="s">
        <v>760</v>
      </c>
    </row>
    <row r="276" spans="1:8" x14ac:dyDescent="0.25">
      <c r="A276" t="s">
        <v>516</v>
      </c>
      <c r="B276" t="s">
        <v>758</v>
      </c>
      <c r="C276" t="s">
        <v>536</v>
      </c>
      <c r="D276" t="s">
        <v>59</v>
      </c>
      <c r="E276" t="s">
        <v>537</v>
      </c>
    </row>
    <row r="277" spans="1:8" x14ac:dyDescent="0.25">
      <c r="A277" t="s">
        <v>518</v>
      </c>
      <c r="B277" t="s">
        <v>758</v>
      </c>
      <c r="C277" t="s">
        <v>536</v>
      </c>
      <c r="D277" t="s">
        <v>59</v>
      </c>
      <c r="E277" t="s">
        <v>537</v>
      </c>
    </row>
    <row r="278" spans="1:8" x14ac:dyDescent="0.25">
      <c r="A278" t="s">
        <v>519</v>
      </c>
      <c r="B278" t="s">
        <v>758</v>
      </c>
      <c r="C278" t="s">
        <v>536</v>
      </c>
      <c r="D278" t="s">
        <v>59</v>
      </c>
      <c r="E278" t="s">
        <v>537</v>
      </c>
    </row>
    <row r="279" spans="1:8" x14ac:dyDescent="0.25">
      <c r="A279" t="s">
        <v>348</v>
      </c>
      <c r="B279" t="s">
        <v>761</v>
      </c>
      <c r="C279" t="s">
        <v>536</v>
      </c>
      <c r="D279" t="s">
        <v>0</v>
      </c>
      <c r="E279" t="s">
        <v>537</v>
      </c>
    </row>
    <row r="280" spans="1:8" x14ac:dyDescent="0.25">
      <c r="A280" t="s">
        <v>346</v>
      </c>
      <c r="B280" t="s">
        <v>762</v>
      </c>
      <c r="C280" t="s">
        <v>536</v>
      </c>
      <c r="D280" t="s">
        <v>0</v>
      </c>
      <c r="E280" t="s">
        <v>537</v>
      </c>
    </row>
    <row r="281" spans="1:8" x14ac:dyDescent="0.25">
      <c r="A281" t="s">
        <v>352</v>
      </c>
      <c r="B281" t="s">
        <v>763</v>
      </c>
      <c r="C281" t="s">
        <v>536</v>
      </c>
      <c r="D281" t="s">
        <v>0</v>
      </c>
      <c r="E281" t="s">
        <v>537</v>
      </c>
      <c r="H281" t="s">
        <v>764</v>
      </c>
    </row>
    <row r="282" spans="1:8" x14ac:dyDescent="0.25">
      <c r="A282" t="s">
        <v>354</v>
      </c>
      <c r="B282" t="s">
        <v>765</v>
      </c>
      <c r="C282" t="s">
        <v>536</v>
      </c>
      <c r="D282" t="s">
        <v>0</v>
      </c>
      <c r="E282" t="s">
        <v>537</v>
      </c>
    </row>
    <row r="283" spans="1:8" x14ac:dyDescent="0.25">
      <c r="A283" t="s">
        <v>356</v>
      </c>
      <c r="B283" t="s">
        <v>766</v>
      </c>
      <c r="C283" t="s">
        <v>536</v>
      </c>
      <c r="D283" t="s">
        <v>0</v>
      </c>
      <c r="E283" t="s">
        <v>537</v>
      </c>
    </row>
    <row r="284" spans="1:8" x14ac:dyDescent="0.25">
      <c r="A284" t="s">
        <v>350</v>
      </c>
      <c r="B284" t="s">
        <v>767</v>
      </c>
      <c r="C284" t="s">
        <v>536</v>
      </c>
      <c r="D284" t="s">
        <v>0</v>
      </c>
      <c r="E284" t="s">
        <v>537</v>
      </c>
      <c r="H284" t="s">
        <v>768</v>
      </c>
    </row>
    <row r="288" spans="1:8" x14ac:dyDescent="0.25">
      <c r="A288" s="61" t="s">
        <v>458</v>
      </c>
      <c r="B288" s="9" t="s">
        <v>706</v>
      </c>
      <c r="C288" t="s">
        <v>595</v>
      </c>
      <c r="H288" t="s">
        <v>769</v>
      </c>
    </row>
    <row r="289" spans="1:8" x14ac:dyDescent="0.25">
      <c r="A289" s="61" t="s">
        <v>458</v>
      </c>
      <c r="B289" s="9" t="s">
        <v>706</v>
      </c>
      <c r="C289" t="s">
        <v>595</v>
      </c>
      <c r="H289" t="s">
        <v>770</v>
      </c>
    </row>
    <row r="290" spans="1:8" x14ac:dyDescent="0.25">
      <c r="A290" s="61" t="s">
        <v>458</v>
      </c>
      <c r="B290" s="9" t="s">
        <v>706</v>
      </c>
      <c r="C290" t="s">
        <v>595</v>
      </c>
      <c r="H290" t="s">
        <v>771</v>
      </c>
    </row>
    <row r="291" spans="1:8" x14ac:dyDescent="0.25">
      <c r="A291" s="61" t="s">
        <v>462</v>
      </c>
      <c r="B291" s="62" t="s">
        <v>772</v>
      </c>
      <c r="C291" t="s">
        <v>595</v>
      </c>
      <c r="H291" t="s">
        <v>773</v>
      </c>
    </row>
    <row r="292" spans="1:8" x14ac:dyDescent="0.25">
      <c r="A292" s="61" t="s">
        <v>462</v>
      </c>
      <c r="B292" s="62" t="s">
        <v>772</v>
      </c>
      <c r="C292" t="s">
        <v>595</v>
      </c>
      <c r="H292" t="s">
        <v>773</v>
      </c>
    </row>
    <row r="293" spans="1:8" x14ac:dyDescent="0.25">
      <c r="A293" s="61" t="s">
        <v>458</v>
      </c>
      <c r="B293" s="9" t="s">
        <v>706</v>
      </c>
      <c r="C293" t="s">
        <v>595</v>
      </c>
    </row>
    <row r="294" spans="1:8" x14ac:dyDescent="0.25">
      <c r="A294" s="61" t="s">
        <v>466</v>
      </c>
      <c r="B294" s="9" t="s">
        <v>706</v>
      </c>
      <c r="C294" t="s">
        <v>595</v>
      </c>
      <c r="H294" t="s">
        <v>774</v>
      </c>
    </row>
    <row r="295" spans="1:8" x14ac:dyDescent="0.25">
      <c r="A295" s="63"/>
    </row>
    <row r="296" spans="1:8" x14ac:dyDescent="0.25">
      <c r="A296" s="63" t="s">
        <v>318</v>
      </c>
      <c r="B296" t="s">
        <v>640</v>
      </c>
      <c r="C296" t="s">
        <v>595</v>
      </c>
      <c r="H296" t="s">
        <v>775</v>
      </c>
    </row>
    <row r="297" spans="1:8" x14ac:dyDescent="0.25">
      <c r="A297" s="63" t="s">
        <v>320</v>
      </c>
      <c r="B297" t="s">
        <v>641</v>
      </c>
      <c r="C297" t="s">
        <v>595</v>
      </c>
    </row>
    <row r="298" spans="1:8" x14ac:dyDescent="0.25">
      <c r="A298" s="63" t="s">
        <v>321</v>
      </c>
      <c r="B298" t="s">
        <v>642</v>
      </c>
      <c r="C298" t="s">
        <v>595</v>
      </c>
    </row>
    <row r="299" spans="1:8" x14ac:dyDescent="0.25">
      <c r="A299" s="63" t="s">
        <v>322</v>
      </c>
      <c r="B299" t="s">
        <v>643</v>
      </c>
      <c r="C299" t="s">
        <v>595</v>
      </c>
    </row>
    <row r="300" spans="1:8" x14ac:dyDescent="0.25">
      <c r="A300" s="63" t="s">
        <v>323</v>
      </c>
      <c r="B300" t="s">
        <v>644</v>
      </c>
      <c r="C300" t="s">
        <v>595</v>
      </c>
    </row>
    <row r="301" spans="1:8" x14ac:dyDescent="0.25">
      <c r="A301" s="63" t="s">
        <v>324</v>
      </c>
      <c r="B301" t="s">
        <v>645</v>
      </c>
      <c r="C301" t="s">
        <v>595</v>
      </c>
    </row>
    <row r="302" spans="1:8" x14ac:dyDescent="0.25">
      <c r="A302" s="63" t="s">
        <v>325</v>
      </c>
      <c r="B302" t="s">
        <v>646</v>
      </c>
      <c r="C302" t="s">
        <v>595</v>
      </c>
      <c r="H302" s="4"/>
    </row>
    <row r="303" spans="1:8" x14ac:dyDescent="0.25">
      <c r="A303" s="63" t="s">
        <v>326</v>
      </c>
      <c r="B303" t="s">
        <v>647</v>
      </c>
      <c r="C303" t="s">
        <v>595</v>
      </c>
      <c r="H303" s="4"/>
    </row>
    <row r="304" spans="1:8" x14ac:dyDescent="0.25">
      <c r="A304" s="63" t="s">
        <v>327</v>
      </c>
      <c r="B304" t="s">
        <v>648</v>
      </c>
      <c r="C304" t="s">
        <v>595</v>
      </c>
      <c r="H304" s="4"/>
    </row>
    <row r="305" spans="1:8" x14ac:dyDescent="0.25">
      <c r="A305" s="63" t="s">
        <v>328</v>
      </c>
      <c r="B305" t="s">
        <v>649</v>
      </c>
      <c r="C305" t="s">
        <v>595</v>
      </c>
      <c r="H305" s="4"/>
    </row>
    <row r="306" spans="1:8" x14ac:dyDescent="0.25">
      <c r="A306" s="63" t="s">
        <v>329</v>
      </c>
      <c r="B306" t="s">
        <v>650</v>
      </c>
      <c r="C306" t="s">
        <v>595</v>
      </c>
      <c r="H306" s="4"/>
    </row>
    <row r="307" spans="1:8" x14ac:dyDescent="0.25">
      <c r="A307" s="63" t="s">
        <v>330</v>
      </c>
      <c r="B307" t="s">
        <v>651</v>
      </c>
      <c r="C307" t="s">
        <v>595</v>
      </c>
      <c r="H307" s="4"/>
    </row>
    <row r="308" spans="1:8" x14ac:dyDescent="0.25">
      <c r="H308" s="4"/>
    </row>
    <row r="309" spans="1:8" x14ac:dyDescent="0.25">
      <c r="H309" s="4"/>
    </row>
    <row r="310" spans="1:8" x14ac:dyDescent="0.25">
      <c r="H31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Planting_GPS_Points</vt:lpstr>
      <vt:lpstr>Plantings</vt:lpstr>
      <vt:lpstr>PLANTING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 Dowty</dc:creator>
  <cp:lastModifiedBy>DOWTY, PETER (DNR)</cp:lastModifiedBy>
  <dcterms:created xsi:type="dcterms:W3CDTF">2026-03-12T18:16:57Z</dcterms:created>
  <dcterms:modified xsi:type="dcterms:W3CDTF">2026-03-25T23:14:34Z</dcterms:modified>
</cp:coreProperties>
</file>