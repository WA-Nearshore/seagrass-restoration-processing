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56" documentId="13_ncr:1_{0F8B3BDD-6B84-4067-B779-7F00A835CBDB}" xr6:coauthVersionLast="47" xr6:coauthVersionMax="47" xr10:uidLastSave="{ECA1F706-8B9E-427E-A9F2-EF36D37FA103}"/>
  <bookViews>
    <workbookView xWindow="165" yWindow="90" windowWidth="28635" windowHeight="15390" tabRatio="768" activeTab="6"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 i="17" l="1"/>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59" i="17"/>
  <c r="D159" i="17"/>
  <c r="C160" i="17"/>
  <c r="D160" i="17"/>
  <c r="C161" i="17"/>
  <c r="D161" i="17"/>
  <c r="C162" i="17"/>
  <c r="D162" i="17"/>
  <c r="C163" i="17"/>
  <c r="D163" i="17"/>
  <c r="C164" i="17"/>
  <c r="D164" i="17"/>
  <c r="C165" i="17"/>
  <c r="D165" i="17"/>
  <c r="C166" i="17"/>
  <c r="D166" i="17"/>
  <c r="C167" i="17"/>
  <c r="D167" i="17"/>
  <c r="C168" i="17"/>
  <c r="D168" i="17"/>
  <c r="C169" i="17"/>
  <c r="D169" i="17"/>
  <c r="C170" i="17"/>
  <c r="D170"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<sst xmlns="http://schemas.openxmlformats.org/spreadsheetml/2006/main" count="17621" uniqueCount="2495">
  <si>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</si>
  <si>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</si>
  <si>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</si>
  <si>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</si>
  <si>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</si>
  <si>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</si>
  <si>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</si>
  <si>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</si>
  <si>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</si>
  <si>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</si>
  <si>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</si>
  <si>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</si>
  <si>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</si>
  <si>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</si>
  <si>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</si>
  <si>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</si>
  <si>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</si>
  <si>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</si>
  <si>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</si>
  <si>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</si>
  <si>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</si>
  <si>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</si>
  <si>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</si>
  <si>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</si>
  <si>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</si>
  <si>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</si>
  <si>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</si>
  <si>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</si>
  <si>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</si>
  <si>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</si>
  <si>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</si>
  <si>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</si>
  <si>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</si>
  <si>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</si>
  <si>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</si>
  <si>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</si>
  <si>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</si>
  <si>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</si>
  <si>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</si>
  <si>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</si>
  <si>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</si>
  <si>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</si>
  <si>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</si>
  <si>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</si>
  <si>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</si>
  <si>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</si>
  <si>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</si>
  <si>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</si>
  <si>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</si>
  <si>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</si>
  <si>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</si>
  <si>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</si>
  <si>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</si>
  <si>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</si>
  <si>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</si>
  <si>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</si>
  <si>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</si>
  <si>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</si>
  <si>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</si>
  <si>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</si>
  <si>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</si>
  <si>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</si>
  <si>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</si>
  <si>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</si>
  <si>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</si>
  <si>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</si>
  <si>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</si>
  <si>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</si>
  <si>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</si>
  <si>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</si>
  <si>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</si>
  <si>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</si>
  <si>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</si>
  <si>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</si>
  <si>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</si>
  <si>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</si>
  <si>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</si>
  <si>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</si>
  <si>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</si>
  <si>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</si>
  <si>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</si>
  <si>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</si>
  <si>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</si>
  <si>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</si>
  <si>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</si>
  <si>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</si>
  <si>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</si>
  <si>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</si>
  <si>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</si>
  <si>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</si>
  <si>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</si>
  <si>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</si>
  <si>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</si>
  <si>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</si>
  <si>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</si>
  <si>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</si>
  <si>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</si>
  <si>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</si>
  <si>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</si>
  <si>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</si>
  <si>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</si>
  <si>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</si>
  <si>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</si>
  <si>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</si>
  <si>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</si>
  <si>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</si>
  <si>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</si>
  <si>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</si>
  <si>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</si>
  <si>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</si>
  <si>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</si>
  <si>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</si>
  <si>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</si>
  <si>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</si>
  <si>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</si>
  <si>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</si>
  <si>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</si>
  <si>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</si>
  <si>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</si>
  <si>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</si>
  <si>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</si>
  <si>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</si>
  <si>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</si>
  <si>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</si>
  <si>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</si>
  <si>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</si>
  <si>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</si>
  <si>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</si>
  <si>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</si>
  <si>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</si>
  <si>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</si>
  <si>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</si>
  <si>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</si>
  <si>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</si>
  <si>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</si>
  <si>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</si>
  <si>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</si>
  <si>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</si>
  <si>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</si>
  <si>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</si>
  <si>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</si>
  <si>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</si>
  <si>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</si>
  <si>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</si>
  <si>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</si>
  <si>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</si>
  <si>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</si>
  <si>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</si>
  <si>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</si>
  <si>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</si>
  <si>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</si>
  <si>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</si>
  <si>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</si>
  <si>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</si>
  <si>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</si>
  <si>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</si>
  <si>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</si>
  <si>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</si>
  <si>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</si>
  <si>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</si>
  <si>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</si>
  <si>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</si>
  <si>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</si>
  <si>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</si>
  <si>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</si>
  <si>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</si>
  <si>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</si>
  <si>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</si>
  <si>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</si>
  <si>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</si>
  <si>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</si>
  <si>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</si>
  <si>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</si>
  <si>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</si>
  <si>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</si>
  <si>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</si>
  <si>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</si>
  <si>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</si>
  <si>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</si>
  <si>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</si>
  <si>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</si>
  <si>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</si>
  <si>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</si>
  <si>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</si>
  <si>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</si>
  <si>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</si>
  <si>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</si>
  <si>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</si>
  <si>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</si>
  <si>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</si>
  <si>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</si>
  <si>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</si>
  <si>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</si>
  <si>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</si>
  <si>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</si>
  <si>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</si>
  <si>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</si>
  <si>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</si>
  <si>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</si>
  <si>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</si>
  <si>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</si>
  <si>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</si>
  <si>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</si>
  <si>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</si>
  <si>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</si>
  <si>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</si>
  <si>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</si>
  <si>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</si>
  <si>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</si>
  <si>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</si>
  <si>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</si>
  <si>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</si>
  <si>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</si>
  <si>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</si>
  <si>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</si>
  <si>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</si>
  <si>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</si>
  <si>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</si>
  <si>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</si>
  <si>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</si>
  <si>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</si>
  <si>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</si>
  <si>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</si>
  <si>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</si>
  <si>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</si>
  <si>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</si>
  <si>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</si>
  <si>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</si>
  <si>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</si>
  <si>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</si>
  <si>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</si>
  <si>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</si>
  <si>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</si>
  <si>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</si>
  <si>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</si>
  <si>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</si>
  <si>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</si>
  <si>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</si>
  <si>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</si>
  <si>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</si>
  <si>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</si>
  <si>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</si>
  <si>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</si>
  <si>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</si>
  <si>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</si>
  <si>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</si>
  <si>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</si>
  <si>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</si>
  <si>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</si>
  <si>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</si>
  <si>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</si>
  <si>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</si>
  <si>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</si>
  <si>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</si>
  <si>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</si>
  <si>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</si>
  <si>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</si>
  <si>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</si>
  <si>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</si>
  <si>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</si>
  <si>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</si>
  <si>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</si>
  <si>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</si>
  <si>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</si>
  <si>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</si>
  <si>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</si>
  <si>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</si>
  <si>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</si>
  <si>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</si>
  <si>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</si>
  <si>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</si>
  <si>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</si>
  <si>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</si>
  <si>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</si>
  <si>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</si>
  <si>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</si>
  <si>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</si>
  <si>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</si>
  <si>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</si>
  <si>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</si>
  <si>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</si>
  <si>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</si>
  <si>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</si>
  <si>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</si>
  <si>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</si>
  <si>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</si>
  <si>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</si>
  <si>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</si>
  <si>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</si>
  <si>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</si>
  <si>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</si>
  <si>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</si>
  <si>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</si>
  <si>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</si>
  <si>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</si>
  <si>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</si>
  <si>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</si>
  <si>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</si>
  <si>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</si>
  <si>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</si>
  <si>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</si>
  <si>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</si>
  <si>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</si>
  <si>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</si>
  <si>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</si>
  <si>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</si>
  <si>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</si>
  <si>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</si>
  <si>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</si>
  <si>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</si>
  <si>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</si>
  <si>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</si>
  <si>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</si>
  <si>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</si>
  <si>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</si>
  <si>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</si>
  <si>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</si>
  <si>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</si>
  <si>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</si>
  <si>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</si>
  <si>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</si>
  <si>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</si>
  <si>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</si>
  <si>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</si>
  <si>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</si>
  <si>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</si>
  <si>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</si>
  <si>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</si>
  <si>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</si>
  <si>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</si>
  <si>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</si>
  <si>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</si>
  <si>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</si>
  <si>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</si>
  <si>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</si>
  <si>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</si>
  <si>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</si>
  <si>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</si>
  <si>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</si>
  <si>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</si>
  <si>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</si>
  <si>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</si>
  <si>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</si>
  <si>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</si>
  <si>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</si>
  <si>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</si>
  <si>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</si>
  <si>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</si>
  <si>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</si>
  <si>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</si>
  <si>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</si>
  <si>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</si>
  <si>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</si>
  <si>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</si>
  <si>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</si>
  <si>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</si>
  <si>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</si>
  <si>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</si>
  <si>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</si>
  <si>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</si>
  <si>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</si>
  <si>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</si>
  <si>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</si>
  <si>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</si>
  <si>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</si>
  <si>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</si>
  <si>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</si>
  <si>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</si>
  <si>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</si>
  <si>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</si>
  <si>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</si>
  <si>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</si>
  <si>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</si>
  <si>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</si>
  <si>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</si>
  <si>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</si>
  <si>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</si>
  <si>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</si>
  <si>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</si>
  <si>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</si>
  <si>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</si>
  <si>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</si>
  <si>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</si>
  <si>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</si>
  <si>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</si>
  <si>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</si>
  <si>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</si>
  <si>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</si>
  <si>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</si>
  <si>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</si>
  <si>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</si>
  <si>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</si>
  <si>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</si>
  <si>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</si>
  <si>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</si>
  <si>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</si>
  <si>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</si>
  <si>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</si>
  <si>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</si>
  <si>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</si>
  <si>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</si>
  <si>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</si>
  <si>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</si>
  <si>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</si>
  <si>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</si>
  <si>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</si>
  <si>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</si>
  <si>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</si>
  <si>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</si>
  <si>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</si>
  <si>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</si>
  <si>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</si>
  <si>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</si>
  <si>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</si>
  <si>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</si>
  <si>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</si>
  <si>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</si>
  <si>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</si>
  <si>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</si>
  <si>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</si>
  <si>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</si>
  <si>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</si>
  <si>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</si>
  <si>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</si>
  <si>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</si>
  <si>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</si>
  <si>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</si>
  <si>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</si>
  <si>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</si>
  <si>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</si>
  <si>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</si>
  <si>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</si>
  <si>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</si>
  <si>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</si>
  <si>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</si>
  <si>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</si>
  <si>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</si>
  <si>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</si>
  <si>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</si>
  <si>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</si>
  <si>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</si>
  <si>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</si>
  <si>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</si>
  <si>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</si>
  <si>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</si>
  <si>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</si>
  <si>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</si>
  <si>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</si>
  <si>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</si>
  <si>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</si>
  <si>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</si>
  <si>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</si>
  <si>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</si>
  <si>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</si>
  <si>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</si>
  <si>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</si>
  <si>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</si>
  <si>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</si>
  <si>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</si>
  <si>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</si>
  <si>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</si>
  <si>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</si>
  <si>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</si>
  <si>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</si>
  <si>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</si>
  <si>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</si>
  <si>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</si>
  <si>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</si>
  <si>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</si>
  <si>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</si>
  <si>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</si>
  <si>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</si>
  <si>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</si>
  <si>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</si>
  <si>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</si>
  <si>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</si>
  <si>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</si>
  <si>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</si>
  <si>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</si>
  <si>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</si>
  <si>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</si>
  <si>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</si>
  <si>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</si>
  <si>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</si>
  <si>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</si>
  <si>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</si>
  <si>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</si>
  <si>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</si>
  <si>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</si>
  <si>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</si>
  <si>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</si>
  <si>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</si>
  <si>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</si>
  <si>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</si>
  <si>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</si>
  <si>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</si>
  <si>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</si>
  <si>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</si>
  <si>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</si>
  <si>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</si>
  <si>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</si>
  <si>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</si>
  <si>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</si>
  <si>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</si>
  <si>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</si>
  <si>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</si>
  <si>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</si>
  <si>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</si>
  <si>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</si>
  <si>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</si>
  <si>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</si>
  <si>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</si>
  <si>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</si>
  <si>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</si>
  <si>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</si>
  <si>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</si>
  <si>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</si>
  <si>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</si>
  <si>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</si>
  <si>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</si>
  <si>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</si>
  <si>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</si>
  <si>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</si>
  <si>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</si>
  <si>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</si>
  <si>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</si>
  <si>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</si>
  <si>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</si>
  <si>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</si>
  <si>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</si>
  <si>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</si>
  <si>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</si>
  <si>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</si>
  <si>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</si>
  <si>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</si>
  <si>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</si>
  <si>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</si>
  <si>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</si>
  <si>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</si>
  <si>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</si>
  <si>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</si>
  <si>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</si>
  <si>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</si>
  <si>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</si>
  <si>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</si>
  <si>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</si>
  <si>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</si>
  <si>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</si>
  <si>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</si>
  <si>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</si>
  <si>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</si>
  <si>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</si>
  <si>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</si>
  <si>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</si>
  <si>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</si>
  <si>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</si>
  <si>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</si>
  <si>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</si>
  <si>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</si>
  <si>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</si>
  <si>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</si>
  <si>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</si>
  <si>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</si>
  <si>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</si>
  <si>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</si>
  <si>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</si>
  <si>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</si>
  <si>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</si>
  <si>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</si>
  <si>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</si>
  <si>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</si>
  <si>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</si>
  <si>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</si>
  <si>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</si>
  <si>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</si>
  <si>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</si>
  <si>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</si>
  <si>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</si>
  <si>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</si>
  <si>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</si>
  <si>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</si>
  <si>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</si>
  <si>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</si>
  <si>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</si>
  <si>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</si>
  <si>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</si>
  <si>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</si>
  <si>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</si>
  <si>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</si>
  <si>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</si>
  <si>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</si>
  <si>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</si>
  <si>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</si>
  <si>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</si>
  <si>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</si>
  <si>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</si>
  <si>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</si>
  <si>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</si>
  <si>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</si>
  <si>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</si>
  <si>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</si>
  <si>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</si>
  <si>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</si>
  <si>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</si>
  <si>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</si>
  <si>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</si>
  <si>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</si>
  <si>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</si>
  <si>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</si>
  <si>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</si>
  <si>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</si>
  <si>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</si>
  <si>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</si>
  <si>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</si>
  <si>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</si>
  <si>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</si>
  <si>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</si>
  <si>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</si>
  <si>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</si>
  <si>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</si>
  <si>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</si>
  <si>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</si>
  <si>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</si>
  <si>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</si>
  <si>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</si>
  <si>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</si>
  <si>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</si>
  <si>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</si>
  <si>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</si>
  <si>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</si>
  <si>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</si>
  <si>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</si>
  <si>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</si>
  <si>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</si>
  <si>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</si>
  <si>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</si>
  <si>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</si>
  <si>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</si>
  <si>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</si>
  <si>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</si>
  <si>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</si>
  <si>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</si>
  <si>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</si>
  <si>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</si>
  <si>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</si>
  <si>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</si>
  <si>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</si>
  <si>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</si>
  <si>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</si>
  <si>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</si>
  <si>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</si>
  <si>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</si>
  <si>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</si>
  <si>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</si>
  <si>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</si>
  <si>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</si>
  <si>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</si>
  <si>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</si>
  <si>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</si>
  <si>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</si>
  <si>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</si>
  <si>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</si>
  <si>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</si>
  <si>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</si>
  <si>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</si>
  <si>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</si>
  <si>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</si>
  <si>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</si>
  <si>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</si>
  <si>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</si>
  <si>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</si>
  <si>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</si>
  <si>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</si>
  <si>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</si>
  <si>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</si>
  <si>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</si>
  <si>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</si>
  <si>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</si>
  <si>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</si>
  <si>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</si>
  <si>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</si>
  <si>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</si>
  <si>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</si>
  <si>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</si>
  <si>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</si>
  <si>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</si>
  <si>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</si>
  <si>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</si>
  <si>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</si>
  <si>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</si>
  <si>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</si>
  <si>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</si>
  <si>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</si>
  <si>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</si>
  <si>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</si>
  <si>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</si>
  <si>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</si>
  <si>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</si>
  <si>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</si>
  <si>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</si>
  <si>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</si>
  <si>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</si>
  <si>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</si>
  <si>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</si>
  <si>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</si>
  <si>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</si>
  <si>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</si>
  <si>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</si>
  <si>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</si>
  <si>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</si>
  <si>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</si>
  <si>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</si>
  <si>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</si>
  <si>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</si>
  <si>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</si>
  <si>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</si>
  <si>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</si>
  <si>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</si>
  <si>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</si>
  <si>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</si>
  <si>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</si>
  <si>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</si>
  <si>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</si>
  <si>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</si>
  <si>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</si>
  <si>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</si>
  <si>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</si>
  <si>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</si>
  <si>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</si>
  <si>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</si>
  <si>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</si>
  <si>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</si>
  <si>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</si>
  <si>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</si>
  <si>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</si>
  <si>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</si>
  <si>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</si>
  <si>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</si>
  <si>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</si>
  <si>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</si>
  <si>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</si>
  <si>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</si>
  <si>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</si>
  <si>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</si>
  <si>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</si>
  <si>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</si>
  <si>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</si>
  <si>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</si>
  <si>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</si>
  <si>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</si>
  <si>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</si>
  <si>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</si>
  <si>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</si>
  <si>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</si>
  <si>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</si>
  <si>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</si>
  <si>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</si>
  <si>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</si>
  <si>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</si>
  <si>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</si>
  <si>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</si>
  <si>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</si>
  <si>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</si>
  <si>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</si>
  <si>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</si>
  <si>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</si>
  <si>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</si>
  <si>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</si>
  <si>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</si>
  <si>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</si>
  <si>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</si>
  <si>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</si>
  <si>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</si>
  <si>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</si>
  <si>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</si>
  <si>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</si>
  <si>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</si>
  <si>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</si>
  <si>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</si>
  <si>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</si>
  <si>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</si>
  <si>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</si>
  <si>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</si>
  <si>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</si>
  <si>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</si>
  <si>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</si>
  <si>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</si>
  <si>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</si>
  <si>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</si>
  <si>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</si>
  <si>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</si>
  <si>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</si>
  <si>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</si>
  <si>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</si>
  <si>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</si>
  <si>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</si>
  <si>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</si>
  <si>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</si>
  <si>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</si>
  <si>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</si>
  <si>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</si>
  <si>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</si>
  <si>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</si>
  <si>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</si>
  <si>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</si>
  <si>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</si>
  <si>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</si>
  <si>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</si>
  <si>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</si>
  <si>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</si>
  <si>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</si>
  <si>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</si>
  <si>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</si>
  <si>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</si>
  <si>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</si>
  <si>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</si>
  <si>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</si>
  <si>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</si>
  <si>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</si>
  <si>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</si>
  <si>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</si>
  <si>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</si>
  <si>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</si>
  <si>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</si>
  <si>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</si>
  <si>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</si>
  <si>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</si>
  <si>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</si>
  <si>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</si>
  <si>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</si>
  <si>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</si>
  <si>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</si>
  <si>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</si>
  <si>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</si>
  <si>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</si>
  <si>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</si>
  <si>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</si>
  <si>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</si>
  <si>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</si>
  <si>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</si>
  <si>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</si>
  <si>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</si>
  <si>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</si>
  <si>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</si>
  <si>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</si>
  <si>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</si>
  <si>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</si>
  <si>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</si>
  <si>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</si>
  <si>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</si>
  <si>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</si>
  <si>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</si>
  <si>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</si>
  <si>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</si>
  <si>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</si>
  <si>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</si>
  <si>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</si>
  <si>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</si>
  <si>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</si>
  <si>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</si>
  <si>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</si>
  <si>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</si>
  <si>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</si>
  <si>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</si>
  <si>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</si>
  <si>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</si>
  <si>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</si>
  <si>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</si>
  <si>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</si>
  <si>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</si>
  <si>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</si>
  <si>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</si>
  <si>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</si>
  <si>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</si>
  <si>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</si>
  <si>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</si>
  <si>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</si>
  <si>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</si>
  <si>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</si>
  <si>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</si>
  <si>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</si>
  <si>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</si>
  <si>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</si>
  <si>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</si>
  <si>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</si>
  <si>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</si>
  <si>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</si>
  <si>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</si>
  <si>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</si>
  <si>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</si>
  <si>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</si>
  <si>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</si>
  <si>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</si>
  <si>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</si>
  <si>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</si>
  <si>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</si>
  <si>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</si>
  <si>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</si>
  <si>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</si>
  <si>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</si>
  <si>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</si>
  <si>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</si>
  <si>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</si>
  <si>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</si>
  <si>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</si>
  <si>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</si>
  <si>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</si>
  <si>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</si>
  <si>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</si>
  <si>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</si>
  <si>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</si>
  <si>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</si>
  <si>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</si>
  <si>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</si>
  <si>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</si>
  <si>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</si>
  <si>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</si>
  <si>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</si>
  <si>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</si>
  <si>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</si>
  <si>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</si>
  <si>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</si>
  <si>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</si>
  <si>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</si>
  <si>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</si>
  <si>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</si>
  <si>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</si>
  <si>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</si>
  <si>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</si>
  <si>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</si>
  <si>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</si>
  <si>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</si>
  <si>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</si>
  <si>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</si>
  <si>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</si>
  <si>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</si>
  <si>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</si>
  <si>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</si>
  <si>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</si>
  <si>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</si>
  <si>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</si>
  <si>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</si>
  <si>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</si>
  <si>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</si>
  <si>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</si>
  <si>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</si>
  <si>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</si>
  <si>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</si>
  <si>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</si>
  <si>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</si>
  <si>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</si>
  <si>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</si>
  <si>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</si>
  <si>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</si>
  <si>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</si>
  <si>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</si>
  <si>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</si>
  <si>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</si>
  <si>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</si>
  <si>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</si>
  <si>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</si>
  <si>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</si>
  <si>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</si>
  <si>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</si>
  <si>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</si>
  <si>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</si>
  <si>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</si>
  <si>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</si>
  <si>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</si>
  <si>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</si>
  <si>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</si>
  <si>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</si>
  <si>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</si>
  <si>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</si>
  <si>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</si>
  <si>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</si>
  <si>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</si>
  <si>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</si>
  <si>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</si>
  <si>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</si>
  <si>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</si>
  <si>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</si>
  <si>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</si>
  <si>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</si>
  <si>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</si>
  <si>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</si>
  <si>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</si>
  <si>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</si>
  <si>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</si>
  <si>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</si>
  <si>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</si>
  <si>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</si>
  <si>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</si>
  <si>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</si>
  <si>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</si>
  <si>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</si>
  <si>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</si>
  <si>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</si>
  <si>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</si>
  <si>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</si>
  <si>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</si>
  <si>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</si>
  <si>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</si>
  <si>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</si>
  <si>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</si>
  <si>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</si>
  <si>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</si>
  <si>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</si>
  <si>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</si>
  <si>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</si>
  <si>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</si>
  <si>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</si>
  <si>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</si>
  <si>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</si>
  <si>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</si>
  <si>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</si>
  <si>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</si>
  <si>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</si>
  <si>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</si>
  <si>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</si>
  <si>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</si>
  <si>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</si>
  <si>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</si>
  <si>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</si>
  <si>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</si>
  <si>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</si>
  <si>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</si>
  <si>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</si>
  <si>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</si>
  <si>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</si>
  <si>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</si>
  <si>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</si>
  <si>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</si>
  <si>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</si>
  <si>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</si>
  <si>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</si>
  <si>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</si>
  <si>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</si>
  <si>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</si>
  <si>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</si>
  <si>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</si>
  <si>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</si>
  <si>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</si>
  <si>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</si>
  <si>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</si>
  <si>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</si>
  <si>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</si>
  <si>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</si>
  <si>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</si>
  <si>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</si>
  <si>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</si>
  <si>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</si>
  <si>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</si>
  <si>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</si>
  <si>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</si>
  <si>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</si>
  <si>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</si>
  <si>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</si>
  <si>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</si>
  <si>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</si>
  <si>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</si>
  <si>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</si>
  <si>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</si>
  <si>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</si>
  <si>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</si>
  <si>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</si>
  <si>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</si>
  <si>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</si>
  <si>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</si>
  <si>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</si>
  <si>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</si>
  <si>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</si>
  <si>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</si>
  <si>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</si>
  <si>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</si>
  <si>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</si>
  <si>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</si>
  <si>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</si>
  <si>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</si>
  <si>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</si>
  <si>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</si>
  <si>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</si>
  <si>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</si>
  <si>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</si>
  <si>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</si>
  <si>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</si>
  <si>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</si>
  <si>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</si>
  <si>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</si>
  <si>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</si>
  <si>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</si>
  <si>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</si>
  <si>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</si>
  <si>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</si>
  <si>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</si>
  <si>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</si>
  <si>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</si>
  <si>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</si>
  <si>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</si>
  <si>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</si>
  <si>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</si>
  <si>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</si>
  <si>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</si>
  <si>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</si>
  <si>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</si>
  <si>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</si>
  <si>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</si>
  <si>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</si>
  <si>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</si>
  <si>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</si>
  <si>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</si>
  <si>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</si>
  <si>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</si>
  <si>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</si>
  <si>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</si>
  <si>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</si>
  <si>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</si>
  <si>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</si>
  <si>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</si>
  <si>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</si>
  <si>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</si>
  <si>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</si>
  <si>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</si>
  <si>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</si>
  <si>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</si>
  <si>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</si>
  <si>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</si>
  <si>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</si>
  <si>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</si>
  <si>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</si>
  <si>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</si>
  <si>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</si>
  <si>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</si>
  <si>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</si>
  <si>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</si>
  <si>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</si>
  <si>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</si>
  <si>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</si>
  <si>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</si>
  <si>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</si>
  <si>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</si>
  <si>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</si>
  <si>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</si>
  <si>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</si>
  <si>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</si>
  <si>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</si>
  <si>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</si>
  <si>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</si>
  <si>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</si>
  <si>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</si>
  <si>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</si>
  <si>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</si>
  <si>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</si>
  <si>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</si>
  <si>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</si>
  <si>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</si>
  <si>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</si>
  <si>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</si>
  <si>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</si>
  <si>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</si>
  <si>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</si>
  <si>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</si>
  <si>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</si>
  <si>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</si>
  <si>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</si>
  <si>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</si>
  <si>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</si>
  <si>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</si>
  <si>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</si>
  <si>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</si>
  <si>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</si>
  <si>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</si>
  <si>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</si>
  <si>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</si>
  <si>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</si>
  <si>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</si>
  <si>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</si>
  <si>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</si>
  <si>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</si>
  <si>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</si>
  <si>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</si>
  <si>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</si>
  <si>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</si>
  <si>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</si>
  <si>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</si>
  <si>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</si>
  <si>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</si>
  <si>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</si>
  <si>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</si>
  <si>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</si>
  <si>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</si>
  <si>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</si>
  <si>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</si>
  <si>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</si>
  <si>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</si>
  <si>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</si>
  <si>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</si>
  <si>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</si>
  <si>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</si>
  <si>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</si>
  <si>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</si>
  <si>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</si>
  <si>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</si>
  <si>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</si>
  <si>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</si>
  <si>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</si>
  <si>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</si>
  <si>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</si>
  <si>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</si>
  <si>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</si>
  <si>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</si>
  <si>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</si>
  <si>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</si>
  <si>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</si>
  <si>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</si>
  <si>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</si>
  <si>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</si>
  <si>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</si>
  <si>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</si>
  <si>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</si>
  <si>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</si>
  <si>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</si>
  <si>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</si>
  <si>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</si>
  <si>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</si>
  <si>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</si>
  <si>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</si>
  <si>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</si>
  <si>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</si>
  <si>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</si>
  <si>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</si>
  <si>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</si>
  <si>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</si>
  <si>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</si>
  <si>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</si>
  <si>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</si>
  <si>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</si>
  <si>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</si>
  <si>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</si>
  <si>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</si>
  <si>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</si>
  <si>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</si>
  <si>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</si>
  <si>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</si>
  <si>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</si>
  <si>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</si>
  <si>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</si>
  <si>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</si>
  <si>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</si>
  <si>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</si>
  <si>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</si>
  <si>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</si>
  <si>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</si>
  <si>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</si>
  <si>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</si>
  <si>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</si>
  <si>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</si>
  <si>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</si>
  <si>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</si>
  <si>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</si>
  <si>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</si>
  <si>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</si>
  <si>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</si>
  <si>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</si>
  <si>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</si>
  <si>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</si>
  <si>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</si>
  <si>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</si>
  <si>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</si>
  <si>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</si>
  <si>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</si>
  <si>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</si>
  <si>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</si>
  <si>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</si>
  <si>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</si>
  <si>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</si>
  <si>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</si>
  <si>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</si>
  <si>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</si>
  <si>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</si>
  <si>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</si>
  <si>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</si>
  <si>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</si>
  <si>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</si>
  <si>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</si>
  <si>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</si>
  <si>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</si>
  <si>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</si>
  <si>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</si>
  <si>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</si>
  <si>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</si>
  <si>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</si>
  <si>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</si>
  <si>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</si>
  <si>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</si>
  <si>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</si>
  <si>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</si>
  <si>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</si>
  <si>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</si>
  <si>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</si>
  <si>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</si>
  <si>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</si>
  <si>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</si>
  <si>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</si>
  <si>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</si>
  <si>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</si>
  <si>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</si>
  <si>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</si>
  <si>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</si>
  <si>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</si>
  <si>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</si>
  <si>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</si>
  <si>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</si>
  <si>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</si>
  <si>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</si>
  <si>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</si>
  <si>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</si>
  <si>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</si>
  <si>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</si>
  <si>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</si>
  <si>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</si>
  <si>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</si>
  <si>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</si>
  <si>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</si>
  <si>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</si>
  <si>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</si>
  <si>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</si>
  <si>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</si>
  <si>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</si>
  <si>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</si>
  <si>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</si>
  <si>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</si>
  <si>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</si>
  <si>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</si>
  <si>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</si>
  <si>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</si>
  <si>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</si>
  <si>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</si>
  <si>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</si>
  <si>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</si>
  <si>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</si>
  <si>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</si>
  <si>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</si>
  <si>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</si>
  <si>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</si>
  <si>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</si>
  <si>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</si>
  <si>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</si>
  <si>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</si>
  <si>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</si>
  <si>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</si>
  <si>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</si>
  <si>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</si>
  <si>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</si>
  <si>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</si>
  <si>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</si>
  <si>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</si>
  <si>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</si>
  <si>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</si>
  <si>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</si>
  <si>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</si>
  <si>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</si>
  <si>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</si>
  <si>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</si>
  <si>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</si>
  <si>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</si>
  <si>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</si>
  <si>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</si>
  <si>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</si>
  <si>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</si>
  <si>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</si>
  <si>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</si>
  <si>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</si>
  <si>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</si>
  <si>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</si>
  <si>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</si>
  <si>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</si>
  <si>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</si>
  <si>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</si>
  <si>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</si>
  <si>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</si>
  <si>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</si>
  <si>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</si>
  <si>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</si>
  <si>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</si>
  <si>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</si>
  <si>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</si>
  <si>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</si>
  <si>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</si>
  <si>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</si>
  <si>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</si>
  <si>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</si>
  <si>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</si>
  <si>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</si>
  <si>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</si>
  <si>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</si>
  <si>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</si>
  <si>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</si>
  <si>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</si>
  <si>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</si>
  <si>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</si>
  <si>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</si>
  <si>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</si>
  <si>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</si>
  <si>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</si>
  <si>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</si>
  <si>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</si>
  <si>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</si>
  <si>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</si>
  <si>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</si>
  <si>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</si>
  <si>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</si>
  <si>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</si>
  <si>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</si>
  <si>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</si>
  <si>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</si>
  <si>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</si>
  <si>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</si>
  <si>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</si>
  <si>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</si>
  <si>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</si>
  <si>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</si>
  <si>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</si>
  <si>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</si>
  <si>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</si>
  <si>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</si>
  <si>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</si>
  <si>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</si>
  <si>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</si>
  <si>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</si>
  <si>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</si>
  <si>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</si>
  <si>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</si>
  <si>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</si>
  <si>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</si>
  <si>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</si>
  <si>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</si>
  <si>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</si>
  <si>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</si>
  <si>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</si>
  <si>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</si>
  <si>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</si>
  <si>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</si>
  <si>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</si>
  <si>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</si>
  <si>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</si>
  <si>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</si>
  <si>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</si>
  <si>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</si>
  <si>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</si>
  <si>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</si>
  <si>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</si>
  <si>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</si>
  <si>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</si>
  <si>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</si>
  <si>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</si>
  <si>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</si>
  <si>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</si>
  <si>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</si>
  <si>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</si>
  <si>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</si>
  <si>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</si>
  <si>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</si>
  <si>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</si>
  <si>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</si>
  <si>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</si>
  <si>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</si>
  <si>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</si>
  <si>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</si>
  <si>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</si>
  <si>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</si>
  <si>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</si>
  <si>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</si>
  <si>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</si>
  <si>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</si>
  <si>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</si>
  <si>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</si>
  <si>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</si>
  <si>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</si>
  <si>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</si>
  <si>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</si>
  <si>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</si>
  <si>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</si>
  <si>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</si>
  <si>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</si>
  <si>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</si>
  <si>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</si>
  <si>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</si>
  <si>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</si>
  <si>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</si>
  <si>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</si>
  <si>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</si>
  <si>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</si>
  <si>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</si>
  <si>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</si>
  <si>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</si>
  <si>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</si>
  <si>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</si>
  <si>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</si>
  <si>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</si>
  <si>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</si>
  <si>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</si>
  <si>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</si>
  <si>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</si>
  <si>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</si>
  <si>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</si>
  <si>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</si>
  <si>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</si>
  <si>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</si>
  <si>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</si>
  <si>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</si>
  <si>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</si>
  <si>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</si>
  <si>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</si>
  <si>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</si>
  <si>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</si>
  <si>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</si>
  <si>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</si>
  <si>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</si>
  <si>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</si>
  <si>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</si>
  <si>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</si>
  <si>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</si>
  <si>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</si>
  <si>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</si>
  <si>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</si>
  <si>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</si>
  <si>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</si>
  <si>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</si>
  <si>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</si>
  <si>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</si>
  <si>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</si>
  <si>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</si>
  <si>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</si>
  <si>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</si>
  <si>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</si>
  <si>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</si>
  <si>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</si>
  <si>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</si>
  <si>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</si>
  <si>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</si>
  <si>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</si>
  <si>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</si>
  <si>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</si>
  <si>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</si>
  <si>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</si>
  <si>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</si>
  <si>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</si>
  <si>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</si>
  <si>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</si>
  <si>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</si>
  <si>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</si>
  <si>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</si>
  <si>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</si>
  <si>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</si>
  <si>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</si>
  <si>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</si>
  <si>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</si>
  <si>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</si>
  <si>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</si>
  <si>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</si>
  <si>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</si>
  <si>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</si>
  <si>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</si>
  <si>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</si>
  <si>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</si>
  <si>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</si>
  <si>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</si>
  <si>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</si>
  <si>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</si>
  <si>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</si>
  <si>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</si>
  <si>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</si>
  <si>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</si>
  <si>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</si>
  <si>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</si>
  <si>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</si>
  <si>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</si>
  <si>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</si>
  <si>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</si>
  <si>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</si>
  <si>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</si>
  <si>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</si>
  <si>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</si>
  <si>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</si>
  <si>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</si>
  <si>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</si>
  <si>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</si>
  <si>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</si>
  <si>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</si>
  <si>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</si>
  <si>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</si>
  <si>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</si>
  <si>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</si>
  <si>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</si>
  <si>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</si>
  <si>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</si>
  <si>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</si>
  <si>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</si>
  <si>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</si>
  <si>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</si>
  <si>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</si>
  <si>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</si>
  <si>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</si>
  <si>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</si>
  <si>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</si>
  <si>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</si>
  <si>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</si>
  <si>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</si>
  <si>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</si>
  <si>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</si>
  <si>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</si>
  <si>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</si>
  <si>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</si>
  <si>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</si>
  <si>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</si>
  <si>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</si>
  <si>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</si>
  <si>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</si>
  <si>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</si>
  <si>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</si>
  <si>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</si>
  <si>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</si>
  <si>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</si>
  <si>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</si>
  <si>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</si>
  <si>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</si>
  <si>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</si>
  <si>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</si>
  <si>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</si>
  <si>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</si>
  <si>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</si>
  <si>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</si>
  <si>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</si>
  <si>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</si>
  <si>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</si>
  <si>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</si>
  <si>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</si>
  <si>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</si>
  <si>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</si>
  <si>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</si>
  <si>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</si>
  <si>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</si>
  <si>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</si>
  <si>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</si>
  <si>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</si>
  <si>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</si>
  <si>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</si>
  <si>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</si>
  <si>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</si>
  <si>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</si>
  <si>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</si>
  <si>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</si>
  <si>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</si>
  <si>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</si>
  <si>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</si>
  <si>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</si>
  <si>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</si>
  <si>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</si>
  <si>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</si>
  <si>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</si>
  <si>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</si>
  <si>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</si>
  <si>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</si>
  <si>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</si>
  <si>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</si>
  <si>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</si>
  <si>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</si>
  <si>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</si>
  <si>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</si>
  <si>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</si>
  <si>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</si>
  <si>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</si>
  <si>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</si>
  <si>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</si>
  <si>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</si>
  <si>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</si>
  <si>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</si>
  <si>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</si>
  <si>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</si>
  <si>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</si>
  <si>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</si>
  <si>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</si>
  <si>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</si>
  <si>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</si>
  <si>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</si>
  <si>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</si>
  <si>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</si>
  <si>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</si>
  <si>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</si>
  <si>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</si>
  <si>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</si>
  <si>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</si>
  <si>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</si>
  <si>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</si>
  <si>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</si>
  <si>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</si>
  <si>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</si>
  <si>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</si>
  <si>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</si>
  <si>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</si>
  <si>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</si>
  <si>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</si>
  <si>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</si>
  <si>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</si>
  <si>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</si>
  <si>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</si>
  <si>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</si>
  <si>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</si>
  <si>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</si>
  <si>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</si>
  <si>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</si>
  <si>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</si>
  <si>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</si>
  <si>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</si>
  <si>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</si>
  <si>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</si>
  <si>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</si>
  <si>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</si>
  <si>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</si>
  <si>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</si>
  <si>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</si>
  <si>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</si>
  <si>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</si>
  <si>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</si>
  <si>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</si>
  <si>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</si>
  <si>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</si>
  <si>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</si>
  <si>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</si>
  <si>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</si>
  <si>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</si>
  <si>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</si>
  <si>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</si>
  <si>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</si>
  <si>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</si>
  <si>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</si>
  <si>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</si>
  <si>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</si>
  <si>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</si>
  <si>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</si>
  <si>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</si>
  <si>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</si>
  <si>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</si>
  <si>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</si>
  <si>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</si>
  <si>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</si>
  <si>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</si>
  <si>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</si>
  <si>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</si>
  <si>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</si>
  <si>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</si>
  <si>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</si>
  <si>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</si>
  <si>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</si>
  <si>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</si>
  <si>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</si>
  <si>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</si>
  <si>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</si>
  <si>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</si>
  <si>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</si>
  <si>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</si>
  <si>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</si>
  <si>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</si>
  <si>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</si>
  <si>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</si>
  <si>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</si>
  <si>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</si>
  <si>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</si>
  <si>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</si>
  <si>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</si>
  <si>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</si>
  <si>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</si>
  <si>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</si>
  <si>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</si>
  <si>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</si>
  <si>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</si>
  <si>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</si>
  <si>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</si>
  <si>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</si>
  <si>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</si>
  <si>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</si>
  <si>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</si>
  <si>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</si>
  <si>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</si>
  <si>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</si>
  <si>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</si>
  <si>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</si>
  <si>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</si>
  <si>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</si>
  <si>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</si>
  <si>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</si>
  <si>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</si>
  <si>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</si>
  <si>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</si>
  <si>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</si>
  <si>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</si>
  <si>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</si>
  <si>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</si>
  <si>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</si>
  <si>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</si>
  <si>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</si>
  <si>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</si>
  <si>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</si>
  <si>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</si>
  <si>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</si>
  <si>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</si>
  <si>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</si>
  <si>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</si>
  <si>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</si>
  <si>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</si>
  <si>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</si>
  <si>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</si>
  <si>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</si>
  <si>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</si>
  <si>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</si>
  <si>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</si>
  <si>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</si>
  <si>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</si>
  <si>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</si>
  <si>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</si>
  <si>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</si>
  <si>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</si>
  <si>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</si>
  <si>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</si>
  <si>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</si>
  <si>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</si>
  <si>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</si>
  <si>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</si>
  <si>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</si>
  <si>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</si>
  <si>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</si>
  <si>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</si>
  <si>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</si>
  <si>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</si>
  <si>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</si>
  <si>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</si>
  <si>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</si>
  <si>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</si>
  <si>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</si>
  <si>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</si>
  <si>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</si>
  <si>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</si>
  <si>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</si>
  <si>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</si>
  <si>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</si>
  <si>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</si>
  <si>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</si>
  <si>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</si>
  <si>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</si>
  <si>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</si>
  <si>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</si>
  <si>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</si>
  <si>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</si>
  <si>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</si>
  <si>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</si>
  <si>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</si>
  <si>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</si>
  <si>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</si>
  <si>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</si>
  <si>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</si>
  <si>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</si>
  <si>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</si>
  <si>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</si>
  <si>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</si>
  <si>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</si>
  <si>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</si>
  <si>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</si>
  <si>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</si>
  <si>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</si>
  <si>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</si>
  <si>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</si>
  <si>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</si>
  <si>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</si>
  <si>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</si>
  <si>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</si>
  <si>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</si>
  <si>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</si>
  <si>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</si>
  <si>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</si>
  <si>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</si>
  <si>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</si>
  <si>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</si>
  <si>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</si>
  <si>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</si>
  <si>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</si>
  <si>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</si>
  <si>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</si>
  <si>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</si>
  <si>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</si>
  <si>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</si>
  <si>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</si>
  <si>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</si>
  <si>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</si>
  <si>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</si>
  <si>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</si>
  <si>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</si>
  <si>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</si>
  <si>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</si>
  <si>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</si>
  <si>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</si>
  <si>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</si>
  <si>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</si>
  <si>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</si>
  <si>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</si>
  <si>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</si>
  <si>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</si>
  <si>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</si>
  <si>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</si>
  <si>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</si>
  <si>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</si>
  <si>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</si>
  <si>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</si>
  <si>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</si>
  <si>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</si>
  <si>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</si>
  <si>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</si>
  <si>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</si>
  <si>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</si>
  <si>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</si>
  <si>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</si>
  <si>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</si>
  <si>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</si>
  <si>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</si>
  <si>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</si>
  <si>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</si>
  <si>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</si>
  <si>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</si>
  <si>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</si>
  <si>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</si>
  <si>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</si>
  <si>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</si>
  <si>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</si>
  <si>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</si>
  <si>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</si>
  <si>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</si>
  <si>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</si>
  <si>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</si>
  <si>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</si>
  <si>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</si>
  <si>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</si>
  <si>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</si>
  <si>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</si>
  <si>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</si>
  <si>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</si>
  <si>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</si>
  <si>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</si>
  <si>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</si>
  <si>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</si>
  <si>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</si>
  <si>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</si>
  <si>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</si>
  <si>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</si>
  <si>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</si>
  <si>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</si>
  <si>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</si>
  <si>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</si>
  <si>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</si>
  <si>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</si>
  <si>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</si>
  <si>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</si>
  <si>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</si>
  <si>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</si>
  <si>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</si>
  <si>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</si>
  <si>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</si>
  <si>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</si>
  <si>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</si>
  <si>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</si>
  <si>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</si>
  <si>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</si>
  <si>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</si>
  <si>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</si>
  <si>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</si>
  <si>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</si>
  <si>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</si>
  <si>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</si>
  <si>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</si>
  <si>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</si>
  <si>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</si>
  <si>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</si>
  <si>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</si>
  <si>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</si>
  <si>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</si>
  <si>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</si>
  <si>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</si>
  <si>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</si>
  <si>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</si>
  <si>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</si>
  <si>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</si>
  <si>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</si>
  <si>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</si>
  <si>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</si>
  <si>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</si>
  <si>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</si>
  <si>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</si>
  <si>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</si>
  <si>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</si>
  <si>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</si>
  <si>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</si>
  <si>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</si>
  <si>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</si>
  <si>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</si>
  <si>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</si>
  <si>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</si>
  <si>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</si>
  <si>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</si>
  <si>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</si>
  <si>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</si>
  <si>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</si>
  <si>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</si>
  <si>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</si>
  <si>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</si>
  <si>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</si>
  <si>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</si>
  <si>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</si>
  <si>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</si>
  <si>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</si>
  <si>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</si>
  <si>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</si>
  <si>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</si>
  <si>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</si>
  <si>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</si>
  <si>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</si>
  <si>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</si>
  <si>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</si>
  <si>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</si>
  <si>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</si>
  <si>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</si>
  <si>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</si>
  <si>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</si>
  <si>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</si>
  <si>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</si>
  <si>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</si>
  <si>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</si>
  <si>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</si>
  <si>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</si>
  <si>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</si>
  <si>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</si>
  <si>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</si>
  <si>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</si>
  <si>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</si>
  <si>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</si>
  <si>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</si>
  <si>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</si>
  <si>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</si>
  <si>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</si>
  <si>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</si>
  <si>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</si>
  <si>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</si>
  <si>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</si>
  <si>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</si>
  <si>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</si>
  <si>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</si>
  <si>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</si>
  <si>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</si>
  <si>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</si>
  <si>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</si>
  <si>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</si>
  <si>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</si>
  <si>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</si>
  <si>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</si>
  <si>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</si>
  <si>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</si>
  <si>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</si>
  <si>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</si>
  <si>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</si>
  <si>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</si>
  <si>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</si>
  <si>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</si>
  <si>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</si>
  <si>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</si>
  <si>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</si>
  <si>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</si>
  <si>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</si>
  <si>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</si>
  <si>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</si>
  <si>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</si>
  <si>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</si>
  <si>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</si>
  <si>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</si>
  <si>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</si>
  <si>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</si>
  <si>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</si>
  <si>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</si>
  <si>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</si>
  <si>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</si>
  <si>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</si>
  <si>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</si>
  <si>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</si>
  <si>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</si>
  <si>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</si>
  <si>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</si>
  <si>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</si>
  <si>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</si>
  <si>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</si>
  <si>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</si>
  <si>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</si>
  <si>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</si>
  <si>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</si>
  <si>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</si>
  <si>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</si>
  <si>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</si>
  <si>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</si>
  <si>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</si>
  <si>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</si>
  <si>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</si>
  <si>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</si>
  <si>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</si>
  <si>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</si>
  <si>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</si>
  <si>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</si>
  <si>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</si>
  <si>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</si>
  <si>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</si>
  <si>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</si>
  <si>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</si>
  <si>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</si>
  <si>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</si>
  <si>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</si>
  <si>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</si>
  <si>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</si>
  <si>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</si>
  <si>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</si>
  <si>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</si>
  <si>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</si>
  <si>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</si>
  <si>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</si>
  <si>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</si>
  <si>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</si>
  <si>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</si>
  <si>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</si>
  <si>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</si>
  <si>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</si>
  <si>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</si>
  <si>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</si>
  <si>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</si>
  <si>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</si>
  <si>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</si>
  <si>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</si>
  <si>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</si>
  <si>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</si>
  <si>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</si>
  <si>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</si>
  <si>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</si>
  <si>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</si>
  <si>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</si>
  <si>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</si>
  <si>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</si>
  <si>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</si>
  <si>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</si>
  <si>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</si>
  <si>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</si>
  <si>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</si>
  <si>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</si>
  <si>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</si>
  <si>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</si>
  <si>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</si>
  <si>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</si>
  <si>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</si>
  <si>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</si>
  <si>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</si>
  <si>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</si>
  <si>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</si>
  <si>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</si>
  <si>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</si>
  <si>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</si>
  <si>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</si>
  <si>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</si>
  <si>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</si>
  <si>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</si>
  <si>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</si>
  <si>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</si>
  <si>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</si>
  <si>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</si>
  <si>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</si>
  <si>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</si>
  <si>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</si>
  <si>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</si>
  <si>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</si>
  <si>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</si>
  <si>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</si>
  <si>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</si>
  <si>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</si>
  <si>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</si>
  <si>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</si>
  <si>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</si>
  <si>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</si>
  <si>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</si>
  <si>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</si>
  <si>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</si>
  <si>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</si>
  <si>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</si>
  <si>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</si>
  <si>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</si>
  <si>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</si>
  <si>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</si>
  <si>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</si>
  <si>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</si>
  <si>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</si>
  <si>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</si>
  <si>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</si>
  <si>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</si>
  <si>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</si>
  <si>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</si>
  <si>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</si>
  <si>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</si>
  <si>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</si>
  <si>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</si>
  <si>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</si>
  <si>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</si>
  <si>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</si>
  <si>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</si>
  <si>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</si>
  <si>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</si>
  <si>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</si>
  <si>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</si>
  <si>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</si>
  <si>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</si>
  <si>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</si>
  <si>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</si>
  <si>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</si>
  <si>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</si>
  <si>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</si>
  <si>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</si>
  <si>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</si>
  <si>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</si>
  <si>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</si>
  <si>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</si>
  <si>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</si>
  <si>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</si>
  <si>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</si>
  <si>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</si>
  <si>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</si>
  <si>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</si>
  <si>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</si>
  <si>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</si>
  <si>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</si>
  <si>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</si>
  <si>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</si>
  <si>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</si>
  <si>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</si>
  <si>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</si>
  <si>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</si>
  <si>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</si>
  <si>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</si>
  <si>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</si>
  <si>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</si>
  <si>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</si>
  <si>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</si>
  <si>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</si>
  <si>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</si>
  <si>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</si>
  <si>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</si>
  <si>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</si>
  <si>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</si>
  <si>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</si>
  <si>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</si>
  <si>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</si>
  <si>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</si>
  <si>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</si>
  <si>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</si>
  <si>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</si>
  <si>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</si>
  <si>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</si>
  <si>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</si>
  <si>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</si>
  <si>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</si>
  <si>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</si>
  <si>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</si>
  <si>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</si>
  <si>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</si>
  <si>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</si>
  <si>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</si>
  <si>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</si>
  <si>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</si>
  <si>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</si>
  <si>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</si>
  <si>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</si>
  <si>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</si>
  <si>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</si>
  <si>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</si>
  <si>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</si>
  <si>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</si>
  <si>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</si>
  <si>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</si>
  <si>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</si>
  <si>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</si>
  <si>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</si>
  <si>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</si>
  <si>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</si>
  <si>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</si>
  <si>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</si>
  <si>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</si>
  <si>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</si>
  <si>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</si>
  <si>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</si>
  <si>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</si>
  <si>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</si>
  <si>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</si>
  <si>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</si>
  <si>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</si>
  <si>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</si>
  <si>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</si>
  <si>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</si>
  <si>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</si>
  <si>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</si>
  <si>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</si>
  <si>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</si>
  <si>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</si>
  <si>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</si>
  <si>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</si>
  <si>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</si>
  <si>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</si>
  <si>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</si>
  <si>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</si>
  <si>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</si>
  <si>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</si>
  <si>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</si>
  <si>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</si>
  <si>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</si>
  <si>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</si>
  <si>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</si>
  <si>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</si>
  <si>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</si>
  <si>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</si>
  <si>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</si>
  <si>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</si>
  <si>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</si>
  <si>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</si>
  <si>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</si>
  <si>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</si>
  <si>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</si>
  <si>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</si>
  <si>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</si>
  <si>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</si>
  <si>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</si>
  <si>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</si>
  <si>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</si>
  <si>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</si>
  <si>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</si>
  <si>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</si>
  <si>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</si>
  <si>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</si>
  <si>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</si>
  <si>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</si>
  <si>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</si>
  <si>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</si>
  <si>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</si>
  <si>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</si>
  <si>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</si>
  <si>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</si>
  <si>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</si>
  <si>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</si>
  <si>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</si>
  <si>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</si>
  <si>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</si>
  <si>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</si>
  <si>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</si>
  <si>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</si>
  <si>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</si>
  <si>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</si>
  <si>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</si>
  <si>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</si>
  <si>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</si>
  <si>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</si>
  <si>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</si>
  <si>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</si>
  <si>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</si>
  <si>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</si>
  <si>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</si>
  <si>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</si>
  <si>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</si>
  <si>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</si>
  <si>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</si>
  <si>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</si>
  <si>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</si>
  <si>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</si>
  <si>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</si>
  <si>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</si>
  <si>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</si>
  <si>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</si>
  <si>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</si>
  <si>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</si>
  <si>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</si>
  <si>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</si>
  <si>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</si>
  <si>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</si>
  <si>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</si>
  <si>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</si>
  <si>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</si>
  <si>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</si>
  <si>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</si>
  <si>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</si>
  <si>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</si>
  <si>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</si>
  <si>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</si>
  <si>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</si>
  <si>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</si>
  <si>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</si>
  <si>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</si>
  <si>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</si>
  <si>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</si>
  <si>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</si>
  <si>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</si>
  <si>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</si>
  <si>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</si>
  <si>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</si>
  <si>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</si>
  <si>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</si>
  <si>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</si>
  <si>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</si>
  <si>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</si>
  <si>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</si>
  <si>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</si>
  <si>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</si>
  <si>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</si>
  <si>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</si>
  <si>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</si>
  <si>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</si>
  <si>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</si>
  <si>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</si>
  <si>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</si>
  <si>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</si>
  <si>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</si>
  <si>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</si>
  <si>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</si>
  <si>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</si>
  <si>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</si>
  <si>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</si>
  <si>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</si>
  <si>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</si>
  <si>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</si>
  <si>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</si>
  <si>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</si>
  <si>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</si>
  <si>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</si>
  <si>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</si>
  <si>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</si>
  <si>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</si>
  <si>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</si>
  <si>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</si>
  <si>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</si>
  <si>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</si>
  <si>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</si>
  <si>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</si>
  <si>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</si>
  <si>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</si>
  <si>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</si>
  <si>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</si>
  <si>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</si>
  <si>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</si>
  <si>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</si>
  <si>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</si>
  <si>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</si>
  <si>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</si>
  <si>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</si>
  <si>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</si>
  <si>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</si>
  <si>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</si>
  <si>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</si>
  <si>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</si>
  <si>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</si>
  <si>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</si>
  <si>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</si>
  <si>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</si>
  <si>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</si>
  <si>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</si>
  <si>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</si>
  <si>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</si>
  <si>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</si>
  <si>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</si>
  <si>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</si>
  <si>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</si>
  <si>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</si>
  <si>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</si>
  <si>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</si>
  <si>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</si>
  <si>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</si>
  <si>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</si>
  <si>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</si>
  <si>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</si>
  <si>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</si>
  <si>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</si>
  <si>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</si>
  <si>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</si>
  <si>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</si>
  <si>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</si>
  <si>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</si>
  <si>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</si>
  <si>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</si>
  <si>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</si>
  <si>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</si>
  <si>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</si>
  <si>
    <t>donor_site_code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</si>
</sst>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opLeftCell="B1" zoomScaleNormal="100" workbookViewId="0">
      <pane xSplit="1" ySplit="3" topLeftCell="C12" activePane="bottomRight" state="frozen"/>
      <selection activeCell="B1" sqref="B1"/>
      <selection pane="topRight" activeCell="C1" sqref="C1"/>
      <selection pane="bottomLeft" activeCell="B4" sqref="B4"/>
      <selection pane="bottomRight" activeCell="G22" sqref="G22:G24"/>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67.710937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2465</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VLOOKUP(B4,Plantings!$A$2:$C$310,2,FALSE)</f>
        <v>AMS_shallow</v>
      </c>
      <c r="D4" s="252" t="str">
        <f>VLOOKUP(B4,Plantings!$A$2:$C$310,3,FALSE)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VLOOKUP(B4,Plantings!$A$2:$E$310,4,FALSE)</f>
        <v>point</v>
      </c>
      <c r="X4" s="251" t="str">
        <f>VLOOKUP(B4,Plantings!$A$2:$E$310,5,FALSE)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VLOOKUP(B5,Plantings!$A$2:$C$310,2,FALSE)</f>
        <v>AMS_deep</v>
      </c>
      <c r="D5" s="252" t="str">
        <f>VLOOKUP(B5,Plantings!$A$2:$C$310,3,FALSE)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VLOOKUP(B5,Plantings!$A$2:$E$310,4,FALSE)</f>
        <v>point</v>
      </c>
      <c r="X5" s="251" t="str">
        <f>VLOOKUP(B5,Plantings!$A$2:$E$310,5,FALSE)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VLOOKUP(B6,Plantings!$A$2:$C$310,2,FALSE)</f>
        <v>AND_west1</v>
      </c>
      <c r="D6" s="252" t="str">
        <f>VLOOKUP(B6,Plantings!$A$2:$C$310,3,FALSE)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VLOOKUP(B6,Plantings!$A$2:$E$310,4,FALSE)</f>
        <v>point</v>
      </c>
      <c r="X6" s="251" t="str">
        <f>VLOOKUP(B6,Plantings!$A$2:$E$310,5,FALSE)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VLOOKUP(B7,Plantings!$A$2:$C$310,2,FALSE)</f>
        <v>AND_west2</v>
      </c>
      <c r="D7" s="252" t="str">
        <f>VLOOKUP(B7,Plantings!$A$2:$C$310,3,FALSE)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VLOOKUP(B7,Plantings!$A$2:$E$310,4,FALSE)</f>
        <v>point</v>
      </c>
      <c r="X7" s="251" t="str">
        <f>VLOOKUP(B7,Plantings!$A$2:$E$310,5,FALSE)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VLOOKUP(B8,Plantings!$A$2:$C$310,2,FALSE)</f>
        <v>AND_south1</v>
      </c>
      <c r="D8" s="252" t="str">
        <f>VLOOKUP(B8,Plantings!$A$2:$C$310,3,FALSE)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VLOOKUP(B8,Plantings!$A$2:$E$310,4,FALSE)</f>
        <v>point</v>
      </c>
      <c r="X8" s="251" t="str">
        <f>VLOOKUP(B8,Plantings!$A$2:$E$310,5,FALSE)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VLOOKUP(B9,Plantings!$A$2:$C$310,2,FALSE)</f>
        <v>AND_west_L1</v>
      </c>
      <c r="D9" s="252" t="str">
        <f>VLOOKUP(B9,Plantings!$A$2:$C$310,3,FALSE)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VLOOKUP(B9,Plantings!$A$2:$E$310,4,FALSE)</f>
        <v>line</v>
      </c>
      <c r="X9" s="251" t="str">
        <f>VLOOKUP(B9,Plantings!$A$2:$E$310,5,FALSE)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VLOOKUP(B10,Plantings!$A$2:$C$310,2,FALSE)</f>
        <v>AND_west_L1</v>
      </c>
      <c r="D10" s="252" t="str">
        <f>VLOOKUP(B10,Plantings!$A$2:$C$310,3,FALSE)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VLOOKUP(B10,Plantings!$A$2:$E$310,4,FALSE)</f>
        <v>line</v>
      </c>
      <c r="X10" s="251" t="str">
        <f>VLOOKUP(B10,Plantings!$A$2:$E$310,5,FALSE)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VLOOKUP(B11,Plantings!$A$2:$C$310,2,FALSE)</f>
        <v>AND_south_L1</v>
      </c>
      <c r="D11" s="252" t="str">
        <f>VLOOKUP(B11,Plantings!$A$2:$C$310,3,FALSE)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VLOOKUP(B11,Plantings!$A$2:$E$310,4,FALSE)</f>
        <v>line</v>
      </c>
      <c r="X11" s="251" t="str">
        <f>VLOOKUP(B11,Plantings!$A$2:$E$310,5,FALSE)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VLOOKUP(B12,Plantings!$A$2:$C$310,2,FALSE)</f>
        <v>AND_south_L1</v>
      </c>
      <c r="D12" s="252" t="str">
        <f>VLOOKUP(B12,Plantings!$A$2:$C$310,3,FALSE)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VLOOKUP(B12,Plantings!$A$2:$E$310,4,FALSE)</f>
        <v>line</v>
      </c>
      <c r="X12" s="251" t="str">
        <f>VLOOKUP(B12,Plantings!$A$2:$E$310,5,FALSE)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VLOOKUP(B13,Plantings!$A$2:$C$310,2,FALSE)</f>
        <v>AND_south_L2</v>
      </c>
      <c r="D13" s="252" t="str">
        <f>VLOOKUP(B13,Plantings!$A$2:$C$310,3,FALSE)</f>
        <v>single</v>
      </c>
      <c r="E13" s="1">
        <v>2017</v>
      </c>
      <c r="F13" t="s">
        <v>457</v>
      </c>
      <c r="G13" t="s">
        <v>411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VLOOKUP(B13,Plantings!$A$2:$E$310,4,FALSE)</f>
        <v>line</v>
      </c>
      <c r="X13" s="251" t="str">
        <f>VLOOKUP(B13,Plantings!$A$2:$E$310,5,FALSE)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VLOOKUP(B14,Plantings!$A$2:$C$310,2,FALSE)</f>
        <v>AND_south_L2</v>
      </c>
      <c r="D14" s="252" t="str">
        <f>VLOOKUP(B14,Plantings!$A$2:$C$310,3,FALSE)</f>
        <v>single</v>
      </c>
      <c r="E14" s="1">
        <v>2017</v>
      </c>
      <c r="F14" t="s">
        <v>457</v>
      </c>
      <c r="G14" t="s">
        <v>411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VLOOKUP(B14,Plantings!$A$2:$E$310,4,FALSE)</f>
        <v>line</v>
      </c>
      <c r="X14" s="251" t="str">
        <f>VLOOKUP(B14,Plantings!$A$2:$E$310,5,FALSE)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VLOOKUP(B15,Plantings!$A$2:$C$310,2,FALSE)</f>
        <v>AND_south_L3</v>
      </c>
      <c r="D15" s="252" t="str">
        <f>VLOOKUP(B15,Plantings!$A$2:$C$310,3,FALSE)</f>
        <v>single</v>
      </c>
      <c r="E15" s="1">
        <v>2017</v>
      </c>
      <c r="F15" t="s">
        <v>457</v>
      </c>
      <c r="G15" t="s">
        <v>411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VLOOKUP(B15,Plantings!$A$2:$E$310,4,FALSE)</f>
        <v>line</v>
      </c>
      <c r="X15" s="251" t="str">
        <f>VLOOKUP(B15,Plantings!$A$2:$E$310,5,FALSE)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VLOOKUP(B16,Plantings!$A$2:$C$310,2,FALSE)</f>
        <v>AND_south_L3</v>
      </c>
      <c r="D16" s="252" t="str">
        <f>VLOOKUP(B16,Plantings!$A$2:$C$310,3,FALSE)</f>
        <v>single</v>
      </c>
      <c r="E16" s="1">
        <v>2017</v>
      </c>
      <c r="F16" t="s">
        <v>457</v>
      </c>
      <c r="G16" t="s">
        <v>411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VLOOKUP(B16,Plantings!$A$2:$E$310,4,FALSE)</f>
        <v>line</v>
      </c>
      <c r="X16" s="251" t="str">
        <f>VLOOKUP(B16,Plantings!$A$2:$E$310,5,FALSE)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VLOOKUP(B17,Plantings!$A$2:$C$310,2,FALSE)</f>
        <v>AND_south_L4</v>
      </c>
      <c r="D17" s="252" t="str">
        <f>VLOOKUP(B17,Plantings!$A$2:$C$310,3,FALSE)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VLOOKUP(B17,Plantings!$A$2:$E$310,4,FALSE)</f>
        <v>line</v>
      </c>
      <c r="X17" s="251" t="str">
        <f>VLOOKUP(B17,Plantings!$A$2:$E$310,5,FALSE)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VLOOKUP(B18,Plantings!$A$2:$C$310,2,FALSE)</f>
        <v>AND_south_L4</v>
      </c>
      <c r="D18" s="252" t="str">
        <f>VLOOKUP(B18,Plantings!$A$2:$C$310,3,FALSE)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VLOOKUP(B18,Plantings!$A$2:$E$310,4,FALSE)</f>
        <v>line</v>
      </c>
      <c r="X18" s="251" t="str">
        <f>VLOOKUP(B18,Plantings!$A$2:$E$310,5,FALSE)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VLOOKUP(B19,Plantings!$A$2:$C$310,2,FALSE)</f>
        <v>AMS_deeper</v>
      </c>
      <c r="D19" s="252" t="str">
        <f>VLOOKUP(B19,Plantings!$A$2:$C$310,3,FALSE)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VLOOKUP(B19,Plantings!$A$2:$E$310,4,FALSE)</f>
        <v>point</v>
      </c>
      <c r="X19" s="251" t="str">
        <f>VLOOKUP(B19,Plantings!$A$2:$E$310,5,FALSE)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VLOOKUP(B20,Plantings!$A$2:$C$310,2,FALSE)</f>
        <v>AND_west3</v>
      </c>
      <c r="D20" s="252" t="str">
        <f>VLOOKUP(B20,Plantings!$A$2:$C$310,3,FALSE)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VLOOKUP(B20,Plantings!$A$2:$E$310,4,FALSE)</f>
        <v>point</v>
      </c>
      <c r="X20" s="251" t="str">
        <f>VLOOKUP(B20,Plantings!$A$2:$E$310,5,FALSE)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VLOOKUP(B21,Plantings!$A$2:$C$310,2,FALSE)</f>
        <v>AND_nw1</v>
      </c>
      <c r="D21" s="252" t="str">
        <f>VLOOKUP(B21,Plantings!$A$2:$C$310,3,FALSE)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VLOOKUP(B21,Plantings!$A$2:$E$310,4,FALSE)</f>
        <v>point</v>
      </c>
      <c r="X21" s="251" t="str">
        <f>VLOOKUP(B21,Plantings!$A$2:$E$310,5,FALSE)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VLOOKUP(B22,Plantings!$A$2:$C$310,2,FALSE)</f>
        <v>AND_west4</v>
      </c>
      <c r="D22" s="252" t="str">
        <f>VLOOKUP(B22,Plantings!$A$2:$C$310,3,FALSE)</f>
        <v>single</v>
      </c>
      <c r="E22" s="131">
        <v>2021</v>
      </c>
      <c r="F22" s="1"/>
      <c r="G22" t="s">
        <v>410</v>
      </c>
      <c r="J22" s="1"/>
      <c r="K22" s="1"/>
      <c r="L22" s="1"/>
      <c r="M22" s="131"/>
      <c r="N22" s="1"/>
      <c r="O22" s="1"/>
      <c r="R22" s="1" t="s">
        <v>22</v>
      </c>
      <c r="S22" s="1" t="s">
        <v>22</v>
      </c>
      <c r="T22" s="134">
        <v>44369</v>
      </c>
      <c r="U22" s="246"/>
      <c r="V22" s="246"/>
      <c r="W22" s="252" t="str">
        <f>VLOOKUP(B22,Plantings!$A$2:$E$310,4,FALSE)</f>
        <v>point</v>
      </c>
      <c r="X22" s="251" t="str">
        <f>VLOOKUP(B22,Plantings!$A$2:$E$310,5,FALSE)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VLOOKUP(B23,Plantings!$A$2:$C$310,2,FALSE)</f>
        <v>AND_west5</v>
      </c>
      <c r="D23" s="252" t="str">
        <f>VLOOKUP(B23,Plantings!$A$2:$C$310,3,FALSE)</f>
        <v>single</v>
      </c>
      <c r="E23" s="131">
        <v>2021</v>
      </c>
      <c r="F23" s="1"/>
      <c r="G23" t="s">
        <v>410</v>
      </c>
      <c r="J23" s="1"/>
      <c r="K23" s="1"/>
      <c r="L23" s="1"/>
      <c r="M23" s="131"/>
      <c r="N23" s="1"/>
      <c r="O23" s="1"/>
      <c r="R23" s="1" t="s">
        <v>22</v>
      </c>
      <c r="S23" s="1" t="s">
        <v>22</v>
      </c>
      <c r="T23" s="134">
        <v>44372</v>
      </c>
      <c r="U23" s="246"/>
      <c r="V23" s="246"/>
      <c r="W23" s="252" t="str">
        <f>VLOOKUP(B23,Plantings!$A$2:$E$310,4,FALSE)</f>
        <v>point</v>
      </c>
      <c r="X23" s="251" t="str">
        <f>VLOOKUP(B23,Plantings!$A$2:$E$310,5,FALSE)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VLOOKUP(B24,Plantings!$A$2:$C$310,2,FALSE)</f>
        <v>AND_west6</v>
      </c>
      <c r="D24" s="252" t="str">
        <f>VLOOKUP(B24,Plantings!$A$2:$C$310,3,FALSE)</f>
        <v>single</v>
      </c>
      <c r="E24" s="131">
        <v>2021</v>
      </c>
      <c r="F24" s="1"/>
      <c r="G24" t="s">
        <v>410</v>
      </c>
      <c r="J24" s="1"/>
      <c r="K24" s="1"/>
      <c r="L24" s="1"/>
      <c r="M24" s="131"/>
      <c r="N24" s="1"/>
      <c r="O24" s="1"/>
      <c r="R24" s="1" t="s">
        <v>22</v>
      </c>
      <c r="S24" s="1" t="s">
        <v>22</v>
      </c>
      <c r="T24" s="134">
        <v>44372</v>
      </c>
      <c r="U24" s="246"/>
      <c r="V24" s="246"/>
      <c r="W24" s="252" t="str">
        <f>VLOOKUP(B24,Plantings!$A$2:$E$310,4,FALSE)</f>
        <v>point</v>
      </c>
      <c r="X24" s="251" t="str">
        <f>VLOOKUP(B24,Plantings!$A$2:$E$310,5,FALSE)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VLOOKUP(B25,Plantings!$A$2:$C$310,2,FALSE)</f>
        <v>AND_se1</v>
      </c>
      <c r="D25" s="252" t="str">
        <f>VLOOKUP(B25,Plantings!$A$2:$C$310,3,FALSE)</f>
        <v>single</v>
      </c>
      <c r="E25">
        <v>2023</v>
      </c>
      <c r="G25" t="s">
        <v>410</v>
      </c>
      <c r="H25" t="s">
        <v>37</v>
      </c>
      <c r="I25" t="s">
        <v>403</v>
      </c>
      <c r="R25" t="s">
        <v>22</v>
      </c>
      <c r="S25" t="s">
        <v>22</v>
      </c>
      <c r="T25" s="134">
        <v>45082</v>
      </c>
      <c r="U25">
        <v>47.141539999999999</v>
      </c>
      <c r="V25">
        <v>-122.73026</v>
      </c>
      <c r="W25" s="252" t="str">
        <f>VLOOKUP(B25,Plantings!$A$2:$E$310,4,FALSE)</f>
        <v>point</v>
      </c>
      <c r="X25" s="251" t="str">
        <f>VLOOKUP(B25,Plantings!$A$2:$E$310,5,FALSE)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VLOOKUP(B26,Plantings!$A$2:$C$310,2,FALSE)</f>
        <v>BB_test_1</v>
      </c>
      <c r="D26" s="252" t="str">
        <f>VLOOKUP(B26,Plantings!$A$2:$C$310,3,FALSE)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VLOOKUP(B26,Plantings!$A$2:$E$310,4,FALSE)</f>
        <v>line</v>
      </c>
      <c r="X26" s="251" t="str">
        <f>VLOOKUP(B26,Plantings!$A$2:$E$310,5,FALSE)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VLOOKUP(B27,Plantings!$A$2:$C$310,2,FALSE)</f>
        <v>BB_test_1</v>
      </c>
      <c r="D27" s="252" t="str">
        <f>VLOOKUP(B27,Plantings!$A$2:$C$310,3,FALSE)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VLOOKUP(B27,Plantings!$A$2:$E$310,4,FALSE)</f>
        <v>line</v>
      </c>
      <c r="X27" s="251" t="str">
        <f>VLOOKUP(B27,Plantings!$A$2:$E$310,5,FALSE)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VLOOKUP(B28,Plantings!$A$2:$C$310,2,FALSE)</f>
        <v>BB_test_1</v>
      </c>
      <c r="D28" s="252" t="str">
        <f>VLOOKUP(B28,Plantings!$A$2:$C$310,3,FALSE)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VLOOKUP(B28,Plantings!$A$2:$E$310,4,FALSE)</f>
        <v>line</v>
      </c>
      <c r="X28" s="251" t="str">
        <f>VLOOKUP(B28,Plantings!$A$2:$E$310,5,FALSE)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VLOOKUP(B29,Plantings!$A$2:$C$310,2,FALSE)</f>
        <v>BB_test_1</v>
      </c>
      <c r="D29" s="252" t="str">
        <f>VLOOKUP(B29,Plantings!$A$2:$C$310,3,FALSE)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VLOOKUP(B29,Plantings!$A$2:$E$310,4,FALSE)</f>
        <v>line</v>
      </c>
      <c r="X29" s="251" t="str">
        <f>VLOOKUP(B29,Plantings!$A$2:$E$310,5,FALSE)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VLOOKUP(B30,Plantings!$A$2:$C$310,2,FALSE)</f>
        <v>BB_test_1</v>
      </c>
      <c r="D30" s="252" t="str">
        <f>VLOOKUP(B30,Plantings!$A$2:$C$310,3,FALSE)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VLOOKUP(B30,Plantings!$A$2:$E$310,4,FALSE)</f>
        <v>line</v>
      </c>
      <c r="X30" s="251" t="str">
        <f>VLOOKUP(B30,Plantings!$A$2:$E$310,5,FALSE)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VLOOKUP(B31,Plantings!$A$2:$C$310,2,FALSE)</f>
        <v>CHC</v>
      </c>
      <c r="D31" s="252" t="str">
        <f>VLOOKUP(B31,Plantings!$A$2:$C$310,3,FALSE)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VLOOKUP(B31,Plantings!$A$2:$E$310,4,FALSE)</f>
        <v>point</v>
      </c>
      <c r="X31" s="251" t="str">
        <f>VLOOKUP(B31,Plantings!$A$2:$E$310,5,FALSE)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VLOOKUP(B32,Plantings!$A$2:$C$310,2,FALSE)</f>
        <v>COM_shallow</v>
      </c>
      <c r="D32" s="252" t="str">
        <f>VLOOKUP(B32,Plantings!$A$2:$C$310,3,FALSE)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VLOOKUP(B32,Plantings!$A$2:$E$310,4,FALSE)</f>
        <v>point</v>
      </c>
      <c r="X32" s="251" t="str">
        <f>VLOOKUP(B32,Plantings!$A$2:$E$310,5,FALSE)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VLOOKUP(B33,Plantings!$A$2:$C$310,2,FALSE)</f>
        <v>COM_deep</v>
      </c>
      <c r="D33" s="252" t="str">
        <f>VLOOKUP(B33,Plantings!$A$2:$C$310,3,FALSE)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VLOOKUP(B33,Plantings!$A$2:$E$310,4,FALSE)</f>
        <v>point</v>
      </c>
      <c r="X33" s="251" t="str">
        <f>VLOOKUP(B33,Plantings!$A$2:$E$310,5,FALSE)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VLOOKUP(B34,Plantings!$A$2:$C$310,2,FALSE)</f>
        <v>COM_L1</v>
      </c>
      <c r="D34" s="252" t="str">
        <f>VLOOKUP(B34,Plantings!$A$2:$C$310,3,FALSE)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VLOOKUP(B34,Plantings!$A$2:$E$310,4,FALSE)</f>
        <v>line</v>
      </c>
      <c r="X34" s="251" t="str">
        <f>VLOOKUP(B34,Plantings!$A$2:$E$310,5,FALSE)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VLOOKUP(B35,Plantings!$A$2:$C$310,2,FALSE)</f>
        <v>COM_L1</v>
      </c>
      <c r="D35" s="252" t="str">
        <f>VLOOKUP(B35,Plantings!$A$2:$C$310,3,FALSE)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VLOOKUP(B35,Plantings!$A$2:$E$310,4,FALSE)</f>
        <v>line</v>
      </c>
      <c r="X35" s="251" t="str">
        <f>VLOOKUP(B35,Plantings!$A$2:$E$310,5,FALSE)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VLOOKUP(B36,Plantings!$A$2:$C$310,2,FALSE)</f>
        <v>COM_L2</v>
      </c>
      <c r="D36" s="252" t="str">
        <f>VLOOKUP(B36,Plantings!$A$2:$C$310,3,FALSE)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VLOOKUP(B36,Plantings!$A$2:$E$310,4,FALSE)</f>
        <v>line</v>
      </c>
      <c r="X36" s="251" t="str">
        <f>VLOOKUP(B36,Plantings!$A$2:$E$310,5,FALSE)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VLOOKUP(B37,Plantings!$A$2:$C$310,2,FALSE)</f>
        <v>COM_L2</v>
      </c>
      <c r="D37" s="252" t="str">
        <f>VLOOKUP(B37,Plantings!$A$2:$C$310,3,FALSE)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VLOOKUP(B37,Plantings!$A$2:$E$310,4,FALSE)</f>
        <v>line</v>
      </c>
      <c r="X37" s="251" t="str">
        <f>VLOOKUP(B37,Plantings!$A$2:$E$310,5,FALSE)</f>
        <v>retain</v>
      </c>
      <c r="Y37" s="7" t="s">
        <v>146</v>
      </c>
      <c r="Z37">
        <v>-2.6</v>
      </c>
      <c r="AA37" s="5"/>
      <c r="AI37" s="5" t="str">
        <f t="shared" si="7"/>
        <v/>
      </c>
      <c r="AJ37" s="5" t="str">
        <f t="shared" si="8"/>
        <v/>
      </c>
    </row>
    <row r="38" spans="1:38" x14ac:dyDescent="0.25">
      <c r="A38" t="s">
        <v>31</v>
      </c>
      <c r="B38" t="s">
        <v>222</v>
      </c>
      <c r="C38" s="252" t="str">
        <f>VLOOKUP(B38,Plantings!$A$2:$C$310,2,FALSE)</f>
        <v>DEL_1</v>
      </c>
      <c r="D38" s="252" t="str">
        <f>VLOOKUP(B38,Plantings!$A$2:$C$310,3,FALSE)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VLOOKUP(B38,Plantings!$A$2:$E$310,4,FALSE)</f>
        <v>point</v>
      </c>
      <c r="X38" s="251" t="str">
        <f>VLOOKUP(B38,Plantings!$A$2:$E$310,5,FALSE)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VLOOKUP(B39,Plantings!$A$2:$C$310,2,FALSE)</f>
        <v>DEL_L1</v>
      </c>
      <c r="D39" s="252" t="str">
        <f>VLOOKUP(B39,Plantings!$A$2:$C$310,3,FALSE)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VLOOKUP(B39,Plantings!$A$2:$E$310,4,FALSE)</f>
        <v>line</v>
      </c>
      <c r="X39" s="251" t="str">
        <f>VLOOKUP(B39,Plantings!$A$2:$E$310,5,FALSE)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VLOOKUP(B40,Plantings!$A$2:$C$310,2,FALSE)</f>
        <v>DEL_L1</v>
      </c>
      <c r="D40" s="252" t="str">
        <f>VLOOKUP(B40,Plantings!$A$2:$C$310,3,FALSE)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VLOOKUP(B40,Plantings!$A$2:$E$310,4,FALSE)</f>
        <v>line</v>
      </c>
      <c r="X40" s="251" t="str">
        <f>VLOOKUP(B40,Plantings!$A$2:$E$310,5,FALSE)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VLOOKUP(B41,Plantings!$A$2:$C$310,2,FALSE)</f>
        <v>DEL_P1</v>
      </c>
      <c r="D41" s="252" t="str">
        <f>VLOOKUP(B41,Plantings!$A$2:$C$310,3,FALSE)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VLOOKUP(B41,Plantings!$A$2:$E$310,4,FALSE)</f>
        <v>polygon</v>
      </c>
      <c r="X41" s="251" t="str">
        <f>VLOOKUP(B41,Plantings!$A$2:$E$310,5,FALSE)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VLOOKUP(B42,Plantings!$A$2:$C$310,2,FALSE)</f>
        <v>DEL_P1</v>
      </c>
      <c r="D42" s="252" t="str">
        <f>VLOOKUP(B42,Plantings!$A$2:$C$310,3,FALSE)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VLOOKUP(B42,Plantings!$A$2:$E$310,4,FALSE)</f>
        <v>polygon</v>
      </c>
      <c r="X42" s="251" t="str">
        <f>VLOOKUP(B42,Plantings!$A$2:$E$310,5,FALSE)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VLOOKUP(B43,Plantings!$A$2:$C$310,2,FALSE)</f>
        <v>DEL_P1</v>
      </c>
      <c r="D43" s="252" t="str">
        <f>VLOOKUP(B43,Plantings!$A$2:$C$310,3,FALSE)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VLOOKUP(B43,Plantings!$A$2:$E$310,4,FALSE)</f>
        <v>polygon</v>
      </c>
      <c r="X43" s="251" t="str">
        <f>VLOOKUP(B43,Plantings!$A$2:$E$310,5,FALSE)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VLOOKUP(B44,Plantings!$A$2:$C$310,2,FALSE)</f>
        <v>DEL_P1</v>
      </c>
      <c r="D44" s="252" t="str">
        <f>VLOOKUP(B44,Plantings!$A$2:$C$310,3,FALSE)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VLOOKUP(B44,Plantings!$A$2:$E$310,4,FALSE)</f>
        <v>polygon</v>
      </c>
      <c r="X44" s="251" t="str">
        <f>VLOOKUP(B44,Plantings!$A$2:$E$310,5,FALSE)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VLOOKUP(B45,Plantings!$A$2:$C$310,2,FALSE)</f>
        <v>DEL_3</v>
      </c>
      <c r="D45" s="252" t="str">
        <f>VLOOKUP(B45,Plantings!$A$2:$C$310,3,FALSE)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VLOOKUP(B45,Plantings!$A$2:$E$310,4,FALSE)</f>
        <v>point</v>
      </c>
      <c r="X45" s="251" t="str">
        <f>VLOOKUP(B45,Plantings!$A$2:$E$310,5,FALSE)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VLOOKUP(B46,Plantings!$A$2:$C$310,2,FALSE)</f>
        <v>DEL_2</v>
      </c>
      <c r="D46" s="252" t="str">
        <f>VLOOKUP(B46,Plantings!$A$2:$C$310,3,FALSE)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VLOOKUP(B46,Plantings!$A$2:$E$310,4,FALSE)</f>
        <v>point</v>
      </c>
      <c r="X46" s="251" t="str">
        <f>VLOOKUP(B46,Plantings!$A$2:$E$310,5,FALSE)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VLOOKUP(B47,Plantings!$A$2:$C$310,2,FALSE)</f>
        <v>DEL_1</v>
      </c>
      <c r="D47" s="252" t="str">
        <f>VLOOKUP(B47,Plantings!$A$2:$C$310,3,FALSE)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VLOOKUP(B47,Plantings!$A$2:$E$310,4,FALSE)</f>
        <v>point</v>
      </c>
      <c r="X47" s="251" t="str">
        <f>VLOOKUP(B47,Plantings!$A$2:$E$310,5,FALSE)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VLOOKUP(B48,Plantings!$A$2:$C$310,2,FALSE)</f>
        <v>DEL_3</v>
      </c>
      <c r="D48" s="252" t="str">
        <f>VLOOKUP(B48,Plantings!$A$2:$C$310,3,FALSE)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VLOOKUP(B48,Plantings!$A$2:$E$310,4,FALSE)</f>
        <v>point</v>
      </c>
      <c r="X48" s="251" t="str">
        <f>VLOOKUP(B48,Plantings!$A$2:$E$310,5,FALSE)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VLOOKUP(B49,Plantings!$A$2:$C$310,2,FALSE)</f>
        <v>DEL_east_1</v>
      </c>
      <c r="D49" s="252" t="str">
        <f>VLOOKUP(B49,Plantings!$A$2:$C$310,3,FALSE)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VLOOKUP(B49,Plantings!$A$2:$E$310,4,FALSE)</f>
        <v>point</v>
      </c>
      <c r="X49" s="251" t="str">
        <f>VLOOKUP(B49,Plantings!$A$2:$E$310,5,FALSE)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VLOOKUP(B50,Plantings!$A$2:$C$310,2,FALSE)</f>
        <v>DEL_west_1</v>
      </c>
      <c r="D50" s="252" t="str">
        <f>VLOOKUP(B50,Plantings!$A$2:$C$310,3,FALSE)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VLOOKUP(B50,Plantings!$A$2:$E$310,4,FALSE)</f>
        <v>point</v>
      </c>
      <c r="X50" s="251" t="str">
        <f>VLOOKUP(B50,Plantings!$A$2:$E$310,5,FALSE)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VLOOKUP(B51,Plantings!$A$2:$C$310,2,FALSE)</f>
        <v>DEL_L</v>
      </c>
      <c r="D51" s="252" t="str">
        <f>VLOOKUP(B51,Plantings!$A$2:$C$310,3,FALSE)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VLOOKUP(B51,Plantings!$A$2:$E$310,4,FALSE)</f>
        <v>point</v>
      </c>
      <c r="X51" s="251" t="str">
        <f>VLOOKUP(B51,Plantings!$A$2:$E$310,5,FALSE)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VLOOKUP(B52,Plantings!$A$2:$C$310,2,FALSE)</f>
        <v>DEL_west_shallow_1</v>
      </c>
      <c r="D52" s="252" t="str">
        <f>VLOOKUP(B52,Plantings!$A$2:$C$310,3,FALSE)</f>
        <v>single</v>
      </c>
      <c r="E52" s="131">
        <v>2021</v>
      </c>
      <c r="H52" s="34"/>
      <c r="I52" s="34"/>
      <c r="J52" s="1" t="s">
        <v>163</v>
      </c>
      <c r="K52" s="1" t="s">
        <v>163</v>
      </c>
      <c r="L52" s="1"/>
      <c r="M52" s="131"/>
      <c r="N52" s="1"/>
      <c r="O52" s="1"/>
      <c r="R52" s="1" t="s">
        <v>22</v>
      </c>
      <c r="S52" s="1" t="s">
        <v>22</v>
      </c>
      <c r="T52" s="134">
        <v>44370</v>
      </c>
      <c r="U52" s="245"/>
      <c r="V52" s="245"/>
      <c r="W52" s="252" t="str">
        <f>VLOOKUP(B52,Plantings!$A$2:$E$310,4,FALSE)</f>
        <v>point</v>
      </c>
      <c r="X52" s="251" t="str">
        <f>VLOOKUP(B52,Plantings!$A$2:$E$310,5,FALSE)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VLOOKUP(B53,Plantings!$A$2:$C$310,2,FALSE)</f>
        <v>DEL_west_deep_1</v>
      </c>
      <c r="D53" s="252" t="str">
        <f>VLOOKUP(B53,Plantings!$A$2:$C$310,3,FALSE)</f>
        <v>single</v>
      </c>
      <c r="E53" s="131">
        <v>2021</v>
      </c>
      <c r="H53" s="34"/>
      <c r="I53" s="34"/>
      <c r="J53" s="1" t="s">
        <v>163</v>
      </c>
      <c r="K53" s="1" t="s">
        <v>163</v>
      </c>
      <c r="L53" s="1"/>
      <c r="M53" s="131"/>
      <c r="N53" s="1"/>
      <c r="O53" s="1"/>
      <c r="R53" s="1" t="s">
        <v>22</v>
      </c>
      <c r="S53" s="1" t="s">
        <v>22</v>
      </c>
      <c r="T53" s="134">
        <v>44370</v>
      </c>
      <c r="U53" s="245"/>
      <c r="V53" s="245"/>
      <c r="W53" s="252" t="str">
        <f>VLOOKUP(B53,Plantings!$A$2:$E$310,4,FALSE)</f>
        <v>point</v>
      </c>
      <c r="X53" s="251" t="str">
        <f>VLOOKUP(B53,Plantings!$A$2:$E$310,5,FALSE)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VLOOKUP(B54,Plantings!$A$2:$C$310,2,FALSE)</f>
        <v>DB_test_1</v>
      </c>
      <c r="D54" s="252" t="str">
        <f>VLOOKUP(B54,Plantings!$A$2:$C$310,3,FALSE)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VLOOKUP(B54,Plantings!$A$2:$E$310,4,FALSE)</f>
        <v>point</v>
      </c>
      <c r="X54" s="251" t="str">
        <f>VLOOKUP(B54,Plantings!$A$2:$E$310,5,FALSE)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VLOOKUP(B55,Plantings!$A$2:$C$310,2,FALSE)</f>
        <v>DB_test_2</v>
      </c>
      <c r="D55" s="252" t="str">
        <f>VLOOKUP(B55,Plantings!$A$2:$C$310,3,FALSE)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VLOOKUP(B55,Plantings!$A$2:$E$310,4,FALSE)</f>
        <v>point</v>
      </c>
      <c r="X55" s="251" t="str">
        <f>VLOOKUP(B55,Plantings!$A$2:$E$310,5,FALSE)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VLOOKUP(B56,Plantings!$A$2:$C$310,2,FALSE)</f>
        <v>DB_test_2</v>
      </c>
      <c r="D56" s="252" t="str">
        <f>VLOOKUP(B56,Plantings!$A$2:$C$310,3,FALSE)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VLOOKUP(B56,Plantings!$A$2:$E$310,4,FALSE)</f>
        <v>point</v>
      </c>
      <c r="X56" s="251" t="str">
        <f>VLOOKUP(B56,Plantings!$A$2:$E$310,5,FALSE)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VLOOKUP(B57,Plantings!$A$2:$C$310,2,FALSE)</f>
        <v>DB_test_2</v>
      </c>
      <c r="D57" s="252" t="str">
        <f>VLOOKUP(B57,Plantings!$A$2:$C$310,3,FALSE)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VLOOKUP(B57,Plantings!$A$2:$E$310,4,FALSE)</f>
        <v>point</v>
      </c>
      <c r="X57" s="251" t="str">
        <f>VLOOKUP(B57,Plantings!$A$2:$E$310,5,FALSE)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VLOOKUP(B58,Plantings!$A$2:$C$310,2,FALSE)</f>
        <v>DB_test_2</v>
      </c>
      <c r="D58" s="252" t="str">
        <f>VLOOKUP(B58,Plantings!$A$2:$C$310,3,FALSE)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VLOOKUP(B58,Plantings!$A$2:$E$310,4,FALSE)</f>
        <v>point</v>
      </c>
      <c r="X58" s="251" t="str">
        <f>VLOOKUP(B58,Plantings!$A$2:$E$310,5,FALSE)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VLOOKUP(B59,Plantings!$A$2:$C$310,2,FALSE)</f>
        <v>DB_test_6</v>
      </c>
      <c r="D59" s="252" t="str">
        <f>VLOOKUP(B59,Plantings!$A$2:$C$310,3,FALSE)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VLOOKUP(B59,Plantings!$A$2:$E$310,4,FALSE)</f>
        <v>point</v>
      </c>
      <c r="X59" s="251" t="str">
        <f>VLOOKUP(B59,Plantings!$A$2:$E$310,5,FALSE)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VLOOKUP(B60,Plantings!$A$2:$C$310,2,FALSE)</f>
        <v>DB_test_7</v>
      </c>
      <c r="D60" s="252" t="str">
        <f>VLOOKUP(B60,Plantings!$A$2:$C$310,3,FALSE)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VLOOKUP(B60,Plantings!$A$2:$E$310,4,FALSE)</f>
        <v>point</v>
      </c>
      <c r="X60" s="251" t="str">
        <f>VLOOKUP(B60,Plantings!$A$2:$E$310,5,FALSE)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VLOOKUP(B61,Plantings!$A$2:$C$310,2,FALSE)</f>
        <v>ELD_shallow</v>
      </c>
      <c r="D61" s="252" t="str">
        <f>VLOOKUP(B61,Plantings!$A$2:$C$310,3,FALSE)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VLOOKUP(B61,Plantings!$A$2:$E$310,4,FALSE)</f>
        <v>point</v>
      </c>
      <c r="X61" s="251" t="str">
        <f>VLOOKUP(B61,Plantings!$A$2:$E$310,5,FALSE)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VLOOKUP(B62,Plantings!$A$2:$C$310,2,FALSE)</f>
        <v>ELD_deep</v>
      </c>
      <c r="D62" s="252" t="str">
        <f>VLOOKUP(B62,Plantings!$A$2:$C$310,3,FALSE)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VLOOKUP(B62,Plantings!$A$2:$E$310,4,FALSE)</f>
        <v>point</v>
      </c>
      <c r="X62" s="251" t="str">
        <f>VLOOKUP(B62,Plantings!$A$2:$E$310,5,FALSE)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VLOOKUP(B63,Plantings!$A$2:$C$310,2,FALSE)</f>
        <v>ELD</v>
      </c>
      <c r="D63" s="252" t="str">
        <f>VLOOKUP(B63,Plantings!$A$2:$C$310,3,FALSE)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VLOOKUP(B63,Plantings!$A$2:$E$310,4,FALSE)</f>
        <v>point</v>
      </c>
      <c r="X63" s="251" t="str">
        <f>VLOOKUP(B63,Plantings!$A$2:$E$310,5,FALSE)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VLOOKUP(B64,Plantings!$A$2:$C$310,2,FALSE)</f>
        <v>ELW_deep_west</v>
      </c>
      <c r="D64" s="252" t="str">
        <f>VLOOKUP(B64,Plantings!$A$2:$C$310,3,FALSE)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VLOOKUP(B64,Plantings!$A$2:$E$310,4,FALSE)</f>
        <v>point</v>
      </c>
      <c r="X64" s="251" t="str">
        <f>VLOOKUP(B64,Plantings!$A$2:$E$310,5,FALSE)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VLOOKUP(B65,Plantings!$A$2:$C$310,2,FALSE)</f>
        <v>ELW_shallow_west</v>
      </c>
      <c r="D65" s="252" t="str">
        <f>VLOOKUP(B65,Plantings!$A$2:$C$310,3,FALSE)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VLOOKUP(B65,Plantings!$A$2:$E$310,4,FALSE)</f>
        <v>point</v>
      </c>
      <c r="X65" s="251" t="str">
        <f>VLOOKUP(B65,Plantings!$A$2:$E$310,5,FALSE)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VLOOKUP(B66,Plantings!$A$2:$C$310,2,FALSE)</f>
        <v>FDG_1</v>
      </c>
      <c r="D66" s="252" t="str">
        <f>VLOOKUP(B66,Plantings!$A$2:$C$310,3,FALSE)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VLOOKUP(B66,Plantings!$A$2:$E$310,4,FALSE)</f>
        <v>point</v>
      </c>
      <c r="X66" s="251" t="str">
        <f>VLOOKUP(B66,Plantings!$A$2:$E$310,5,FALSE)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VLOOKUP(B67,Plantings!$A$2:$C$310,2,FALSE)</f>
        <v>FDG_L1</v>
      </c>
      <c r="D67" s="252" t="str">
        <f>VLOOKUP(B67,Plantings!$A$2:$C$310,3,FALSE)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VLOOKUP(B67,Plantings!$A$2:$E$310,4,FALSE)</f>
        <v>line</v>
      </c>
      <c r="X67" s="251" t="str">
        <f>VLOOKUP(B67,Plantings!$A$2:$E$310,5,FALSE)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VLOOKUP(B68,Plantings!$A$2:$C$310,2,FALSE)</f>
        <v>FDG_L1</v>
      </c>
      <c r="D68" s="252" t="str">
        <f>VLOOKUP(B68,Plantings!$A$2:$C$310,3,FALSE)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VLOOKUP(B68,Plantings!$A$2:$E$310,4,FALSE)</f>
        <v>line</v>
      </c>
      <c r="X68" s="251" t="str">
        <f>VLOOKUP(B68,Plantings!$A$2:$E$310,5,FALSE)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VLOOKUP(B69,Plantings!$A$2:$C$310,2,FALSE)</f>
        <v>FDG_L2</v>
      </c>
      <c r="D69" s="252" t="str">
        <f>VLOOKUP(B69,Plantings!$A$2:$C$310,3,FALSE)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VLOOKUP(B69,Plantings!$A$2:$E$310,4,FALSE)</f>
        <v>line</v>
      </c>
      <c r="X69" s="251" t="str">
        <f>VLOOKUP(B69,Plantings!$A$2:$E$310,5,FALSE)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VLOOKUP(B70,Plantings!$A$2:$C$310,2,FALSE)</f>
        <v>FDG_L2</v>
      </c>
      <c r="D70" s="252" t="str">
        <f>VLOOKUP(B70,Plantings!$A$2:$C$310,3,FALSE)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VLOOKUP(B70,Plantings!$A$2:$E$310,4,FALSE)</f>
        <v>line</v>
      </c>
      <c r="X70" s="251" t="str">
        <f>VLOOKUP(B70,Plantings!$A$2:$E$310,5,FALSE)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VLOOKUP(B71,Plantings!$A$2:$C$310,2,FALSE)</f>
        <v>FDG_L1</v>
      </c>
      <c r="D71" s="252" t="str">
        <f>VLOOKUP(B71,Plantings!$A$2:$C$310,3,FALSE)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VLOOKUP(B71,Plantings!$A$2:$E$310,4,FALSE)</f>
        <v>line</v>
      </c>
      <c r="X71" s="251" t="str">
        <f>VLOOKUP(B71,Plantings!$A$2:$E$310,5,FALSE)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VLOOKUP(B72,Plantings!$A$2:$C$310,2,FALSE)</f>
        <v>FDG_L1</v>
      </c>
      <c r="D72" s="252" t="str">
        <f>VLOOKUP(B72,Plantings!$A$2:$C$310,3,FALSE)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VLOOKUP(B72,Plantings!$A$2:$E$310,4,FALSE)</f>
        <v>line</v>
      </c>
      <c r="X72" s="251" t="str">
        <f>VLOOKUP(B72,Plantings!$A$2:$E$310,5,FALSE)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VLOOKUP(B73,Plantings!$A$2:$C$310,2,FALSE)</f>
        <v>FDG_L2</v>
      </c>
      <c r="D73" s="252" t="str">
        <f>VLOOKUP(B73,Plantings!$A$2:$C$310,3,FALSE)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VLOOKUP(B73,Plantings!$A$2:$E$310,4,FALSE)</f>
        <v>line</v>
      </c>
      <c r="X73" s="251" t="str">
        <f>VLOOKUP(B73,Plantings!$A$2:$E$310,5,FALSE)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VLOOKUP(B74,Plantings!$A$2:$C$310,2,FALSE)</f>
        <v>FDG_L2</v>
      </c>
      <c r="D74" s="252" t="str">
        <f>VLOOKUP(B74,Plantings!$A$2:$C$310,3,FALSE)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VLOOKUP(B74,Plantings!$A$2:$E$310,4,FALSE)</f>
        <v>line</v>
      </c>
      <c r="X74" s="251" t="str">
        <f>VLOOKUP(B74,Plantings!$A$2:$E$310,5,FALSE)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VLOOKUP(B75,Plantings!$A$2:$C$310,2,FALSE)</f>
        <v>GRA_1</v>
      </c>
      <c r="D75" s="252" t="str">
        <f>VLOOKUP(B75,Plantings!$A$2:$C$310,3,FALSE)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VLOOKUP(B75,Plantings!$A$2:$E$310,4,FALSE)</f>
        <v>point</v>
      </c>
      <c r="X75" s="251" t="str">
        <f>VLOOKUP(B75,Plantings!$A$2:$E$310,5,FALSE)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VLOOKUP(B76,Plantings!$A$2:$C$310,2,FALSE)</f>
        <v>GRA_2</v>
      </c>
      <c r="D76" s="252" t="str">
        <f>VLOOKUP(B76,Plantings!$A$2:$C$310,3,FALSE)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VLOOKUP(B76,Plantings!$A$2:$E$310,4,FALSE)</f>
        <v>point</v>
      </c>
      <c r="X76" s="251" t="str">
        <f>VLOOKUP(B76,Plantings!$A$2:$E$310,5,FALSE)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VLOOKUP(B77,Plantings!$A$2:$C$310,2,FALSE)</f>
        <v>HAR_2</v>
      </c>
      <c r="D77" s="252" t="str">
        <f>VLOOKUP(B77,Plantings!$A$2:$C$310,3,FALSE)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VLOOKUP(B77,Plantings!$A$2:$E$310,4,FALSE)</f>
        <v>point</v>
      </c>
      <c r="X77" s="251" t="str">
        <f>VLOOKUP(B77,Plantings!$A$2:$E$310,5,FALSE)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VLOOKUP(B78,Plantings!$A$2:$C$310,2,FALSE)</f>
        <v>HAR_3</v>
      </c>
      <c r="D78" s="252" t="str">
        <f>VLOOKUP(B78,Plantings!$A$2:$C$310,3,FALSE)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VLOOKUP(B78,Plantings!$A$2:$E$310,4,FALSE)</f>
        <v>point</v>
      </c>
      <c r="X78" s="251" t="str">
        <f>VLOOKUP(B78,Plantings!$A$2:$E$310,5,FALSE)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VLOOKUP(B79,Plantings!$A$2:$C$310,2,FALSE)</f>
        <v>HAR_4</v>
      </c>
      <c r="D79" s="252" t="str">
        <f>VLOOKUP(B79,Plantings!$A$2:$C$310,3,FALSE)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VLOOKUP(B79,Plantings!$A$2:$E$310,4,FALSE)</f>
        <v>point</v>
      </c>
      <c r="X79" s="251" t="str">
        <f>VLOOKUP(B79,Plantings!$A$2:$E$310,5,FALSE)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VLOOKUP(B80,Plantings!$A$2:$C$310,2,FALSE)</f>
        <v>HAR_4</v>
      </c>
      <c r="D80" s="252" t="str">
        <f>VLOOKUP(B80,Plantings!$A$2:$C$310,3,FALSE)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VLOOKUP(B80,Plantings!$A$2:$E$310,4,FALSE)</f>
        <v>point</v>
      </c>
      <c r="X80" s="251" t="str">
        <f>VLOOKUP(B80,Plantings!$A$2:$E$310,5,FALSE)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VLOOKUP(B81,Plantings!$A$2:$C$310,2,FALSE)</f>
        <v>HAR_1</v>
      </c>
      <c r="D81" s="252" t="str">
        <f>VLOOKUP(B81,Plantings!$A$2:$C$310,3,FALSE)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VLOOKUP(B81,Plantings!$A$2:$E$310,4,FALSE)</f>
        <v>point</v>
      </c>
      <c r="X81" s="251" t="str">
        <f>VLOOKUP(B81,Plantings!$A$2:$E$310,5,FALSE)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VLOOKUP(B82,Plantings!$A$2:$C$310,2,FALSE)</f>
        <v>HAR_deep_L1</v>
      </c>
      <c r="D82" s="252" t="str">
        <f>VLOOKUP(B82,Plantings!$A$2:$C$310,3,FALSE)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VLOOKUP(B82,Plantings!$A$2:$E$310,4,FALSE)</f>
        <v>line</v>
      </c>
      <c r="X82" s="251" t="str">
        <f>VLOOKUP(B82,Plantings!$A$2:$E$310,5,FALSE)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VLOOKUP(B83,Plantings!$A$2:$C$310,2,FALSE)</f>
        <v>HAR_deep_L1</v>
      </c>
      <c r="D83" s="252" t="str">
        <f>VLOOKUP(B83,Plantings!$A$2:$C$310,3,FALSE)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VLOOKUP(B83,Plantings!$A$2:$E$310,4,FALSE)</f>
        <v>line</v>
      </c>
      <c r="X83" s="251" t="str">
        <f>VLOOKUP(B83,Plantings!$A$2:$E$310,5,FALSE)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VLOOKUP(B84,Plantings!$A$2:$C$310,2,FALSE)</f>
        <v>HAR_shallow_L1</v>
      </c>
      <c r="D84" s="252" t="str">
        <f>VLOOKUP(B84,Plantings!$A$2:$C$310,3,FALSE)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VLOOKUP(B84,Plantings!$A$2:$E$310,4,FALSE)</f>
        <v>line</v>
      </c>
      <c r="X84" s="251" t="str">
        <f>VLOOKUP(B84,Plantings!$A$2:$E$310,5,FALSE)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VLOOKUP(B85,Plantings!$A$2:$C$310,2,FALSE)</f>
        <v>HAR_shallow_L1</v>
      </c>
      <c r="D85" s="252" t="str">
        <f>VLOOKUP(B85,Plantings!$A$2:$C$310,3,FALSE)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VLOOKUP(B85,Plantings!$A$2:$E$310,4,FALSE)</f>
        <v>line</v>
      </c>
      <c r="X85" s="251" t="str">
        <f>VLOOKUP(B85,Plantings!$A$2:$E$310,5,FALSE)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VLOOKUP(B86,Plantings!$A$2:$C$310,2,FALSE)</f>
        <v>HAR_shallow_L2</v>
      </c>
      <c r="D86" s="252" t="str">
        <f>VLOOKUP(B86,Plantings!$A$2:$C$310,3,FALSE)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VLOOKUP(B86,Plantings!$A$2:$E$310,4,FALSE)</f>
        <v>line</v>
      </c>
      <c r="X86" s="251" t="str">
        <f>VLOOKUP(B86,Plantings!$A$2:$E$310,5,FALSE)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VLOOKUP(B87,Plantings!$A$2:$C$310,2,FALSE)</f>
        <v>HAR_shallow_L2</v>
      </c>
      <c r="D87" s="252" t="str">
        <f>VLOOKUP(B87,Plantings!$A$2:$C$310,3,FALSE)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VLOOKUP(B87,Plantings!$A$2:$E$310,4,FALSE)</f>
        <v>line</v>
      </c>
      <c r="X87" s="251" t="str">
        <f>VLOOKUP(B87,Plantings!$A$2:$E$310,5,FALSE)</f>
        <v>retain</v>
      </c>
      <c r="Y87" t="s">
        <v>146</v>
      </c>
      <c r="Z87">
        <v>-1.2</v>
      </c>
      <c r="AA87" s="5"/>
      <c r="AF87" s="109"/>
      <c r="AL87" s="13" t="s">
        <v>2020</v>
      </c>
    </row>
    <row r="88" spans="1:38" x14ac:dyDescent="0.25">
      <c r="A88" s="1" t="s">
        <v>165</v>
      </c>
      <c r="B88" t="s">
        <v>1998</v>
      </c>
      <c r="C88" s="252" t="str">
        <f>VLOOKUP(B88,Plantings!$A$2:$C$310,2,FALSE)</f>
        <v>HAR_shallow_L3</v>
      </c>
      <c r="D88" s="252" t="str">
        <f>VLOOKUP(B88,Plantings!$A$2:$C$310,3,FALSE)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VLOOKUP(B88,Plantings!$A$2:$E$310,4,FALSE)</f>
        <v>line</v>
      </c>
      <c r="X88" s="251" t="str">
        <f>VLOOKUP(B88,Plantings!$A$2:$E$310,5,FALSE)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VLOOKUP(B89,Plantings!$A$2:$C$310,2,FALSE)</f>
        <v>HAR_shallow_L3</v>
      </c>
      <c r="D89" s="252" t="str">
        <f>VLOOKUP(B89,Plantings!$A$2:$C$310,3,FALSE)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VLOOKUP(B89,Plantings!$A$2:$E$310,4,FALSE)</f>
        <v>line</v>
      </c>
      <c r="X89" s="251" t="str">
        <f>VLOOKUP(B89,Plantings!$A$2:$E$310,5,FALSE)</f>
        <v>retain</v>
      </c>
      <c r="Y89" t="s">
        <v>146</v>
      </c>
      <c r="Z89">
        <v>-1</v>
      </c>
      <c r="AA89" s="5"/>
      <c r="AF89" s="109"/>
      <c r="AH89" s="130"/>
      <c r="AI89" s="5"/>
      <c r="AJ89" s="5"/>
      <c r="AL89" s="13" t="s">
        <v>2014</v>
      </c>
    </row>
    <row r="90" spans="1:38" x14ac:dyDescent="0.25">
      <c r="A90" s="1" t="s">
        <v>165</v>
      </c>
      <c r="B90" s="1" t="s">
        <v>2000</v>
      </c>
      <c r="C90" s="252" t="str">
        <f>VLOOKUP(B90,Plantings!$A$2:$C$310,2,FALSE)</f>
        <v>HAR_5</v>
      </c>
      <c r="D90" s="252" t="str">
        <f>VLOOKUP(B90,Plantings!$A$2:$C$310,3,FALSE)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VLOOKUP(B90,Plantings!$A$2:$E$310,4,FALSE)</f>
        <v>point</v>
      </c>
      <c r="X90" s="251" t="str">
        <f>VLOOKUP(B90,Plantings!$A$2:$E$310,5,FALSE)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VLOOKUP(B91,Plantings!$A$2:$C$310,2,FALSE)</f>
        <v>HAR_6</v>
      </c>
      <c r="D91" s="252" t="str">
        <f>VLOOKUP(B91,Plantings!$A$2:$C$310,3,FALSE)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VLOOKUP(B91,Plantings!$A$2:$E$310,4,FALSE)</f>
        <v>point</v>
      </c>
      <c r="X91" s="251" t="str">
        <f>VLOOKUP(B91,Plantings!$A$2:$E$310,5,FALSE)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VLOOKUP(B92,Plantings!$A$2:$C$310,2,FALSE)</f>
        <v>HRI</v>
      </c>
      <c r="D92" s="252" t="str">
        <f>VLOOKUP(B92,Plantings!$A$2:$C$310,3,FALSE)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VLOOKUP(B92,Plantings!$A$2:$E$310,4,FALSE)</f>
        <v>point</v>
      </c>
      <c r="X92" s="251" t="str">
        <f>VLOOKUP(B92,Plantings!$A$2:$E$310,5,FALSE)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VLOOKUP(B93,Plantings!$A$2:$C$310,2,FALSE)</f>
        <v>HPT_south_1</v>
      </c>
      <c r="D93" s="252" t="str">
        <f>VLOOKUP(B93,Plantings!$A$2:$C$310,3,FALSE)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VLOOKUP(B93,Plantings!$A$2:$E$310,4,FALSE)</f>
        <v>point</v>
      </c>
      <c r="X93" s="251" t="str">
        <f>VLOOKUP(B93,Plantings!$A$2:$E$310,5,FALSE)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VLOOKUP(B94,Plantings!$A$2:$C$310,2,FALSE)</f>
        <v>HPT_north_2</v>
      </c>
      <c r="D94" s="252" t="str">
        <f>VLOOKUP(B94,Plantings!$A$2:$C$310,3,FALSE)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VLOOKUP(B94,Plantings!$A$2:$E$310,4,FALSE)</f>
        <v>point</v>
      </c>
      <c r="X94" s="251" t="str">
        <f>VLOOKUP(B94,Plantings!$A$2:$E$310,5,FALSE)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VLOOKUP(B95,Plantings!$A$2:$C$310,2,FALSE)</f>
        <v>HPT_south_2</v>
      </c>
      <c r="D95" s="252" t="str">
        <f>VLOOKUP(B95,Plantings!$A$2:$C$310,3,FALSE)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VLOOKUP(B95,Plantings!$A$2:$E$310,4,FALSE)</f>
        <v>point</v>
      </c>
      <c r="X95" s="251" t="str">
        <f>VLOOKUP(B95,Plantings!$A$2:$E$310,5,FALSE)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VLOOKUP(B96,Plantings!$A$2:$C$310,2,FALSE)</f>
        <v>HPT_north_2</v>
      </c>
      <c r="D96" s="252" t="str">
        <f>VLOOKUP(B96,Plantings!$A$2:$C$310,3,FALSE)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VLOOKUP(B96,Plantings!$A$2:$E$310,4,FALSE)</f>
        <v>point</v>
      </c>
      <c r="X96" s="251" t="str">
        <f>VLOOKUP(B96,Plantings!$A$2:$E$310,5,FALSE)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VLOOKUP(B97,Plantings!$A$2:$C$310,2,FALSE)</f>
        <v>JSP_mid_shallow</v>
      </c>
      <c r="D97" s="252" t="str">
        <f>VLOOKUP(B97,Plantings!$A$2:$C$310,3,FALSE)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VLOOKUP(B97,Plantings!$A$2:$E$310,4,FALSE)</f>
        <v>point</v>
      </c>
      <c r="X97" s="251" t="str">
        <f>VLOOKUP(B97,Plantings!$A$2:$E$310,5,FALSE)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VLOOKUP(B98,Plantings!$A$2:$C$310,2,FALSE)</f>
        <v>JSP_mid_deep</v>
      </c>
      <c r="D98" s="252" t="str">
        <f>VLOOKUP(B98,Plantings!$A$2:$C$310,3,FALSE)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VLOOKUP(B98,Plantings!$A$2:$E$310,4,FALSE)</f>
        <v>point</v>
      </c>
      <c r="X98" s="251" t="str">
        <f>VLOOKUP(B98,Plantings!$A$2:$E$310,5,FALSE)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VLOOKUP(B99,Plantings!$A$2:$C$310,2,FALSE)</f>
        <v>JSP_mid_south_P1</v>
      </c>
      <c r="D99" s="252" t="str">
        <f>VLOOKUP(B99,Plantings!$A$2:$C$310,3,FALSE)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VLOOKUP(B99,Plantings!$A$2:$E$310,4,FALSE)</f>
        <v>polygon</v>
      </c>
      <c r="X99" s="251" t="str">
        <f>VLOOKUP(B99,Plantings!$A$2:$E$310,5,FALSE)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VLOOKUP(B100,Plantings!$A$2:$C$310,2,FALSE)</f>
        <v>JSP_mid_south_P1</v>
      </c>
      <c r="D100" s="252" t="str">
        <f>VLOOKUP(B100,Plantings!$A$2:$C$310,3,FALSE)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VLOOKUP(B100,Plantings!$A$2:$E$310,4,FALSE)</f>
        <v>polygon</v>
      </c>
      <c r="X100" s="251" t="str">
        <f>VLOOKUP(B100,Plantings!$A$2:$E$310,5,FALSE)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VLOOKUP(B101,Plantings!$A$2:$C$310,2,FALSE)</f>
        <v>JSP_mid_south_P1</v>
      </c>
      <c r="D101" s="252" t="str">
        <f>VLOOKUP(B101,Plantings!$A$2:$C$310,3,FALSE)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VLOOKUP(B101,Plantings!$A$2:$E$310,4,FALSE)</f>
        <v>polygon</v>
      </c>
      <c r="X101" s="251" t="str">
        <f>VLOOKUP(B101,Plantings!$A$2:$E$310,5,FALSE)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VLOOKUP(B102,Plantings!$A$2:$C$310,2,FALSE)</f>
        <v>JSP_mid_south_P1</v>
      </c>
      <c r="D102" s="252" t="str">
        <f>VLOOKUP(B102,Plantings!$A$2:$C$310,3,FALSE)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VLOOKUP(B102,Plantings!$A$2:$E$310,4,FALSE)</f>
        <v>polygon</v>
      </c>
      <c r="X102" s="251" t="str">
        <f>VLOOKUP(B102,Plantings!$A$2:$E$310,5,FALSE)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VLOOKUP(B103,Plantings!$A$2:$C$310,2,FALSE)</f>
        <v>JSP_mid_north_P1</v>
      </c>
      <c r="D103" s="252" t="str">
        <f>VLOOKUP(B103,Plantings!$A$2:$C$310,3,FALSE)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VLOOKUP(B103,Plantings!$A$2:$E$310,4,FALSE)</f>
        <v>polygon</v>
      </c>
      <c r="X103" s="251" t="str">
        <f>VLOOKUP(B103,Plantings!$A$2:$E$310,5,FALSE)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VLOOKUP(B104,Plantings!$A$2:$C$310,2,FALSE)</f>
        <v>JSP_mid_north_P1</v>
      </c>
      <c r="D104" s="252" t="str">
        <f>VLOOKUP(B104,Plantings!$A$2:$C$310,3,FALSE)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VLOOKUP(B104,Plantings!$A$2:$E$310,4,FALSE)</f>
        <v>polygon</v>
      </c>
      <c r="X104" s="251" t="str">
        <f>VLOOKUP(B104,Plantings!$A$2:$E$310,5,FALSE)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VLOOKUP(B105,Plantings!$A$2:$C$310,2,FALSE)</f>
        <v>JSP_mid_north_P1</v>
      </c>
      <c r="D105" s="252" t="str">
        <f>VLOOKUP(B105,Plantings!$A$2:$C$310,3,FALSE)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VLOOKUP(B105,Plantings!$A$2:$E$310,4,FALSE)</f>
        <v>polygon</v>
      </c>
      <c r="X105" s="251" t="str">
        <f>VLOOKUP(B105,Plantings!$A$2:$E$310,5,FALSE)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VLOOKUP(B106,Plantings!$A$2:$C$310,2,FALSE)</f>
        <v>JSP_mid_north_P1</v>
      </c>
      <c r="D106" s="252" t="str">
        <f>VLOOKUP(B106,Plantings!$A$2:$C$310,3,FALSE)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VLOOKUP(B106,Plantings!$A$2:$E$310,4,FALSE)</f>
        <v>polygon</v>
      </c>
      <c r="X106" s="251" t="str">
        <f>VLOOKUP(B106,Plantings!$A$2:$E$310,5,FALSE)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VLOOKUP(B107,Plantings!$A$2:$C$310,2,FALSE)</f>
        <v>JSP_southeast</v>
      </c>
      <c r="D107" s="252" t="str">
        <f>VLOOKUP(B107,Plantings!$A$2:$C$310,3,FALSE)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VLOOKUP(B107,Plantings!$A$2:$E$310,4,FALSE)</f>
        <v>point</v>
      </c>
      <c r="X107" s="251" t="str">
        <f>VLOOKUP(B107,Plantings!$A$2:$E$310,5,FALSE)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VLOOKUP(B108,Plantings!$A$2:$C$310,2,FALSE)</f>
        <v>JSP_north</v>
      </c>
      <c r="D108" s="252" t="str">
        <f>VLOOKUP(B108,Plantings!$A$2:$C$310,3,FALSE)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VLOOKUP(B108,Plantings!$A$2:$E$310,4,FALSE)</f>
        <v>line</v>
      </c>
      <c r="X108" s="251" t="str">
        <f>VLOOKUP(B108,Plantings!$A$2:$E$310,5,FALSE)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VLOOKUP(B109,Plantings!$A$2:$C$310,2,FALSE)</f>
        <v>JSP_north</v>
      </c>
      <c r="D109" s="252" t="str">
        <f>VLOOKUP(B109,Plantings!$A$2:$C$310,3,FALSE)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VLOOKUP(B109,Plantings!$A$2:$E$310,4,FALSE)</f>
        <v>line</v>
      </c>
      <c r="X109" s="251" t="str">
        <f>VLOOKUP(B109,Plantings!$A$2:$E$310,5,FALSE)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VLOOKUP(B110,Plantings!$A$2:$C$310,2,FALSE)</f>
        <v>JSP_south_P1</v>
      </c>
      <c r="D110" s="252" t="str">
        <f>VLOOKUP(B110,Plantings!$A$2:$C$310,3,FALSE)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VLOOKUP(B110,Plantings!$A$2:$E$310,4,FALSE)</f>
        <v>polygon</v>
      </c>
      <c r="X110" s="251" t="str">
        <f>VLOOKUP(B110,Plantings!$A$2:$E$310,5,FALSE)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VLOOKUP(B111,Plantings!$A$2:$C$310,2,FALSE)</f>
        <v>JSP_south_P1</v>
      </c>
      <c r="D111" s="252" t="str">
        <f>VLOOKUP(B111,Plantings!$A$2:$C$310,3,FALSE)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VLOOKUP(B111,Plantings!$A$2:$E$310,4,FALSE)</f>
        <v>polygon</v>
      </c>
      <c r="X111" s="251" t="str">
        <f>VLOOKUP(B111,Plantings!$A$2:$E$310,5,FALSE)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VLOOKUP(B112,Plantings!$A$2:$C$310,2,FALSE)</f>
        <v>JSP_south_P1</v>
      </c>
      <c r="D112" s="252" t="str">
        <f>VLOOKUP(B112,Plantings!$A$2:$C$310,3,FALSE)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VLOOKUP(B112,Plantings!$A$2:$E$310,4,FALSE)</f>
        <v>polygon</v>
      </c>
      <c r="X112" s="251" t="str">
        <f>VLOOKUP(B112,Plantings!$A$2:$E$310,5,FALSE)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VLOOKUP(B113,Plantings!$A$2:$C$310,2,FALSE)</f>
        <v>JSP_south_P1</v>
      </c>
      <c r="D113" s="252" t="str">
        <f>VLOOKUP(B113,Plantings!$A$2:$C$310,3,FALSE)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VLOOKUP(B113,Plantings!$A$2:$E$310,4,FALSE)</f>
        <v>polygon</v>
      </c>
      <c r="X113" s="251" t="str">
        <f>VLOOKUP(B113,Plantings!$A$2:$E$310,5,FALSE)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VLOOKUP(B114,Plantings!$A$2:$C$310,2,FALSE)</f>
        <v>JSP_chia_1</v>
      </c>
      <c r="D114" s="252" t="str">
        <f>VLOOKUP(B114,Plantings!$A$2:$C$310,3,FALSE)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VLOOKUP(B114,Plantings!$A$2:$E$310,4,FALSE)</f>
        <v>point</v>
      </c>
      <c r="X114" s="251" t="str">
        <f>VLOOKUP(B114,Plantings!$A$2:$E$310,5,FALSE)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VLOOKUP(B115,Plantings!$A$2:$C$310,2,FALSE)</f>
        <v>JSP_north_L1</v>
      </c>
      <c r="D115" s="252" t="str">
        <f>VLOOKUP(B115,Plantings!$A$2:$C$310,3,FALSE)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VLOOKUP(B115,Plantings!$A$2:$E$310,4,FALSE)</f>
        <v>line</v>
      </c>
      <c r="X115" s="251" t="str">
        <f>VLOOKUP(B115,Plantings!$A$2:$E$310,5,FALSE)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VLOOKUP(B116,Plantings!$A$2:$C$310,2,FALSE)</f>
        <v>JSP_north_L1</v>
      </c>
      <c r="D116" s="252" t="str">
        <f>VLOOKUP(B116,Plantings!$A$2:$C$310,3,FALSE)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VLOOKUP(B116,Plantings!$A$2:$E$310,4,FALSE)</f>
        <v>line</v>
      </c>
      <c r="X116" s="251" t="str">
        <f>VLOOKUP(B116,Plantings!$A$2:$E$310,5,FALSE)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VLOOKUP(B117,Plantings!$A$2:$C$310,2,FALSE)</f>
        <v>JSP_north_L2</v>
      </c>
      <c r="D117" s="252" t="str">
        <f>VLOOKUP(B117,Plantings!$A$2:$C$310,3,FALSE)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VLOOKUP(B117,Plantings!$A$2:$E$310,4,FALSE)</f>
        <v>line</v>
      </c>
      <c r="X117" s="251" t="str">
        <f>VLOOKUP(B117,Plantings!$A$2:$E$310,5,FALSE)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VLOOKUP(B118,Plantings!$A$2:$C$310,2,FALSE)</f>
        <v>JSP_north_L2</v>
      </c>
      <c r="D118" s="252" t="str">
        <f>VLOOKUP(B118,Plantings!$A$2:$C$310,3,FALSE)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VLOOKUP(B118,Plantings!$A$2:$E$310,4,FALSE)</f>
        <v>line</v>
      </c>
      <c r="X118" s="251" t="str">
        <f>VLOOKUP(B118,Plantings!$A$2:$E$310,5,FALSE)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VLOOKUP(B119,Plantings!$A$2:$C$310,2,FALSE)</f>
        <v>JSP_south_P2</v>
      </c>
      <c r="D119" s="252" t="str">
        <f>VLOOKUP(B119,Plantings!$A$2:$C$310,3,FALSE)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VLOOKUP(B119,Plantings!$A$2:$E$310,4,FALSE)</f>
        <v>polygon</v>
      </c>
      <c r="X119" s="251" t="str">
        <f>VLOOKUP(B119,Plantings!$A$2:$E$310,5,FALSE)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VLOOKUP(B120,Plantings!$A$2:$C$310,2,FALSE)</f>
        <v>JSP_south_P2</v>
      </c>
      <c r="D120" s="252" t="str">
        <f>VLOOKUP(B120,Plantings!$A$2:$C$310,3,FALSE)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VLOOKUP(B120,Plantings!$A$2:$E$310,4,FALSE)</f>
        <v>polygon</v>
      </c>
      <c r="X120" s="251" t="str">
        <f>VLOOKUP(B120,Plantings!$A$2:$E$310,5,FALSE)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VLOOKUP(B121,Plantings!$A$2:$C$310,2,FALSE)</f>
        <v>JSP_south_P2</v>
      </c>
      <c r="D121" s="252" t="str">
        <f>VLOOKUP(B121,Plantings!$A$2:$C$310,3,FALSE)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VLOOKUP(B121,Plantings!$A$2:$E$310,4,FALSE)</f>
        <v>polygon</v>
      </c>
      <c r="X121" s="251" t="str">
        <f>VLOOKUP(B121,Plantings!$A$2:$E$310,5,FALSE)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VLOOKUP(B122,Plantings!$A$2:$C$310,2,FALSE)</f>
        <v>JSP_south_P2</v>
      </c>
      <c r="D122" s="252" t="str">
        <f>VLOOKUP(B122,Plantings!$A$2:$C$310,3,FALSE)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VLOOKUP(B122,Plantings!$A$2:$E$310,4,FALSE)</f>
        <v>polygon</v>
      </c>
      <c r="X122" s="251" t="str">
        <f>VLOOKUP(B122,Plantings!$A$2:$E$310,5,FALSE)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VLOOKUP(B123,Plantings!$A$2:$C$310,2,FALSE)</f>
        <v>JSP_south_P3</v>
      </c>
      <c r="D123" s="252" t="str">
        <f>VLOOKUP(B123,Plantings!$A$2:$C$310,3,FALSE)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VLOOKUP(B123,Plantings!$A$2:$E$310,4,FALSE)</f>
        <v>polygon</v>
      </c>
      <c r="X123" s="251" t="str">
        <f>VLOOKUP(B123,Plantings!$A$2:$E$310,5,FALSE)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VLOOKUP(B124,Plantings!$A$2:$C$310,2,FALSE)</f>
        <v>JSP_south_P3</v>
      </c>
      <c r="D124" s="252" t="str">
        <f>VLOOKUP(B124,Plantings!$A$2:$C$310,3,FALSE)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VLOOKUP(B124,Plantings!$A$2:$E$310,4,FALSE)</f>
        <v>polygon</v>
      </c>
      <c r="X124" s="251" t="str">
        <f>VLOOKUP(B124,Plantings!$A$2:$E$310,5,FALSE)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VLOOKUP(B125,Plantings!$A$2:$C$310,2,FALSE)</f>
        <v>JSP_south_P3</v>
      </c>
      <c r="D125" s="252" t="str">
        <f>VLOOKUP(B125,Plantings!$A$2:$C$310,3,FALSE)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VLOOKUP(B125,Plantings!$A$2:$E$310,4,FALSE)</f>
        <v>polygon</v>
      </c>
      <c r="X125" s="251" t="str">
        <f>VLOOKUP(B125,Plantings!$A$2:$E$310,5,FALSE)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VLOOKUP(B126,Plantings!$A$2:$C$310,2,FALSE)</f>
        <v>JSP_south_P3</v>
      </c>
      <c r="D126" s="252" t="str">
        <f>VLOOKUP(B126,Plantings!$A$2:$C$310,3,FALSE)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VLOOKUP(B126,Plantings!$A$2:$E$310,4,FALSE)</f>
        <v>polygon</v>
      </c>
      <c r="X126" s="251" t="str">
        <f>VLOOKUP(B126,Plantings!$A$2:$E$310,5,FALSE)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VLOOKUP(B127,Plantings!$A$2:$C$310,2,FALSE)</f>
        <v>JSP_south_P4</v>
      </c>
      <c r="D127" s="252" t="str">
        <f>VLOOKUP(B127,Plantings!$A$2:$C$310,3,FALSE)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VLOOKUP(B127,Plantings!$A$2:$E$310,4,FALSE)</f>
        <v>polygon</v>
      </c>
      <c r="X127" s="251" t="str">
        <f>VLOOKUP(B127,Plantings!$A$2:$E$310,5,FALSE)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VLOOKUP(B128,Plantings!$A$2:$C$310,2,FALSE)</f>
        <v>JSP_south_P4</v>
      </c>
      <c r="D128" s="252" t="str">
        <f>VLOOKUP(B128,Plantings!$A$2:$C$310,3,FALSE)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VLOOKUP(B128,Plantings!$A$2:$E$310,4,FALSE)</f>
        <v>polygon</v>
      </c>
      <c r="X128" s="251" t="str">
        <f>VLOOKUP(B128,Plantings!$A$2:$E$310,5,FALSE)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VLOOKUP(B129,Plantings!$A$2:$C$310,2,FALSE)</f>
        <v>JSP_south_P4</v>
      </c>
      <c r="D129" s="252" t="str">
        <f>VLOOKUP(B129,Plantings!$A$2:$C$310,3,FALSE)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VLOOKUP(B129,Plantings!$A$2:$E$310,4,FALSE)</f>
        <v>polygon</v>
      </c>
      <c r="X129" s="251" t="str">
        <f>VLOOKUP(B129,Plantings!$A$2:$E$310,5,FALSE)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VLOOKUP(B130,Plantings!$A$2:$C$310,2,FALSE)</f>
        <v>JSP_south_P4</v>
      </c>
      <c r="D130" s="252" t="str">
        <f>VLOOKUP(B130,Plantings!$A$2:$C$310,3,FALSE)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VLOOKUP(B130,Plantings!$A$2:$E$310,4,FALSE)</f>
        <v>polygon</v>
      </c>
      <c r="X130" s="251" t="str">
        <f>VLOOKUP(B130,Plantings!$A$2:$E$310,5,FALSE)</f>
        <v>drop</v>
      </c>
      <c r="Y130" s="7" t="s">
        <v>146</v>
      </c>
      <c r="AF130" s="109" t="str">
        <f t="shared" si="20"/>
        <v/>
      </c>
      <c r="AG130" s="38"/>
      <c r="AH130" s="38"/>
      <c r="AI130" s="5" t="str">
        <f t="shared" si="21"/>
        <v/>
      </c>
      <c r="AJ130" s="5" t="str">
        <f t="shared" si="22"/>
        <v/>
      </c>
      <c r="AL130" s="160"/>
    </row>
    <row r="131" spans="1:38" x14ac:dyDescent="0.25">
      <c r="A131" s="1" t="s">
        <v>147</v>
      </c>
      <c r="B131" s="1" t="s">
        <v>1104</v>
      </c>
      <c r="C131" s="252" t="str">
        <f>VLOOKUP(B131,Plantings!$A$2:$C$310,2,FALSE)</f>
        <v>JSP_mid_AG1</v>
      </c>
      <c r="D131" s="252" t="str">
        <f>VLOOKUP(B131,Plantings!$A$2:$C$310,3,FALSE)</f>
        <v>single</v>
      </c>
      <c r="E131" s="1">
        <v>2017</v>
      </c>
      <c r="F131" s="1"/>
      <c r="G131" s="1" t="s">
        <v>410</v>
      </c>
      <c r="H131" s="1" t="s">
        <v>37</v>
      </c>
      <c r="I131" t="s">
        <v>403</v>
      </c>
      <c r="J131" s="1" t="s">
        <v>161</v>
      </c>
      <c r="K131" s="1" t="s">
        <v>163</v>
      </c>
      <c r="L131" s="1" t="s">
        <v>227</v>
      </c>
      <c r="M131" s="1"/>
      <c r="N131" s="1"/>
      <c r="O131" s="1"/>
      <c r="P131" s="1"/>
      <c r="Q131" s="1"/>
      <c r="R131" s="1" t="s">
        <v>22</v>
      </c>
      <c r="S131" s="1" t="s">
        <v>22</v>
      </c>
      <c r="T131" s="134">
        <v>42880</v>
      </c>
      <c r="U131" s="4">
        <v>47.222461000000003</v>
      </c>
      <c r="V131" s="4">
        <v>-122.810239</v>
      </c>
      <c r="W131" s="252" t="str">
        <f>VLOOKUP(B131,Plantings!$A$2:$E$310,4,FALSE)</f>
        <v>point</v>
      </c>
      <c r="X131" s="251" t="str">
        <f>VLOOKUP(B131,Plantings!$A$2:$E$310,5,FALSE)</f>
        <v>retain</v>
      </c>
      <c r="Y131" s="7" t="s">
        <v>146</v>
      </c>
      <c r="Z131">
        <v>-1.1499999999999999</v>
      </c>
      <c r="AA131" t="s">
        <v>166</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117</v>
      </c>
      <c r="AL131" s="160" t="s">
        <v>1899</v>
      </c>
    </row>
    <row r="132" spans="1:38" x14ac:dyDescent="0.25">
      <c r="A132" s="1" t="s">
        <v>147</v>
      </c>
      <c r="B132" s="1" t="s">
        <v>1105</v>
      </c>
      <c r="C132" s="252" t="str">
        <f>VLOOKUP(B132,Plantings!$A$2:$C$310,2,FALSE)</f>
        <v>JSP_mid_BG1</v>
      </c>
      <c r="D132" s="252" t="str">
        <f>VLOOKUP(B132,Plantings!$A$2:$C$310,3,FALSE)</f>
        <v>single</v>
      </c>
      <c r="E132" s="1">
        <v>2017</v>
      </c>
      <c r="F132" s="1"/>
      <c r="G132" s="1" t="s">
        <v>410</v>
      </c>
      <c r="H132" s="1" t="s">
        <v>37</v>
      </c>
      <c r="I132" t="s">
        <v>403</v>
      </c>
      <c r="J132" s="1" t="s">
        <v>161</v>
      </c>
      <c r="K132" s="1" t="s">
        <v>163</v>
      </c>
      <c r="L132" s="1" t="s">
        <v>227</v>
      </c>
      <c r="M132" s="1"/>
      <c r="N132" s="1"/>
      <c r="O132" s="1"/>
      <c r="P132" s="1"/>
      <c r="Q132" s="1"/>
      <c r="R132" s="1" t="s">
        <v>22</v>
      </c>
      <c r="S132" s="25" t="s">
        <v>518</v>
      </c>
      <c r="T132" s="134">
        <v>42880</v>
      </c>
      <c r="U132" s="4">
        <v>47.222489000000003</v>
      </c>
      <c r="V132" s="4">
        <v>-122.81026199999999</v>
      </c>
      <c r="W132" s="252" t="str">
        <f>VLOOKUP(B132,Plantings!$A$2:$E$310,4,FALSE)</f>
        <v>point</v>
      </c>
      <c r="X132" s="251" t="str">
        <f>VLOOKUP(B132,Plantings!$A$2:$E$310,5,FALSE)</f>
        <v>retain</v>
      </c>
      <c r="Y132" s="7" t="s">
        <v>146</v>
      </c>
      <c r="AA132" t="s">
        <v>166</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117</v>
      </c>
      <c r="AL132" s="160" t="s">
        <v>1899</v>
      </c>
    </row>
    <row r="133" spans="1:38" x14ac:dyDescent="0.25">
      <c r="A133" s="1" t="s">
        <v>147</v>
      </c>
      <c r="B133" s="1" t="s">
        <v>1106</v>
      </c>
      <c r="C133" s="252" t="str">
        <f>VLOOKUP(B133,Plantings!$A$2:$C$310,2,FALSE)</f>
        <v>JSP_mid_C1</v>
      </c>
      <c r="D133" s="252" t="str">
        <f>VLOOKUP(B133,Plantings!$A$2:$C$310,3,FALSE)</f>
        <v>single</v>
      </c>
      <c r="E133" s="1">
        <v>2017</v>
      </c>
      <c r="F133" s="1"/>
      <c r="G133" s="1" t="s">
        <v>410</v>
      </c>
      <c r="H133" s="1" t="s">
        <v>37</v>
      </c>
      <c r="I133" t="s">
        <v>403</v>
      </c>
      <c r="J133" s="1" t="s">
        <v>161</v>
      </c>
      <c r="K133" s="1" t="s">
        <v>163</v>
      </c>
      <c r="L133" s="1" t="s">
        <v>227</v>
      </c>
      <c r="M133" s="1"/>
      <c r="N133" s="1"/>
      <c r="O133" s="1"/>
      <c r="P133" s="1"/>
      <c r="Q133" s="1"/>
      <c r="R133" s="1" t="s">
        <v>22</v>
      </c>
      <c r="S133" s="25" t="s">
        <v>518</v>
      </c>
      <c r="T133" s="134">
        <v>42880</v>
      </c>
      <c r="U133" s="4">
        <v>47.222512000000002</v>
      </c>
      <c r="V133" s="4">
        <v>-122.810267</v>
      </c>
      <c r="W133" s="252" t="str">
        <f>VLOOKUP(B133,Plantings!$A$2:$E$310,4,FALSE)</f>
        <v>point</v>
      </c>
      <c r="X133" s="251" t="str">
        <f>VLOOKUP(B133,Plantings!$A$2:$E$310,5,FALSE)</f>
        <v>retain</v>
      </c>
      <c r="Y133" s="7" t="s">
        <v>146</v>
      </c>
      <c r="AA133" t="s">
        <v>166</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117</v>
      </c>
      <c r="AL133" s="160" t="s">
        <v>1899</v>
      </c>
    </row>
    <row r="134" spans="1:38" x14ac:dyDescent="0.25">
      <c r="A134" s="1" t="s">
        <v>147</v>
      </c>
      <c r="B134" s="1" t="s">
        <v>1107</v>
      </c>
      <c r="C134" s="252" t="str">
        <f>VLOOKUP(B134,Plantings!$A$2:$C$310,2,FALSE)</f>
        <v>JSP_mid_AG2</v>
      </c>
      <c r="D134" s="252" t="str">
        <f>VLOOKUP(B134,Plantings!$A$2:$C$310,3,FALSE)</f>
        <v>single</v>
      </c>
      <c r="E134" s="1">
        <v>2017</v>
      </c>
      <c r="F134" s="1"/>
      <c r="G134" s="1" t="s">
        <v>410</v>
      </c>
      <c r="H134" s="1" t="s">
        <v>37</v>
      </c>
      <c r="I134" t="s">
        <v>403</v>
      </c>
      <c r="J134" s="1" t="s">
        <v>161</v>
      </c>
      <c r="K134" s="1" t="s">
        <v>163</v>
      </c>
      <c r="L134" s="1" t="s">
        <v>227</v>
      </c>
      <c r="M134" s="1"/>
      <c r="N134" s="1"/>
      <c r="O134" s="1"/>
      <c r="P134" s="1"/>
      <c r="Q134" s="1"/>
      <c r="R134" s="1" t="s">
        <v>22</v>
      </c>
      <c r="S134" s="25" t="s">
        <v>518</v>
      </c>
      <c r="T134" s="134">
        <v>42880</v>
      </c>
      <c r="U134" s="4">
        <v>47.222541999999997</v>
      </c>
      <c r="V134" s="4">
        <v>-122.81027899999999</v>
      </c>
      <c r="W134" s="252" t="str">
        <f>VLOOKUP(B134,Plantings!$A$2:$E$310,4,FALSE)</f>
        <v>point</v>
      </c>
      <c r="X134" s="251" t="str">
        <f>VLOOKUP(B134,Plantings!$A$2:$E$310,5,FALSE)</f>
        <v>retain</v>
      </c>
      <c r="Y134" s="7" t="s">
        <v>146</v>
      </c>
      <c r="AA134" t="s">
        <v>166</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117</v>
      </c>
      <c r="AL134" s="160" t="s">
        <v>1899</v>
      </c>
    </row>
    <row r="135" spans="1:38" x14ac:dyDescent="0.25">
      <c r="A135" s="1" t="s">
        <v>147</v>
      </c>
      <c r="B135" s="1" t="s">
        <v>1108</v>
      </c>
      <c r="C135" s="252" t="str">
        <f>VLOOKUP(B135,Plantings!$A$2:$C$310,2,FALSE)</f>
        <v>JSP_mid_C2</v>
      </c>
      <c r="D135" s="252" t="str">
        <f>VLOOKUP(B135,Plantings!$A$2:$C$310,3,FALSE)</f>
        <v>single</v>
      </c>
      <c r="E135" s="1">
        <v>2017</v>
      </c>
      <c r="F135" s="1"/>
      <c r="G135" s="1" t="s">
        <v>410</v>
      </c>
      <c r="H135" s="1" t="s">
        <v>37</v>
      </c>
      <c r="I135" t="s">
        <v>403</v>
      </c>
      <c r="J135" s="1" t="s">
        <v>161</v>
      </c>
      <c r="K135" s="1" t="s">
        <v>163</v>
      </c>
      <c r="L135" s="1" t="s">
        <v>227</v>
      </c>
      <c r="M135" s="1"/>
      <c r="N135" s="1"/>
      <c r="O135" s="1"/>
      <c r="P135" s="1"/>
      <c r="Q135" s="1"/>
      <c r="R135" s="1" t="s">
        <v>22</v>
      </c>
      <c r="S135" s="25" t="s">
        <v>518</v>
      </c>
      <c r="T135" s="134">
        <v>42880</v>
      </c>
      <c r="U135" s="4">
        <v>47.222552</v>
      </c>
      <c r="V135" s="4">
        <v>-122.810293</v>
      </c>
      <c r="W135" s="252" t="str">
        <f>VLOOKUP(B135,Plantings!$A$2:$E$310,4,FALSE)</f>
        <v>point</v>
      </c>
      <c r="X135" s="251" t="str">
        <f>VLOOKUP(B135,Plantings!$A$2:$E$310,5,FALSE)</f>
        <v>retain</v>
      </c>
      <c r="Y135" s="7" t="s">
        <v>146</v>
      </c>
      <c r="AA135" t="s">
        <v>166</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117</v>
      </c>
      <c r="AL135" s="160" t="s">
        <v>1899</v>
      </c>
    </row>
    <row r="136" spans="1:38" x14ac:dyDescent="0.25">
      <c r="A136" s="1" t="s">
        <v>147</v>
      </c>
      <c r="B136" s="1" t="s">
        <v>1109</v>
      </c>
      <c r="C136" s="252" t="str">
        <f>VLOOKUP(B136,Plantings!$A$2:$C$310,2,FALSE)</f>
        <v>JSP_mid_BG2</v>
      </c>
      <c r="D136" s="252" t="str">
        <f>VLOOKUP(B136,Plantings!$A$2:$C$310,3,FALSE)</f>
        <v>single</v>
      </c>
      <c r="E136" s="1">
        <v>2017</v>
      </c>
      <c r="F136" s="1"/>
      <c r="G136" s="1" t="s">
        <v>410</v>
      </c>
      <c r="H136" s="1" t="s">
        <v>37</v>
      </c>
      <c r="I136" t="s">
        <v>403</v>
      </c>
      <c r="J136" s="1" t="s">
        <v>161</v>
      </c>
      <c r="K136" s="1" t="s">
        <v>163</v>
      </c>
      <c r="L136" s="1" t="s">
        <v>227</v>
      </c>
      <c r="M136" s="1"/>
      <c r="N136" s="1"/>
      <c r="O136" s="1"/>
      <c r="P136" s="1"/>
      <c r="Q136" s="1"/>
      <c r="R136" s="1" t="s">
        <v>22</v>
      </c>
      <c r="S136" s="25" t="s">
        <v>518</v>
      </c>
      <c r="T136" s="134">
        <v>42880</v>
      </c>
      <c r="U136" s="4">
        <v>47.222596000000003</v>
      </c>
      <c r="V136" s="4">
        <v>-122.810309</v>
      </c>
      <c r="W136" s="252" t="str">
        <f>VLOOKUP(B136,Plantings!$A$2:$E$310,4,FALSE)</f>
        <v>point</v>
      </c>
      <c r="X136" s="251" t="str">
        <f>VLOOKUP(B136,Plantings!$A$2:$E$310,5,FALSE)</f>
        <v>retain</v>
      </c>
      <c r="Y136" s="7" t="s">
        <v>146</v>
      </c>
      <c r="AA136" t="s">
        <v>166</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117</v>
      </c>
      <c r="AL136" s="160" t="s">
        <v>1899</v>
      </c>
    </row>
    <row r="137" spans="1:38" x14ac:dyDescent="0.25">
      <c r="A137" s="1" t="s">
        <v>147</v>
      </c>
      <c r="B137" s="1" t="s">
        <v>1110</v>
      </c>
      <c r="C137" s="252" t="str">
        <f>VLOOKUP(B137,Plantings!$A$2:$C$310,2,FALSE)</f>
        <v>JSP_mid_C3</v>
      </c>
      <c r="D137" s="252" t="str">
        <f>VLOOKUP(B137,Plantings!$A$2:$C$310,3,FALSE)</f>
        <v>single</v>
      </c>
      <c r="E137" s="1">
        <v>2017</v>
      </c>
      <c r="F137" s="1"/>
      <c r="G137" s="1" t="s">
        <v>410</v>
      </c>
      <c r="H137" s="1" t="s">
        <v>37</v>
      </c>
      <c r="I137" t="s">
        <v>403</v>
      </c>
      <c r="J137" s="1" t="s">
        <v>161</v>
      </c>
      <c r="K137" s="1" t="s">
        <v>163</v>
      </c>
      <c r="L137" s="1" t="s">
        <v>227</v>
      </c>
      <c r="M137" s="1"/>
      <c r="N137" s="1"/>
      <c r="O137" s="1"/>
      <c r="P137" s="1"/>
      <c r="Q137" s="1"/>
      <c r="R137" s="1" t="s">
        <v>22</v>
      </c>
      <c r="S137" s="25" t="s">
        <v>518</v>
      </c>
      <c r="T137" s="134">
        <v>42880</v>
      </c>
      <c r="U137" s="4">
        <v>47.222611999999998</v>
      </c>
      <c r="V137" s="4">
        <v>-122.810312</v>
      </c>
      <c r="W137" s="252" t="str">
        <f>VLOOKUP(B137,Plantings!$A$2:$E$310,4,FALSE)</f>
        <v>point</v>
      </c>
      <c r="X137" s="251" t="str">
        <f>VLOOKUP(B137,Plantings!$A$2:$E$310,5,FALSE)</f>
        <v>retain</v>
      </c>
      <c r="Y137" s="7" t="s">
        <v>146</v>
      </c>
      <c r="AA137" t="s">
        <v>166</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117</v>
      </c>
      <c r="AL137" s="160" t="s">
        <v>1899</v>
      </c>
    </row>
    <row r="138" spans="1:38" x14ac:dyDescent="0.25">
      <c r="A138" s="1" t="s">
        <v>147</v>
      </c>
      <c r="B138" s="1" t="s">
        <v>1111</v>
      </c>
      <c r="C138" s="252" t="str">
        <f>VLOOKUP(B138,Plantings!$A$2:$C$310,2,FALSE)</f>
        <v>JSP_mid_BG3</v>
      </c>
      <c r="D138" s="252" t="str">
        <f>VLOOKUP(B138,Plantings!$A$2:$C$310,3,FALSE)</f>
        <v>single</v>
      </c>
      <c r="E138" s="1">
        <v>2017</v>
      </c>
      <c r="F138" s="1"/>
      <c r="G138" s="1" t="s">
        <v>410</v>
      </c>
      <c r="H138" s="1" t="s">
        <v>37</v>
      </c>
      <c r="I138" t="s">
        <v>403</v>
      </c>
      <c r="J138" s="1" t="s">
        <v>161</v>
      </c>
      <c r="K138" s="1" t="s">
        <v>163</v>
      </c>
      <c r="L138" s="1" t="s">
        <v>227</v>
      </c>
      <c r="M138" s="1"/>
      <c r="N138" s="1"/>
      <c r="O138" s="1"/>
      <c r="P138" s="1"/>
      <c r="Q138" s="1"/>
      <c r="R138" s="1" t="s">
        <v>22</v>
      </c>
      <c r="S138" s="25" t="s">
        <v>518</v>
      </c>
      <c r="T138" s="134">
        <v>42880</v>
      </c>
      <c r="U138" s="4">
        <v>47.222638000000003</v>
      </c>
      <c r="V138" s="4">
        <v>-122.810339</v>
      </c>
      <c r="W138" s="252" t="str">
        <f>VLOOKUP(B138,Plantings!$A$2:$E$310,4,FALSE)</f>
        <v>point</v>
      </c>
      <c r="X138" s="251" t="str">
        <f>VLOOKUP(B138,Plantings!$A$2:$E$310,5,FALSE)</f>
        <v>retain</v>
      </c>
      <c r="Y138" s="7" t="s">
        <v>146</v>
      </c>
      <c r="AA138" t="s">
        <v>166</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117</v>
      </c>
      <c r="AL138" s="160" t="s">
        <v>1899</v>
      </c>
    </row>
    <row r="139" spans="1:38" x14ac:dyDescent="0.25">
      <c r="A139" s="1" t="s">
        <v>147</v>
      </c>
      <c r="B139" s="1" t="s">
        <v>1112</v>
      </c>
      <c r="C139" s="252" t="str">
        <f>VLOOKUP(B139,Plantings!$A$2:$C$310,2,FALSE)</f>
        <v>JSP_mid_C4</v>
      </c>
      <c r="D139" s="252" t="str">
        <f>VLOOKUP(B139,Plantings!$A$2:$C$310,3,FALSE)</f>
        <v>single</v>
      </c>
      <c r="E139" s="1">
        <v>2017</v>
      </c>
      <c r="F139" s="1"/>
      <c r="G139" s="1" t="s">
        <v>410</v>
      </c>
      <c r="H139" s="1" t="s">
        <v>37</v>
      </c>
      <c r="I139" t="s">
        <v>403</v>
      </c>
      <c r="J139" s="1" t="s">
        <v>161</v>
      </c>
      <c r="K139" s="1" t="s">
        <v>163</v>
      </c>
      <c r="L139" s="1" t="s">
        <v>227</v>
      </c>
      <c r="M139" s="1"/>
      <c r="N139" s="1"/>
      <c r="O139" s="1"/>
      <c r="P139" s="1"/>
      <c r="Q139" s="1"/>
      <c r="R139" s="1" t="s">
        <v>22</v>
      </c>
      <c r="S139" s="25" t="s">
        <v>518</v>
      </c>
      <c r="T139" s="134">
        <v>42880</v>
      </c>
      <c r="U139" s="4">
        <v>47.222720000000002</v>
      </c>
      <c r="V139" s="4">
        <v>-122.81038599999999</v>
      </c>
      <c r="W139" s="252" t="str">
        <f>VLOOKUP(B139,Plantings!$A$2:$E$310,4,FALSE)</f>
        <v>point</v>
      </c>
      <c r="X139" s="251" t="str">
        <f>VLOOKUP(B139,Plantings!$A$2:$E$310,5,FALSE)</f>
        <v>retain</v>
      </c>
      <c r="Y139" s="7" t="s">
        <v>146</v>
      </c>
      <c r="AA139" t="s">
        <v>166</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117</v>
      </c>
      <c r="AL139" s="160" t="s">
        <v>1899</v>
      </c>
    </row>
    <row r="140" spans="1:38" x14ac:dyDescent="0.25">
      <c r="A140" s="1" t="s">
        <v>147</v>
      </c>
      <c r="B140" s="1" t="s">
        <v>1113</v>
      </c>
      <c r="C140" s="252" t="str">
        <f>VLOOKUP(B140,Plantings!$A$2:$C$310,2,FALSE)</f>
        <v>JSP_mid_BG4</v>
      </c>
      <c r="D140" s="252" t="str">
        <f>VLOOKUP(B140,Plantings!$A$2:$C$310,3,FALSE)</f>
        <v>single</v>
      </c>
      <c r="E140" s="1">
        <v>2017</v>
      </c>
      <c r="F140" s="1"/>
      <c r="G140" s="1" t="s">
        <v>410</v>
      </c>
      <c r="H140" s="1" t="s">
        <v>37</v>
      </c>
      <c r="I140" t="s">
        <v>403</v>
      </c>
      <c r="J140" s="1" t="s">
        <v>161</v>
      </c>
      <c r="K140" s="1" t="s">
        <v>163</v>
      </c>
      <c r="L140" s="1" t="s">
        <v>227</v>
      </c>
      <c r="M140" s="1"/>
      <c r="N140" s="1"/>
      <c r="O140" s="1"/>
      <c r="P140" s="1"/>
      <c r="Q140" s="1"/>
      <c r="R140" s="1" t="s">
        <v>22</v>
      </c>
      <c r="S140" s="25" t="s">
        <v>518</v>
      </c>
      <c r="T140" s="134">
        <v>42880</v>
      </c>
      <c r="U140" s="4">
        <v>47.222659</v>
      </c>
      <c r="V140" s="4">
        <v>-122.810361</v>
      </c>
      <c r="W140" s="252" t="str">
        <f>VLOOKUP(B140,Plantings!$A$2:$E$310,4,FALSE)</f>
        <v>point</v>
      </c>
      <c r="X140" s="251" t="str">
        <f>VLOOKUP(B140,Plantings!$A$2:$E$310,5,FALSE)</f>
        <v>retain</v>
      </c>
      <c r="Y140" s="7" t="s">
        <v>146</v>
      </c>
      <c r="AA140" t="s">
        <v>166</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117</v>
      </c>
      <c r="AL140" s="160" t="s">
        <v>1899</v>
      </c>
    </row>
    <row r="141" spans="1:38" x14ac:dyDescent="0.25">
      <c r="A141" s="1" t="s">
        <v>147</v>
      </c>
      <c r="B141" s="1" t="s">
        <v>1114</v>
      </c>
      <c r="C141" s="252" t="str">
        <f>VLOOKUP(B141,Plantings!$A$2:$C$310,2,FALSE)</f>
        <v>JSP_mid_AG3</v>
      </c>
      <c r="D141" s="252" t="str">
        <f>VLOOKUP(B141,Plantings!$A$2:$C$310,3,FALSE)</f>
        <v>single</v>
      </c>
      <c r="E141" s="1">
        <v>2017</v>
      </c>
      <c r="F141" s="1"/>
      <c r="G141" s="1" t="s">
        <v>410</v>
      </c>
      <c r="H141" s="1" t="s">
        <v>37</v>
      </c>
      <c r="I141" t="s">
        <v>403</v>
      </c>
      <c r="J141" s="1" t="s">
        <v>161</v>
      </c>
      <c r="K141" s="1" t="s">
        <v>163</v>
      </c>
      <c r="L141" s="1" t="s">
        <v>227</v>
      </c>
      <c r="M141" s="1"/>
      <c r="N141" s="1"/>
      <c r="O141" s="1"/>
      <c r="P141" s="1"/>
      <c r="Q141" s="1"/>
      <c r="R141" s="1" t="s">
        <v>22</v>
      </c>
      <c r="S141" s="25" t="s">
        <v>518</v>
      </c>
      <c r="T141" s="134">
        <v>42880</v>
      </c>
      <c r="U141" s="4">
        <v>47.222687999999998</v>
      </c>
      <c r="V141" s="4">
        <v>-122.810372</v>
      </c>
      <c r="W141" s="252" t="str">
        <f>VLOOKUP(B141,Plantings!$A$2:$E$310,4,FALSE)</f>
        <v>point</v>
      </c>
      <c r="X141" s="251" t="str">
        <f>VLOOKUP(B141,Plantings!$A$2:$E$310,5,FALSE)</f>
        <v>retain</v>
      </c>
      <c r="Y141" s="7" t="s">
        <v>146</v>
      </c>
      <c r="AA141" t="s">
        <v>166</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117</v>
      </c>
      <c r="AL141" s="160" t="s">
        <v>1899</v>
      </c>
    </row>
    <row r="142" spans="1:38" x14ac:dyDescent="0.25">
      <c r="A142" s="1" t="s">
        <v>147</v>
      </c>
      <c r="B142" s="1" t="s">
        <v>1115</v>
      </c>
      <c r="C142" s="252" t="str">
        <f>VLOOKUP(B142,Plantings!$A$2:$C$310,2,FALSE)</f>
        <v>JSP_mid_AG4</v>
      </c>
      <c r="D142" s="252" t="str">
        <f>VLOOKUP(B142,Plantings!$A$2:$C$310,3,FALSE)</f>
        <v>single</v>
      </c>
      <c r="E142" s="1">
        <v>2017</v>
      </c>
      <c r="F142" s="1"/>
      <c r="G142" s="1" t="s">
        <v>410</v>
      </c>
      <c r="H142" s="1" t="s">
        <v>37</v>
      </c>
      <c r="I142" t="s">
        <v>403</v>
      </c>
      <c r="J142" s="1" t="s">
        <v>161</v>
      </c>
      <c r="K142" s="1" t="s">
        <v>163</v>
      </c>
      <c r="L142" s="1" t="s">
        <v>227</v>
      </c>
      <c r="M142" s="1"/>
      <c r="N142" s="1"/>
      <c r="O142" s="1"/>
      <c r="P142" s="1"/>
      <c r="Q142" s="1"/>
      <c r="R142" s="1" t="s">
        <v>22</v>
      </c>
      <c r="S142" s="25" t="s">
        <v>518</v>
      </c>
      <c r="T142" s="134">
        <v>42880</v>
      </c>
      <c r="U142" s="32">
        <v>47.222732999999998</v>
      </c>
      <c r="V142" s="32">
        <v>-122.8104</v>
      </c>
      <c r="W142" s="252" t="str">
        <f>VLOOKUP(B142,Plantings!$A$2:$E$310,4,FALSE)</f>
        <v>point</v>
      </c>
      <c r="X142" s="251" t="str">
        <f>VLOOKUP(B142,Plantings!$A$2:$E$310,5,FALSE)</f>
        <v>retain</v>
      </c>
      <c r="Y142" s="7" t="s">
        <v>146</v>
      </c>
      <c r="AA142" t="s">
        <v>166</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117</v>
      </c>
      <c r="AL142" s="160" t="s">
        <v>1899</v>
      </c>
    </row>
    <row r="143" spans="1:38" x14ac:dyDescent="0.25">
      <c r="A143" s="1" t="s">
        <v>147</v>
      </c>
      <c r="B143" s="1" t="s">
        <v>1116</v>
      </c>
      <c r="C143" s="252" t="str">
        <f>VLOOKUP(B143,Plantings!$A$2:$C$310,2,FALSE)</f>
        <v>JSP_north_P1</v>
      </c>
      <c r="D143" s="252" t="str">
        <f>VLOOKUP(B143,Plantings!$A$2:$C$310,3,FALSE)</f>
        <v>single</v>
      </c>
      <c r="E143" s="1">
        <v>2017</v>
      </c>
      <c r="F143" s="1"/>
      <c r="G143" t="s">
        <v>411</v>
      </c>
      <c r="H143" s="1" t="s">
        <v>37</v>
      </c>
      <c r="I143" t="s">
        <v>403</v>
      </c>
      <c r="J143" s="1" t="s">
        <v>160</v>
      </c>
      <c r="K143" s="1" t="s">
        <v>163</v>
      </c>
      <c r="L143" s="1" t="s">
        <v>227</v>
      </c>
      <c r="M143" s="1"/>
      <c r="N143" s="1"/>
      <c r="O143" s="1"/>
      <c r="P143" s="1"/>
      <c r="Q143" s="1"/>
      <c r="R143" s="1" t="s">
        <v>22</v>
      </c>
      <c r="S143" s="1" t="s">
        <v>22</v>
      </c>
      <c r="T143" s="134">
        <v>42881</v>
      </c>
      <c r="U143" s="30">
        <v>47.226010000000002</v>
      </c>
      <c r="V143" s="30">
        <v>-122.81377000000001</v>
      </c>
      <c r="W143" s="252" t="str">
        <f>VLOOKUP(B143,Plantings!$A$2:$E$310,4,FALSE)</f>
        <v>polygon</v>
      </c>
      <c r="X143" s="251" t="str">
        <f>VLOOKUP(B143,Plantings!$A$2:$E$310,5,FALSE)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VLOOKUP(B144,Plantings!$A$2:$C$310,2,FALSE)</f>
        <v>JSP_north_P1</v>
      </c>
      <c r="D144" s="252" t="str">
        <f>VLOOKUP(B144,Plantings!$A$2:$C$310,3,FALSE)</f>
        <v>single</v>
      </c>
      <c r="E144" s="1">
        <v>2017</v>
      </c>
      <c r="F144" s="1"/>
      <c r="G144" t="s">
        <v>411</v>
      </c>
      <c r="H144" s="1" t="s">
        <v>37</v>
      </c>
      <c r="I144" t="s">
        <v>403</v>
      </c>
      <c r="J144" s="1" t="s">
        <v>160</v>
      </c>
      <c r="K144" s="1" t="s">
        <v>163</v>
      </c>
      <c r="L144" s="1" t="s">
        <v>227</v>
      </c>
      <c r="M144" s="1"/>
      <c r="N144" s="1"/>
      <c r="O144" s="1"/>
      <c r="P144" s="1"/>
      <c r="Q144" s="1"/>
      <c r="R144" s="1" t="s">
        <v>22</v>
      </c>
      <c r="S144" s="25" t="s">
        <v>518</v>
      </c>
      <c r="T144" s="134">
        <v>42881</v>
      </c>
      <c r="U144" s="248"/>
      <c r="V144" s="248"/>
      <c r="W144" s="252" t="str">
        <f>VLOOKUP(B144,Plantings!$A$2:$E$310,4,FALSE)</f>
        <v>polygon</v>
      </c>
      <c r="X144" s="251" t="str">
        <f>VLOOKUP(B144,Plantings!$A$2:$E$310,5,FALSE)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VLOOKUP(B145,Plantings!$A$2:$C$310,2,FALSE)</f>
        <v>JSP_north_P1</v>
      </c>
      <c r="D145" s="252" t="str">
        <f>VLOOKUP(B145,Plantings!$A$2:$C$310,3,FALSE)</f>
        <v>single</v>
      </c>
      <c r="E145" s="1">
        <v>2017</v>
      </c>
      <c r="F145" s="1"/>
      <c r="G145" t="s">
        <v>411</v>
      </c>
      <c r="H145" s="1" t="s">
        <v>37</v>
      </c>
      <c r="I145" t="s">
        <v>403</v>
      </c>
      <c r="J145" s="1" t="s">
        <v>160</v>
      </c>
      <c r="K145" s="1" t="s">
        <v>163</v>
      </c>
      <c r="L145" s="1" t="s">
        <v>227</v>
      </c>
      <c r="M145" s="1"/>
      <c r="N145" s="1"/>
      <c r="O145" s="1"/>
      <c r="P145" s="1"/>
      <c r="Q145" s="1"/>
      <c r="R145" s="1" t="s">
        <v>22</v>
      </c>
      <c r="S145" s="25" t="s">
        <v>518</v>
      </c>
      <c r="T145" s="134">
        <v>42881</v>
      </c>
      <c r="U145" s="30">
        <v>47.225969999999997</v>
      </c>
      <c r="V145" s="30">
        <v>-122.81366</v>
      </c>
      <c r="W145" s="252" t="str">
        <f>VLOOKUP(B145,Plantings!$A$2:$E$310,4,FALSE)</f>
        <v>polygon</v>
      </c>
      <c r="X145" s="251" t="str">
        <f>VLOOKUP(B145,Plantings!$A$2:$E$310,5,FALSE)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VLOOKUP(B146,Plantings!$A$2:$C$310,2,FALSE)</f>
        <v>JSP_north_P1</v>
      </c>
      <c r="D146" s="252" t="str">
        <f>VLOOKUP(B146,Plantings!$A$2:$C$310,3,FALSE)</f>
        <v>single</v>
      </c>
      <c r="E146" s="1">
        <v>2017</v>
      </c>
      <c r="F146" s="1"/>
      <c r="G146" t="s">
        <v>411</v>
      </c>
      <c r="H146" s="1" t="s">
        <v>37</v>
      </c>
      <c r="I146" t="s">
        <v>403</v>
      </c>
      <c r="J146" s="1" t="s">
        <v>160</v>
      </c>
      <c r="K146" s="1" t="s">
        <v>163</v>
      </c>
      <c r="L146" s="1" t="s">
        <v>227</v>
      </c>
      <c r="M146" s="1"/>
      <c r="N146" s="1"/>
      <c r="O146" s="1"/>
      <c r="P146" s="1"/>
      <c r="Q146" s="1"/>
      <c r="R146" s="1" t="s">
        <v>22</v>
      </c>
      <c r="S146" s="25" t="s">
        <v>518</v>
      </c>
      <c r="T146" s="134">
        <v>42881</v>
      </c>
      <c r="U146" s="248"/>
      <c r="V146" s="248"/>
      <c r="W146" s="252" t="str">
        <f>VLOOKUP(B146,Plantings!$A$2:$E$310,4,FALSE)</f>
        <v>polygon</v>
      </c>
      <c r="X146" s="251" t="str">
        <f>VLOOKUP(B146,Plantings!$A$2:$E$310,5,FALSE)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VLOOKUP(B147,Plantings!$A$2:$C$310,2,FALSE)</f>
        <v>JSP_mid_P1</v>
      </c>
      <c r="D147" s="252" t="str">
        <f>VLOOKUP(B147,Plantings!$A$2:$C$310,3,FALSE)</f>
        <v>single</v>
      </c>
      <c r="E147" s="1">
        <v>2017</v>
      </c>
      <c r="F147" s="1"/>
      <c r="G147" t="s">
        <v>411</v>
      </c>
      <c r="H147" s="1" t="s">
        <v>37</v>
      </c>
      <c r="I147" t="s">
        <v>403</v>
      </c>
      <c r="J147" s="1" t="s">
        <v>160</v>
      </c>
      <c r="K147" s="1" t="s">
        <v>163</v>
      </c>
      <c r="L147" s="1" t="s">
        <v>227</v>
      </c>
      <c r="M147" s="1"/>
      <c r="N147" s="1"/>
      <c r="O147" s="1"/>
      <c r="P147" s="1"/>
      <c r="Q147" s="1"/>
      <c r="R147" s="1" t="s">
        <v>22</v>
      </c>
      <c r="S147" s="1" t="s">
        <v>22</v>
      </c>
      <c r="T147" s="134">
        <v>42881</v>
      </c>
      <c r="U147" s="30">
        <v>47.222769999999997</v>
      </c>
      <c r="V147" s="30">
        <v>-122.81052</v>
      </c>
      <c r="W147" s="252" t="str">
        <f>VLOOKUP(B147,Plantings!$A$2:$E$310,4,FALSE)</f>
        <v>polygon</v>
      </c>
      <c r="X147" s="251" t="str">
        <f>VLOOKUP(B147,Plantings!$A$2:$E$310,5,FALSE)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VLOOKUP(B148,Plantings!$A$2:$C$310,2,FALSE)</f>
        <v>JSP_mid_P1</v>
      </c>
      <c r="D148" s="252" t="str">
        <f>VLOOKUP(B148,Plantings!$A$2:$C$310,3,FALSE)</f>
        <v>single</v>
      </c>
      <c r="E148" s="1">
        <v>2017</v>
      </c>
      <c r="F148" s="1"/>
      <c r="G148" t="s">
        <v>411</v>
      </c>
      <c r="H148" s="1" t="s">
        <v>37</v>
      </c>
      <c r="I148" t="s">
        <v>403</v>
      </c>
      <c r="J148" s="1" t="s">
        <v>160</v>
      </c>
      <c r="K148" s="1" t="s">
        <v>163</v>
      </c>
      <c r="L148" s="1" t="s">
        <v>227</v>
      </c>
      <c r="M148" s="1"/>
      <c r="N148" s="1"/>
      <c r="O148" s="1"/>
      <c r="P148" s="1"/>
      <c r="Q148" s="1"/>
      <c r="R148" s="1" t="s">
        <v>22</v>
      </c>
      <c r="S148" s="25" t="s">
        <v>518</v>
      </c>
      <c r="T148" s="134">
        <v>42881</v>
      </c>
      <c r="U148" s="248"/>
      <c r="V148" s="248"/>
      <c r="W148" s="252" t="str">
        <f>VLOOKUP(B148,Plantings!$A$2:$E$310,4,FALSE)</f>
        <v>polygon</v>
      </c>
      <c r="X148" s="251" t="str">
        <f>VLOOKUP(B148,Plantings!$A$2:$E$310,5,FALSE)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VLOOKUP(B149,Plantings!$A$2:$C$310,2,FALSE)</f>
        <v>JSP_mid_P1</v>
      </c>
      <c r="D149" s="252" t="str">
        <f>VLOOKUP(B149,Plantings!$A$2:$C$310,3,FALSE)</f>
        <v>single</v>
      </c>
      <c r="E149" s="1">
        <v>2017</v>
      </c>
      <c r="F149" s="1"/>
      <c r="G149" t="s">
        <v>411</v>
      </c>
      <c r="H149" s="1" t="s">
        <v>37</v>
      </c>
      <c r="I149" t="s">
        <v>403</v>
      </c>
      <c r="J149" s="1" t="s">
        <v>160</v>
      </c>
      <c r="K149" s="1" t="s">
        <v>163</v>
      </c>
      <c r="L149" s="1" t="s">
        <v>227</v>
      </c>
      <c r="M149" s="1"/>
      <c r="N149" s="1"/>
      <c r="O149" s="1"/>
      <c r="P149" s="1"/>
      <c r="Q149" s="1"/>
      <c r="R149" s="1" t="s">
        <v>22</v>
      </c>
      <c r="S149" s="25" t="s">
        <v>518</v>
      </c>
      <c r="T149" s="134">
        <v>42881</v>
      </c>
      <c r="U149" s="30">
        <v>47.222839999999998</v>
      </c>
      <c r="V149" s="30">
        <v>-122.81056</v>
      </c>
      <c r="W149" s="252" t="str">
        <f>VLOOKUP(B149,Plantings!$A$2:$E$310,4,FALSE)</f>
        <v>polygon</v>
      </c>
      <c r="X149" s="251" t="str">
        <f>VLOOKUP(B149,Plantings!$A$2:$E$310,5,FALSE)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VLOOKUP(B150,Plantings!$A$2:$C$310,2,FALSE)</f>
        <v>JSP_mid_P1</v>
      </c>
      <c r="D150" s="252" t="str">
        <f>VLOOKUP(B150,Plantings!$A$2:$C$310,3,FALSE)</f>
        <v>single</v>
      </c>
      <c r="E150" s="1">
        <v>2017</v>
      </c>
      <c r="F150" s="1"/>
      <c r="G150" t="s">
        <v>411</v>
      </c>
      <c r="H150" s="1" t="s">
        <v>37</v>
      </c>
      <c r="I150" t="s">
        <v>403</v>
      </c>
      <c r="J150" s="1" t="s">
        <v>160</v>
      </c>
      <c r="K150" s="1" t="s">
        <v>163</v>
      </c>
      <c r="L150" s="1" t="s">
        <v>227</v>
      </c>
      <c r="M150" s="1"/>
      <c r="N150" s="1"/>
      <c r="O150" s="1"/>
      <c r="P150" s="1"/>
      <c r="Q150" s="1"/>
      <c r="R150" s="1" t="s">
        <v>22</v>
      </c>
      <c r="S150" s="25" t="s">
        <v>518</v>
      </c>
      <c r="T150" s="134">
        <v>42881</v>
      </c>
      <c r="U150" s="248"/>
      <c r="V150" s="248"/>
      <c r="W150" s="252" t="str">
        <f>VLOOKUP(B150,Plantings!$A$2:$E$310,4,FALSE)</f>
        <v>polygon</v>
      </c>
      <c r="X150" s="251" t="str">
        <f>VLOOKUP(B150,Plantings!$A$2:$E$310,5,FALSE)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VLOOKUP(B151,Plantings!$A$2:$C$310,2,FALSE)</f>
        <v>JSP_south_P5</v>
      </c>
      <c r="D151" s="252" t="str">
        <f>VLOOKUP(B151,Plantings!$A$2:$C$310,3,FALSE)</f>
        <v>single</v>
      </c>
      <c r="E151" s="1">
        <v>2017</v>
      </c>
      <c r="F151" s="1"/>
      <c r="G151" t="s">
        <v>411</v>
      </c>
      <c r="H151" s="1" t="s">
        <v>37</v>
      </c>
      <c r="I151" t="s">
        <v>403</v>
      </c>
      <c r="J151" s="1" t="s">
        <v>160</v>
      </c>
      <c r="K151" s="1" t="s">
        <v>163</v>
      </c>
      <c r="L151" s="1" t="s">
        <v>227</v>
      </c>
      <c r="M151" s="1"/>
      <c r="N151" s="1"/>
      <c r="O151" s="1"/>
      <c r="P151" s="1"/>
      <c r="Q151" s="1"/>
      <c r="R151" s="1" t="s">
        <v>22</v>
      </c>
      <c r="S151" s="1" t="s">
        <v>22</v>
      </c>
      <c r="T151" s="134">
        <v>42881</v>
      </c>
      <c r="U151" s="30">
        <v>47.221080000000001</v>
      </c>
      <c r="V151" s="30">
        <v>-122.80929</v>
      </c>
      <c r="W151" s="252" t="str">
        <f>VLOOKUP(B151,Plantings!$A$2:$E$310,4,FALSE)</f>
        <v>point</v>
      </c>
      <c r="X151" s="251" t="str">
        <f>VLOOKUP(B151,Plantings!$A$2:$E$310,5,FALSE)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VLOOKUP(B152,Plantings!$A$2:$C$310,2,FALSE)</f>
        <v>JSP_south_P5</v>
      </c>
      <c r="D152" s="252" t="str">
        <f>VLOOKUP(B152,Plantings!$A$2:$C$310,3,FALSE)</f>
        <v>single</v>
      </c>
      <c r="E152" s="1">
        <v>2017</v>
      </c>
      <c r="F152" s="1"/>
      <c r="G152" t="s">
        <v>411</v>
      </c>
      <c r="H152" s="1" t="s">
        <v>37</v>
      </c>
      <c r="I152" t="s">
        <v>403</v>
      </c>
      <c r="J152" s="1" t="s">
        <v>160</v>
      </c>
      <c r="K152" s="1" t="s">
        <v>163</v>
      </c>
      <c r="L152" s="1" t="s">
        <v>227</v>
      </c>
      <c r="M152" s="1"/>
      <c r="N152" s="1"/>
      <c r="O152" s="1"/>
      <c r="P152" s="1"/>
      <c r="Q152" s="1"/>
      <c r="R152" s="1" t="s">
        <v>22</v>
      </c>
      <c r="S152" s="25" t="s">
        <v>518</v>
      </c>
      <c r="T152" s="134">
        <v>42881</v>
      </c>
      <c r="U152" s="30">
        <v>47.221069999999997</v>
      </c>
      <c r="V152" s="30">
        <v>-122.80933</v>
      </c>
      <c r="W152" s="252" t="str">
        <f>VLOOKUP(B152,Plantings!$A$2:$E$310,4,FALSE)</f>
        <v>point</v>
      </c>
      <c r="X152" s="251" t="str">
        <f>VLOOKUP(B152,Plantings!$A$2:$E$310,5,FALSE)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VLOOKUP(B153,Plantings!$A$2:$C$310,2,FALSE)</f>
        <v>JSP_south_P5</v>
      </c>
      <c r="D153" s="252" t="str">
        <f>VLOOKUP(B153,Plantings!$A$2:$C$310,3,FALSE)</f>
        <v>single</v>
      </c>
      <c r="E153" s="1">
        <v>2017</v>
      </c>
      <c r="F153" s="1"/>
      <c r="G153" t="s">
        <v>411</v>
      </c>
      <c r="H153" s="1" t="s">
        <v>37</v>
      </c>
      <c r="I153" t="s">
        <v>403</v>
      </c>
      <c r="J153" s="1" t="s">
        <v>160</v>
      </c>
      <c r="K153" s="1" t="s">
        <v>163</v>
      </c>
      <c r="L153" s="1" t="s">
        <v>227</v>
      </c>
      <c r="M153" s="1"/>
      <c r="N153" s="1"/>
      <c r="O153" s="1"/>
      <c r="P153" s="1"/>
      <c r="Q153" s="1"/>
      <c r="R153" s="1" t="s">
        <v>22</v>
      </c>
      <c r="S153" s="25" t="s">
        <v>518</v>
      </c>
      <c r="T153" s="134">
        <v>42881</v>
      </c>
      <c r="U153" s="30">
        <v>47.221179999999997</v>
      </c>
      <c r="V153" s="30">
        <v>-122.80933</v>
      </c>
      <c r="W153" s="252" t="str">
        <f>VLOOKUP(B153,Plantings!$A$2:$E$310,4,FALSE)</f>
        <v>point</v>
      </c>
      <c r="X153" s="251" t="str">
        <f>VLOOKUP(B153,Plantings!$A$2:$E$310,5,FALSE)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VLOOKUP(B154,Plantings!$A$2:$C$310,2,FALSE)</f>
        <v>JSP_south_P5</v>
      </c>
      <c r="D154" s="252" t="str">
        <f>VLOOKUP(B154,Plantings!$A$2:$C$310,3,FALSE)</f>
        <v>single</v>
      </c>
      <c r="E154" s="1">
        <v>2017</v>
      </c>
      <c r="F154" s="1"/>
      <c r="G154" t="s">
        <v>411</v>
      </c>
      <c r="H154" s="1" t="s">
        <v>37</v>
      </c>
      <c r="I154" t="s">
        <v>403</v>
      </c>
      <c r="J154" s="1" t="s">
        <v>160</v>
      </c>
      <c r="K154" s="1" t="s">
        <v>163</v>
      </c>
      <c r="L154" s="1" t="s">
        <v>227</v>
      </c>
      <c r="M154" s="1"/>
      <c r="N154" s="1"/>
      <c r="O154" s="1"/>
      <c r="P154" s="1"/>
      <c r="Q154" s="1"/>
      <c r="R154" s="1" t="s">
        <v>22</v>
      </c>
      <c r="S154" s="25" t="s">
        <v>518</v>
      </c>
      <c r="T154" s="134">
        <v>42881</v>
      </c>
      <c r="U154" s="30">
        <v>47.221110000000003</v>
      </c>
      <c r="V154" s="30">
        <v>-122.80936</v>
      </c>
      <c r="W154" s="252" t="str">
        <f>VLOOKUP(B154,Plantings!$A$2:$E$310,4,FALSE)</f>
        <v>point</v>
      </c>
      <c r="X154" s="251" t="str">
        <f>VLOOKUP(B154,Plantings!$A$2:$E$310,5,FALSE)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VLOOKUP(B155,Plantings!$A$2:$C$310,2,FALSE)</f>
        <v>JSP_mid_south_2</v>
      </c>
      <c r="D155" s="252" t="str">
        <f>VLOOKUP(B155,Plantings!$A$2:$C$310,3,FALSE)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VLOOKUP(B155,Plantings!$A$2:$E$310,4,FALSE)</f>
        <v>point</v>
      </c>
      <c r="X155" s="251" t="str">
        <f>VLOOKUP(B155,Plantings!$A$2:$E$310,5,FALSE)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VLOOKUP(B156,Plantings!$A$2:$C$310,2,FALSE)</f>
        <v>JSP_mid_south_2</v>
      </c>
      <c r="D156" s="252" t="str">
        <f>VLOOKUP(B156,Plantings!$A$2:$C$310,3,FALSE)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VLOOKUP(B156,Plantings!$A$2:$E$310,4,FALSE)</f>
        <v>point</v>
      </c>
      <c r="X156" s="251" t="str">
        <f>VLOOKUP(B156,Plantings!$A$2:$E$310,5,FALSE)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VLOOKUP(B157,Plantings!$A$2:$C$310,2,FALSE)</f>
        <v>JSP_mid_south_2</v>
      </c>
      <c r="D157" s="252" t="str">
        <f>VLOOKUP(B157,Plantings!$A$2:$C$310,3,FALSE)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VLOOKUP(B157,Plantings!$A$2:$E$310,4,FALSE)</f>
        <v>point</v>
      </c>
      <c r="X157" s="251" t="str">
        <f>VLOOKUP(B157,Plantings!$A$2:$E$310,5,FALSE)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VLOOKUP(B158,Plantings!$A$2:$C$310,2,FALSE)</f>
        <v>JSP_mid_south_2</v>
      </c>
      <c r="D158" s="252" t="str">
        <f>VLOOKUP(B158,Plantings!$A$2:$C$310,3,FALSE)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VLOOKUP(B158,Plantings!$A$2:$E$310,4,FALSE)</f>
        <v>point</v>
      </c>
      <c r="X158" s="251" t="str">
        <f>VLOOKUP(B158,Plantings!$A$2:$E$310,5,FALSE)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t="s">
        <v>1901</v>
      </c>
      <c r="C159" s="252" t="str">
        <f>VLOOKUP(B159,Plantings!$A$2:$C$310,2,FALSE)</f>
        <v>JSP_mid_AG1</v>
      </c>
      <c r="D159" s="252" t="str">
        <f>VLOOKUP(B159,Plantings!$A$2:$C$310,3,FALSE)</f>
        <v>colocated</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str">
        <f>VLOOKUP(B159,Plantings!$A$2:$E$310,4,FALSE)</f>
        <v>point</v>
      </c>
      <c r="X159" s="251" t="str">
        <f>VLOOKUP(B159,Plantings!$A$2:$E$310,5,FALSE)</f>
        <v>retain</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t="s">
        <v>1902</v>
      </c>
      <c r="C160" s="252" t="str">
        <f>VLOOKUP(B160,Plantings!$A$2:$C$310,2,FALSE)</f>
        <v>JSP_mid_BG1</v>
      </c>
      <c r="D160" s="252" t="str">
        <f>VLOOKUP(B160,Plantings!$A$2:$C$310,3,FALSE)</f>
        <v>colocated</v>
      </c>
      <c r="E160" s="131">
        <v>2017</v>
      </c>
      <c r="G160" s="1" t="s">
        <v>410</v>
      </c>
      <c r="H160" s="1" t="s">
        <v>37</v>
      </c>
      <c r="I160" t="s">
        <v>403</v>
      </c>
      <c r="J160" s="1" t="s">
        <v>163</v>
      </c>
      <c r="K160" s="1" t="s">
        <v>163</v>
      </c>
      <c r="L160" s="1" t="s">
        <v>227</v>
      </c>
      <c r="R160" s="1" t="s">
        <v>22</v>
      </c>
      <c r="S160" s="25" t="s">
        <v>518</v>
      </c>
      <c r="T160" s="134">
        <v>42854</v>
      </c>
      <c r="U160">
        <v>47.222489000000003</v>
      </c>
      <c r="V160">
        <v>-122.81026199999999</v>
      </c>
      <c r="W160" s="252" t="str">
        <f>VLOOKUP(B160,Plantings!$A$2:$E$310,4,FALSE)</f>
        <v>point</v>
      </c>
      <c r="X160" s="251" t="str">
        <f>VLOOKUP(B160,Plantings!$A$2:$E$310,5,FALSE)</f>
        <v>retain</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t="s">
        <v>1903</v>
      </c>
      <c r="C161" s="252" t="str">
        <f>VLOOKUP(B161,Plantings!$A$2:$C$310,2,FALSE)</f>
        <v>JSP_mid_C1</v>
      </c>
      <c r="D161" s="252" t="str">
        <f>VLOOKUP(B161,Plantings!$A$2:$C$310,3,FALSE)</f>
        <v>colocated</v>
      </c>
      <c r="E161" s="131">
        <v>2017</v>
      </c>
      <c r="G161" s="1" t="s">
        <v>410</v>
      </c>
      <c r="H161" s="1" t="s">
        <v>37</v>
      </c>
      <c r="I161" t="s">
        <v>403</v>
      </c>
      <c r="J161" s="1" t="s">
        <v>163</v>
      </c>
      <c r="K161" s="1" t="s">
        <v>163</v>
      </c>
      <c r="L161" s="1" t="s">
        <v>227</v>
      </c>
      <c r="R161" s="1" t="s">
        <v>22</v>
      </c>
      <c r="S161" s="25" t="s">
        <v>518</v>
      </c>
      <c r="T161" s="134">
        <v>42854</v>
      </c>
      <c r="U161">
        <v>47.222512000000002</v>
      </c>
      <c r="V161">
        <v>-122.810267</v>
      </c>
      <c r="W161" s="252" t="str">
        <f>VLOOKUP(B161,Plantings!$A$2:$E$310,4,FALSE)</f>
        <v>point</v>
      </c>
      <c r="X161" s="251" t="str">
        <f>VLOOKUP(B161,Plantings!$A$2:$E$310,5,FALSE)</f>
        <v>retain</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t="s">
        <v>1904</v>
      </c>
      <c r="C162" s="252" t="str">
        <f>VLOOKUP(B162,Plantings!$A$2:$C$310,2,FALSE)</f>
        <v>JSP_mid_AG2</v>
      </c>
      <c r="D162" s="252" t="str">
        <f>VLOOKUP(B162,Plantings!$A$2:$C$310,3,FALSE)</f>
        <v>colocated</v>
      </c>
      <c r="E162" s="131">
        <v>2017</v>
      </c>
      <c r="G162" s="1" t="s">
        <v>410</v>
      </c>
      <c r="H162" s="1" t="s">
        <v>37</v>
      </c>
      <c r="I162" t="s">
        <v>403</v>
      </c>
      <c r="J162" s="1" t="s">
        <v>163</v>
      </c>
      <c r="K162" s="1" t="s">
        <v>163</v>
      </c>
      <c r="L162" s="1" t="s">
        <v>227</v>
      </c>
      <c r="R162" s="1" t="s">
        <v>22</v>
      </c>
      <c r="S162" s="25" t="s">
        <v>518</v>
      </c>
      <c r="T162" s="134">
        <v>42854</v>
      </c>
      <c r="U162">
        <v>47.222541999999997</v>
      </c>
      <c r="V162">
        <v>-122.81027899999999</v>
      </c>
      <c r="W162" s="252" t="str">
        <f>VLOOKUP(B162,Plantings!$A$2:$E$310,4,FALSE)</f>
        <v>point</v>
      </c>
      <c r="X162" s="251" t="str">
        <f>VLOOKUP(B162,Plantings!$A$2:$E$310,5,FALSE)</f>
        <v>retain</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t="s">
        <v>1905</v>
      </c>
      <c r="C163" s="252" t="str">
        <f>VLOOKUP(B163,Plantings!$A$2:$C$310,2,FALSE)</f>
        <v>JSP_mid_C2</v>
      </c>
      <c r="D163" s="252" t="str">
        <f>VLOOKUP(B163,Plantings!$A$2:$C$310,3,FALSE)</f>
        <v>colocated</v>
      </c>
      <c r="E163" s="131">
        <v>2017</v>
      </c>
      <c r="G163" s="1" t="s">
        <v>410</v>
      </c>
      <c r="H163" s="1" t="s">
        <v>37</v>
      </c>
      <c r="I163" t="s">
        <v>403</v>
      </c>
      <c r="J163" s="1" t="s">
        <v>163</v>
      </c>
      <c r="K163" s="1" t="s">
        <v>163</v>
      </c>
      <c r="L163" s="1" t="s">
        <v>227</v>
      </c>
      <c r="R163" s="1" t="s">
        <v>22</v>
      </c>
      <c r="S163" s="25" t="s">
        <v>518</v>
      </c>
      <c r="T163" s="134">
        <v>42854</v>
      </c>
      <c r="U163">
        <v>47.222552</v>
      </c>
      <c r="V163">
        <v>-122.810293</v>
      </c>
      <c r="W163" s="252" t="str">
        <f>VLOOKUP(B163,Plantings!$A$2:$E$310,4,FALSE)</f>
        <v>point</v>
      </c>
      <c r="X163" s="251" t="str">
        <f>VLOOKUP(B163,Plantings!$A$2:$E$310,5,FALSE)</f>
        <v>retain</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t="s">
        <v>1906</v>
      </c>
      <c r="C164" s="252" t="str">
        <f>VLOOKUP(B164,Plantings!$A$2:$C$310,2,FALSE)</f>
        <v>JSP_mid_BG2</v>
      </c>
      <c r="D164" s="252" t="str">
        <f>VLOOKUP(B164,Plantings!$A$2:$C$310,3,FALSE)</f>
        <v>colocated</v>
      </c>
      <c r="E164" s="131">
        <v>2017</v>
      </c>
      <c r="G164" s="1" t="s">
        <v>410</v>
      </c>
      <c r="H164" s="1" t="s">
        <v>37</v>
      </c>
      <c r="I164" t="s">
        <v>403</v>
      </c>
      <c r="J164" s="1" t="s">
        <v>163</v>
      </c>
      <c r="K164" s="1" t="s">
        <v>163</v>
      </c>
      <c r="L164" s="1" t="s">
        <v>227</v>
      </c>
      <c r="R164" s="1" t="s">
        <v>22</v>
      </c>
      <c r="S164" s="25" t="s">
        <v>518</v>
      </c>
      <c r="T164" s="134">
        <v>42854</v>
      </c>
      <c r="U164">
        <v>47.222596000000003</v>
      </c>
      <c r="V164">
        <v>-122.810309</v>
      </c>
      <c r="W164" s="252" t="str">
        <f>VLOOKUP(B164,Plantings!$A$2:$E$310,4,FALSE)</f>
        <v>point</v>
      </c>
      <c r="X164" s="251" t="str">
        <f>VLOOKUP(B164,Plantings!$A$2:$E$310,5,FALSE)</f>
        <v>retain</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t="s">
        <v>1907</v>
      </c>
      <c r="C165" s="252" t="str">
        <f>VLOOKUP(B165,Plantings!$A$2:$C$310,2,FALSE)</f>
        <v>JSP_mid_C3</v>
      </c>
      <c r="D165" s="252" t="str">
        <f>VLOOKUP(B165,Plantings!$A$2:$C$310,3,FALSE)</f>
        <v>colocated</v>
      </c>
      <c r="E165" s="131">
        <v>2017</v>
      </c>
      <c r="G165" s="1" t="s">
        <v>410</v>
      </c>
      <c r="H165" s="1" t="s">
        <v>37</v>
      </c>
      <c r="I165" t="s">
        <v>403</v>
      </c>
      <c r="J165" s="1" t="s">
        <v>163</v>
      </c>
      <c r="K165" s="1" t="s">
        <v>163</v>
      </c>
      <c r="L165" s="1" t="s">
        <v>227</v>
      </c>
      <c r="R165" s="1" t="s">
        <v>22</v>
      </c>
      <c r="S165" s="25" t="s">
        <v>518</v>
      </c>
      <c r="T165" s="134">
        <v>42854</v>
      </c>
      <c r="U165">
        <v>47.222611999999998</v>
      </c>
      <c r="V165">
        <v>-122.810312</v>
      </c>
      <c r="W165" s="252" t="str">
        <f>VLOOKUP(B165,Plantings!$A$2:$E$310,4,FALSE)</f>
        <v>point</v>
      </c>
      <c r="X165" s="251" t="str">
        <f>VLOOKUP(B165,Plantings!$A$2:$E$310,5,FALSE)</f>
        <v>retain</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t="s">
        <v>1908</v>
      </c>
      <c r="C166" s="252" t="str">
        <f>VLOOKUP(B166,Plantings!$A$2:$C$310,2,FALSE)</f>
        <v>JSP_mid_BG3</v>
      </c>
      <c r="D166" s="252" t="str">
        <f>VLOOKUP(B166,Plantings!$A$2:$C$310,3,FALSE)</f>
        <v>colocated</v>
      </c>
      <c r="E166" s="131">
        <v>2017</v>
      </c>
      <c r="G166" s="1" t="s">
        <v>410</v>
      </c>
      <c r="H166" s="1" t="s">
        <v>37</v>
      </c>
      <c r="I166" t="s">
        <v>403</v>
      </c>
      <c r="J166" s="1" t="s">
        <v>163</v>
      </c>
      <c r="K166" s="1" t="s">
        <v>163</v>
      </c>
      <c r="L166" s="1" t="s">
        <v>227</v>
      </c>
      <c r="R166" s="1" t="s">
        <v>22</v>
      </c>
      <c r="S166" s="25" t="s">
        <v>518</v>
      </c>
      <c r="T166" s="134">
        <v>42854</v>
      </c>
      <c r="U166">
        <v>47.222638000000003</v>
      </c>
      <c r="V166">
        <v>-122.810339</v>
      </c>
      <c r="W166" s="252" t="str">
        <f>VLOOKUP(B166,Plantings!$A$2:$E$310,4,FALSE)</f>
        <v>point</v>
      </c>
      <c r="X166" s="251" t="str">
        <f>VLOOKUP(B166,Plantings!$A$2:$E$310,5,FALSE)</f>
        <v>retain</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t="s">
        <v>1909</v>
      </c>
      <c r="C167" s="252" t="str">
        <f>VLOOKUP(B167,Plantings!$A$2:$C$310,2,FALSE)</f>
        <v>JSP_mid_C4</v>
      </c>
      <c r="D167" s="252" t="str">
        <f>VLOOKUP(B167,Plantings!$A$2:$C$310,3,FALSE)</f>
        <v>colocated</v>
      </c>
      <c r="E167" s="131">
        <v>2017</v>
      </c>
      <c r="G167" s="1" t="s">
        <v>410</v>
      </c>
      <c r="H167" s="1" t="s">
        <v>37</v>
      </c>
      <c r="I167" t="s">
        <v>403</v>
      </c>
      <c r="J167" s="1" t="s">
        <v>163</v>
      </c>
      <c r="K167" s="1" t="s">
        <v>163</v>
      </c>
      <c r="L167" s="1" t="s">
        <v>227</v>
      </c>
      <c r="R167" s="1" t="s">
        <v>22</v>
      </c>
      <c r="S167" s="25" t="s">
        <v>518</v>
      </c>
      <c r="T167" s="134">
        <v>42854</v>
      </c>
      <c r="U167">
        <v>47.222659</v>
      </c>
      <c r="V167">
        <v>-122.810361</v>
      </c>
      <c r="W167" s="252" t="str">
        <f>VLOOKUP(B167,Plantings!$A$2:$E$310,4,FALSE)</f>
        <v>point</v>
      </c>
      <c r="X167" s="251" t="str">
        <f>VLOOKUP(B167,Plantings!$A$2:$E$310,5,FALSE)</f>
        <v>retain</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t="s">
        <v>1910</v>
      </c>
      <c r="C168" s="252" t="str">
        <f>VLOOKUP(B168,Plantings!$A$2:$C$310,2,FALSE)</f>
        <v>JSP_mid_BG4</v>
      </c>
      <c r="D168" s="252" t="str">
        <f>VLOOKUP(B168,Plantings!$A$2:$C$310,3,FALSE)</f>
        <v>colocated</v>
      </c>
      <c r="E168" s="131">
        <v>2017</v>
      </c>
      <c r="G168" s="1" t="s">
        <v>410</v>
      </c>
      <c r="H168" s="1" t="s">
        <v>37</v>
      </c>
      <c r="I168" t="s">
        <v>403</v>
      </c>
      <c r="J168" s="1" t="s">
        <v>163</v>
      </c>
      <c r="K168" s="1" t="s">
        <v>163</v>
      </c>
      <c r="L168" s="1" t="s">
        <v>227</v>
      </c>
      <c r="R168" s="1" t="s">
        <v>22</v>
      </c>
      <c r="S168" s="25" t="s">
        <v>518</v>
      </c>
      <c r="T168" s="134">
        <v>42854</v>
      </c>
      <c r="U168">
        <v>47.222687999999998</v>
      </c>
      <c r="V168">
        <v>-122.810372</v>
      </c>
      <c r="W168" s="252" t="str">
        <f>VLOOKUP(B168,Plantings!$A$2:$E$310,4,FALSE)</f>
        <v>point</v>
      </c>
      <c r="X168" s="251" t="str">
        <f>VLOOKUP(B168,Plantings!$A$2:$E$310,5,FALSE)</f>
        <v>retain</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t="s">
        <v>1911</v>
      </c>
      <c r="C169" s="252" t="str">
        <f>VLOOKUP(B169,Plantings!$A$2:$C$310,2,FALSE)</f>
        <v>JSP_mid_AG3</v>
      </c>
      <c r="D169" s="252" t="str">
        <f>VLOOKUP(B169,Plantings!$A$2:$C$310,3,FALSE)</f>
        <v>colocated</v>
      </c>
      <c r="E169" s="131">
        <v>2017</v>
      </c>
      <c r="G169" s="1" t="s">
        <v>410</v>
      </c>
      <c r="H169" s="1" t="s">
        <v>37</v>
      </c>
      <c r="I169" t="s">
        <v>403</v>
      </c>
      <c r="J169" s="1" t="s">
        <v>163</v>
      </c>
      <c r="K169" s="1" t="s">
        <v>163</v>
      </c>
      <c r="L169" s="1" t="s">
        <v>227</v>
      </c>
      <c r="R169" s="1" t="s">
        <v>22</v>
      </c>
      <c r="S169" s="25" t="s">
        <v>518</v>
      </c>
      <c r="T169" s="134">
        <v>42854</v>
      </c>
      <c r="U169" s="152">
        <v>47.222720000000002</v>
      </c>
      <c r="V169">
        <v>-122.81038599999999</v>
      </c>
      <c r="W169" s="252" t="str">
        <f>VLOOKUP(B169,Plantings!$A$2:$E$310,4,FALSE)</f>
        <v>point</v>
      </c>
      <c r="X169" s="251" t="str">
        <f>VLOOKUP(B169,Plantings!$A$2:$E$310,5,FALSE)</f>
        <v>retain</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t="s">
        <v>1912</v>
      </c>
      <c r="C170" s="252" t="str">
        <f>VLOOKUP(B170,Plantings!$A$2:$C$310,2,FALSE)</f>
        <v>JSP_mid_AG4</v>
      </c>
      <c r="D170" s="252" t="str">
        <f>VLOOKUP(B170,Plantings!$A$2:$C$310,3,FALSE)</f>
        <v>colocated</v>
      </c>
      <c r="E170" s="131">
        <v>2017</v>
      </c>
      <c r="G170" s="1" t="s">
        <v>410</v>
      </c>
      <c r="H170" s="1" t="s">
        <v>37</v>
      </c>
      <c r="I170" t="s">
        <v>403</v>
      </c>
      <c r="J170" s="1" t="s">
        <v>163</v>
      </c>
      <c r="K170" s="1" t="s">
        <v>163</v>
      </c>
      <c r="L170" s="1" t="s">
        <v>227</v>
      </c>
      <c r="R170" s="1" t="s">
        <v>22</v>
      </c>
      <c r="S170" s="25" t="s">
        <v>518</v>
      </c>
      <c r="T170" s="134">
        <v>42854</v>
      </c>
      <c r="U170">
        <v>47.222732999999998</v>
      </c>
      <c r="V170" s="152">
        <v>-122.8104</v>
      </c>
      <c r="W170" s="252" t="str">
        <f>VLOOKUP(B170,Plantings!$A$2:$E$310,4,FALSE)</f>
        <v>point</v>
      </c>
      <c r="X170" s="251" t="str">
        <f>VLOOKUP(B170,Plantings!$A$2:$E$310,5,FALSE)</f>
        <v>retain</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VLOOKUP(B171,Plantings!$A$2:$C$310,2,FALSE)</f>
        <v>JSP_mid_south_2</v>
      </c>
      <c r="D171" s="252" t="str">
        <f>VLOOKUP(B171,Plantings!$A$2:$C$310,3,FALSE)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VLOOKUP(B171,Plantings!$A$2:$E$310,4,FALSE)</f>
        <v>point</v>
      </c>
      <c r="X171" s="251" t="str">
        <f>VLOOKUP(B171,Plantings!$A$2:$E$310,5,FALSE)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VLOOKUP(B172,Plantings!$A$2:$C$310,2,FALSE)</f>
        <v>JSP_mid_south_1</v>
      </c>
      <c r="D172" s="252" t="str">
        <f>VLOOKUP(B172,Plantings!$A$2:$C$310,3,FALSE)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VLOOKUP(B172,Plantings!$A$2:$E$310,4,FALSE)</f>
        <v>point</v>
      </c>
      <c r="X172" s="251" t="str">
        <f>VLOOKUP(B172,Plantings!$A$2:$E$310,5,FALSE)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VLOOKUP(B173,Plantings!$A$2:$C$310,2,FALSE)</f>
        <v>JSP_mid_1</v>
      </c>
      <c r="D173" s="252" t="str">
        <f>VLOOKUP(B173,Plantings!$A$2:$C$310,3,FALSE)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VLOOKUP(B173,Plantings!$A$2:$E$310,4,FALSE)</f>
        <v>point</v>
      </c>
      <c r="X173" s="251" t="str">
        <f>VLOOKUP(B173,Plantings!$A$2:$E$310,5,FALSE)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VLOOKUP(B174,Plantings!$A$2:$C$310,2,FALSE)</f>
        <v>JSP_mid_1</v>
      </c>
      <c r="D174" s="252" t="str">
        <f>VLOOKUP(B174,Plantings!$A$2:$C$310,3,FALSE)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VLOOKUP(B174,Plantings!$A$2:$E$310,4,FALSE)</f>
        <v>point</v>
      </c>
      <c r="X174" s="251" t="str">
        <f>VLOOKUP(B174,Plantings!$A$2:$E$310,5,FALSE)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VLOOKUP(B175,Plantings!$A$2:$C$310,2,FALSE)</f>
        <v>JSP_mid_2</v>
      </c>
      <c r="D175" s="252" t="str">
        <f>VLOOKUP(B175,Plantings!$A$2:$C$310,3,FALSE)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VLOOKUP(B175,Plantings!$A$2:$E$310,4,FALSE)</f>
        <v>point</v>
      </c>
      <c r="X175" s="251" t="str">
        <f>VLOOKUP(B175,Plantings!$A$2:$E$310,5,FALSE)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VLOOKUP(B176,Plantings!$A$2:$C$310,2,FALSE)</f>
        <v>JSP_mid_2</v>
      </c>
      <c r="D176" s="252" t="str">
        <f>VLOOKUP(B176,Plantings!$A$2:$C$310,3,FALSE)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VLOOKUP(B176,Plantings!$A$2:$E$310,4,FALSE)</f>
        <v>point</v>
      </c>
      <c r="X176" s="251" t="str">
        <f>VLOOKUP(B176,Plantings!$A$2:$E$310,5,FALSE)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VLOOKUP(B177,Plantings!$A$2:$C$310,2,FALSE)</f>
        <v>JSP_mid_3</v>
      </c>
      <c r="D177" s="252" t="str">
        <f>VLOOKUP(B177,Plantings!$A$2:$C$310,3,FALSE)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VLOOKUP(B177,Plantings!$A$2:$E$310,4,FALSE)</f>
        <v>point</v>
      </c>
      <c r="X177" s="251" t="str">
        <f>VLOOKUP(B177,Plantings!$A$2:$E$310,5,FALSE)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VLOOKUP(B178,Plantings!$A$2:$C$310,2,FALSE)</f>
        <v>JSP_mid_3</v>
      </c>
      <c r="D178" s="252" t="str">
        <f>VLOOKUP(B178,Plantings!$A$2:$C$310,3,FALSE)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VLOOKUP(B178,Plantings!$A$2:$E$310,4,FALSE)</f>
        <v>point</v>
      </c>
      <c r="X178" s="251" t="str">
        <f>VLOOKUP(B178,Plantings!$A$2:$E$310,5,FALSE)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VLOOKUP(B179,Plantings!$A$2:$C$310,2,FALSE)</f>
        <v>JSP_mid_4</v>
      </c>
      <c r="D179" s="252" t="str">
        <f>VLOOKUP(B179,Plantings!$A$2:$C$310,3,FALSE)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VLOOKUP(B179,Plantings!$A$2:$E$310,4,FALSE)</f>
        <v>point</v>
      </c>
      <c r="X179" s="251" t="str">
        <f>VLOOKUP(B179,Plantings!$A$2:$E$310,5,FALSE)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VLOOKUP(B180,Plantings!$A$2:$C$310,2,FALSE)</f>
        <v>WHB_test_1</v>
      </c>
      <c r="D180" s="252" t="str">
        <f>VLOOKUP(B180,Plantings!$A$2:$C$310,3,FALSE)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VLOOKUP(B180,Plantings!$A$2:$E$310,4,FALSE)</f>
        <v>point</v>
      </c>
      <c r="X180" s="251" t="str">
        <f>VLOOKUP(B180,Plantings!$A$2:$E$310,5,FALSE)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VLOOKUP(B181,Plantings!$A$2:$C$310,2,FALSE)</f>
        <v>JSP_south_test</v>
      </c>
      <c r="D181" s="252" t="str">
        <f>VLOOKUP(B181,Plantings!$A$2:$C$310,3,FALSE)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VLOOKUP(B181,Plantings!$A$2:$E$310,4,FALSE)</f>
        <v>point</v>
      </c>
      <c r="X181" s="251" t="str">
        <f>VLOOKUP(B181,Plantings!$A$2:$E$310,5,FALSE)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VLOOKUP(B182,Plantings!$A$2:$C$310,2,FALSE)</f>
        <v>JSP_mid_connect</v>
      </c>
      <c r="D182" s="252" t="str">
        <f>VLOOKUP(B182,Plantings!$A$2:$C$310,3,FALSE)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VLOOKUP(B182,Plantings!$A$2:$E$310,4,FALSE)</f>
        <v>point</v>
      </c>
      <c r="X182" s="251" t="str">
        <f>VLOOKUP(B182,Plantings!$A$2:$E$310,5,FALSE)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VLOOKUP(B183,Plantings!$A$2:$C$310,2,FALSE)</f>
        <v>HC_off_1</v>
      </c>
      <c r="D183" s="252" t="str">
        <f>VLOOKUP(B183,Plantings!$A$2:$C$310,3,FALSE)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VLOOKUP(B183,Plantings!$A$2:$E$310,4,FALSE)</f>
        <v>point</v>
      </c>
      <c r="X183" s="251" t="str">
        <f>VLOOKUP(B183,Plantings!$A$2:$E$310,5,FALSE)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VLOOKUP(B184,Plantings!$A$2:$C$310,2,FALSE)</f>
        <v>HC_off_2</v>
      </c>
      <c r="D184" s="252" t="str">
        <f>VLOOKUP(B184,Plantings!$A$2:$C$310,3,FALSE)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VLOOKUP(B184,Plantings!$A$2:$E$310,4,FALSE)</f>
        <v>point</v>
      </c>
      <c r="X184" s="251" t="str">
        <f>VLOOKUP(B184,Plantings!$A$2:$E$310,5,FALSE)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VLOOKUP(B185,Plantings!$A$2:$C$310,2,FALSE)</f>
        <v>KYP_dog1</v>
      </c>
      <c r="D185" s="252" t="str">
        <f>VLOOKUP(B185,Plantings!$A$2:$C$310,3,FALSE)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VLOOKUP(B185,Plantings!$A$2:$E$310,4,FALSE)</f>
        <v>point</v>
      </c>
      <c r="X185" s="251" t="str">
        <f>VLOOKUP(B185,Plantings!$A$2:$E$310,5,FALSE)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VLOOKUP(B186,Plantings!$A$2:$C$310,2,FALSE)</f>
        <v>LBT_east</v>
      </c>
      <c r="D186" s="252" t="str">
        <f>VLOOKUP(B186,Plantings!$A$2:$C$310,3,FALSE)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VLOOKUP(B186,Plantings!$A$2:$E$310,4,FALSE)</f>
        <v>point</v>
      </c>
      <c r="X186" s="251" t="str">
        <f>VLOOKUP(B186,Plantings!$A$2:$E$310,5,FALSE)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VLOOKUP(B187,Plantings!$A$2:$C$310,2,FALSE)</f>
        <v>LBT_west</v>
      </c>
      <c r="D187" s="252" t="str">
        <f>VLOOKUP(B187,Plantings!$A$2:$C$310,3,FALSE)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VLOOKUP(B187,Plantings!$A$2:$E$310,4,FALSE)</f>
        <v>point</v>
      </c>
      <c r="X187" s="251" t="str">
        <f>VLOOKUP(B187,Plantings!$A$2:$E$310,5,FALSE)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VLOOKUP(B188,Plantings!$A$2:$C$310,2,FALSE)</f>
        <v>MCD_south_L1</v>
      </c>
      <c r="D188" s="252" t="str">
        <f>VLOOKUP(B188,Plantings!$A$2:$C$310,3,FALSE)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VLOOKUP(B188,Plantings!$A$2:$E$310,4,FALSE)</f>
        <v>line</v>
      </c>
      <c r="X188" s="251" t="str">
        <f>VLOOKUP(B188,Plantings!$A$2:$E$310,5,FALSE)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VLOOKUP(B189,Plantings!$A$2:$C$310,2,FALSE)</f>
        <v>MCD_south_L1</v>
      </c>
      <c r="D189" s="252" t="str">
        <f>VLOOKUP(B189,Plantings!$A$2:$C$310,3,FALSE)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VLOOKUP(B189,Plantings!$A$2:$E$310,4,FALSE)</f>
        <v>line</v>
      </c>
      <c r="X189" s="251" t="str">
        <f>VLOOKUP(B189,Plantings!$A$2:$E$310,5,FALSE)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VLOOKUP(B190,Plantings!$A$2:$C$310,2,FALSE)</f>
        <v>MCD_north_L1</v>
      </c>
      <c r="D190" s="252" t="str">
        <f>VLOOKUP(B190,Plantings!$A$2:$C$310,3,FALSE)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VLOOKUP(B190,Plantings!$A$2:$E$310,4,FALSE)</f>
        <v>line</v>
      </c>
      <c r="X190" s="251" t="str">
        <f>VLOOKUP(B190,Plantings!$A$2:$E$310,5,FALSE)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VLOOKUP(B191,Plantings!$A$2:$C$310,2,FALSE)</f>
        <v>MCD_north_L1</v>
      </c>
      <c r="D191" s="252" t="str">
        <f>VLOOKUP(B191,Plantings!$A$2:$C$310,3,FALSE)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VLOOKUP(B191,Plantings!$A$2:$E$310,4,FALSE)</f>
        <v>line</v>
      </c>
      <c r="X191" s="251" t="str">
        <f>VLOOKUP(B191,Plantings!$A$2:$E$310,5,FALSE)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VLOOKUP(B192,Plantings!$A$2:$C$310,2,FALSE)</f>
        <v>MCD_1</v>
      </c>
      <c r="D192" s="252" t="str">
        <f>VLOOKUP(B192,Plantings!$A$2:$C$310,3,FALSE)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VLOOKUP(B192,Plantings!$A$2:$E$310,4,FALSE)</f>
        <v>point</v>
      </c>
      <c r="X192" s="251" t="str">
        <f>VLOOKUP(B192,Plantings!$A$2:$E$310,5,FALSE)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VLOOKUP(B193,Plantings!$A$2:$C$310,2,FALSE)</f>
        <v>MCN_north</v>
      </c>
      <c r="D193" s="252" t="str">
        <f>VLOOKUP(B193,Plantings!$A$2:$C$310,3,FALSE)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VLOOKUP(B193,Plantings!$A$2:$E$310,4,FALSE)</f>
        <v>point</v>
      </c>
      <c r="X193" s="251" t="str">
        <f>VLOOKUP(B193,Plantings!$A$2:$E$310,5,FALSE)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VLOOKUP(B194,Plantings!$A$2:$C$310,2,FALSE)</f>
        <v>MCN_south_1</v>
      </c>
      <c r="D194" s="252" t="str">
        <f>VLOOKUP(B194,Plantings!$A$2:$C$310,3,FALSE)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VLOOKUP(B194,Plantings!$A$2:$E$310,4,FALSE)</f>
        <v>point</v>
      </c>
      <c r="X194" s="251" t="str">
        <f>VLOOKUP(B194,Plantings!$A$2:$E$310,5,FALSE)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VLOOKUP(B195,Plantings!$A$2:$C$310,2,FALSE)</f>
        <v>MCN_south_2</v>
      </c>
      <c r="D195" s="252" t="str">
        <f>VLOOKUP(B195,Plantings!$A$2:$C$310,3,FALSE)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VLOOKUP(B195,Plantings!$A$2:$E$310,4,FALSE)</f>
        <v>point</v>
      </c>
      <c r="X195" s="251" t="str">
        <f>VLOOKUP(B195,Plantings!$A$2:$E$310,5,FALSE)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VLOOKUP(B196,Plantings!$A$2:$C$310,2,FALSE)</f>
        <v>MCN_south_3</v>
      </c>
      <c r="D196" s="252" t="str">
        <f>VLOOKUP(B196,Plantings!$A$2:$C$310,3,FALSE)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VLOOKUP(B196,Plantings!$A$2:$E$310,4,FALSE)</f>
        <v>point</v>
      </c>
      <c r="X196" s="251" t="str">
        <f>VLOOKUP(B196,Plantings!$A$2:$E$310,5,FALSE)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VLOOKUP(B197,Plantings!$A$2:$C$310,2,FALSE)</f>
        <v>MCN_still_1</v>
      </c>
      <c r="D197" s="252" t="str">
        <f>VLOOKUP(B197,Plantings!$A$2:$C$310,3,FALSE)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VLOOKUP(B197,Plantings!$A$2:$E$310,4,FALSE)</f>
        <v>point</v>
      </c>
      <c r="X197" s="251" t="str">
        <f>VLOOKUP(B197,Plantings!$A$2:$E$310,5,FALSE)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VLOOKUP(B198,Plantings!$A$2:$C$310,2,FALSE)</f>
        <v>MCN_still_2</v>
      </c>
      <c r="D198" s="252" t="str">
        <f>VLOOKUP(B198,Plantings!$A$2:$C$310,3,FALSE)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VLOOKUP(B198,Plantings!$A$2:$E$310,4,FALSE)</f>
        <v>point</v>
      </c>
      <c r="X198" s="251" t="str">
        <f>VLOOKUP(B198,Plantings!$A$2:$E$310,5,FALSE)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VLOOKUP(B199,Plantings!$A$2:$C$310,2,FALSE)</f>
        <v>MCN_still_2</v>
      </c>
      <c r="D199" s="252" t="str">
        <f>VLOOKUP(B199,Plantings!$A$2:$C$310,3,FALSE)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VLOOKUP(B199,Plantings!$A$2:$E$310,4,FALSE)</f>
        <v>point</v>
      </c>
      <c r="X199" s="251" t="str">
        <f>VLOOKUP(B199,Plantings!$A$2:$E$310,5,FALSE)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VLOOKUP(B200,Plantings!$A$2:$C$310,2,FALSE)</f>
        <v>MCN_north_2</v>
      </c>
      <c r="D200" s="252" t="str">
        <f>VLOOKUP(B200,Plantings!$A$2:$C$310,3,FALSE)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VLOOKUP(B200,Plantings!$A$2:$E$310,4,FALSE)</f>
        <v>point</v>
      </c>
      <c r="X200" s="251" t="str">
        <f>VLOOKUP(B200,Plantings!$A$2:$E$310,5,FALSE)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VLOOKUP(B201,Plantings!$A$2:$C$310,2,FALSE)</f>
        <v>MCN_North_3</v>
      </c>
      <c r="D201" s="252" t="str">
        <f>VLOOKUP(B201,Plantings!$A$2:$C$310,3,FALSE)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VLOOKUP(B201,Plantings!$A$2:$E$310,4,FALSE)</f>
        <v>point</v>
      </c>
      <c r="X201" s="251" t="str">
        <f>VLOOKUP(B201,Plantings!$A$2:$E$310,5,FALSE)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VLOOKUP(B202,Plantings!$A$2:$C$310,2,FALSE)</f>
        <v>MCN_south_L2</v>
      </c>
      <c r="D202" s="252" t="str">
        <f>VLOOKUP(B202,Plantings!$A$2:$C$310,3,FALSE)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VLOOKUP(B202,Plantings!$A$2:$E$310,4,FALSE)</f>
        <v>line</v>
      </c>
      <c r="X202" s="251" t="str">
        <f>VLOOKUP(B202,Plantings!$A$2:$E$310,5,FALSE)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VLOOKUP(B203,Plantings!$A$2:$C$310,2,FALSE)</f>
        <v>MCN_south_L2</v>
      </c>
      <c r="D203" s="252" t="str">
        <f>VLOOKUP(B203,Plantings!$A$2:$C$310,3,FALSE)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VLOOKUP(B203,Plantings!$A$2:$E$310,4,FALSE)</f>
        <v>line</v>
      </c>
      <c r="X203" s="251" t="str">
        <f>VLOOKUP(B203,Plantings!$A$2:$E$310,5,FALSE)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VLOOKUP(B204,Plantings!$A$2:$C$310,2,FALSE)</f>
        <v>MCN_south_L1</v>
      </c>
      <c r="D204" s="252" t="str">
        <f>VLOOKUP(B204,Plantings!$A$2:$C$310,3,FALSE)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VLOOKUP(B204,Plantings!$A$2:$E$310,4,FALSE)</f>
        <v>line</v>
      </c>
      <c r="X204" s="251" t="str">
        <f>VLOOKUP(B204,Plantings!$A$2:$E$310,5,FALSE)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VLOOKUP(B205,Plantings!$A$2:$C$310,2,FALSE)</f>
        <v>MCN_south_L1</v>
      </c>
      <c r="D205" s="252" t="str">
        <f>VLOOKUP(B205,Plantings!$A$2:$C$310,3,FALSE)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VLOOKUP(B205,Plantings!$A$2:$E$310,4,FALSE)</f>
        <v>line</v>
      </c>
      <c r="X205" s="251" t="str">
        <f>VLOOKUP(B205,Plantings!$A$2:$E$310,5,FALSE)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VLOOKUP(B206,Plantings!$A$2:$C$310,2,FALSE)</f>
        <v>MCN_south_L3</v>
      </c>
      <c r="D206" s="252" t="str">
        <f>VLOOKUP(B206,Plantings!$A$2:$C$310,3,FALSE)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VLOOKUP(B206,Plantings!$A$2:$E$310,4,FALSE)</f>
        <v>line</v>
      </c>
      <c r="X206" s="251" t="str">
        <f>VLOOKUP(B206,Plantings!$A$2:$E$310,5,FALSE)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VLOOKUP(B207,Plantings!$A$2:$C$310,2,FALSE)</f>
        <v>MCN_south_L3</v>
      </c>
      <c r="D207" s="252" t="str">
        <f>VLOOKUP(B207,Plantings!$A$2:$C$310,3,FALSE)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VLOOKUP(B207,Plantings!$A$2:$E$310,4,FALSE)</f>
        <v>line</v>
      </c>
      <c r="X207" s="251" t="str">
        <f>VLOOKUP(B207,Plantings!$A$2:$E$310,5,FALSE)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VLOOKUP(B208,Plantings!$A$2:$C$310,2,FALSE)</f>
        <v>MIL_1</v>
      </c>
      <c r="D208" s="252" t="str">
        <f>VLOOKUP(B208,Plantings!$A$2:$C$310,3,FALSE)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VLOOKUP(B208,Plantings!$A$2:$E$310,4,FALSE)</f>
        <v>point</v>
      </c>
      <c r="X208" s="251" t="str">
        <f>VLOOKUP(B208,Plantings!$A$2:$E$310,5,FALSE)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VLOOKUP(B209,Plantings!$A$2:$C$310,2,FALSE)</f>
        <v>MIL_3</v>
      </c>
      <c r="D209" s="252" t="str">
        <f>VLOOKUP(B209,Plantings!$A$2:$C$310,3,FALSE)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VLOOKUP(B209,Plantings!$A$2:$E$310,4,FALSE)</f>
        <v>point</v>
      </c>
      <c r="X209" s="251" t="str">
        <f>VLOOKUP(B209,Plantings!$A$2:$E$310,5,FALSE)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VLOOKUP(B210,Plantings!$A$2:$C$310,2,FALSE)</f>
        <v>MRE_1</v>
      </c>
      <c r="D210" s="252" t="str">
        <f>VLOOKUP(B210,Plantings!$A$2:$C$310,3,FALSE)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VLOOKUP(B210,Plantings!$A$2:$E$310,4,FALSE)</f>
        <v>point</v>
      </c>
      <c r="X210" s="251" t="str">
        <f>VLOOKUP(B210,Plantings!$A$2:$E$310,5,FALSE)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VLOOKUP(B211,Plantings!$A$2:$C$310,2,FALSE)</f>
        <v>MRE_1</v>
      </c>
      <c r="D211" s="252" t="str">
        <f>VLOOKUP(B211,Plantings!$A$2:$C$310,3,FALSE)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VLOOKUP(B211,Plantings!$A$2:$E$310,4,FALSE)</f>
        <v>point</v>
      </c>
      <c r="X211" s="251" t="str">
        <f>VLOOKUP(B211,Plantings!$A$2:$E$310,5,FALSE)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VLOOKUP(B212,Plantings!$A$2:$C$310,2,FALSE)</f>
        <v>MRE_2</v>
      </c>
      <c r="D212" s="252" t="str">
        <f>VLOOKUP(B212,Plantings!$A$2:$C$310,3,FALSE)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VLOOKUP(B212,Plantings!$A$2:$E$310,4,FALSE)</f>
        <v>point</v>
      </c>
      <c r="X212" s="251" t="str">
        <f>VLOOKUP(B212,Plantings!$A$2:$E$310,5,FALSE)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VLOOKUP(B213,Plantings!$A$2:$C$310,2,FALSE)</f>
        <v>MRE_2</v>
      </c>
      <c r="D213" s="252" t="str">
        <f>VLOOKUP(B213,Plantings!$A$2:$C$310,3,FALSE)</f>
        <v>single</v>
      </c>
      <c r="E213">
        <v>2022</v>
      </c>
      <c r="G213" t="s">
        <v>410</v>
      </c>
      <c r="H213" t="s">
        <v>907</v>
      </c>
      <c r="I213" t="s">
        <v>403</v>
      </c>
      <c r="J213" t="s">
        <v>1851</v>
      </c>
      <c r="K213" t="s">
        <v>1851</v>
      </c>
      <c r="L213" t="s">
        <v>1864</v>
      </c>
      <c r="N213" t="s">
        <v>1865</v>
      </c>
      <c r="R213" t="s">
        <v>22</v>
      </c>
      <c r="S213" t="s">
        <v>22</v>
      </c>
      <c r="T213" s="27">
        <v>44698</v>
      </c>
      <c r="W213" s="252" t="str">
        <f>VLOOKUP(B213,Plantings!$A$2:$E$310,4,FALSE)</f>
        <v>point</v>
      </c>
      <c r="X213" s="251" t="str">
        <f>VLOOKUP(B213,Plantings!$A$2:$E$310,5,FALSE)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VLOOKUP(B214,Plantings!$A$2:$C$310,2,FALSE)</f>
        <v>OST</v>
      </c>
      <c r="D214" s="252" t="str">
        <f>VLOOKUP(B214,Plantings!$A$2:$C$310,3,FALSE)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VLOOKUP(B214,Plantings!$A$2:$E$310,4,FALSE)</f>
        <v>point</v>
      </c>
      <c r="X214" s="251" t="str">
        <f>VLOOKUP(B214,Plantings!$A$2:$E$310,5,FALSE)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VLOOKUP(B215,Plantings!$A$2:$C$310,2,FALSE)</f>
        <v>OTB_1</v>
      </c>
      <c r="D215" s="252" t="str">
        <f>VLOOKUP(B215,Plantings!$A$2:$C$310,3,FALSE)</f>
        <v>single</v>
      </c>
      <c r="E215">
        <v>2023</v>
      </c>
      <c r="G215" t="s">
        <v>410</v>
      </c>
      <c r="H215" t="s">
        <v>2128</v>
      </c>
      <c r="I215" t="s">
        <v>402</v>
      </c>
      <c r="R215" t="s">
        <v>22</v>
      </c>
      <c r="S215" t="s">
        <v>22</v>
      </c>
      <c r="T215" s="134">
        <v>45053</v>
      </c>
      <c r="U215">
        <v>47.163100800000002</v>
      </c>
      <c r="V215">
        <v>-122.828051</v>
      </c>
      <c r="W215" s="252" t="str">
        <f>VLOOKUP(B215,Plantings!$A$2:$E$310,4,FALSE)</f>
        <v>point</v>
      </c>
      <c r="X215" s="251" t="str">
        <f>VLOOKUP(B215,Plantings!$A$2:$E$310,5,FALSE)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VLOOKUP(B216,Plantings!$A$2:$C$310,2,FALSE)</f>
        <v>PEN_L1</v>
      </c>
      <c r="D216" s="252" t="str">
        <f>VLOOKUP(B216,Plantings!$A$2:$C$310,3,FALSE)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VLOOKUP(B216,Plantings!$A$2:$E$310,4,FALSE)</f>
        <v>point</v>
      </c>
      <c r="X216" s="251" t="str">
        <f>VLOOKUP(B216,Plantings!$A$2:$E$310,5,FALSE)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VLOOKUP(B217,Plantings!$A$2:$C$310,2,FALSE)</f>
        <v>PTG_5</v>
      </c>
      <c r="D217" s="252" t="str">
        <f>VLOOKUP(B217,Plantings!$A$2:$C$310,3,FALSE)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VLOOKUP(B217,Plantings!$A$2:$E$310,4,FALSE)</f>
        <v>point</v>
      </c>
      <c r="X217" s="251" t="str">
        <f>VLOOKUP(B217,Plantings!$A$2:$E$310,5,FALSE)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VLOOKUP(B218,Plantings!$A$2:$C$310,2,FALSE)</f>
        <v>PTG_2</v>
      </c>
      <c r="D218" s="252" t="str">
        <f>VLOOKUP(B218,Plantings!$A$2:$C$310,3,FALSE)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VLOOKUP(B218,Plantings!$A$2:$E$310,4,FALSE)</f>
        <v>point</v>
      </c>
      <c r="X218" s="251" t="str">
        <f>VLOOKUP(B218,Plantings!$A$2:$E$310,5,FALSE)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VLOOKUP(B219,Plantings!$A$2:$C$310,2,FALSE)</f>
        <v>PTG_3</v>
      </c>
      <c r="D219" s="252" t="str">
        <f>VLOOKUP(B219,Plantings!$A$2:$C$310,3,FALSE)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VLOOKUP(B219,Plantings!$A$2:$E$310,4,FALSE)</f>
        <v>point</v>
      </c>
      <c r="X219" s="251" t="str">
        <f>VLOOKUP(B219,Plantings!$A$2:$E$310,5,FALSE)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VLOOKUP(B220,Plantings!$A$2:$C$310,2,FALSE)</f>
        <v>PTG_4</v>
      </c>
      <c r="D220" s="252" t="str">
        <f>VLOOKUP(B220,Plantings!$A$2:$C$310,3,FALSE)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VLOOKUP(B220,Plantings!$A$2:$E$310,4,FALSE)</f>
        <v>point</v>
      </c>
      <c r="X220" s="251" t="str">
        <f>VLOOKUP(B220,Plantings!$A$2:$E$310,5,FALSE)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VLOOKUP(B221,Plantings!$A$2:$C$310,2,FALSE)</f>
        <v>PTG_1</v>
      </c>
      <c r="D221" s="252" t="str">
        <f>VLOOKUP(B221,Plantings!$A$2:$C$310,3,FALSE)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VLOOKUP(B221,Plantings!$A$2:$E$310,4,FALSE)</f>
        <v>point</v>
      </c>
      <c r="X221" s="251" t="str">
        <f>VLOOKUP(B221,Plantings!$A$2:$E$310,5,FALSE)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VLOOKUP(B222,Plantings!$A$2:$C$310,2,FALSE)</f>
        <v>PTG_6</v>
      </c>
      <c r="D222" s="252" t="str">
        <f>VLOOKUP(B222,Plantings!$A$2:$C$310,3,FALSE)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VLOOKUP(B222,Plantings!$A$2:$E$310,4,FALSE)</f>
        <v>point</v>
      </c>
      <c r="X222" s="251" t="str">
        <f>VLOOKUP(B222,Plantings!$A$2:$E$310,5,FALSE)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VLOOKUP(B223,Plantings!$A$2:$C$310,2,FALSE)</f>
        <v>PTG_P1</v>
      </c>
      <c r="D223" s="252" t="str">
        <f>VLOOKUP(B223,Plantings!$A$2:$C$310,3,FALSE)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VLOOKUP(B223,Plantings!$A$2:$E$310,4,FALSE)</f>
        <v>polygon</v>
      </c>
      <c r="X223" s="251" t="str">
        <f>VLOOKUP(B223,Plantings!$A$2:$E$310,5,FALSE)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VLOOKUP(B224,Plantings!$A$2:$C$310,2,FALSE)</f>
        <v>PTG_P1</v>
      </c>
      <c r="D224" s="252" t="str">
        <f>VLOOKUP(B224,Plantings!$A$2:$C$310,3,FALSE)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VLOOKUP(B224,Plantings!$A$2:$E$310,4,FALSE)</f>
        <v>polygon</v>
      </c>
      <c r="X224" s="251" t="str">
        <f>VLOOKUP(B224,Plantings!$A$2:$E$310,5,FALSE)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VLOOKUP(B225,Plantings!$A$2:$C$310,2,FALSE)</f>
        <v>PTG_P1</v>
      </c>
      <c r="D225" s="252" t="str">
        <f>VLOOKUP(B225,Plantings!$A$2:$C$310,3,FALSE)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VLOOKUP(B225,Plantings!$A$2:$E$310,4,FALSE)</f>
        <v>polygon</v>
      </c>
      <c r="X225" s="251" t="str">
        <f>VLOOKUP(B225,Plantings!$A$2:$E$310,5,FALSE)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VLOOKUP(B226,Plantings!$A$2:$C$310,2,FALSE)</f>
        <v>PTG_P1</v>
      </c>
      <c r="D226" s="252" t="str">
        <f>VLOOKUP(B226,Plantings!$A$2:$C$310,3,FALSE)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VLOOKUP(B226,Plantings!$A$2:$E$310,4,FALSE)</f>
        <v>polygon</v>
      </c>
      <c r="X226" s="251" t="str">
        <f>VLOOKUP(B226,Plantings!$A$2:$E$310,5,FALSE)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VLOOKUP(B227,Plantings!$A$2:$C$310,2,FALSE)</f>
        <v>PTG_P2</v>
      </c>
      <c r="D227" s="252" t="str">
        <f>VLOOKUP(B227,Plantings!$A$2:$C$310,3,FALSE)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VLOOKUP(B227,Plantings!$A$2:$E$310,4,FALSE)</f>
        <v>polygon</v>
      </c>
      <c r="X227" s="251" t="str">
        <f>VLOOKUP(B227,Plantings!$A$2:$E$310,5,FALSE)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VLOOKUP(B228,Plantings!$A$2:$C$310,2,FALSE)</f>
        <v>PTG_P2</v>
      </c>
      <c r="D228" s="252" t="str">
        <f>VLOOKUP(B228,Plantings!$A$2:$C$310,3,FALSE)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VLOOKUP(B228,Plantings!$A$2:$E$310,4,FALSE)</f>
        <v>polygon</v>
      </c>
      <c r="X228" s="251" t="str">
        <f>VLOOKUP(B228,Plantings!$A$2:$E$310,5,FALSE)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VLOOKUP(B229,Plantings!$A$2:$C$310,2,FALSE)</f>
        <v>PTG_P2</v>
      </c>
      <c r="D229" s="252" t="str">
        <f>VLOOKUP(B229,Plantings!$A$2:$C$310,3,FALSE)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VLOOKUP(B229,Plantings!$A$2:$E$310,4,FALSE)</f>
        <v>polygon</v>
      </c>
      <c r="X229" s="251" t="str">
        <f>VLOOKUP(B229,Plantings!$A$2:$E$310,5,FALSE)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VLOOKUP(B230,Plantings!$A$2:$C$310,2,FALSE)</f>
        <v>PTG_P2</v>
      </c>
      <c r="D230" s="252" t="str">
        <f>VLOOKUP(B230,Plantings!$A$2:$C$310,3,FALSE)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VLOOKUP(B230,Plantings!$A$2:$E$310,4,FALSE)</f>
        <v>polygon</v>
      </c>
      <c r="X230" s="251" t="str">
        <f>VLOOKUP(B230,Plantings!$A$2:$E$310,5,FALSE)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VLOOKUP(B231,Plantings!$A$2:$C$310,2,FALSE)</f>
        <v>PTG_P3</v>
      </c>
      <c r="D231" s="252" t="str">
        <f>VLOOKUP(B231,Plantings!$A$2:$C$310,3,FALSE)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VLOOKUP(B231,Plantings!$A$2:$E$310,4,FALSE)</f>
        <v>polygon</v>
      </c>
      <c r="X231" s="251" t="str">
        <f>VLOOKUP(B231,Plantings!$A$2:$E$310,5,FALSE)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VLOOKUP(B232,Plantings!$A$2:$C$310,2,FALSE)</f>
        <v>PTG_P3</v>
      </c>
      <c r="D232" s="252" t="str">
        <f>VLOOKUP(B232,Plantings!$A$2:$C$310,3,FALSE)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VLOOKUP(B232,Plantings!$A$2:$E$310,4,FALSE)</f>
        <v>polygon</v>
      </c>
      <c r="X232" s="251" t="str">
        <f>VLOOKUP(B232,Plantings!$A$2:$E$310,5,FALSE)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VLOOKUP(B233,Plantings!$A$2:$C$310,2,FALSE)</f>
        <v>PTG_P3</v>
      </c>
      <c r="D233" s="252" t="str">
        <f>VLOOKUP(B233,Plantings!$A$2:$C$310,3,FALSE)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VLOOKUP(B233,Plantings!$A$2:$E$310,4,FALSE)</f>
        <v>polygon</v>
      </c>
      <c r="X233" s="251" t="str">
        <f>VLOOKUP(B233,Plantings!$A$2:$E$310,5,FALSE)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VLOOKUP(B234,Plantings!$A$2:$C$310,2,FALSE)</f>
        <v>PTG_P3</v>
      </c>
      <c r="D234" s="252" t="str">
        <f>VLOOKUP(B234,Plantings!$A$2:$C$310,3,FALSE)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VLOOKUP(B234,Plantings!$A$2:$E$310,4,FALSE)</f>
        <v>polygon</v>
      </c>
      <c r="X234" s="251" t="str">
        <f>VLOOKUP(B234,Plantings!$A$2:$E$310,5,FALSE)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VLOOKUP(B235,Plantings!$A$2:$C$310,2,FALSE)</f>
        <v>PTG_P4</v>
      </c>
      <c r="D235" s="252" t="str">
        <f>VLOOKUP(B235,Plantings!$A$2:$C$310,3,FALSE)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VLOOKUP(B235,Plantings!$A$2:$E$310,4,FALSE)</f>
        <v>polygon</v>
      </c>
      <c r="X235" s="251" t="str">
        <f>VLOOKUP(B235,Plantings!$A$2:$E$310,5,FALSE)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VLOOKUP(B236,Plantings!$A$2:$C$310,2,FALSE)</f>
        <v>PTG_P4</v>
      </c>
      <c r="D236" s="252" t="str">
        <f>VLOOKUP(B236,Plantings!$A$2:$C$310,3,FALSE)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VLOOKUP(B236,Plantings!$A$2:$E$310,4,FALSE)</f>
        <v>polygon</v>
      </c>
      <c r="X236" s="251" t="str">
        <f>VLOOKUP(B236,Plantings!$A$2:$E$310,5,FALSE)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VLOOKUP(B237,Plantings!$A$2:$C$310,2,FALSE)</f>
        <v>PTG_P4</v>
      </c>
      <c r="D237" s="252" t="str">
        <f>VLOOKUP(B237,Plantings!$A$2:$C$310,3,FALSE)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VLOOKUP(B237,Plantings!$A$2:$E$310,4,FALSE)</f>
        <v>polygon</v>
      </c>
      <c r="X237" s="251" t="str">
        <f>VLOOKUP(B237,Plantings!$A$2:$E$310,5,FALSE)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VLOOKUP(B238,Plantings!$A$2:$C$310,2,FALSE)</f>
        <v>PTG_P4</v>
      </c>
      <c r="D238" s="252" t="str">
        <f>VLOOKUP(B238,Plantings!$A$2:$C$310,3,FALSE)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VLOOKUP(B238,Plantings!$A$2:$E$310,4,FALSE)</f>
        <v>polygon</v>
      </c>
      <c r="X238" s="251" t="str">
        <f>VLOOKUP(B238,Plantings!$A$2:$E$310,5,FALSE)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VLOOKUP(B239,Plantings!$A$2:$C$310,2,FALSE)</f>
        <v>QMH_1S</v>
      </c>
      <c r="D239" s="252" t="str">
        <f>VLOOKUP(B239,Plantings!$A$2:$C$310,3,FALSE)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VLOOKUP(B239,Plantings!$A$2:$E$310,4,FALSE)</f>
        <v>point</v>
      </c>
      <c r="X239" s="251" t="str">
        <f>VLOOKUP(B239,Plantings!$A$2:$E$310,5,FALSE)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VLOOKUP(B240,Plantings!$A$2:$C$310,2,FALSE)</f>
        <v>QMH_1D</v>
      </c>
      <c r="D240" s="252" t="str">
        <f>VLOOKUP(B240,Plantings!$A$2:$C$310,3,FALSE)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VLOOKUP(B240,Plantings!$A$2:$E$310,4,FALSE)</f>
        <v>point</v>
      </c>
      <c r="X240" s="251" t="str">
        <f>VLOOKUP(B240,Plantings!$A$2:$E$310,5,FALSE)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VLOOKUP(B241,Plantings!$A$2:$C$310,2,FALSE)</f>
        <v>QMH_4S</v>
      </c>
      <c r="D241" s="252" t="str">
        <f>VLOOKUP(B241,Plantings!$A$2:$C$310,3,FALSE)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VLOOKUP(B241,Plantings!$A$2:$E$310,4,FALSE)</f>
        <v>point</v>
      </c>
      <c r="X241" s="251" t="str">
        <f>VLOOKUP(B241,Plantings!$A$2:$E$310,5,FALSE)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VLOOKUP(B242,Plantings!$A$2:$C$310,2,FALSE)</f>
        <v>QMH_4D</v>
      </c>
      <c r="D242" s="252" t="str">
        <f>VLOOKUP(B242,Plantings!$A$2:$C$310,3,FALSE)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VLOOKUP(B242,Plantings!$A$2:$E$310,4,FALSE)</f>
        <v>point</v>
      </c>
      <c r="X242" s="251" t="str">
        <f>VLOOKUP(B242,Plantings!$A$2:$E$310,5,FALSE)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VLOOKUP(B243,Plantings!$A$2:$C$310,2,FALSE)</f>
        <v>QMH_5S</v>
      </c>
      <c r="D243" s="252" t="str">
        <f>VLOOKUP(B243,Plantings!$A$2:$C$310,3,FALSE)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VLOOKUP(B243,Plantings!$A$2:$E$310,4,FALSE)</f>
        <v>point</v>
      </c>
      <c r="X243" s="251" t="str">
        <f>VLOOKUP(B243,Plantings!$A$2:$E$310,5,FALSE)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VLOOKUP(B244,Plantings!$A$2:$C$310,2,FALSE)</f>
        <v>QMH_5D</v>
      </c>
      <c r="D244" s="252" t="str">
        <f>VLOOKUP(B244,Plantings!$A$2:$C$310,3,FALSE)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VLOOKUP(B244,Plantings!$A$2:$E$310,4,FALSE)</f>
        <v>point</v>
      </c>
      <c r="X244" s="251" t="str">
        <f>VLOOKUP(B244,Plantings!$A$2:$E$310,5,FALSE)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VLOOKUP(B245,Plantings!$A$2:$C$310,2,FALSE)</f>
        <v>QMH_2D</v>
      </c>
      <c r="D245" s="252" t="str">
        <f>VLOOKUP(B245,Plantings!$A$2:$C$310,3,FALSE)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VLOOKUP(B245,Plantings!$A$2:$E$310,4,FALSE)</f>
        <v>point</v>
      </c>
      <c r="X245" s="251" t="str">
        <f>VLOOKUP(B245,Plantings!$A$2:$E$310,5,FALSE)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VLOOKUP(B246,Plantings!$A$2:$C$310,2,FALSE)</f>
        <v>QMH_3S</v>
      </c>
      <c r="D246" s="252" t="str">
        <f>VLOOKUP(B246,Plantings!$A$2:$C$310,3,FALSE)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VLOOKUP(B246,Plantings!$A$2:$E$310,4,FALSE)</f>
        <v>point</v>
      </c>
      <c r="X246" s="251" t="str">
        <f>VLOOKUP(B246,Plantings!$A$2:$E$310,5,FALSE)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VLOOKUP(B247,Plantings!$A$2:$C$310,2,FALSE)</f>
        <v>QMH_3D</v>
      </c>
      <c r="D247" s="252" t="str">
        <f>VLOOKUP(B247,Plantings!$A$2:$C$310,3,FALSE)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VLOOKUP(B247,Plantings!$A$2:$E$310,4,FALSE)</f>
        <v>point</v>
      </c>
      <c r="X247" s="251" t="str">
        <f>VLOOKUP(B247,Plantings!$A$2:$E$310,5,FALSE)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str">
        <f>VLOOKUP(B248,Plantings!$A$2:$C$310,2,FALSE)</f>
        <v>QMH_4S</v>
      </c>
      <c r="D248" s="252" t="str">
        <f>VLOOKUP(B248,Plantings!$A$2:$C$310,3,FALSE)</f>
        <v>colocated</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str">
        <f>VLOOKUP(B248,Plantings!$A$2:$E$310,4,FALSE)</f>
        <v>point</v>
      </c>
      <c r="X248" s="251" t="str">
        <f>VLOOKUP(B248,Plantings!$A$2:$E$310,5,FALSE)</f>
        <v>retain</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str">
        <f>VLOOKUP(B249,Plantings!$A$2:$C$310,2,FALSE)</f>
        <v>QMH_4S</v>
      </c>
      <c r="D249" s="252" t="str">
        <f>VLOOKUP(B249,Plantings!$A$2:$C$310,3,FALSE)</f>
        <v>colocated</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str">
        <f>VLOOKUP(B249,Plantings!$A$2:$E$310,4,FALSE)</f>
        <v>point</v>
      </c>
      <c r="X249" s="251" t="str">
        <f>VLOOKUP(B249,Plantings!$A$2:$E$310,5,FALSE)</f>
        <v>retain</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str">
        <f>VLOOKUP(B250,Plantings!$A$2:$C$310,2,FALSE)</f>
        <v>QMH_4S</v>
      </c>
      <c r="D250" s="252" t="str">
        <f>VLOOKUP(B250,Plantings!$A$2:$C$310,3,FALSE)</f>
        <v>colocated</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str">
        <f>VLOOKUP(B250,Plantings!$A$2:$E$310,4,FALSE)</f>
        <v>point</v>
      </c>
      <c r="X250" s="251" t="str">
        <f>VLOOKUP(B250,Plantings!$A$2:$E$310,5,FALSE)</f>
        <v>retain</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str">
        <f>VLOOKUP(B251,Plantings!$A$2:$C$310,2,FALSE)</f>
        <v>QMH_5a</v>
      </c>
      <c r="D251" s="252" t="str">
        <f>VLOOKUP(B251,Plantings!$A$2:$C$310,3,FALSE)</f>
        <v>colocated</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str">
        <f>VLOOKUP(B251,Plantings!$A$2:$E$310,4,FALSE)</f>
        <v>point</v>
      </c>
      <c r="X251" s="251" t="str">
        <f>VLOOKUP(B251,Plantings!$A$2:$E$310,5,FALSE)</f>
        <v>retain</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str">
        <f>VLOOKUP(B252,Plantings!$A$2:$C$310,2,FALSE)</f>
        <v>QMH_5a</v>
      </c>
      <c r="D252" s="252" t="str">
        <f>VLOOKUP(B252,Plantings!$A$2:$C$310,3,FALSE)</f>
        <v>colocated</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str">
        <f>VLOOKUP(B252,Plantings!$A$2:$E$310,4,FALSE)</f>
        <v>point</v>
      </c>
      <c r="X252" s="251" t="str">
        <f>VLOOKUP(B252,Plantings!$A$2:$E$310,5,FALSE)</f>
        <v>retain</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str">
        <f>VLOOKUP(B253,Plantings!$A$2:$C$310,2,FALSE)</f>
        <v>QMH_4S</v>
      </c>
      <c r="D253" s="252" t="str">
        <f>VLOOKUP(B253,Plantings!$A$2:$C$310,3,FALSE)</f>
        <v>colocated</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str">
        <f>VLOOKUP(B253,Plantings!$A$2:$E$310,4,FALSE)</f>
        <v>point</v>
      </c>
      <c r="X253" s="251" t="str">
        <f>VLOOKUP(B253,Plantings!$A$2:$E$310,5,FALSE)</f>
        <v>retain</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str">
        <f>VLOOKUP(B254,Plantings!$A$2:$C$310,2,FALSE)</f>
        <v>QMH_4S</v>
      </c>
      <c r="D254" s="252" t="str">
        <f>VLOOKUP(B254,Plantings!$A$2:$C$310,3,FALSE)</f>
        <v>colocated</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str">
        <f>VLOOKUP(B254,Plantings!$A$2:$E$310,4,FALSE)</f>
        <v>point</v>
      </c>
      <c r="X254" s="251" t="str">
        <f>VLOOKUP(B254,Plantings!$A$2:$E$310,5,FALSE)</f>
        <v>retain</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VLOOKUP(B255,Plantings!$A$2:$C$310,2,FALSE)</f>
        <v>QLC01</v>
      </c>
      <c r="D255" s="252" t="str">
        <f>VLOOKUP(B255,Plantings!$A$2:$C$310,3,FALSE)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VLOOKUP(B255,Plantings!$A$2:$E$310,4,FALSE)</f>
        <v>point</v>
      </c>
      <c r="X255" s="251" t="str">
        <f>VLOOKUP(B255,Plantings!$A$2:$E$310,5,FALSE)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VLOOKUP(B256,Plantings!$A$2:$C$310,2,FALSE)</f>
        <v>QLC_north1</v>
      </c>
      <c r="D256" s="252" t="str">
        <f>VLOOKUP(B256,Plantings!$A$2:$C$310,3,FALSE)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VLOOKUP(B256,Plantings!$A$2:$E$310,4,FALSE)</f>
        <v>point?</v>
      </c>
      <c r="X256" s="251" t="str">
        <f>VLOOKUP(B256,Plantings!$A$2:$E$310,5,FALSE)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VLOOKUP(B257,Plantings!$A$2:$C$310,2,FALSE)</f>
        <v>QLC_north2</v>
      </c>
      <c r="D257" s="252" t="str">
        <f>VLOOKUP(B257,Plantings!$A$2:$C$310,3,FALSE)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VLOOKUP(B257,Plantings!$A$2:$E$310,4,FALSE)</f>
        <v>point?</v>
      </c>
      <c r="X257" s="251" t="str">
        <f>VLOOKUP(B257,Plantings!$A$2:$E$310,5,FALSE)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VLOOKUP(B258,Plantings!$A$2:$C$310,2,FALSE)</f>
        <v>QLC_north3</v>
      </c>
      <c r="D258" s="252" t="str">
        <f>VLOOKUP(B258,Plantings!$A$2:$C$310,3,FALSE)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VLOOKUP(B258,Plantings!$A$2:$E$310,4,FALSE)</f>
        <v>point?</v>
      </c>
      <c r="X258" s="251" t="str">
        <f>VLOOKUP(B258,Plantings!$A$2:$E$310,5,FALSE)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VLOOKUP(B259,Plantings!$A$2:$C$310,2,FALSE)</f>
        <v>QLC_mid1</v>
      </c>
      <c r="D259" s="252" t="str">
        <f>VLOOKUP(B259,Plantings!$A$2:$C$310,3,FALSE)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VLOOKUP(B259,Plantings!$A$2:$E$310,4,FALSE)</f>
        <v>point?</v>
      </c>
      <c r="X259" s="251" t="str">
        <f>VLOOKUP(B259,Plantings!$A$2:$E$310,5,FALSE)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VLOOKUP(B260,Plantings!$A$2:$C$310,2,FALSE)</f>
        <v>QLC_mid2</v>
      </c>
      <c r="D260" s="252" t="str">
        <f>VLOOKUP(B260,Plantings!$A$2:$C$310,3,FALSE)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VLOOKUP(B260,Plantings!$A$2:$E$310,4,FALSE)</f>
        <v>point?</v>
      </c>
      <c r="X260" s="251" t="str">
        <f>VLOOKUP(B260,Plantings!$A$2:$E$310,5,FALSE)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VLOOKUP(B261,Plantings!$A$2:$C$310,2,FALSE)</f>
        <v>QLC_mid3</v>
      </c>
      <c r="D261" s="252" t="str">
        <f>VLOOKUP(B261,Plantings!$A$2:$C$310,3,FALSE)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VLOOKUP(B261,Plantings!$A$2:$E$310,4,FALSE)</f>
        <v>point?</v>
      </c>
      <c r="X261" s="251" t="str">
        <f>VLOOKUP(B261,Plantings!$A$2:$E$310,5,FALSE)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VLOOKUP(B262,Plantings!$A$2:$C$310,2,FALSE)</f>
        <v>QLC_south1</v>
      </c>
      <c r="D262" s="252" t="str">
        <f>VLOOKUP(B262,Plantings!$A$2:$C$310,3,FALSE)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VLOOKUP(B262,Plantings!$A$2:$E$310,4,FALSE)</f>
        <v>point?</v>
      </c>
      <c r="X262" s="251" t="str">
        <f>VLOOKUP(B262,Plantings!$A$2:$E$310,5,FALSE)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VLOOKUP(B263,Plantings!$A$2:$C$310,2,FALSE)</f>
        <v>QLC_south2</v>
      </c>
      <c r="D263" s="252" t="str">
        <f>VLOOKUP(B263,Plantings!$A$2:$C$310,3,FALSE)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VLOOKUP(B263,Plantings!$A$2:$E$310,4,FALSE)</f>
        <v>point?</v>
      </c>
      <c r="X263" s="251" t="str">
        <f>VLOOKUP(B263,Plantings!$A$2:$E$310,5,FALSE)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VLOOKUP(B264,Plantings!$A$2:$C$310,2,FALSE)</f>
        <v>QLC_south3</v>
      </c>
      <c r="D264" s="252" t="str">
        <f>VLOOKUP(B264,Plantings!$A$2:$C$310,3,FALSE)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VLOOKUP(B264,Plantings!$A$2:$E$310,4,FALSE)</f>
        <v>point?</v>
      </c>
      <c r="X264" s="251" t="str">
        <f>VLOOKUP(B264,Plantings!$A$2:$E$310,5,FALSE)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VLOOKUP(B265,Plantings!$A$2:$C$310,2,FALSE)</f>
        <v>SHB_1</v>
      </c>
      <c r="D265" s="252" t="str">
        <f>VLOOKUP(B265,Plantings!$A$2:$C$310,3,FALSE)</f>
        <v>single</v>
      </c>
      <c r="E265">
        <v>2023</v>
      </c>
      <c r="G265" t="s">
        <v>410</v>
      </c>
      <c r="H265" t="s">
        <v>2132</v>
      </c>
      <c r="I265" t="s">
        <v>405</v>
      </c>
      <c r="R265" t="s">
        <v>22</v>
      </c>
      <c r="S265" t="s">
        <v>22</v>
      </c>
      <c r="T265" s="134">
        <v>45081</v>
      </c>
      <c r="U265" s="30">
        <v>47.866653999999997</v>
      </c>
      <c r="V265" s="30">
        <v>-122.67272</v>
      </c>
      <c r="W265" s="252" t="str">
        <f>VLOOKUP(B265,Plantings!$A$2:$E$310,4,FALSE)</f>
        <v>point</v>
      </c>
      <c r="X265" s="251" t="str">
        <f>VLOOKUP(B265,Plantings!$A$2:$E$310,5,FALSE)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VLOOKUP(B266,Plantings!$A$2:$C$310,2,FALSE)</f>
        <v>SKG_1</v>
      </c>
      <c r="D266" s="252" t="str">
        <f>VLOOKUP(B266,Plantings!$A$2:$C$310,3,FALSE)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VLOOKUP(B266,Plantings!$A$2:$E$310,4,FALSE)</f>
        <v>point</v>
      </c>
      <c r="X266" s="251" t="str">
        <f>VLOOKUP(B266,Plantings!$A$2:$E$310,5,FALSE)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VLOOKUP(B267,Plantings!$A$2:$C$310,2,FALSE)</f>
        <v>SKG_2</v>
      </c>
      <c r="D267" s="252" t="str">
        <f>VLOOKUP(B267,Plantings!$A$2:$C$310,3,FALSE)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VLOOKUP(B267,Plantings!$A$2:$E$310,4,FALSE)</f>
        <v>point</v>
      </c>
      <c r="X267" s="251" t="str">
        <f>VLOOKUP(B267,Plantings!$A$2:$E$310,5,FALSE)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VLOOKUP(B268,Plantings!$A$2:$C$310,2,FALSE)</f>
        <v>SKG_5</v>
      </c>
      <c r="D268" s="252" t="str">
        <f>VLOOKUP(B268,Plantings!$A$2:$C$310,3,FALSE)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VLOOKUP(B268,Plantings!$A$2:$E$310,4,FALSE)</f>
        <v>point</v>
      </c>
      <c r="X268" s="251" t="str">
        <f>VLOOKUP(B268,Plantings!$A$2:$E$310,5,FALSE)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VLOOKUP(B269,Plantings!$A$2:$C$310,2,FALSE)</f>
        <v>SKG_6</v>
      </c>
      <c r="D269" s="252" t="str">
        <f>VLOOKUP(B269,Plantings!$A$2:$C$310,3,FALSE)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VLOOKUP(B269,Plantings!$A$2:$E$310,4,FALSE)</f>
        <v>point</v>
      </c>
      <c r="X269" s="251" t="str">
        <f>VLOOKUP(B269,Plantings!$A$2:$E$310,5,FALSE)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VLOOKUP(B270,Plantings!$A$2:$C$310,2,FALSE)</f>
        <v>STI</v>
      </c>
      <c r="D270" s="252" t="str">
        <f>VLOOKUP(B270,Plantings!$A$2:$C$310,3,FALSE)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VLOOKUP(B270,Plantings!$A$2:$E$310,4,FALSE)</f>
        <v>point</v>
      </c>
      <c r="X270" s="251" t="str">
        <f>VLOOKUP(B270,Plantings!$A$2:$E$310,5,FALSE)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VLOOKUP(B271,Plantings!$A$2:$C$310,2,FALSE)</f>
        <v>TAY_L1</v>
      </c>
      <c r="D271" s="252" t="str">
        <f>VLOOKUP(B271,Plantings!$A$2:$C$310,3,FALSE)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VLOOKUP(B271,Plantings!$A$2:$E$310,4,FALSE)</f>
        <v>line?</v>
      </c>
      <c r="X271" s="251" t="str">
        <f>VLOOKUP(B271,Plantings!$A$2:$E$310,5,FALSE)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VLOOKUP(B272,Plantings!$A$2:$C$310,2,FALSE)</f>
        <v>TAY_L1</v>
      </c>
      <c r="D272" s="252" t="str">
        <f>VLOOKUP(B272,Plantings!$A$2:$C$310,3,FALSE)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VLOOKUP(B272,Plantings!$A$2:$E$310,4,FALSE)</f>
        <v>line?</v>
      </c>
      <c r="X272" s="251" t="str">
        <f>VLOOKUP(B272,Plantings!$A$2:$E$310,5,FALSE)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VLOOKUP(B273,Plantings!$A$2:$C$310,2,FALSE)</f>
        <v>WES_east</v>
      </c>
      <c r="D273" s="252" t="str">
        <f>VLOOKUP(B273,Plantings!$A$2:$C$310,3,FALSE)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VLOOKUP(B273,Plantings!$A$2:$E$310,4,FALSE)</f>
        <v>point</v>
      </c>
      <c r="X273" s="251" t="str">
        <f>VLOOKUP(B273,Plantings!$A$2:$E$310,5,FALSE)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VLOOKUP(B274,Plantings!$A$2:$C$310,2,FALSE)</f>
        <v>WES_west</v>
      </c>
      <c r="D274" s="252" t="str">
        <f>VLOOKUP(B274,Plantings!$A$2:$C$310,3,FALSE)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VLOOKUP(B274,Plantings!$A$2:$E$310,4,FALSE)</f>
        <v>point</v>
      </c>
      <c r="X274" s="251" t="str">
        <f>VLOOKUP(B274,Plantings!$A$2:$E$310,5,FALSE)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VLOOKUP(B275,Plantings!$A$2:$C$310,2,FALSE)</f>
        <v>WES_A</v>
      </c>
      <c r="D275" s="252" t="str">
        <f>VLOOKUP(B275,Plantings!$A$2:$C$310,3,FALSE)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VLOOKUP(B275,Plantings!$A$2:$E$310,4,FALSE)</f>
        <v>point</v>
      </c>
      <c r="X275" s="251" t="str">
        <f>VLOOKUP(B275,Plantings!$A$2:$E$310,5,FALSE)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VLOOKUP(B276,Plantings!$A$2:$C$310,2,FALSE)</f>
        <v>WES_B</v>
      </c>
      <c r="D276" s="252" t="str">
        <f>VLOOKUP(B276,Plantings!$A$2:$C$310,3,FALSE)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VLOOKUP(B276,Plantings!$A$2:$E$310,4,FALSE)</f>
        <v>point</v>
      </c>
      <c r="X276" s="251" t="str">
        <f>VLOOKUP(B276,Plantings!$A$2:$E$310,5,FALSE)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VLOOKUP(B277,Plantings!$A$2:$C$310,2,FALSE)</f>
        <v>WES_C</v>
      </c>
      <c r="D277" s="252" t="str">
        <f>VLOOKUP(B277,Plantings!$A$2:$C$310,3,FALSE)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VLOOKUP(B277,Plantings!$A$2:$E$310,4,FALSE)</f>
        <v>point</v>
      </c>
      <c r="X277" s="251" t="str">
        <f>VLOOKUP(B277,Plantings!$A$2:$E$310,5,FALSE)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VLOOKUP(B278,Plantings!$A$2:$C$310,2,FALSE)</f>
        <v>WES_D</v>
      </c>
      <c r="D278" s="252" t="str">
        <f>VLOOKUP(B278,Plantings!$A$2:$C$310,3,FALSE)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VLOOKUP(B278,Plantings!$A$2:$E$310,4,FALSE)</f>
        <v>point</v>
      </c>
      <c r="X278" s="251" t="str">
        <f>VLOOKUP(B278,Plantings!$A$2:$E$310,5,FALSE)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VLOOKUP(B279,Plantings!$A$2:$C$310,2,FALSE)</f>
        <v>WES_test_1</v>
      </c>
      <c r="D279" s="252" t="str">
        <f>VLOOKUP(B279,Plantings!$A$2:$C$310,3,FALSE)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VLOOKUP(B279,Plantings!$A$2:$E$310,4,FALSE)</f>
        <v>line</v>
      </c>
      <c r="X279" s="251" t="str">
        <f>VLOOKUP(B279,Plantings!$A$2:$E$310,5,FALSE)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VLOOKUP(B280,Plantings!$A$2:$C$310,2,FALSE)</f>
        <v>WES_test_1</v>
      </c>
      <c r="D280" s="252" t="str">
        <f>VLOOKUP(B280,Plantings!$A$2:$C$310,3,FALSE)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VLOOKUP(B280,Plantings!$A$2:$E$310,4,FALSE)</f>
        <v>line</v>
      </c>
      <c r="X280" s="251" t="str">
        <f>VLOOKUP(B280,Plantings!$A$2:$E$310,5,FALSE)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VLOOKUP(B281,Plantings!$A$2:$C$310,2,FALSE)</f>
        <v>WES_test_1</v>
      </c>
      <c r="D281" s="252" t="str">
        <f>VLOOKUP(B281,Plantings!$A$2:$C$310,3,FALSE)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VLOOKUP(B281,Plantings!$A$2:$E$310,4,FALSE)</f>
        <v>line</v>
      </c>
      <c r="X281" s="251" t="str">
        <f>VLOOKUP(B281,Plantings!$A$2:$E$310,5,FALSE)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VLOOKUP(B282,Plantings!$A$2:$C$310,2,FALSE)</f>
        <v>WES_test_1</v>
      </c>
      <c r="D282" s="252" t="str">
        <f>VLOOKUP(B282,Plantings!$A$2:$C$310,3,FALSE)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VLOOKUP(B282,Plantings!$A$2:$E$310,4,FALSE)</f>
        <v>line</v>
      </c>
      <c r="X282" s="251" t="str">
        <f>VLOOKUP(B282,Plantings!$A$2:$E$310,5,FALSE)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VLOOKUP(B283,Plantings!$A$2:$C$310,2,FALSE)</f>
        <v>WES_test_1</v>
      </c>
      <c r="D283" s="252" t="str">
        <f>VLOOKUP(B283,Plantings!$A$2:$C$310,3,FALSE)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VLOOKUP(B283,Plantings!$A$2:$E$310,4,FALSE)</f>
        <v>line</v>
      </c>
      <c r="X283" s="251" t="str">
        <f>VLOOKUP(B283,Plantings!$A$2:$E$310,5,FALSE)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VLOOKUP(B284,Plantings!$A$2:$C$310,2,FALSE)</f>
        <v>ZAN_1</v>
      </c>
      <c r="D284" s="252" t="str">
        <f>VLOOKUP(B284,Plantings!$A$2:$C$310,3,FALSE)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VLOOKUP(B284,Plantings!$A$2:$E$310,4,FALSE)</f>
        <v>point</v>
      </c>
      <c r="X284" s="251" t="str">
        <f>VLOOKUP(B284,Plantings!$A$2:$E$310,5,FALSE)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VLOOKUP(B285,Plantings!$A$2:$C$310,2,FALSE)</f>
        <v>ZAN_P1</v>
      </c>
      <c r="D285" s="252" t="str">
        <f>VLOOKUP(B285,Plantings!$A$2:$C$310,3,FALSE)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VLOOKUP(B285,Plantings!$A$2:$E$310,4,FALSE)</f>
        <v>polygon</v>
      </c>
      <c r="X285" s="251" t="str">
        <f>VLOOKUP(B285,Plantings!$A$2:$E$310,5,FALSE)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VLOOKUP(B286,Plantings!$A$2:$C$310,2,FALSE)</f>
        <v>ZAN_P1</v>
      </c>
      <c r="D286" s="252" t="str">
        <f>VLOOKUP(B286,Plantings!$A$2:$C$310,3,FALSE)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VLOOKUP(B286,Plantings!$A$2:$E$310,4,FALSE)</f>
        <v>polygon</v>
      </c>
      <c r="X286" s="251" t="str">
        <f>VLOOKUP(B286,Plantings!$A$2:$E$310,5,FALSE)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VLOOKUP(B287,Plantings!$A$2:$C$310,2,FALSE)</f>
        <v>ZAN_P1</v>
      </c>
      <c r="D287" s="252" t="str">
        <f>VLOOKUP(B287,Plantings!$A$2:$C$310,3,FALSE)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VLOOKUP(B287,Plantings!$A$2:$E$310,4,FALSE)</f>
        <v>polygon</v>
      </c>
      <c r="X287" s="251" t="str">
        <f>VLOOKUP(B287,Plantings!$A$2:$E$310,5,FALSE)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VLOOKUP(B288,Plantings!$A$2:$C$310,2,FALSE)</f>
        <v>ZAN_P1</v>
      </c>
      <c r="D288" s="252" t="str">
        <f>VLOOKUP(B288,Plantings!$A$2:$C$310,3,FALSE)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VLOOKUP(B288,Plantings!$A$2:$E$310,4,FALSE)</f>
        <v>polygon</v>
      </c>
      <c r="X288" s="251" t="str">
        <f>VLOOKUP(B288,Plantings!$A$2:$E$310,5,FALSE)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VLOOKUP(B289,Plantings!$A$2:$C$310,2,FALSE)</f>
        <v>ZAN_2</v>
      </c>
      <c r="D289" s="252" t="str">
        <f>VLOOKUP(B289,Plantings!$A$2:$C$310,3,FALSE)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VLOOKUP(B289,Plantings!$A$2:$E$310,4,FALSE)</f>
        <v>point</v>
      </c>
      <c r="X289" s="251" t="str">
        <f>VLOOKUP(B289,Plantings!$A$2:$E$310,5,FALSE)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VLOOKUP(B290,Plantings!$A$2:$C$310,2,FALSE)</f>
        <v>ZAN_3</v>
      </c>
      <c r="D290" s="252" t="str">
        <f>VLOOKUP(B290,Plantings!$A$2:$C$310,3,FALSE)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VLOOKUP(B290,Plantings!$A$2:$E$310,4,FALSE)</f>
        <v>point</v>
      </c>
      <c r="X290" s="251" t="str">
        <f>VLOOKUP(B290,Plantings!$A$2:$E$310,5,FALSE)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VLOOKUP(B291,Plantings!$A$2:$C$310,2,FALSE)</f>
        <v>ZAN_4</v>
      </c>
      <c r="D291" s="252" t="str">
        <f>VLOOKUP(B291,Plantings!$A$2:$C$310,3,FALSE)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VLOOKUP(B291,Plantings!$A$2:$E$310,4,FALSE)</f>
        <v>point</v>
      </c>
      <c r="X291" s="251" t="str">
        <f>VLOOKUP(B291,Plantings!$A$2:$E$310,5,FALSE)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81" activePane="bottomLeft" state="frozen"/>
      <selection pane="bottomLeft" activeCell="K306" sqref="K306"/>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D288" t="s">
        <v>410</v>
      </c>
      <c r="E288" t="s">
        <v>2390</v>
      </c>
      <c r="H288" t="s">
        <v>2444</v>
      </c>
    </row>
    <row r="289" spans="1:8" x14ac:dyDescent="0.25">
      <c r="A289" s="258" t="s">
        <v>2035</v>
      </c>
      <c r="B289" s="252" t="s">
        <v>2379</v>
      </c>
      <c r="C289" t="s">
        <v>2270</v>
      </c>
      <c r="D289" t="s">
        <v>410</v>
      </c>
      <c r="E289" t="s">
        <v>2390</v>
      </c>
      <c r="H289" t="s">
        <v>2441</v>
      </c>
    </row>
    <row r="290" spans="1:8" x14ac:dyDescent="0.25">
      <c r="A290" s="258" t="s">
        <v>2035</v>
      </c>
      <c r="B290" s="252" t="s">
        <v>2379</v>
      </c>
      <c r="C290" t="s">
        <v>2270</v>
      </c>
      <c r="D290" t="s">
        <v>410</v>
      </c>
      <c r="E290" t="s">
        <v>2390</v>
      </c>
      <c r="H290" t="s">
        <v>2446</v>
      </c>
    </row>
    <row r="291" spans="1:8" x14ac:dyDescent="0.25">
      <c r="A291" s="258" t="s">
        <v>2036</v>
      </c>
      <c r="B291" s="197" t="s">
        <v>2445</v>
      </c>
      <c r="C291" t="s">
        <v>2270</v>
      </c>
      <c r="D291" t="s">
        <v>410</v>
      </c>
      <c r="E291" t="s">
        <v>2390</v>
      </c>
      <c r="H291" t="s">
        <v>2447</v>
      </c>
    </row>
    <row r="292" spans="1:8" x14ac:dyDescent="0.25">
      <c r="A292" s="258" t="s">
        <v>2036</v>
      </c>
      <c r="B292" s="197" t="s">
        <v>2445</v>
      </c>
      <c r="C292" t="s">
        <v>2270</v>
      </c>
      <c r="D292" t="s">
        <v>410</v>
      </c>
      <c r="E292" t="s">
        <v>2390</v>
      </c>
      <c r="H292" t="s">
        <v>2447</v>
      </c>
    </row>
    <row r="293" spans="1:8" x14ac:dyDescent="0.25">
      <c r="A293" s="258" t="s">
        <v>2035</v>
      </c>
      <c r="B293" s="252" t="s">
        <v>2379</v>
      </c>
      <c r="C293" t="s">
        <v>2270</v>
      </c>
      <c r="D293" t="s">
        <v>410</v>
      </c>
      <c r="E293" t="s">
        <v>2390</v>
      </c>
    </row>
    <row r="294" spans="1:8" x14ac:dyDescent="0.25">
      <c r="A294" s="258" t="s">
        <v>2085</v>
      </c>
      <c r="B294" s="252" t="s">
        <v>2379</v>
      </c>
      <c r="C294" t="s">
        <v>2270</v>
      </c>
      <c r="D294" t="s">
        <v>410</v>
      </c>
      <c r="E294" t="s">
        <v>2390</v>
      </c>
      <c r="H294" t="s">
        <v>2448</v>
      </c>
    </row>
    <row r="295" spans="1:8" x14ac:dyDescent="0.25">
      <c r="A295" s="259"/>
    </row>
    <row r="296" spans="1:8" x14ac:dyDescent="0.25">
      <c r="A296" s="259" t="s">
        <v>1901</v>
      </c>
      <c r="B296" t="s">
        <v>2313</v>
      </c>
      <c r="C296" t="s">
        <v>2270</v>
      </c>
      <c r="D296" t="s">
        <v>410</v>
      </c>
      <c r="E296" t="s">
        <v>2390</v>
      </c>
      <c r="H296" t="s">
        <v>2449</v>
      </c>
    </row>
    <row r="297" spans="1:8" x14ac:dyDescent="0.25">
      <c r="A297" s="259" t="s">
        <v>1902</v>
      </c>
      <c r="B297" t="s">
        <v>2314</v>
      </c>
      <c r="C297" t="s">
        <v>2270</v>
      </c>
      <c r="D297" t="s">
        <v>410</v>
      </c>
      <c r="E297" t="s">
        <v>2390</v>
      </c>
    </row>
    <row r="298" spans="1:8" x14ac:dyDescent="0.25">
      <c r="A298" s="259" t="s">
        <v>1903</v>
      </c>
      <c r="B298" t="s">
        <v>2315</v>
      </c>
      <c r="C298" t="s">
        <v>2270</v>
      </c>
      <c r="D298" t="s">
        <v>410</v>
      </c>
      <c r="E298" t="s">
        <v>2390</v>
      </c>
    </row>
    <row r="299" spans="1:8" x14ac:dyDescent="0.25">
      <c r="A299" s="259" t="s">
        <v>1904</v>
      </c>
      <c r="B299" t="s">
        <v>2316</v>
      </c>
      <c r="C299" t="s">
        <v>2270</v>
      </c>
      <c r="D299" t="s">
        <v>410</v>
      </c>
      <c r="E299" t="s">
        <v>2390</v>
      </c>
    </row>
    <row r="300" spans="1:8" x14ac:dyDescent="0.25">
      <c r="A300" s="259" t="s">
        <v>1905</v>
      </c>
      <c r="B300" t="s">
        <v>2317</v>
      </c>
      <c r="C300" t="s">
        <v>2270</v>
      </c>
      <c r="D300" t="s">
        <v>410</v>
      </c>
      <c r="E300" t="s">
        <v>2390</v>
      </c>
    </row>
    <row r="301" spans="1:8" x14ac:dyDescent="0.25">
      <c r="A301" s="259" t="s">
        <v>1906</v>
      </c>
      <c r="B301" t="s">
        <v>2318</v>
      </c>
      <c r="C301" t="s">
        <v>2270</v>
      </c>
      <c r="D301" t="s">
        <v>410</v>
      </c>
      <c r="E301" t="s">
        <v>2390</v>
      </c>
    </row>
    <row r="302" spans="1:8" x14ac:dyDescent="0.25">
      <c r="A302" s="259" t="s">
        <v>1907</v>
      </c>
      <c r="B302" t="s">
        <v>2319</v>
      </c>
      <c r="C302" t="s">
        <v>2270</v>
      </c>
      <c r="D302" t="s">
        <v>410</v>
      </c>
      <c r="E302" t="s">
        <v>2390</v>
      </c>
      <c r="H302" s="1"/>
    </row>
    <row r="303" spans="1:8" x14ac:dyDescent="0.25">
      <c r="A303" s="259" t="s">
        <v>1908</v>
      </c>
      <c r="B303" t="s">
        <v>2320</v>
      </c>
      <c r="C303" t="s">
        <v>2270</v>
      </c>
      <c r="D303" t="s">
        <v>410</v>
      </c>
      <c r="E303" t="s">
        <v>2390</v>
      </c>
      <c r="H303" s="1"/>
    </row>
    <row r="304" spans="1:8" x14ac:dyDescent="0.25">
      <c r="A304" s="259" t="s">
        <v>1909</v>
      </c>
      <c r="B304" t="s">
        <v>2321</v>
      </c>
      <c r="C304" t="s">
        <v>2270</v>
      </c>
      <c r="D304" t="s">
        <v>410</v>
      </c>
      <c r="E304" t="s">
        <v>2390</v>
      </c>
      <c r="H304" s="1"/>
    </row>
    <row r="305" spans="1:8" x14ac:dyDescent="0.25">
      <c r="A305" s="259" t="s">
        <v>1910</v>
      </c>
      <c r="B305" t="s">
        <v>2322</v>
      </c>
      <c r="C305" t="s">
        <v>2270</v>
      </c>
      <c r="D305" t="s">
        <v>410</v>
      </c>
      <c r="E305" t="s">
        <v>2390</v>
      </c>
      <c r="H305" s="1"/>
    </row>
    <row r="306" spans="1:8" x14ac:dyDescent="0.25">
      <c r="A306" s="259" t="s">
        <v>1911</v>
      </c>
      <c r="B306" t="s">
        <v>2323</v>
      </c>
      <c r="C306" t="s">
        <v>2270</v>
      </c>
      <c r="D306" t="s">
        <v>410</v>
      </c>
      <c r="E306" t="s">
        <v>2390</v>
      </c>
      <c r="H306" s="1"/>
    </row>
    <row r="307" spans="1:8" x14ac:dyDescent="0.25">
      <c r="A307" s="259" t="s">
        <v>1912</v>
      </c>
      <c r="B307" t="s">
        <v>2324</v>
      </c>
      <c r="C307" t="s">
        <v>2270</v>
      </c>
      <c r="D307" t="s">
        <v>410</v>
      </c>
      <c r="E307" t="s">
        <v>2390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4" activePane="bottomRight" state="frozen"/>
      <selection pane="topRight" activeCell="C1" sqref="C1"/>
      <selection pane="bottomLeft" activeCell="A3" sqref="A3"/>
      <selection pane="bottomRight" activeCell="R11" sqref="R11"/>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K35"/>
  <sheetViews>
    <sheetView tabSelected="1" zoomScale="90" zoomScaleNormal="90" workbookViewId="0">
      <selection activeCell="E35" sqref="E35"/>
    </sheetView>
  </sheetViews>
  <sheetFormatPr defaultColWidth="13.7109375" defaultRowHeight="15" x14ac:dyDescent="0.25"/>
  <cols>
    <col min="1" max="1" width="22.28515625" bestFit="1" customWidth="1"/>
    <col min="2" max="3" width="22.28515625" customWidth="1"/>
    <col min="4" max="4" width="21.42578125" bestFit="1" customWidth="1"/>
    <col min="5" max="5" width="18.28515625" bestFit="1" customWidth="1"/>
    <col min="6" max="6" width="18.28515625" customWidth="1"/>
    <col min="7" max="7" width="21" bestFit="1" customWidth="1"/>
    <col min="8" max="8" width="11.7109375" customWidth="1"/>
    <col min="9" max="9" width="12.42578125" bestFit="1" customWidth="1"/>
    <col min="10" max="10" width="10" bestFit="1" customWidth="1"/>
    <col min="11" max="11" width="183.5703125" bestFit="1" customWidth="1"/>
  </cols>
  <sheetData>
    <row r="1" spans="1:11" x14ac:dyDescent="0.25">
      <c r="B1" s="98"/>
      <c r="C1" s="98"/>
      <c r="D1" s="98"/>
      <c r="E1" s="98"/>
      <c r="F1" s="98"/>
      <c r="G1" s="234" t="s">
        <v>448</v>
      </c>
      <c r="H1" s="234" t="s">
        <v>447</v>
      </c>
      <c r="I1" s="234" t="s">
        <v>447</v>
      </c>
      <c r="J1" s="234" t="s">
        <v>80</v>
      </c>
      <c r="K1" s="18"/>
    </row>
    <row r="2" spans="1:11" x14ac:dyDescent="0.25">
      <c r="A2" t="s">
        <v>2155</v>
      </c>
      <c r="B2" s="98" t="s">
        <v>2156</v>
      </c>
      <c r="C2" s="98" t="s">
        <v>2494</v>
      </c>
      <c r="D2" s="98" t="s">
        <v>2157</v>
      </c>
      <c r="E2" s="98" t="s">
        <v>2158</v>
      </c>
      <c r="F2" s="98" t="s">
        <v>2159</v>
      </c>
      <c r="G2" s="98" t="s">
        <v>2160</v>
      </c>
      <c r="H2" s="98" t="s">
        <v>2161</v>
      </c>
      <c r="I2" s="98" t="s">
        <v>2162</v>
      </c>
      <c r="J2" s="98" t="s">
        <v>2163</v>
      </c>
      <c r="K2" s="18" t="s">
        <v>2164</v>
      </c>
    </row>
    <row r="3" spans="1:11" x14ac:dyDescent="0.25">
      <c r="A3" t="s">
        <v>4</v>
      </c>
      <c r="B3" t="s">
        <v>2165</v>
      </c>
      <c r="D3" s="1" t="s">
        <v>608</v>
      </c>
      <c r="E3" s="1" t="s">
        <v>403</v>
      </c>
      <c r="F3" s="1" t="s">
        <v>1027</v>
      </c>
      <c r="G3" t="s">
        <v>410</v>
      </c>
      <c r="H3" s="9">
        <v>47.163469999999997</v>
      </c>
      <c r="I3" s="9">
        <v>-122.63570199999999</v>
      </c>
      <c r="J3" s="7" t="s">
        <v>146</v>
      </c>
    </row>
    <row r="4" spans="1:11" x14ac:dyDescent="0.25">
      <c r="A4" t="s">
        <v>9</v>
      </c>
      <c r="B4" t="s">
        <v>8</v>
      </c>
      <c r="D4" t="s">
        <v>142</v>
      </c>
      <c r="E4" t="s">
        <v>403</v>
      </c>
      <c r="F4" t="s">
        <v>1028</v>
      </c>
      <c r="G4" t="s">
        <v>410</v>
      </c>
      <c r="H4" s="9">
        <v>47.126616666666663</v>
      </c>
      <c r="I4" s="9">
        <v>-122.70803333333333</v>
      </c>
      <c r="J4" s="7" t="s">
        <v>146</v>
      </c>
      <c r="K4" t="s">
        <v>51</v>
      </c>
    </row>
    <row r="5" spans="1:11" x14ac:dyDescent="0.25">
      <c r="A5" t="s">
        <v>649</v>
      </c>
      <c r="B5" t="s">
        <v>564</v>
      </c>
      <c r="D5" t="s">
        <v>7</v>
      </c>
      <c r="E5" t="s">
        <v>405</v>
      </c>
      <c r="F5" t="s">
        <v>1029</v>
      </c>
      <c r="G5" t="s">
        <v>410</v>
      </c>
      <c r="H5" s="9">
        <v>47.862383333333298</v>
      </c>
      <c r="I5" s="9">
        <v>-122.57603333333333</v>
      </c>
      <c r="J5" s="7" t="s">
        <v>146</v>
      </c>
      <c r="K5" t="s">
        <v>553</v>
      </c>
    </row>
    <row r="6" spans="1:11" x14ac:dyDescent="0.25">
      <c r="A6" t="s">
        <v>54</v>
      </c>
      <c r="B6" t="s">
        <v>547</v>
      </c>
      <c r="D6" t="s">
        <v>37</v>
      </c>
      <c r="E6" t="s">
        <v>403</v>
      </c>
      <c r="F6" t="s">
        <v>1030</v>
      </c>
      <c r="G6" t="s">
        <v>410</v>
      </c>
      <c r="H6" s="9">
        <v>47.3444</v>
      </c>
      <c r="I6" s="9">
        <v>-122.793888</v>
      </c>
      <c r="J6" s="7" t="s">
        <v>146</v>
      </c>
      <c r="K6" s="3" t="s">
        <v>549</v>
      </c>
    </row>
    <row r="7" spans="1:11" x14ac:dyDescent="0.25">
      <c r="A7" t="s">
        <v>55</v>
      </c>
      <c r="B7" t="s">
        <v>2166</v>
      </c>
      <c r="D7" t="s">
        <v>68</v>
      </c>
      <c r="E7" t="s">
        <v>403</v>
      </c>
      <c r="F7" t="s">
        <v>1031</v>
      </c>
      <c r="G7" t="s">
        <v>410</v>
      </c>
      <c r="H7" s="9">
        <v>47.325321936111109</v>
      </c>
      <c r="I7" s="15">
        <v>-122.68193927222222</v>
      </c>
      <c r="J7" s="7" t="s">
        <v>146</v>
      </c>
      <c r="K7" s="3"/>
    </row>
    <row r="8" spans="1:11" x14ac:dyDescent="0.25">
      <c r="A8" t="s">
        <v>55</v>
      </c>
      <c r="B8" t="s">
        <v>2166</v>
      </c>
      <c r="D8" t="s">
        <v>68</v>
      </c>
      <c r="E8" t="s">
        <v>403</v>
      </c>
      <c r="F8" t="s">
        <v>1031</v>
      </c>
      <c r="G8" t="s">
        <v>410</v>
      </c>
      <c r="H8" s="9">
        <v>47.325165008333336</v>
      </c>
      <c r="I8" s="15">
        <v>-122.68223233055555</v>
      </c>
      <c r="J8" s="7" t="s">
        <v>146</v>
      </c>
      <c r="K8" s="3"/>
    </row>
    <row r="9" spans="1:11" x14ac:dyDescent="0.25">
      <c r="A9" t="s">
        <v>55</v>
      </c>
      <c r="B9" t="s">
        <v>2166</v>
      </c>
      <c r="D9" t="s">
        <v>68</v>
      </c>
      <c r="E9" t="s">
        <v>403</v>
      </c>
      <c r="F9" t="s">
        <v>1031</v>
      </c>
      <c r="G9" t="s">
        <v>410</v>
      </c>
      <c r="H9" s="9">
        <v>47.325325808333297</v>
      </c>
      <c r="I9" s="15">
        <v>-122.68170151111111</v>
      </c>
      <c r="J9" s="7" t="s">
        <v>146</v>
      </c>
      <c r="K9" s="3"/>
    </row>
    <row r="10" spans="1:11" x14ac:dyDescent="0.25">
      <c r="A10" t="s">
        <v>55</v>
      </c>
      <c r="B10" t="s">
        <v>2166</v>
      </c>
      <c r="D10" t="s">
        <v>68</v>
      </c>
      <c r="E10" t="s">
        <v>403</v>
      </c>
      <c r="F10" t="s">
        <v>1031</v>
      </c>
      <c r="G10" t="s">
        <v>410</v>
      </c>
      <c r="H10" s="9">
        <v>47.325478602777778</v>
      </c>
      <c r="I10" s="15">
        <v>-122.68170151111111</v>
      </c>
      <c r="J10" s="7" t="s">
        <v>146</v>
      </c>
      <c r="K10" s="3"/>
    </row>
    <row r="11" spans="1:11" x14ac:dyDescent="0.25">
      <c r="A11" t="s">
        <v>54</v>
      </c>
      <c r="B11" t="s">
        <v>545</v>
      </c>
      <c r="D11" t="s">
        <v>37</v>
      </c>
      <c r="E11" t="s">
        <v>403</v>
      </c>
      <c r="F11" t="s">
        <v>1032</v>
      </c>
      <c r="G11" t="s">
        <v>410</v>
      </c>
      <c r="H11" s="9">
        <v>47.357388</v>
      </c>
      <c r="I11" s="15">
        <v>-122.80218600000001</v>
      </c>
      <c r="J11" s="7" t="s">
        <v>146</v>
      </c>
      <c r="K11" s="3"/>
    </row>
    <row r="12" spans="1:11" x14ac:dyDescent="0.25">
      <c r="A12" t="s">
        <v>54</v>
      </c>
      <c r="B12" t="s">
        <v>545</v>
      </c>
      <c r="D12" t="s">
        <v>37</v>
      </c>
      <c r="E12" t="s">
        <v>403</v>
      </c>
      <c r="F12" t="s">
        <v>1032</v>
      </c>
      <c r="G12" t="s">
        <v>410</v>
      </c>
      <c r="H12" s="9">
        <v>47.357408999999997</v>
      </c>
      <c r="I12" s="15">
        <v>-122.80251800000001</v>
      </c>
      <c r="J12" s="7" t="s">
        <v>146</v>
      </c>
      <c r="K12" s="3"/>
    </row>
    <row r="13" spans="1:11" x14ac:dyDescent="0.25">
      <c r="A13" t="s">
        <v>54</v>
      </c>
      <c r="B13" t="s">
        <v>545</v>
      </c>
      <c r="D13" t="s">
        <v>37</v>
      </c>
      <c r="E13" t="s">
        <v>403</v>
      </c>
      <c r="F13" t="s">
        <v>1032</v>
      </c>
      <c r="G13" t="s">
        <v>410</v>
      </c>
      <c r="H13" s="9">
        <v>47.357408</v>
      </c>
      <c r="I13" s="15">
        <v>-122.802893</v>
      </c>
      <c r="J13" s="7" t="s">
        <v>146</v>
      </c>
      <c r="K13" s="3"/>
    </row>
    <row r="14" spans="1:11" x14ac:dyDescent="0.25">
      <c r="A14" t="s">
        <v>54</v>
      </c>
      <c r="B14" t="s">
        <v>545</v>
      </c>
      <c r="D14" t="s">
        <v>37</v>
      </c>
      <c r="E14" t="s">
        <v>403</v>
      </c>
      <c r="F14" t="s">
        <v>1032</v>
      </c>
      <c r="G14" t="s">
        <v>410</v>
      </c>
      <c r="H14" s="9">
        <v>47.357408</v>
      </c>
      <c r="I14" s="15">
        <v>-122.80256</v>
      </c>
      <c r="J14" s="7" t="s">
        <v>146</v>
      </c>
      <c r="K14" s="3"/>
    </row>
    <row r="15" spans="1:11" x14ac:dyDescent="0.25">
      <c r="A15" t="s">
        <v>2183</v>
      </c>
      <c r="B15" t="s">
        <v>27</v>
      </c>
      <c r="D15" s="1" t="s">
        <v>27</v>
      </c>
      <c r="E15" s="1" t="s">
        <v>405</v>
      </c>
      <c r="F15" s="1" t="s">
        <v>1034</v>
      </c>
      <c r="G15" t="s">
        <v>410</v>
      </c>
      <c r="H15" s="14">
        <v>47.801983333000003</v>
      </c>
      <c r="I15" s="14">
        <v>-122.86565</v>
      </c>
      <c r="J15" t="s">
        <v>146</v>
      </c>
      <c r="K15" s="19"/>
    </row>
    <row r="16" spans="1:11" x14ac:dyDescent="0.25">
      <c r="A16" t="s">
        <v>2182</v>
      </c>
      <c r="B16" t="s">
        <v>483</v>
      </c>
      <c r="D16" s="1" t="s">
        <v>502</v>
      </c>
      <c r="E16" s="1" t="s">
        <v>404</v>
      </c>
      <c r="F16" s="1" t="s">
        <v>1033</v>
      </c>
      <c r="G16" t="s">
        <v>410</v>
      </c>
      <c r="H16" s="9">
        <v>48.603438333333301</v>
      </c>
      <c r="I16" s="9">
        <v>-123.17378333333333</v>
      </c>
      <c r="J16" s="7" t="s">
        <v>146</v>
      </c>
      <c r="K16" s="19"/>
    </row>
    <row r="17" spans="1:11" x14ac:dyDescent="0.25">
      <c r="A17" t="s">
        <v>2182</v>
      </c>
      <c r="B17" t="s">
        <v>499</v>
      </c>
      <c r="D17" s="1" t="s">
        <v>501</v>
      </c>
      <c r="E17" s="1" t="s">
        <v>404</v>
      </c>
      <c r="F17" s="1" t="s">
        <v>1035</v>
      </c>
      <c r="G17" t="s">
        <v>410</v>
      </c>
      <c r="H17" s="9">
        <v>48.594180555555553</v>
      </c>
      <c r="I17" s="9">
        <v>-123.15826166666666</v>
      </c>
      <c r="J17" s="7" t="s">
        <v>146</v>
      </c>
      <c r="K17" s="19"/>
    </row>
    <row r="18" spans="1:11" x14ac:dyDescent="0.25">
      <c r="A18" t="s">
        <v>2182</v>
      </c>
      <c r="B18" t="s">
        <v>500</v>
      </c>
      <c r="D18" s="1" t="s">
        <v>503</v>
      </c>
      <c r="E18" s="1" t="s">
        <v>404</v>
      </c>
      <c r="F18" s="1" t="s">
        <v>1036</v>
      </c>
      <c r="G18" t="s">
        <v>410</v>
      </c>
      <c r="H18" s="9">
        <v>48.680500000000002</v>
      </c>
      <c r="I18" s="9">
        <v>-123.1827</v>
      </c>
      <c r="J18" s="7" t="s">
        <v>146</v>
      </c>
      <c r="K18" s="13" t="s">
        <v>1059</v>
      </c>
    </row>
    <row r="19" spans="1:11" x14ac:dyDescent="0.25">
      <c r="A19" t="s">
        <v>2182</v>
      </c>
      <c r="B19" t="s">
        <v>498</v>
      </c>
      <c r="D19" s="1" t="s">
        <v>498</v>
      </c>
      <c r="E19" s="1" t="s">
        <v>404</v>
      </c>
      <c r="F19" s="1" t="s">
        <v>1037</v>
      </c>
      <c r="G19" t="s">
        <v>410</v>
      </c>
      <c r="H19" s="9">
        <v>48.574199999999998</v>
      </c>
      <c r="I19" s="9">
        <v>-123.1696</v>
      </c>
      <c r="J19" s="7" t="s">
        <v>146</v>
      </c>
      <c r="K19" s="19"/>
    </row>
    <row r="20" spans="1:11" x14ac:dyDescent="0.25">
      <c r="A20" t="s">
        <v>2184</v>
      </c>
      <c r="B20" t="s">
        <v>359</v>
      </c>
      <c r="D20" s="1" t="s">
        <v>142</v>
      </c>
      <c r="E20" s="1" t="s">
        <v>403</v>
      </c>
      <c r="F20" s="1" t="s">
        <v>1038</v>
      </c>
      <c r="G20" t="s">
        <v>410</v>
      </c>
      <c r="H20" s="23">
        <v>47.144016666666666</v>
      </c>
      <c r="I20" s="23">
        <v>-122.67596666666667</v>
      </c>
      <c r="J20" s="7" t="s">
        <v>146</v>
      </c>
      <c r="K20" s="19"/>
    </row>
    <row r="21" spans="1:11" x14ac:dyDescent="0.25">
      <c r="A21" t="s">
        <v>2184</v>
      </c>
      <c r="B21" t="s">
        <v>54</v>
      </c>
      <c r="D21" s="1" t="s">
        <v>37</v>
      </c>
      <c r="E21" s="1" t="s">
        <v>403</v>
      </c>
      <c r="F21" s="1" t="s">
        <v>1032</v>
      </c>
      <c r="G21" t="s">
        <v>410</v>
      </c>
      <c r="H21" s="9">
        <v>47.357399999999998</v>
      </c>
      <c r="I21" s="9">
        <v>-122.80119999999999</v>
      </c>
      <c r="J21" s="7" t="s">
        <v>146</v>
      </c>
      <c r="K21" t="s">
        <v>548</v>
      </c>
    </row>
    <row r="22" spans="1:11" x14ac:dyDescent="0.25">
      <c r="A22" t="s">
        <v>538</v>
      </c>
      <c r="B22" t="s">
        <v>538</v>
      </c>
      <c r="D22" s="1" t="s">
        <v>538</v>
      </c>
      <c r="E22" s="1" t="s">
        <v>403</v>
      </c>
      <c r="F22" s="1" t="s">
        <v>1039</v>
      </c>
      <c r="G22" t="s">
        <v>410</v>
      </c>
      <c r="H22" s="9">
        <v>47.329500000000003</v>
      </c>
      <c r="I22" s="9">
        <v>-122.3907</v>
      </c>
      <c r="J22" t="s">
        <v>146</v>
      </c>
    </row>
    <row r="23" spans="1:11" x14ac:dyDescent="0.25">
      <c r="A23" t="s">
        <v>2188</v>
      </c>
      <c r="B23" t="s">
        <v>557</v>
      </c>
      <c r="D23" s="1" t="s">
        <v>557</v>
      </c>
      <c r="E23" s="1" t="s">
        <v>404</v>
      </c>
      <c r="F23" s="1" t="s">
        <v>558</v>
      </c>
      <c r="G23" t="s">
        <v>410</v>
      </c>
      <c r="H23" s="9">
        <v>48.0792</v>
      </c>
      <c r="I23" s="9">
        <v>-123.0455</v>
      </c>
      <c r="J23" t="s">
        <v>146</v>
      </c>
      <c r="K23" t="s">
        <v>559</v>
      </c>
    </row>
    <row r="24" spans="1:11" s="42" customFormat="1" x14ac:dyDescent="0.25">
      <c r="A24" s="42" t="s">
        <v>2185</v>
      </c>
      <c r="B24" s="41" t="s">
        <v>560</v>
      </c>
      <c r="C24" s="41"/>
      <c r="D24" s="41" t="s">
        <v>561</v>
      </c>
      <c r="E24" s="41" t="s">
        <v>403</v>
      </c>
      <c r="F24" s="41" t="s">
        <v>1040</v>
      </c>
      <c r="G24" t="s">
        <v>410</v>
      </c>
      <c r="H24" s="43">
        <v>47.696399999999997</v>
      </c>
      <c r="I24" s="43">
        <v>-122.5817</v>
      </c>
      <c r="J24" s="1" t="s">
        <v>146</v>
      </c>
    </row>
    <row r="25" spans="1:11" x14ac:dyDescent="0.25">
      <c r="A25" t="s">
        <v>608</v>
      </c>
      <c r="B25" t="s">
        <v>565</v>
      </c>
      <c r="D25" t="s">
        <v>397</v>
      </c>
      <c r="E25" s="1" t="s">
        <v>403</v>
      </c>
      <c r="F25" s="1" t="s">
        <v>1041</v>
      </c>
      <c r="G25" t="s">
        <v>410</v>
      </c>
      <c r="H25" s="9">
        <v>47.6145</v>
      </c>
      <c r="I25" s="9">
        <v>-122.4974</v>
      </c>
      <c r="J25" s="7" t="s">
        <v>146</v>
      </c>
      <c r="K25" t="s">
        <v>566</v>
      </c>
    </row>
    <row r="26" spans="1:11" x14ac:dyDescent="0.25">
      <c r="A26" t="s">
        <v>2186</v>
      </c>
      <c r="B26" t="s">
        <v>588</v>
      </c>
      <c r="D26" t="s">
        <v>588</v>
      </c>
      <c r="E26" s="1" t="s">
        <v>406</v>
      </c>
      <c r="F26" s="1" t="s">
        <v>1042</v>
      </c>
      <c r="G26" t="s">
        <v>410</v>
      </c>
      <c r="H26" s="9">
        <v>48.328600000000002</v>
      </c>
      <c r="I26" s="9">
        <v>-122.508</v>
      </c>
      <c r="J26" s="7" t="s">
        <v>146</v>
      </c>
    </row>
    <row r="27" spans="1:11" x14ac:dyDescent="0.25">
      <c r="A27" t="s">
        <v>2184</v>
      </c>
      <c r="B27" t="s">
        <v>117</v>
      </c>
      <c r="D27" s="41" t="s">
        <v>142</v>
      </c>
      <c r="E27" s="1" t="s">
        <v>403</v>
      </c>
      <c r="F27" s="1" t="s">
        <v>1043</v>
      </c>
      <c r="G27" t="s">
        <v>410</v>
      </c>
      <c r="H27" s="9">
        <v>47.117296000000003</v>
      </c>
      <c r="I27" s="9">
        <v>-122.667756</v>
      </c>
      <c r="J27" t="s">
        <v>146</v>
      </c>
    </row>
    <row r="28" spans="1:11" x14ac:dyDescent="0.25">
      <c r="A28" t="s">
        <v>2187</v>
      </c>
      <c r="B28" t="s">
        <v>76</v>
      </c>
      <c r="D28" s="41" t="s">
        <v>1164</v>
      </c>
      <c r="E28" s="1" t="s">
        <v>404</v>
      </c>
      <c r="F28" s="1" t="s">
        <v>1165</v>
      </c>
      <c r="G28" t="s">
        <v>410</v>
      </c>
      <c r="H28" s="141">
        <v>48.146299999999997</v>
      </c>
      <c r="I28" s="141">
        <v>-123.63683333333333</v>
      </c>
      <c r="J28" s="7" t="s">
        <v>146</v>
      </c>
    </row>
    <row r="29" spans="1:11" x14ac:dyDescent="0.25">
      <c r="A29" t="s">
        <v>2184</v>
      </c>
      <c r="B29" t="s">
        <v>2089</v>
      </c>
      <c r="D29" s="41" t="s">
        <v>68</v>
      </c>
      <c r="E29" s="1" t="s">
        <v>403</v>
      </c>
      <c r="F29" s="1" t="s">
        <v>2090</v>
      </c>
      <c r="G29" s="1" t="s">
        <v>410</v>
      </c>
      <c r="H29" s="9">
        <v>47.28004</v>
      </c>
      <c r="I29" s="9">
        <v>-122.68123</v>
      </c>
      <c r="J29" s="7" t="s">
        <v>146</v>
      </c>
    </row>
    <row r="30" spans="1:11" x14ac:dyDescent="0.25">
      <c r="B30" t="s">
        <v>1872</v>
      </c>
    </row>
    <row r="31" spans="1:11" x14ac:dyDescent="0.25">
      <c r="B31" t="s">
        <v>1873</v>
      </c>
    </row>
    <row r="32" spans="1:11" x14ac:dyDescent="0.25">
      <c r="B32" t="s">
        <v>1164</v>
      </c>
    </row>
    <row r="35" spans="9:10" x14ac:dyDescent="0.25">
      <c r="I35" s="9"/>
      <c r="J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3.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2026-05-06T18:16:13Z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