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49" documentId="13_ncr:1_{0F8B3BDD-6B84-4067-B779-7F00A835CBDB}" xr6:coauthVersionLast="47" xr6:coauthVersionMax="47" xr10:uidLastSave="{DA9AD3D1-5D0D-4396-81A3-2385A9DAB007}"/>
  <bookViews>
    <workbookView xWindow="390" yWindow="390" windowWidth="28320" windowHeight="15315"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 i="17" l="1"/>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<sst xmlns="http://schemas.openxmlformats.org/spreadsheetml/2006/main" count="17614" uniqueCount="2494">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</sst>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topLeftCell="B1" zoomScaleNormal="100" workbookViewId="0">
      <pane xSplit="1" ySplit="3" topLeftCell="R4" activePane="bottomRight" state="frozen"/>
      <selection activeCell="B1" sqref="B1"/>
      <selection pane="topRight" activeCell="C1" sqref="C1"/>
      <selection pane="bottomLeft" activeCell="B4" sqref="B4"/>
      <selection pane="bottomRight" activeCell="W11" sqref="W11"/>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2465</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25" t="s">
        <v>518</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25" t="s">
        <v>518</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25" t="s">
        <v>518</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25" t="s">
        <v>518</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25" t="s">
        <v>518</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25" t="s">
        <v>518</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25" t="s">
        <v>518</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25" t="s">
        <v>518</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25" t="s">
        <v>518</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25" t="s">
        <v>518</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25" t="s">
        <v>518</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411</v>
      </c>
      <c r="H143" s="1" t="s">
        <v>37</v>
      </c>
      <c r="I143" t="s">
        <v>403</v>
      </c>
      <c r="J143" s="1" t="s">
        <v>160</v>
      </c>
      <c r="K143" s="1" t="s">
        <v>163</v>
      </c>
      <c r="L143" s="1" t="s">
        <v>227</v>
      </c>
      <c r="M143" s="1"/>
      <c r="N143" s="1"/>
      <c r="O143" s="1"/>
      <c r="P143" s="1"/>
      <c r="Q143" s="1"/>
      <c r="R143" s="1" t="s">
        <v>22</v>
      </c>
      <c r="S143" s="1"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411</v>
      </c>
      <c r="H144" s="1" t="s">
        <v>37</v>
      </c>
      <c r="I144" t="s">
        <v>403</v>
      </c>
      <c r="J144" s="1" t="s">
        <v>160</v>
      </c>
      <c r="K144" s="1" t="s">
        <v>163</v>
      </c>
      <c r="L144" s="1" t="s">
        <v>227</v>
      </c>
      <c r="M144" s="1"/>
      <c r="N144" s="1"/>
      <c r="O144" s="1"/>
      <c r="P144" s="1"/>
      <c r="Q144" s="1"/>
      <c r="R144" s="1" t="s">
        <v>22</v>
      </c>
      <c r="S144" s="25" t="s">
        <v>518</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411</v>
      </c>
      <c r="H145" s="1" t="s">
        <v>37</v>
      </c>
      <c r="I145" t="s">
        <v>403</v>
      </c>
      <c r="J145" s="1" t="s">
        <v>160</v>
      </c>
      <c r="K145" s="1" t="s">
        <v>163</v>
      </c>
      <c r="L145" s="1" t="s">
        <v>227</v>
      </c>
      <c r="M145" s="1"/>
      <c r="N145" s="1"/>
      <c r="O145" s="1"/>
      <c r="P145" s="1"/>
      <c r="Q145" s="1"/>
      <c r="R145" s="1" t="s">
        <v>22</v>
      </c>
      <c r="S145" s="25" t="s">
        <v>518</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411</v>
      </c>
      <c r="H146" s="1" t="s">
        <v>37</v>
      </c>
      <c r="I146" t="s">
        <v>403</v>
      </c>
      <c r="J146" s="1" t="s">
        <v>160</v>
      </c>
      <c r="K146" s="1" t="s">
        <v>163</v>
      </c>
      <c r="L146" s="1" t="s">
        <v>227</v>
      </c>
      <c r="M146" s="1"/>
      <c r="N146" s="1"/>
      <c r="O146" s="1"/>
      <c r="P146" s="1"/>
      <c r="Q146" s="1"/>
      <c r="R146" s="1" t="s">
        <v>22</v>
      </c>
      <c r="S146" s="25" t="s">
        <v>518</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411</v>
      </c>
      <c r="H147" s="1" t="s">
        <v>37</v>
      </c>
      <c r="I147" t="s">
        <v>403</v>
      </c>
      <c r="J147" s="1" t="s">
        <v>160</v>
      </c>
      <c r="K147" s="1" t="s">
        <v>163</v>
      </c>
      <c r="L147" s="1" t="s">
        <v>227</v>
      </c>
      <c r="M147" s="1"/>
      <c r="N147" s="1"/>
      <c r="O147" s="1"/>
      <c r="P147" s="1"/>
      <c r="Q147" s="1"/>
      <c r="R147" s="1" t="s">
        <v>22</v>
      </c>
      <c r="S147" s="1"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411</v>
      </c>
      <c r="H148" s="1" t="s">
        <v>37</v>
      </c>
      <c r="I148" t="s">
        <v>403</v>
      </c>
      <c r="J148" s="1" t="s">
        <v>160</v>
      </c>
      <c r="K148" s="1" t="s">
        <v>163</v>
      </c>
      <c r="L148" s="1" t="s">
        <v>227</v>
      </c>
      <c r="M148" s="1"/>
      <c r="N148" s="1"/>
      <c r="O148" s="1"/>
      <c r="P148" s="1"/>
      <c r="Q148" s="1"/>
      <c r="R148" s="1" t="s">
        <v>22</v>
      </c>
      <c r="S148" s="25" t="s">
        <v>518</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411</v>
      </c>
      <c r="H149" s="1" t="s">
        <v>37</v>
      </c>
      <c r="I149" t="s">
        <v>403</v>
      </c>
      <c r="J149" s="1" t="s">
        <v>160</v>
      </c>
      <c r="K149" s="1" t="s">
        <v>163</v>
      </c>
      <c r="L149" s="1" t="s">
        <v>227</v>
      </c>
      <c r="M149" s="1"/>
      <c r="N149" s="1"/>
      <c r="O149" s="1"/>
      <c r="P149" s="1"/>
      <c r="Q149" s="1"/>
      <c r="R149" s="1" t="s">
        <v>22</v>
      </c>
      <c r="S149" s="25" t="s">
        <v>518</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411</v>
      </c>
      <c r="H150" s="1" t="s">
        <v>37</v>
      </c>
      <c r="I150" t="s">
        <v>403</v>
      </c>
      <c r="J150" s="1" t="s">
        <v>160</v>
      </c>
      <c r="K150" s="1" t="s">
        <v>163</v>
      </c>
      <c r="L150" s="1" t="s">
        <v>227</v>
      </c>
      <c r="M150" s="1"/>
      <c r="N150" s="1"/>
      <c r="O150" s="1"/>
      <c r="P150" s="1"/>
      <c r="Q150" s="1"/>
      <c r="R150" s="1" t="s">
        <v>22</v>
      </c>
      <c r="S150" s="25" t="s">
        <v>518</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411</v>
      </c>
      <c r="H151" s="1" t="s">
        <v>37</v>
      </c>
      <c r="I151" t="s">
        <v>403</v>
      </c>
      <c r="J151" s="1" t="s">
        <v>160</v>
      </c>
      <c r="K151" s="1" t="s">
        <v>163</v>
      </c>
      <c r="L151" s="1" t="s">
        <v>227</v>
      </c>
      <c r="M151" s="1"/>
      <c r="N151" s="1"/>
      <c r="O151" s="1"/>
      <c r="P151" s="1"/>
      <c r="Q151" s="1"/>
      <c r="R151" s="1" t="s">
        <v>22</v>
      </c>
      <c r="S151" s="1"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411</v>
      </c>
      <c r="H152" s="1" t="s">
        <v>37</v>
      </c>
      <c r="I152" t="s">
        <v>403</v>
      </c>
      <c r="J152" s="1" t="s">
        <v>160</v>
      </c>
      <c r="K152" s="1" t="s">
        <v>163</v>
      </c>
      <c r="L152" s="1" t="s">
        <v>227</v>
      </c>
      <c r="M152" s="1"/>
      <c r="N152" s="1"/>
      <c r="O152" s="1"/>
      <c r="P152" s="1"/>
      <c r="Q152" s="1"/>
      <c r="R152" s="1" t="s">
        <v>22</v>
      </c>
      <c r="S152" s="25" t="s">
        <v>518</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411</v>
      </c>
      <c r="H153" s="1" t="s">
        <v>37</v>
      </c>
      <c r="I153" t="s">
        <v>403</v>
      </c>
      <c r="J153" s="1" t="s">
        <v>160</v>
      </c>
      <c r="K153" s="1" t="s">
        <v>163</v>
      </c>
      <c r="L153" s="1" t="s">
        <v>227</v>
      </c>
      <c r="M153" s="1"/>
      <c r="N153" s="1"/>
      <c r="O153" s="1"/>
      <c r="P153" s="1"/>
      <c r="Q153" s="1"/>
      <c r="R153" s="1" t="s">
        <v>22</v>
      </c>
      <c r="S153" s="25" t="s">
        <v>518</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411</v>
      </c>
      <c r="H154" s="1" t="s">
        <v>37</v>
      </c>
      <c r="I154" t="s">
        <v>403</v>
      </c>
      <c r="J154" s="1" t="s">
        <v>160</v>
      </c>
      <c r="K154" s="1" t="s">
        <v>163</v>
      </c>
      <c r="L154" s="1" t="s">
        <v>227</v>
      </c>
      <c r="M154" s="1"/>
      <c r="N154" s="1"/>
      <c r="O154" s="1"/>
      <c r="P154" s="1"/>
      <c r="Q154" s="1"/>
      <c r="R154" s="1" t="s">
        <v>22</v>
      </c>
      <c r="S154" s="25" t="s">
        <v>518</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t="s">
        <v>1901</v>
      </c>
      <c r="C159" s="252" t="str">
        <f>VLOOKUP(B159,Plantings!$A$2:$C$310,2,FALSE)</f>
        <v>JSP_mid_AG1</v>
      </c>
      <c r="D159" s="252" t="str">
        <f>VLOOKUP(B159,Plantings!$A$2:$C$310,3,FALSE)</f>
        <v>colocated</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t="s">
        <v>1902</v>
      </c>
      <c r="C160" s="252" t="str">
        <f>VLOOKUP(B160,Plantings!$A$2:$C$310,2,FALSE)</f>
        <v>JSP_mid_BG1</v>
      </c>
      <c r="D160" s="252" t="str">
        <f>VLOOKUP(B160,Plantings!$A$2:$C$310,3,FALSE)</f>
        <v>colocated</v>
      </c>
      <c r="E160" s="131">
        <v>2017</v>
      </c>
      <c r="G160" s="1" t="s">
        <v>410</v>
      </c>
      <c r="H160" s="1" t="s">
        <v>37</v>
      </c>
      <c r="I160" t="s">
        <v>403</v>
      </c>
      <c r="J160" s="1" t="s">
        <v>163</v>
      </c>
      <c r="K160" s="1" t="s">
        <v>163</v>
      </c>
      <c r="L160" s="1" t="s">
        <v>227</v>
      </c>
      <c r="R160" s="1" t="s">
        <v>22</v>
      </c>
      <c r="S160" s="25" t="s">
        <v>518</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t="s">
        <v>1903</v>
      </c>
      <c r="C161" s="252" t="str">
        <f>VLOOKUP(B161,Plantings!$A$2:$C$310,2,FALSE)</f>
        <v>JSP_mid_C1</v>
      </c>
      <c r="D161" s="252" t="str">
        <f>VLOOKUP(B161,Plantings!$A$2:$C$310,3,FALSE)</f>
        <v>colocated</v>
      </c>
      <c r="E161" s="131">
        <v>2017</v>
      </c>
      <c r="G161" s="1" t="s">
        <v>410</v>
      </c>
      <c r="H161" s="1" t="s">
        <v>37</v>
      </c>
      <c r="I161" t="s">
        <v>403</v>
      </c>
      <c r="J161" s="1" t="s">
        <v>163</v>
      </c>
      <c r="K161" s="1" t="s">
        <v>163</v>
      </c>
      <c r="L161" s="1" t="s">
        <v>227</v>
      </c>
      <c r="R161" s="1" t="s">
        <v>22</v>
      </c>
      <c r="S161" s="25" t="s">
        <v>518</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t="s">
        <v>1904</v>
      </c>
      <c r="C162" s="252" t="str">
        <f>VLOOKUP(B162,Plantings!$A$2:$C$310,2,FALSE)</f>
        <v>JSP_mid_AG2</v>
      </c>
      <c r="D162" s="252" t="str">
        <f>VLOOKUP(B162,Plantings!$A$2:$C$310,3,FALSE)</f>
        <v>colocated</v>
      </c>
      <c r="E162" s="131">
        <v>2017</v>
      </c>
      <c r="G162" s="1" t="s">
        <v>410</v>
      </c>
      <c r="H162" s="1" t="s">
        <v>37</v>
      </c>
      <c r="I162" t="s">
        <v>403</v>
      </c>
      <c r="J162" s="1" t="s">
        <v>163</v>
      </c>
      <c r="K162" s="1" t="s">
        <v>163</v>
      </c>
      <c r="L162" s="1" t="s">
        <v>227</v>
      </c>
      <c r="R162" s="1" t="s">
        <v>22</v>
      </c>
      <c r="S162" s="25" t="s">
        <v>518</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t="s">
        <v>1905</v>
      </c>
      <c r="C163" s="252" t="str">
        <f>VLOOKUP(B163,Plantings!$A$2:$C$310,2,FALSE)</f>
        <v>JSP_mid_C2</v>
      </c>
      <c r="D163" s="252" t="str">
        <f>VLOOKUP(B163,Plantings!$A$2:$C$310,3,FALSE)</f>
        <v>colocated</v>
      </c>
      <c r="E163" s="131">
        <v>2017</v>
      </c>
      <c r="G163" s="1" t="s">
        <v>410</v>
      </c>
      <c r="H163" s="1" t="s">
        <v>37</v>
      </c>
      <c r="I163" t="s">
        <v>403</v>
      </c>
      <c r="J163" s="1" t="s">
        <v>163</v>
      </c>
      <c r="K163" s="1" t="s">
        <v>163</v>
      </c>
      <c r="L163" s="1" t="s">
        <v>227</v>
      </c>
      <c r="R163" s="1" t="s">
        <v>22</v>
      </c>
      <c r="S163" s="25" t="s">
        <v>518</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t="s">
        <v>1906</v>
      </c>
      <c r="C164" s="252" t="str">
        <f>VLOOKUP(B164,Plantings!$A$2:$C$310,2,FALSE)</f>
        <v>JSP_mid_BG2</v>
      </c>
      <c r="D164" s="252" t="str">
        <f>VLOOKUP(B164,Plantings!$A$2:$C$310,3,FALSE)</f>
        <v>colocated</v>
      </c>
      <c r="E164" s="131">
        <v>2017</v>
      </c>
      <c r="G164" s="1" t="s">
        <v>410</v>
      </c>
      <c r="H164" s="1" t="s">
        <v>37</v>
      </c>
      <c r="I164" t="s">
        <v>403</v>
      </c>
      <c r="J164" s="1" t="s">
        <v>163</v>
      </c>
      <c r="K164" s="1" t="s">
        <v>163</v>
      </c>
      <c r="L164" s="1" t="s">
        <v>227</v>
      </c>
      <c r="R164" s="1" t="s">
        <v>22</v>
      </c>
      <c r="S164" s="25" t="s">
        <v>518</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t="s">
        <v>1907</v>
      </c>
      <c r="C165" s="252" t="str">
        <f>VLOOKUP(B165,Plantings!$A$2:$C$310,2,FALSE)</f>
        <v>JSP_mid_C3</v>
      </c>
      <c r="D165" s="252" t="str">
        <f>VLOOKUP(B165,Plantings!$A$2:$C$310,3,FALSE)</f>
        <v>colocated</v>
      </c>
      <c r="E165" s="131">
        <v>2017</v>
      </c>
      <c r="G165" s="1" t="s">
        <v>410</v>
      </c>
      <c r="H165" s="1" t="s">
        <v>37</v>
      </c>
      <c r="I165" t="s">
        <v>403</v>
      </c>
      <c r="J165" s="1" t="s">
        <v>163</v>
      </c>
      <c r="K165" s="1" t="s">
        <v>163</v>
      </c>
      <c r="L165" s="1" t="s">
        <v>227</v>
      </c>
      <c r="R165" s="1" t="s">
        <v>22</v>
      </c>
      <c r="S165" s="25" t="s">
        <v>518</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t="s">
        <v>1908</v>
      </c>
      <c r="C166" s="252" t="str">
        <f>VLOOKUP(B166,Plantings!$A$2:$C$310,2,FALSE)</f>
        <v>JSP_mid_BG3</v>
      </c>
      <c r="D166" s="252" t="str">
        <f>VLOOKUP(B166,Plantings!$A$2:$C$310,3,FALSE)</f>
        <v>colocated</v>
      </c>
      <c r="E166" s="131">
        <v>2017</v>
      </c>
      <c r="G166" s="1" t="s">
        <v>410</v>
      </c>
      <c r="H166" s="1" t="s">
        <v>37</v>
      </c>
      <c r="I166" t="s">
        <v>403</v>
      </c>
      <c r="J166" s="1" t="s">
        <v>163</v>
      </c>
      <c r="K166" s="1" t="s">
        <v>163</v>
      </c>
      <c r="L166" s="1" t="s">
        <v>227</v>
      </c>
      <c r="R166" s="1" t="s">
        <v>22</v>
      </c>
      <c r="S166" s="25" t="s">
        <v>518</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t="s">
        <v>1909</v>
      </c>
      <c r="C167" s="252" t="str">
        <f>VLOOKUP(B167,Plantings!$A$2:$C$310,2,FALSE)</f>
        <v>JSP_mid_C4</v>
      </c>
      <c r="D167" s="252" t="str">
        <f>VLOOKUP(B167,Plantings!$A$2:$C$310,3,FALSE)</f>
        <v>colocated</v>
      </c>
      <c r="E167" s="131">
        <v>2017</v>
      </c>
      <c r="G167" s="1" t="s">
        <v>410</v>
      </c>
      <c r="H167" s="1" t="s">
        <v>37</v>
      </c>
      <c r="I167" t="s">
        <v>403</v>
      </c>
      <c r="J167" s="1" t="s">
        <v>163</v>
      </c>
      <c r="K167" s="1" t="s">
        <v>163</v>
      </c>
      <c r="L167" s="1" t="s">
        <v>227</v>
      </c>
      <c r="R167" s="1" t="s">
        <v>22</v>
      </c>
      <c r="S167" s="25" t="s">
        <v>518</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t="s">
        <v>1910</v>
      </c>
      <c r="C168" s="252" t="str">
        <f>VLOOKUP(B168,Plantings!$A$2:$C$310,2,FALSE)</f>
        <v>JSP_mid_BG4</v>
      </c>
      <c r="D168" s="252" t="str">
        <f>VLOOKUP(B168,Plantings!$A$2:$C$310,3,FALSE)</f>
        <v>colocated</v>
      </c>
      <c r="E168" s="131">
        <v>2017</v>
      </c>
      <c r="G168" s="1" t="s">
        <v>410</v>
      </c>
      <c r="H168" s="1" t="s">
        <v>37</v>
      </c>
      <c r="I168" t="s">
        <v>403</v>
      </c>
      <c r="J168" s="1" t="s">
        <v>163</v>
      </c>
      <c r="K168" s="1" t="s">
        <v>163</v>
      </c>
      <c r="L168" s="1" t="s">
        <v>227</v>
      </c>
      <c r="R168" s="1" t="s">
        <v>22</v>
      </c>
      <c r="S168" s="25" t="s">
        <v>518</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t="s">
        <v>1911</v>
      </c>
      <c r="C169" s="252" t="str">
        <f>VLOOKUP(B169,Plantings!$A$2:$C$310,2,FALSE)</f>
        <v>JSP_mid_AG3</v>
      </c>
      <c r="D169" s="252" t="str">
        <f>VLOOKUP(B169,Plantings!$A$2:$C$310,3,FALSE)</f>
        <v>colocated</v>
      </c>
      <c r="E169" s="131">
        <v>2017</v>
      </c>
      <c r="G169" s="1" t="s">
        <v>410</v>
      </c>
      <c r="H169" s="1" t="s">
        <v>37</v>
      </c>
      <c r="I169" t="s">
        <v>403</v>
      </c>
      <c r="J169" s="1" t="s">
        <v>163</v>
      </c>
      <c r="K169" s="1" t="s">
        <v>163</v>
      </c>
      <c r="L169" s="1" t="s">
        <v>227</v>
      </c>
      <c r="R169" s="1" t="s">
        <v>22</v>
      </c>
      <c r="S169" s="25" t="s">
        <v>518</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t="s">
        <v>1912</v>
      </c>
      <c r="C170" s="252" t="str">
        <f>VLOOKUP(B170,Plantings!$A$2:$C$310,2,FALSE)</f>
        <v>JSP_mid_AG4</v>
      </c>
      <c r="D170" s="252" t="str">
        <f>VLOOKUP(B170,Plantings!$A$2:$C$310,3,FALSE)</f>
        <v>colocated</v>
      </c>
      <c r="E170" s="131">
        <v>2017</v>
      </c>
      <c r="G170" s="1" t="s">
        <v>410</v>
      </c>
      <c r="H170" s="1" t="s">
        <v>37</v>
      </c>
      <c r="I170" t="s">
        <v>403</v>
      </c>
      <c r="J170" s="1" t="s">
        <v>163</v>
      </c>
      <c r="K170" s="1" t="s">
        <v>163</v>
      </c>
      <c r="L170" s="1" t="s">
        <v>227</v>
      </c>
      <c r="R170" s="1" t="s">
        <v>22</v>
      </c>
      <c r="S170" s="25" t="s">
        <v>518</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81" activePane="bottomLeft" state="frozen"/>
      <selection pane="bottomLeft" activeCell="K306" sqref="K306"/>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R11" sqref="R11"/>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35"/>
  <sheetViews>
    <sheetView zoomScale="90" zoomScaleNormal="90" workbookViewId="0">
      <selection activeCell="J12" sqref="J12"/>
    </sheetView>
  </sheetViews>
  <sheetFormatPr defaultColWidth="13.7109375" defaultRowHeight="15" x14ac:dyDescent="0.25"/>
  <cols>
    <col min="1" max="1" width="22.28515625" bestFit="1" customWidth="1"/>
    <col min="2" max="2" width="16.28515625" bestFit="1" customWidth="1"/>
    <col min="3" max="3" width="21.42578125" bestFit="1" customWidth="1"/>
    <col min="4" max="4" width="18.28515625" bestFit="1" customWidth="1"/>
    <col min="5" max="5" width="18.28515625" customWidth="1"/>
    <col min="6" max="6" width="21" bestFit="1" customWidth="1"/>
    <col min="7" max="7" width="11.7109375" customWidth="1"/>
    <col min="8" max="8" width="12.42578125" bestFit="1" customWidth="1"/>
    <col min="9" max="9" width="10" bestFit="1" customWidth="1"/>
    <col min="10" max="10" width="183.5703125" bestFit="1" customWidth="1"/>
  </cols>
  <sheetData>
    <row r="1" spans="1:10" x14ac:dyDescent="0.25">
      <c r="B1" s="98"/>
      <c r="C1" s="98"/>
      <c r="D1" s="98"/>
      <c r="E1" s="98"/>
      <c r="F1" s="234" t="s">
        <v>448</v>
      </c>
      <c r="G1" s="234" t="s">
        <v>447</v>
      </c>
      <c r="H1" s="234" t="s">
        <v>447</v>
      </c>
      <c r="I1" s="234" t="s">
        <v>80</v>
      </c>
      <c r="J1" s="18"/>
    </row>
    <row r="2" spans="1:10" x14ac:dyDescent="0.25">
      <c r="A2" t="s">
        <v>2155</v>
      </c>
      <c r="B2" s="98" t="s">
        <v>2156</v>
      </c>
      <c r="C2" s="98" t="s">
        <v>2157</v>
      </c>
      <c r="D2" s="98" t="s">
        <v>2158</v>
      </c>
      <c r="E2" s="98" t="s">
        <v>2159</v>
      </c>
      <c r="F2" s="98" t="s">
        <v>2160</v>
      </c>
      <c r="G2" s="98" t="s">
        <v>2161</v>
      </c>
      <c r="H2" s="98" t="s">
        <v>2162</v>
      </c>
      <c r="I2" s="98" t="s">
        <v>2163</v>
      </c>
      <c r="J2" s="18" t="s">
        <v>2164</v>
      </c>
    </row>
    <row r="3" spans="1:10" x14ac:dyDescent="0.25">
      <c r="A3" t="s">
        <v>4</v>
      </c>
      <c r="B3" t="s">
        <v>2165</v>
      </c>
      <c r="C3" s="1" t="s">
        <v>608</v>
      </c>
      <c r="D3" s="1" t="s">
        <v>403</v>
      </c>
      <c r="E3" s="1" t="s">
        <v>1027</v>
      </c>
      <c r="F3" t="s">
        <v>410</v>
      </c>
      <c r="G3" s="9">
        <v>47.163469999999997</v>
      </c>
      <c r="H3" s="9">
        <v>-122.63570199999999</v>
      </c>
      <c r="I3" s="7" t="s">
        <v>146</v>
      </c>
    </row>
    <row r="4" spans="1:10" x14ac:dyDescent="0.25">
      <c r="A4" t="s">
        <v>9</v>
      </c>
      <c r="B4" t="s">
        <v>8</v>
      </c>
      <c r="C4" t="s">
        <v>142</v>
      </c>
      <c r="D4" t="s">
        <v>403</v>
      </c>
      <c r="E4" t="s">
        <v>1028</v>
      </c>
      <c r="F4" t="s">
        <v>410</v>
      </c>
      <c r="G4" s="9">
        <v>47.126616666666663</v>
      </c>
      <c r="H4" s="9">
        <v>-122.70803333333333</v>
      </c>
      <c r="I4" s="7" t="s">
        <v>146</v>
      </c>
      <c r="J4" t="s">
        <v>51</v>
      </c>
    </row>
    <row r="5" spans="1:10" x14ac:dyDescent="0.25">
      <c r="A5" t="s">
        <v>649</v>
      </c>
      <c r="B5" t="s">
        <v>564</v>
      </c>
      <c r="C5" t="s">
        <v>7</v>
      </c>
      <c r="D5" t="s">
        <v>405</v>
      </c>
      <c r="E5" t="s">
        <v>1029</v>
      </c>
      <c r="F5" t="s">
        <v>410</v>
      </c>
      <c r="G5" s="9">
        <v>47.862383333333298</v>
      </c>
      <c r="H5" s="9">
        <v>-122.57603333333333</v>
      </c>
      <c r="I5" s="7" t="s">
        <v>146</v>
      </c>
      <c r="J5" t="s">
        <v>553</v>
      </c>
    </row>
    <row r="6" spans="1:10" x14ac:dyDescent="0.25">
      <c r="A6" t="s">
        <v>54</v>
      </c>
      <c r="B6" t="s">
        <v>547</v>
      </c>
      <c r="C6" t="s">
        <v>37</v>
      </c>
      <c r="D6" t="s">
        <v>403</v>
      </c>
      <c r="E6" t="s">
        <v>1030</v>
      </c>
      <c r="F6" t="s">
        <v>410</v>
      </c>
      <c r="G6" s="9">
        <v>47.3444</v>
      </c>
      <c r="H6" s="9">
        <v>-122.793888</v>
      </c>
      <c r="I6" s="7" t="s">
        <v>146</v>
      </c>
      <c r="J6" s="3" t="s">
        <v>549</v>
      </c>
    </row>
    <row r="7" spans="1:10" x14ac:dyDescent="0.25">
      <c r="A7" t="s">
        <v>55</v>
      </c>
      <c r="B7" t="s">
        <v>2166</v>
      </c>
      <c r="C7" t="s">
        <v>68</v>
      </c>
      <c r="D7" t="s">
        <v>403</v>
      </c>
      <c r="E7" t="s">
        <v>1031</v>
      </c>
      <c r="F7" t="s">
        <v>410</v>
      </c>
      <c r="G7" s="9">
        <v>47.325321936111109</v>
      </c>
      <c r="H7" s="15">
        <v>-122.68193927222222</v>
      </c>
      <c r="I7" s="7" t="s">
        <v>146</v>
      </c>
      <c r="J7" s="3"/>
    </row>
    <row r="8" spans="1:10" x14ac:dyDescent="0.25">
      <c r="A8" t="s">
        <v>55</v>
      </c>
      <c r="B8" t="s">
        <v>2166</v>
      </c>
      <c r="C8" t="s">
        <v>68</v>
      </c>
      <c r="D8" t="s">
        <v>403</v>
      </c>
      <c r="E8" t="s">
        <v>1031</v>
      </c>
      <c r="F8" t="s">
        <v>410</v>
      </c>
      <c r="G8" s="9">
        <v>47.325165008333336</v>
      </c>
      <c r="H8" s="15">
        <v>-122.68223233055555</v>
      </c>
      <c r="I8" s="7" t="s">
        <v>146</v>
      </c>
      <c r="J8" s="3"/>
    </row>
    <row r="9" spans="1:10" x14ac:dyDescent="0.25">
      <c r="A9" t="s">
        <v>55</v>
      </c>
      <c r="B9" t="s">
        <v>2166</v>
      </c>
      <c r="C9" t="s">
        <v>68</v>
      </c>
      <c r="D9" t="s">
        <v>403</v>
      </c>
      <c r="E9" t="s">
        <v>1031</v>
      </c>
      <c r="F9" t="s">
        <v>410</v>
      </c>
      <c r="G9" s="9">
        <v>47.325325808333297</v>
      </c>
      <c r="H9" s="15">
        <v>-122.68170151111111</v>
      </c>
      <c r="I9" s="7" t="s">
        <v>146</v>
      </c>
      <c r="J9" s="3"/>
    </row>
    <row r="10" spans="1:10" x14ac:dyDescent="0.25">
      <c r="A10" t="s">
        <v>55</v>
      </c>
      <c r="B10" t="s">
        <v>2166</v>
      </c>
      <c r="C10" t="s">
        <v>68</v>
      </c>
      <c r="D10" t="s">
        <v>403</v>
      </c>
      <c r="E10" t="s">
        <v>1031</v>
      </c>
      <c r="F10" t="s">
        <v>410</v>
      </c>
      <c r="G10" s="9">
        <v>47.325478602777778</v>
      </c>
      <c r="H10" s="15">
        <v>-122.68170151111111</v>
      </c>
      <c r="I10" s="7" t="s">
        <v>146</v>
      </c>
      <c r="J10" s="3"/>
    </row>
    <row r="11" spans="1:10" x14ac:dyDescent="0.25">
      <c r="A11" t="s">
        <v>54</v>
      </c>
      <c r="B11" t="s">
        <v>545</v>
      </c>
      <c r="C11" t="s">
        <v>37</v>
      </c>
      <c r="D11" t="s">
        <v>403</v>
      </c>
      <c r="E11" t="s">
        <v>1032</v>
      </c>
      <c r="F11" t="s">
        <v>410</v>
      </c>
      <c r="G11" s="9">
        <v>47.357388</v>
      </c>
      <c r="H11" s="15">
        <v>-122.80218600000001</v>
      </c>
      <c r="I11" s="7" t="s">
        <v>146</v>
      </c>
      <c r="J11" s="3"/>
    </row>
    <row r="12" spans="1:10" x14ac:dyDescent="0.25">
      <c r="A12" t="s">
        <v>54</v>
      </c>
      <c r="B12" t="s">
        <v>545</v>
      </c>
      <c r="C12" t="s">
        <v>37</v>
      </c>
      <c r="D12" t="s">
        <v>403</v>
      </c>
      <c r="E12" t="s">
        <v>1032</v>
      </c>
      <c r="F12" t="s">
        <v>410</v>
      </c>
      <c r="G12" s="9">
        <v>47.357408999999997</v>
      </c>
      <c r="H12" s="15">
        <v>-122.80251800000001</v>
      </c>
      <c r="I12" s="7" t="s">
        <v>146</v>
      </c>
      <c r="J12" s="3"/>
    </row>
    <row r="13" spans="1:10" x14ac:dyDescent="0.25">
      <c r="A13" t="s">
        <v>54</v>
      </c>
      <c r="B13" t="s">
        <v>545</v>
      </c>
      <c r="C13" t="s">
        <v>37</v>
      </c>
      <c r="D13" t="s">
        <v>403</v>
      </c>
      <c r="E13" t="s">
        <v>1032</v>
      </c>
      <c r="F13" t="s">
        <v>410</v>
      </c>
      <c r="G13" s="9">
        <v>47.357408</v>
      </c>
      <c r="H13" s="15">
        <v>-122.802893</v>
      </c>
      <c r="I13" s="7" t="s">
        <v>146</v>
      </c>
      <c r="J13" s="3"/>
    </row>
    <row r="14" spans="1:10" x14ac:dyDescent="0.25">
      <c r="A14" t="s">
        <v>54</v>
      </c>
      <c r="B14" t="s">
        <v>545</v>
      </c>
      <c r="C14" t="s">
        <v>37</v>
      </c>
      <c r="D14" t="s">
        <v>403</v>
      </c>
      <c r="E14" t="s">
        <v>1032</v>
      </c>
      <c r="F14" t="s">
        <v>410</v>
      </c>
      <c r="G14" s="9">
        <v>47.357408</v>
      </c>
      <c r="H14" s="15">
        <v>-122.80256</v>
      </c>
      <c r="I14" s="7" t="s">
        <v>146</v>
      </c>
      <c r="J14" s="3"/>
    </row>
    <row r="15" spans="1:10" x14ac:dyDescent="0.25">
      <c r="A15" t="s">
        <v>2183</v>
      </c>
      <c r="B15" t="s">
        <v>27</v>
      </c>
      <c r="C15" s="1" t="s">
        <v>27</v>
      </c>
      <c r="D15" s="1" t="s">
        <v>405</v>
      </c>
      <c r="E15" s="1" t="s">
        <v>1034</v>
      </c>
      <c r="F15" t="s">
        <v>410</v>
      </c>
      <c r="G15" s="14">
        <v>47.801983333000003</v>
      </c>
      <c r="H15" s="14">
        <v>-122.86565</v>
      </c>
      <c r="I15" t="s">
        <v>146</v>
      </c>
      <c r="J15" s="19"/>
    </row>
    <row r="16" spans="1:10" x14ac:dyDescent="0.25">
      <c r="A16" t="s">
        <v>2182</v>
      </c>
      <c r="B16" t="s">
        <v>483</v>
      </c>
      <c r="C16" s="1" t="s">
        <v>502</v>
      </c>
      <c r="D16" s="1" t="s">
        <v>404</v>
      </c>
      <c r="E16" s="1" t="s">
        <v>1033</v>
      </c>
      <c r="F16" t="s">
        <v>410</v>
      </c>
      <c r="G16" s="9">
        <v>48.603438333333301</v>
      </c>
      <c r="H16" s="9">
        <v>-123.17378333333333</v>
      </c>
      <c r="I16" s="7" t="s">
        <v>146</v>
      </c>
      <c r="J16" s="19"/>
    </row>
    <row r="17" spans="1:10" x14ac:dyDescent="0.25">
      <c r="A17" t="s">
        <v>2182</v>
      </c>
      <c r="B17" t="s">
        <v>499</v>
      </c>
      <c r="C17" s="1" t="s">
        <v>501</v>
      </c>
      <c r="D17" s="1" t="s">
        <v>404</v>
      </c>
      <c r="E17" s="1" t="s">
        <v>1035</v>
      </c>
      <c r="F17" t="s">
        <v>410</v>
      </c>
      <c r="G17" s="9">
        <v>48.594180555555553</v>
      </c>
      <c r="H17" s="9">
        <v>-123.15826166666666</v>
      </c>
      <c r="I17" s="7" t="s">
        <v>146</v>
      </c>
      <c r="J17" s="19"/>
    </row>
    <row r="18" spans="1:10" x14ac:dyDescent="0.25">
      <c r="A18" t="s">
        <v>2182</v>
      </c>
      <c r="B18" t="s">
        <v>500</v>
      </c>
      <c r="C18" s="1" t="s">
        <v>503</v>
      </c>
      <c r="D18" s="1" t="s">
        <v>404</v>
      </c>
      <c r="E18" s="1" t="s">
        <v>1036</v>
      </c>
      <c r="F18" t="s">
        <v>410</v>
      </c>
      <c r="G18" s="9">
        <v>48.680500000000002</v>
      </c>
      <c r="H18" s="9">
        <v>-123.1827</v>
      </c>
      <c r="I18" s="7" t="s">
        <v>146</v>
      </c>
      <c r="J18" s="13" t="s">
        <v>1059</v>
      </c>
    </row>
    <row r="19" spans="1:10" x14ac:dyDescent="0.25">
      <c r="A19" t="s">
        <v>2182</v>
      </c>
      <c r="B19" t="s">
        <v>498</v>
      </c>
      <c r="C19" s="1" t="s">
        <v>498</v>
      </c>
      <c r="D19" s="1" t="s">
        <v>404</v>
      </c>
      <c r="E19" s="1" t="s">
        <v>1037</v>
      </c>
      <c r="F19" t="s">
        <v>410</v>
      </c>
      <c r="G19" s="9">
        <v>48.574199999999998</v>
      </c>
      <c r="H19" s="9">
        <v>-123.1696</v>
      </c>
      <c r="I19" s="7" t="s">
        <v>146</v>
      </c>
      <c r="J19" s="19"/>
    </row>
    <row r="20" spans="1:10" x14ac:dyDescent="0.25">
      <c r="A20" t="s">
        <v>2184</v>
      </c>
      <c r="B20" t="s">
        <v>359</v>
      </c>
      <c r="C20" s="1" t="s">
        <v>142</v>
      </c>
      <c r="D20" s="1" t="s">
        <v>403</v>
      </c>
      <c r="E20" s="1" t="s">
        <v>1038</v>
      </c>
      <c r="F20" t="s">
        <v>410</v>
      </c>
      <c r="G20" s="23">
        <v>47.144016666666666</v>
      </c>
      <c r="H20" s="23">
        <v>-122.67596666666667</v>
      </c>
      <c r="I20" s="7" t="s">
        <v>146</v>
      </c>
      <c r="J20" s="19"/>
    </row>
    <row r="21" spans="1:10" x14ac:dyDescent="0.25">
      <c r="A21" t="s">
        <v>2184</v>
      </c>
      <c r="B21" t="s">
        <v>54</v>
      </c>
      <c r="C21" s="1" t="s">
        <v>37</v>
      </c>
      <c r="D21" s="1" t="s">
        <v>403</v>
      </c>
      <c r="E21" s="1" t="s">
        <v>1032</v>
      </c>
      <c r="F21" t="s">
        <v>410</v>
      </c>
      <c r="G21" s="9">
        <v>47.357399999999998</v>
      </c>
      <c r="H21" s="9">
        <v>-122.80119999999999</v>
      </c>
      <c r="I21" s="7" t="s">
        <v>146</v>
      </c>
      <c r="J21" t="s">
        <v>548</v>
      </c>
    </row>
    <row r="22" spans="1:10" x14ac:dyDescent="0.25">
      <c r="A22" t="s">
        <v>538</v>
      </c>
      <c r="B22" t="s">
        <v>538</v>
      </c>
      <c r="C22" s="1" t="s">
        <v>538</v>
      </c>
      <c r="D22" s="1" t="s">
        <v>403</v>
      </c>
      <c r="E22" s="1" t="s">
        <v>1039</v>
      </c>
      <c r="F22" t="s">
        <v>410</v>
      </c>
      <c r="G22" s="9">
        <v>47.329500000000003</v>
      </c>
      <c r="H22" s="9">
        <v>-122.3907</v>
      </c>
      <c r="I22" t="s">
        <v>146</v>
      </c>
    </row>
    <row r="23" spans="1:10" x14ac:dyDescent="0.25">
      <c r="A23" t="s">
        <v>2188</v>
      </c>
      <c r="B23" t="s">
        <v>557</v>
      </c>
      <c r="C23" s="1" t="s">
        <v>557</v>
      </c>
      <c r="D23" s="1" t="s">
        <v>404</v>
      </c>
      <c r="E23" s="1" t="s">
        <v>558</v>
      </c>
      <c r="F23" t="s">
        <v>410</v>
      </c>
      <c r="G23" s="9">
        <v>48.0792</v>
      </c>
      <c r="H23" s="9">
        <v>-123.0455</v>
      </c>
      <c r="I23" t="s">
        <v>146</v>
      </c>
      <c r="J23" t="s">
        <v>559</v>
      </c>
    </row>
    <row r="24" spans="1:10" s="42" customFormat="1" x14ac:dyDescent="0.25">
      <c r="A24" s="42" t="s">
        <v>2185</v>
      </c>
      <c r="B24" s="41" t="s">
        <v>560</v>
      </c>
      <c r="C24" s="41" t="s">
        <v>561</v>
      </c>
      <c r="D24" s="41" t="s">
        <v>403</v>
      </c>
      <c r="E24" s="41" t="s">
        <v>1040</v>
      </c>
      <c r="F24" t="s">
        <v>410</v>
      </c>
      <c r="G24" s="43">
        <v>47.696399999999997</v>
      </c>
      <c r="H24" s="43">
        <v>-122.5817</v>
      </c>
      <c r="I24" s="1" t="s">
        <v>146</v>
      </c>
    </row>
    <row r="25" spans="1:10" x14ac:dyDescent="0.25">
      <c r="A25" t="s">
        <v>608</v>
      </c>
      <c r="B25" t="s">
        <v>565</v>
      </c>
      <c r="C25" t="s">
        <v>397</v>
      </c>
      <c r="D25" s="1" t="s">
        <v>403</v>
      </c>
      <c r="E25" s="1" t="s">
        <v>1041</v>
      </c>
      <c r="F25" t="s">
        <v>410</v>
      </c>
      <c r="G25" s="9">
        <v>47.6145</v>
      </c>
      <c r="H25" s="9">
        <v>-122.4974</v>
      </c>
      <c r="I25" s="7" t="s">
        <v>146</v>
      </c>
      <c r="J25" t="s">
        <v>566</v>
      </c>
    </row>
    <row r="26" spans="1:10" x14ac:dyDescent="0.25">
      <c r="A26" t="s">
        <v>2186</v>
      </c>
      <c r="B26" t="s">
        <v>588</v>
      </c>
      <c r="C26" t="s">
        <v>588</v>
      </c>
      <c r="D26" s="1" t="s">
        <v>406</v>
      </c>
      <c r="E26" s="1" t="s">
        <v>1042</v>
      </c>
      <c r="F26" t="s">
        <v>410</v>
      </c>
      <c r="G26" s="9">
        <v>48.328600000000002</v>
      </c>
      <c r="H26" s="9">
        <v>-122.508</v>
      </c>
      <c r="I26" s="7" t="s">
        <v>146</v>
      </c>
    </row>
    <row r="27" spans="1:10" x14ac:dyDescent="0.25">
      <c r="A27" t="s">
        <v>2184</v>
      </c>
      <c r="B27" t="s">
        <v>117</v>
      </c>
      <c r="C27" s="41" t="s">
        <v>142</v>
      </c>
      <c r="D27" s="1" t="s">
        <v>403</v>
      </c>
      <c r="E27" s="1" t="s">
        <v>1043</v>
      </c>
      <c r="F27" t="s">
        <v>410</v>
      </c>
      <c r="G27" s="9">
        <v>47.117296000000003</v>
      </c>
      <c r="H27" s="9">
        <v>-122.667756</v>
      </c>
      <c r="I27" t="s">
        <v>146</v>
      </c>
    </row>
    <row r="28" spans="1:10" x14ac:dyDescent="0.25">
      <c r="A28" t="s">
        <v>2187</v>
      </c>
      <c r="B28" t="s">
        <v>76</v>
      </c>
      <c r="C28" s="41" t="s">
        <v>1164</v>
      </c>
      <c r="D28" s="1" t="s">
        <v>404</v>
      </c>
      <c r="E28" s="1" t="s">
        <v>1165</v>
      </c>
      <c r="F28" t="s">
        <v>410</v>
      </c>
      <c r="G28" s="141">
        <v>48.146299999999997</v>
      </c>
      <c r="H28" s="141">
        <v>-123.63683333333333</v>
      </c>
      <c r="I28" s="7" t="s">
        <v>146</v>
      </c>
    </row>
    <row r="29" spans="1:10" x14ac:dyDescent="0.25">
      <c r="A29" t="s">
        <v>2184</v>
      </c>
      <c r="B29" t="s">
        <v>2089</v>
      </c>
      <c r="C29" s="41" t="s">
        <v>68</v>
      </c>
      <c r="D29" s="1" t="s">
        <v>403</v>
      </c>
      <c r="E29" s="1" t="s">
        <v>2090</v>
      </c>
      <c r="F29" s="1" t="s">
        <v>410</v>
      </c>
      <c r="G29" s="9">
        <v>47.28004</v>
      </c>
      <c r="H29" s="9">
        <v>-122.68123</v>
      </c>
      <c r="I29" s="7" t="s">
        <v>146</v>
      </c>
    </row>
    <row r="35" spans="8:9" x14ac:dyDescent="0.25">
      <c r="H35" s="9"/>
      <c r="I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3.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2026-05-04T17:48:28Z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