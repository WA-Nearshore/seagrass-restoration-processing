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archive/"/>
    </mc:Choice>
  </mc:AlternateContent>
  <xr:revisionPtr revIDLastSave="50" documentId="8_{8D93D302-86F1-4BDE-BA85-C1D4E21B1AFC}" xr6:coauthVersionLast="47" xr6:coauthVersionMax="47" xr10:uidLastSave="{7504AB74-7A8C-41D1-B1D4-8A0E80DFE196}"/>
  <bookViews>
    <workbookView xWindow="0" yWindow="30" windowWidth="28800" windowHeight="15360" xr2:uid="{308FDB03-57E4-4B58-ADF4-6D420AFE65D3}"/>
  </bookViews>
  <sheets>
    <sheet name="p_gps_pts1_groupn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89" i="1" l="1"/>
  <c r="AJ288" i="1"/>
  <c r="AJ287" i="1"/>
  <c r="AJ286" i="1"/>
  <c r="AJ285" i="1"/>
  <c r="AJ284" i="1"/>
  <c r="AJ283" i="1"/>
  <c r="AJ282" i="1"/>
  <c r="AJ281" i="1"/>
  <c r="AJ280" i="1"/>
  <c r="AJ279" i="1"/>
  <c r="AJ278" i="1"/>
  <c r="AI277" i="1"/>
  <c r="AJ277" i="1" s="1"/>
  <c r="AG277" i="1"/>
  <c r="AH277" i="1" s="1"/>
  <c r="AI276" i="1"/>
  <c r="AJ276" i="1" s="1"/>
  <c r="AG276" i="1"/>
  <c r="AH276" i="1" s="1"/>
  <c r="AI275" i="1"/>
  <c r="AJ275" i="1" s="1"/>
  <c r="AG275" i="1"/>
  <c r="AH275" i="1" s="1"/>
  <c r="AI274" i="1"/>
  <c r="AJ274" i="1" s="1"/>
  <c r="AG274" i="1"/>
  <c r="AH274" i="1" s="1"/>
  <c r="AI273" i="1"/>
  <c r="AJ273" i="1" s="1"/>
  <c r="AG273" i="1"/>
  <c r="AH273" i="1" s="1"/>
  <c r="AI272" i="1"/>
  <c r="AJ272" i="1" s="1"/>
  <c r="AG272" i="1"/>
  <c r="AH272" i="1" s="1"/>
  <c r="AI271" i="1"/>
  <c r="AJ271" i="1" s="1"/>
  <c r="AG271" i="1"/>
  <c r="AH271" i="1" s="1"/>
  <c r="AI270" i="1"/>
  <c r="AJ270" i="1" s="1"/>
  <c r="AG270" i="1"/>
  <c r="AH270" i="1" s="1"/>
  <c r="AI269" i="1"/>
  <c r="AJ269" i="1" s="1"/>
  <c r="AG269" i="1"/>
  <c r="AH269" i="1" s="1"/>
  <c r="AI268" i="1"/>
  <c r="AJ268" i="1" s="1"/>
  <c r="AG268" i="1"/>
  <c r="AH268" i="1" s="1"/>
  <c r="AI267" i="1"/>
  <c r="AJ267" i="1" s="1"/>
  <c r="AG267" i="1"/>
  <c r="AH267" i="1" s="1"/>
  <c r="AI266" i="1"/>
  <c r="AJ266" i="1" s="1"/>
  <c r="AG266" i="1"/>
  <c r="AH266" i="1" s="1"/>
  <c r="AI265" i="1"/>
  <c r="AJ265" i="1" s="1"/>
  <c r="AG265" i="1"/>
  <c r="AH265" i="1" s="1"/>
  <c r="AI264" i="1"/>
  <c r="AJ264" i="1" s="1"/>
  <c r="AG264" i="1"/>
  <c r="AH264" i="1" s="1"/>
  <c r="AI263" i="1"/>
  <c r="AJ263" i="1" s="1"/>
  <c r="AG263" i="1"/>
  <c r="AH263" i="1" s="1"/>
  <c r="AI262" i="1"/>
  <c r="AJ262" i="1" s="1"/>
  <c r="AG262" i="1"/>
  <c r="AH262" i="1" s="1"/>
  <c r="AI261" i="1"/>
  <c r="AJ261" i="1" s="1"/>
  <c r="AG261" i="1"/>
  <c r="AH261" i="1" s="1"/>
  <c r="AI260" i="1"/>
  <c r="AJ260" i="1" s="1"/>
  <c r="AG260" i="1"/>
  <c r="AH260" i="1" s="1"/>
  <c r="AI259" i="1"/>
  <c r="AJ259" i="1" s="1"/>
  <c r="AG259" i="1"/>
  <c r="AH259" i="1" s="1"/>
  <c r="AI258" i="1"/>
  <c r="AJ258" i="1" s="1"/>
  <c r="AG258" i="1"/>
  <c r="AH258" i="1" s="1"/>
  <c r="AI257" i="1"/>
  <c r="AJ257" i="1" s="1"/>
  <c r="AG257" i="1"/>
  <c r="AH257" i="1" s="1"/>
  <c r="AI256" i="1"/>
  <c r="AJ256" i="1" s="1"/>
  <c r="AG256" i="1"/>
  <c r="AH256" i="1" s="1"/>
  <c r="AI255" i="1"/>
  <c r="AJ255" i="1" s="1"/>
  <c r="AG255" i="1"/>
  <c r="AH255" i="1" s="1"/>
  <c r="AI254" i="1"/>
  <c r="AJ254" i="1" s="1"/>
  <c r="AG254" i="1"/>
  <c r="AH254" i="1" s="1"/>
  <c r="AI253" i="1"/>
  <c r="AJ253" i="1" s="1"/>
  <c r="AG253" i="1"/>
  <c r="AH253" i="1" s="1"/>
  <c r="AI252" i="1"/>
  <c r="AJ252" i="1" s="1"/>
  <c r="AG252" i="1"/>
  <c r="AH252" i="1" s="1"/>
  <c r="AI251" i="1"/>
  <c r="AJ251" i="1" s="1"/>
  <c r="AG251" i="1"/>
  <c r="AH251" i="1" s="1"/>
  <c r="AI250" i="1"/>
  <c r="AJ250" i="1" s="1"/>
  <c r="AG250" i="1"/>
  <c r="AH250" i="1" s="1"/>
  <c r="AI249" i="1"/>
  <c r="AJ249" i="1" s="1"/>
  <c r="AG249" i="1"/>
  <c r="AH249" i="1" s="1"/>
  <c r="AI248" i="1"/>
  <c r="AJ248" i="1" s="1"/>
  <c r="AG248" i="1"/>
  <c r="AH248" i="1" s="1"/>
  <c r="AI247" i="1"/>
  <c r="AJ247" i="1" s="1"/>
  <c r="AG247" i="1"/>
  <c r="AH247" i="1" s="1"/>
  <c r="AI246" i="1"/>
  <c r="AJ246" i="1" s="1"/>
  <c r="AG246" i="1"/>
  <c r="AH246" i="1" s="1"/>
  <c r="AI245" i="1"/>
  <c r="AJ245" i="1" s="1"/>
  <c r="AG245" i="1"/>
  <c r="AH245" i="1" s="1"/>
  <c r="AI244" i="1"/>
  <c r="AJ244" i="1" s="1"/>
  <c r="AG244" i="1"/>
  <c r="AH244" i="1" s="1"/>
  <c r="AI243" i="1"/>
  <c r="AJ243" i="1" s="1"/>
  <c r="AG243" i="1"/>
  <c r="AH243" i="1" s="1"/>
  <c r="AI242" i="1"/>
  <c r="AJ242" i="1" s="1"/>
  <c r="AG242" i="1"/>
  <c r="AH242" i="1" s="1"/>
  <c r="AI241" i="1"/>
  <c r="AJ241" i="1" s="1"/>
  <c r="AG241" i="1"/>
  <c r="AH241" i="1" s="1"/>
  <c r="AI240" i="1"/>
  <c r="AJ240" i="1" s="1"/>
  <c r="AG240" i="1"/>
  <c r="AH240" i="1" s="1"/>
  <c r="AI239" i="1"/>
  <c r="AJ239" i="1" s="1"/>
  <c r="AG239" i="1"/>
  <c r="AH239" i="1" s="1"/>
  <c r="AI238" i="1"/>
  <c r="AJ238" i="1" s="1"/>
  <c r="AG238" i="1"/>
  <c r="AH238" i="1" s="1"/>
  <c r="AI237" i="1"/>
  <c r="AJ237" i="1" s="1"/>
  <c r="AG237" i="1"/>
  <c r="AH237" i="1" s="1"/>
  <c r="AI236" i="1"/>
  <c r="AJ236" i="1" s="1"/>
  <c r="AG236" i="1"/>
  <c r="AH236" i="1" s="1"/>
  <c r="AI235" i="1"/>
  <c r="AJ235" i="1" s="1"/>
  <c r="AG235" i="1"/>
  <c r="AH235" i="1" s="1"/>
  <c r="AI234" i="1"/>
  <c r="AJ234" i="1" s="1"/>
  <c r="AG234" i="1"/>
  <c r="AH234" i="1" s="1"/>
  <c r="AI233" i="1"/>
  <c r="AJ233" i="1" s="1"/>
  <c r="AG233" i="1"/>
  <c r="AH233" i="1" s="1"/>
  <c r="AI232" i="1"/>
  <c r="AJ232" i="1" s="1"/>
  <c r="AG232" i="1"/>
  <c r="AH232" i="1" s="1"/>
  <c r="AI231" i="1"/>
  <c r="AJ231" i="1" s="1"/>
  <c r="AG231" i="1"/>
  <c r="AH231" i="1" s="1"/>
  <c r="AI230" i="1"/>
  <c r="AJ230" i="1" s="1"/>
  <c r="AG230" i="1"/>
  <c r="AH230" i="1" s="1"/>
  <c r="AI229" i="1"/>
  <c r="AJ229" i="1" s="1"/>
  <c r="AG229" i="1"/>
  <c r="AH229" i="1" s="1"/>
  <c r="AI228" i="1"/>
  <c r="AJ228" i="1" s="1"/>
  <c r="AG228" i="1"/>
  <c r="AH228" i="1" s="1"/>
  <c r="AI227" i="1"/>
  <c r="AJ227" i="1" s="1"/>
  <c r="AG227" i="1"/>
  <c r="AH227" i="1" s="1"/>
  <c r="AI226" i="1"/>
  <c r="AJ226" i="1" s="1"/>
  <c r="AG226" i="1"/>
  <c r="AH226" i="1" s="1"/>
  <c r="AI225" i="1"/>
  <c r="AJ225" i="1" s="1"/>
  <c r="AG225" i="1"/>
  <c r="AH225" i="1" s="1"/>
  <c r="AI224" i="1"/>
  <c r="AJ224" i="1" s="1"/>
  <c r="AG224" i="1"/>
  <c r="AH224" i="1" s="1"/>
  <c r="AI223" i="1"/>
  <c r="AJ223" i="1" s="1"/>
  <c r="AG223" i="1"/>
  <c r="AH223" i="1" s="1"/>
  <c r="AI222" i="1"/>
  <c r="AJ222" i="1" s="1"/>
  <c r="AG222" i="1"/>
  <c r="AH222" i="1" s="1"/>
  <c r="AI221" i="1"/>
  <c r="AJ221" i="1" s="1"/>
  <c r="AG221" i="1"/>
  <c r="AH221" i="1" s="1"/>
  <c r="AI220" i="1"/>
  <c r="AJ220" i="1" s="1"/>
  <c r="AG220" i="1"/>
  <c r="AH220" i="1" s="1"/>
  <c r="AI219" i="1"/>
  <c r="AJ219" i="1" s="1"/>
  <c r="AG219" i="1"/>
  <c r="AH219" i="1" s="1"/>
  <c r="AI218" i="1"/>
  <c r="AJ218" i="1" s="1"/>
  <c r="AG218" i="1"/>
  <c r="AH218" i="1" s="1"/>
  <c r="AI217" i="1"/>
  <c r="AJ217" i="1" s="1"/>
  <c r="AG217" i="1"/>
  <c r="AH217" i="1" s="1"/>
  <c r="AI216" i="1"/>
  <c r="AJ216" i="1" s="1"/>
  <c r="AG216" i="1"/>
  <c r="AH216" i="1" s="1"/>
  <c r="AI215" i="1"/>
  <c r="AJ215" i="1" s="1"/>
  <c r="AG215" i="1"/>
  <c r="AH215" i="1" s="1"/>
  <c r="AI214" i="1"/>
  <c r="AJ214" i="1" s="1"/>
  <c r="AG214" i="1"/>
  <c r="AH214" i="1" s="1"/>
  <c r="AI213" i="1"/>
  <c r="AJ213" i="1" s="1"/>
  <c r="AG213" i="1"/>
  <c r="AH213" i="1" s="1"/>
  <c r="AI212" i="1"/>
  <c r="AJ212" i="1" s="1"/>
  <c r="AG212" i="1"/>
  <c r="AH212" i="1" s="1"/>
  <c r="AI211" i="1"/>
  <c r="AJ211" i="1" s="1"/>
  <c r="AG211" i="1"/>
  <c r="AH211" i="1" s="1"/>
  <c r="AI210" i="1"/>
  <c r="AJ210" i="1" s="1"/>
  <c r="AG210" i="1"/>
  <c r="AH210" i="1" s="1"/>
  <c r="AI209" i="1"/>
  <c r="AJ209" i="1" s="1"/>
  <c r="AG209" i="1"/>
  <c r="AH209" i="1" s="1"/>
  <c r="AI208" i="1"/>
  <c r="AJ208" i="1" s="1"/>
  <c r="AG208" i="1"/>
  <c r="AH208" i="1" s="1"/>
  <c r="AI207" i="1"/>
  <c r="AJ207" i="1" s="1"/>
  <c r="AG207" i="1"/>
  <c r="AH207" i="1" s="1"/>
  <c r="AI206" i="1"/>
  <c r="AJ206" i="1" s="1"/>
  <c r="AG206" i="1"/>
  <c r="AH206" i="1" s="1"/>
  <c r="AI205" i="1"/>
  <c r="AJ205" i="1" s="1"/>
  <c r="AG205" i="1"/>
  <c r="AH205" i="1" s="1"/>
  <c r="AI204" i="1"/>
  <c r="AJ204" i="1" s="1"/>
  <c r="AG204" i="1"/>
  <c r="AH204" i="1" s="1"/>
  <c r="AI203" i="1"/>
  <c r="AJ203" i="1" s="1"/>
  <c r="AG203" i="1"/>
  <c r="AH203" i="1" s="1"/>
  <c r="AI202" i="1"/>
  <c r="AJ202" i="1" s="1"/>
  <c r="AG202" i="1"/>
  <c r="AH202" i="1" s="1"/>
  <c r="AI201" i="1"/>
  <c r="AJ201" i="1" s="1"/>
  <c r="AG201" i="1"/>
  <c r="AH201" i="1" s="1"/>
  <c r="AI200" i="1"/>
  <c r="AJ200" i="1" s="1"/>
  <c r="AG200" i="1"/>
  <c r="AH200" i="1" s="1"/>
  <c r="AI199" i="1"/>
  <c r="AJ199" i="1" s="1"/>
  <c r="AG199" i="1"/>
  <c r="AH199" i="1" s="1"/>
  <c r="AI198" i="1"/>
  <c r="AJ198" i="1" s="1"/>
  <c r="AG198" i="1"/>
  <c r="AH198" i="1" s="1"/>
  <c r="AI197" i="1"/>
  <c r="AJ197" i="1" s="1"/>
  <c r="AG197" i="1"/>
  <c r="AH197" i="1" s="1"/>
  <c r="AI196" i="1"/>
  <c r="AJ196" i="1" s="1"/>
  <c r="AG196" i="1"/>
  <c r="AH196" i="1" s="1"/>
  <c r="AI195" i="1"/>
  <c r="AJ195" i="1" s="1"/>
  <c r="AG195" i="1"/>
  <c r="AH195" i="1" s="1"/>
  <c r="AI194" i="1"/>
  <c r="AJ194" i="1" s="1"/>
  <c r="AG194" i="1"/>
  <c r="AH194" i="1" s="1"/>
  <c r="AI193" i="1"/>
  <c r="AJ193" i="1" s="1"/>
  <c r="AG193" i="1"/>
  <c r="AH193" i="1" s="1"/>
  <c r="AI192" i="1"/>
  <c r="AJ192" i="1" s="1"/>
  <c r="AG192" i="1"/>
  <c r="AH192" i="1" s="1"/>
  <c r="AI191" i="1"/>
  <c r="AJ191" i="1" s="1"/>
  <c r="AG191" i="1"/>
  <c r="AH191" i="1" s="1"/>
  <c r="AI190" i="1"/>
  <c r="AJ190" i="1" s="1"/>
  <c r="AG190" i="1"/>
  <c r="AH190" i="1" s="1"/>
  <c r="AI189" i="1"/>
  <c r="AJ189" i="1" s="1"/>
  <c r="AG189" i="1"/>
  <c r="AH189" i="1" s="1"/>
  <c r="AI188" i="1"/>
  <c r="AJ188" i="1" s="1"/>
  <c r="AG188" i="1"/>
  <c r="AH188" i="1" s="1"/>
  <c r="AI187" i="1"/>
  <c r="AJ187" i="1" s="1"/>
  <c r="AG187" i="1"/>
  <c r="AH187" i="1" s="1"/>
  <c r="AI186" i="1"/>
  <c r="AJ186" i="1" s="1"/>
  <c r="AG186" i="1"/>
  <c r="AH186" i="1" s="1"/>
  <c r="AI185" i="1"/>
  <c r="AJ185" i="1" s="1"/>
  <c r="AG185" i="1"/>
  <c r="AH185" i="1" s="1"/>
  <c r="AI184" i="1"/>
  <c r="AJ184" i="1" s="1"/>
  <c r="AG184" i="1"/>
  <c r="AH184" i="1" s="1"/>
  <c r="AI183" i="1"/>
  <c r="AJ183" i="1" s="1"/>
  <c r="AG183" i="1"/>
  <c r="AH183" i="1" s="1"/>
  <c r="AI182" i="1"/>
  <c r="AJ182" i="1" s="1"/>
  <c r="AG182" i="1"/>
  <c r="AH182" i="1" s="1"/>
  <c r="AI181" i="1"/>
  <c r="AJ181" i="1" s="1"/>
  <c r="AG181" i="1"/>
  <c r="AH181" i="1" s="1"/>
  <c r="AI180" i="1"/>
  <c r="AJ180" i="1" s="1"/>
  <c r="AG180" i="1"/>
  <c r="AH180" i="1" s="1"/>
  <c r="AI179" i="1"/>
  <c r="AJ179" i="1" s="1"/>
  <c r="AG179" i="1"/>
  <c r="AH179" i="1" s="1"/>
  <c r="AI178" i="1"/>
  <c r="AJ178" i="1" s="1"/>
  <c r="AG178" i="1"/>
  <c r="AH178" i="1" s="1"/>
  <c r="AI177" i="1"/>
  <c r="AJ177" i="1" s="1"/>
  <c r="AG177" i="1"/>
  <c r="AH177" i="1" s="1"/>
  <c r="AI176" i="1"/>
  <c r="AJ176" i="1" s="1"/>
  <c r="AG176" i="1"/>
  <c r="AH176" i="1" s="1"/>
  <c r="AI175" i="1"/>
  <c r="AJ175" i="1" s="1"/>
  <c r="AG175" i="1"/>
  <c r="AH175" i="1" s="1"/>
  <c r="AI174" i="1"/>
  <c r="AJ174" i="1" s="1"/>
  <c r="AG174" i="1"/>
  <c r="AH174" i="1" s="1"/>
  <c r="AI173" i="1"/>
  <c r="AJ173" i="1" s="1"/>
  <c r="AG173" i="1"/>
  <c r="AH173" i="1" s="1"/>
  <c r="AI172" i="1"/>
  <c r="AJ172" i="1" s="1"/>
  <c r="AG172" i="1"/>
  <c r="AH172" i="1" s="1"/>
  <c r="AI171" i="1"/>
  <c r="AJ171" i="1" s="1"/>
  <c r="AG171" i="1"/>
  <c r="AH171" i="1" s="1"/>
  <c r="AI170" i="1"/>
  <c r="AJ170" i="1" s="1"/>
  <c r="AG170" i="1"/>
  <c r="AH170" i="1" s="1"/>
  <c r="AI169" i="1"/>
  <c r="AJ169" i="1" s="1"/>
  <c r="AG169" i="1"/>
  <c r="AH169" i="1" s="1"/>
  <c r="AI168" i="1"/>
  <c r="AJ168" i="1" s="1"/>
  <c r="AG168" i="1"/>
  <c r="AH168" i="1" s="1"/>
  <c r="AI167" i="1"/>
  <c r="AJ167" i="1" s="1"/>
  <c r="AG167" i="1"/>
  <c r="AH167" i="1" s="1"/>
  <c r="AI166" i="1"/>
  <c r="AJ166" i="1" s="1"/>
  <c r="AG166" i="1"/>
  <c r="AH166" i="1" s="1"/>
  <c r="AI165" i="1"/>
  <c r="AJ165" i="1" s="1"/>
  <c r="AG165" i="1"/>
  <c r="AH165" i="1" s="1"/>
  <c r="AI164" i="1"/>
  <c r="AJ164" i="1" s="1"/>
  <c r="AG164" i="1"/>
  <c r="AH164" i="1" s="1"/>
  <c r="AI163" i="1"/>
  <c r="AJ163" i="1" s="1"/>
  <c r="AG163" i="1"/>
  <c r="AH163" i="1" s="1"/>
  <c r="AI162" i="1"/>
  <c r="AJ162" i="1" s="1"/>
  <c r="AG162" i="1"/>
  <c r="AH162" i="1" s="1"/>
  <c r="AI161" i="1"/>
  <c r="AJ161" i="1" s="1"/>
  <c r="AG161" i="1"/>
  <c r="AH161" i="1" s="1"/>
  <c r="AI160" i="1"/>
  <c r="AJ160" i="1" s="1"/>
  <c r="AG160" i="1"/>
  <c r="AH160" i="1" s="1"/>
  <c r="AI159" i="1"/>
  <c r="AJ159" i="1" s="1"/>
  <c r="AG159" i="1"/>
  <c r="AH159" i="1" s="1"/>
  <c r="AI158" i="1"/>
  <c r="AJ158" i="1" s="1"/>
  <c r="AG158" i="1"/>
  <c r="AH158" i="1" s="1"/>
  <c r="AI157" i="1"/>
  <c r="AJ157" i="1" s="1"/>
  <c r="AG157" i="1"/>
  <c r="AH157" i="1" s="1"/>
  <c r="AI156" i="1"/>
  <c r="AJ156" i="1" s="1"/>
  <c r="AG156" i="1"/>
  <c r="AH156" i="1" s="1"/>
  <c r="AI155" i="1"/>
  <c r="AJ155" i="1" s="1"/>
  <c r="AG155" i="1"/>
  <c r="AH155" i="1" s="1"/>
  <c r="AI154" i="1"/>
  <c r="AJ154" i="1" s="1"/>
  <c r="AG154" i="1"/>
  <c r="AH154" i="1" s="1"/>
  <c r="AI153" i="1"/>
  <c r="AJ153" i="1" s="1"/>
  <c r="AG153" i="1"/>
  <c r="AH153" i="1" s="1"/>
  <c r="AI152" i="1"/>
  <c r="AJ152" i="1" s="1"/>
  <c r="AG152" i="1"/>
  <c r="AH152" i="1" s="1"/>
  <c r="AI151" i="1"/>
  <c r="AJ151" i="1" s="1"/>
  <c r="AG151" i="1"/>
  <c r="AH151" i="1" s="1"/>
  <c r="AI150" i="1"/>
  <c r="AJ150" i="1" s="1"/>
  <c r="AG150" i="1"/>
  <c r="AH150" i="1" s="1"/>
  <c r="AI149" i="1"/>
  <c r="AJ149" i="1" s="1"/>
  <c r="AG149" i="1"/>
  <c r="AH149" i="1" s="1"/>
  <c r="AI148" i="1"/>
  <c r="AJ148" i="1" s="1"/>
  <c r="AG148" i="1"/>
  <c r="AH148" i="1" s="1"/>
  <c r="AI147" i="1"/>
  <c r="AJ147" i="1" s="1"/>
  <c r="AG147" i="1"/>
  <c r="AH147" i="1" s="1"/>
  <c r="AI146" i="1"/>
  <c r="AJ146" i="1" s="1"/>
  <c r="AG146" i="1"/>
  <c r="AH146" i="1" s="1"/>
  <c r="AI145" i="1"/>
  <c r="AJ145" i="1" s="1"/>
  <c r="AG145" i="1"/>
  <c r="AH145" i="1" s="1"/>
  <c r="AI144" i="1"/>
  <c r="AJ144" i="1" s="1"/>
  <c r="AG144" i="1"/>
  <c r="AH144" i="1" s="1"/>
  <c r="AI143" i="1"/>
  <c r="AJ143" i="1" s="1"/>
  <c r="AG143" i="1"/>
  <c r="AH143" i="1" s="1"/>
  <c r="AI142" i="1"/>
  <c r="AJ142" i="1" s="1"/>
  <c r="AG142" i="1"/>
  <c r="AH142" i="1" s="1"/>
  <c r="AI141" i="1"/>
  <c r="AJ141" i="1" s="1"/>
  <c r="AG141" i="1"/>
  <c r="AH141" i="1" s="1"/>
  <c r="AI140" i="1"/>
  <c r="AJ140" i="1" s="1"/>
  <c r="AG140" i="1"/>
  <c r="AH140" i="1" s="1"/>
  <c r="AI139" i="1"/>
  <c r="AJ139" i="1" s="1"/>
  <c r="AG139" i="1"/>
  <c r="AH139" i="1" s="1"/>
  <c r="AI138" i="1"/>
  <c r="AJ138" i="1" s="1"/>
  <c r="AG138" i="1"/>
  <c r="AH138" i="1" s="1"/>
  <c r="AI137" i="1"/>
  <c r="AJ137" i="1" s="1"/>
  <c r="AG137" i="1"/>
  <c r="AH137" i="1" s="1"/>
  <c r="AI136" i="1"/>
  <c r="AJ136" i="1" s="1"/>
  <c r="AG136" i="1"/>
  <c r="AH136" i="1" s="1"/>
  <c r="AI135" i="1"/>
  <c r="AJ135" i="1" s="1"/>
  <c r="AG135" i="1"/>
  <c r="AH135" i="1" s="1"/>
  <c r="AI134" i="1"/>
  <c r="AJ134" i="1" s="1"/>
  <c r="AG134" i="1"/>
  <c r="AH134" i="1" s="1"/>
  <c r="AI133" i="1"/>
  <c r="AJ133" i="1" s="1"/>
  <c r="AG133" i="1"/>
  <c r="AH133" i="1" s="1"/>
  <c r="AI132" i="1"/>
  <c r="AJ132" i="1" s="1"/>
  <c r="AG132" i="1"/>
  <c r="AH132" i="1" s="1"/>
  <c r="AI131" i="1"/>
  <c r="AJ131" i="1" s="1"/>
  <c r="AG131" i="1"/>
  <c r="AH131" i="1" s="1"/>
  <c r="AI130" i="1"/>
  <c r="AJ130" i="1" s="1"/>
  <c r="AG130" i="1"/>
  <c r="AH130" i="1" s="1"/>
  <c r="AI129" i="1"/>
  <c r="AJ129" i="1" s="1"/>
  <c r="AG129" i="1"/>
  <c r="AH129" i="1" s="1"/>
  <c r="AI128" i="1"/>
  <c r="AJ128" i="1" s="1"/>
  <c r="AG128" i="1"/>
  <c r="AH128" i="1" s="1"/>
  <c r="AI127" i="1"/>
  <c r="AJ127" i="1" s="1"/>
  <c r="AG127" i="1"/>
  <c r="AH127" i="1" s="1"/>
  <c r="AI126" i="1"/>
  <c r="AJ126" i="1" s="1"/>
  <c r="AG126" i="1"/>
  <c r="AH126" i="1" s="1"/>
  <c r="AI125" i="1"/>
  <c r="AJ125" i="1" s="1"/>
  <c r="AG125" i="1"/>
  <c r="AH125" i="1" s="1"/>
  <c r="AI124" i="1"/>
  <c r="AJ124" i="1" s="1"/>
  <c r="AG124" i="1"/>
  <c r="AH124" i="1" s="1"/>
  <c r="AI123" i="1"/>
  <c r="AJ123" i="1" s="1"/>
  <c r="AG123" i="1"/>
  <c r="AH123" i="1" s="1"/>
  <c r="AI122" i="1"/>
  <c r="AJ122" i="1" s="1"/>
  <c r="AG122" i="1"/>
  <c r="AH122" i="1" s="1"/>
  <c r="AI121" i="1"/>
  <c r="AJ121" i="1" s="1"/>
  <c r="AG121" i="1"/>
  <c r="AH121" i="1" s="1"/>
  <c r="AI120" i="1"/>
  <c r="AJ120" i="1" s="1"/>
  <c r="AG120" i="1"/>
  <c r="AH120" i="1" s="1"/>
  <c r="AI119" i="1"/>
  <c r="AJ119" i="1" s="1"/>
  <c r="AG119" i="1"/>
  <c r="AH119" i="1" s="1"/>
  <c r="AI118" i="1"/>
  <c r="AJ118" i="1" s="1"/>
  <c r="AG118" i="1"/>
  <c r="AH118" i="1" s="1"/>
  <c r="AI117" i="1"/>
  <c r="AJ117" i="1" s="1"/>
  <c r="AG117" i="1"/>
  <c r="AH117" i="1" s="1"/>
  <c r="AI116" i="1"/>
  <c r="AJ116" i="1" s="1"/>
  <c r="AG116" i="1"/>
  <c r="AH116" i="1" s="1"/>
  <c r="AI115" i="1"/>
  <c r="AJ115" i="1" s="1"/>
  <c r="AG115" i="1"/>
  <c r="AH115" i="1" s="1"/>
  <c r="AI114" i="1"/>
  <c r="AJ114" i="1" s="1"/>
  <c r="AG114" i="1"/>
  <c r="AH114" i="1" s="1"/>
  <c r="AI113" i="1"/>
  <c r="AJ113" i="1" s="1"/>
  <c r="AG113" i="1"/>
  <c r="AH113" i="1" s="1"/>
  <c r="AI112" i="1"/>
  <c r="AJ112" i="1" s="1"/>
  <c r="AG112" i="1"/>
  <c r="AH112" i="1" s="1"/>
  <c r="AI111" i="1"/>
  <c r="AJ111" i="1" s="1"/>
  <c r="AG111" i="1"/>
  <c r="AH111" i="1" s="1"/>
  <c r="AI110" i="1"/>
  <c r="AJ110" i="1" s="1"/>
  <c r="AG110" i="1"/>
  <c r="AH110" i="1" s="1"/>
  <c r="AI109" i="1"/>
  <c r="AJ109" i="1" s="1"/>
  <c r="AG109" i="1"/>
  <c r="AH109" i="1" s="1"/>
  <c r="AI108" i="1"/>
  <c r="AJ108" i="1" s="1"/>
  <c r="AG108" i="1"/>
  <c r="AH108" i="1" s="1"/>
  <c r="AI107" i="1"/>
  <c r="AJ107" i="1" s="1"/>
  <c r="AG107" i="1"/>
  <c r="AH107" i="1" s="1"/>
  <c r="AI106" i="1"/>
  <c r="AJ106" i="1" s="1"/>
  <c r="AG106" i="1"/>
  <c r="AH106" i="1" s="1"/>
  <c r="AI105" i="1"/>
  <c r="AJ105" i="1" s="1"/>
  <c r="AG105" i="1"/>
  <c r="AH105" i="1" s="1"/>
  <c r="AI104" i="1"/>
  <c r="AJ104" i="1" s="1"/>
  <c r="AG104" i="1"/>
  <c r="AH104" i="1" s="1"/>
  <c r="AI103" i="1"/>
  <c r="AJ103" i="1" s="1"/>
  <c r="AG103" i="1"/>
  <c r="AH103" i="1" s="1"/>
  <c r="AI102" i="1"/>
  <c r="AJ102" i="1" s="1"/>
  <c r="AG102" i="1"/>
  <c r="AH102" i="1" s="1"/>
  <c r="AI101" i="1"/>
  <c r="AJ101" i="1" s="1"/>
  <c r="AG101" i="1"/>
  <c r="AH101" i="1" s="1"/>
  <c r="AI100" i="1"/>
  <c r="AJ100" i="1" s="1"/>
  <c r="AG100" i="1"/>
  <c r="AH100" i="1" s="1"/>
  <c r="AI99" i="1"/>
  <c r="AJ99" i="1" s="1"/>
  <c r="AG99" i="1"/>
  <c r="AH99" i="1" s="1"/>
  <c r="AI98" i="1"/>
  <c r="AJ98" i="1" s="1"/>
  <c r="AG98" i="1"/>
  <c r="AH98" i="1" s="1"/>
  <c r="AI97" i="1"/>
  <c r="AJ97" i="1" s="1"/>
  <c r="AG97" i="1"/>
  <c r="AH97" i="1" s="1"/>
  <c r="AI96" i="1"/>
  <c r="AJ96" i="1" s="1"/>
  <c r="AG96" i="1"/>
  <c r="AH96" i="1" s="1"/>
  <c r="AI95" i="1"/>
  <c r="AJ95" i="1" s="1"/>
  <c r="AG95" i="1"/>
  <c r="AH95" i="1" s="1"/>
  <c r="AI94" i="1"/>
  <c r="AJ94" i="1" s="1"/>
  <c r="AG94" i="1"/>
  <c r="AH94" i="1" s="1"/>
  <c r="AI93" i="1"/>
  <c r="AJ93" i="1" s="1"/>
  <c r="AG93" i="1"/>
  <c r="AH93" i="1" s="1"/>
  <c r="AI92" i="1"/>
  <c r="AJ92" i="1" s="1"/>
  <c r="AG92" i="1"/>
  <c r="AH92" i="1" s="1"/>
  <c r="AI91" i="1"/>
  <c r="AJ91" i="1" s="1"/>
  <c r="AG91" i="1"/>
  <c r="AH91" i="1" s="1"/>
  <c r="AI90" i="1"/>
  <c r="AJ90" i="1" s="1"/>
  <c r="AG90" i="1"/>
  <c r="AH90" i="1" s="1"/>
  <c r="AI89" i="1"/>
  <c r="AJ89" i="1" s="1"/>
  <c r="AG89" i="1"/>
  <c r="AH89" i="1" s="1"/>
  <c r="AI88" i="1"/>
  <c r="AJ88" i="1" s="1"/>
  <c r="AG88" i="1"/>
  <c r="AH88" i="1" s="1"/>
  <c r="AI87" i="1"/>
  <c r="AJ87" i="1" s="1"/>
  <c r="AG87" i="1"/>
  <c r="AH87" i="1" s="1"/>
  <c r="AI86" i="1"/>
  <c r="AJ86" i="1" s="1"/>
  <c r="AG86" i="1"/>
  <c r="AH86" i="1" s="1"/>
  <c r="AI85" i="1"/>
  <c r="AJ85" i="1" s="1"/>
  <c r="AG85" i="1"/>
  <c r="AH85" i="1" s="1"/>
  <c r="AI84" i="1"/>
  <c r="AJ84" i="1" s="1"/>
  <c r="AG84" i="1"/>
  <c r="AH84" i="1" s="1"/>
  <c r="AI83" i="1"/>
  <c r="AJ83" i="1" s="1"/>
  <c r="AG83" i="1"/>
  <c r="AH83" i="1" s="1"/>
  <c r="AI82" i="1"/>
  <c r="AJ82" i="1" s="1"/>
  <c r="AG82" i="1"/>
  <c r="AH82" i="1" s="1"/>
  <c r="AI81" i="1"/>
  <c r="AJ81" i="1" s="1"/>
  <c r="AG81" i="1"/>
  <c r="AH81" i="1" s="1"/>
  <c r="AI80" i="1"/>
  <c r="AJ80" i="1" s="1"/>
  <c r="AG80" i="1"/>
  <c r="AH80" i="1" s="1"/>
  <c r="AI79" i="1"/>
  <c r="AJ79" i="1" s="1"/>
  <c r="AG79" i="1"/>
  <c r="AH79" i="1" s="1"/>
  <c r="AI78" i="1"/>
  <c r="AJ78" i="1" s="1"/>
  <c r="AG78" i="1"/>
  <c r="AH78" i="1" s="1"/>
  <c r="AI77" i="1"/>
  <c r="AJ77" i="1" s="1"/>
  <c r="AG77" i="1"/>
  <c r="AH77" i="1" s="1"/>
  <c r="AI76" i="1"/>
  <c r="AJ76" i="1" s="1"/>
  <c r="AG76" i="1"/>
  <c r="AH76" i="1" s="1"/>
  <c r="AI75" i="1"/>
  <c r="AJ75" i="1" s="1"/>
  <c r="AG75" i="1"/>
  <c r="AH75" i="1" s="1"/>
  <c r="AI74" i="1"/>
  <c r="AJ74" i="1" s="1"/>
  <c r="AG74" i="1"/>
  <c r="AH74" i="1" s="1"/>
  <c r="AI73" i="1"/>
  <c r="AJ73" i="1" s="1"/>
  <c r="AG73" i="1"/>
  <c r="AH73" i="1" s="1"/>
  <c r="AI72" i="1"/>
  <c r="AJ72" i="1" s="1"/>
  <c r="AG72" i="1"/>
  <c r="AH72" i="1" s="1"/>
  <c r="AI71" i="1"/>
  <c r="AJ71" i="1" s="1"/>
  <c r="AG71" i="1"/>
  <c r="AH71" i="1" s="1"/>
  <c r="AI70" i="1"/>
  <c r="AJ70" i="1" s="1"/>
  <c r="AG70" i="1"/>
  <c r="AH70" i="1" s="1"/>
  <c r="AI69" i="1"/>
  <c r="AJ69" i="1" s="1"/>
  <c r="AG69" i="1"/>
  <c r="AH69" i="1" s="1"/>
  <c r="AI68" i="1"/>
  <c r="AJ68" i="1" s="1"/>
  <c r="AG68" i="1"/>
  <c r="AH68" i="1" s="1"/>
  <c r="AI67" i="1"/>
  <c r="AJ67" i="1" s="1"/>
  <c r="AG67" i="1"/>
  <c r="AH67" i="1" s="1"/>
  <c r="AI66" i="1"/>
  <c r="AJ66" i="1" s="1"/>
  <c r="AG66" i="1"/>
  <c r="AH66" i="1" s="1"/>
  <c r="AI65" i="1"/>
  <c r="AJ65" i="1" s="1"/>
  <c r="AG65" i="1"/>
  <c r="AH65" i="1" s="1"/>
  <c r="AI64" i="1"/>
  <c r="AJ64" i="1" s="1"/>
  <c r="AG64" i="1"/>
  <c r="AH64" i="1" s="1"/>
  <c r="AI63" i="1"/>
  <c r="AJ63" i="1" s="1"/>
  <c r="AG63" i="1"/>
  <c r="AH63" i="1" s="1"/>
  <c r="AI62" i="1"/>
  <c r="AJ62" i="1" s="1"/>
  <c r="AG62" i="1"/>
  <c r="AH62" i="1" s="1"/>
  <c r="AI61" i="1"/>
  <c r="AJ61" i="1" s="1"/>
  <c r="AG61" i="1"/>
  <c r="AH61" i="1" s="1"/>
  <c r="AI60" i="1"/>
  <c r="AJ60" i="1" s="1"/>
  <c r="AG60" i="1"/>
  <c r="AH60" i="1" s="1"/>
  <c r="AI59" i="1"/>
  <c r="AJ59" i="1" s="1"/>
  <c r="AG59" i="1"/>
  <c r="AH59" i="1" s="1"/>
  <c r="AI58" i="1"/>
  <c r="AJ58" i="1" s="1"/>
  <c r="AG58" i="1"/>
  <c r="AH58" i="1" s="1"/>
  <c r="AI57" i="1"/>
  <c r="AJ57" i="1" s="1"/>
  <c r="AG57" i="1"/>
  <c r="AH57" i="1" s="1"/>
  <c r="AI56" i="1"/>
  <c r="AJ56" i="1" s="1"/>
  <c r="AG56" i="1"/>
  <c r="AH56" i="1" s="1"/>
  <c r="AI55" i="1"/>
  <c r="AJ55" i="1" s="1"/>
  <c r="AG55" i="1"/>
  <c r="AH55" i="1" s="1"/>
  <c r="AI54" i="1"/>
  <c r="AJ54" i="1" s="1"/>
  <c r="AG54" i="1"/>
  <c r="AH54" i="1" s="1"/>
  <c r="AI53" i="1"/>
  <c r="AJ53" i="1" s="1"/>
  <c r="AG53" i="1"/>
  <c r="AH53" i="1" s="1"/>
  <c r="AI52" i="1"/>
  <c r="AJ52" i="1" s="1"/>
  <c r="AG52" i="1"/>
  <c r="AH52" i="1" s="1"/>
  <c r="AI51" i="1"/>
  <c r="AJ51" i="1" s="1"/>
  <c r="AG51" i="1"/>
  <c r="AH51" i="1" s="1"/>
  <c r="AI50" i="1"/>
  <c r="AJ50" i="1" s="1"/>
  <c r="AG50" i="1"/>
  <c r="AH50" i="1" s="1"/>
  <c r="AI49" i="1"/>
  <c r="AJ49" i="1" s="1"/>
  <c r="AG49" i="1"/>
  <c r="AH49" i="1" s="1"/>
  <c r="AI48" i="1"/>
  <c r="AJ48" i="1" s="1"/>
  <c r="AG48" i="1"/>
  <c r="AH48" i="1" s="1"/>
  <c r="AI47" i="1"/>
  <c r="AJ47" i="1" s="1"/>
  <c r="AG47" i="1"/>
  <c r="AH47" i="1" s="1"/>
  <c r="AI46" i="1"/>
  <c r="AJ46" i="1" s="1"/>
  <c r="AG46" i="1"/>
  <c r="AH46" i="1" s="1"/>
  <c r="AI45" i="1"/>
  <c r="AJ45" i="1" s="1"/>
  <c r="AG45" i="1"/>
  <c r="AH45" i="1" s="1"/>
  <c r="AI44" i="1"/>
  <c r="AJ44" i="1" s="1"/>
  <c r="AG44" i="1"/>
  <c r="AH44" i="1" s="1"/>
  <c r="AI43" i="1"/>
  <c r="AJ43" i="1" s="1"/>
  <c r="AG43" i="1"/>
  <c r="AH43" i="1" s="1"/>
  <c r="AI42" i="1"/>
  <c r="AJ42" i="1" s="1"/>
  <c r="AG42" i="1"/>
  <c r="AH42" i="1" s="1"/>
  <c r="AI41" i="1"/>
  <c r="AJ41" i="1" s="1"/>
  <c r="AG41" i="1"/>
  <c r="AH41" i="1" s="1"/>
  <c r="AI40" i="1"/>
  <c r="AJ40" i="1" s="1"/>
  <c r="AG40" i="1"/>
  <c r="AH40" i="1" s="1"/>
  <c r="AI39" i="1"/>
  <c r="AJ39" i="1" s="1"/>
  <c r="AG39" i="1"/>
  <c r="AH39" i="1" s="1"/>
  <c r="AI38" i="1"/>
  <c r="AJ38" i="1" s="1"/>
  <c r="AG38" i="1"/>
  <c r="AH38" i="1" s="1"/>
  <c r="AI37" i="1"/>
  <c r="AJ37" i="1" s="1"/>
  <c r="AG37" i="1"/>
  <c r="AH37" i="1" s="1"/>
  <c r="AI36" i="1"/>
  <c r="AJ36" i="1" s="1"/>
  <c r="AG36" i="1"/>
  <c r="AH36" i="1" s="1"/>
  <c r="AI35" i="1"/>
  <c r="AJ35" i="1" s="1"/>
  <c r="AG35" i="1"/>
  <c r="AH35" i="1" s="1"/>
  <c r="AI34" i="1"/>
  <c r="AJ34" i="1" s="1"/>
  <c r="AG34" i="1"/>
  <c r="AH34" i="1" s="1"/>
  <c r="AI33" i="1"/>
  <c r="AJ33" i="1" s="1"/>
  <c r="AG33" i="1"/>
  <c r="AH33" i="1" s="1"/>
  <c r="AI32" i="1"/>
  <c r="AJ32" i="1" s="1"/>
  <c r="AG32" i="1"/>
  <c r="AH32" i="1" s="1"/>
  <c r="AI31" i="1"/>
  <c r="AJ31" i="1" s="1"/>
  <c r="AG31" i="1"/>
  <c r="AH31" i="1" s="1"/>
  <c r="AI30" i="1"/>
  <c r="AJ30" i="1" s="1"/>
  <c r="AG30" i="1"/>
  <c r="AH30" i="1" s="1"/>
  <c r="AI29" i="1"/>
  <c r="AJ29" i="1" s="1"/>
  <c r="AG29" i="1"/>
  <c r="AH29" i="1" s="1"/>
  <c r="AI28" i="1"/>
  <c r="AJ28" i="1" s="1"/>
  <c r="AG28" i="1"/>
  <c r="AH28" i="1" s="1"/>
  <c r="AI27" i="1"/>
  <c r="AJ27" i="1" s="1"/>
  <c r="AG27" i="1"/>
  <c r="AH27" i="1" s="1"/>
  <c r="AI26" i="1"/>
  <c r="AJ26" i="1" s="1"/>
  <c r="AG26" i="1"/>
  <c r="AH26" i="1" s="1"/>
  <c r="AI25" i="1"/>
  <c r="AJ25" i="1" s="1"/>
  <c r="AG25" i="1"/>
  <c r="AH25" i="1" s="1"/>
  <c r="AI24" i="1"/>
  <c r="AJ24" i="1" s="1"/>
  <c r="AG24" i="1"/>
  <c r="AH24" i="1" s="1"/>
  <c r="AI23" i="1"/>
  <c r="AJ23" i="1" s="1"/>
  <c r="AG23" i="1"/>
  <c r="AH23" i="1" s="1"/>
  <c r="AI22" i="1"/>
  <c r="AJ22" i="1" s="1"/>
  <c r="AG22" i="1"/>
  <c r="AH22" i="1" s="1"/>
  <c r="AI21" i="1"/>
  <c r="AJ21" i="1" s="1"/>
  <c r="AG21" i="1"/>
  <c r="AH21" i="1" s="1"/>
  <c r="AI20" i="1"/>
  <c r="AJ20" i="1" s="1"/>
  <c r="AG20" i="1"/>
  <c r="AH20" i="1" s="1"/>
  <c r="AI19" i="1"/>
  <c r="AJ19" i="1" s="1"/>
  <c r="AG19" i="1"/>
  <c r="AH19" i="1" s="1"/>
  <c r="AI18" i="1"/>
  <c r="AJ18" i="1" s="1"/>
  <c r="AG18" i="1"/>
  <c r="AH18" i="1" s="1"/>
  <c r="AI17" i="1"/>
  <c r="AJ17" i="1" s="1"/>
  <c r="AG17" i="1"/>
  <c r="AH17" i="1" s="1"/>
  <c r="AI16" i="1"/>
  <c r="AJ16" i="1" s="1"/>
  <c r="AG16" i="1"/>
  <c r="AH16" i="1" s="1"/>
  <c r="AI15" i="1"/>
  <c r="AJ15" i="1" s="1"/>
  <c r="AG15" i="1"/>
  <c r="AH15" i="1" s="1"/>
  <c r="AI14" i="1"/>
  <c r="AJ14" i="1" s="1"/>
  <c r="AG14" i="1"/>
  <c r="AH14" i="1" s="1"/>
  <c r="AI13" i="1"/>
  <c r="AJ13" i="1" s="1"/>
  <c r="AG13" i="1"/>
  <c r="AH13" i="1" s="1"/>
  <c r="AI12" i="1"/>
  <c r="AJ12" i="1" s="1"/>
  <c r="AG12" i="1"/>
  <c r="AH12" i="1" s="1"/>
  <c r="AI11" i="1"/>
  <c r="AJ11" i="1" s="1"/>
  <c r="AG11" i="1"/>
  <c r="AH11" i="1" s="1"/>
  <c r="AI10" i="1"/>
  <c r="AJ10" i="1" s="1"/>
  <c r="AG10" i="1"/>
  <c r="AH10" i="1" s="1"/>
  <c r="AI9" i="1"/>
  <c r="AJ9" i="1" s="1"/>
  <c r="AG9" i="1"/>
  <c r="AH9" i="1" s="1"/>
  <c r="AI8" i="1"/>
  <c r="AJ8" i="1" s="1"/>
  <c r="AG8" i="1"/>
  <c r="AH8" i="1" s="1"/>
  <c r="AI7" i="1"/>
  <c r="AJ7" i="1" s="1"/>
  <c r="AG7" i="1"/>
  <c r="AH7" i="1" s="1"/>
  <c r="AI6" i="1"/>
  <c r="AJ6" i="1" s="1"/>
  <c r="AG6" i="1"/>
  <c r="AH6" i="1" s="1"/>
  <c r="AI5" i="1"/>
  <c r="AJ5" i="1" s="1"/>
  <c r="AG5" i="1"/>
  <c r="AH5" i="1" s="1"/>
  <c r="AI4" i="1"/>
  <c r="AJ4" i="1" s="1"/>
  <c r="AG4" i="1"/>
  <c r="AH4" i="1" s="1"/>
  <c r="AI3" i="1"/>
  <c r="AJ3" i="1" s="1"/>
  <c r="AG3" i="1"/>
  <c r="AH3" i="1" s="1"/>
  <c r="AI2" i="1"/>
  <c r="AJ2" i="1" s="1"/>
  <c r="AG2" i="1"/>
  <c r="AH2" i="1" s="1"/>
</calcChain>
</file>

<file path=xl/sharedStrings.xml><?xml version="1.0" encoding="utf-8"?>
<sst xmlns="http://schemas.openxmlformats.org/spreadsheetml/2006/main" count="5318" uniqueCount="710">
  <si>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</si>
  <si>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</si>
  <si>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</si>
  <si>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</si>
  <si>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</si>
  <si>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</si>
  <si>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</si>
  <si>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</si>
  <si>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</si>
  <si>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</si>
  <si>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</si>
  <si>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</si>
  <si>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</si>
  <si>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</si>
  <si>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</si>
  <si>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</si>
  <si>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</si>
  <si>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</si>
  <si>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</si>
  <si>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</si>
  <si>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</si>
  <si>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</si>
  <si>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</si>
  <si>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</si>
  <si>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</si>
  <si>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</si>
  <si>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</si>
  <si>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</si>
  <si>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</si>
  <si>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</si>
  <si>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</si>
  <si>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</si>
  <si>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</si>
  <si>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</si>
  <si>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</si>
  <si>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</si>
  <si>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</si>
  <si>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</si>
  <si>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</si>
  <si>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</si>
  <si>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</si>
  <si>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</si>
  <si>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</si>
  <si>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</si>
  <si>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</si>
  <si>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</si>
  <si>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</si>
  <si>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</si>
  <si>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</si>
  <si>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</si>
  <si>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</si>
  <si>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</si>
  <si>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</si>
  <si>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</si>
  <si>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</si>
  <si>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</si>
  <si>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</si>
  <si>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</si>
  <si>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</si>
  <si>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</si>
  <si>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</si>
  <si>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</si>
  <si>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</si>
  <si>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</si>
  <si>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</si>
  <si>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</si>
  <si>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</si>
  <si>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</si>
  <si>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</si>
  <si>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</si>
  <si>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</si>
  <si>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</si>
  <si>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</si>
  <si>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</si>
  <si>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</si>
  <si>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</si>
  <si>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</si>
  <si>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</si>
  <si>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</si>
  <si>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</si>
  <si>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</si>
  <si>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</si>
  <si>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</si>
  <si>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</si>
  <si>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</si>
  <si>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</si>
  <si>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</si>
  <si>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</si>
  <si>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</si>
  <si>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</si>
  <si>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</si>
  <si>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</si>
  <si>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</si>
  <si>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</si>
  <si>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</si>
  <si>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</si>
  <si>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</si>
  <si>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</si>
  <si>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</si>
  <si>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</si>
  <si>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</si>
  <si>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</si>
  <si>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</si>
  <si>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</si>
  <si>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</si>
  <si>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</si>
  <si>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</si>
  <si>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</si>
  <si>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</si>
  <si>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</si>
  <si>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</si>
  <si>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</si>
  <si>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</si>
  <si>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</si>
  <si>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</si>
  <si>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</si>
  <si>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</si>
  <si>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</si>
  <si>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</si>
  <si>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</si>
  <si>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</si>
  <si>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</si>
  <si>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</si>
  <si>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</si>
  <si>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</si>
  <si>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</si>
  <si>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</si>
  <si>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</si>
  <si>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</si>
  <si>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</si>
  <si>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</si>
  <si>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</si>
  <si>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</si>
  <si>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</si>
  <si>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</si>
  <si>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</si>
  <si>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</si>
  <si>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</si>
  <si>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</si>
  <si>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</si>
  <si>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</si>
  <si>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</si>
  <si>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</si>
  <si>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</si>
  <si>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</si>
  <si>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</si>
  <si>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</si>
  <si>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</si>
  <si>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</si>
  <si>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</si>
  <si>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</si>
  <si>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</si>
  <si>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</si>
  <si>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</si>
  <si>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</si>
  <si>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</si>
  <si>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</si>
  <si>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</si>
  <si>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</si>
  <si>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</si>
  <si>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</si>
  <si>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</si>
  <si>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</si>
  <si>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</si>
  <si>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</si>
  <si>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</si>
  <si>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</si>
  <si>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</si>
  <si>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</si>
  <si>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</si>
  <si>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</si>
  <si>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</si>
  <si>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</si>
  <si>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</si>
  <si>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</si>
  <si>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</si>
  <si>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</si>
  <si>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</si>
  <si>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</si>
  <si>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</si>
  <si>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</si>
  <si>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</si>
  <si>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</si>
  <si>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</si>
  <si>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</si>
  <si>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</si>
  <si>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</si>
  <si>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</si>
  <si>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</si>
  <si>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</si>
  <si>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</si>
  <si>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</si>
  <si>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</si>
  <si>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</si>
  <si>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</si>
  <si>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</si>
  <si>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</si>
  <si>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</si>
  <si>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</si>
  <si>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</si>
  <si>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</si>
  <si>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</si>
  <si>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</si>
  <si>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</si>
  <si>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</si>
  <si>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</si>
  <si>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</si>
  <si>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</si>
  <si>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</si>
  <si>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</si>
  <si>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</si>
  <si>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</si>
  <si>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</si>
  <si>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</si>
  <si>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</si>
  <si>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</si>
  <si>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</si>
  <si>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</si>
  <si>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</si>
  <si>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</si>
  <si>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</si>
  <si>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</si>
  <si>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</si>
  <si>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</si>
  <si>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</si>
  <si>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</si>
  <si>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</si>
  <si>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</si>
  <si>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</si>
  <si>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</si>
  <si>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</si>
  <si>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</si>
  <si>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</si>
  <si>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</si>
  <si>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</si>
  <si>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</si>
  <si>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</si>
  <si>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</si>
  <si>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</si>
  <si>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</si>
  <si>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</si>
  <si>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</si>
  <si>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</si>
  <si>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</si>
  <si>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</si>
  <si>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</si>
  <si>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</si>
  <si>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</si>
  <si>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</si>
  <si>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</si>
  <si>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</si>
  <si>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</si>
  <si>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</si>
  <si>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</si>
  <si>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</si>
  <si>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</si>
  <si>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</si>
  <si>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</si>
  <si>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</si>
  <si>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</si>
  <si>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</si>
  <si>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</si>
  <si>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</si>
  <si>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</si>
  <si>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</si>
  <si>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</si>
  <si>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</si>
  <si>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</si>
  <si>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</si>
  <si>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</si>
  <si>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</si>
  <si>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</si>
  <si>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</si>
  <si>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</si>
  <si>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</si>
  <si>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</si>
  <si>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</si>
  <si>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</si>
  <si>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</si>
  <si>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</si>
  <si>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</si>
  <si>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</si>
  <si>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</si>
  <si>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</si>
  <si>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</si>
  <si>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</si>
  <si>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</si>
  <si>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</si>
  <si>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</si>
  <si>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</si>
  <si>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</si>
  <si>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</si>
  <si>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</si>
  <si>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</si>
  <si>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</si>
  <si>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</si>
  <si>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</si>
  <si>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</si>
  <si>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</si>
  <si>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</si>
  <si>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</si>
  <si>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</si>
  <si>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</si>
  <si>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</si>
  <si>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</si>
  <si>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</si>
  <si>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</si>
  <si>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</si>
  <si>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</si>
  <si>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</si>
  <si>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</si>
  <si>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</si>
  <si>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</si>
  <si>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</si>
  <si>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</si>
  <si>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</si>
  <si>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</si>
  <si>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</si>
  <si>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</si>
  <si>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</si>
  <si>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</si>
  <si>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</si>
  <si>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</si>
  <si>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</si>
  <si>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</si>
  <si>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</si>
  <si>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</si>
  <si>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</si>
  <si>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</si>
  <si>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</si>
  <si>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</si>
  <si>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</si>
  <si>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</si>
  <si>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</si>
  <si>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</si>
  <si>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</si>
  <si>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</si>
  <si>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</si>
  <si>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</si>
  <si>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</si>
  <si>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</si>
  <si>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</si>
  <si>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</si>
  <si>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</si>
  <si>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</si>
  <si>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</si>
  <si>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</si>
  <si>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</si>
  <si>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</si>
  <si>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</si>
  <si>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</si>
  <si>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</si>
  <si>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</si>
  <si>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</si>
  <si>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</si>
  <si>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</si>
  <si>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</si>
  <si>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</si>
  <si>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</si>
  <si>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</si>
  <si>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</si>
  <si>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</si>
  <si>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</si>
  <si>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</si>
  <si>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</si>
  <si>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</si>
  <si>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</si>
  <si>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</si>
  <si>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</si>
  <si>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</si>
  <si>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</si>
  <si>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</si>
  <si>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</si>
  <si>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</si>
  <si>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</si>
  <si>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</si>
  <si>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</si>
  <si>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</si>
  <si>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</si>
  <si>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</si>
  <si>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</si>
  <si>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</si>
  <si>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</si>
  <si>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</si>
  <si>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</si>
  <si>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</si>
  <si>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</si>
  <si>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</si>
  <si>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</si>
  <si>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</si>
  <si>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</si>
  <si>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</si>
  <si>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</si>
  <si>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</si>
  <si>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</si>
  <si>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</si>
  <si>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</si>
  <si>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</si>
  <si>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</si>
  <si>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</si>
  <si>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</si>
  <si>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</si>
  <si>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</si>
  <si>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</si>
  <si>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</si>
  <si>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</si>
  <si>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</si>
  <si>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</si>
  <si>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</si>
  <si>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</si>
  <si>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</si>
  <si>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</si>
  <si>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</si>
  <si>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</si>
  <si>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colocated</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</si>
  <si>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</si>
  <si>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</si>
  <si>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</si>
  <si>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</si>
  <si>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</si>
  <si>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</si>
  <si>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</si>
  <si>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</si>
  <si>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</si>
  <si>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</si>
  <si>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</si>
  <si>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</si>
  <si>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</si>
  <si>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</si>
  <si>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</si>
  <si>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</si>
  <si>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</si>
  <si>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</si>
  <si>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</si>
  <si>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</si>
  <si>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</si>
  <si>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</si>
  <si>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</si>
  <si>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</si>
  <si>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</si>
  <si>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</si>
  <si>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</si>
  <si>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</si>
  <si>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</si>
  <si>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</si>
  <si>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</si>
  <si>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</si>
  <si>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</si>
  <si>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</si>
  <si>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</si>
  <si>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</si>
  <si>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</si>
  <si>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</si>
  <si>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</si>
  <si>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</si>
  <si>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</si>
  <si>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</si>
  <si>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</si>
  <si>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</si>
  <si>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</si>
  <si>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</si>
  <si>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</si>
  <si>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</si>
  <si>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</si>
  <si>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</si>
  <si>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</si>
  <si>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</si>
  <si>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</si>
  <si>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</si>
  <si>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</si>
  <si>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</si>
  <si>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</si>
  <si>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</si>
  <si>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</si>
  <si>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</si>
  <si>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</si>
  <si>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</si>
  <si>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</si>
  <si>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</si>
  <si>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</si>
  <si>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</si>
  <si>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</si>
  <si>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</si>
  <si>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</si>
  <si>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</si>
  <si>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</si>
  <si>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</si>
  <si>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</si>
  <si>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</si>
  <si>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</si>
  <si>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</si>
  <si>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</si>
  <si>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</si>
  <si>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</si>
  <si>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</si>
  <si>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</si>
  <si>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</si>
  <si>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</si>
  <si>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</si>
  <si>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</si>
  <si>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</si>
  <si>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</si>
  <si>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</si>
  <si>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</si>
  <si>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</si>
  <si>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</si>
  <si>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</si>
  <si>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</si>
  <si>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</si>
  <si>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</si>
  <si>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</si>
  <si>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</si>
  <si>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</si>
  <si>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</si>
  <si>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</si>
  <si>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</si>
  <si>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</si>
  <si>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</si>
  <si>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</si>
  <si>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</si>
  <si>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</si>
  <si>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</si>
  <si>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</si>
  <si>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</si>
  <si>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</si>
  <si>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</si>
  <si>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</si>
  <si>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</si>
  <si>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</si>
  <si>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</si>
  <si>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</si>
  <si>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</si>
  <si>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</si>
  <si>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</si>
  <si>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</si>
  <si>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</si>
  <si>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</si>
  <si>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</si>
  <si>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</si>
  <si>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</si>
  <si>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</si>
  <si>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</si>
  <si>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</si>
  <si>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</si>
  <si>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</si>
  <si>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</si>
  <si>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</si>
  <si>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</si>
  <si>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</si>
  <si>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</si>
  <si>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</si>
  <si>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</si>
  <si>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</si>
  <si>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</si>
  <si>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</si>
  <si>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</si>
  <si>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</si>
  <si>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</si>
  <si>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</si>
  <si>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</si>
  <si>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</si>
  <si>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</si>
  <si>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</si>
  <si>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</si>
  <si>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</si>
  <si>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</si>
  <si>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</si>
  <si>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</si>
  <si>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</si>
  <si>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</si>
  <si>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</si>
  <si>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</si>
  <si>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</si>
  <si>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</si>
  <si>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</si>
  <si>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</si>
  <si>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</si>
  <si>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</si>
  <si>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</si>
  <si>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</si>
  <si>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</si>
  <si>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</si>
  <si>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</si>
  <si>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</si>
  <si>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</si>
  <si>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</si>
  <si>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</si>
  <si>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</si>
  <si>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</si>
  <si>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</si>
  <si>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</si>
  <si>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</si>
  <si>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QMH_5a</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</si>
  <si>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</si>
  <si>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</si>
  <si>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</si>
  <si>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</si>
  <si>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</si>
  <si>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</si>
  <si>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</si>
  <si>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</si>
  <si>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</si>
  <si>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</si>
  <si>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</si>
  <si>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</si>
  <si>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</si>
  <si>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</si>
  <si>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</si>
  <si>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</si>
  <si>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</si>
  <si>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</si>
  <si>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</si>
  <si>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</si>
  <si>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</si>
  <si>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</si>
  <si>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</si>
  <si>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</si>
  <si>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</si>
  <si>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</si>
  <si>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</si>
  <si>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</si>
  <si>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</si>
  <si>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</si>
  <si>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</si>
  <si>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</si>
  <si>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</si>
  <si>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</si>
  <si>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</si>
  <si>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</si>
  <si>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</si>
  <si>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</si>
  <si>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</si>
  <si>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</si>
  <si>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</si>
  <si>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</si>
  <si>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</si>
  <si>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</si>
  <si>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</si>
  <si>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</si>
  <si>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</si>
  <si>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</si>
  <si>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</si>
  <si>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</si>
  <si>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</si>
  <si>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</si>
  <si>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</si>
  <si>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</si>
  <si>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</si>
  <si>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</si>
  <si>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</si>
  <si>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</si>
  <si>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</si>
  <si>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</si>
  <si>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</si>
  <si>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</si>
  <si>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</si>
  <si>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</si>
  <si>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</si>
  <si>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</si>
  <si>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</si>
  <si>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</si>
  <si>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</si>
  <si>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</si>
  <si>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</si>
  <si>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</si>
  <si>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</si>
  <si>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</si>
  <si>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</si>
  <si>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</si>
  <si>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</si>
  <si>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</si>
  <si>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</si>
  <si>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</si>
  <si>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</si>
  <si>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</si>
  <si>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</si>
  <si>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</si>
  <si>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</si>
  <si>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</si>
  <si>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</si>
  <si>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</si>
  <si>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</si>
  <si>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</si>
  <si>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</si>
  <si>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</si>
  <si>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</si>
  <si>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</si>
  <si>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</si>
  <si>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</si>
  <si>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</si>
  <si>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</si>
  <si>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</si>
  <si>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</si>
  <si>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</si>
  <si>
    <t>group_no_count</t>
  </si>
  <si>
    <t>group multi-cases</t>
  </si>
  <si>
    <t>plt_loc_code count</t>
  </si>
  <si>
    <t>loc multi-cases</t>
  </si>
  <si>
    <t>geometry</t>
  </si>
  <si>
    <t>adding donor site to key would differentiate</t>
  </si>
  <si>
    <t>different dates in 2021</t>
  </si>
  <si>
    <t>different methods</t>
  </si>
  <si>
    <t>but slightly different coords</t>
  </si>
  <si>
    <t>BESE</t>
  </si>
  <si>
    <t>replicates</t>
  </si>
  <si>
    <t>repeat / colocated</t>
  </si>
  <si>
    <t>distinct if donor site added to planting key</t>
  </si>
  <si>
    <t>mixed donor sites</t>
  </si>
  <si>
    <t>initial / replicate</t>
  </si>
  <si>
    <t>initial  (different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</si>
</sst>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0" fontId="0" fillId="33" borderId="10" xfId="0" applyFill="1" applyBorder="1"/>
    <xf numFmtId="0" fontId="16" fillId="34" borderId="11" xfId="0" applyFont="1" applyFill="1" applyBorder="1" applyAlignment="1">
      <alignment horizontal="center"/>
    </xf>
    <xf numFmtId="0" fontId="0" fillId="0" borderId="0" xfId="0" applyAlignment="1">
      <alignment horizontal="center"/>
    </xf>
    <xf numFmtId="0" fontId="0" fillId="35" borderId="0" xfId="0" applyFill="1"/>
    <xf numFmtId="0" fontId="0" fillId="35" borderId="10" xfId="0" applyFill="1" applyBorder="1"/>
    <xf numFmtId="0" fontId="0" fillId="34" borderId="0" xfId="0" applyFill="1"/>
    <xf numFmtId="0" fontId="0" fillId="36" borderId="10" xfId="0" applyFill="1" applyBorder="1"/>
    <xf numFmtId="0" fontId="18" fillId="36"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47D7-DEE8-4404-A7DE-2DB34B3568B7}">
  <dimension ref="A1:AL289"/>
  <sheetViews>
    <sheetView tabSelected="1" topLeftCell="C1" workbookViewId="0">
      <pane xSplit="1" ySplit="1" topLeftCell="AD215" activePane="bottomRight" state="frozen"/>
      <selection activeCell="C1" sqref="C1"/>
      <selection pane="topRight" activeCell="D1" sqref="D1"/>
      <selection pane="bottomLeft" activeCell="C2" sqref="C2"/>
      <selection pane="bottomRight" activeCell="C1" sqref="A1:XFD1048576"/>
    </sheetView>
  </sheetViews>
  <sheetFormatPr defaultRowHeight="16.5" customHeight="1" x14ac:dyDescent="0.25"/>
  <cols>
    <col min="1" max="1" width="4" bestFit="1" customWidth="1"/>
    <col min="2" max="2" width="23.85546875" bestFit="1" customWidth="1"/>
    <col min="3" max="3" width="59.28515625" customWidth="1"/>
    <col min="4" max="4" width="22" bestFit="1" customWidth="1"/>
    <col min="5" max="5" width="21.140625" bestFit="1" customWidth="1"/>
    <col min="6" max="6" width="5" customWidth="1"/>
    <col min="7" max="7" width="225.140625" customWidth="1"/>
    <col min="8" max="8" width="17.42578125" bestFit="1" customWidth="1"/>
    <col min="9" max="9" width="20.7109375" customWidth="1"/>
    <col min="10" max="10" width="12.140625" customWidth="1"/>
    <col min="11" max="11" width="11.5703125" bestFit="1" customWidth="1"/>
    <col min="12" max="12" width="12" bestFit="1" customWidth="1"/>
    <col min="13" max="13" width="13.140625" bestFit="1" customWidth="1"/>
    <col min="14" max="14" width="12" bestFit="1" customWidth="1"/>
    <col min="15" max="15" width="12.7109375" bestFit="1" customWidth="1"/>
    <col min="16" max="16" width="11.140625" bestFit="1" customWidth="1"/>
    <col min="17" max="17" width="7" customWidth="1"/>
    <col min="18" max="18" width="17.7109375" customWidth="1"/>
    <col min="19" max="19" width="16" bestFit="1" customWidth="1"/>
    <col min="20" max="20" width="16.85546875" customWidth="1"/>
    <col min="21" max="21" width="22.7109375" customWidth="1"/>
    <col min="22" max="22" width="12.85546875" customWidth="1"/>
    <col min="23" max="23" width="16.28515625" customWidth="1"/>
    <col min="24" max="24" width="24.5703125" customWidth="1"/>
    <col min="25" max="25" width="21.7109375" customWidth="1"/>
    <col min="26" max="26" width="14.85546875" customWidth="1"/>
    <col min="27" max="27" width="21.42578125" customWidth="1"/>
    <col min="28" max="28" width="29.85546875" customWidth="1"/>
    <col min="29" max="29" width="29.85546875" bestFit="1" customWidth="1"/>
    <col min="30" max="30" width="255.7109375" customWidth="1"/>
    <col min="31" max="31" width="36" customWidth="1"/>
    <col min="32" max="32" width="9.28515625" bestFit="1" customWidth="1"/>
    <col min="33" max="33" width="16.7109375" customWidth="1"/>
    <col min="34" max="35" width="17.85546875" customWidth="1"/>
    <col min="36" max="36" width="19.28515625" customWidth="1"/>
    <col min="37" max="37" width="23.5703125" customWidth="1"/>
    <col min="38" max="38" width="49.140625" customWidth="1"/>
  </cols>
  <sheetData>
    <row r="1" spans="1:37" ht="16.5" customHeight="1" x14ac:dyDescent="0.2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9" t="s">
        <v>30</v>
      </c>
      <c r="AG1" s="10" t="s">
        <v>694</v>
      </c>
      <c r="AH1" s="10" t="s">
        <v>695</v>
      </c>
      <c r="AI1" s="4" t="s">
        <v>696</v>
      </c>
      <c r="AJ1" s="4" t="s">
        <v>697</v>
      </c>
    </row>
    <row r="2" spans="1:37" ht="16.5" customHeight="1"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c r="AG2">
        <f>COUNTIF(AF:AF,AF2)</f>
        <v>1</v>
      </c>
      <c r="AH2" s="5" t="str">
        <f>IF(AG2&gt;1,AF2,"")</f>
        <v/>
      </c>
      <c r="AI2">
        <f>COUNTIF(D:D,D2)</f>
        <v>1</v>
      </c>
      <c r="AJ2" t="str">
        <f>IF(AI2&gt;1,D2,"")</f>
        <v/>
      </c>
    </row>
    <row r="3" spans="1:37" ht="16.5" customHeight="1"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c r="AG3">
        <f t="shared" ref="AG3:AG66" si="0">COUNTIF(AF:AF,AF3)</f>
        <v>1</v>
      </c>
      <c r="AH3" s="5" t="str">
        <f t="shared" ref="AH3:AH66" si="1">IF(AG3&gt;1,AF3,"")</f>
        <v/>
      </c>
      <c r="AI3">
        <f t="shared" ref="AI3:AI66" si="2">COUNTIF(D:D,D3)</f>
        <v>1</v>
      </c>
      <c r="AJ3" t="str">
        <f t="shared" ref="AJ3:AJ66" si="3">IF(AI3&gt;1,D3,"")</f>
        <v/>
      </c>
    </row>
    <row r="4" spans="1:37" ht="16.5" customHeight="1"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c r="AG4">
        <f t="shared" si="0"/>
        <v>1</v>
      </c>
      <c r="AH4" s="5" t="str">
        <f t="shared" si="1"/>
        <v/>
      </c>
      <c r="AI4">
        <f t="shared" si="2"/>
        <v>1</v>
      </c>
      <c r="AJ4" t="str">
        <f t="shared" si="3"/>
        <v/>
      </c>
    </row>
    <row r="5" spans="1:37" ht="16.5" customHeight="1"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c r="AG5">
        <f t="shared" si="0"/>
        <v>1</v>
      </c>
      <c r="AH5" s="5" t="str">
        <f t="shared" si="1"/>
        <v/>
      </c>
      <c r="AI5">
        <f t="shared" si="2"/>
        <v>1</v>
      </c>
      <c r="AJ5" t="str">
        <f t="shared" si="3"/>
        <v/>
      </c>
    </row>
    <row r="6" spans="1:37" ht="16.5" customHeight="1"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c r="AG6">
        <f t="shared" si="0"/>
        <v>1</v>
      </c>
      <c r="AH6" s="5" t="str">
        <f t="shared" si="1"/>
        <v/>
      </c>
      <c r="AI6">
        <f t="shared" si="2"/>
        <v>1</v>
      </c>
      <c r="AJ6" t="str">
        <f t="shared" si="3"/>
        <v/>
      </c>
    </row>
    <row r="7" spans="1:37" ht="16.5" customHeight="1"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c r="AG7">
        <f t="shared" si="0"/>
        <v>2</v>
      </c>
      <c r="AH7" s="5">
        <f t="shared" si="1"/>
        <v>6</v>
      </c>
      <c r="AI7">
        <f t="shared" si="2"/>
        <v>2</v>
      </c>
      <c r="AJ7" t="str">
        <f t="shared" si="3"/>
        <v>AND_west_L1</v>
      </c>
      <c r="AK7" t="s">
        <v>698</v>
      </c>
    </row>
    <row r="8" spans="1:37" ht="16.5" customHeight="1"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c r="AG8">
        <f t="shared" si="0"/>
        <v>2</v>
      </c>
      <c r="AH8" s="5">
        <f t="shared" si="1"/>
        <v>6</v>
      </c>
      <c r="AI8">
        <f t="shared" si="2"/>
        <v>2</v>
      </c>
      <c r="AJ8" t="str">
        <f t="shared" si="3"/>
        <v>AND_west_L1</v>
      </c>
      <c r="AK8" t="s">
        <v>698</v>
      </c>
    </row>
    <row r="9" spans="1:37" ht="16.5" customHeight="1"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c r="AG9">
        <f t="shared" si="0"/>
        <v>2</v>
      </c>
      <c r="AH9" s="5">
        <f t="shared" si="1"/>
        <v>7</v>
      </c>
      <c r="AI9">
        <f t="shared" si="2"/>
        <v>2</v>
      </c>
      <c r="AJ9" t="str">
        <f t="shared" si="3"/>
        <v>AND_south_L1</v>
      </c>
      <c r="AK9" t="s">
        <v>698</v>
      </c>
    </row>
    <row r="10" spans="1:37" ht="16.5" customHeight="1"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c r="AG10">
        <f t="shared" si="0"/>
        <v>2</v>
      </c>
      <c r="AH10" s="5">
        <f t="shared" si="1"/>
        <v>7</v>
      </c>
      <c r="AI10">
        <f t="shared" si="2"/>
        <v>2</v>
      </c>
      <c r="AJ10" t="str">
        <f t="shared" si="3"/>
        <v>AND_south_L1</v>
      </c>
      <c r="AK10" t="s">
        <v>698</v>
      </c>
    </row>
    <row r="11" spans="1:37" ht="16.5" customHeight="1"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c r="AG11">
        <f t="shared" si="0"/>
        <v>2</v>
      </c>
      <c r="AH11" s="5">
        <f t="shared" si="1"/>
        <v>8</v>
      </c>
      <c r="AI11">
        <f t="shared" si="2"/>
        <v>2</v>
      </c>
      <c r="AJ11" t="str">
        <f t="shared" si="3"/>
        <v>AND_south_L2</v>
      </c>
      <c r="AK11" t="s">
        <v>698</v>
      </c>
    </row>
    <row r="12" spans="1:37" ht="16.5" customHeight="1"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c r="AG12">
        <f t="shared" si="0"/>
        <v>2</v>
      </c>
      <c r="AH12" s="5">
        <f t="shared" si="1"/>
        <v>8</v>
      </c>
      <c r="AI12">
        <f t="shared" si="2"/>
        <v>2</v>
      </c>
      <c r="AJ12" t="str">
        <f t="shared" si="3"/>
        <v>AND_south_L2</v>
      </c>
      <c r="AK12" t="s">
        <v>698</v>
      </c>
    </row>
    <row r="13" spans="1:37" ht="16.5" customHeight="1"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c r="AG13">
        <f t="shared" si="0"/>
        <v>2</v>
      </c>
      <c r="AH13" s="5">
        <f t="shared" si="1"/>
        <v>9</v>
      </c>
      <c r="AI13">
        <f t="shared" si="2"/>
        <v>2</v>
      </c>
      <c r="AJ13" t="str">
        <f t="shared" si="3"/>
        <v>AND_south_L3</v>
      </c>
      <c r="AK13" t="s">
        <v>698</v>
      </c>
    </row>
    <row r="14" spans="1:37" ht="16.5" customHeight="1"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c r="AG14">
        <f t="shared" si="0"/>
        <v>2</v>
      </c>
      <c r="AH14" s="5">
        <f t="shared" si="1"/>
        <v>9</v>
      </c>
      <c r="AI14">
        <f t="shared" si="2"/>
        <v>2</v>
      </c>
      <c r="AJ14" t="str">
        <f t="shared" si="3"/>
        <v>AND_south_L3</v>
      </c>
      <c r="AK14" t="s">
        <v>698</v>
      </c>
    </row>
    <row r="15" spans="1:37" ht="16.5" customHeight="1"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c r="AG15">
        <f t="shared" si="0"/>
        <v>2</v>
      </c>
      <c r="AH15" s="5">
        <f t="shared" si="1"/>
        <v>10</v>
      </c>
      <c r="AI15">
        <f t="shared" si="2"/>
        <v>2</v>
      </c>
      <c r="AJ15" t="str">
        <f t="shared" si="3"/>
        <v>AND_south_L4</v>
      </c>
      <c r="AK15" t="s">
        <v>698</v>
      </c>
    </row>
    <row r="16" spans="1:37" ht="16.5" customHeight="1"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c r="AG16">
        <f t="shared" si="0"/>
        <v>2</v>
      </c>
      <c r="AH16" s="5">
        <f t="shared" si="1"/>
        <v>10</v>
      </c>
      <c r="AI16">
        <f t="shared" si="2"/>
        <v>2</v>
      </c>
      <c r="AJ16" t="str">
        <f t="shared" si="3"/>
        <v>AND_south_L4</v>
      </c>
      <c r="AK16" t="s">
        <v>698</v>
      </c>
    </row>
    <row r="17" spans="1:38" ht="16.5" customHeight="1"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c r="AG17">
        <f t="shared" si="0"/>
        <v>1</v>
      </c>
      <c r="AH17" s="5" t="str">
        <f t="shared" si="1"/>
        <v/>
      </c>
      <c r="AI17">
        <f t="shared" si="2"/>
        <v>1</v>
      </c>
      <c r="AJ17" t="str">
        <f t="shared" si="3"/>
        <v/>
      </c>
    </row>
    <row r="18" spans="1:38" ht="16.5" customHeight="1"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c r="AG18">
        <f t="shared" si="0"/>
        <v>1</v>
      </c>
      <c r="AH18" s="5" t="str">
        <f t="shared" si="1"/>
        <v/>
      </c>
      <c r="AI18">
        <f t="shared" si="2"/>
        <v>1</v>
      </c>
      <c r="AJ18" t="str">
        <f t="shared" si="3"/>
        <v/>
      </c>
    </row>
    <row r="19" spans="1:38" ht="16.5" customHeight="1"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c r="AG19">
        <f t="shared" si="0"/>
        <v>1</v>
      </c>
      <c r="AH19" s="5" t="str">
        <f t="shared" si="1"/>
        <v/>
      </c>
      <c r="AI19">
        <f t="shared" si="2"/>
        <v>1</v>
      </c>
      <c r="AJ19" t="str">
        <f t="shared" si="3"/>
        <v/>
      </c>
    </row>
    <row r="20" spans="1:38" ht="16.5" customHeight="1" x14ac:dyDescent="0.25">
      <c r="A20">
        <v>19</v>
      </c>
      <c r="B20" t="s">
        <v>31</v>
      </c>
      <c r="C20" t="s">
        <v>97</v>
      </c>
      <c r="D20" t="s">
        <v>98</v>
      </c>
      <c r="E20" t="s">
        <v>34</v>
      </c>
      <c r="F20">
        <v>2021</v>
      </c>
      <c r="G20" t="s">
        <v>44</v>
      </c>
      <c r="H20" t="s">
        <v>36</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c r="AG20">
        <f t="shared" si="0"/>
        <v>1</v>
      </c>
      <c r="AH20" s="5" t="str">
        <f t="shared" si="1"/>
        <v/>
      </c>
      <c r="AI20">
        <f t="shared" si="2"/>
        <v>1</v>
      </c>
      <c r="AJ20" t="str">
        <f t="shared" si="3"/>
        <v/>
      </c>
    </row>
    <row r="21" spans="1:38" ht="16.5" customHeight="1" x14ac:dyDescent="0.25">
      <c r="A21">
        <v>20</v>
      </c>
      <c r="B21" t="s">
        <v>31</v>
      </c>
      <c r="C21" t="s">
        <v>101</v>
      </c>
      <c r="D21" t="s">
        <v>102</v>
      </c>
      <c r="E21" t="s">
        <v>34</v>
      </c>
      <c r="F21">
        <v>2021</v>
      </c>
      <c r="G21" t="s">
        <v>44</v>
      </c>
      <c r="H21" t="s">
        <v>36</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c r="AG21">
        <f t="shared" si="0"/>
        <v>1</v>
      </c>
      <c r="AH21" s="5" t="str">
        <f t="shared" si="1"/>
        <v/>
      </c>
      <c r="AI21">
        <f t="shared" si="2"/>
        <v>1</v>
      </c>
      <c r="AJ21" t="str">
        <f t="shared" si="3"/>
        <v/>
      </c>
    </row>
    <row r="22" spans="1:38" ht="16.5" customHeight="1" x14ac:dyDescent="0.25">
      <c r="A22">
        <v>21</v>
      </c>
      <c r="B22" t="s">
        <v>31</v>
      </c>
      <c r="C22" t="s">
        <v>103</v>
      </c>
      <c r="D22" t="s">
        <v>104</v>
      </c>
      <c r="E22" t="s">
        <v>34</v>
      </c>
      <c r="F22">
        <v>2021</v>
      </c>
      <c r="G22" t="s">
        <v>44</v>
      </c>
      <c r="H22" t="s">
        <v>36</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c r="AG22">
        <f t="shared" si="0"/>
        <v>1</v>
      </c>
      <c r="AH22" s="5" t="str">
        <f t="shared" si="1"/>
        <v/>
      </c>
      <c r="AI22">
        <f t="shared" si="2"/>
        <v>1</v>
      </c>
      <c r="AJ22" t="str">
        <f t="shared" si="3"/>
        <v/>
      </c>
    </row>
    <row r="23" spans="1:38" ht="16.5" customHeight="1"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c r="AG23">
        <f t="shared" si="0"/>
        <v>1</v>
      </c>
      <c r="AH23" s="5" t="str">
        <f t="shared" si="1"/>
        <v/>
      </c>
      <c r="AI23">
        <f t="shared" si="2"/>
        <v>1</v>
      </c>
      <c r="AJ23" t="str">
        <f t="shared" si="3"/>
        <v/>
      </c>
    </row>
    <row r="24" spans="1:38" ht="16.5" customHeight="1"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c r="AG24">
        <f t="shared" si="0"/>
        <v>1</v>
      </c>
      <c r="AH24" s="5" t="str">
        <f t="shared" si="1"/>
        <v/>
      </c>
      <c r="AI24">
        <f t="shared" si="2"/>
        <v>5</v>
      </c>
      <c r="AJ24" s="6" t="str">
        <f t="shared" si="3"/>
        <v>BB_test_1</v>
      </c>
      <c r="AK24" t="s">
        <v>414</v>
      </c>
      <c r="AL24" t="s">
        <v>699</v>
      </c>
    </row>
    <row r="25" spans="1:38" ht="16.5" customHeight="1"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c r="AG25">
        <f t="shared" si="0"/>
        <v>1</v>
      </c>
      <c r="AH25" s="5" t="str">
        <f t="shared" si="1"/>
        <v/>
      </c>
      <c r="AI25">
        <f t="shared" si="2"/>
        <v>5</v>
      </c>
      <c r="AJ25" s="6" t="str">
        <f t="shared" si="3"/>
        <v>BB_test_1</v>
      </c>
      <c r="AK25" t="s">
        <v>414</v>
      </c>
    </row>
    <row r="26" spans="1:38" ht="16.5" customHeight="1"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c r="AG26">
        <f t="shared" si="0"/>
        <v>1</v>
      </c>
      <c r="AH26" s="5" t="str">
        <f t="shared" si="1"/>
        <v/>
      </c>
      <c r="AI26">
        <f t="shared" si="2"/>
        <v>5</v>
      </c>
      <c r="AJ26" s="6" t="str">
        <f t="shared" si="3"/>
        <v>BB_test_1</v>
      </c>
      <c r="AK26" t="s">
        <v>414</v>
      </c>
    </row>
    <row r="27" spans="1:38" ht="16.5" customHeight="1"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c r="AG27">
        <f t="shared" si="0"/>
        <v>1</v>
      </c>
      <c r="AH27" s="5" t="str">
        <f t="shared" si="1"/>
        <v/>
      </c>
      <c r="AI27">
        <f t="shared" si="2"/>
        <v>5</v>
      </c>
      <c r="AJ27" s="6" t="str">
        <f t="shared" si="3"/>
        <v>BB_test_1</v>
      </c>
      <c r="AK27" t="s">
        <v>414</v>
      </c>
    </row>
    <row r="28" spans="1:38" ht="16.5" customHeight="1"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s="8" t="s">
        <v>120</v>
      </c>
      <c r="AD28" t="s">
        <v>114</v>
      </c>
      <c r="AE28" t="s">
        <v>115</v>
      </c>
      <c r="AF28">
        <v>22</v>
      </c>
      <c r="AG28">
        <f t="shared" si="0"/>
        <v>1</v>
      </c>
      <c r="AH28" s="5" t="str">
        <f t="shared" si="1"/>
        <v/>
      </c>
      <c r="AI28">
        <f t="shared" si="2"/>
        <v>5</v>
      </c>
      <c r="AJ28" s="6" t="str">
        <f t="shared" si="3"/>
        <v>BB_test_1</v>
      </c>
      <c r="AK28" t="s">
        <v>414</v>
      </c>
    </row>
    <row r="29" spans="1:38" ht="16.5" customHeight="1"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c r="AG29">
        <f t="shared" si="0"/>
        <v>1</v>
      </c>
      <c r="AH29" s="5" t="str">
        <f t="shared" si="1"/>
        <v/>
      </c>
      <c r="AI29">
        <f t="shared" si="2"/>
        <v>1</v>
      </c>
      <c r="AJ29" t="str">
        <f t="shared" si="3"/>
        <v/>
      </c>
    </row>
    <row r="30" spans="1:38" ht="16.5" customHeight="1"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c r="AG30">
        <f t="shared" si="0"/>
        <v>1</v>
      </c>
      <c r="AH30" s="5" t="str">
        <f t="shared" si="1"/>
        <v/>
      </c>
      <c r="AI30">
        <f t="shared" si="2"/>
        <v>1</v>
      </c>
      <c r="AJ30" t="str">
        <f t="shared" si="3"/>
        <v/>
      </c>
    </row>
    <row r="31" spans="1:38" ht="16.5" customHeight="1"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c r="AG31">
        <f t="shared" si="0"/>
        <v>1</v>
      </c>
      <c r="AH31" s="5" t="str">
        <f t="shared" si="1"/>
        <v/>
      </c>
      <c r="AI31">
        <f t="shared" si="2"/>
        <v>1</v>
      </c>
      <c r="AJ31" t="str">
        <f t="shared" si="3"/>
        <v/>
      </c>
    </row>
    <row r="32" spans="1:38" ht="16.5" customHeight="1"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c r="AG32">
        <f t="shared" si="0"/>
        <v>2</v>
      </c>
      <c r="AH32" s="5">
        <f t="shared" si="1"/>
        <v>26</v>
      </c>
      <c r="AI32">
        <f t="shared" si="2"/>
        <v>2</v>
      </c>
      <c r="AJ32" t="str">
        <f t="shared" si="3"/>
        <v>COM_L1</v>
      </c>
      <c r="AK32" t="s">
        <v>698</v>
      </c>
    </row>
    <row r="33" spans="1:37" ht="16.5" customHeight="1"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c r="AG33">
        <f t="shared" si="0"/>
        <v>2</v>
      </c>
      <c r="AH33" s="5">
        <f t="shared" si="1"/>
        <v>26</v>
      </c>
      <c r="AI33">
        <f t="shared" si="2"/>
        <v>2</v>
      </c>
      <c r="AJ33" t="str">
        <f t="shared" si="3"/>
        <v>COM_L1</v>
      </c>
      <c r="AK33" t="s">
        <v>698</v>
      </c>
    </row>
    <row r="34" spans="1:37" ht="16.5" customHeight="1"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c r="AG34">
        <f t="shared" si="0"/>
        <v>2</v>
      </c>
      <c r="AH34" s="5">
        <f t="shared" si="1"/>
        <v>27</v>
      </c>
      <c r="AI34">
        <f t="shared" si="2"/>
        <v>2</v>
      </c>
      <c r="AJ34" t="str">
        <f t="shared" si="3"/>
        <v>COM_L2</v>
      </c>
      <c r="AK34" t="s">
        <v>698</v>
      </c>
    </row>
    <row r="35" spans="1:37" ht="16.5" customHeight="1"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c r="AG35">
        <f t="shared" si="0"/>
        <v>2</v>
      </c>
      <c r="AH35" s="5">
        <f t="shared" si="1"/>
        <v>27</v>
      </c>
      <c r="AI35">
        <f t="shared" si="2"/>
        <v>2</v>
      </c>
      <c r="AJ35" t="str">
        <f t="shared" si="3"/>
        <v>COM_L2</v>
      </c>
      <c r="AK35" t="s">
        <v>698</v>
      </c>
    </row>
    <row r="36" spans="1:37" ht="16.5" customHeight="1"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c r="AG36">
        <f t="shared" si="0"/>
        <v>1</v>
      </c>
      <c r="AH36" s="5" t="str">
        <f t="shared" si="1"/>
        <v/>
      </c>
      <c r="AI36">
        <f t="shared" si="2"/>
        <v>2</v>
      </c>
      <c r="AJ36" s="6" t="str">
        <f t="shared" si="3"/>
        <v>DEL_1</v>
      </c>
      <c r="AK36" t="s">
        <v>141</v>
      </c>
    </row>
    <row r="37" spans="1:37" ht="16.5" customHeight="1"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c r="AG37">
        <f t="shared" si="0"/>
        <v>2</v>
      </c>
      <c r="AH37" s="5">
        <f t="shared" si="1"/>
        <v>29</v>
      </c>
      <c r="AI37">
        <f t="shared" si="2"/>
        <v>2</v>
      </c>
      <c r="AJ37" t="str">
        <f t="shared" si="3"/>
        <v>DEL_L1</v>
      </c>
      <c r="AK37" t="s">
        <v>698</v>
      </c>
    </row>
    <row r="38" spans="1:37" ht="16.5" customHeight="1"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c r="AG38">
        <f t="shared" si="0"/>
        <v>2</v>
      </c>
      <c r="AH38" s="5">
        <f t="shared" si="1"/>
        <v>29</v>
      </c>
      <c r="AI38">
        <f t="shared" si="2"/>
        <v>2</v>
      </c>
      <c r="AJ38" t="str">
        <f t="shared" si="3"/>
        <v>DEL_L1</v>
      </c>
      <c r="AK38" t="s">
        <v>698</v>
      </c>
    </row>
    <row r="39" spans="1:37" ht="16.5" customHeight="1"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c r="AG39">
        <f t="shared" si="0"/>
        <v>4</v>
      </c>
      <c r="AH39" s="5">
        <f t="shared" si="1"/>
        <v>30</v>
      </c>
      <c r="AI39">
        <f t="shared" si="2"/>
        <v>4</v>
      </c>
      <c r="AJ39" t="str">
        <f t="shared" si="3"/>
        <v>DEL_P1</v>
      </c>
      <c r="AK39" t="s">
        <v>698</v>
      </c>
    </row>
    <row r="40" spans="1:37" ht="16.5" customHeight="1"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c r="AG40">
        <f t="shared" si="0"/>
        <v>4</v>
      </c>
      <c r="AH40" s="5">
        <f t="shared" si="1"/>
        <v>30</v>
      </c>
      <c r="AI40">
        <f t="shared" si="2"/>
        <v>4</v>
      </c>
      <c r="AJ40" t="str">
        <f t="shared" si="3"/>
        <v>DEL_P1</v>
      </c>
      <c r="AK40" t="s">
        <v>698</v>
      </c>
    </row>
    <row r="41" spans="1:37" ht="16.5" customHeight="1"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c r="AG41">
        <f t="shared" si="0"/>
        <v>4</v>
      </c>
      <c r="AH41" s="5">
        <f t="shared" si="1"/>
        <v>30</v>
      </c>
      <c r="AI41">
        <f t="shared" si="2"/>
        <v>4</v>
      </c>
      <c r="AJ41" t="str">
        <f t="shared" si="3"/>
        <v>DEL_P1</v>
      </c>
      <c r="AK41" t="s">
        <v>698</v>
      </c>
    </row>
    <row r="42" spans="1:37" ht="16.5" customHeight="1"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c r="AG42">
        <f t="shared" si="0"/>
        <v>4</v>
      </c>
      <c r="AH42" s="5">
        <f t="shared" si="1"/>
        <v>30</v>
      </c>
      <c r="AI42">
        <f t="shared" si="2"/>
        <v>4</v>
      </c>
      <c r="AJ42" t="str">
        <f t="shared" si="3"/>
        <v>DEL_P1</v>
      </c>
      <c r="AK42" t="s">
        <v>698</v>
      </c>
    </row>
    <row r="43" spans="1:37" ht="16.5" customHeight="1"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c r="AG43">
        <f t="shared" si="0"/>
        <v>1</v>
      </c>
      <c r="AH43" s="5" t="str">
        <f t="shared" si="1"/>
        <v/>
      </c>
      <c r="AI43">
        <f t="shared" si="2"/>
        <v>2</v>
      </c>
      <c r="AJ43" s="6" t="str">
        <f t="shared" si="3"/>
        <v>DEL_3</v>
      </c>
      <c r="AK43" t="s">
        <v>141</v>
      </c>
    </row>
    <row r="44" spans="1:37" ht="16.5" customHeight="1"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c r="AG44">
        <f t="shared" si="0"/>
        <v>1</v>
      </c>
      <c r="AH44" s="5" t="str">
        <f t="shared" si="1"/>
        <v/>
      </c>
      <c r="AI44">
        <f t="shared" si="2"/>
        <v>1</v>
      </c>
      <c r="AJ44" t="str">
        <f t="shared" si="3"/>
        <v/>
      </c>
    </row>
    <row r="45" spans="1:37" ht="16.5" customHeight="1"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c r="AG45">
        <f t="shared" si="0"/>
        <v>1</v>
      </c>
      <c r="AH45" s="5" t="str">
        <f t="shared" si="1"/>
        <v/>
      </c>
      <c r="AI45">
        <f t="shared" si="2"/>
        <v>2</v>
      </c>
      <c r="AJ45" s="6" t="str">
        <f t="shared" si="3"/>
        <v>DEL_1</v>
      </c>
      <c r="AK45" t="s">
        <v>162</v>
      </c>
    </row>
    <row r="46" spans="1:37" ht="16.5" customHeight="1"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c r="AG46">
        <f t="shared" si="0"/>
        <v>1</v>
      </c>
      <c r="AH46" s="5" t="str">
        <f t="shared" si="1"/>
        <v/>
      </c>
      <c r="AI46">
        <f t="shared" si="2"/>
        <v>2</v>
      </c>
      <c r="AJ46" s="6" t="str">
        <f t="shared" si="3"/>
        <v>DEL_3</v>
      </c>
      <c r="AK46" t="s">
        <v>162</v>
      </c>
    </row>
    <row r="47" spans="1:37" ht="16.5" customHeight="1"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c r="AG47">
        <f t="shared" si="0"/>
        <v>1</v>
      </c>
      <c r="AH47" s="5" t="str">
        <f t="shared" si="1"/>
        <v/>
      </c>
      <c r="AI47">
        <f t="shared" si="2"/>
        <v>1</v>
      </c>
      <c r="AJ47" t="str">
        <f t="shared" si="3"/>
        <v/>
      </c>
    </row>
    <row r="48" spans="1:37" ht="16.5" customHeight="1"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c r="AG48">
        <f t="shared" si="0"/>
        <v>1</v>
      </c>
      <c r="AH48" s="5" t="str">
        <f t="shared" si="1"/>
        <v/>
      </c>
      <c r="AI48">
        <f t="shared" si="2"/>
        <v>1</v>
      </c>
      <c r="AJ48" t="str">
        <f t="shared" si="3"/>
        <v/>
      </c>
    </row>
    <row r="49" spans="1:38" ht="16.5" customHeight="1"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c r="AG49">
        <f t="shared" si="0"/>
        <v>1</v>
      </c>
      <c r="AH49" s="5" t="str">
        <f t="shared" si="1"/>
        <v/>
      </c>
      <c r="AI49">
        <f t="shared" si="2"/>
        <v>1</v>
      </c>
      <c r="AJ49" t="str">
        <f t="shared" si="3"/>
        <v/>
      </c>
    </row>
    <row r="50" spans="1:38" ht="16.5" customHeight="1"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c r="AG50">
        <f t="shared" si="0"/>
        <v>1</v>
      </c>
      <c r="AH50" s="5" t="str">
        <f t="shared" si="1"/>
        <v/>
      </c>
      <c r="AI50">
        <f t="shared" si="2"/>
        <v>1</v>
      </c>
      <c r="AJ50" t="str">
        <f t="shared" si="3"/>
        <v/>
      </c>
    </row>
    <row r="51" spans="1:38" ht="16.5" customHeight="1"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c r="AG51">
        <f t="shared" si="0"/>
        <v>1</v>
      </c>
      <c r="AH51" s="5" t="str">
        <f t="shared" si="1"/>
        <v/>
      </c>
      <c r="AI51">
        <f t="shared" si="2"/>
        <v>1</v>
      </c>
      <c r="AJ51" t="str">
        <f t="shared" si="3"/>
        <v/>
      </c>
    </row>
    <row r="52" spans="1:38" ht="16.5" customHeight="1"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c r="AG52">
        <f t="shared" si="0"/>
        <v>1</v>
      </c>
      <c r="AH52" s="5" t="str">
        <f t="shared" si="1"/>
        <v/>
      </c>
      <c r="AI52">
        <f t="shared" si="2"/>
        <v>1</v>
      </c>
      <c r="AJ52" t="str">
        <f t="shared" si="3"/>
        <v/>
      </c>
    </row>
    <row r="53" spans="1:38" ht="16.5" customHeight="1"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c r="AG53">
        <f t="shared" si="0"/>
        <v>1</v>
      </c>
      <c r="AH53" s="5" t="str">
        <f t="shared" si="1"/>
        <v/>
      </c>
      <c r="AI53">
        <f t="shared" si="2"/>
        <v>4</v>
      </c>
      <c r="AJ53" s="6" t="str">
        <f t="shared" si="3"/>
        <v>DB_test_2</v>
      </c>
      <c r="AK53" t="s">
        <v>141</v>
      </c>
      <c r="AL53" t="s">
        <v>700</v>
      </c>
    </row>
    <row r="54" spans="1:38" ht="16.5" customHeight="1"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c r="AG54">
        <f t="shared" si="0"/>
        <v>1</v>
      </c>
      <c r="AH54" s="5" t="str">
        <f t="shared" si="1"/>
        <v/>
      </c>
      <c r="AI54">
        <f t="shared" si="2"/>
        <v>4</v>
      </c>
      <c r="AJ54" s="6" t="str">
        <f t="shared" si="3"/>
        <v>DB_test_2</v>
      </c>
      <c r="AK54" t="s">
        <v>162</v>
      </c>
    </row>
    <row r="55" spans="1:38" ht="16.5" customHeight="1"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c r="AG55">
        <f t="shared" si="0"/>
        <v>1</v>
      </c>
      <c r="AH55" s="5" t="str">
        <f t="shared" si="1"/>
        <v/>
      </c>
      <c r="AI55">
        <f t="shared" si="2"/>
        <v>4</v>
      </c>
      <c r="AJ55" s="6" t="str">
        <f t="shared" si="3"/>
        <v>DB_test_2</v>
      </c>
      <c r="AK55" t="s">
        <v>162</v>
      </c>
    </row>
    <row r="56" spans="1:38" ht="16.5" customHeight="1"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c r="AG56">
        <f t="shared" si="0"/>
        <v>1</v>
      </c>
      <c r="AH56" s="5" t="str">
        <f t="shared" si="1"/>
        <v/>
      </c>
      <c r="AI56">
        <f t="shared" si="2"/>
        <v>4</v>
      </c>
      <c r="AJ56" s="6" t="str">
        <f t="shared" si="3"/>
        <v>DB_test_2</v>
      </c>
      <c r="AK56" t="s">
        <v>162</v>
      </c>
    </row>
    <row r="57" spans="1:38" ht="16.5" customHeight="1"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c r="AG57">
        <f t="shared" si="0"/>
        <v>1</v>
      </c>
      <c r="AH57" s="5" t="str">
        <f t="shared" si="1"/>
        <v/>
      </c>
      <c r="AI57">
        <f t="shared" si="2"/>
        <v>1</v>
      </c>
      <c r="AJ57" t="str">
        <f t="shared" si="3"/>
        <v/>
      </c>
    </row>
    <row r="58" spans="1:38" ht="16.5" customHeight="1"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c r="AG58">
        <f t="shared" si="0"/>
        <v>1</v>
      </c>
      <c r="AH58" s="5" t="str">
        <f t="shared" si="1"/>
        <v/>
      </c>
      <c r="AI58">
        <f t="shared" si="2"/>
        <v>1</v>
      </c>
      <c r="AJ58" t="str">
        <f t="shared" si="3"/>
        <v/>
      </c>
    </row>
    <row r="59" spans="1:38" ht="16.5" customHeight="1"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c r="AG59">
        <f t="shared" si="0"/>
        <v>1</v>
      </c>
      <c r="AH59" s="5" t="str">
        <f t="shared" si="1"/>
        <v/>
      </c>
      <c r="AI59">
        <f t="shared" si="2"/>
        <v>1</v>
      </c>
      <c r="AJ59" t="str">
        <f t="shared" si="3"/>
        <v/>
      </c>
    </row>
    <row r="60" spans="1:38" ht="16.5" customHeight="1"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c r="AG60">
        <f t="shared" si="0"/>
        <v>1</v>
      </c>
      <c r="AH60" s="5" t="str">
        <f t="shared" si="1"/>
        <v/>
      </c>
      <c r="AI60">
        <f t="shared" si="2"/>
        <v>1</v>
      </c>
      <c r="AJ60" t="str">
        <f t="shared" si="3"/>
        <v/>
      </c>
    </row>
    <row r="61" spans="1:38" ht="16.5" customHeight="1"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c r="AG61">
        <f t="shared" si="0"/>
        <v>1</v>
      </c>
      <c r="AH61" s="5" t="str">
        <f t="shared" si="1"/>
        <v/>
      </c>
      <c r="AI61">
        <f t="shared" si="2"/>
        <v>1</v>
      </c>
      <c r="AJ61" t="str">
        <f t="shared" si="3"/>
        <v/>
      </c>
    </row>
    <row r="62" spans="1:38" ht="16.5" customHeight="1"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c r="AG62">
        <f t="shared" si="0"/>
        <v>1</v>
      </c>
      <c r="AH62" s="5" t="str">
        <f t="shared" si="1"/>
        <v/>
      </c>
      <c r="AI62">
        <f t="shared" si="2"/>
        <v>1</v>
      </c>
      <c r="AJ62" t="str">
        <f t="shared" si="3"/>
        <v/>
      </c>
    </row>
    <row r="63" spans="1:38" ht="16.5" customHeight="1"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c r="AG63">
        <f t="shared" si="0"/>
        <v>1</v>
      </c>
      <c r="AH63" s="5" t="str">
        <f t="shared" si="1"/>
        <v/>
      </c>
      <c r="AI63">
        <f t="shared" si="2"/>
        <v>1</v>
      </c>
      <c r="AJ63" t="str">
        <f t="shared" si="3"/>
        <v/>
      </c>
    </row>
    <row r="64" spans="1:38" ht="16.5" customHeight="1"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c r="AG64">
        <f t="shared" si="0"/>
        <v>1</v>
      </c>
      <c r="AH64" s="5" t="str">
        <f t="shared" si="1"/>
        <v/>
      </c>
      <c r="AI64">
        <f t="shared" si="2"/>
        <v>1</v>
      </c>
      <c r="AJ64" t="str">
        <f t="shared" si="3"/>
        <v/>
      </c>
    </row>
    <row r="65" spans="1:38" ht="16.5" customHeight="1"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c r="AG65">
        <f t="shared" si="0"/>
        <v>2</v>
      </c>
      <c r="AH65" s="5">
        <f t="shared" si="1"/>
        <v>53</v>
      </c>
      <c r="AI65">
        <f t="shared" si="2"/>
        <v>4</v>
      </c>
      <c r="AJ65" t="str">
        <f t="shared" si="3"/>
        <v>FDG_L1</v>
      </c>
      <c r="AK65" t="s">
        <v>698</v>
      </c>
    </row>
    <row r="66" spans="1:38" ht="16.5" customHeight="1"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c r="AG66">
        <f t="shared" si="0"/>
        <v>2</v>
      </c>
      <c r="AH66" s="5">
        <f t="shared" si="1"/>
        <v>53</v>
      </c>
      <c r="AI66">
        <f t="shared" si="2"/>
        <v>4</v>
      </c>
      <c r="AJ66" t="str">
        <f t="shared" si="3"/>
        <v>FDG_L1</v>
      </c>
      <c r="AK66" t="s">
        <v>698</v>
      </c>
    </row>
    <row r="67" spans="1:38" ht="16.5" customHeight="1"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c r="AG67">
        <f t="shared" ref="AG67:AG130" si="4">COUNTIF(AF:AF,AF67)</f>
        <v>2</v>
      </c>
      <c r="AH67" s="5">
        <f t="shared" ref="AH67:AH130" si="5">IF(AG67&gt;1,AF67,"")</f>
        <v>54</v>
      </c>
      <c r="AI67">
        <f t="shared" ref="AI67:AI130" si="6">COUNTIF(D:D,D67)</f>
        <v>4</v>
      </c>
      <c r="AJ67" t="str">
        <f t="shared" ref="AJ67:AJ130" si="7">IF(AI67&gt;1,D67,"")</f>
        <v>FDG_L2</v>
      </c>
      <c r="AK67" t="s">
        <v>698</v>
      </c>
    </row>
    <row r="68" spans="1:38" ht="16.5" customHeight="1"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c r="AG68">
        <f t="shared" si="4"/>
        <v>2</v>
      </c>
      <c r="AH68" s="5">
        <f t="shared" si="5"/>
        <v>54</v>
      </c>
      <c r="AI68">
        <f t="shared" si="6"/>
        <v>4</v>
      </c>
      <c r="AJ68" t="str">
        <f t="shared" si="7"/>
        <v>FDG_L2</v>
      </c>
      <c r="AK68" t="s">
        <v>698</v>
      </c>
    </row>
    <row r="69" spans="1:38" ht="16.5" customHeight="1"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c r="AG69">
        <f t="shared" si="4"/>
        <v>2</v>
      </c>
      <c r="AH69" s="5">
        <f t="shared" si="5"/>
        <v>55</v>
      </c>
      <c r="AI69">
        <f t="shared" si="6"/>
        <v>4</v>
      </c>
      <c r="AJ69" t="str">
        <f t="shared" si="7"/>
        <v>FDG_L1</v>
      </c>
      <c r="AK69" t="s">
        <v>698</v>
      </c>
    </row>
    <row r="70" spans="1:38" ht="16.5" customHeight="1"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c r="AG70">
        <f t="shared" si="4"/>
        <v>2</v>
      </c>
      <c r="AH70" s="5">
        <f t="shared" si="5"/>
        <v>55</v>
      </c>
      <c r="AI70">
        <f t="shared" si="6"/>
        <v>4</v>
      </c>
      <c r="AJ70" t="str">
        <f t="shared" si="7"/>
        <v>FDG_L1</v>
      </c>
      <c r="AK70" t="s">
        <v>698</v>
      </c>
    </row>
    <row r="71" spans="1:38" ht="16.5" customHeight="1"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c r="AG71">
        <f t="shared" si="4"/>
        <v>2</v>
      </c>
      <c r="AH71" s="5">
        <f t="shared" si="5"/>
        <v>56</v>
      </c>
      <c r="AI71">
        <f t="shared" si="6"/>
        <v>4</v>
      </c>
      <c r="AJ71" t="str">
        <f t="shared" si="7"/>
        <v>FDG_L2</v>
      </c>
      <c r="AK71" t="s">
        <v>698</v>
      </c>
    </row>
    <row r="72" spans="1:38" ht="16.5" customHeight="1"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c r="AG72">
        <f t="shared" si="4"/>
        <v>2</v>
      </c>
      <c r="AH72" s="5">
        <f t="shared" si="5"/>
        <v>56</v>
      </c>
      <c r="AI72">
        <f t="shared" si="6"/>
        <v>4</v>
      </c>
      <c r="AJ72" t="str">
        <f t="shared" si="7"/>
        <v>FDG_L2</v>
      </c>
      <c r="AK72" t="s">
        <v>698</v>
      </c>
    </row>
    <row r="73" spans="1:38" ht="16.5" customHeight="1"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c r="AG73">
        <f t="shared" si="4"/>
        <v>1</v>
      </c>
      <c r="AH73" s="5" t="str">
        <f t="shared" si="5"/>
        <v/>
      </c>
      <c r="AI73">
        <f t="shared" si="6"/>
        <v>1</v>
      </c>
      <c r="AJ73" t="str">
        <f t="shared" si="7"/>
        <v/>
      </c>
    </row>
    <row r="74" spans="1:38" ht="16.5" customHeight="1"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c r="AG74">
        <f t="shared" si="4"/>
        <v>1</v>
      </c>
      <c r="AH74" s="5" t="str">
        <f t="shared" si="5"/>
        <v/>
      </c>
      <c r="AI74">
        <f t="shared" si="6"/>
        <v>1</v>
      </c>
      <c r="AJ74" t="str">
        <f t="shared" si="7"/>
        <v/>
      </c>
    </row>
    <row r="75" spans="1:38" ht="16.5" customHeight="1"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c r="AG75">
        <f t="shared" si="4"/>
        <v>1</v>
      </c>
      <c r="AH75" s="5" t="str">
        <f t="shared" si="5"/>
        <v/>
      </c>
      <c r="AI75">
        <f t="shared" si="6"/>
        <v>1</v>
      </c>
      <c r="AJ75" t="str">
        <f t="shared" si="7"/>
        <v/>
      </c>
    </row>
    <row r="76" spans="1:38" ht="16.5" customHeight="1"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c r="AG76">
        <f t="shared" si="4"/>
        <v>1</v>
      </c>
      <c r="AH76" s="5" t="str">
        <f t="shared" si="5"/>
        <v/>
      </c>
      <c r="AI76">
        <f t="shared" si="6"/>
        <v>1</v>
      </c>
      <c r="AJ76" t="str">
        <f t="shared" si="7"/>
        <v/>
      </c>
    </row>
    <row r="77" spans="1:38" ht="16.5" customHeight="1"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c r="AG77">
        <f t="shared" si="4"/>
        <v>1</v>
      </c>
      <c r="AH77" s="5" t="str">
        <f t="shared" si="5"/>
        <v/>
      </c>
      <c r="AI77">
        <f t="shared" si="6"/>
        <v>2</v>
      </c>
      <c r="AJ77" s="6" t="str">
        <f t="shared" si="7"/>
        <v>HAR_4</v>
      </c>
      <c r="AK77" t="s">
        <v>414</v>
      </c>
      <c r="AL77" t="s">
        <v>701</v>
      </c>
    </row>
    <row r="78" spans="1:38" ht="16.5" customHeight="1"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c r="AG78">
        <f t="shared" si="4"/>
        <v>1</v>
      </c>
      <c r="AH78" s="5" t="str">
        <f t="shared" si="5"/>
        <v/>
      </c>
      <c r="AI78">
        <f t="shared" si="6"/>
        <v>2</v>
      </c>
      <c r="AJ78" s="6" t="str">
        <f t="shared" si="7"/>
        <v>HAR_4</v>
      </c>
      <c r="AK78" t="s">
        <v>414</v>
      </c>
    </row>
    <row r="79" spans="1:38" ht="16.5" customHeight="1"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c r="AG79">
        <f t="shared" si="4"/>
        <v>1</v>
      </c>
      <c r="AH79" s="5" t="str">
        <f t="shared" si="5"/>
        <v/>
      </c>
      <c r="AI79">
        <f t="shared" si="6"/>
        <v>1</v>
      </c>
      <c r="AJ79" t="str">
        <f t="shared" si="7"/>
        <v/>
      </c>
    </row>
    <row r="80" spans="1:38" ht="16.5" customHeight="1"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c r="AG80">
        <f t="shared" si="4"/>
        <v>2</v>
      </c>
      <c r="AH80" s="5">
        <f t="shared" si="5"/>
        <v>64</v>
      </c>
      <c r="AI80">
        <f t="shared" si="6"/>
        <v>2</v>
      </c>
      <c r="AJ80" t="str">
        <f t="shared" si="7"/>
        <v>HAR_deep_L1</v>
      </c>
      <c r="AK80" t="s">
        <v>698</v>
      </c>
    </row>
    <row r="81" spans="1:38" ht="16.5" customHeight="1"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c r="AG81">
        <f t="shared" si="4"/>
        <v>2</v>
      </c>
      <c r="AH81" s="5">
        <f t="shared" si="5"/>
        <v>64</v>
      </c>
      <c r="AI81">
        <f t="shared" si="6"/>
        <v>2</v>
      </c>
      <c r="AJ81" t="str">
        <f t="shared" si="7"/>
        <v>HAR_deep_L1</v>
      </c>
      <c r="AK81" t="s">
        <v>698</v>
      </c>
    </row>
    <row r="82" spans="1:38" ht="16.5" customHeight="1"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c r="AG82">
        <f t="shared" si="4"/>
        <v>2</v>
      </c>
      <c r="AH82" s="5">
        <f t="shared" si="5"/>
        <v>65</v>
      </c>
      <c r="AI82">
        <f t="shared" si="6"/>
        <v>2</v>
      </c>
      <c r="AJ82" t="str">
        <f t="shared" si="7"/>
        <v>HAR_shallow_L1</v>
      </c>
      <c r="AK82" t="s">
        <v>698</v>
      </c>
    </row>
    <row r="83" spans="1:38" ht="16.5" customHeight="1"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c r="AG83">
        <f t="shared" si="4"/>
        <v>2</v>
      </c>
      <c r="AH83" s="5">
        <f t="shared" si="5"/>
        <v>65</v>
      </c>
      <c r="AI83">
        <f t="shared" si="6"/>
        <v>2</v>
      </c>
      <c r="AJ83" t="str">
        <f t="shared" si="7"/>
        <v>HAR_shallow_L1</v>
      </c>
      <c r="AK83" t="s">
        <v>698</v>
      </c>
    </row>
    <row r="84" spans="1:38" ht="16.5" customHeight="1"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c r="AG84">
        <f t="shared" si="4"/>
        <v>2</v>
      </c>
      <c r="AH84" s="5">
        <f t="shared" si="5"/>
        <v>66</v>
      </c>
      <c r="AI84">
        <f t="shared" si="6"/>
        <v>2</v>
      </c>
      <c r="AJ84" t="str">
        <f t="shared" si="7"/>
        <v>HAR_shallow_L2</v>
      </c>
      <c r="AK84" t="s">
        <v>698</v>
      </c>
    </row>
    <row r="85" spans="1:38" ht="16.5" customHeight="1"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c r="AG85">
        <f t="shared" si="4"/>
        <v>2</v>
      </c>
      <c r="AH85" s="5">
        <f t="shared" si="5"/>
        <v>66</v>
      </c>
      <c r="AI85">
        <f t="shared" si="6"/>
        <v>2</v>
      </c>
      <c r="AJ85" t="str">
        <f t="shared" si="7"/>
        <v>HAR_shallow_L2</v>
      </c>
      <c r="AK85" t="s">
        <v>698</v>
      </c>
    </row>
    <row r="86" spans="1:38" ht="16.5" customHeight="1"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c r="AG86">
        <f t="shared" si="4"/>
        <v>2</v>
      </c>
      <c r="AH86" s="5">
        <f t="shared" si="5"/>
        <v>67</v>
      </c>
      <c r="AI86">
        <f t="shared" si="6"/>
        <v>2</v>
      </c>
      <c r="AJ86" t="str">
        <f t="shared" si="7"/>
        <v>HAR_shallow_L3</v>
      </c>
      <c r="AK86" t="s">
        <v>698</v>
      </c>
    </row>
    <row r="87" spans="1:38" ht="16.5" customHeight="1"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c r="AG87">
        <f t="shared" si="4"/>
        <v>2</v>
      </c>
      <c r="AH87" s="5">
        <f t="shared" si="5"/>
        <v>67</v>
      </c>
      <c r="AI87">
        <f t="shared" si="6"/>
        <v>2</v>
      </c>
      <c r="AJ87" t="str">
        <f t="shared" si="7"/>
        <v>HAR_shallow_L3</v>
      </c>
      <c r="AK87" t="s">
        <v>698</v>
      </c>
    </row>
    <row r="88" spans="1:38" ht="16.5" customHeight="1"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c r="AG88">
        <f t="shared" si="4"/>
        <v>1</v>
      </c>
      <c r="AH88" s="5" t="str">
        <f t="shared" si="5"/>
        <v/>
      </c>
      <c r="AI88">
        <f t="shared" si="6"/>
        <v>1</v>
      </c>
      <c r="AJ88" t="str">
        <f t="shared" si="7"/>
        <v/>
      </c>
    </row>
    <row r="89" spans="1:38" ht="16.5" customHeight="1"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c r="AG89">
        <f t="shared" si="4"/>
        <v>1</v>
      </c>
      <c r="AH89" s="5" t="str">
        <f t="shared" si="5"/>
        <v/>
      </c>
      <c r="AI89">
        <f t="shared" si="6"/>
        <v>1</v>
      </c>
      <c r="AJ89" t="str">
        <f t="shared" si="7"/>
        <v/>
      </c>
    </row>
    <row r="90" spans="1:38" ht="16.5" customHeight="1"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c r="AG90">
        <f t="shared" si="4"/>
        <v>1</v>
      </c>
      <c r="AH90" s="5" t="str">
        <f t="shared" si="5"/>
        <v/>
      </c>
      <c r="AI90">
        <f t="shared" si="6"/>
        <v>1</v>
      </c>
      <c r="AJ90" t="str">
        <f t="shared" si="7"/>
        <v/>
      </c>
    </row>
    <row r="91" spans="1:38" ht="16.5" customHeight="1"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c r="AG91">
        <f t="shared" si="4"/>
        <v>1</v>
      </c>
      <c r="AH91" s="5" t="str">
        <f t="shared" si="5"/>
        <v/>
      </c>
      <c r="AI91">
        <f t="shared" si="6"/>
        <v>1</v>
      </c>
      <c r="AJ91" t="str">
        <f t="shared" si="7"/>
        <v/>
      </c>
    </row>
    <row r="92" spans="1:38" ht="16.5" customHeight="1"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c r="AG92">
        <f t="shared" si="4"/>
        <v>1</v>
      </c>
      <c r="AH92" s="5" t="str">
        <f t="shared" si="5"/>
        <v/>
      </c>
      <c r="AI92">
        <f t="shared" si="6"/>
        <v>2</v>
      </c>
      <c r="AJ92" s="6" t="str">
        <f t="shared" si="7"/>
        <v>HPT_north_2</v>
      </c>
      <c r="AK92" t="s">
        <v>141</v>
      </c>
    </row>
    <row r="93" spans="1:38" ht="16.5" customHeight="1"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c r="AG93">
        <f t="shared" si="4"/>
        <v>1</v>
      </c>
      <c r="AH93" s="5" t="str">
        <f t="shared" si="5"/>
        <v/>
      </c>
      <c r="AI93">
        <f t="shared" si="6"/>
        <v>1</v>
      </c>
      <c r="AJ93" t="str">
        <f t="shared" si="7"/>
        <v/>
      </c>
    </row>
    <row r="94" spans="1:38" ht="16.5" customHeight="1"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c r="AG94">
        <f t="shared" si="4"/>
        <v>1</v>
      </c>
      <c r="AH94" s="5" t="str">
        <f t="shared" si="5"/>
        <v/>
      </c>
      <c r="AI94">
        <f t="shared" si="6"/>
        <v>2</v>
      </c>
      <c r="AJ94" s="6" t="str">
        <f t="shared" si="7"/>
        <v>HPT_north_2</v>
      </c>
      <c r="AK94" t="s">
        <v>162</v>
      </c>
      <c r="AL94" t="s">
        <v>702</v>
      </c>
    </row>
    <row r="95" spans="1:38" ht="16.5" customHeight="1"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c r="AG95">
        <f t="shared" si="4"/>
        <v>1</v>
      </c>
      <c r="AH95" s="5" t="str">
        <f t="shared" si="5"/>
        <v/>
      </c>
      <c r="AI95">
        <f t="shared" si="6"/>
        <v>1</v>
      </c>
      <c r="AJ95" t="str">
        <f t="shared" si="7"/>
        <v/>
      </c>
    </row>
    <row r="96" spans="1:38" ht="16.5" customHeight="1"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c r="AG96">
        <f t="shared" si="4"/>
        <v>1</v>
      </c>
      <c r="AH96" s="5" t="str">
        <f t="shared" si="5"/>
        <v/>
      </c>
      <c r="AI96">
        <f t="shared" si="6"/>
        <v>1</v>
      </c>
      <c r="AJ96" t="str">
        <f t="shared" si="7"/>
        <v/>
      </c>
    </row>
    <row r="97" spans="1:37" ht="16.5" customHeight="1"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c r="AG97">
        <f t="shared" si="4"/>
        <v>4</v>
      </c>
      <c r="AH97" s="5">
        <f t="shared" si="5"/>
        <v>77</v>
      </c>
      <c r="AI97">
        <f t="shared" si="6"/>
        <v>4</v>
      </c>
      <c r="AJ97" t="str">
        <f t="shared" si="7"/>
        <v>JSP_mid_south_P1</v>
      </c>
      <c r="AK97" t="s">
        <v>698</v>
      </c>
    </row>
    <row r="98" spans="1:37" ht="16.5" customHeight="1"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c r="AG98">
        <f t="shared" si="4"/>
        <v>4</v>
      </c>
      <c r="AH98" s="5">
        <f t="shared" si="5"/>
        <v>77</v>
      </c>
      <c r="AI98">
        <f t="shared" si="6"/>
        <v>4</v>
      </c>
      <c r="AJ98" t="str">
        <f t="shared" si="7"/>
        <v>JSP_mid_south_P1</v>
      </c>
      <c r="AK98" t="s">
        <v>698</v>
      </c>
    </row>
    <row r="99" spans="1:37" ht="16.5" customHeight="1"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c r="AG99">
        <f t="shared" si="4"/>
        <v>4</v>
      </c>
      <c r="AH99" s="5">
        <f t="shared" si="5"/>
        <v>77</v>
      </c>
      <c r="AI99">
        <f t="shared" si="6"/>
        <v>4</v>
      </c>
      <c r="AJ99" t="str">
        <f t="shared" si="7"/>
        <v>JSP_mid_south_P1</v>
      </c>
      <c r="AK99" t="s">
        <v>698</v>
      </c>
    </row>
    <row r="100" spans="1:37" ht="16.5" customHeight="1"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c r="AG100">
        <f t="shared" si="4"/>
        <v>4</v>
      </c>
      <c r="AH100" s="5">
        <f t="shared" si="5"/>
        <v>77</v>
      </c>
      <c r="AI100">
        <f t="shared" si="6"/>
        <v>4</v>
      </c>
      <c r="AJ100" t="str">
        <f t="shared" si="7"/>
        <v>JSP_mid_south_P1</v>
      </c>
      <c r="AK100" t="s">
        <v>698</v>
      </c>
    </row>
    <row r="101" spans="1:37" ht="16.5" customHeight="1"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c r="AG101">
        <f t="shared" si="4"/>
        <v>4</v>
      </c>
      <c r="AH101" s="5">
        <f t="shared" si="5"/>
        <v>78</v>
      </c>
      <c r="AI101">
        <f t="shared" si="6"/>
        <v>4</v>
      </c>
      <c r="AJ101" t="str">
        <f t="shared" si="7"/>
        <v>JSP_mid_north_P1</v>
      </c>
      <c r="AK101" t="s">
        <v>698</v>
      </c>
    </row>
    <row r="102" spans="1:37" ht="16.5" customHeight="1"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c r="AG102">
        <f t="shared" si="4"/>
        <v>4</v>
      </c>
      <c r="AH102" s="5">
        <f t="shared" si="5"/>
        <v>78</v>
      </c>
      <c r="AI102">
        <f t="shared" si="6"/>
        <v>4</v>
      </c>
      <c r="AJ102" t="str">
        <f t="shared" si="7"/>
        <v>JSP_mid_north_P1</v>
      </c>
      <c r="AK102" t="s">
        <v>698</v>
      </c>
    </row>
    <row r="103" spans="1:37" ht="16.5" customHeight="1"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c r="AG103">
        <f t="shared" si="4"/>
        <v>4</v>
      </c>
      <c r="AH103" s="5">
        <f t="shared" si="5"/>
        <v>78</v>
      </c>
      <c r="AI103">
        <f t="shared" si="6"/>
        <v>4</v>
      </c>
      <c r="AJ103" t="str">
        <f t="shared" si="7"/>
        <v>JSP_mid_north_P1</v>
      </c>
      <c r="AK103" t="s">
        <v>698</v>
      </c>
    </row>
    <row r="104" spans="1:37" ht="16.5" customHeight="1"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c r="AG104">
        <f t="shared" si="4"/>
        <v>4</v>
      </c>
      <c r="AH104" s="5">
        <f t="shared" si="5"/>
        <v>78</v>
      </c>
      <c r="AI104">
        <f t="shared" si="6"/>
        <v>4</v>
      </c>
      <c r="AJ104" t="str">
        <f t="shared" si="7"/>
        <v>JSP_mid_north_P1</v>
      </c>
      <c r="AK104" t="s">
        <v>698</v>
      </c>
    </row>
    <row r="105" spans="1:37" ht="16.5" customHeight="1"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c r="AG105">
        <f t="shared" si="4"/>
        <v>1</v>
      </c>
      <c r="AH105" s="5" t="str">
        <f t="shared" si="5"/>
        <v/>
      </c>
      <c r="AI105">
        <f t="shared" si="6"/>
        <v>1</v>
      </c>
      <c r="AJ105" t="str">
        <f t="shared" si="7"/>
        <v/>
      </c>
    </row>
    <row r="106" spans="1:37" ht="16.5" customHeight="1"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c r="AG106">
        <f t="shared" si="4"/>
        <v>2</v>
      </c>
      <c r="AH106" s="5">
        <f t="shared" si="5"/>
        <v>80</v>
      </c>
      <c r="AI106">
        <f t="shared" si="6"/>
        <v>2</v>
      </c>
      <c r="AJ106" t="str">
        <f t="shared" si="7"/>
        <v>JSP_north</v>
      </c>
      <c r="AK106" t="s">
        <v>698</v>
      </c>
    </row>
    <row r="107" spans="1:37" ht="16.5" customHeight="1"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c r="AG107">
        <f t="shared" si="4"/>
        <v>2</v>
      </c>
      <c r="AH107" s="5">
        <f t="shared" si="5"/>
        <v>80</v>
      </c>
      <c r="AI107">
        <f t="shared" si="6"/>
        <v>2</v>
      </c>
      <c r="AJ107" t="str">
        <f t="shared" si="7"/>
        <v>JSP_north</v>
      </c>
      <c r="AK107" t="s">
        <v>698</v>
      </c>
    </row>
    <row r="108" spans="1:37" ht="16.5" customHeight="1"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c r="AG108">
        <f t="shared" si="4"/>
        <v>4</v>
      </c>
      <c r="AH108" s="5">
        <f t="shared" si="5"/>
        <v>81</v>
      </c>
      <c r="AI108">
        <f t="shared" si="6"/>
        <v>4</v>
      </c>
      <c r="AJ108" t="str">
        <f t="shared" si="7"/>
        <v>JSP_south_P1</v>
      </c>
      <c r="AK108" t="s">
        <v>698</v>
      </c>
    </row>
    <row r="109" spans="1:37" ht="16.5" customHeight="1"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c r="AG109">
        <f t="shared" si="4"/>
        <v>4</v>
      </c>
      <c r="AH109" s="5">
        <f t="shared" si="5"/>
        <v>81</v>
      </c>
      <c r="AI109">
        <f t="shared" si="6"/>
        <v>4</v>
      </c>
      <c r="AJ109" t="str">
        <f t="shared" si="7"/>
        <v>JSP_south_P1</v>
      </c>
      <c r="AK109" t="s">
        <v>698</v>
      </c>
    </row>
    <row r="110" spans="1:37" ht="16.5" customHeight="1"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c r="AG110">
        <f t="shared" si="4"/>
        <v>4</v>
      </c>
      <c r="AH110" s="5">
        <f t="shared" si="5"/>
        <v>81</v>
      </c>
      <c r="AI110">
        <f t="shared" si="6"/>
        <v>4</v>
      </c>
      <c r="AJ110" t="str">
        <f t="shared" si="7"/>
        <v>JSP_south_P1</v>
      </c>
      <c r="AK110" t="s">
        <v>698</v>
      </c>
    </row>
    <row r="111" spans="1:37" ht="16.5" customHeight="1"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c r="AG111">
        <f t="shared" si="4"/>
        <v>4</v>
      </c>
      <c r="AH111" s="5">
        <f t="shared" si="5"/>
        <v>81</v>
      </c>
      <c r="AI111">
        <f t="shared" si="6"/>
        <v>4</v>
      </c>
      <c r="AJ111" t="str">
        <f t="shared" si="7"/>
        <v>JSP_south_P1</v>
      </c>
      <c r="AK111" t="s">
        <v>698</v>
      </c>
    </row>
    <row r="112" spans="1:37" ht="16.5" customHeight="1"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c r="AG112">
        <f t="shared" si="4"/>
        <v>1</v>
      </c>
      <c r="AH112" s="5" t="str">
        <f t="shared" si="5"/>
        <v/>
      </c>
      <c r="AI112">
        <f t="shared" si="6"/>
        <v>1</v>
      </c>
      <c r="AJ112" t="str">
        <f t="shared" si="7"/>
        <v/>
      </c>
    </row>
    <row r="113" spans="1:37" ht="16.5" customHeight="1"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c r="AG113">
        <f t="shared" si="4"/>
        <v>2</v>
      </c>
      <c r="AH113" s="5">
        <f t="shared" si="5"/>
        <v>83</v>
      </c>
      <c r="AI113">
        <f t="shared" si="6"/>
        <v>2</v>
      </c>
      <c r="AJ113" t="str">
        <f t="shared" si="7"/>
        <v>JSP_north_L1</v>
      </c>
      <c r="AK113" t="s">
        <v>698</v>
      </c>
    </row>
    <row r="114" spans="1:37" ht="16.5" customHeight="1"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c r="AG114">
        <f t="shared" si="4"/>
        <v>2</v>
      </c>
      <c r="AH114" s="5">
        <f t="shared" si="5"/>
        <v>83</v>
      </c>
      <c r="AI114">
        <f t="shared" si="6"/>
        <v>2</v>
      </c>
      <c r="AJ114" t="str">
        <f t="shared" si="7"/>
        <v>JSP_north_L1</v>
      </c>
      <c r="AK114" t="s">
        <v>698</v>
      </c>
    </row>
    <row r="115" spans="1:37" ht="16.5" customHeight="1"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c r="AG115">
        <f t="shared" si="4"/>
        <v>2</v>
      </c>
      <c r="AH115" s="5">
        <f t="shared" si="5"/>
        <v>84</v>
      </c>
      <c r="AI115">
        <f t="shared" si="6"/>
        <v>2</v>
      </c>
      <c r="AJ115" t="str">
        <f t="shared" si="7"/>
        <v>JSP_north_L2</v>
      </c>
      <c r="AK115" t="s">
        <v>698</v>
      </c>
    </row>
    <row r="116" spans="1:37" ht="16.5" customHeight="1"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c r="AG116">
        <f t="shared" si="4"/>
        <v>2</v>
      </c>
      <c r="AH116" s="5">
        <f t="shared" si="5"/>
        <v>84</v>
      </c>
      <c r="AI116">
        <f t="shared" si="6"/>
        <v>2</v>
      </c>
      <c r="AJ116" t="str">
        <f t="shared" si="7"/>
        <v>JSP_north_L2</v>
      </c>
      <c r="AK116" t="s">
        <v>698</v>
      </c>
    </row>
    <row r="117" spans="1:37" ht="16.5" customHeight="1"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c r="AG117">
        <f t="shared" si="4"/>
        <v>4</v>
      </c>
      <c r="AH117" s="5">
        <f t="shared" si="5"/>
        <v>85</v>
      </c>
      <c r="AI117">
        <f t="shared" si="6"/>
        <v>4</v>
      </c>
      <c r="AJ117" t="str">
        <f t="shared" si="7"/>
        <v>JSP_south_P2</v>
      </c>
      <c r="AK117" t="s">
        <v>698</v>
      </c>
    </row>
    <row r="118" spans="1:37" ht="16.5" customHeight="1"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c r="AG118">
        <f t="shared" si="4"/>
        <v>4</v>
      </c>
      <c r="AH118" s="5">
        <f t="shared" si="5"/>
        <v>85</v>
      </c>
      <c r="AI118">
        <f t="shared" si="6"/>
        <v>4</v>
      </c>
      <c r="AJ118" t="str">
        <f t="shared" si="7"/>
        <v>JSP_south_P2</v>
      </c>
      <c r="AK118" t="s">
        <v>698</v>
      </c>
    </row>
    <row r="119" spans="1:37" ht="16.5" customHeight="1"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c r="AG119">
        <f t="shared" si="4"/>
        <v>4</v>
      </c>
      <c r="AH119" s="5">
        <f t="shared" si="5"/>
        <v>85</v>
      </c>
      <c r="AI119">
        <f t="shared" si="6"/>
        <v>4</v>
      </c>
      <c r="AJ119" t="str">
        <f t="shared" si="7"/>
        <v>JSP_south_P2</v>
      </c>
      <c r="AK119" t="s">
        <v>698</v>
      </c>
    </row>
    <row r="120" spans="1:37" ht="16.5" customHeight="1"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c r="AG120">
        <f t="shared" si="4"/>
        <v>4</v>
      </c>
      <c r="AH120" s="5">
        <f t="shared" si="5"/>
        <v>85</v>
      </c>
      <c r="AI120">
        <f t="shared" si="6"/>
        <v>4</v>
      </c>
      <c r="AJ120" t="str">
        <f t="shared" si="7"/>
        <v>JSP_south_P2</v>
      </c>
      <c r="AK120" t="s">
        <v>698</v>
      </c>
    </row>
    <row r="121" spans="1:37" ht="16.5" customHeight="1"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c r="AG121">
        <f t="shared" si="4"/>
        <v>4</v>
      </c>
      <c r="AH121" s="5">
        <f t="shared" si="5"/>
        <v>86</v>
      </c>
      <c r="AI121">
        <f t="shared" si="6"/>
        <v>4</v>
      </c>
      <c r="AJ121" t="str">
        <f t="shared" si="7"/>
        <v>JSP_south_P3</v>
      </c>
      <c r="AK121" t="s">
        <v>698</v>
      </c>
    </row>
    <row r="122" spans="1:37" ht="16.5" customHeight="1"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c r="AG122">
        <f t="shared" si="4"/>
        <v>4</v>
      </c>
      <c r="AH122" s="5">
        <f t="shared" si="5"/>
        <v>86</v>
      </c>
      <c r="AI122">
        <f t="shared" si="6"/>
        <v>4</v>
      </c>
      <c r="AJ122" t="str">
        <f t="shared" si="7"/>
        <v>JSP_south_P3</v>
      </c>
      <c r="AK122" t="s">
        <v>698</v>
      </c>
    </row>
    <row r="123" spans="1:37" ht="16.5" customHeight="1"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c r="AG123">
        <f t="shared" si="4"/>
        <v>4</v>
      </c>
      <c r="AH123" s="5">
        <f t="shared" si="5"/>
        <v>86</v>
      </c>
      <c r="AI123">
        <f t="shared" si="6"/>
        <v>4</v>
      </c>
      <c r="AJ123" t="str">
        <f t="shared" si="7"/>
        <v>JSP_south_P3</v>
      </c>
      <c r="AK123" t="s">
        <v>698</v>
      </c>
    </row>
    <row r="124" spans="1:37" ht="16.5" customHeight="1"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c r="AG124">
        <f t="shared" si="4"/>
        <v>4</v>
      </c>
      <c r="AH124" s="5">
        <f t="shared" si="5"/>
        <v>86</v>
      </c>
      <c r="AI124">
        <f t="shared" si="6"/>
        <v>4</v>
      </c>
      <c r="AJ124" t="str">
        <f t="shared" si="7"/>
        <v>JSP_south_P3</v>
      </c>
      <c r="AK124" t="s">
        <v>698</v>
      </c>
    </row>
    <row r="125" spans="1:37" ht="16.5" customHeight="1"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c r="AG125">
        <f t="shared" si="4"/>
        <v>4</v>
      </c>
      <c r="AH125" s="5">
        <f t="shared" si="5"/>
        <v>87</v>
      </c>
      <c r="AI125">
        <f t="shared" si="6"/>
        <v>4</v>
      </c>
      <c r="AJ125" t="str">
        <f t="shared" si="7"/>
        <v>JSP_south_P4</v>
      </c>
      <c r="AK125" t="s">
        <v>698</v>
      </c>
    </row>
    <row r="126" spans="1:37" ht="16.5" customHeight="1"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c r="AG126">
        <f t="shared" si="4"/>
        <v>4</v>
      </c>
      <c r="AH126" s="5">
        <f t="shared" si="5"/>
        <v>87</v>
      </c>
      <c r="AI126">
        <f t="shared" si="6"/>
        <v>4</v>
      </c>
      <c r="AJ126" t="str">
        <f t="shared" si="7"/>
        <v>JSP_south_P4</v>
      </c>
      <c r="AK126" t="s">
        <v>698</v>
      </c>
    </row>
    <row r="127" spans="1:37" ht="16.5" customHeight="1"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c r="AG127">
        <f t="shared" si="4"/>
        <v>4</v>
      </c>
      <c r="AH127" s="5">
        <f t="shared" si="5"/>
        <v>87</v>
      </c>
      <c r="AI127">
        <f t="shared" si="6"/>
        <v>4</v>
      </c>
      <c r="AJ127" t="str">
        <f t="shared" si="7"/>
        <v>JSP_south_P4</v>
      </c>
      <c r="AK127" t="s">
        <v>698</v>
      </c>
    </row>
    <row r="128" spans="1:37" ht="16.5" customHeight="1"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c r="AG128">
        <f t="shared" si="4"/>
        <v>4</v>
      </c>
      <c r="AH128" s="5">
        <f t="shared" si="5"/>
        <v>87</v>
      </c>
      <c r="AI128">
        <f t="shared" si="6"/>
        <v>4</v>
      </c>
      <c r="AJ128" t="str">
        <f t="shared" si="7"/>
        <v>JSP_south_P4</v>
      </c>
      <c r="AK128" t="s">
        <v>698</v>
      </c>
    </row>
    <row r="129" spans="1:37" ht="16.5" customHeight="1"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c r="AG129">
        <f t="shared" si="4"/>
        <v>12</v>
      </c>
      <c r="AH129" s="5">
        <f t="shared" si="5"/>
        <v>88</v>
      </c>
      <c r="AI129">
        <f t="shared" si="6"/>
        <v>1</v>
      </c>
      <c r="AJ129" t="str">
        <f t="shared" si="7"/>
        <v/>
      </c>
      <c r="AK129" s="7" t="s">
        <v>703</v>
      </c>
    </row>
    <row r="130" spans="1:37" ht="16.5" customHeight="1"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c r="AG130">
        <f t="shared" si="4"/>
        <v>12</v>
      </c>
      <c r="AH130" s="5">
        <f t="shared" si="5"/>
        <v>88</v>
      </c>
      <c r="AI130">
        <f t="shared" si="6"/>
        <v>1</v>
      </c>
      <c r="AJ130" t="str">
        <f t="shared" si="7"/>
        <v/>
      </c>
      <c r="AK130" s="7"/>
    </row>
    <row r="131" spans="1:37" ht="16.5" customHeight="1"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c r="AG131">
        <f t="shared" ref="AG131:AG194" si="8">COUNTIF(AF:AF,AF131)</f>
        <v>12</v>
      </c>
      <c r="AH131" s="5">
        <f t="shared" ref="AH131:AH194" si="9">IF(AG131&gt;1,AF131,"")</f>
        <v>88</v>
      </c>
      <c r="AI131">
        <f t="shared" ref="AI131:AI194" si="10">COUNTIF(D:D,D131)</f>
        <v>1</v>
      </c>
      <c r="AJ131" t="str">
        <f t="shared" ref="AJ131:AJ194" si="11">IF(AI131&gt;1,D131,"")</f>
        <v/>
      </c>
      <c r="AK131" s="7"/>
    </row>
    <row r="132" spans="1:37" ht="16.5" customHeight="1"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c r="AG132">
        <f t="shared" si="8"/>
        <v>12</v>
      </c>
      <c r="AH132" s="5">
        <f t="shared" si="9"/>
        <v>88</v>
      </c>
      <c r="AI132">
        <f t="shared" si="10"/>
        <v>1</v>
      </c>
      <c r="AJ132" t="str">
        <f t="shared" si="11"/>
        <v/>
      </c>
      <c r="AK132" s="7"/>
    </row>
    <row r="133" spans="1:37" ht="16.5" customHeight="1"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c r="AG133">
        <f t="shared" si="8"/>
        <v>12</v>
      </c>
      <c r="AH133" s="5">
        <f t="shared" si="9"/>
        <v>88</v>
      </c>
      <c r="AI133">
        <f t="shared" si="10"/>
        <v>1</v>
      </c>
      <c r="AJ133" t="str">
        <f t="shared" si="11"/>
        <v/>
      </c>
      <c r="AK133" s="7"/>
    </row>
    <row r="134" spans="1:37" ht="16.5" customHeight="1"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c r="AG134">
        <f t="shared" si="8"/>
        <v>12</v>
      </c>
      <c r="AH134" s="5">
        <f t="shared" si="9"/>
        <v>88</v>
      </c>
      <c r="AI134">
        <f t="shared" si="10"/>
        <v>1</v>
      </c>
      <c r="AJ134" t="str">
        <f t="shared" si="11"/>
        <v/>
      </c>
      <c r="AK134" s="7"/>
    </row>
    <row r="135" spans="1:37" ht="16.5" customHeight="1"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c r="AG135">
        <f t="shared" si="8"/>
        <v>12</v>
      </c>
      <c r="AH135" s="5">
        <f t="shared" si="9"/>
        <v>88</v>
      </c>
      <c r="AI135">
        <f t="shared" si="10"/>
        <v>1</v>
      </c>
      <c r="AJ135" t="str">
        <f t="shared" si="11"/>
        <v/>
      </c>
      <c r="AK135" s="7"/>
    </row>
    <row r="136" spans="1:37" ht="16.5" customHeight="1"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c r="AG136">
        <f t="shared" si="8"/>
        <v>12</v>
      </c>
      <c r="AH136" s="5">
        <f t="shared" si="9"/>
        <v>88</v>
      </c>
      <c r="AI136">
        <f t="shared" si="10"/>
        <v>1</v>
      </c>
      <c r="AJ136" t="str">
        <f t="shared" si="11"/>
        <v/>
      </c>
      <c r="AK136" s="7"/>
    </row>
    <row r="137" spans="1:37" ht="16.5" customHeight="1"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c r="AG137">
        <f t="shared" si="8"/>
        <v>12</v>
      </c>
      <c r="AH137" s="5">
        <f t="shared" si="9"/>
        <v>88</v>
      </c>
      <c r="AI137">
        <f t="shared" si="10"/>
        <v>1</v>
      </c>
      <c r="AJ137" t="str">
        <f t="shared" si="11"/>
        <v/>
      </c>
      <c r="AK137" s="7"/>
    </row>
    <row r="138" spans="1:37" ht="16.5" customHeight="1"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c r="AG138">
        <f t="shared" si="8"/>
        <v>12</v>
      </c>
      <c r="AH138" s="5">
        <f t="shared" si="9"/>
        <v>88</v>
      </c>
      <c r="AI138">
        <f t="shared" si="10"/>
        <v>1</v>
      </c>
      <c r="AJ138" t="str">
        <f t="shared" si="11"/>
        <v/>
      </c>
      <c r="AK138" s="7"/>
    </row>
    <row r="139" spans="1:37" ht="16.5" customHeight="1"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c r="AG139">
        <f t="shared" si="8"/>
        <v>12</v>
      </c>
      <c r="AH139" s="5">
        <f t="shared" si="9"/>
        <v>88</v>
      </c>
      <c r="AI139">
        <f t="shared" si="10"/>
        <v>1</v>
      </c>
      <c r="AJ139" t="str">
        <f t="shared" si="11"/>
        <v/>
      </c>
      <c r="AK139" s="7"/>
    </row>
    <row r="140" spans="1:37" ht="16.5" customHeight="1"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c r="AG140">
        <f t="shared" si="8"/>
        <v>12</v>
      </c>
      <c r="AH140" s="5">
        <f t="shared" si="9"/>
        <v>88</v>
      </c>
      <c r="AI140">
        <f t="shared" si="10"/>
        <v>1</v>
      </c>
      <c r="AJ140" t="str">
        <f t="shared" si="11"/>
        <v/>
      </c>
      <c r="AK140" s="7"/>
    </row>
    <row r="141" spans="1:37" ht="16.5" customHeight="1" x14ac:dyDescent="0.25">
      <c r="A141">
        <v>140</v>
      </c>
      <c r="B141" t="s">
        <v>291</v>
      </c>
      <c r="C141" s="6"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c r="AG141">
        <f t="shared" si="8"/>
        <v>4</v>
      </c>
      <c r="AH141" s="5">
        <f t="shared" si="9"/>
        <v>89</v>
      </c>
      <c r="AI141">
        <f t="shared" si="10"/>
        <v>4</v>
      </c>
      <c r="AJ141" t="str">
        <f t="shared" si="11"/>
        <v>JSP_north_P1</v>
      </c>
      <c r="AK141" t="s">
        <v>698</v>
      </c>
    </row>
    <row r="142" spans="1:37" ht="16.5" customHeight="1" x14ac:dyDescent="0.25">
      <c r="A142">
        <v>141</v>
      </c>
      <c r="B142" t="s">
        <v>291</v>
      </c>
      <c r="C142" s="6"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c r="AG142">
        <f t="shared" si="8"/>
        <v>4</v>
      </c>
      <c r="AH142" s="5">
        <f t="shared" si="9"/>
        <v>89</v>
      </c>
      <c r="AI142">
        <f t="shared" si="10"/>
        <v>4</v>
      </c>
      <c r="AJ142" t="str">
        <f t="shared" si="11"/>
        <v>JSP_north_P1</v>
      </c>
      <c r="AK142" t="s">
        <v>698</v>
      </c>
    </row>
    <row r="143" spans="1:37" ht="16.5" customHeight="1" x14ac:dyDescent="0.25">
      <c r="A143">
        <v>142</v>
      </c>
      <c r="B143" t="s">
        <v>291</v>
      </c>
      <c r="C143" s="6"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c r="AG143">
        <f t="shared" si="8"/>
        <v>4</v>
      </c>
      <c r="AH143" s="5">
        <f t="shared" si="9"/>
        <v>89</v>
      </c>
      <c r="AI143">
        <f t="shared" si="10"/>
        <v>4</v>
      </c>
      <c r="AJ143" t="str">
        <f t="shared" si="11"/>
        <v>JSP_north_P1</v>
      </c>
      <c r="AK143" t="s">
        <v>698</v>
      </c>
    </row>
    <row r="144" spans="1:37" ht="16.5" customHeight="1" x14ac:dyDescent="0.25">
      <c r="A144">
        <v>143</v>
      </c>
      <c r="B144" t="s">
        <v>291</v>
      </c>
      <c r="C144" s="6"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c r="AG144">
        <f t="shared" si="8"/>
        <v>4</v>
      </c>
      <c r="AH144" s="5">
        <f t="shared" si="9"/>
        <v>89</v>
      </c>
      <c r="AI144">
        <f t="shared" si="10"/>
        <v>4</v>
      </c>
      <c r="AJ144" t="str">
        <f t="shared" si="11"/>
        <v>JSP_north_P1</v>
      </c>
      <c r="AK144" t="s">
        <v>698</v>
      </c>
    </row>
    <row r="145" spans="1:38" ht="16.5" customHeight="1" x14ac:dyDescent="0.25">
      <c r="A145">
        <v>144</v>
      </c>
      <c r="B145" t="s">
        <v>291</v>
      </c>
      <c r="C145" s="6"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c r="AG145">
        <f t="shared" si="8"/>
        <v>4</v>
      </c>
      <c r="AH145" s="5">
        <f t="shared" si="9"/>
        <v>90</v>
      </c>
      <c r="AI145">
        <f t="shared" si="10"/>
        <v>4</v>
      </c>
      <c r="AJ145" t="str">
        <f t="shared" si="11"/>
        <v>JSP_mid_P1</v>
      </c>
      <c r="AK145" t="s">
        <v>698</v>
      </c>
    </row>
    <row r="146" spans="1:38" ht="16.5" customHeight="1" x14ac:dyDescent="0.25">
      <c r="A146">
        <v>145</v>
      </c>
      <c r="B146" t="s">
        <v>291</v>
      </c>
      <c r="C146" s="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c r="AG146">
        <f t="shared" si="8"/>
        <v>4</v>
      </c>
      <c r="AH146" s="5">
        <f t="shared" si="9"/>
        <v>90</v>
      </c>
      <c r="AI146">
        <f t="shared" si="10"/>
        <v>4</v>
      </c>
      <c r="AJ146" t="str">
        <f t="shared" si="11"/>
        <v>JSP_mid_P1</v>
      </c>
      <c r="AK146" t="s">
        <v>698</v>
      </c>
    </row>
    <row r="147" spans="1:38" ht="16.5" customHeight="1" x14ac:dyDescent="0.25">
      <c r="A147">
        <v>146</v>
      </c>
      <c r="B147" t="s">
        <v>291</v>
      </c>
      <c r="C147" s="6"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c r="AG147">
        <f t="shared" si="8"/>
        <v>4</v>
      </c>
      <c r="AH147" s="5">
        <f t="shared" si="9"/>
        <v>90</v>
      </c>
      <c r="AI147">
        <f t="shared" si="10"/>
        <v>4</v>
      </c>
      <c r="AJ147" t="str">
        <f t="shared" si="11"/>
        <v>JSP_mid_P1</v>
      </c>
      <c r="AK147" t="s">
        <v>698</v>
      </c>
    </row>
    <row r="148" spans="1:38" ht="16.5" customHeight="1" x14ac:dyDescent="0.25">
      <c r="A148">
        <v>147</v>
      </c>
      <c r="B148" t="s">
        <v>291</v>
      </c>
      <c r="C148" s="6"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c r="AG148">
        <f t="shared" si="8"/>
        <v>4</v>
      </c>
      <c r="AH148" s="5">
        <f t="shared" si="9"/>
        <v>90</v>
      </c>
      <c r="AI148">
        <f t="shared" si="10"/>
        <v>4</v>
      </c>
      <c r="AJ148" t="str">
        <f t="shared" si="11"/>
        <v>JSP_mid_P1</v>
      </c>
      <c r="AK148" t="s">
        <v>698</v>
      </c>
    </row>
    <row r="149" spans="1:38" ht="16.5" customHeight="1" x14ac:dyDescent="0.25">
      <c r="A149">
        <v>148</v>
      </c>
      <c r="B149" t="s">
        <v>291</v>
      </c>
      <c r="C149" s="6"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c r="AG149">
        <f t="shared" si="8"/>
        <v>4</v>
      </c>
      <c r="AH149" s="5">
        <f t="shared" si="9"/>
        <v>91</v>
      </c>
      <c r="AI149">
        <f t="shared" si="10"/>
        <v>4</v>
      </c>
      <c r="AJ149" t="str">
        <f t="shared" si="11"/>
        <v>JSP_south_P5</v>
      </c>
      <c r="AK149" t="s">
        <v>698</v>
      </c>
    </row>
    <row r="150" spans="1:38" ht="16.5" customHeight="1" x14ac:dyDescent="0.25">
      <c r="A150">
        <v>149</v>
      </c>
      <c r="B150" t="s">
        <v>291</v>
      </c>
      <c r="C150" s="6"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c r="AG150">
        <f t="shared" si="8"/>
        <v>4</v>
      </c>
      <c r="AH150" s="5">
        <f t="shared" si="9"/>
        <v>91</v>
      </c>
      <c r="AI150">
        <f t="shared" si="10"/>
        <v>4</v>
      </c>
      <c r="AJ150" t="str">
        <f t="shared" si="11"/>
        <v>JSP_south_P5</v>
      </c>
      <c r="AK150" t="s">
        <v>698</v>
      </c>
    </row>
    <row r="151" spans="1:38" ht="16.5" customHeight="1" x14ac:dyDescent="0.25">
      <c r="A151">
        <v>150</v>
      </c>
      <c r="B151" t="s">
        <v>291</v>
      </c>
      <c r="C151" s="6"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c r="AG151">
        <f t="shared" si="8"/>
        <v>4</v>
      </c>
      <c r="AH151" s="5">
        <f t="shared" si="9"/>
        <v>91</v>
      </c>
      <c r="AI151">
        <f t="shared" si="10"/>
        <v>4</v>
      </c>
      <c r="AJ151" t="str">
        <f t="shared" si="11"/>
        <v>JSP_south_P5</v>
      </c>
      <c r="AK151" t="s">
        <v>698</v>
      </c>
    </row>
    <row r="152" spans="1:38" ht="16.5" customHeight="1" x14ac:dyDescent="0.25">
      <c r="A152">
        <v>151</v>
      </c>
      <c r="B152" t="s">
        <v>291</v>
      </c>
      <c r="C152" s="6"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c r="AG152">
        <f t="shared" si="8"/>
        <v>4</v>
      </c>
      <c r="AH152" s="5">
        <f t="shared" si="9"/>
        <v>91</v>
      </c>
      <c r="AI152">
        <f t="shared" si="10"/>
        <v>4</v>
      </c>
      <c r="AJ152" t="str">
        <f t="shared" si="11"/>
        <v>JSP_south_P5</v>
      </c>
      <c r="AK152" t="s">
        <v>698</v>
      </c>
    </row>
    <row r="153" spans="1:38" ht="16.5" customHeight="1"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c r="AG153">
        <f t="shared" si="8"/>
        <v>1</v>
      </c>
      <c r="AH153" s="5" t="str">
        <f t="shared" si="9"/>
        <v/>
      </c>
      <c r="AI153">
        <f t="shared" si="10"/>
        <v>5</v>
      </c>
      <c r="AJ153" s="6" t="str">
        <f t="shared" si="11"/>
        <v>JSP_mid_south_2</v>
      </c>
      <c r="AK153" t="s">
        <v>414</v>
      </c>
      <c r="AL153" s="8" t="s">
        <v>708</v>
      </c>
    </row>
    <row r="154" spans="1:38" ht="16.5" customHeight="1"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c r="AG154">
        <f t="shared" si="8"/>
        <v>1</v>
      </c>
      <c r="AH154" s="5" t="str">
        <f t="shared" si="9"/>
        <v/>
      </c>
      <c r="AI154">
        <f t="shared" si="10"/>
        <v>5</v>
      </c>
      <c r="AJ154" s="6" t="str">
        <f t="shared" si="11"/>
        <v>JSP_mid_south_2</v>
      </c>
      <c r="AK154" t="s">
        <v>414</v>
      </c>
      <c r="AL154" s="8" t="s">
        <v>708</v>
      </c>
    </row>
    <row r="155" spans="1:38" ht="16.5" customHeight="1"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c r="AG155">
        <f t="shared" si="8"/>
        <v>1</v>
      </c>
      <c r="AH155" s="5" t="str">
        <f t="shared" si="9"/>
        <v/>
      </c>
      <c r="AI155">
        <f t="shared" si="10"/>
        <v>5</v>
      </c>
      <c r="AJ155" s="6" t="str">
        <f t="shared" si="11"/>
        <v>JSP_mid_south_2</v>
      </c>
      <c r="AK155" t="s">
        <v>414</v>
      </c>
      <c r="AL155" s="8" t="s">
        <v>708</v>
      </c>
    </row>
    <row r="156" spans="1:38" ht="16.5" customHeight="1"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c r="AG156">
        <f t="shared" si="8"/>
        <v>1</v>
      </c>
      <c r="AH156" s="5" t="str">
        <f t="shared" si="9"/>
        <v/>
      </c>
      <c r="AI156">
        <f t="shared" si="10"/>
        <v>5</v>
      </c>
      <c r="AJ156" s="6" t="str">
        <f t="shared" si="11"/>
        <v>JSP_mid_south_2</v>
      </c>
      <c r="AK156" t="s">
        <v>414</v>
      </c>
      <c r="AL156" t="s">
        <v>709</v>
      </c>
    </row>
    <row r="157" spans="1:38" ht="16.5" customHeight="1" x14ac:dyDescent="0.25">
      <c r="A157">
        <v>156</v>
      </c>
      <c r="B157" t="s">
        <v>291</v>
      </c>
      <c r="C157" t="s">
        <v>402</v>
      </c>
      <c r="D157" t="s">
        <v>403</v>
      </c>
      <c r="E157" t="s">
        <v>34</v>
      </c>
      <c r="F157">
        <v>2018</v>
      </c>
      <c r="G157" t="s">
        <v>44</v>
      </c>
      <c r="H157" t="s">
        <v>36</v>
      </c>
      <c r="I157" t="s">
        <v>107</v>
      </c>
      <c r="J157" t="s">
        <v>38</v>
      </c>
      <c r="K157" t="s">
        <v>39</v>
      </c>
      <c r="L157" t="s">
        <v>39</v>
      </c>
      <c r="M157" s="1">
        <v>43264</v>
      </c>
      <c r="N157" t="s">
        <v>44</v>
      </c>
      <c r="O157" t="s">
        <v>44</v>
      </c>
      <c r="P157" t="s">
        <v>238</v>
      </c>
      <c r="Q157" t="s">
        <v>41</v>
      </c>
      <c r="R157" t="s">
        <v>44</v>
      </c>
      <c r="S157" t="s">
        <v>55</v>
      </c>
      <c r="T157">
        <v>4</v>
      </c>
      <c r="U157">
        <v>0.25</v>
      </c>
      <c r="V157">
        <v>1</v>
      </c>
      <c r="W157">
        <v>0.25</v>
      </c>
      <c r="X157">
        <v>0.1</v>
      </c>
      <c r="Y157">
        <v>4</v>
      </c>
      <c r="Z157">
        <v>100</v>
      </c>
      <c r="AA157">
        <v>100</v>
      </c>
      <c r="AB157">
        <v>400</v>
      </c>
      <c r="AC157" t="s">
        <v>99</v>
      </c>
      <c r="AD157" t="s">
        <v>408</v>
      </c>
      <c r="AE157" t="s">
        <v>164</v>
      </c>
      <c r="AF157">
        <v>96</v>
      </c>
      <c r="AG157">
        <f t="shared" si="8"/>
        <v>1</v>
      </c>
      <c r="AH157" s="5" t="str">
        <f t="shared" si="9"/>
        <v/>
      </c>
      <c r="AI157">
        <f t="shared" si="10"/>
        <v>5</v>
      </c>
      <c r="AJ157" t="str">
        <f t="shared" si="11"/>
        <v>JSP_mid_south_2</v>
      </c>
      <c r="AL157" t="s">
        <v>162</v>
      </c>
    </row>
    <row r="158" spans="1:38" ht="16.5" customHeight="1" x14ac:dyDescent="0.25">
      <c r="A158">
        <v>157</v>
      </c>
      <c r="B158" t="s">
        <v>291</v>
      </c>
      <c r="C158" t="s">
        <v>409</v>
      </c>
      <c r="D158" t="s">
        <v>410</v>
      </c>
      <c r="E158" t="s">
        <v>34</v>
      </c>
      <c r="F158">
        <v>2018</v>
      </c>
      <c r="G158" t="s">
        <v>44</v>
      </c>
      <c r="H158" t="s">
        <v>36</v>
      </c>
      <c r="I158" t="s">
        <v>107</v>
      </c>
      <c r="J158" t="s">
        <v>38</v>
      </c>
      <c r="K158" t="s">
        <v>39</v>
      </c>
      <c r="L158" t="s">
        <v>39</v>
      </c>
      <c r="M158" s="1">
        <v>43264</v>
      </c>
      <c r="N158" t="s">
        <v>44</v>
      </c>
      <c r="O158" t="s">
        <v>44</v>
      </c>
      <c r="P158" t="s">
        <v>238</v>
      </c>
      <c r="Q158" t="s">
        <v>41</v>
      </c>
      <c r="R158" t="s">
        <v>44</v>
      </c>
      <c r="S158" t="s">
        <v>55</v>
      </c>
      <c r="T158">
        <v>3</v>
      </c>
      <c r="U158">
        <v>0.25</v>
      </c>
      <c r="V158">
        <v>0.75</v>
      </c>
      <c r="W158">
        <v>0.25</v>
      </c>
      <c r="X158">
        <v>7.4999999999999997E-2</v>
      </c>
      <c r="Y158">
        <v>3</v>
      </c>
      <c r="Z158">
        <v>75</v>
      </c>
      <c r="AA158">
        <v>100</v>
      </c>
      <c r="AB158">
        <v>300</v>
      </c>
      <c r="AC158" t="s">
        <v>99</v>
      </c>
      <c r="AD158" t="s">
        <v>411</v>
      </c>
      <c r="AE158" t="s">
        <v>164</v>
      </c>
      <c r="AF158">
        <v>97</v>
      </c>
      <c r="AG158">
        <f t="shared" si="8"/>
        <v>1</v>
      </c>
      <c r="AH158" s="5" t="str">
        <f t="shared" si="9"/>
        <v/>
      </c>
      <c r="AI158">
        <f t="shared" si="10"/>
        <v>1</v>
      </c>
      <c r="AJ158" t="str">
        <f t="shared" si="11"/>
        <v/>
      </c>
    </row>
    <row r="159" spans="1:38" ht="16.5" customHeight="1" x14ac:dyDescent="0.25">
      <c r="A159">
        <v>158</v>
      </c>
      <c r="B159" t="s">
        <v>291</v>
      </c>
      <c r="C159" t="s">
        <v>412</v>
      </c>
      <c r="D159" t="s">
        <v>413</v>
      </c>
      <c r="E159" t="s">
        <v>414</v>
      </c>
      <c r="F159">
        <v>2018</v>
      </c>
      <c r="G159" t="s">
        <v>44</v>
      </c>
      <c r="H159" t="s">
        <v>36</v>
      </c>
      <c r="I159" t="s">
        <v>107</v>
      </c>
      <c r="J159" t="s">
        <v>38</v>
      </c>
      <c r="K159" t="s">
        <v>39</v>
      </c>
      <c r="L159" t="s">
        <v>39</v>
      </c>
      <c r="M159" s="1">
        <v>43295</v>
      </c>
      <c r="N159">
        <v>47.222470000000001</v>
      </c>
      <c r="O159">
        <v>-122.81049</v>
      </c>
      <c r="P159" t="s">
        <v>40</v>
      </c>
      <c r="Q159" t="s">
        <v>41</v>
      </c>
      <c r="R159" t="s">
        <v>44</v>
      </c>
      <c r="S159" t="s">
        <v>55</v>
      </c>
      <c r="T159">
        <v>0.5</v>
      </c>
      <c r="U159">
        <v>0.5</v>
      </c>
      <c r="V159">
        <v>0.25</v>
      </c>
      <c r="W159">
        <v>0.25</v>
      </c>
      <c r="X159">
        <v>7.4999999999999997E-2</v>
      </c>
      <c r="Y159">
        <v>3</v>
      </c>
      <c r="Z159">
        <v>63</v>
      </c>
      <c r="AA159">
        <v>252</v>
      </c>
      <c r="AB159">
        <v>252</v>
      </c>
      <c r="AC159" t="s">
        <v>99</v>
      </c>
      <c r="AD159" t="s">
        <v>415</v>
      </c>
      <c r="AE159" t="s">
        <v>164</v>
      </c>
      <c r="AF159">
        <v>98</v>
      </c>
      <c r="AG159">
        <f t="shared" si="8"/>
        <v>1</v>
      </c>
      <c r="AH159" s="5" t="str">
        <f t="shared" si="9"/>
        <v/>
      </c>
      <c r="AI159">
        <f t="shared" si="10"/>
        <v>2</v>
      </c>
      <c r="AJ159" t="str">
        <f t="shared" si="11"/>
        <v>JSP_mid_1</v>
      </c>
      <c r="AK159" t="s">
        <v>414</v>
      </c>
    </row>
    <row r="160" spans="1:38" ht="16.5" customHeight="1" x14ac:dyDescent="0.25">
      <c r="A160">
        <v>159</v>
      </c>
      <c r="B160" t="s">
        <v>291</v>
      </c>
      <c r="C160" t="s">
        <v>416</v>
      </c>
      <c r="D160" t="s">
        <v>413</v>
      </c>
      <c r="E160" t="s">
        <v>414</v>
      </c>
      <c r="F160">
        <v>2018</v>
      </c>
      <c r="G160" t="s">
        <v>44</v>
      </c>
      <c r="H160" t="s">
        <v>36</v>
      </c>
      <c r="I160" t="s">
        <v>107</v>
      </c>
      <c r="J160" t="s">
        <v>38</v>
      </c>
      <c r="K160" t="s">
        <v>39</v>
      </c>
      <c r="L160" t="s">
        <v>39</v>
      </c>
      <c r="M160" s="1">
        <v>43295</v>
      </c>
      <c r="N160">
        <v>47.222470000000001</v>
      </c>
      <c r="O160">
        <v>-122.81049</v>
      </c>
      <c r="P160" t="s">
        <v>40</v>
      </c>
      <c r="Q160" t="s">
        <v>41</v>
      </c>
      <c r="R160" t="s">
        <v>44</v>
      </c>
      <c r="S160" t="s">
        <v>417</v>
      </c>
      <c r="T160">
        <v>0.5</v>
      </c>
      <c r="U160">
        <v>0.5</v>
      </c>
      <c r="V160">
        <v>0.25</v>
      </c>
      <c r="W160">
        <v>0.25</v>
      </c>
      <c r="X160">
        <v>7.0650000000000004E-2</v>
      </c>
      <c r="Y160">
        <v>9</v>
      </c>
      <c r="Z160">
        <v>63</v>
      </c>
      <c r="AA160">
        <v>252</v>
      </c>
      <c r="AB160">
        <v>252</v>
      </c>
      <c r="AC160" t="s">
        <v>99</v>
      </c>
      <c r="AD160" t="s">
        <v>418</v>
      </c>
      <c r="AE160" t="s">
        <v>164</v>
      </c>
      <c r="AF160">
        <v>99</v>
      </c>
      <c r="AG160">
        <f t="shared" si="8"/>
        <v>1</v>
      </c>
      <c r="AH160" s="5" t="str">
        <f t="shared" si="9"/>
        <v/>
      </c>
      <c r="AI160">
        <f t="shared" si="10"/>
        <v>2</v>
      </c>
      <c r="AJ160" t="str">
        <f t="shared" si="11"/>
        <v>JSP_mid_1</v>
      </c>
      <c r="AK160" t="s">
        <v>414</v>
      </c>
    </row>
    <row r="161" spans="1:37" ht="16.5" customHeight="1" x14ac:dyDescent="0.25">
      <c r="A161">
        <v>160</v>
      </c>
      <c r="B161" t="s">
        <v>291</v>
      </c>
      <c r="C161" t="s">
        <v>419</v>
      </c>
      <c r="D161" t="s">
        <v>420</v>
      </c>
      <c r="E161" t="s">
        <v>34</v>
      </c>
      <c r="F161">
        <v>2018</v>
      </c>
      <c r="G161" t="s">
        <v>44</v>
      </c>
      <c r="H161" t="s">
        <v>36</v>
      </c>
      <c r="I161" t="s">
        <v>107</v>
      </c>
      <c r="J161" t="s">
        <v>38</v>
      </c>
      <c r="K161" t="s">
        <v>39</v>
      </c>
      <c r="L161" t="s">
        <v>39</v>
      </c>
      <c r="M161" s="1">
        <v>43295</v>
      </c>
      <c r="N161" t="s">
        <v>44</v>
      </c>
      <c r="O161" t="s">
        <v>44</v>
      </c>
      <c r="P161" t="s">
        <v>238</v>
      </c>
      <c r="Q161" t="s">
        <v>41</v>
      </c>
      <c r="R161" t="s">
        <v>44</v>
      </c>
      <c r="S161" t="s">
        <v>417</v>
      </c>
      <c r="T161">
        <v>0.5</v>
      </c>
      <c r="U161">
        <v>0.5</v>
      </c>
      <c r="V161">
        <v>0.25</v>
      </c>
      <c r="W161">
        <v>0.25</v>
      </c>
      <c r="X161">
        <v>7.0650000000000004E-2</v>
      </c>
      <c r="Y161">
        <v>9</v>
      </c>
      <c r="Z161">
        <v>63</v>
      </c>
      <c r="AA161">
        <v>252</v>
      </c>
      <c r="AB161">
        <v>252</v>
      </c>
      <c r="AC161" t="s">
        <v>99</v>
      </c>
      <c r="AD161" t="s">
        <v>418</v>
      </c>
      <c r="AE161" t="s">
        <v>164</v>
      </c>
      <c r="AF161">
        <v>100</v>
      </c>
      <c r="AG161">
        <f t="shared" si="8"/>
        <v>1</v>
      </c>
      <c r="AH161" s="5" t="str">
        <f t="shared" si="9"/>
        <v/>
      </c>
      <c r="AI161">
        <f t="shared" si="10"/>
        <v>2</v>
      </c>
      <c r="AJ161" t="str">
        <f t="shared" si="11"/>
        <v>JSP_mid_2</v>
      </c>
      <c r="AK161" t="s">
        <v>414</v>
      </c>
    </row>
    <row r="162" spans="1:37" ht="16.5" customHeight="1" x14ac:dyDescent="0.25">
      <c r="A162">
        <v>161</v>
      </c>
      <c r="B162" t="s">
        <v>291</v>
      </c>
      <c r="C162" t="s">
        <v>421</v>
      </c>
      <c r="D162" t="s">
        <v>420</v>
      </c>
      <c r="E162" t="s">
        <v>34</v>
      </c>
      <c r="F162">
        <v>2018</v>
      </c>
      <c r="G162" t="s">
        <v>44</v>
      </c>
      <c r="H162" t="s">
        <v>36</v>
      </c>
      <c r="I162" t="s">
        <v>107</v>
      </c>
      <c r="J162" t="s">
        <v>38</v>
      </c>
      <c r="K162" t="s">
        <v>39</v>
      </c>
      <c r="L162" t="s">
        <v>39</v>
      </c>
      <c r="M162" s="1">
        <v>43295</v>
      </c>
      <c r="N162" t="s">
        <v>44</v>
      </c>
      <c r="O162" t="s">
        <v>44</v>
      </c>
      <c r="P162" t="s">
        <v>238</v>
      </c>
      <c r="Q162" t="s">
        <v>41</v>
      </c>
      <c r="R162" t="s">
        <v>44</v>
      </c>
      <c r="S162" t="s">
        <v>55</v>
      </c>
      <c r="T162">
        <v>0.5</v>
      </c>
      <c r="U162">
        <v>0.5</v>
      </c>
      <c r="V162">
        <v>0.25</v>
      </c>
      <c r="W162">
        <v>0.25</v>
      </c>
      <c r="X162">
        <v>7.4999999999999997E-2</v>
      </c>
      <c r="Y162">
        <v>3</v>
      </c>
      <c r="Z162">
        <v>63</v>
      </c>
      <c r="AA162">
        <v>252</v>
      </c>
      <c r="AB162">
        <v>252</v>
      </c>
      <c r="AC162" t="s">
        <v>99</v>
      </c>
      <c r="AD162" t="s">
        <v>422</v>
      </c>
      <c r="AE162" t="s">
        <v>164</v>
      </c>
      <c r="AF162">
        <v>101</v>
      </c>
      <c r="AG162">
        <f t="shared" si="8"/>
        <v>1</v>
      </c>
      <c r="AH162" s="5" t="str">
        <f t="shared" si="9"/>
        <v/>
      </c>
      <c r="AI162">
        <f t="shared" si="10"/>
        <v>2</v>
      </c>
      <c r="AJ162" t="str">
        <f t="shared" si="11"/>
        <v>JSP_mid_2</v>
      </c>
      <c r="AK162" t="s">
        <v>414</v>
      </c>
    </row>
    <row r="163" spans="1:37" ht="16.5" customHeight="1" x14ac:dyDescent="0.25">
      <c r="A163">
        <v>162</v>
      </c>
      <c r="B163" t="s">
        <v>291</v>
      </c>
      <c r="C163" t="s">
        <v>423</v>
      </c>
      <c r="D163" t="s">
        <v>424</v>
      </c>
      <c r="E163" t="s">
        <v>414</v>
      </c>
      <c r="F163">
        <v>2018</v>
      </c>
      <c r="G163" t="s">
        <v>44</v>
      </c>
      <c r="H163" t="s">
        <v>36</v>
      </c>
      <c r="I163" t="s">
        <v>107</v>
      </c>
      <c r="J163" t="s">
        <v>38</v>
      </c>
      <c r="K163" t="s">
        <v>39</v>
      </c>
      <c r="L163" t="s">
        <v>39</v>
      </c>
      <c r="M163" s="1">
        <v>43295</v>
      </c>
      <c r="N163">
        <v>47.222619999999999</v>
      </c>
      <c r="O163">
        <v>-122.81053</v>
      </c>
      <c r="P163" t="s">
        <v>40</v>
      </c>
      <c r="Q163" t="s">
        <v>41</v>
      </c>
      <c r="R163" t="s">
        <v>44</v>
      </c>
      <c r="S163" t="s">
        <v>55</v>
      </c>
      <c r="T163">
        <v>0.5</v>
      </c>
      <c r="U163">
        <v>0.5</v>
      </c>
      <c r="V163">
        <v>0.25</v>
      </c>
      <c r="W163">
        <v>0.25</v>
      </c>
      <c r="X163">
        <v>7.4999999999999997E-2</v>
      </c>
      <c r="Y163">
        <v>3</v>
      </c>
      <c r="Z163">
        <v>63</v>
      </c>
      <c r="AA163">
        <v>252</v>
      </c>
      <c r="AB163">
        <v>252</v>
      </c>
      <c r="AC163" t="s">
        <v>99</v>
      </c>
      <c r="AD163" t="s">
        <v>425</v>
      </c>
      <c r="AE163" t="s">
        <v>164</v>
      </c>
      <c r="AF163">
        <v>102</v>
      </c>
      <c r="AG163">
        <f t="shared" si="8"/>
        <v>1</v>
      </c>
      <c r="AH163" s="5" t="str">
        <f t="shared" si="9"/>
        <v/>
      </c>
      <c r="AI163">
        <f t="shared" si="10"/>
        <v>2</v>
      </c>
      <c r="AJ163" t="str">
        <f t="shared" si="11"/>
        <v>JSP_mid_3</v>
      </c>
      <c r="AK163" t="s">
        <v>414</v>
      </c>
    </row>
    <row r="164" spans="1:37" ht="16.5" customHeight="1" x14ac:dyDescent="0.25">
      <c r="A164">
        <v>163</v>
      </c>
      <c r="B164" t="s">
        <v>291</v>
      </c>
      <c r="C164" t="s">
        <v>426</v>
      </c>
      <c r="D164" t="s">
        <v>424</v>
      </c>
      <c r="E164" t="s">
        <v>34</v>
      </c>
      <c r="F164">
        <v>2018</v>
      </c>
      <c r="G164" t="s">
        <v>44</v>
      </c>
      <c r="H164" t="s">
        <v>36</v>
      </c>
      <c r="I164" t="s">
        <v>107</v>
      </c>
      <c r="J164" t="s">
        <v>38</v>
      </c>
      <c r="K164" t="s">
        <v>39</v>
      </c>
      <c r="L164" t="s">
        <v>39</v>
      </c>
      <c r="M164" s="1">
        <v>43295</v>
      </c>
      <c r="N164">
        <v>47.222619999999999</v>
      </c>
      <c r="O164">
        <v>-122.81053</v>
      </c>
      <c r="P164" t="s">
        <v>40</v>
      </c>
      <c r="Q164" t="s">
        <v>41</v>
      </c>
      <c r="R164" t="s">
        <v>44</v>
      </c>
      <c r="S164" t="s">
        <v>417</v>
      </c>
      <c r="T164">
        <v>0.5</v>
      </c>
      <c r="U164">
        <v>0.5</v>
      </c>
      <c r="V164">
        <v>0.25</v>
      </c>
      <c r="W164">
        <v>0.25</v>
      </c>
      <c r="X164">
        <v>7.0650000000000004E-2</v>
      </c>
      <c r="Y164">
        <v>9</v>
      </c>
      <c r="Z164">
        <v>63</v>
      </c>
      <c r="AA164">
        <v>252</v>
      </c>
      <c r="AB164">
        <v>252</v>
      </c>
      <c r="AC164" t="s">
        <v>99</v>
      </c>
      <c r="AD164" t="s">
        <v>427</v>
      </c>
      <c r="AE164" t="s">
        <v>164</v>
      </c>
      <c r="AF164">
        <v>103</v>
      </c>
      <c r="AG164">
        <f t="shared" si="8"/>
        <v>1</v>
      </c>
      <c r="AH164" s="5" t="str">
        <f t="shared" si="9"/>
        <v/>
      </c>
      <c r="AI164">
        <f t="shared" si="10"/>
        <v>2</v>
      </c>
      <c r="AJ164" t="str">
        <f t="shared" si="11"/>
        <v>JSP_mid_3</v>
      </c>
      <c r="AK164" t="s">
        <v>414</v>
      </c>
    </row>
    <row r="165" spans="1:37" ht="16.5" customHeight="1" x14ac:dyDescent="0.25">
      <c r="A165">
        <v>164</v>
      </c>
      <c r="B165" t="s">
        <v>291</v>
      </c>
      <c r="C165" t="s">
        <v>428</v>
      </c>
      <c r="D165" t="s">
        <v>429</v>
      </c>
      <c r="E165" t="s">
        <v>34</v>
      </c>
      <c r="F165">
        <v>2020</v>
      </c>
      <c r="G165" t="s">
        <v>44</v>
      </c>
      <c r="H165" t="s">
        <v>36</v>
      </c>
      <c r="I165" t="s">
        <v>107</v>
      </c>
      <c r="J165" t="s">
        <v>38</v>
      </c>
      <c r="K165" t="s">
        <v>39</v>
      </c>
      <c r="L165" t="s">
        <v>39</v>
      </c>
      <c r="M165" s="1">
        <v>44018</v>
      </c>
      <c r="N165">
        <v>47.222589999999997</v>
      </c>
      <c r="O165">
        <v>-122.81049</v>
      </c>
      <c r="P165" t="s">
        <v>40</v>
      </c>
      <c r="Q165" t="s">
        <v>41</v>
      </c>
      <c r="R165">
        <v>-1.3</v>
      </c>
      <c r="S165" t="s">
        <v>55</v>
      </c>
      <c r="T165">
        <v>8</v>
      </c>
      <c r="U165">
        <v>0.5</v>
      </c>
      <c r="V165">
        <v>4</v>
      </c>
      <c r="W165">
        <v>1</v>
      </c>
      <c r="X165">
        <v>0.3</v>
      </c>
      <c r="Y165">
        <v>12</v>
      </c>
      <c r="Z165">
        <v>240</v>
      </c>
      <c r="AA165">
        <v>60</v>
      </c>
      <c r="AB165">
        <v>240</v>
      </c>
      <c r="AC165" t="s">
        <v>113</v>
      </c>
      <c r="AD165" t="s">
        <v>430</v>
      </c>
      <c r="AE165" t="s">
        <v>164</v>
      </c>
      <c r="AF165">
        <v>104</v>
      </c>
      <c r="AG165">
        <f t="shared" si="8"/>
        <v>1</v>
      </c>
      <c r="AH165" s="5" t="str">
        <f t="shared" si="9"/>
        <v/>
      </c>
      <c r="AI165">
        <f t="shared" si="10"/>
        <v>1</v>
      </c>
      <c r="AJ165" t="str">
        <f t="shared" si="11"/>
        <v/>
      </c>
    </row>
    <row r="166" spans="1:37" ht="16.5" customHeight="1" x14ac:dyDescent="0.25">
      <c r="A166">
        <v>165</v>
      </c>
      <c r="B166" t="s">
        <v>291</v>
      </c>
      <c r="C166" t="s">
        <v>431</v>
      </c>
      <c r="D166" t="s">
        <v>432</v>
      </c>
      <c r="E166" t="s">
        <v>34</v>
      </c>
      <c r="F166">
        <v>2020</v>
      </c>
      <c r="G166" t="s">
        <v>44</v>
      </c>
      <c r="H166" t="s">
        <v>36</v>
      </c>
      <c r="I166" t="s">
        <v>107</v>
      </c>
      <c r="J166" t="s">
        <v>38</v>
      </c>
      <c r="K166" t="s">
        <v>39</v>
      </c>
      <c r="L166" t="s">
        <v>39</v>
      </c>
      <c r="M166" s="1">
        <v>44011</v>
      </c>
      <c r="N166">
        <v>47.207729999999998</v>
      </c>
      <c r="O166">
        <v>-122.80525</v>
      </c>
      <c r="P166" t="s">
        <v>40</v>
      </c>
      <c r="Q166" t="s">
        <v>41</v>
      </c>
      <c r="R166">
        <v>-1.9</v>
      </c>
      <c r="S166" t="s">
        <v>55</v>
      </c>
      <c r="T166">
        <v>2.5</v>
      </c>
      <c r="U166">
        <v>2.5</v>
      </c>
      <c r="V166">
        <v>6.25</v>
      </c>
      <c r="W166">
        <v>5</v>
      </c>
      <c r="X166">
        <v>0.5</v>
      </c>
      <c r="Y166">
        <v>20</v>
      </c>
      <c r="Z166">
        <v>500</v>
      </c>
      <c r="AA166">
        <v>80</v>
      </c>
      <c r="AB166">
        <v>100</v>
      </c>
      <c r="AC166" t="s">
        <v>65</v>
      </c>
      <c r="AD166" t="s">
        <v>433</v>
      </c>
      <c r="AE166" t="s">
        <v>90</v>
      </c>
      <c r="AF166">
        <v>105</v>
      </c>
      <c r="AG166">
        <f t="shared" si="8"/>
        <v>1</v>
      </c>
      <c r="AH166" s="5" t="str">
        <f t="shared" si="9"/>
        <v/>
      </c>
      <c r="AI166">
        <f t="shared" si="10"/>
        <v>1</v>
      </c>
      <c r="AJ166" t="str">
        <f t="shared" si="11"/>
        <v/>
      </c>
    </row>
    <row r="167" spans="1:37" ht="16.5" customHeight="1" x14ac:dyDescent="0.25">
      <c r="A167">
        <v>166</v>
      </c>
      <c r="B167" t="s">
        <v>291</v>
      </c>
      <c r="C167" t="s">
        <v>434</v>
      </c>
      <c r="D167" t="s">
        <v>435</v>
      </c>
      <c r="E167" t="s">
        <v>34</v>
      </c>
      <c r="F167">
        <v>2021</v>
      </c>
      <c r="G167" t="s">
        <v>44</v>
      </c>
      <c r="H167" t="s">
        <v>36</v>
      </c>
      <c r="I167" t="s">
        <v>107</v>
      </c>
      <c r="J167" t="s">
        <v>38</v>
      </c>
      <c r="K167" t="s">
        <v>39</v>
      </c>
      <c r="L167" t="s">
        <v>39</v>
      </c>
      <c r="M167" s="1">
        <v>44372</v>
      </c>
      <c r="N167" t="s">
        <v>44</v>
      </c>
      <c r="O167" t="s">
        <v>44</v>
      </c>
      <c r="P167" t="s">
        <v>40</v>
      </c>
      <c r="Q167" t="s">
        <v>41</v>
      </c>
      <c r="R167">
        <v>-1.5</v>
      </c>
      <c r="S167" t="s">
        <v>55</v>
      </c>
      <c r="T167">
        <v>3.5</v>
      </c>
      <c r="U167">
        <v>0.5</v>
      </c>
      <c r="V167">
        <v>1.75</v>
      </c>
      <c r="W167">
        <v>2.25</v>
      </c>
      <c r="X167">
        <v>0.22500000000000001</v>
      </c>
      <c r="Y167">
        <v>9</v>
      </c>
      <c r="Z167">
        <v>135</v>
      </c>
      <c r="AA167">
        <v>77.142857142857096</v>
      </c>
      <c r="AB167">
        <v>60</v>
      </c>
      <c r="AC167" t="s">
        <v>99</v>
      </c>
      <c r="AD167" t="s">
        <v>436</v>
      </c>
      <c r="AE167" t="s">
        <v>164</v>
      </c>
      <c r="AF167">
        <v>106</v>
      </c>
      <c r="AG167">
        <f t="shared" si="8"/>
        <v>1</v>
      </c>
      <c r="AH167" s="5" t="str">
        <f t="shared" si="9"/>
        <v/>
      </c>
      <c r="AI167">
        <f t="shared" si="10"/>
        <v>1</v>
      </c>
      <c r="AJ167" t="str">
        <f t="shared" si="11"/>
        <v/>
      </c>
    </row>
    <row r="168" spans="1:37" ht="16.5" customHeight="1" x14ac:dyDescent="0.25">
      <c r="A168">
        <v>167</v>
      </c>
      <c r="B168" t="s">
        <v>291</v>
      </c>
      <c r="C168" t="s">
        <v>437</v>
      </c>
      <c r="D168" t="s">
        <v>438</v>
      </c>
      <c r="E168" t="s">
        <v>34</v>
      </c>
      <c r="F168">
        <v>2022</v>
      </c>
      <c r="G168" t="s">
        <v>44</v>
      </c>
      <c r="H168" t="s">
        <v>36</v>
      </c>
      <c r="I168" t="s">
        <v>107</v>
      </c>
      <c r="J168" t="s">
        <v>38</v>
      </c>
      <c r="K168" t="s">
        <v>39</v>
      </c>
      <c r="L168" t="s">
        <v>39</v>
      </c>
      <c r="M168" s="1">
        <v>44729</v>
      </c>
      <c r="N168" t="s">
        <v>44</v>
      </c>
      <c r="O168" t="s">
        <v>44</v>
      </c>
      <c r="P168" t="s">
        <v>40</v>
      </c>
      <c r="Q168" t="s">
        <v>41</v>
      </c>
      <c r="R168">
        <v>-1.5</v>
      </c>
      <c r="S168" t="s">
        <v>55</v>
      </c>
      <c r="T168">
        <v>2.5</v>
      </c>
      <c r="U168">
        <v>0.5</v>
      </c>
      <c r="V168">
        <v>1.25</v>
      </c>
      <c r="W168">
        <v>1.75</v>
      </c>
      <c r="X168">
        <v>0.375</v>
      </c>
      <c r="Y168">
        <v>15</v>
      </c>
      <c r="Z168">
        <v>180</v>
      </c>
      <c r="AA168">
        <v>144</v>
      </c>
      <c r="AB168">
        <v>102.857142857143</v>
      </c>
      <c r="AC168" t="s">
        <v>99</v>
      </c>
      <c r="AD168" t="s">
        <v>439</v>
      </c>
      <c r="AE168" t="s">
        <v>164</v>
      </c>
      <c r="AF168">
        <v>107</v>
      </c>
      <c r="AG168">
        <f t="shared" si="8"/>
        <v>1</v>
      </c>
      <c r="AH168" s="5" t="str">
        <f t="shared" si="9"/>
        <v/>
      </c>
      <c r="AI168">
        <f t="shared" si="10"/>
        <v>1</v>
      </c>
      <c r="AJ168" t="str">
        <f t="shared" si="11"/>
        <v/>
      </c>
    </row>
    <row r="169" spans="1:37" ht="16.5" customHeight="1" x14ac:dyDescent="0.25">
      <c r="A169">
        <v>168</v>
      </c>
      <c r="B169" t="s">
        <v>291</v>
      </c>
      <c r="C169" t="s">
        <v>440</v>
      </c>
      <c r="D169" t="s">
        <v>441</v>
      </c>
      <c r="E169" t="s">
        <v>34</v>
      </c>
      <c r="F169">
        <v>2022</v>
      </c>
      <c r="G169" t="s">
        <v>44</v>
      </c>
      <c r="H169" t="s">
        <v>36</v>
      </c>
      <c r="I169" t="s">
        <v>107</v>
      </c>
      <c r="J169" t="s">
        <v>38</v>
      </c>
      <c r="K169" t="s">
        <v>39</v>
      </c>
      <c r="L169" t="s">
        <v>39</v>
      </c>
      <c r="M169" s="1">
        <v>44729</v>
      </c>
      <c r="N169" t="s">
        <v>44</v>
      </c>
      <c r="O169" t="s">
        <v>44</v>
      </c>
      <c r="P169" t="s">
        <v>40</v>
      </c>
      <c r="Q169" t="s">
        <v>41</v>
      </c>
      <c r="R169">
        <v>-1.5</v>
      </c>
      <c r="S169" t="s">
        <v>55</v>
      </c>
      <c r="T169">
        <v>1</v>
      </c>
      <c r="U169">
        <v>0.5</v>
      </c>
      <c r="V169">
        <v>0.5</v>
      </c>
      <c r="W169">
        <v>0.25</v>
      </c>
      <c r="X169">
        <v>0.15</v>
      </c>
      <c r="Y169">
        <v>6</v>
      </c>
      <c r="Z169">
        <v>48</v>
      </c>
      <c r="AA169">
        <v>96</v>
      </c>
      <c r="AB169">
        <v>192</v>
      </c>
      <c r="AC169" t="s">
        <v>99</v>
      </c>
      <c r="AD169" t="s">
        <v>442</v>
      </c>
      <c r="AE169" t="s">
        <v>164</v>
      </c>
      <c r="AF169">
        <v>108</v>
      </c>
      <c r="AG169">
        <f t="shared" si="8"/>
        <v>1</v>
      </c>
      <c r="AH169" s="5" t="str">
        <f t="shared" si="9"/>
        <v/>
      </c>
      <c r="AI169">
        <f t="shared" si="10"/>
        <v>1</v>
      </c>
      <c r="AJ169" t="str">
        <f t="shared" si="11"/>
        <v/>
      </c>
    </row>
    <row r="170" spans="1:37" ht="16.5" customHeight="1" x14ac:dyDescent="0.25">
      <c r="A170">
        <v>169</v>
      </c>
      <c r="B170" t="s">
        <v>291</v>
      </c>
      <c r="C170" t="s">
        <v>443</v>
      </c>
      <c r="D170" t="s">
        <v>444</v>
      </c>
      <c r="E170" t="s">
        <v>34</v>
      </c>
      <c r="F170">
        <v>2025</v>
      </c>
      <c r="G170" t="s">
        <v>44</v>
      </c>
      <c r="H170" t="s">
        <v>36</v>
      </c>
      <c r="I170" t="s">
        <v>107</v>
      </c>
      <c r="J170" t="s">
        <v>38</v>
      </c>
      <c r="K170" t="s">
        <v>39</v>
      </c>
      <c r="L170" t="s">
        <v>39</v>
      </c>
      <c r="M170" s="1">
        <v>45848</v>
      </c>
      <c r="N170" t="s">
        <v>44</v>
      </c>
      <c r="O170" t="s">
        <v>44</v>
      </c>
      <c r="P170" t="s">
        <v>40</v>
      </c>
      <c r="Q170" t="s">
        <v>41</v>
      </c>
      <c r="R170">
        <v>-1.5</v>
      </c>
      <c r="S170" t="s">
        <v>55</v>
      </c>
      <c r="T170">
        <v>32</v>
      </c>
      <c r="U170">
        <v>0.5</v>
      </c>
      <c r="V170">
        <v>16</v>
      </c>
      <c r="W170">
        <v>16</v>
      </c>
      <c r="X170">
        <v>0.8</v>
      </c>
      <c r="Y170">
        <v>32</v>
      </c>
      <c r="Z170">
        <v>700</v>
      </c>
      <c r="AA170">
        <v>43.75</v>
      </c>
      <c r="AB170">
        <v>43.75</v>
      </c>
      <c r="AC170" t="s">
        <v>99</v>
      </c>
      <c r="AD170" t="s">
        <v>445</v>
      </c>
      <c r="AE170" t="s">
        <v>164</v>
      </c>
      <c r="AF170">
        <v>109</v>
      </c>
      <c r="AG170">
        <f t="shared" si="8"/>
        <v>1</v>
      </c>
      <c r="AH170" s="5" t="str">
        <f t="shared" si="9"/>
        <v/>
      </c>
      <c r="AI170">
        <f t="shared" si="10"/>
        <v>1</v>
      </c>
      <c r="AJ170" t="str">
        <f t="shared" si="11"/>
        <v/>
      </c>
    </row>
    <row r="171" spans="1:37" ht="16.5" customHeight="1" x14ac:dyDescent="0.25">
      <c r="A171">
        <v>170</v>
      </c>
      <c r="B171" t="s">
        <v>446</v>
      </c>
      <c r="C171" t="s">
        <v>447</v>
      </c>
      <c r="D171" t="s">
        <v>448</v>
      </c>
      <c r="E171" t="s">
        <v>34</v>
      </c>
      <c r="F171">
        <v>2020</v>
      </c>
      <c r="G171" t="s">
        <v>44</v>
      </c>
      <c r="H171" t="s">
        <v>36</v>
      </c>
      <c r="I171" t="s">
        <v>37</v>
      </c>
      <c r="J171" t="s">
        <v>38</v>
      </c>
      <c r="K171" t="s">
        <v>39</v>
      </c>
      <c r="L171" t="s">
        <v>39</v>
      </c>
      <c r="M171" s="1">
        <v>44012</v>
      </c>
      <c r="N171">
        <v>47.177030000000002</v>
      </c>
      <c r="O171">
        <v>-122.7462833</v>
      </c>
      <c r="P171" t="s">
        <v>40</v>
      </c>
      <c r="Q171" t="s">
        <v>41</v>
      </c>
      <c r="R171">
        <v>-1.7</v>
      </c>
      <c r="S171" t="s">
        <v>55</v>
      </c>
      <c r="T171">
        <v>2.5</v>
      </c>
      <c r="U171">
        <v>2.5</v>
      </c>
      <c r="V171">
        <v>6.25</v>
      </c>
      <c r="W171">
        <v>4.75</v>
      </c>
      <c r="X171">
        <v>0.15</v>
      </c>
      <c r="Y171">
        <v>19</v>
      </c>
      <c r="Z171">
        <v>475</v>
      </c>
      <c r="AA171">
        <v>76</v>
      </c>
      <c r="AB171">
        <v>100</v>
      </c>
      <c r="AC171" t="s">
        <v>31</v>
      </c>
      <c r="AD171" t="s">
        <v>449</v>
      </c>
      <c r="AE171" t="s">
        <v>90</v>
      </c>
      <c r="AF171">
        <v>110</v>
      </c>
      <c r="AG171">
        <f t="shared" si="8"/>
        <v>1</v>
      </c>
      <c r="AH171" s="5" t="str">
        <f t="shared" si="9"/>
        <v/>
      </c>
      <c r="AI171">
        <f t="shared" si="10"/>
        <v>1</v>
      </c>
      <c r="AJ171" t="str">
        <f t="shared" si="11"/>
        <v/>
      </c>
    </row>
    <row r="172" spans="1:37" ht="16.5" customHeight="1" x14ac:dyDescent="0.25">
      <c r="A172">
        <v>171</v>
      </c>
      <c r="B172" t="s">
        <v>450</v>
      </c>
      <c r="C172" t="s">
        <v>451</v>
      </c>
      <c r="D172" t="s">
        <v>452</v>
      </c>
      <c r="E172" t="s">
        <v>34</v>
      </c>
      <c r="F172">
        <v>2013</v>
      </c>
      <c r="G172" t="s">
        <v>35</v>
      </c>
      <c r="H172" t="s">
        <v>36</v>
      </c>
      <c r="I172" t="s">
        <v>450</v>
      </c>
      <c r="J172" t="s">
        <v>38</v>
      </c>
      <c r="K172" t="s">
        <v>39</v>
      </c>
      <c r="L172" t="s">
        <v>39</v>
      </c>
      <c r="M172" s="1">
        <v>41432</v>
      </c>
      <c r="N172">
        <v>47.703783333333298</v>
      </c>
      <c r="O172">
        <v>-122.60514999999999</v>
      </c>
      <c r="P172" t="s">
        <v>40</v>
      </c>
      <c r="Q172" t="s">
        <v>41</v>
      </c>
      <c r="R172">
        <v>-1.524</v>
      </c>
      <c r="S172" t="s">
        <v>42</v>
      </c>
      <c r="T172">
        <v>6</v>
      </c>
      <c r="U172">
        <v>6</v>
      </c>
      <c r="V172">
        <v>36</v>
      </c>
      <c r="W172">
        <v>36</v>
      </c>
      <c r="X172">
        <v>0.9</v>
      </c>
      <c r="Y172">
        <v>180</v>
      </c>
      <c r="Z172">
        <v>720</v>
      </c>
      <c r="AA172">
        <v>20</v>
      </c>
      <c r="AB172">
        <v>20</v>
      </c>
      <c r="AC172" t="s">
        <v>453</v>
      </c>
      <c r="AD172" t="s">
        <v>44</v>
      </c>
      <c r="AE172" t="s">
        <v>45</v>
      </c>
      <c r="AF172">
        <v>111</v>
      </c>
      <c r="AG172">
        <f t="shared" si="8"/>
        <v>1</v>
      </c>
      <c r="AH172" s="5" t="str">
        <f t="shared" si="9"/>
        <v/>
      </c>
      <c r="AI172">
        <f t="shared" si="10"/>
        <v>1</v>
      </c>
      <c r="AJ172" t="str">
        <f t="shared" si="11"/>
        <v/>
      </c>
    </row>
    <row r="173" spans="1:37" ht="16.5" customHeight="1" x14ac:dyDescent="0.25">
      <c r="A173">
        <v>172</v>
      </c>
      <c r="B173" t="s">
        <v>450</v>
      </c>
      <c r="C173" t="s">
        <v>454</v>
      </c>
      <c r="D173" t="s">
        <v>455</v>
      </c>
      <c r="E173" t="s">
        <v>34</v>
      </c>
      <c r="F173">
        <v>2013</v>
      </c>
      <c r="G173" t="s">
        <v>35</v>
      </c>
      <c r="H173" t="s">
        <v>36</v>
      </c>
      <c r="I173" t="s">
        <v>450</v>
      </c>
      <c r="J173" t="s">
        <v>38</v>
      </c>
      <c r="K173" t="s">
        <v>39</v>
      </c>
      <c r="L173" t="s">
        <v>39</v>
      </c>
      <c r="M173" s="1">
        <v>41432</v>
      </c>
      <c r="N173">
        <v>47.71</v>
      </c>
      <c r="O173">
        <v>-122.614016666667</v>
      </c>
      <c r="P173" t="s">
        <v>40</v>
      </c>
      <c r="Q173" t="s">
        <v>41</v>
      </c>
      <c r="R173">
        <v>-1.6763999999999999</v>
      </c>
      <c r="S173" t="s">
        <v>42</v>
      </c>
      <c r="T173">
        <v>5</v>
      </c>
      <c r="U173">
        <v>6</v>
      </c>
      <c r="V173">
        <v>30</v>
      </c>
      <c r="W173">
        <v>30</v>
      </c>
      <c r="X173">
        <v>0.75</v>
      </c>
      <c r="Y173">
        <v>150</v>
      </c>
      <c r="Z173">
        <v>600</v>
      </c>
      <c r="AA173">
        <v>20</v>
      </c>
      <c r="AB173">
        <v>20</v>
      </c>
      <c r="AC173" t="s">
        <v>453</v>
      </c>
      <c r="AD173" t="s">
        <v>44</v>
      </c>
      <c r="AE173" t="s">
        <v>45</v>
      </c>
      <c r="AF173">
        <v>112</v>
      </c>
      <c r="AG173">
        <f t="shared" si="8"/>
        <v>1</v>
      </c>
      <c r="AH173" s="5" t="str">
        <f t="shared" si="9"/>
        <v/>
      </c>
      <c r="AI173">
        <f t="shared" si="10"/>
        <v>1</v>
      </c>
      <c r="AJ173" t="str">
        <f t="shared" si="11"/>
        <v/>
      </c>
    </row>
    <row r="174" spans="1:37" ht="16.5" customHeight="1" x14ac:dyDescent="0.25">
      <c r="A174">
        <v>173</v>
      </c>
      <c r="B174" t="s">
        <v>456</v>
      </c>
      <c r="C174" t="s">
        <v>457</v>
      </c>
      <c r="D174" t="s">
        <v>458</v>
      </c>
      <c r="E174" t="s">
        <v>34</v>
      </c>
      <c r="F174">
        <v>2017</v>
      </c>
      <c r="G174" t="s">
        <v>35</v>
      </c>
      <c r="H174" t="s">
        <v>63</v>
      </c>
      <c r="I174" t="s">
        <v>37</v>
      </c>
      <c r="J174" t="s">
        <v>38</v>
      </c>
      <c r="K174" t="s">
        <v>39</v>
      </c>
      <c r="L174" t="s">
        <v>39</v>
      </c>
      <c r="M174" s="1">
        <v>42859</v>
      </c>
      <c r="N174">
        <v>47.198616700000002</v>
      </c>
      <c r="O174">
        <v>-122.7392667</v>
      </c>
      <c r="P174" t="s">
        <v>40</v>
      </c>
      <c r="Q174" t="s">
        <v>41</v>
      </c>
      <c r="R174">
        <v>-1.6</v>
      </c>
      <c r="S174" t="s">
        <v>64</v>
      </c>
      <c r="T174">
        <v>5</v>
      </c>
      <c r="U174">
        <v>5</v>
      </c>
      <c r="V174">
        <v>25</v>
      </c>
      <c r="W174">
        <v>39</v>
      </c>
      <c r="X174">
        <v>0.99</v>
      </c>
      <c r="Y174">
        <v>99</v>
      </c>
      <c r="Z174">
        <v>998</v>
      </c>
      <c r="AA174">
        <v>39.92</v>
      </c>
      <c r="AB174">
        <v>25.589743589743598</v>
      </c>
      <c r="AC174" t="s">
        <v>65</v>
      </c>
      <c r="AD174" t="s">
        <v>459</v>
      </c>
      <c r="AE174" t="s">
        <v>67</v>
      </c>
      <c r="AF174">
        <v>113</v>
      </c>
      <c r="AG174">
        <f t="shared" si="8"/>
        <v>2</v>
      </c>
      <c r="AH174" s="5">
        <f t="shared" si="9"/>
        <v>113</v>
      </c>
      <c r="AI174">
        <f t="shared" si="10"/>
        <v>2</v>
      </c>
      <c r="AJ174" t="str">
        <f t="shared" si="11"/>
        <v>MCD_south_L1</v>
      </c>
      <c r="AK174" t="s">
        <v>698</v>
      </c>
    </row>
    <row r="175" spans="1:37" ht="16.5" customHeight="1" x14ac:dyDescent="0.25">
      <c r="A175">
        <v>174</v>
      </c>
      <c r="B175" t="s">
        <v>456</v>
      </c>
      <c r="C175" t="s">
        <v>460</v>
      </c>
      <c r="D175" t="s">
        <v>458</v>
      </c>
      <c r="E175" t="s">
        <v>34</v>
      </c>
      <c r="F175">
        <v>2017</v>
      </c>
      <c r="G175" t="s">
        <v>35</v>
      </c>
      <c r="H175" t="s">
        <v>63</v>
      </c>
      <c r="I175" t="s">
        <v>37</v>
      </c>
      <c r="J175" t="s">
        <v>38</v>
      </c>
      <c r="K175" t="s">
        <v>39</v>
      </c>
      <c r="L175" t="s">
        <v>69</v>
      </c>
      <c r="M175" s="1">
        <v>42859</v>
      </c>
      <c r="N175">
        <v>47.198683299999999</v>
      </c>
      <c r="O175">
        <v>-122.7392333</v>
      </c>
      <c r="P175" t="s">
        <v>40</v>
      </c>
      <c r="Q175" t="s">
        <v>41</v>
      </c>
      <c r="R175" t="s">
        <v>44</v>
      </c>
      <c r="S175" t="s">
        <v>44</v>
      </c>
      <c r="T175" t="s">
        <v>44</v>
      </c>
      <c r="U175" t="s">
        <v>44</v>
      </c>
      <c r="V175" t="s">
        <v>44</v>
      </c>
      <c r="W175" t="s">
        <v>44</v>
      </c>
      <c r="X175" t="s">
        <v>44</v>
      </c>
      <c r="Y175" t="s">
        <v>44</v>
      </c>
      <c r="Z175" t="s">
        <v>44</v>
      </c>
      <c r="AA175" t="s">
        <v>44</v>
      </c>
      <c r="AB175" t="s">
        <v>44</v>
      </c>
      <c r="AC175" t="s">
        <v>44</v>
      </c>
      <c r="AD175" t="s">
        <v>44</v>
      </c>
      <c r="AE175" t="s">
        <v>67</v>
      </c>
      <c r="AF175">
        <v>113</v>
      </c>
      <c r="AG175">
        <f t="shared" si="8"/>
        <v>2</v>
      </c>
      <c r="AH175" s="5">
        <f t="shared" si="9"/>
        <v>113</v>
      </c>
      <c r="AI175">
        <f t="shared" si="10"/>
        <v>2</v>
      </c>
      <c r="AJ175" t="str">
        <f t="shared" si="11"/>
        <v>MCD_south_L1</v>
      </c>
      <c r="AK175" t="s">
        <v>698</v>
      </c>
    </row>
    <row r="176" spans="1:37" ht="16.5" customHeight="1" x14ac:dyDescent="0.25">
      <c r="A176">
        <v>175</v>
      </c>
      <c r="B176" t="s">
        <v>456</v>
      </c>
      <c r="C176" t="s">
        <v>461</v>
      </c>
      <c r="D176" t="s">
        <v>462</v>
      </c>
      <c r="E176" t="s">
        <v>34</v>
      </c>
      <c r="F176">
        <v>2017</v>
      </c>
      <c r="G176" t="s">
        <v>35</v>
      </c>
      <c r="H176" t="s">
        <v>63</v>
      </c>
      <c r="I176" t="s">
        <v>37</v>
      </c>
      <c r="J176" t="s">
        <v>38</v>
      </c>
      <c r="K176" t="s">
        <v>39</v>
      </c>
      <c r="L176" t="s">
        <v>39</v>
      </c>
      <c r="M176" s="1">
        <v>42859</v>
      </c>
      <c r="N176">
        <v>47.198983300000002</v>
      </c>
      <c r="O176">
        <v>-122.7391667</v>
      </c>
      <c r="P176" t="s">
        <v>40</v>
      </c>
      <c r="Q176" t="s">
        <v>41</v>
      </c>
      <c r="R176">
        <v>-1.6</v>
      </c>
      <c r="S176" t="s">
        <v>64</v>
      </c>
      <c r="T176">
        <v>5</v>
      </c>
      <c r="U176">
        <v>5</v>
      </c>
      <c r="V176">
        <v>25</v>
      </c>
      <c r="W176">
        <v>39</v>
      </c>
      <c r="X176">
        <v>0.99</v>
      </c>
      <c r="Y176">
        <v>99</v>
      </c>
      <c r="Z176">
        <v>994</v>
      </c>
      <c r="AA176">
        <v>39.76</v>
      </c>
      <c r="AB176">
        <v>25.4871794871795</v>
      </c>
      <c r="AC176" t="s">
        <v>65</v>
      </c>
      <c r="AD176" t="s">
        <v>463</v>
      </c>
      <c r="AE176" t="s">
        <v>67</v>
      </c>
      <c r="AF176">
        <v>114</v>
      </c>
      <c r="AG176">
        <f t="shared" si="8"/>
        <v>2</v>
      </c>
      <c r="AH176" s="5">
        <f t="shared" si="9"/>
        <v>114</v>
      </c>
      <c r="AI176">
        <f t="shared" si="10"/>
        <v>2</v>
      </c>
      <c r="AJ176" t="str">
        <f t="shared" si="11"/>
        <v>MCD_north_L1</v>
      </c>
      <c r="AK176" t="s">
        <v>698</v>
      </c>
    </row>
    <row r="177" spans="1:37" ht="16.5" customHeight="1" x14ac:dyDescent="0.25">
      <c r="A177">
        <v>176</v>
      </c>
      <c r="B177" t="s">
        <v>456</v>
      </c>
      <c r="C177" t="s">
        <v>464</v>
      </c>
      <c r="D177" t="s">
        <v>462</v>
      </c>
      <c r="E177" t="s">
        <v>34</v>
      </c>
      <c r="F177">
        <v>2017</v>
      </c>
      <c r="G177" t="s">
        <v>35</v>
      </c>
      <c r="H177" t="s">
        <v>63</v>
      </c>
      <c r="I177" t="s">
        <v>37</v>
      </c>
      <c r="J177" t="s">
        <v>38</v>
      </c>
      <c r="K177" t="s">
        <v>39</v>
      </c>
      <c r="L177" t="s">
        <v>69</v>
      </c>
      <c r="M177" s="1">
        <v>42859</v>
      </c>
      <c r="N177">
        <v>47.199033300000004</v>
      </c>
      <c r="O177">
        <v>-122.73913330000001</v>
      </c>
      <c r="P177" t="s">
        <v>40</v>
      </c>
      <c r="Q177" t="s">
        <v>41</v>
      </c>
      <c r="R177" t="s">
        <v>44</v>
      </c>
      <c r="S177" t="s">
        <v>44</v>
      </c>
      <c r="T177" t="s">
        <v>44</v>
      </c>
      <c r="U177" t="s">
        <v>44</v>
      </c>
      <c r="V177" t="s">
        <v>44</v>
      </c>
      <c r="W177" t="s">
        <v>44</v>
      </c>
      <c r="X177" t="s">
        <v>44</v>
      </c>
      <c r="Y177" t="s">
        <v>44</v>
      </c>
      <c r="Z177" t="s">
        <v>44</v>
      </c>
      <c r="AA177" t="s">
        <v>44</v>
      </c>
      <c r="AB177" t="s">
        <v>44</v>
      </c>
      <c r="AC177" t="s">
        <v>44</v>
      </c>
      <c r="AD177" t="s">
        <v>44</v>
      </c>
      <c r="AE177" t="s">
        <v>67</v>
      </c>
      <c r="AF177">
        <v>114</v>
      </c>
      <c r="AG177">
        <f t="shared" si="8"/>
        <v>2</v>
      </c>
      <c r="AH177" s="5">
        <f t="shared" si="9"/>
        <v>114</v>
      </c>
      <c r="AI177">
        <f t="shared" si="10"/>
        <v>2</v>
      </c>
      <c r="AJ177" t="str">
        <f t="shared" si="11"/>
        <v>MCD_north_L1</v>
      </c>
      <c r="AK177" t="s">
        <v>698</v>
      </c>
    </row>
    <row r="178" spans="1:37" ht="16.5" customHeight="1" x14ac:dyDescent="0.25">
      <c r="A178">
        <v>177</v>
      </c>
      <c r="B178" t="s">
        <v>456</v>
      </c>
      <c r="C178" t="s">
        <v>465</v>
      </c>
      <c r="D178" t="s">
        <v>466</v>
      </c>
      <c r="E178" t="s">
        <v>34</v>
      </c>
      <c r="F178">
        <v>2020</v>
      </c>
      <c r="G178" t="s">
        <v>35</v>
      </c>
      <c r="H178" t="s">
        <v>36</v>
      </c>
      <c r="I178" t="s">
        <v>37</v>
      </c>
      <c r="J178" t="s">
        <v>38</v>
      </c>
      <c r="K178" t="s">
        <v>39</v>
      </c>
      <c r="L178" t="s">
        <v>39</v>
      </c>
      <c r="M178" s="1">
        <v>44012</v>
      </c>
      <c r="N178">
        <v>47.198129999999999</v>
      </c>
      <c r="O178">
        <v>-122.7396</v>
      </c>
      <c r="P178" t="s">
        <v>40</v>
      </c>
      <c r="Q178" t="s">
        <v>41</v>
      </c>
      <c r="R178">
        <v>-1.7</v>
      </c>
      <c r="S178" t="s">
        <v>55</v>
      </c>
      <c r="T178">
        <v>2.5</v>
      </c>
      <c r="U178">
        <v>2.5</v>
      </c>
      <c r="V178">
        <v>6.25</v>
      </c>
      <c r="W178">
        <v>5</v>
      </c>
      <c r="X178">
        <v>0.15</v>
      </c>
      <c r="Y178">
        <v>20</v>
      </c>
      <c r="Z178">
        <v>500</v>
      </c>
      <c r="AA178">
        <v>80</v>
      </c>
      <c r="AB178">
        <v>100</v>
      </c>
      <c r="AC178" t="s">
        <v>31</v>
      </c>
      <c r="AD178" t="s">
        <v>467</v>
      </c>
      <c r="AE178" t="s">
        <v>90</v>
      </c>
      <c r="AF178">
        <v>115</v>
      </c>
      <c r="AG178">
        <f t="shared" si="8"/>
        <v>1</v>
      </c>
      <c r="AH178" s="5" t="str">
        <f t="shared" si="9"/>
        <v/>
      </c>
      <c r="AI178">
        <f t="shared" si="10"/>
        <v>1</v>
      </c>
      <c r="AJ178" t="str">
        <f t="shared" si="11"/>
        <v/>
      </c>
    </row>
    <row r="179" spans="1:37" ht="16.5" customHeight="1" x14ac:dyDescent="0.25">
      <c r="A179">
        <v>178</v>
      </c>
      <c r="B179" t="s">
        <v>468</v>
      </c>
      <c r="C179" t="s">
        <v>469</v>
      </c>
      <c r="D179" t="s">
        <v>470</v>
      </c>
      <c r="E179" t="s">
        <v>34</v>
      </c>
      <c r="F179">
        <v>2015</v>
      </c>
      <c r="G179" t="s">
        <v>44</v>
      </c>
      <c r="H179" t="s">
        <v>36</v>
      </c>
      <c r="I179" t="s">
        <v>142</v>
      </c>
      <c r="J179" t="s">
        <v>38</v>
      </c>
      <c r="K179" t="s">
        <v>39</v>
      </c>
      <c r="L179" t="s">
        <v>39</v>
      </c>
      <c r="M179" s="1">
        <v>42061</v>
      </c>
      <c r="N179">
        <v>47.224733333333297</v>
      </c>
      <c r="O179">
        <v>-122.67310000000001</v>
      </c>
      <c r="P179" t="s">
        <v>40</v>
      </c>
      <c r="Q179" t="s">
        <v>41</v>
      </c>
      <c r="R179">
        <v>-0.76200000000000001</v>
      </c>
      <c r="S179" t="s">
        <v>42</v>
      </c>
      <c r="T179">
        <v>5</v>
      </c>
      <c r="U179">
        <v>5</v>
      </c>
      <c r="V179">
        <v>25</v>
      </c>
      <c r="W179">
        <v>25</v>
      </c>
      <c r="X179">
        <v>0.625</v>
      </c>
      <c r="Y179">
        <v>125</v>
      </c>
      <c r="Z179">
        <v>500</v>
      </c>
      <c r="AA179">
        <v>20</v>
      </c>
      <c r="AB179">
        <v>20</v>
      </c>
      <c r="AC179" t="s">
        <v>50</v>
      </c>
      <c r="AD179" t="s">
        <v>44</v>
      </c>
      <c r="AE179" t="s">
        <v>51</v>
      </c>
      <c r="AF179">
        <v>116</v>
      </c>
      <c r="AG179">
        <f t="shared" si="8"/>
        <v>1</v>
      </c>
      <c r="AH179" s="5" t="str">
        <f t="shared" si="9"/>
        <v/>
      </c>
      <c r="AI179">
        <f t="shared" si="10"/>
        <v>1</v>
      </c>
      <c r="AJ179" t="str">
        <f t="shared" si="11"/>
        <v/>
      </c>
    </row>
    <row r="180" spans="1:37" ht="16.5" customHeight="1" x14ac:dyDescent="0.25">
      <c r="A180">
        <v>179</v>
      </c>
      <c r="B180" t="s">
        <v>468</v>
      </c>
      <c r="C180" t="s">
        <v>471</v>
      </c>
      <c r="D180" t="s">
        <v>472</v>
      </c>
      <c r="E180" t="s">
        <v>34</v>
      </c>
      <c r="F180">
        <v>2016</v>
      </c>
      <c r="G180" t="s">
        <v>44</v>
      </c>
      <c r="H180" t="s">
        <v>36</v>
      </c>
      <c r="I180" t="s">
        <v>142</v>
      </c>
      <c r="J180" t="s">
        <v>38</v>
      </c>
      <c r="K180" t="s">
        <v>39</v>
      </c>
      <c r="L180" t="s">
        <v>39</v>
      </c>
      <c r="M180" s="1">
        <v>42634</v>
      </c>
      <c r="N180">
        <v>47.191533333333297</v>
      </c>
      <c r="O180">
        <v>-122.67189999999999</v>
      </c>
      <c r="P180" t="s">
        <v>40</v>
      </c>
      <c r="Q180" t="s">
        <v>41</v>
      </c>
      <c r="R180">
        <v>-1.5849599999999999</v>
      </c>
      <c r="S180" t="s">
        <v>55</v>
      </c>
      <c r="T180">
        <v>2.5</v>
      </c>
      <c r="U180">
        <v>2.5</v>
      </c>
      <c r="V180">
        <v>6.25</v>
      </c>
      <c r="W180">
        <v>5</v>
      </c>
      <c r="X180">
        <v>0.15</v>
      </c>
      <c r="Y180">
        <v>20</v>
      </c>
      <c r="Z180">
        <v>500</v>
      </c>
      <c r="AA180">
        <v>80</v>
      </c>
      <c r="AB180">
        <v>100</v>
      </c>
      <c r="AC180" t="s">
        <v>56</v>
      </c>
      <c r="AD180" t="s">
        <v>44</v>
      </c>
      <c r="AE180" t="s">
        <v>129</v>
      </c>
      <c r="AF180">
        <v>117</v>
      </c>
      <c r="AG180">
        <f t="shared" si="8"/>
        <v>1</v>
      </c>
      <c r="AH180" s="5" t="str">
        <f t="shared" si="9"/>
        <v/>
      </c>
      <c r="AI180">
        <f t="shared" si="10"/>
        <v>1</v>
      </c>
      <c r="AJ180" t="str">
        <f t="shared" si="11"/>
        <v/>
      </c>
    </row>
    <row r="181" spans="1:37" ht="16.5" customHeight="1" x14ac:dyDescent="0.25">
      <c r="A181">
        <v>180</v>
      </c>
      <c r="B181" t="s">
        <v>468</v>
      </c>
      <c r="C181" t="s">
        <v>473</v>
      </c>
      <c r="D181" t="s">
        <v>474</v>
      </c>
      <c r="E181" t="s">
        <v>34</v>
      </c>
      <c r="F181">
        <v>2016</v>
      </c>
      <c r="G181" t="s">
        <v>44</v>
      </c>
      <c r="H181" t="s">
        <v>36</v>
      </c>
      <c r="I181" t="s">
        <v>142</v>
      </c>
      <c r="J181" t="s">
        <v>38</v>
      </c>
      <c r="K181" t="s">
        <v>39</v>
      </c>
      <c r="L181" t="s">
        <v>39</v>
      </c>
      <c r="M181" s="1">
        <v>42634</v>
      </c>
      <c r="N181">
        <v>47.191600000000001</v>
      </c>
      <c r="O181">
        <v>-122.671083333333</v>
      </c>
      <c r="P181" t="s">
        <v>40</v>
      </c>
      <c r="Q181" t="s">
        <v>41</v>
      </c>
      <c r="R181">
        <v>-1.7678400000000001</v>
      </c>
      <c r="S181" t="s">
        <v>55</v>
      </c>
      <c r="T181">
        <v>2.5</v>
      </c>
      <c r="U181">
        <v>2.5</v>
      </c>
      <c r="V181">
        <v>6.25</v>
      </c>
      <c r="W181">
        <v>5</v>
      </c>
      <c r="X181">
        <v>0.5</v>
      </c>
      <c r="Y181">
        <v>20</v>
      </c>
      <c r="Z181">
        <v>500</v>
      </c>
      <c r="AA181">
        <v>80</v>
      </c>
      <c r="AB181">
        <v>100</v>
      </c>
      <c r="AC181" t="s">
        <v>56</v>
      </c>
      <c r="AD181" t="s">
        <v>44</v>
      </c>
      <c r="AE181" t="s">
        <v>129</v>
      </c>
      <c r="AF181">
        <v>118</v>
      </c>
      <c r="AG181">
        <f t="shared" si="8"/>
        <v>1</v>
      </c>
      <c r="AH181" s="5" t="str">
        <f t="shared" si="9"/>
        <v/>
      </c>
      <c r="AI181">
        <f t="shared" si="10"/>
        <v>1</v>
      </c>
      <c r="AJ181" t="str">
        <f t="shared" si="11"/>
        <v/>
      </c>
    </row>
    <row r="182" spans="1:37" ht="16.5" customHeight="1" x14ac:dyDescent="0.25">
      <c r="A182">
        <v>181</v>
      </c>
      <c r="B182" t="s">
        <v>468</v>
      </c>
      <c r="C182" t="s">
        <v>475</v>
      </c>
      <c r="D182" t="s">
        <v>476</v>
      </c>
      <c r="E182" t="s">
        <v>34</v>
      </c>
      <c r="F182">
        <v>2016</v>
      </c>
      <c r="G182" t="s">
        <v>44</v>
      </c>
      <c r="H182" t="s">
        <v>36</v>
      </c>
      <c r="I182" t="s">
        <v>142</v>
      </c>
      <c r="J182" t="s">
        <v>38</v>
      </c>
      <c r="K182" t="s">
        <v>39</v>
      </c>
      <c r="L182" t="s">
        <v>39</v>
      </c>
      <c r="M182" s="1">
        <v>42634</v>
      </c>
      <c r="N182">
        <v>47.192450000000001</v>
      </c>
      <c r="O182">
        <v>-122.66495</v>
      </c>
      <c r="P182" t="s">
        <v>40</v>
      </c>
      <c r="Q182" t="s">
        <v>41</v>
      </c>
      <c r="R182">
        <v>-1.70688</v>
      </c>
      <c r="S182" t="s">
        <v>55</v>
      </c>
      <c r="T182">
        <v>2.5</v>
      </c>
      <c r="U182">
        <v>2.5</v>
      </c>
      <c r="V182">
        <v>6.25</v>
      </c>
      <c r="W182">
        <v>5</v>
      </c>
      <c r="X182">
        <v>0.5</v>
      </c>
      <c r="Y182">
        <v>20</v>
      </c>
      <c r="Z182">
        <v>500</v>
      </c>
      <c r="AA182">
        <v>80</v>
      </c>
      <c r="AB182">
        <v>100</v>
      </c>
      <c r="AC182" t="s">
        <v>56</v>
      </c>
      <c r="AD182" t="s">
        <v>44</v>
      </c>
      <c r="AE182" t="s">
        <v>129</v>
      </c>
      <c r="AF182">
        <v>119</v>
      </c>
      <c r="AG182">
        <f t="shared" si="8"/>
        <v>1</v>
      </c>
      <c r="AH182" s="5" t="str">
        <f t="shared" si="9"/>
        <v/>
      </c>
      <c r="AI182">
        <f t="shared" si="10"/>
        <v>1</v>
      </c>
      <c r="AJ182" t="str">
        <f t="shared" si="11"/>
        <v/>
      </c>
    </row>
    <row r="183" spans="1:37" ht="16.5" customHeight="1" x14ac:dyDescent="0.25">
      <c r="A183">
        <v>182</v>
      </c>
      <c r="B183" t="s">
        <v>468</v>
      </c>
      <c r="C183" t="s">
        <v>477</v>
      </c>
      <c r="D183" t="s">
        <v>478</v>
      </c>
      <c r="E183" t="s">
        <v>34</v>
      </c>
      <c r="F183">
        <v>2016</v>
      </c>
      <c r="G183" t="s">
        <v>44</v>
      </c>
      <c r="H183" t="s">
        <v>36</v>
      </c>
      <c r="I183" t="s">
        <v>142</v>
      </c>
      <c r="J183" t="s">
        <v>38</v>
      </c>
      <c r="K183" t="s">
        <v>39</v>
      </c>
      <c r="L183" t="s">
        <v>39</v>
      </c>
      <c r="M183" s="1">
        <v>42634</v>
      </c>
      <c r="N183">
        <v>47.218483333333303</v>
      </c>
      <c r="O183">
        <v>-122.667866666667</v>
      </c>
      <c r="P183" t="s">
        <v>40</v>
      </c>
      <c r="Q183" t="s">
        <v>41</v>
      </c>
      <c r="R183">
        <v>-1.8288</v>
      </c>
      <c r="S183" t="s">
        <v>55</v>
      </c>
      <c r="T183">
        <v>2.5</v>
      </c>
      <c r="U183">
        <v>2.5</v>
      </c>
      <c r="V183">
        <v>6.25</v>
      </c>
      <c r="W183">
        <v>5</v>
      </c>
      <c r="X183">
        <v>0.5</v>
      </c>
      <c r="Y183">
        <v>20</v>
      </c>
      <c r="Z183">
        <v>500</v>
      </c>
      <c r="AA183">
        <v>80</v>
      </c>
      <c r="AB183">
        <v>100</v>
      </c>
      <c r="AC183" t="s">
        <v>56</v>
      </c>
      <c r="AD183" t="s">
        <v>44</v>
      </c>
      <c r="AE183" t="s">
        <v>129</v>
      </c>
      <c r="AF183">
        <v>120</v>
      </c>
      <c r="AG183">
        <f t="shared" si="8"/>
        <v>1</v>
      </c>
      <c r="AH183" s="5" t="str">
        <f t="shared" si="9"/>
        <v/>
      </c>
      <c r="AI183">
        <f t="shared" si="10"/>
        <v>1</v>
      </c>
      <c r="AJ183" t="str">
        <f t="shared" si="11"/>
        <v/>
      </c>
    </row>
    <row r="184" spans="1:37" ht="16.5" customHeight="1" x14ac:dyDescent="0.25">
      <c r="A184">
        <v>183</v>
      </c>
      <c r="B184" t="s">
        <v>468</v>
      </c>
      <c r="C184" t="s">
        <v>479</v>
      </c>
      <c r="D184" t="s">
        <v>480</v>
      </c>
      <c r="E184" t="s">
        <v>414</v>
      </c>
      <c r="F184">
        <v>2016</v>
      </c>
      <c r="G184" t="s">
        <v>44</v>
      </c>
      <c r="H184" t="s">
        <v>36</v>
      </c>
      <c r="I184" t="s">
        <v>142</v>
      </c>
      <c r="J184" t="s">
        <v>38</v>
      </c>
      <c r="K184" t="s">
        <v>39</v>
      </c>
      <c r="L184" t="s">
        <v>39</v>
      </c>
      <c r="M184" s="1">
        <v>42634</v>
      </c>
      <c r="N184">
        <v>47.220333333333301</v>
      </c>
      <c r="O184">
        <v>-122.667266666667</v>
      </c>
      <c r="P184" t="s">
        <v>40</v>
      </c>
      <c r="Q184" t="s">
        <v>41</v>
      </c>
      <c r="R184">
        <v>-1.7678400000000001</v>
      </c>
      <c r="S184" t="s">
        <v>55</v>
      </c>
      <c r="T184">
        <v>2.5</v>
      </c>
      <c r="U184">
        <v>2</v>
      </c>
      <c r="V184">
        <v>5</v>
      </c>
      <c r="W184">
        <v>5</v>
      </c>
      <c r="X184">
        <v>0.5</v>
      </c>
      <c r="Y184">
        <v>20</v>
      </c>
      <c r="Z184">
        <v>500</v>
      </c>
      <c r="AA184">
        <v>100</v>
      </c>
      <c r="AB184">
        <v>100</v>
      </c>
      <c r="AC184" t="s">
        <v>56</v>
      </c>
      <c r="AD184" t="s">
        <v>481</v>
      </c>
      <c r="AE184" t="s">
        <v>129</v>
      </c>
      <c r="AF184">
        <v>121</v>
      </c>
      <c r="AG184">
        <f t="shared" si="8"/>
        <v>1</v>
      </c>
      <c r="AH184" s="5" t="str">
        <f t="shared" si="9"/>
        <v/>
      </c>
      <c r="AI184">
        <f t="shared" si="10"/>
        <v>2</v>
      </c>
      <c r="AJ184" s="6" t="str">
        <f t="shared" si="11"/>
        <v>MCN_still_2</v>
      </c>
      <c r="AK184" t="s">
        <v>414</v>
      </c>
    </row>
    <row r="185" spans="1:37" ht="16.5" customHeight="1" x14ac:dyDescent="0.25">
      <c r="A185">
        <v>184</v>
      </c>
      <c r="B185" t="s">
        <v>468</v>
      </c>
      <c r="C185" t="s">
        <v>482</v>
      </c>
      <c r="D185" t="s">
        <v>480</v>
      </c>
      <c r="E185" t="s">
        <v>414</v>
      </c>
      <c r="F185">
        <v>2016</v>
      </c>
      <c r="G185" t="s">
        <v>44</v>
      </c>
      <c r="H185" t="s">
        <v>36</v>
      </c>
      <c r="I185" t="s">
        <v>142</v>
      </c>
      <c r="J185" t="s">
        <v>38</v>
      </c>
      <c r="K185" t="s">
        <v>39</v>
      </c>
      <c r="L185" t="s">
        <v>39</v>
      </c>
      <c r="M185" s="1">
        <v>42634</v>
      </c>
      <c r="N185">
        <v>47.220333333333301</v>
      </c>
      <c r="O185">
        <v>-122.667266666667</v>
      </c>
      <c r="P185" t="s">
        <v>40</v>
      </c>
      <c r="Q185" t="s">
        <v>41</v>
      </c>
      <c r="R185">
        <v>-1.7678400000000001</v>
      </c>
      <c r="S185" t="s">
        <v>42</v>
      </c>
      <c r="T185">
        <v>2.5</v>
      </c>
      <c r="U185">
        <v>2</v>
      </c>
      <c r="V185">
        <v>5</v>
      </c>
      <c r="W185">
        <v>5</v>
      </c>
      <c r="X185">
        <v>0.625</v>
      </c>
      <c r="Y185">
        <v>125</v>
      </c>
      <c r="Z185">
        <v>500</v>
      </c>
      <c r="AA185">
        <v>100</v>
      </c>
      <c r="AB185">
        <v>100</v>
      </c>
      <c r="AC185" t="s">
        <v>56</v>
      </c>
      <c r="AD185" t="s">
        <v>481</v>
      </c>
      <c r="AE185" t="s">
        <v>129</v>
      </c>
      <c r="AF185">
        <v>122</v>
      </c>
      <c r="AG185">
        <f t="shared" si="8"/>
        <v>1</v>
      </c>
      <c r="AH185" s="5" t="str">
        <f t="shared" si="9"/>
        <v/>
      </c>
      <c r="AI185">
        <f t="shared" si="10"/>
        <v>2</v>
      </c>
      <c r="AJ185" s="6" t="str">
        <f t="shared" si="11"/>
        <v>MCN_still_2</v>
      </c>
      <c r="AK185" t="s">
        <v>414</v>
      </c>
    </row>
    <row r="186" spans="1:37" ht="16.5" customHeight="1" x14ac:dyDescent="0.25">
      <c r="A186">
        <v>185</v>
      </c>
      <c r="B186" t="s">
        <v>468</v>
      </c>
      <c r="C186" t="s">
        <v>483</v>
      </c>
      <c r="D186" t="s">
        <v>484</v>
      </c>
      <c r="E186" t="s">
        <v>34</v>
      </c>
      <c r="F186">
        <v>2017</v>
      </c>
      <c r="G186" t="s">
        <v>44</v>
      </c>
      <c r="H186" t="s">
        <v>36</v>
      </c>
      <c r="I186" t="s">
        <v>142</v>
      </c>
      <c r="J186" t="s">
        <v>38</v>
      </c>
      <c r="K186" t="s">
        <v>39</v>
      </c>
      <c r="L186" t="s">
        <v>39</v>
      </c>
      <c r="M186" s="1">
        <v>42893</v>
      </c>
      <c r="N186">
        <v>47.232016666666702</v>
      </c>
      <c r="O186">
        <v>-122.69750000000001</v>
      </c>
      <c r="P186" t="s">
        <v>40</v>
      </c>
      <c r="Q186" t="s">
        <v>41</v>
      </c>
      <c r="R186">
        <v>-1.2</v>
      </c>
      <c r="S186" t="s">
        <v>55</v>
      </c>
      <c r="T186">
        <v>2.5</v>
      </c>
      <c r="U186">
        <v>2</v>
      </c>
      <c r="V186">
        <v>5</v>
      </c>
      <c r="W186">
        <v>5</v>
      </c>
      <c r="X186">
        <v>0.5</v>
      </c>
      <c r="Y186">
        <v>20</v>
      </c>
      <c r="Z186">
        <v>500</v>
      </c>
      <c r="AA186">
        <v>100</v>
      </c>
      <c r="AB186">
        <v>100</v>
      </c>
      <c r="AC186" t="s">
        <v>43</v>
      </c>
      <c r="AD186" t="s">
        <v>44</v>
      </c>
      <c r="AE186" t="s">
        <v>129</v>
      </c>
      <c r="AF186">
        <v>123</v>
      </c>
      <c r="AG186">
        <f t="shared" si="8"/>
        <v>1</v>
      </c>
      <c r="AH186" s="5" t="str">
        <f t="shared" si="9"/>
        <v/>
      </c>
      <c r="AI186">
        <f t="shared" si="10"/>
        <v>1</v>
      </c>
      <c r="AJ186" t="str">
        <f t="shared" si="11"/>
        <v/>
      </c>
    </row>
    <row r="187" spans="1:37" ht="16.5" customHeight="1" x14ac:dyDescent="0.25">
      <c r="A187">
        <v>186</v>
      </c>
      <c r="B187" t="s">
        <v>468</v>
      </c>
      <c r="C187" t="s">
        <v>485</v>
      </c>
      <c r="D187" t="s">
        <v>486</v>
      </c>
      <c r="E187" t="s">
        <v>34</v>
      </c>
      <c r="F187">
        <v>2017</v>
      </c>
      <c r="G187" t="s">
        <v>44</v>
      </c>
      <c r="H187" t="s">
        <v>36</v>
      </c>
      <c r="I187" t="s">
        <v>142</v>
      </c>
      <c r="J187" t="s">
        <v>38</v>
      </c>
      <c r="K187" t="s">
        <v>39</v>
      </c>
      <c r="L187" t="s">
        <v>39</v>
      </c>
      <c r="M187" s="1">
        <v>42893</v>
      </c>
      <c r="N187">
        <v>47.232149999999997</v>
      </c>
      <c r="O187">
        <v>-122.697533333333</v>
      </c>
      <c r="P187" t="s">
        <v>40</v>
      </c>
      <c r="Q187" t="s">
        <v>41</v>
      </c>
      <c r="R187">
        <v>-1.7</v>
      </c>
      <c r="S187" t="s">
        <v>55</v>
      </c>
      <c r="T187">
        <v>2.5</v>
      </c>
      <c r="U187">
        <v>2</v>
      </c>
      <c r="V187">
        <v>5</v>
      </c>
      <c r="W187">
        <v>5</v>
      </c>
      <c r="X187">
        <v>0.5</v>
      </c>
      <c r="Y187">
        <v>20</v>
      </c>
      <c r="Z187">
        <v>500</v>
      </c>
      <c r="AA187">
        <v>100</v>
      </c>
      <c r="AB187">
        <v>100</v>
      </c>
      <c r="AC187" t="s">
        <v>43</v>
      </c>
      <c r="AD187" t="s">
        <v>44</v>
      </c>
      <c r="AE187" t="s">
        <v>129</v>
      </c>
      <c r="AF187">
        <v>124</v>
      </c>
      <c r="AG187">
        <f t="shared" si="8"/>
        <v>1</v>
      </c>
      <c r="AH187" s="5" t="str">
        <f t="shared" si="9"/>
        <v/>
      </c>
      <c r="AI187">
        <f t="shared" si="10"/>
        <v>1</v>
      </c>
      <c r="AJ187" t="str">
        <f t="shared" si="11"/>
        <v/>
      </c>
    </row>
    <row r="188" spans="1:37" ht="16.5" customHeight="1" x14ac:dyDescent="0.25">
      <c r="A188">
        <v>187</v>
      </c>
      <c r="B188" t="s">
        <v>468</v>
      </c>
      <c r="C188" t="s">
        <v>487</v>
      </c>
      <c r="D188" t="s">
        <v>488</v>
      </c>
      <c r="E188" t="s">
        <v>34</v>
      </c>
      <c r="F188">
        <v>2017</v>
      </c>
      <c r="G188" t="s">
        <v>44</v>
      </c>
      <c r="H188" t="s">
        <v>63</v>
      </c>
      <c r="I188" t="s">
        <v>142</v>
      </c>
      <c r="J188" t="s">
        <v>38</v>
      </c>
      <c r="K188" t="s">
        <v>77</v>
      </c>
      <c r="L188" t="s">
        <v>77</v>
      </c>
      <c r="M188" s="1">
        <v>42922</v>
      </c>
      <c r="N188">
        <v>47.191600000000001</v>
      </c>
      <c r="O188">
        <v>-122.6711</v>
      </c>
      <c r="P188" t="s">
        <v>40</v>
      </c>
      <c r="Q188" t="s">
        <v>41</v>
      </c>
      <c r="R188">
        <v>-2.4</v>
      </c>
      <c r="S188" t="s">
        <v>55</v>
      </c>
      <c r="T188">
        <v>24</v>
      </c>
      <c r="U188">
        <v>5</v>
      </c>
      <c r="V188">
        <v>120</v>
      </c>
      <c r="W188">
        <v>58.25</v>
      </c>
      <c r="X188">
        <v>5.8250000000000002</v>
      </c>
      <c r="Y188">
        <v>233</v>
      </c>
      <c r="Z188">
        <v>5825</v>
      </c>
      <c r="AA188">
        <v>48.5416666666667</v>
      </c>
      <c r="AB188">
        <v>100</v>
      </c>
      <c r="AC188" t="s">
        <v>43</v>
      </c>
      <c r="AD188" t="s">
        <v>44</v>
      </c>
      <c r="AE188" t="s">
        <v>129</v>
      </c>
      <c r="AF188">
        <v>125</v>
      </c>
      <c r="AG188">
        <f t="shared" si="8"/>
        <v>2</v>
      </c>
      <c r="AH188" s="5">
        <f t="shared" si="9"/>
        <v>125</v>
      </c>
      <c r="AI188">
        <f t="shared" si="10"/>
        <v>2</v>
      </c>
      <c r="AJ188" t="str">
        <f t="shared" si="11"/>
        <v>MCN_south_L2</v>
      </c>
      <c r="AK188" t="s">
        <v>698</v>
      </c>
    </row>
    <row r="189" spans="1:37" ht="16.5" customHeight="1" x14ac:dyDescent="0.25">
      <c r="A189">
        <v>188</v>
      </c>
      <c r="B189" t="s">
        <v>468</v>
      </c>
      <c r="C189" t="s">
        <v>487</v>
      </c>
      <c r="D189" t="s">
        <v>488</v>
      </c>
      <c r="E189" t="s">
        <v>34</v>
      </c>
      <c r="F189">
        <v>2017</v>
      </c>
      <c r="G189" t="s">
        <v>44</v>
      </c>
      <c r="H189" t="s">
        <v>63</v>
      </c>
      <c r="I189" t="s">
        <v>142</v>
      </c>
      <c r="J189" t="s">
        <v>38</v>
      </c>
      <c r="K189" t="s">
        <v>77</v>
      </c>
      <c r="L189" t="s">
        <v>69</v>
      </c>
      <c r="M189" s="1">
        <v>42922</v>
      </c>
      <c r="N189">
        <v>47.191659999999999</v>
      </c>
      <c r="O189">
        <v>-122.67077999999999</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129</v>
      </c>
      <c r="AF189">
        <v>125</v>
      </c>
      <c r="AG189">
        <f t="shared" si="8"/>
        <v>2</v>
      </c>
      <c r="AH189" s="5">
        <f t="shared" si="9"/>
        <v>125</v>
      </c>
      <c r="AI189">
        <f t="shared" si="10"/>
        <v>2</v>
      </c>
      <c r="AJ189" t="str">
        <f t="shared" si="11"/>
        <v>MCN_south_L2</v>
      </c>
      <c r="AK189" t="s">
        <v>698</v>
      </c>
    </row>
    <row r="190" spans="1:37" ht="16.5" customHeight="1" x14ac:dyDescent="0.25">
      <c r="A190">
        <v>189</v>
      </c>
      <c r="B190" t="s">
        <v>468</v>
      </c>
      <c r="C190" t="s">
        <v>489</v>
      </c>
      <c r="D190" t="s">
        <v>490</v>
      </c>
      <c r="E190" t="s">
        <v>34</v>
      </c>
      <c r="F190">
        <v>2017</v>
      </c>
      <c r="G190" t="s">
        <v>44</v>
      </c>
      <c r="H190" t="s">
        <v>63</v>
      </c>
      <c r="I190" t="s">
        <v>142</v>
      </c>
      <c r="J190" t="s">
        <v>38</v>
      </c>
      <c r="K190" t="s">
        <v>77</v>
      </c>
      <c r="L190" t="s">
        <v>77</v>
      </c>
      <c r="M190" s="1">
        <v>42923</v>
      </c>
      <c r="N190">
        <v>47.192450000000001</v>
      </c>
      <c r="O190">
        <v>-122.66495</v>
      </c>
      <c r="P190" t="s">
        <v>40</v>
      </c>
      <c r="Q190" t="s">
        <v>41</v>
      </c>
      <c r="R190">
        <v>-0.6</v>
      </c>
      <c r="S190" t="s">
        <v>55</v>
      </c>
      <c r="T190">
        <v>8</v>
      </c>
      <c r="U190">
        <v>5</v>
      </c>
      <c r="V190">
        <v>40</v>
      </c>
      <c r="W190">
        <v>20</v>
      </c>
      <c r="X190">
        <v>2</v>
      </c>
      <c r="Y190">
        <v>80</v>
      </c>
      <c r="Z190">
        <v>2000</v>
      </c>
      <c r="AA190">
        <v>50</v>
      </c>
      <c r="AB190">
        <v>100</v>
      </c>
      <c r="AC190" t="s">
        <v>43</v>
      </c>
      <c r="AD190" t="s">
        <v>491</v>
      </c>
      <c r="AE190" t="s">
        <v>129</v>
      </c>
      <c r="AF190">
        <v>126</v>
      </c>
      <c r="AG190">
        <f t="shared" si="8"/>
        <v>2</v>
      </c>
      <c r="AH190" s="5">
        <f t="shared" si="9"/>
        <v>126</v>
      </c>
      <c r="AI190">
        <f t="shared" si="10"/>
        <v>2</v>
      </c>
      <c r="AJ190" t="str">
        <f t="shared" si="11"/>
        <v>MCN_south_L1</v>
      </c>
      <c r="AK190" t="s">
        <v>698</v>
      </c>
    </row>
    <row r="191" spans="1:37" ht="16.5" customHeight="1" x14ac:dyDescent="0.25">
      <c r="A191">
        <v>190</v>
      </c>
      <c r="B191" t="s">
        <v>468</v>
      </c>
      <c r="C191" t="s">
        <v>489</v>
      </c>
      <c r="D191" t="s">
        <v>490</v>
      </c>
      <c r="E191" t="s">
        <v>34</v>
      </c>
      <c r="F191">
        <v>2017</v>
      </c>
      <c r="G191" t="s">
        <v>44</v>
      </c>
      <c r="H191" t="s">
        <v>63</v>
      </c>
      <c r="I191" t="s">
        <v>142</v>
      </c>
      <c r="J191" t="s">
        <v>38</v>
      </c>
      <c r="K191" t="s">
        <v>77</v>
      </c>
      <c r="L191" t="s">
        <v>69</v>
      </c>
      <c r="M191" s="1">
        <v>42923</v>
      </c>
      <c r="N191">
        <v>47.192480000000003</v>
      </c>
      <c r="O191">
        <v>-122.66473999999999</v>
      </c>
      <c r="P191" t="s">
        <v>40</v>
      </c>
      <c r="Q191" t="s">
        <v>41</v>
      </c>
      <c r="R191" t="s">
        <v>44</v>
      </c>
      <c r="S191" t="s">
        <v>44</v>
      </c>
      <c r="T191" t="s">
        <v>44</v>
      </c>
      <c r="U191" t="s">
        <v>44</v>
      </c>
      <c r="V191" t="s">
        <v>44</v>
      </c>
      <c r="W191" t="s">
        <v>44</v>
      </c>
      <c r="X191" t="s">
        <v>44</v>
      </c>
      <c r="Y191" t="s">
        <v>44</v>
      </c>
      <c r="Z191" t="s">
        <v>44</v>
      </c>
      <c r="AA191" t="s">
        <v>44</v>
      </c>
      <c r="AB191" t="s">
        <v>44</v>
      </c>
      <c r="AC191" t="s">
        <v>44</v>
      </c>
      <c r="AD191" t="s">
        <v>44</v>
      </c>
      <c r="AE191" t="s">
        <v>129</v>
      </c>
      <c r="AF191">
        <v>126</v>
      </c>
      <c r="AG191">
        <f t="shared" si="8"/>
        <v>2</v>
      </c>
      <c r="AH191" s="5">
        <f t="shared" si="9"/>
        <v>126</v>
      </c>
      <c r="AI191">
        <f t="shared" si="10"/>
        <v>2</v>
      </c>
      <c r="AJ191" t="str">
        <f t="shared" si="11"/>
        <v>MCN_south_L1</v>
      </c>
      <c r="AK191" t="s">
        <v>698</v>
      </c>
    </row>
    <row r="192" spans="1:37" ht="16.5" customHeight="1" x14ac:dyDescent="0.25">
      <c r="A192">
        <v>191</v>
      </c>
      <c r="B192" t="s">
        <v>468</v>
      </c>
      <c r="C192" t="s">
        <v>492</v>
      </c>
      <c r="D192" t="s">
        <v>493</v>
      </c>
      <c r="E192" t="s">
        <v>34</v>
      </c>
      <c r="F192">
        <v>2017</v>
      </c>
      <c r="G192" t="s">
        <v>44</v>
      </c>
      <c r="H192" t="s">
        <v>63</v>
      </c>
      <c r="I192" t="s">
        <v>142</v>
      </c>
      <c r="J192" t="s">
        <v>38</v>
      </c>
      <c r="K192" t="s">
        <v>77</v>
      </c>
      <c r="L192" t="s">
        <v>77</v>
      </c>
      <c r="M192" s="1">
        <v>42924</v>
      </c>
      <c r="N192">
        <v>47.19153</v>
      </c>
      <c r="O192">
        <v>-122.67189999999999</v>
      </c>
      <c r="P192" t="s">
        <v>40</v>
      </c>
      <c r="Q192" t="s">
        <v>41</v>
      </c>
      <c r="R192">
        <v>-1.6</v>
      </c>
      <c r="S192" t="s">
        <v>55</v>
      </c>
      <c r="T192">
        <v>16</v>
      </c>
      <c r="U192">
        <v>5</v>
      </c>
      <c r="V192">
        <v>80</v>
      </c>
      <c r="W192">
        <v>40</v>
      </c>
      <c r="X192">
        <v>4</v>
      </c>
      <c r="Y192">
        <v>160</v>
      </c>
      <c r="Z192">
        <v>4000</v>
      </c>
      <c r="AA192">
        <v>50</v>
      </c>
      <c r="AB192">
        <v>100</v>
      </c>
      <c r="AC192" t="s">
        <v>43</v>
      </c>
      <c r="AD192" t="s">
        <v>494</v>
      </c>
      <c r="AE192" t="s">
        <v>129</v>
      </c>
      <c r="AF192">
        <v>127</v>
      </c>
      <c r="AG192">
        <f t="shared" si="8"/>
        <v>2</v>
      </c>
      <c r="AH192" s="5">
        <f t="shared" si="9"/>
        <v>127</v>
      </c>
      <c r="AI192">
        <f t="shared" si="10"/>
        <v>2</v>
      </c>
      <c r="AJ192" t="str">
        <f t="shared" si="11"/>
        <v>MCN_south_L3</v>
      </c>
      <c r="AK192" t="s">
        <v>698</v>
      </c>
    </row>
    <row r="193" spans="1:38" ht="16.5" customHeight="1" x14ac:dyDescent="0.25">
      <c r="A193">
        <v>192</v>
      </c>
      <c r="B193" t="s">
        <v>468</v>
      </c>
      <c r="C193" t="s">
        <v>492</v>
      </c>
      <c r="D193" t="s">
        <v>493</v>
      </c>
      <c r="E193" t="s">
        <v>34</v>
      </c>
      <c r="F193">
        <v>2017</v>
      </c>
      <c r="G193" t="s">
        <v>44</v>
      </c>
      <c r="H193" t="s">
        <v>63</v>
      </c>
      <c r="I193" t="s">
        <v>142</v>
      </c>
      <c r="J193" t="s">
        <v>38</v>
      </c>
      <c r="K193" t="s">
        <v>77</v>
      </c>
      <c r="L193" t="s">
        <v>69</v>
      </c>
      <c r="M193" s="1">
        <v>42924</v>
      </c>
      <c r="N193">
        <v>47.191470000000002</v>
      </c>
      <c r="O193">
        <v>-122.67221000000001</v>
      </c>
      <c r="P193" t="s">
        <v>40</v>
      </c>
      <c r="Q193" t="s">
        <v>41</v>
      </c>
      <c r="R193" t="s">
        <v>44</v>
      </c>
      <c r="S193" t="s">
        <v>44</v>
      </c>
      <c r="T193" t="s">
        <v>44</v>
      </c>
      <c r="U193" t="s">
        <v>44</v>
      </c>
      <c r="V193" t="s">
        <v>44</v>
      </c>
      <c r="W193" t="s">
        <v>44</v>
      </c>
      <c r="X193" t="s">
        <v>44</v>
      </c>
      <c r="Y193" t="s">
        <v>44</v>
      </c>
      <c r="Z193" t="s">
        <v>44</v>
      </c>
      <c r="AA193" t="s">
        <v>44</v>
      </c>
      <c r="AB193" t="s">
        <v>44</v>
      </c>
      <c r="AC193" t="s">
        <v>44</v>
      </c>
      <c r="AD193" t="s">
        <v>44</v>
      </c>
      <c r="AE193" t="s">
        <v>129</v>
      </c>
      <c r="AF193">
        <v>127</v>
      </c>
      <c r="AG193">
        <f t="shared" si="8"/>
        <v>2</v>
      </c>
      <c r="AH193" s="5">
        <f t="shared" si="9"/>
        <v>127</v>
      </c>
      <c r="AI193">
        <f t="shared" si="10"/>
        <v>2</v>
      </c>
      <c r="AJ193" t="str">
        <f t="shared" si="11"/>
        <v>MCN_south_L3</v>
      </c>
      <c r="AK193" t="s">
        <v>698</v>
      </c>
    </row>
    <row r="194" spans="1:38" ht="16.5" customHeight="1" x14ac:dyDescent="0.25">
      <c r="A194">
        <v>193</v>
      </c>
      <c r="B194" t="s">
        <v>495</v>
      </c>
      <c r="C194" t="s">
        <v>496</v>
      </c>
      <c r="D194" t="s">
        <v>497</v>
      </c>
      <c r="E194" t="s">
        <v>34</v>
      </c>
      <c r="F194">
        <v>2017</v>
      </c>
      <c r="G194" t="s">
        <v>44</v>
      </c>
      <c r="H194" t="s">
        <v>36</v>
      </c>
      <c r="I194" t="s">
        <v>498</v>
      </c>
      <c r="J194" t="s">
        <v>38</v>
      </c>
      <c r="K194" t="s">
        <v>39</v>
      </c>
      <c r="L194" t="s">
        <v>39</v>
      </c>
      <c r="M194" s="1">
        <v>42978</v>
      </c>
      <c r="N194">
        <v>47.616869999999999</v>
      </c>
      <c r="O194">
        <v>-122.49728</v>
      </c>
      <c r="P194" t="s">
        <v>40</v>
      </c>
      <c r="Q194" t="s">
        <v>41</v>
      </c>
      <c r="R194">
        <v>-2.4</v>
      </c>
      <c r="S194" t="s">
        <v>55</v>
      </c>
      <c r="T194">
        <v>2.5</v>
      </c>
      <c r="U194">
        <v>2.5</v>
      </c>
      <c r="V194">
        <v>6.25</v>
      </c>
      <c r="W194">
        <v>4.5</v>
      </c>
      <c r="X194">
        <v>0.45</v>
      </c>
      <c r="Y194">
        <v>18</v>
      </c>
      <c r="Z194">
        <v>450</v>
      </c>
      <c r="AA194">
        <v>72</v>
      </c>
      <c r="AB194">
        <v>100</v>
      </c>
      <c r="AC194" t="s">
        <v>125</v>
      </c>
      <c r="AD194" t="s">
        <v>499</v>
      </c>
      <c r="AE194" t="s">
        <v>129</v>
      </c>
      <c r="AF194">
        <v>128</v>
      </c>
      <c r="AG194">
        <f t="shared" si="8"/>
        <v>1</v>
      </c>
      <c r="AH194" s="5" t="str">
        <f t="shared" si="9"/>
        <v/>
      </c>
      <c r="AI194">
        <f t="shared" si="10"/>
        <v>1</v>
      </c>
      <c r="AJ194" t="str">
        <f t="shared" si="11"/>
        <v/>
      </c>
    </row>
    <row r="195" spans="1:38" ht="16.5" customHeight="1" x14ac:dyDescent="0.25">
      <c r="A195">
        <v>194</v>
      </c>
      <c r="B195" t="s">
        <v>495</v>
      </c>
      <c r="C195" t="s">
        <v>500</v>
      </c>
      <c r="D195" t="s">
        <v>501</v>
      </c>
      <c r="E195" t="s">
        <v>34</v>
      </c>
      <c r="F195">
        <v>2017</v>
      </c>
      <c r="G195" t="s">
        <v>44</v>
      </c>
      <c r="H195" t="s">
        <v>36</v>
      </c>
      <c r="I195" t="s">
        <v>498</v>
      </c>
      <c r="J195" t="s">
        <v>38</v>
      </c>
      <c r="K195" t="s">
        <v>39</v>
      </c>
      <c r="L195" t="s">
        <v>39</v>
      </c>
      <c r="M195" s="1">
        <v>42978</v>
      </c>
      <c r="N195">
        <v>47.61683</v>
      </c>
      <c r="O195">
        <v>-122.49723</v>
      </c>
      <c r="P195" t="s">
        <v>40</v>
      </c>
      <c r="Q195" t="s">
        <v>41</v>
      </c>
      <c r="R195">
        <v>-2.4</v>
      </c>
      <c r="S195" t="s">
        <v>55</v>
      </c>
      <c r="T195">
        <v>2.5</v>
      </c>
      <c r="U195">
        <v>2.5</v>
      </c>
      <c r="V195">
        <v>6.25</v>
      </c>
      <c r="W195">
        <v>5</v>
      </c>
      <c r="X195">
        <v>0.5</v>
      </c>
      <c r="Y195">
        <v>20</v>
      </c>
      <c r="Z195">
        <v>500</v>
      </c>
      <c r="AA195">
        <v>80</v>
      </c>
      <c r="AB195">
        <v>100</v>
      </c>
      <c r="AC195" t="s">
        <v>125</v>
      </c>
      <c r="AD195" t="s">
        <v>499</v>
      </c>
      <c r="AE195" t="s">
        <v>129</v>
      </c>
      <c r="AF195">
        <v>129</v>
      </c>
      <c r="AG195">
        <f t="shared" ref="AG195:AG258" si="12">COUNTIF(AF:AF,AF195)</f>
        <v>1</v>
      </c>
      <c r="AH195" s="5" t="str">
        <f t="shared" ref="AH195:AH258" si="13">IF(AG195&gt;1,AF195,"")</f>
        <v/>
      </c>
      <c r="AI195">
        <f t="shared" ref="AI195:AI258" si="14">COUNTIF(D:D,D195)</f>
        <v>1</v>
      </c>
      <c r="AJ195" t="str">
        <f t="shared" ref="AJ195:AJ258" si="15">IF(AI195&gt;1,D195,"")</f>
        <v/>
      </c>
    </row>
    <row r="196" spans="1:38" ht="16.5" customHeight="1" x14ac:dyDescent="0.25">
      <c r="A196">
        <v>195</v>
      </c>
      <c r="B196" t="s">
        <v>502</v>
      </c>
      <c r="C196" t="s">
        <v>503</v>
      </c>
      <c r="D196" t="s">
        <v>504</v>
      </c>
      <c r="E196" t="s">
        <v>34</v>
      </c>
      <c r="F196">
        <v>2021</v>
      </c>
      <c r="G196" t="s">
        <v>44</v>
      </c>
      <c r="H196" t="s">
        <v>36</v>
      </c>
      <c r="I196" t="s">
        <v>505</v>
      </c>
      <c r="J196" t="s">
        <v>38</v>
      </c>
      <c r="K196" t="s">
        <v>39</v>
      </c>
      <c r="L196" t="s">
        <v>39</v>
      </c>
      <c r="M196" s="1">
        <v>44344</v>
      </c>
      <c r="N196">
        <v>47.620460000000001</v>
      </c>
      <c r="O196">
        <v>-122.36398</v>
      </c>
      <c r="P196" t="s">
        <v>40</v>
      </c>
      <c r="Q196" t="s">
        <v>41</v>
      </c>
      <c r="R196">
        <v>-1.5</v>
      </c>
      <c r="S196" t="s">
        <v>55</v>
      </c>
      <c r="T196">
        <v>1.5</v>
      </c>
      <c r="U196">
        <v>1</v>
      </c>
      <c r="V196">
        <v>1.5</v>
      </c>
      <c r="W196">
        <v>3.75</v>
      </c>
      <c r="X196">
        <v>0.375</v>
      </c>
      <c r="Y196">
        <v>15</v>
      </c>
      <c r="Z196">
        <v>300</v>
      </c>
      <c r="AA196">
        <v>200</v>
      </c>
      <c r="AB196">
        <v>80</v>
      </c>
      <c r="AC196" t="s">
        <v>99</v>
      </c>
      <c r="AD196" t="s">
        <v>506</v>
      </c>
      <c r="AE196" t="s">
        <v>184</v>
      </c>
      <c r="AF196">
        <v>130</v>
      </c>
      <c r="AG196">
        <f t="shared" si="12"/>
        <v>1</v>
      </c>
      <c r="AH196" s="5" t="str">
        <f t="shared" si="13"/>
        <v/>
      </c>
      <c r="AI196">
        <f t="shared" si="14"/>
        <v>2</v>
      </c>
      <c r="AJ196" s="6" t="str">
        <f t="shared" si="15"/>
        <v>MRE_1</v>
      </c>
      <c r="AK196" t="s">
        <v>414</v>
      </c>
      <c r="AL196" t="s">
        <v>706</v>
      </c>
    </row>
    <row r="197" spans="1:38" ht="16.5" customHeight="1" x14ac:dyDescent="0.25">
      <c r="A197">
        <v>196</v>
      </c>
      <c r="B197" t="s">
        <v>502</v>
      </c>
      <c r="C197" t="s">
        <v>507</v>
      </c>
      <c r="D197" t="s">
        <v>504</v>
      </c>
      <c r="E197" t="s">
        <v>34</v>
      </c>
      <c r="F197">
        <v>2021</v>
      </c>
      <c r="G197" t="s">
        <v>44</v>
      </c>
      <c r="H197" t="s">
        <v>36</v>
      </c>
      <c r="I197" t="s">
        <v>505</v>
      </c>
      <c r="J197" t="s">
        <v>38</v>
      </c>
      <c r="K197" t="s">
        <v>39</v>
      </c>
      <c r="L197" t="s">
        <v>39</v>
      </c>
      <c r="M197" s="1">
        <v>44344</v>
      </c>
      <c r="N197">
        <v>47.620460000000001</v>
      </c>
      <c r="O197">
        <v>-122.36398</v>
      </c>
      <c r="P197" t="s">
        <v>40</v>
      </c>
      <c r="Q197" t="s">
        <v>41</v>
      </c>
      <c r="R197">
        <v>-1.5</v>
      </c>
      <c r="S197" t="s">
        <v>55</v>
      </c>
      <c r="T197">
        <v>1</v>
      </c>
      <c r="U197">
        <v>1</v>
      </c>
      <c r="V197">
        <v>1</v>
      </c>
      <c r="W197">
        <v>3</v>
      </c>
      <c r="X197">
        <v>0.3</v>
      </c>
      <c r="Y197">
        <v>12</v>
      </c>
      <c r="Z197">
        <v>240</v>
      </c>
      <c r="AA197">
        <v>240</v>
      </c>
      <c r="AB197">
        <v>80</v>
      </c>
      <c r="AC197" t="s">
        <v>113</v>
      </c>
      <c r="AD197" t="s">
        <v>508</v>
      </c>
      <c r="AE197" t="s">
        <v>184</v>
      </c>
      <c r="AF197">
        <v>131</v>
      </c>
      <c r="AG197">
        <f t="shared" si="12"/>
        <v>1</v>
      </c>
      <c r="AH197" s="5" t="str">
        <f t="shared" si="13"/>
        <v/>
      </c>
      <c r="AI197">
        <f t="shared" si="14"/>
        <v>2</v>
      </c>
      <c r="AJ197" s="6" t="str">
        <f t="shared" si="15"/>
        <v>MRE_1</v>
      </c>
      <c r="AK197" t="s">
        <v>414</v>
      </c>
    </row>
    <row r="198" spans="1:38" ht="16.5" customHeight="1" x14ac:dyDescent="0.25">
      <c r="A198">
        <v>197</v>
      </c>
      <c r="B198" t="s">
        <v>502</v>
      </c>
      <c r="C198" t="s">
        <v>509</v>
      </c>
      <c r="D198" t="s">
        <v>510</v>
      </c>
      <c r="E198" t="s">
        <v>34</v>
      </c>
      <c r="F198">
        <v>2022</v>
      </c>
      <c r="G198" t="s">
        <v>44</v>
      </c>
      <c r="H198" t="s">
        <v>36</v>
      </c>
      <c r="I198" t="s">
        <v>505</v>
      </c>
      <c r="J198" t="s">
        <v>38</v>
      </c>
      <c r="K198" t="s">
        <v>39</v>
      </c>
      <c r="L198" t="s">
        <v>39</v>
      </c>
      <c r="M198" s="1">
        <v>44698</v>
      </c>
      <c r="N198">
        <v>47.620460000000001</v>
      </c>
      <c r="O198">
        <v>-122.36398</v>
      </c>
      <c r="P198" t="s">
        <v>40</v>
      </c>
      <c r="Q198" t="s">
        <v>41</v>
      </c>
      <c r="R198">
        <v>-1.5</v>
      </c>
      <c r="S198" t="s">
        <v>55</v>
      </c>
      <c r="T198">
        <v>1</v>
      </c>
      <c r="U198">
        <v>0.5</v>
      </c>
      <c r="V198">
        <v>0.5</v>
      </c>
      <c r="W198">
        <v>1.5</v>
      </c>
      <c r="X198">
        <v>0.15</v>
      </c>
      <c r="Y198">
        <v>6</v>
      </c>
      <c r="Z198">
        <v>120</v>
      </c>
      <c r="AA198">
        <v>240</v>
      </c>
      <c r="AB198">
        <v>80</v>
      </c>
      <c r="AC198" t="s">
        <v>99</v>
      </c>
      <c r="AD198" t="s">
        <v>511</v>
      </c>
      <c r="AE198" t="s">
        <v>184</v>
      </c>
      <c r="AF198">
        <v>132</v>
      </c>
      <c r="AG198">
        <f t="shared" si="12"/>
        <v>1</v>
      </c>
      <c r="AH198" s="5" t="str">
        <f t="shared" si="13"/>
        <v/>
      </c>
      <c r="AI198">
        <f t="shared" si="14"/>
        <v>2</v>
      </c>
      <c r="AJ198" s="6" t="str">
        <f t="shared" si="15"/>
        <v>MRE_2</v>
      </c>
      <c r="AK198" s="8" t="s">
        <v>704</v>
      </c>
    </row>
    <row r="199" spans="1:38" ht="16.5" customHeight="1" x14ac:dyDescent="0.25">
      <c r="A199">
        <v>198</v>
      </c>
      <c r="B199" t="s">
        <v>502</v>
      </c>
      <c r="C199" t="s">
        <v>512</v>
      </c>
      <c r="D199" t="s">
        <v>510</v>
      </c>
      <c r="E199" t="s">
        <v>34</v>
      </c>
      <c r="F199">
        <v>2022</v>
      </c>
      <c r="G199" t="s">
        <v>44</v>
      </c>
      <c r="H199" t="s">
        <v>36</v>
      </c>
      <c r="I199" t="s">
        <v>505</v>
      </c>
      <c r="J199" t="s">
        <v>38</v>
      </c>
      <c r="K199" t="s">
        <v>39</v>
      </c>
      <c r="L199" t="s">
        <v>39</v>
      </c>
      <c r="M199" s="1">
        <v>44698</v>
      </c>
      <c r="N199" t="s">
        <v>44</v>
      </c>
      <c r="O199" t="s">
        <v>44</v>
      </c>
      <c r="P199" t="s">
        <v>40</v>
      </c>
      <c r="Q199" t="s">
        <v>41</v>
      </c>
      <c r="R199">
        <v>-1.6</v>
      </c>
      <c r="S199" t="s">
        <v>55</v>
      </c>
      <c r="T199">
        <v>2.5</v>
      </c>
      <c r="U199">
        <v>1</v>
      </c>
      <c r="V199">
        <v>2.5</v>
      </c>
      <c r="W199">
        <v>7.75</v>
      </c>
      <c r="X199">
        <v>0.77500000000000002</v>
      </c>
      <c r="Y199">
        <v>31</v>
      </c>
      <c r="Z199">
        <v>620</v>
      </c>
      <c r="AA199">
        <v>248</v>
      </c>
      <c r="AB199">
        <v>80</v>
      </c>
      <c r="AC199" t="s">
        <v>99</v>
      </c>
      <c r="AD199" t="s">
        <v>513</v>
      </c>
      <c r="AE199" t="s">
        <v>184</v>
      </c>
      <c r="AF199">
        <v>133</v>
      </c>
      <c r="AG199">
        <f t="shared" si="12"/>
        <v>1</v>
      </c>
      <c r="AH199" s="5" t="str">
        <f t="shared" si="13"/>
        <v/>
      </c>
      <c r="AI199">
        <f t="shared" si="14"/>
        <v>2</v>
      </c>
      <c r="AJ199" s="6" t="str">
        <f t="shared" si="15"/>
        <v>MRE_2</v>
      </c>
      <c r="AK199" s="8" t="s">
        <v>704</v>
      </c>
    </row>
    <row r="200" spans="1:38" ht="16.5" customHeight="1" x14ac:dyDescent="0.25">
      <c r="A200">
        <v>199</v>
      </c>
      <c r="B200" t="s">
        <v>514</v>
      </c>
      <c r="C200" t="s">
        <v>515</v>
      </c>
      <c r="D200" t="s">
        <v>516</v>
      </c>
      <c r="E200" t="s">
        <v>34</v>
      </c>
      <c r="F200">
        <v>2015</v>
      </c>
      <c r="G200" t="s">
        <v>44</v>
      </c>
      <c r="H200" t="s">
        <v>36</v>
      </c>
      <c r="I200" t="s">
        <v>124</v>
      </c>
      <c r="J200" t="s">
        <v>38</v>
      </c>
      <c r="K200" t="s">
        <v>39</v>
      </c>
      <c r="L200" t="s">
        <v>39</v>
      </c>
      <c r="M200" s="1">
        <v>42053</v>
      </c>
      <c r="N200">
        <v>47.592083333333299</v>
      </c>
      <c r="O200">
        <v>-122.679066666667</v>
      </c>
      <c r="P200" t="s">
        <v>40</v>
      </c>
      <c r="Q200" t="s">
        <v>41</v>
      </c>
      <c r="R200">
        <v>-1.4325600000000001</v>
      </c>
      <c r="S200" t="s">
        <v>42</v>
      </c>
      <c r="T200">
        <v>5</v>
      </c>
      <c r="U200">
        <v>5</v>
      </c>
      <c r="V200">
        <v>25</v>
      </c>
      <c r="W200">
        <v>25</v>
      </c>
      <c r="X200">
        <v>0.625</v>
      </c>
      <c r="Y200">
        <v>125</v>
      </c>
      <c r="Z200">
        <v>500</v>
      </c>
      <c r="AA200">
        <v>20</v>
      </c>
      <c r="AB200">
        <v>20</v>
      </c>
      <c r="AC200" t="s">
        <v>125</v>
      </c>
      <c r="AD200" t="s">
        <v>44</v>
      </c>
      <c r="AE200" t="s">
        <v>51</v>
      </c>
      <c r="AF200">
        <v>134</v>
      </c>
      <c r="AG200">
        <f t="shared" si="12"/>
        <v>1</v>
      </c>
      <c r="AH200" s="5" t="str">
        <f t="shared" si="13"/>
        <v/>
      </c>
      <c r="AI200">
        <f t="shared" si="14"/>
        <v>1</v>
      </c>
      <c r="AJ200" t="str">
        <f t="shared" si="15"/>
        <v/>
      </c>
    </row>
    <row r="201" spans="1:38" ht="16.5" customHeight="1" x14ac:dyDescent="0.25">
      <c r="A201">
        <v>200</v>
      </c>
      <c r="B201" t="s">
        <v>517</v>
      </c>
      <c r="C201" t="s">
        <v>518</v>
      </c>
      <c r="D201" t="s">
        <v>519</v>
      </c>
      <c r="E201" t="s">
        <v>34</v>
      </c>
      <c r="F201">
        <v>2023</v>
      </c>
      <c r="G201" t="s">
        <v>44</v>
      </c>
      <c r="H201" t="s">
        <v>36</v>
      </c>
      <c r="I201" t="s">
        <v>520</v>
      </c>
      <c r="J201" t="s">
        <v>200</v>
      </c>
      <c r="K201" t="s">
        <v>39</v>
      </c>
      <c r="L201" t="s">
        <v>39</v>
      </c>
      <c r="M201" s="1">
        <v>45053</v>
      </c>
      <c r="N201">
        <v>47.163100800000002</v>
      </c>
      <c r="O201">
        <v>-122.828051</v>
      </c>
      <c r="P201" t="s">
        <v>40</v>
      </c>
      <c r="Q201" t="s">
        <v>41</v>
      </c>
      <c r="R201">
        <v>-1</v>
      </c>
      <c r="S201" t="s">
        <v>55</v>
      </c>
      <c r="T201">
        <v>1.5</v>
      </c>
      <c r="U201">
        <v>0.5</v>
      </c>
      <c r="V201">
        <v>0.75</v>
      </c>
      <c r="W201">
        <v>2.75</v>
      </c>
      <c r="X201">
        <v>0.27500000000000002</v>
      </c>
      <c r="Y201">
        <v>11</v>
      </c>
      <c r="Z201">
        <v>150</v>
      </c>
      <c r="AA201">
        <v>200</v>
      </c>
      <c r="AB201">
        <v>54.545454545454497</v>
      </c>
      <c r="AC201" t="s">
        <v>99</v>
      </c>
      <c r="AD201" t="s">
        <v>521</v>
      </c>
      <c r="AE201" t="s">
        <v>100</v>
      </c>
      <c r="AF201">
        <v>135</v>
      </c>
      <c r="AG201">
        <f t="shared" si="12"/>
        <v>1</v>
      </c>
      <c r="AH201" s="5" t="str">
        <f t="shared" si="13"/>
        <v/>
      </c>
      <c r="AI201">
        <f t="shared" si="14"/>
        <v>1</v>
      </c>
      <c r="AJ201" t="str">
        <f t="shared" si="15"/>
        <v/>
      </c>
    </row>
    <row r="202" spans="1:38" ht="16.5" customHeight="1" x14ac:dyDescent="0.25">
      <c r="A202">
        <v>201</v>
      </c>
      <c r="B202" t="s">
        <v>522</v>
      </c>
      <c r="C202" t="s">
        <v>523</v>
      </c>
      <c r="D202" t="s">
        <v>524</v>
      </c>
      <c r="E202" t="s">
        <v>34</v>
      </c>
      <c r="F202">
        <v>2016</v>
      </c>
      <c r="G202" t="s">
        <v>35</v>
      </c>
      <c r="H202" t="s">
        <v>36</v>
      </c>
      <c r="I202" t="s">
        <v>142</v>
      </c>
      <c r="J202" t="s">
        <v>38</v>
      </c>
      <c r="K202" t="s">
        <v>39</v>
      </c>
      <c r="L202" t="s">
        <v>39</v>
      </c>
      <c r="M202" s="1">
        <v>42510</v>
      </c>
      <c r="N202">
        <v>47.264066961111098</v>
      </c>
      <c r="O202">
        <v>-122.73925913055599</v>
      </c>
      <c r="P202" t="s">
        <v>40</v>
      </c>
      <c r="Q202" t="s">
        <v>41</v>
      </c>
      <c r="R202">
        <v>-2</v>
      </c>
      <c r="S202" t="s">
        <v>146</v>
      </c>
      <c r="T202">
        <v>5</v>
      </c>
      <c r="U202">
        <v>5</v>
      </c>
      <c r="V202">
        <v>25</v>
      </c>
      <c r="W202">
        <v>39</v>
      </c>
      <c r="X202">
        <v>9.75</v>
      </c>
      <c r="Y202">
        <v>156</v>
      </c>
      <c r="Z202">
        <v>780</v>
      </c>
      <c r="AA202">
        <v>31.2</v>
      </c>
      <c r="AB202">
        <v>20</v>
      </c>
      <c r="AC202" t="s">
        <v>65</v>
      </c>
      <c r="AD202" t="s">
        <v>148</v>
      </c>
      <c r="AE202" t="s">
        <v>67</v>
      </c>
      <c r="AF202">
        <v>136</v>
      </c>
      <c r="AG202">
        <f t="shared" si="12"/>
        <v>1</v>
      </c>
      <c r="AH202" s="5" t="str">
        <f t="shared" si="13"/>
        <v/>
      </c>
      <c r="AI202">
        <f t="shared" si="14"/>
        <v>1</v>
      </c>
      <c r="AJ202" t="str">
        <f t="shared" si="15"/>
        <v/>
      </c>
    </row>
    <row r="203" spans="1:38" ht="16.5" customHeight="1" x14ac:dyDescent="0.25">
      <c r="A203">
        <v>202</v>
      </c>
      <c r="B203" t="s">
        <v>525</v>
      </c>
      <c r="C203" t="s">
        <v>526</v>
      </c>
      <c r="D203" t="s">
        <v>527</v>
      </c>
      <c r="E203" t="s">
        <v>34</v>
      </c>
      <c r="F203">
        <v>2014</v>
      </c>
      <c r="G203" s="2" t="s">
        <v>528</v>
      </c>
      <c r="H203" t="s">
        <v>36</v>
      </c>
      <c r="I203" t="s">
        <v>525</v>
      </c>
      <c r="J203" t="s">
        <v>529</v>
      </c>
      <c r="K203" t="s">
        <v>39</v>
      </c>
      <c r="L203" t="s">
        <v>39</v>
      </c>
      <c r="M203" s="1">
        <v>41961</v>
      </c>
      <c r="N203">
        <v>47.820416666666702</v>
      </c>
      <c r="O203">
        <v>-122.572016666667</v>
      </c>
      <c r="P203" t="s">
        <v>40</v>
      </c>
      <c r="Q203" t="s">
        <v>41</v>
      </c>
      <c r="R203">
        <v>-1.8288</v>
      </c>
      <c r="S203" t="s">
        <v>42</v>
      </c>
      <c r="T203">
        <v>5</v>
      </c>
      <c r="U203">
        <v>5</v>
      </c>
      <c r="V203">
        <v>25</v>
      </c>
      <c r="W203">
        <v>25</v>
      </c>
      <c r="X203">
        <v>0.625</v>
      </c>
      <c r="Y203">
        <v>125</v>
      </c>
      <c r="Z203">
        <v>500</v>
      </c>
      <c r="AA203">
        <v>20</v>
      </c>
      <c r="AB203">
        <v>20</v>
      </c>
      <c r="AC203" t="s">
        <v>530</v>
      </c>
      <c r="AD203" t="s">
        <v>44</v>
      </c>
      <c r="AE203" t="s">
        <v>531</v>
      </c>
      <c r="AF203">
        <v>137</v>
      </c>
      <c r="AG203">
        <f t="shared" si="12"/>
        <v>1</v>
      </c>
      <c r="AH203" s="5" t="str">
        <f t="shared" si="13"/>
        <v/>
      </c>
      <c r="AI203">
        <f t="shared" si="14"/>
        <v>1</v>
      </c>
      <c r="AJ203" t="str">
        <f t="shared" si="15"/>
        <v/>
      </c>
    </row>
    <row r="204" spans="1:38" ht="16.5" customHeight="1" x14ac:dyDescent="0.25">
      <c r="A204">
        <v>203</v>
      </c>
      <c r="B204" t="s">
        <v>525</v>
      </c>
      <c r="C204" t="s">
        <v>532</v>
      </c>
      <c r="D204" t="s">
        <v>533</v>
      </c>
      <c r="E204" t="s">
        <v>34</v>
      </c>
      <c r="F204">
        <v>2014</v>
      </c>
      <c r="G204" s="2" t="s">
        <v>528</v>
      </c>
      <c r="H204" t="s">
        <v>36</v>
      </c>
      <c r="I204" t="s">
        <v>525</v>
      </c>
      <c r="J204" t="s">
        <v>529</v>
      </c>
      <c r="K204" t="s">
        <v>39</v>
      </c>
      <c r="L204" t="s">
        <v>39</v>
      </c>
      <c r="M204" s="1">
        <v>41962</v>
      </c>
      <c r="N204">
        <v>47.821100000000001</v>
      </c>
      <c r="O204">
        <v>-122.577966666667</v>
      </c>
      <c r="P204" t="s">
        <v>40</v>
      </c>
      <c r="Q204" t="s">
        <v>41</v>
      </c>
      <c r="R204">
        <v>-1.8288</v>
      </c>
      <c r="S204" t="s">
        <v>42</v>
      </c>
      <c r="T204">
        <v>5</v>
      </c>
      <c r="U204">
        <v>5</v>
      </c>
      <c r="V204">
        <v>25</v>
      </c>
      <c r="W204">
        <v>25</v>
      </c>
      <c r="X204">
        <v>0.625</v>
      </c>
      <c r="Y204">
        <v>125</v>
      </c>
      <c r="Z204">
        <v>500</v>
      </c>
      <c r="AA204">
        <v>20</v>
      </c>
      <c r="AB204">
        <v>20</v>
      </c>
      <c r="AC204" t="s">
        <v>530</v>
      </c>
      <c r="AD204" t="s">
        <v>44</v>
      </c>
      <c r="AE204" t="s">
        <v>531</v>
      </c>
      <c r="AF204">
        <v>138</v>
      </c>
      <c r="AG204">
        <f t="shared" si="12"/>
        <v>1</v>
      </c>
      <c r="AH204" s="5" t="str">
        <f t="shared" si="13"/>
        <v/>
      </c>
      <c r="AI204">
        <f t="shared" si="14"/>
        <v>1</v>
      </c>
      <c r="AJ204" t="str">
        <f t="shared" si="15"/>
        <v/>
      </c>
    </row>
    <row r="205" spans="1:38" ht="16.5" customHeight="1" x14ac:dyDescent="0.25">
      <c r="A205">
        <v>204</v>
      </c>
      <c r="B205" t="s">
        <v>525</v>
      </c>
      <c r="C205" t="s">
        <v>534</v>
      </c>
      <c r="D205" t="s">
        <v>535</v>
      </c>
      <c r="E205" t="s">
        <v>34</v>
      </c>
      <c r="F205">
        <v>2014</v>
      </c>
      <c r="G205" s="2" t="s">
        <v>528</v>
      </c>
      <c r="H205" t="s">
        <v>36</v>
      </c>
      <c r="I205" t="s">
        <v>525</v>
      </c>
      <c r="J205" t="s">
        <v>529</v>
      </c>
      <c r="K205" t="s">
        <v>39</v>
      </c>
      <c r="L205" t="s">
        <v>39</v>
      </c>
      <c r="M205" s="1">
        <v>41962</v>
      </c>
      <c r="N205">
        <v>47.821566666666698</v>
      </c>
      <c r="O205">
        <v>-122.57531666666701</v>
      </c>
      <c r="P205" t="s">
        <v>40</v>
      </c>
      <c r="Q205" t="s">
        <v>41</v>
      </c>
      <c r="R205">
        <v>-2.7431999999999999</v>
      </c>
      <c r="S205" t="s">
        <v>42</v>
      </c>
      <c r="T205">
        <v>5</v>
      </c>
      <c r="U205">
        <v>5</v>
      </c>
      <c r="V205">
        <v>25</v>
      </c>
      <c r="W205">
        <v>25</v>
      </c>
      <c r="X205">
        <v>0.625</v>
      </c>
      <c r="Y205">
        <v>125</v>
      </c>
      <c r="Z205">
        <v>500</v>
      </c>
      <c r="AA205">
        <v>20</v>
      </c>
      <c r="AB205">
        <v>20</v>
      </c>
      <c r="AC205" t="s">
        <v>530</v>
      </c>
      <c r="AD205" t="s">
        <v>44</v>
      </c>
      <c r="AE205" t="s">
        <v>531</v>
      </c>
      <c r="AF205">
        <v>139</v>
      </c>
      <c r="AG205">
        <f t="shared" si="12"/>
        <v>1</v>
      </c>
      <c r="AH205" s="5" t="str">
        <f t="shared" si="13"/>
        <v/>
      </c>
      <c r="AI205">
        <f t="shared" si="14"/>
        <v>1</v>
      </c>
      <c r="AJ205" t="str">
        <f t="shared" si="15"/>
        <v/>
      </c>
    </row>
    <row r="206" spans="1:38" ht="16.5" customHeight="1" x14ac:dyDescent="0.25">
      <c r="A206">
        <v>205</v>
      </c>
      <c r="B206" t="s">
        <v>525</v>
      </c>
      <c r="C206" t="s">
        <v>536</v>
      </c>
      <c r="D206" t="s">
        <v>537</v>
      </c>
      <c r="E206" t="s">
        <v>34</v>
      </c>
      <c r="F206">
        <v>2014</v>
      </c>
      <c r="G206" s="2" t="s">
        <v>528</v>
      </c>
      <c r="H206" t="s">
        <v>36</v>
      </c>
      <c r="I206" t="s">
        <v>525</v>
      </c>
      <c r="J206" t="s">
        <v>529</v>
      </c>
      <c r="K206" t="s">
        <v>39</v>
      </c>
      <c r="L206" t="s">
        <v>39</v>
      </c>
      <c r="M206" s="1">
        <v>41962</v>
      </c>
      <c r="N206">
        <v>47.820300000000003</v>
      </c>
      <c r="O206">
        <v>-122.5757</v>
      </c>
      <c r="P206" t="s">
        <v>40</v>
      </c>
      <c r="Q206" t="s">
        <v>41</v>
      </c>
      <c r="R206">
        <v>-1.2192000000000001</v>
      </c>
      <c r="S206" t="s">
        <v>42</v>
      </c>
      <c r="T206">
        <v>5</v>
      </c>
      <c r="U206">
        <v>5</v>
      </c>
      <c r="V206">
        <v>25</v>
      </c>
      <c r="W206">
        <v>25</v>
      </c>
      <c r="X206">
        <v>0.625</v>
      </c>
      <c r="Y206">
        <v>125</v>
      </c>
      <c r="Z206">
        <v>500</v>
      </c>
      <c r="AA206">
        <v>20</v>
      </c>
      <c r="AB206">
        <v>20</v>
      </c>
      <c r="AC206" t="s">
        <v>530</v>
      </c>
      <c r="AD206" t="s">
        <v>44</v>
      </c>
      <c r="AE206" t="s">
        <v>531</v>
      </c>
      <c r="AF206">
        <v>140</v>
      </c>
      <c r="AG206">
        <f t="shared" si="12"/>
        <v>1</v>
      </c>
      <c r="AH206" s="5" t="str">
        <f t="shared" si="13"/>
        <v/>
      </c>
      <c r="AI206">
        <f t="shared" si="14"/>
        <v>1</v>
      </c>
      <c r="AJ206" t="str">
        <f t="shared" si="15"/>
        <v/>
      </c>
    </row>
    <row r="207" spans="1:38" ht="16.5" customHeight="1" x14ac:dyDescent="0.25">
      <c r="A207">
        <v>206</v>
      </c>
      <c r="B207" t="s">
        <v>525</v>
      </c>
      <c r="C207" t="s">
        <v>538</v>
      </c>
      <c r="D207" t="s">
        <v>539</v>
      </c>
      <c r="E207" t="s">
        <v>34</v>
      </c>
      <c r="F207">
        <v>2014</v>
      </c>
      <c r="G207" s="2" t="s">
        <v>528</v>
      </c>
      <c r="H207" t="s">
        <v>36</v>
      </c>
      <c r="I207" t="s">
        <v>525</v>
      </c>
      <c r="J207" t="s">
        <v>529</v>
      </c>
      <c r="K207" t="s">
        <v>39</v>
      </c>
      <c r="L207" t="s">
        <v>39</v>
      </c>
      <c r="M207" s="1">
        <v>41963</v>
      </c>
      <c r="N207">
        <v>47.823266666666697</v>
      </c>
      <c r="O207">
        <v>-122.5821</v>
      </c>
      <c r="P207" t="s">
        <v>40</v>
      </c>
      <c r="Q207" t="s">
        <v>41</v>
      </c>
      <c r="R207">
        <v>-1.8288</v>
      </c>
      <c r="S207" t="s">
        <v>42</v>
      </c>
      <c r="T207">
        <v>5</v>
      </c>
      <c r="U207">
        <v>5</v>
      </c>
      <c r="V207">
        <v>25</v>
      </c>
      <c r="W207">
        <v>25</v>
      </c>
      <c r="X207">
        <v>0.625</v>
      </c>
      <c r="Y207">
        <v>125</v>
      </c>
      <c r="Z207">
        <v>500</v>
      </c>
      <c r="AA207">
        <v>20</v>
      </c>
      <c r="AB207">
        <v>20</v>
      </c>
      <c r="AC207" t="s">
        <v>530</v>
      </c>
      <c r="AD207" t="s">
        <v>44</v>
      </c>
      <c r="AE207" t="s">
        <v>531</v>
      </c>
      <c r="AF207">
        <v>141</v>
      </c>
      <c r="AG207">
        <f t="shared" si="12"/>
        <v>1</v>
      </c>
      <c r="AH207" s="5" t="str">
        <f t="shared" si="13"/>
        <v/>
      </c>
      <c r="AI207">
        <f t="shared" si="14"/>
        <v>1</v>
      </c>
      <c r="AJ207" t="str">
        <f t="shared" si="15"/>
        <v/>
      </c>
    </row>
    <row r="208" spans="1:38" ht="16.5" customHeight="1" x14ac:dyDescent="0.25">
      <c r="A208">
        <v>207</v>
      </c>
      <c r="B208" t="s">
        <v>525</v>
      </c>
      <c r="C208" t="s">
        <v>540</v>
      </c>
      <c r="D208" t="s">
        <v>541</v>
      </c>
      <c r="E208" t="s">
        <v>34</v>
      </c>
      <c r="F208">
        <v>2014</v>
      </c>
      <c r="G208" s="2" t="s">
        <v>528</v>
      </c>
      <c r="H208" t="s">
        <v>36</v>
      </c>
      <c r="I208" t="s">
        <v>525</v>
      </c>
      <c r="J208" t="s">
        <v>529</v>
      </c>
      <c r="K208" t="s">
        <v>39</v>
      </c>
      <c r="L208" t="s">
        <v>39</v>
      </c>
      <c r="M208" s="1">
        <v>41963</v>
      </c>
      <c r="N208">
        <v>47.821066666666702</v>
      </c>
      <c r="O208">
        <v>-122.567266666667</v>
      </c>
      <c r="P208" t="s">
        <v>40</v>
      </c>
      <c r="Q208" t="s">
        <v>41</v>
      </c>
      <c r="R208">
        <v>-1.8288</v>
      </c>
      <c r="S208" t="s">
        <v>42</v>
      </c>
      <c r="T208">
        <v>5</v>
      </c>
      <c r="U208">
        <v>5</v>
      </c>
      <c r="V208">
        <v>25</v>
      </c>
      <c r="W208">
        <v>25</v>
      </c>
      <c r="X208">
        <v>0.625</v>
      </c>
      <c r="Y208">
        <v>125</v>
      </c>
      <c r="Z208">
        <v>500</v>
      </c>
      <c r="AA208">
        <v>20</v>
      </c>
      <c r="AB208">
        <v>20</v>
      </c>
      <c r="AC208" t="s">
        <v>530</v>
      </c>
      <c r="AD208" t="s">
        <v>44</v>
      </c>
      <c r="AE208" t="s">
        <v>531</v>
      </c>
      <c r="AF208">
        <v>142</v>
      </c>
      <c r="AG208">
        <f t="shared" si="12"/>
        <v>1</v>
      </c>
      <c r="AH208" s="5" t="str">
        <f t="shared" si="13"/>
        <v/>
      </c>
      <c r="AI208">
        <f t="shared" si="14"/>
        <v>1</v>
      </c>
      <c r="AJ208" t="str">
        <f t="shared" si="15"/>
        <v/>
      </c>
    </row>
    <row r="209" spans="1:37" ht="16.5" customHeight="1" x14ac:dyDescent="0.25">
      <c r="A209">
        <v>208</v>
      </c>
      <c r="B209" t="s">
        <v>525</v>
      </c>
      <c r="C209" t="s">
        <v>542</v>
      </c>
      <c r="D209" t="s">
        <v>543</v>
      </c>
      <c r="E209" t="s">
        <v>34</v>
      </c>
      <c r="F209">
        <v>2015</v>
      </c>
      <c r="G209" s="2" t="s">
        <v>528</v>
      </c>
      <c r="H209" t="s">
        <v>76</v>
      </c>
      <c r="I209" t="s">
        <v>525</v>
      </c>
      <c r="J209" t="s">
        <v>529</v>
      </c>
      <c r="K209" t="s">
        <v>77</v>
      </c>
      <c r="L209" t="s">
        <v>77</v>
      </c>
      <c r="M209" s="1">
        <v>42095</v>
      </c>
      <c r="N209">
        <v>47.823466666666697</v>
      </c>
      <c r="O209">
        <v>-122.582033333333</v>
      </c>
      <c r="P209" t="s">
        <v>40</v>
      </c>
      <c r="Q209" t="s">
        <v>41</v>
      </c>
      <c r="R209" t="s">
        <v>44</v>
      </c>
      <c r="S209" t="s">
        <v>42</v>
      </c>
      <c r="T209">
        <v>48</v>
      </c>
      <c r="U209">
        <v>36</v>
      </c>
      <c r="V209">
        <v>1728</v>
      </c>
      <c r="W209">
        <v>240</v>
      </c>
      <c r="X209">
        <v>6</v>
      </c>
      <c r="Y209">
        <v>1200</v>
      </c>
      <c r="Z209">
        <v>4800</v>
      </c>
      <c r="AA209">
        <v>2.7777777777777799</v>
      </c>
      <c r="AB209">
        <v>20</v>
      </c>
      <c r="AC209" t="s">
        <v>530</v>
      </c>
      <c r="AD209" t="s">
        <v>44</v>
      </c>
      <c r="AE209" t="s">
        <v>531</v>
      </c>
      <c r="AF209">
        <v>143</v>
      </c>
      <c r="AG209">
        <f t="shared" si="12"/>
        <v>4</v>
      </c>
      <c r="AH209" s="5">
        <f t="shared" si="13"/>
        <v>143</v>
      </c>
      <c r="AI209">
        <f t="shared" si="14"/>
        <v>4</v>
      </c>
      <c r="AJ209" t="str">
        <f t="shared" si="15"/>
        <v>PTG_P1</v>
      </c>
      <c r="AK209" t="s">
        <v>698</v>
      </c>
    </row>
    <row r="210" spans="1:37" ht="16.5" customHeight="1" x14ac:dyDescent="0.25">
      <c r="A210">
        <v>209</v>
      </c>
      <c r="B210" t="s">
        <v>525</v>
      </c>
      <c r="C210" t="s">
        <v>544</v>
      </c>
      <c r="D210" t="s">
        <v>543</v>
      </c>
      <c r="E210" t="s">
        <v>34</v>
      </c>
      <c r="F210">
        <v>2015</v>
      </c>
      <c r="G210" s="2" t="s">
        <v>528</v>
      </c>
      <c r="H210" t="s">
        <v>76</v>
      </c>
      <c r="I210" t="s">
        <v>525</v>
      </c>
      <c r="J210" t="s">
        <v>529</v>
      </c>
      <c r="K210" t="s">
        <v>77</v>
      </c>
      <c r="L210" t="s">
        <v>69</v>
      </c>
      <c r="M210" s="1">
        <v>42095</v>
      </c>
      <c r="N210">
        <v>47.8232</v>
      </c>
      <c r="O210">
        <v>-122.58154999999999</v>
      </c>
      <c r="P210" t="s">
        <v>40</v>
      </c>
      <c r="Q210" t="s">
        <v>41</v>
      </c>
      <c r="R210" t="s">
        <v>44</v>
      </c>
      <c r="S210" t="s">
        <v>42</v>
      </c>
      <c r="T210" t="s">
        <v>44</v>
      </c>
      <c r="U210" t="s">
        <v>44</v>
      </c>
      <c r="V210" t="s">
        <v>44</v>
      </c>
      <c r="W210" t="s">
        <v>44</v>
      </c>
      <c r="X210" t="s">
        <v>44</v>
      </c>
      <c r="Y210" t="s">
        <v>44</v>
      </c>
      <c r="Z210" t="s">
        <v>44</v>
      </c>
      <c r="AA210" t="s">
        <v>44</v>
      </c>
      <c r="AB210" t="s">
        <v>44</v>
      </c>
      <c r="AC210" t="s">
        <v>44</v>
      </c>
      <c r="AD210" t="s">
        <v>44</v>
      </c>
      <c r="AE210" t="s">
        <v>531</v>
      </c>
      <c r="AF210">
        <v>143</v>
      </c>
      <c r="AG210">
        <f t="shared" si="12"/>
        <v>4</v>
      </c>
      <c r="AH210" s="5">
        <f t="shared" si="13"/>
        <v>143</v>
      </c>
      <c r="AI210">
        <f t="shared" si="14"/>
        <v>4</v>
      </c>
      <c r="AJ210" t="str">
        <f t="shared" si="15"/>
        <v>PTG_P1</v>
      </c>
      <c r="AK210" t="s">
        <v>698</v>
      </c>
    </row>
    <row r="211" spans="1:37" ht="16.5" customHeight="1" x14ac:dyDescent="0.25">
      <c r="A211">
        <v>210</v>
      </c>
      <c r="B211" t="s">
        <v>525</v>
      </c>
      <c r="C211" t="s">
        <v>545</v>
      </c>
      <c r="D211" t="s">
        <v>543</v>
      </c>
      <c r="E211" t="s">
        <v>34</v>
      </c>
      <c r="F211">
        <v>2015</v>
      </c>
      <c r="G211" s="2" t="s">
        <v>528</v>
      </c>
      <c r="H211" t="s">
        <v>76</v>
      </c>
      <c r="I211" t="s">
        <v>525</v>
      </c>
      <c r="J211" t="s">
        <v>529</v>
      </c>
      <c r="K211" t="s">
        <v>77</v>
      </c>
      <c r="L211" t="s">
        <v>69</v>
      </c>
      <c r="M211" s="1">
        <v>42095</v>
      </c>
      <c r="N211">
        <v>47.823050000000002</v>
      </c>
      <c r="O211">
        <v>-122.581883333333</v>
      </c>
      <c r="P211" t="s">
        <v>40</v>
      </c>
      <c r="Q211" t="s">
        <v>41</v>
      </c>
      <c r="R211" t="s">
        <v>44</v>
      </c>
      <c r="S211" t="s">
        <v>42</v>
      </c>
      <c r="T211" t="s">
        <v>44</v>
      </c>
      <c r="U211" t="s">
        <v>44</v>
      </c>
      <c r="V211" t="s">
        <v>44</v>
      </c>
      <c r="W211" t="s">
        <v>44</v>
      </c>
      <c r="X211" t="s">
        <v>44</v>
      </c>
      <c r="Y211" t="s">
        <v>44</v>
      </c>
      <c r="Z211" t="s">
        <v>44</v>
      </c>
      <c r="AA211" t="s">
        <v>44</v>
      </c>
      <c r="AB211" t="s">
        <v>44</v>
      </c>
      <c r="AC211" t="s">
        <v>44</v>
      </c>
      <c r="AD211" t="s">
        <v>44</v>
      </c>
      <c r="AE211" t="s">
        <v>531</v>
      </c>
      <c r="AF211">
        <v>143</v>
      </c>
      <c r="AG211">
        <f t="shared" si="12"/>
        <v>4</v>
      </c>
      <c r="AH211" s="5">
        <f t="shared" si="13"/>
        <v>143</v>
      </c>
      <c r="AI211">
        <f t="shared" si="14"/>
        <v>4</v>
      </c>
      <c r="AJ211" t="str">
        <f t="shared" si="15"/>
        <v>PTG_P1</v>
      </c>
      <c r="AK211" t="s">
        <v>698</v>
      </c>
    </row>
    <row r="212" spans="1:37" ht="16.5" customHeight="1" x14ac:dyDescent="0.25">
      <c r="A212">
        <v>211</v>
      </c>
      <c r="B212" t="s">
        <v>525</v>
      </c>
      <c r="C212" t="s">
        <v>546</v>
      </c>
      <c r="D212" t="s">
        <v>543</v>
      </c>
      <c r="E212" t="s">
        <v>34</v>
      </c>
      <c r="F212">
        <v>2015</v>
      </c>
      <c r="G212" s="2" t="s">
        <v>528</v>
      </c>
      <c r="H212" t="s">
        <v>76</v>
      </c>
      <c r="I212" t="s">
        <v>525</v>
      </c>
      <c r="J212" t="s">
        <v>529</v>
      </c>
      <c r="K212" t="s">
        <v>77</v>
      </c>
      <c r="L212" t="s">
        <v>69</v>
      </c>
      <c r="M212" s="1">
        <v>42095</v>
      </c>
      <c r="N212">
        <v>47.823283333333301</v>
      </c>
      <c r="O212">
        <v>-122.58235000000001</v>
      </c>
      <c r="P212" t="s">
        <v>40</v>
      </c>
      <c r="Q212" t="s">
        <v>41</v>
      </c>
      <c r="R212">
        <v>-1.8288</v>
      </c>
      <c r="S212" t="s">
        <v>42</v>
      </c>
      <c r="T212" t="s">
        <v>44</v>
      </c>
      <c r="U212" t="s">
        <v>44</v>
      </c>
      <c r="V212" t="s">
        <v>44</v>
      </c>
      <c r="W212" t="s">
        <v>44</v>
      </c>
      <c r="X212" t="s">
        <v>44</v>
      </c>
      <c r="Y212" t="s">
        <v>44</v>
      </c>
      <c r="Z212" t="s">
        <v>44</v>
      </c>
      <c r="AA212" t="s">
        <v>44</v>
      </c>
      <c r="AB212" t="s">
        <v>44</v>
      </c>
      <c r="AC212" t="s">
        <v>44</v>
      </c>
      <c r="AD212" t="s">
        <v>44</v>
      </c>
      <c r="AE212" t="s">
        <v>531</v>
      </c>
      <c r="AF212">
        <v>143</v>
      </c>
      <c r="AG212">
        <f t="shared" si="12"/>
        <v>4</v>
      </c>
      <c r="AH212" s="5">
        <f t="shared" si="13"/>
        <v>143</v>
      </c>
      <c r="AI212">
        <f t="shared" si="14"/>
        <v>4</v>
      </c>
      <c r="AJ212" t="str">
        <f t="shared" si="15"/>
        <v>PTG_P1</v>
      </c>
      <c r="AK212" t="s">
        <v>698</v>
      </c>
    </row>
    <row r="213" spans="1:37" ht="16.5" customHeight="1" x14ac:dyDescent="0.25">
      <c r="A213">
        <v>212</v>
      </c>
      <c r="B213" t="s">
        <v>525</v>
      </c>
      <c r="C213" t="s">
        <v>547</v>
      </c>
      <c r="D213" t="s">
        <v>548</v>
      </c>
      <c r="E213" t="s">
        <v>34</v>
      </c>
      <c r="F213">
        <v>2015</v>
      </c>
      <c r="G213" s="2" t="s">
        <v>528</v>
      </c>
      <c r="H213" t="s">
        <v>76</v>
      </c>
      <c r="I213" t="s">
        <v>525</v>
      </c>
      <c r="J213" t="s">
        <v>529</v>
      </c>
      <c r="K213" t="s">
        <v>77</v>
      </c>
      <c r="L213" t="s">
        <v>77</v>
      </c>
      <c r="M213" s="1">
        <v>42095</v>
      </c>
      <c r="N213">
        <v>47.822049999999997</v>
      </c>
      <c r="O213">
        <v>-122.5805</v>
      </c>
      <c r="P213" t="s">
        <v>40</v>
      </c>
      <c r="Q213" t="s">
        <v>41</v>
      </c>
      <c r="R213" t="s">
        <v>44</v>
      </c>
      <c r="S213" t="s">
        <v>42</v>
      </c>
      <c r="T213">
        <v>60</v>
      </c>
      <c r="U213">
        <v>36</v>
      </c>
      <c r="V213">
        <v>2160</v>
      </c>
      <c r="W213">
        <v>320</v>
      </c>
      <c r="X213">
        <v>7.9124999999999996</v>
      </c>
      <c r="Y213">
        <v>1582.5</v>
      </c>
      <c r="Z213">
        <v>6330</v>
      </c>
      <c r="AA213">
        <v>2.9305555555555598</v>
      </c>
      <c r="AB213">
        <v>19.78125</v>
      </c>
      <c r="AC213" t="s">
        <v>530</v>
      </c>
      <c r="AD213" t="s">
        <v>44</v>
      </c>
      <c r="AE213" t="s">
        <v>531</v>
      </c>
      <c r="AF213">
        <v>144</v>
      </c>
      <c r="AG213">
        <f t="shared" si="12"/>
        <v>4</v>
      </c>
      <c r="AH213" s="5">
        <f t="shared" si="13"/>
        <v>144</v>
      </c>
      <c r="AI213">
        <f t="shared" si="14"/>
        <v>4</v>
      </c>
      <c r="AJ213" t="str">
        <f t="shared" si="15"/>
        <v>PTG_P2</v>
      </c>
      <c r="AK213" t="s">
        <v>698</v>
      </c>
    </row>
    <row r="214" spans="1:37" ht="16.5" customHeight="1" x14ac:dyDescent="0.25">
      <c r="A214">
        <v>213</v>
      </c>
      <c r="B214" t="s">
        <v>525</v>
      </c>
      <c r="C214" t="s">
        <v>549</v>
      </c>
      <c r="D214" t="s">
        <v>548</v>
      </c>
      <c r="E214" t="s">
        <v>34</v>
      </c>
      <c r="F214">
        <v>2015</v>
      </c>
      <c r="G214" s="2" t="s">
        <v>528</v>
      </c>
      <c r="H214" t="s">
        <v>76</v>
      </c>
      <c r="I214" t="s">
        <v>525</v>
      </c>
      <c r="J214" t="s">
        <v>529</v>
      </c>
      <c r="K214" t="s">
        <v>77</v>
      </c>
      <c r="L214" t="s">
        <v>69</v>
      </c>
      <c r="M214" s="1">
        <v>42095</v>
      </c>
      <c r="N214">
        <v>47.821750000000002</v>
      </c>
      <c r="O214">
        <v>-122.579966666667</v>
      </c>
      <c r="P214" t="s">
        <v>40</v>
      </c>
      <c r="Q214" t="s">
        <v>41</v>
      </c>
      <c r="R214" t="s">
        <v>44</v>
      </c>
      <c r="S214" t="s">
        <v>42</v>
      </c>
      <c r="T214" t="s">
        <v>44</v>
      </c>
      <c r="U214" t="s">
        <v>44</v>
      </c>
      <c r="V214" t="s">
        <v>44</v>
      </c>
      <c r="W214" t="s">
        <v>44</v>
      </c>
      <c r="X214" t="s">
        <v>44</v>
      </c>
      <c r="Y214" t="s">
        <v>44</v>
      </c>
      <c r="Z214" t="s">
        <v>44</v>
      </c>
      <c r="AA214" t="s">
        <v>44</v>
      </c>
      <c r="AB214" t="s">
        <v>44</v>
      </c>
      <c r="AC214" t="s">
        <v>44</v>
      </c>
      <c r="AD214" t="s">
        <v>44</v>
      </c>
      <c r="AE214" t="s">
        <v>531</v>
      </c>
      <c r="AF214">
        <v>144</v>
      </c>
      <c r="AG214">
        <f t="shared" si="12"/>
        <v>4</v>
      </c>
      <c r="AH214" s="5">
        <f t="shared" si="13"/>
        <v>144</v>
      </c>
      <c r="AI214">
        <f t="shared" si="14"/>
        <v>4</v>
      </c>
      <c r="AJ214" t="str">
        <f t="shared" si="15"/>
        <v>PTG_P2</v>
      </c>
      <c r="AK214" t="s">
        <v>698</v>
      </c>
    </row>
    <row r="215" spans="1:37" ht="16.5" customHeight="1" x14ac:dyDescent="0.25">
      <c r="A215">
        <v>214</v>
      </c>
      <c r="B215" t="s">
        <v>525</v>
      </c>
      <c r="C215" t="s">
        <v>550</v>
      </c>
      <c r="D215" t="s">
        <v>548</v>
      </c>
      <c r="E215" t="s">
        <v>34</v>
      </c>
      <c r="F215">
        <v>2015</v>
      </c>
      <c r="G215" s="2" t="s">
        <v>528</v>
      </c>
      <c r="H215" t="s">
        <v>76</v>
      </c>
      <c r="I215" t="s">
        <v>525</v>
      </c>
      <c r="J215" t="s">
        <v>529</v>
      </c>
      <c r="K215" t="s">
        <v>77</v>
      </c>
      <c r="L215" t="s">
        <v>69</v>
      </c>
      <c r="M215" s="1">
        <v>42095</v>
      </c>
      <c r="N215">
        <v>47.821516666666703</v>
      </c>
      <c r="O215">
        <v>-122.580216666667</v>
      </c>
      <c r="P215" t="s">
        <v>40</v>
      </c>
      <c r="Q215" t="s">
        <v>41</v>
      </c>
      <c r="R215" t="s">
        <v>44</v>
      </c>
      <c r="S215" t="s">
        <v>42</v>
      </c>
      <c r="T215" t="s">
        <v>44</v>
      </c>
      <c r="U215" t="s">
        <v>44</v>
      </c>
      <c r="V215" t="s">
        <v>44</v>
      </c>
      <c r="W215" t="s">
        <v>44</v>
      </c>
      <c r="X215" t="s">
        <v>44</v>
      </c>
      <c r="Y215" t="s">
        <v>44</v>
      </c>
      <c r="Z215" t="s">
        <v>44</v>
      </c>
      <c r="AA215" t="s">
        <v>44</v>
      </c>
      <c r="AB215" t="s">
        <v>44</v>
      </c>
      <c r="AC215" t="s">
        <v>44</v>
      </c>
      <c r="AD215" t="s">
        <v>44</v>
      </c>
      <c r="AE215" t="s">
        <v>531</v>
      </c>
      <c r="AF215">
        <v>144</v>
      </c>
      <c r="AG215">
        <f t="shared" si="12"/>
        <v>4</v>
      </c>
      <c r="AH215" s="5">
        <f t="shared" si="13"/>
        <v>144</v>
      </c>
      <c r="AI215">
        <f t="shared" si="14"/>
        <v>4</v>
      </c>
      <c r="AJ215" t="str">
        <f t="shared" si="15"/>
        <v>PTG_P2</v>
      </c>
      <c r="AK215" t="s">
        <v>698</v>
      </c>
    </row>
    <row r="216" spans="1:37" ht="16.5" customHeight="1" x14ac:dyDescent="0.25">
      <c r="A216">
        <v>215</v>
      </c>
      <c r="B216" t="s">
        <v>525</v>
      </c>
      <c r="C216" t="s">
        <v>551</v>
      </c>
      <c r="D216" t="s">
        <v>548</v>
      </c>
      <c r="E216" t="s">
        <v>34</v>
      </c>
      <c r="F216">
        <v>2015</v>
      </c>
      <c r="G216" s="2" t="s">
        <v>528</v>
      </c>
      <c r="H216" t="s">
        <v>76</v>
      </c>
      <c r="I216" t="s">
        <v>525</v>
      </c>
      <c r="J216" t="s">
        <v>529</v>
      </c>
      <c r="K216" t="s">
        <v>77</v>
      </c>
      <c r="L216" t="s">
        <v>69</v>
      </c>
      <c r="M216" s="1">
        <v>42095</v>
      </c>
      <c r="N216">
        <v>47.8217833333333</v>
      </c>
      <c r="O216">
        <v>-122.58091666666699</v>
      </c>
      <c r="P216" t="s">
        <v>40</v>
      </c>
      <c r="Q216" t="s">
        <v>41</v>
      </c>
      <c r="R216" t="s">
        <v>44</v>
      </c>
      <c r="S216" t="s">
        <v>42</v>
      </c>
      <c r="T216" t="s">
        <v>44</v>
      </c>
      <c r="U216" t="s">
        <v>44</v>
      </c>
      <c r="V216" t="s">
        <v>44</v>
      </c>
      <c r="W216" t="s">
        <v>44</v>
      </c>
      <c r="X216" t="s">
        <v>44</v>
      </c>
      <c r="Y216" t="s">
        <v>44</v>
      </c>
      <c r="Z216" t="s">
        <v>44</v>
      </c>
      <c r="AA216" t="s">
        <v>44</v>
      </c>
      <c r="AB216" t="s">
        <v>44</v>
      </c>
      <c r="AC216" t="s">
        <v>44</v>
      </c>
      <c r="AD216" t="s">
        <v>44</v>
      </c>
      <c r="AE216" t="s">
        <v>531</v>
      </c>
      <c r="AF216">
        <v>144</v>
      </c>
      <c r="AG216">
        <f t="shared" si="12"/>
        <v>4</v>
      </c>
      <c r="AH216" s="5">
        <f t="shared" si="13"/>
        <v>144</v>
      </c>
      <c r="AI216">
        <f t="shared" si="14"/>
        <v>4</v>
      </c>
      <c r="AJ216" t="str">
        <f t="shared" si="15"/>
        <v>PTG_P2</v>
      </c>
      <c r="AK216" t="s">
        <v>698</v>
      </c>
    </row>
    <row r="217" spans="1:37" ht="16.5" customHeight="1" x14ac:dyDescent="0.25">
      <c r="A217">
        <v>216</v>
      </c>
      <c r="B217" t="s">
        <v>525</v>
      </c>
      <c r="C217" t="s">
        <v>552</v>
      </c>
      <c r="D217" t="s">
        <v>553</v>
      </c>
      <c r="E217" t="s">
        <v>34</v>
      </c>
      <c r="F217">
        <v>2015</v>
      </c>
      <c r="G217" s="2" t="s">
        <v>528</v>
      </c>
      <c r="H217" t="s">
        <v>76</v>
      </c>
      <c r="I217" t="s">
        <v>525</v>
      </c>
      <c r="J217" t="s">
        <v>529</v>
      </c>
      <c r="K217" t="s">
        <v>77</v>
      </c>
      <c r="L217" t="s">
        <v>77</v>
      </c>
      <c r="M217" s="1">
        <v>42095</v>
      </c>
      <c r="N217">
        <v>47.821566666666698</v>
      </c>
      <c r="O217">
        <v>-122.578016666667</v>
      </c>
      <c r="P217" t="s">
        <v>40</v>
      </c>
      <c r="Q217" t="s">
        <v>41</v>
      </c>
      <c r="R217" t="s">
        <v>44</v>
      </c>
      <c r="S217" t="s">
        <v>42</v>
      </c>
      <c r="T217">
        <v>60</v>
      </c>
      <c r="U217">
        <v>36</v>
      </c>
      <c r="V217">
        <v>2160</v>
      </c>
      <c r="W217">
        <v>320</v>
      </c>
      <c r="X217">
        <v>8</v>
      </c>
      <c r="Y217">
        <v>1600</v>
      </c>
      <c r="Z217">
        <v>6400</v>
      </c>
      <c r="AA217">
        <v>2.9629629629629601</v>
      </c>
      <c r="AB217">
        <v>20</v>
      </c>
      <c r="AC217" t="s">
        <v>530</v>
      </c>
      <c r="AD217" t="s">
        <v>44</v>
      </c>
      <c r="AE217" t="s">
        <v>531</v>
      </c>
      <c r="AF217">
        <v>145</v>
      </c>
      <c r="AG217">
        <f t="shared" si="12"/>
        <v>4</v>
      </c>
      <c r="AH217" s="5">
        <f t="shared" si="13"/>
        <v>145</v>
      </c>
      <c r="AI217">
        <f t="shared" si="14"/>
        <v>4</v>
      </c>
      <c r="AJ217" t="str">
        <f t="shared" si="15"/>
        <v>PTG_P3</v>
      </c>
      <c r="AK217" t="s">
        <v>698</v>
      </c>
    </row>
    <row r="218" spans="1:37" ht="16.5" customHeight="1" x14ac:dyDescent="0.25">
      <c r="A218">
        <v>217</v>
      </c>
      <c r="B218" t="s">
        <v>525</v>
      </c>
      <c r="C218" t="s">
        <v>554</v>
      </c>
      <c r="D218" t="s">
        <v>553</v>
      </c>
      <c r="E218" t="s">
        <v>34</v>
      </c>
      <c r="F218">
        <v>2015</v>
      </c>
      <c r="G218" s="2" t="s">
        <v>528</v>
      </c>
      <c r="H218" t="s">
        <v>76</v>
      </c>
      <c r="I218" t="s">
        <v>525</v>
      </c>
      <c r="J218" t="s">
        <v>529</v>
      </c>
      <c r="K218" t="s">
        <v>77</v>
      </c>
      <c r="L218" t="s">
        <v>69</v>
      </c>
      <c r="M218" s="1">
        <v>42095</v>
      </c>
      <c r="N218">
        <v>47.821516666666703</v>
      </c>
      <c r="O218">
        <v>-122.577216666667</v>
      </c>
      <c r="P218" t="s">
        <v>40</v>
      </c>
      <c r="Q218" t="s">
        <v>41</v>
      </c>
      <c r="R218" t="s">
        <v>44</v>
      </c>
      <c r="S218" t="s">
        <v>42</v>
      </c>
      <c r="T218" t="s">
        <v>44</v>
      </c>
      <c r="U218" t="s">
        <v>44</v>
      </c>
      <c r="V218" t="s">
        <v>44</v>
      </c>
      <c r="W218" t="s">
        <v>44</v>
      </c>
      <c r="X218" t="s">
        <v>44</v>
      </c>
      <c r="Y218" t="s">
        <v>44</v>
      </c>
      <c r="Z218" t="s">
        <v>44</v>
      </c>
      <c r="AA218" t="s">
        <v>44</v>
      </c>
      <c r="AB218" t="s">
        <v>44</v>
      </c>
      <c r="AC218" t="s">
        <v>44</v>
      </c>
      <c r="AD218" t="s">
        <v>44</v>
      </c>
      <c r="AE218" t="s">
        <v>531</v>
      </c>
      <c r="AF218">
        <v>145</v>
      </c>
      <c r="AG218">
        <f t="shared" si="12"/>
        <v>4</v>
      </c>
      <c r="AH218" s="5">
        <f t="shared" si="13"/>
        <v>145</v>
      </c>
      <c r="AI218">
        <f t="shared" si="14"/>
        <v>4</v>
      </c>
      <c r="AJ218" t="str">
        <f t="shared" si="15"/>
        <v>PTG_P3</v>
      </c>
      <c r="AK218" t="s">
        <v>698</v>
      </c>
    </row>
    <row r="219" spans="1:37" ht="16.5" customHeight="1" x14ac:dyDescent="0.25">
      <c r="A219">
        <v>218</v>
      </c>
      <c r="B219" t="s">
        <v>525</v>
      </c>
      <c r="C219" t="s">
        <v>555</v>
      </c>
      <c r="D219" t="s">
        <v>553</v>
      </c>
      <c r="E219" t="s">
        <v>34</v>
      </c>
      <c r="F219">
        <v>2015</v>
      </c>
      <c r="G219" s="2" t="s">
        <v>528</v>
      </c>
      <c r="H219" t="s">
        <v>76</v>
      </c>
      <c r="I219" t="s">
        <v>525</v>
      </c>
      <c r="J219" t="s">
        <v>529</v>
      </c>
      <c r="K219" t="s">
        <v>77</v>
      </c>
      <c r="L219" t="s">
        <v>69</v>
      </c>
      <c r="M219" s="1">
        <v>42095</v>
      </c>
      <c r="N219">
        <v>47.821183333333302</v>
      </c>
      <c r="O219">
        <v>-122.577116666667</v>
      </c>
      <c r="P219" t="s">
        <v>40</v>
      </c>
      <c r="Q219" t="s">
        <v>41</v>
      </c>
      <c r="R219" t="s">
        <v>44</v>
      </c>
      <c r="S219" t="s">
        <v>42</v>
      </c>
      <c r="T219" t="s">
        <v>44</v>
      </c>
      <c r="U219" t="s">
        <v>44</v>
      </c>
      <c r="V219" t="s">
        <v>44</v>
      </c>
      <c r="W219" t="s">
        <v>44</v>
      </c>
      <c r="X219" t="s">
        <v>44</v>
      </c>
      <c r="Y219" t="s">
        <v>44</v>
      </c>
      <c r="Z219" t="s">
        <v>44</v>
      </c>
      <c r="AA219" t="s">
        <v>44</v>
      </c>
      <c r="AB219" t="s">
        <v>44</v>
      </c>
      <c r="AC219" t="s">
        <v>44</v>
      </c>
      <c r="AD219" t="s">
        <v>44</v>
      </c>
      <c r="AE219" t="s">
        <v>531</v>
      </c>
      <c r="AF219">
        <v>145</v>
      </c>
      <c r="AG219">
        <f t="shared" si="12"/>
        <v>4</v>
      </c>
      <c r="AH219" s="5">
        <f t="shared" si="13"/>
        <v>145</v>
      </c>
      <c r="AI219">
        <f t="shared" si="14"/>
        <v>4</v>
      </c>
      <c r="AJ219" t="str">
        <f t="shared" si="15"/>
        <v>PTG_P3</v>
      </c>
      <c r="AK219" t="s">
        <v>698</v>
      </c>
    </row>
    <row r="220" spans="1:37" ht="16.5" customHeight="1" x14ac:dyDescent="0.25">
      <c r="A220">
        <v>219</v>
      </c>
      <c r="B220" t="s">
        <v>525</v>
      </c>
      <c r="C220" t="s">
        <v>556</v>
      </c>
      <c r="D220" t="s">
        <v>553</v>
      </c>
      <c r="E220" t="s">
        <v>34</v>
      </c>
      <c r="F220">
        <v>2015</v>
      </c>
      <c r="G220" s="2" t="s">
        <v>528</v>
      </c>
      <c r="H220" t="s">
        <v>76</v>
      </c>
      <c r="I220" t="s">
        <v>525</v>
      </c>
      <c r="J220" t="s">
        <v>529</v>
      </c>
      <c r="K220" t="s">
        <v>77</v>
      </c>
      <c r="L220" t="s">
        <v>69</v>
      </c>
      <c r="M220" s="1">
        <v>42095</v>
      </c>
      <c r="N220">
        <v>47.8212166666667</v>
      </c>
      <c r="O220">
        <v>-122.57791666666699</v>
      </c>
      <c r="P220" t="s">
        <v>40</v>
      </c>
      <c r="Q220" t="s">
        <v>41</v>
      </c>
      <c r="R220">
        <v>-1.8288</v>
      </c>
      <c r="S220" t="s">
        <v>42</v>
      </c>
      <c r="T220" t="s">
        <v>44</v>
      </c>
      <c r="U220" t="s">
        <v>44</v>
      </c>
      <c r="V220" t="s">
        <v>44</v>
      </c>
      <c r="W220" t="s">
        <v>44</v>
      </c>
      <c r="X220" t="s">
        <v>44</v>
      </c>
      <c r="Y220" t="s">
        <v>44</v>
      </c>
      <c r="Z220" t="s">
        <v>44</v>
      </c>
      <c r="AA220" t="s">
        <v>44</v>
      </c>
      <c r="AB220" t="s">
        <v>44</v>
      </c>
      <c r="AC220" t="s">
        <v>44</v>
      </c>
      <c r="AD220" t="s">
        <v>44</v>
      </c>
      <c r="AE220" t="s">
        <v>531</v>
      </c>
      <c r="AF220">
        <v>145</v>
      </c>
      <c r="AG220">
        <f t="shared" si="12"/>
        <v>4</v>
      </c>
      <c r="AH220" s="5">
        <f t="shared" si="13"/>
        <v>145</v>
      </c>
      <c r="AI220">
        <f t="shared" si="14"/>
        <v>4</v>
      </c>
      <c r="AJ220" t="str">
        <f t="shared" si="15"/>
        <v>PTG_P3</v>
      </c>
      <c r="AK220" t="s">
        <v>698</v>
      </c>
    </row>
    <row r="221" spans="1:37" ht="16.5" customHeight="1" x14ac:dyDescent="0.25">
      <c r="A221">
        <v>220</v>
      </c>
      <c r="B221" t="s">
        <v>525</v>
      </c>
      <c r="C221" t="s">
        <v>557</v>
      </c>
      <c r="D221" t="s">
        <v>558</v>
      </c>
      <c r="E221" t="s">
        <v>34</v>
      </c>
      <c r="F221">
        <v>2015</v>
      </c>
      <c r="G221" s="2" t="s">
        <v>528</v>
      </c>
      <c r="H221" t="s">
        <v>76</v>
      </c>
      <c r="I221" t="s">
        <v>525</v>
      </c>
      <c r="J221" t="s">
        <v>529</v>
      </c>
      <c r="K221" t="s">
        <v>77</v>
      </c>
      <c r="L221" t="s">
        <v>77</v>
      </c>
      <c r="M221" s="1">
        <v>42095</v>
      </c>
      <c r="N221">
        <v>47.821666666666701</v>
      </c>
      <c r="O221">
        <v>-122.57623333333299</v>
      </c>
      <c r="P221" t="s">
        <v>40</v>
      </c>
      <c r="Q221" t="s">
        <v>41</v>
      </c>
      <c r="R221" t="s">
        <v>44</v>
      </c>
      <c r="S221" t="s">
        <v>42</v>
      </c>
      <c r="T221">
        <v>60</v>
      </c>
      <c r="U221">
        <v>36</v>
      </c>
      <c r="V221">
        <v>2160</v>
      </c>
      <c r="W221">
        <v>320</v>
      </c>
      <c r="X221">
        <v>7.9649999999999999</v>
      </c>
      <c r="Y221">
        <v>1593</v>
      </c>
      <c r="Z221">
        <v>6372</v>
      </c>
      <c r="AA221">
        <v>2.95</v>
      </c>
      <c r="AB221">
        <v>19.912500000000001</v>
      </c>
      <c r="AC221" t="s">
        <v>530</v>
      </c>
      <c r="AD221" t="s">
        <v>44</v>
      </c>
      <c r="AE221" t="s">
        <v>531</v>
      </c>
      <c r="AF221">
        <v>146</v>
      </c>
      <c r="AG221">
        <f t="shared" si="12"/>
        <v>4</v>
      </c>
      <c r="AH221" s="5">
        <f t="shared" si="13"/>
        <v>146</v>
      </c>
      <c r="AI221">
        <f t="shared" si="14"/>
        <v>4</v>
      </c>
      <c r="AJ221" t="str">
        <f t="shared" si="15"/>
        <v>PTG_P4</v>
      </c>
      <c r="AK221" t="s">
        <v>698</v>
      </c>
    </row>
    <row r="222" spans="1:37" ht="16.5" customHeight="1" x14ac:dyDescent="0.25">
      <c r="A222">
        <v>221</v>
      </c>
      <c r="B222" t="s">
        <v>525</v>
      </c>
      <c r="C222" t="s">
        <v>559</v>
      </c>
      <c r="D222" t="s">
        <v>558</v>
      </c>
      <c r="E222" t="s">
        <v>34</v>
      </c>
      <c r="F222">
        <v>2015</v>
      </c>
      <c r="G222" s="2" t="s">
        <v>528</v>
      </c>
      <c r="H222" t="s">
        <v>76</v>
      </c>
      <c r="I222" t="s">
        <v>525</v>
      </c>
      <c r="J222" t="s">
        <v>529</v>
      </c>
      <c r="K222" t="s">
        <v>77</v>
      </c>
      <c r="L222" t="s">
        <v>69</v>
      </c>
      <c r="M222" s="1">
        <v>42095</v>
      </c>
      <c r="N222">
        <v>47.821533333333299</v>
      </c>
      <c r="O222">
        <v>-122.57538333333299</v>
      </c>
      <c r="P222" t="s">
        <v>40</v>
      </c>
      <c r="Q222" t="s">
        <v>41</v>
      </c>
      <c r="R222">
        <v>-2.7431999999999999</v>
      </c>
      <c r="S222" t="s">
        <v>42</v>
      </c>
      <c r="T222" t="s">
        <v>44</v>
      </c>
      <c r="U222" t="s">
        <v>44</v>
      </c>
      <c r="V222" t="s">
        <v>44</v>
      </c>
      <c r="W222" t="s">
        <v>44</v>
      </c>
      <c r="X222" t="s">
        <v>44</v>
      </c>
      <c r="Y222" t="s">
        <v>44</v>
      </c>
      <c r="Z222" t="s">
        <v>44</v>
      </c>
      <c r="AA222" t="s">
        <v>44</v>
      </c>
      <c r="AB222" t="s">
        <v>44</v>
      </c>
      <c r="AC222" t="s">
        <v>44</v>
      </c>
      <c r="AD222" t="s">
        <v>44</v>
      </c>
      <c r="AE222" t="s">
        <v>531</v>
      </c>
      <c r="AF222">
        <v>146</v>
      </c>
      <c r="AG222">
        <f t="shared" si="12"/>
        <v>4</v>
      </c>
      <c r="AH222" s="5">
        <f t="shared" si="13"/>
        <v>146</v>
      </c>
      <c r="AI222">
        <f t="shared" si="14"/>
        <v>4</v>
      </c>
      <c r="AJ222" t="str">
        <f t="shared" si="15"/>
        <v>PTG_P4</v>
      </c>
      <c r="AK222" t="s">
        <v>698</v>
      </c>
    </row>
    <row r="223" spans="1:37" ht="16.5" customHeight="1" x14ac:dyDescent="0.25">
      <c r="A223">
        <v>222</v>
      </c>
      <c r="B223" t="s">
        <v>525</v>
      </c>
      <c r="C223" t="s">
        <v>560</v>
      </c>
      <c r="D223" t="s">
        <v>558</v>
      </c>
      <c r="E223" t="s">
        <v>34</v>
      </c>
      <c r="F223">
        <v>2015</v>
      </c>
      <c r="G223" s="2" t="s">
        <v>528</v>
      </c>
      <c r="H223" t="s">
        <v>76</v>
      </c>
      <c r="I223" t="s">
        <v>525</v>
      </c>
      <c r="J223" t="s">
        <v>529</v>
      </c>
      <c r="K223" t="s">
        <v>77</v>
      </c>
      <c r="L223" t="s">
        <v>69</v>
      </c>
      <c r="M223" s="1">
        <v>42095</v>
      </c>
      <c r="N223">
        <v>47.8212166666667</v>
      </c>
      <c r="O223">
        <v>-122.575283333333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531</v>
      </c>
      <c r="AF223">
        <v>146</v>
      </c>
      <c r="AG223">
        <f t="shared" si="12"/>
        <v>4</v>
      </c>
      <c r="AH223" s="5">
        <f t="shared" si="13"/>
        <v>146</v>
      </c>
      <c r="AI223">
        <f t="shared" si="14"/>
        <v>4</v>
      </c>
      <c r="AJ223" t="str">
        <f t="shared" si="15"/>
        <v>PTG_P4</v>
      </c>
      <c r="AK223" t="s">
        <v>698</v>
      </c>
    </row>
    <row r="224" spans="1:37" ht="16.5" customHeight="1" x14ac:dyDescent="0.25">
      <c r="A224">
        <v>223</v>
      </c>
      <c r="B224" t="s">
        <v>525</v>
      </c>
      <c r="C224" t="s">
        <v>561</v>
      </c>
      <c r="D224" t="s">
        <v>558</v>
      </c>
      <c r="E224" t="s">
        <v>34</v>
      </c>
      <c r="F224">
        <v>2015</v>
      </c>
      <c r="G224" s="2" t="s">
        <v>528</v>
      </c>
      <c r="H224" t="s">
        <v>76</v>
      </c>
      <c r="I224" t="s">
        <v>525</v>
      </c>
      <c r="J224" t="s">
        <v>529</v>
      </c>
      <c r="K224" t="s">
        <v>77</v>
      </c>
      <c r="L224" t="s">
        <v>69</v>
      </c>
      <c r="M224" s="1">
        <v>42095</v>
      </c>
      <c r="N224">
        <v>47.821283333333298</v>
      </c>
      <c r="O224">
        <v>-122.57618333333301</v>
      </c>
      <c r="P224" t="s">
        <v>40</v>
      </c>
      <c r="Q224" t="s">
        <v>41</v>
      </c>
      <c r="R224" t="s">
        <v>44</v>
      </c>
      <c r="S224" t="s">
        <v>42</v>
      </c>
      <c r="T224" t="s">
        <v>44</v>
      </c>
      <c r="U224" t="s">
        <v>44</v>
      </c>
      <c r="V224" t="s">
        <v>44</v>
      </c>
      <c r="W224" t="s">
        <v>44</v>
      </c>
      <c r="X224" t="s">
        <v>44</v>
      </c>
      <c r="Y224" t="s">
        <v>44</v>
      </c>
      <c r="Z224" t="s">
        <v>44</v>
      </c>
      <c r="AA224" t="s">
        <v>44</v>
      </c>
      <c r="AB224" t="s">
        <v>44</v>
      </c>
      <c r="AC224" t="s">
        <v>44</v>
      </c>
      <c r="AD224" t="s">
        <v>44</v>
      </c>
      <c r="AE224" t="s">
        <v>531</v>
      </c>
      <c r="AF224">
        <v>146</v>
      </c>
      <c r="AG224">
        <f t="shared" si="12"/>
        <v>4</v>
      </c>
      <c r="AH224" s="5">
        <f t="shared" si="13"/>
        <v>146</v>
      </c>
      <c r="AI224">
        <f t="shared" si="14"/>
        <v>4</v>
      </c>
      <c r="AJ224" t="str">
        <f t="shared" si="15"/>
        <v>PTG_P4</v>
      </c>
      <c r="AK224" t="s">
        <v>698</v>
      </c>
    </row>
    <row r="225" spans="1:37" ht="16.5" customHeight="1" x14ac:dyDescent="0.25">
      <c r="A225">
        <v>224</v>
      </c>
      <c r="B225" t="s">
        <v>562</v>
      </c>
      <c r="C225" t="s">
        <v>563</v>
      </c>
      <c r="D225" t="s">
        <v>564</v>
      </c>
      <c r="E225" t="s">
        <v>34</v>
      </c>
      <c r="F225">
        <v>2018</v>
      </c>
      <c r="G225" t="s">
        <v>44</v>
      </c>
      <c r="H225" t="s">
        <v>36</v>
      </c>
      <c r="I225" t="s">
        <v>562</v>
      </c>
      <c r="J225" t="s">
        <v>38</v>
      </c>
      <c r="K225" t="s">
        <v>39</v>
      </c>
      <c r="L225" t="s">
        <v>39</v>
      </c>
      <c r="M225" s="1">
        <v>43250</v>
      </c>
      <c r="N225">
        <v>47.383499999999998</v>
      </c>
      <c r="O225">
        <v>-122.45133</v>
      </c>
      <c r="P225" t="s">
        <v>40</v>
      </c>
      <c r="Q225" t="s">
        <v>41</v>
      </c>
      <c r="R225">
        <v>-1.0363199999999999</v>
      </c>
      <c r="S225" t="s">
        <v>55</v>
      </c>
      <c r="T225">
        <v>12</v>
      </c>
      <c r="U225">
        <v>1</v>
      </c>
      <c r="V225">
        <v>12</v>
      </c>
      <c r="W225">
        <v>7.5</v>
      </c>
      <c r="X225">
        <v>0.75</v>
      </c>
      <c r="Y225">
        <v>30</v>
      </c>
      <c r="Z225">
        <v>600</v>
      </c>
      <c r="AA225">
        <v>50</v>
      </c>
      <c r="AB225">
        <v>80</v>
      </c>
      <c r="AC225" t="s">
        <v>113</v>
      </c>
      <c r="AD225" t="s">
        <v>565</v>
      </c>
      <c r="AE225" t="s">
        <v>129</v>
      </c>
      <c r="AF225">
        <v>147</v>
      </c>
      <c r="AG225">
        <f t="shared" si="12"/>
        <v>1</v>
      </c>
      <c r="AH225" s="5" t="str">
        <f t="shared" si="13"/>
        <v/>
      </c>
      <c r="AI225">
        <f t="shared" si="14"/>
        <v>1</v>
      </c>
      <c r="AJ225" t="str">
        <f t="shared" si="15"/>
        <v/>
      </c>
    </row>
    <row r="226" spans="1:37" ht="16.5" customHeight="1" x14ac:dyDescent="0.25">
      <c r="A226">
        <v>225</v>
      </c>
      <c r="B226" t="s">
        <v>562</v>
      </c>
      <c r="C226" t="s">
        <v>566</v>
      </c>
      <c r="D226" t="s">
        <v>567</v>
      </c>
      <c r="E226" t="s">
        <v>34</v>
      </c>
      <c r="F226">
        <v>2018</v>
      </c>
      <c r="G226" t="s">
        <v>44</v>
      </c>
      <c r="H226" t="s">
        <v>36</v>
      </c>
      <c r="I226" t="s">
        <v>562</v>
      </c>
      <c r="J226" t="s">
        <v>38</v>
      </c>
      <c r="K226" t="s">
        <v>39</v>
      </c>
      <c r="L226" t="s">
        <v>39</v>
      </c>
      <c r="M226" s="1">
        <v>43250</v>
      </c>
      <c r="N226">
        <v>47.383339999999997</v>
      </c>
      <c r="O226">
        <v>-122.4513</v>
      </c>
      <c r="P226" t="s">
        <v>40</v>
      </c>
      <c r="Q226" t="s">
        <v>41</v>
      </c>
      <c r="R226">
        <v>-1.8897600000000001</v>
      </c>
      <c r="S226" t="s">
        <v>55</v>
      </c>
      <c r="T226">
        <v>12</v>
      </c>
      <c r="U226">
        <v>1</v>
      </c>
      <c r="V226">
        <v>12</v>
      </c>
      <c r="W226">
        <v>7.5</v>
      </c>
      <c r="X226">
        <v>0.75</v>
      </c>
      <c r="Y226">
        <v>30</v>
      </c>
      <c r="Z226">
        <v>600</v>
      </c>
      <c r="AA226">
        <v>50</v>
      </c>
      <c r="AB226">
        <v>80</v>
      </c>
      <c r="AC226" t="s">
        <v>113</v>
      </c>
      <c r="AD226" t="s">
        <v>568</v>
      </c>
      <c r="AE226" t="s">
        <v>129</v>
      </c>
      <c r="AF226">
        <v>148</v>
      </c>
      <c r="AG226">
        <f t="shared" si="12"/>
        <v>1</v>
      </c>
      <c r="AH226" s="5" t="str">
        <f t="shared" si="13"/>
        <v/>
      </c>
      <c r="AI226">
        <f t="shared" si="14"/>
        <v>1</v>
      </c>
      <c r="AJ226" t="str">
        <f t="shared" si="15"/>
        <v/>
      </c>
    </row>
    <row r="227" spans="1:37" ht="16.5" customHeight="1" x14ac:dyDescent="0.25">
      <c r="A227">
        <v>226</v>
      </c>
      <c r="B227" t="s">
        <v>562</v>
      </c>
      <c r="C227" t="s">
        <v>569</v>
      </c>
      <c r="D227" t="s">
        <v>570</v>
      </c>
      <c r="E227" t="s">
        <v>34</v>
      </c>
      <c r="F227">
        <v>2018</v>
      </c>
      <c r="G227" t="s">
        <v>44</v>
      </c>
      <c r="H227" t="s">
        <v>36</v>
      </c>
      <c r="I227" t="s">
        <v>562</v>
      </c>
      <c r="J227" t="s">
        <v>38</v>
      </c>
      <c r="K227" t="s">
        <v>39</v>
      </c>
      <c r="L227" t="s">
        <v>39</v>
      </c>
      <c r="M227" s="1">
        <v>43250</v>
      </c>
      <c r="N227">
        <v>47.390659999999997</v>
      </c>
      <c r="O227">
        <v>-122.43606</v>
      </c>
      <c r="P227" t="s">
        <v>40</v>
      </c>
      <c r="Q227" t="s">
        <v>41</v>
      </c>
      <c r="R227">
        <v>-1.2192000000000001</v>
      </c>
      <c r="S227" t="s">
        <v>55</v>
      </c>
      <c r="T227">
        <v>12</v>
      </c>
      <c r="U227">
        <v>1</v>
      </c>
      <c r="V227">
        <v>12</v>
      </c>
      <c r="W227">
        <v>7.5</v>
      </c>
      <c r="X227">
        <v>0.75</v>
      </c>
      <c r="Y227">
        <v>30</v>
      </c>
      <c r="Z227">
        <v>600</v>
      </c>
      <c r="AA227">
        <v>50</v>
      </c>
      <c r="AB227">
        <v>80</v>
      </c>
      <c r="AC227" t="s">
        <v>113</v>
      </c>
      <c r="AD227" t="s">
        <v>571</v>
      </c>
      <c r="AE227" t="s">
        <v>129</v>
      </c>
      <c r="AF227">
        <v>149</v>
      </c>
      <c r="AG227">
        <f t="shared" si="12"/>
        <v>1</v>
      </c>
      <c r="AH227" s="5" t="str">
        <f t="shared" si="13"/>
        <v/>
      </c>
      <c r="AI227">
        <f t="shared" si="14"/>
        <v>6</v>
      </c>
      <c r="AJ227" s="6" t="str">
        <f t="shared" si="15"/>
        <v>QMH_4S</v>
      </c>
      <c r="AK227" t="s">
        <v>141</v>
      </c>
    </row>
    <row r="228" spans="1:37" ht="16.5" customHeight="1" x14ac:dyDescent="0.25">
      <c r="A228">
        <v>227</v>
      </c>
      <c r="B228" t="s">
        <v>562</v>
      </c>
      <c r="C228" t="s">
        <v>572</v>
      </c>
      <c r="D228" t="s">
        <v>573</v>
      </c>
      <c r="E228" t="s">
        <v>34</v>
      </c>
      <c r="F228">
        <v>2018</v>
      </c>
      <c r="G228" t="s">
        <v>44</v>
      </c>
      <c r="H228" t="s">
        <v>36</v>
      </c>
      <c r="I228" t="s">
        <v>562</v>
      </c>
      <c r="J228" t="s">
        <v>38</v>
      </c>
      <c r="K228" t="s">
        <v>39</v>
      </c>
      <c r="L228" t="s">
        <v>39</v>
      </c>
      <c r="M228" s="1">
        <v>43250</v>
      </c>
      <c r="N228">
        <v>47.390219999999999</v>
      </c>
      <c r="O228">
        <v>-122.43597</v>
      </c>
      <c r="P228" t="s">
        <v>40</v>
      </c>
      <c r="Q228" t="s">
        <v>41</v>
      </c>
      <c r="R228">
        <v>-1.61544</v>
      </c>
      <c r="S228" t="s">
        <v>55</v>
      </c>
      <c r="T228">
        <v>12</v>
      </c>
      <c r="U228">
        <v>1</v>
      </c>
      <c r="V228">
        <v>12</v>
      </c>
      <c r="W228">
        <v>7.5</v>
      </c>
      <c r="X228">
        <v>0.75</v>
      </c>
      <c r="Y228">
        <v>30</v>
      </c>
      <c r="Z228">
        <v>600</v>
      </c>
      <c r="AA228">
        <v>50</v>
      </c>
      <c r="AB228">
        <v>80</v>
      </c>
      <c r="AC228" t="s">
        <v>113</v>
      </c>
      <c r="AD228" t="s">
        <v>571</v>
      </c>
      <c r="AE228" t="s">
        <v>129</v>
      </c>
      <c r="AF228">
        <v>150</v>
      </c>
      <c r="AG228">
        <f t="shared" si="12"/>
        <v>1</v>
      </c>
      <c r="AH228" s="5" t="str">
        <f t="shared" si="13"/>
        <v/>
      </c>
      <c r="AI228">
        <f t="shared" si="14"/>
        <v>1</v>
      </c>
      <c r="AJ228" t="str">
        <f t="shared" si="15"/>
        <v/>
      </c>
    </row>
    <row r="229" spans="1:37" ht="16.5" customHeight="1" x14ac:dyDescent="0.25">
      <c r="A229">
        <v>228</v>
      </c>
      <c r="B229" t="s">
        <v>562</v>
      </c>
      <c r="C229" t="s">
        <v>574</v>
      </c>
      <c r="D229" t="s">
        <v>575</v>
      </c>
      <c r="E229" t="s">
        <v>34</v>
      </c>
      <c r="F229">
        <v>2018</v>
      </c>
      <c r="G229" t="s">
        <v>44</v>
      </c>
      <c r="H229" t="s">
        <v>36</v>
      </c>
      <c r="I229" t="s">
        <v>562</v>
      </c>
      <c r="J229" t="s">
        <v>38</v>
      </c>
      <c r="K229" t="s">
        <v>39</v>
      </c>
      <c r="L229" t="s">
        <v>39</v>
      </c>
      <c r="M229" s="1">
        <v>43251</v>
      </c>
      <c r="N229">
        <v>47.385919999999999</v>
      </c>
      <c r="O229">
        <v>-122.43792999999999</v>
      </c>
      <c r="P229" t="s">
        <v>40</v>
      </c>
      <c r="Q229" t="s">
        <v>41</v>
      </c>
      <c r="R229">
        <v>-1.18872</v>
      </c>
      <c r="S229" t="s">
        <v>55</v>
      </c>
      <c r="T229">
        <v>12</v>
      </c>
      <c r="U229">
        <v>1</v>
      </c>
      <c r="V229">
        <v>12</v>
      </c>
      <c r="W229">
        <v>7.5</v>
      </c>
      <c r="X229">
        <v>0.75</v>
      </c>
      <c r="Y229">
        <v>30</v>
      </c>
      <c r="Z229">
        <v>600</v>
      </c>
      <c r="AA229">
        <v>50</v>
      </c>
      <c r="AB229">
        <v>80</v>
      </c>
      <c r="AC229" t="s">
        <v>113</v>
      </c>
      <c r="AD229" t="s">
        <v>568</v>
      </c>
      <c r="AE229" t="s">
        <v>129</v>
      </c>
      <c r="AF229">
        <v>151</v>
      </c>
      <c r="AG229">
        <f t="shared" si="12"/>
        <v>1</v>
      </c>
      <c r="AH229" s="5" t="str">
        <f t="shared" si="13"/>
        <v/>
      </c>
      <c r="AI229">
        <f t="shared" si="14"/>
        <v>1</v>
      </c>
      <c r="AJ229" t="str">
        <f t="shared" si="15"/>
        <v/>
      </c>
    </row>
    <row r="230" spans="1:37" ht="16.5" customHeight="1" x14ac:dyDescent="0.25">
      <c r="A230">
        <v>229</v>
      </c>
      <c r="B230" t="s">
        <v>562</v>
      </c>
      <c r="C230" t="s">
        <v>576</v>
      </c>
      <c r="D230" t="s">
        <v>577</v>
      </c>
      <c r="E230" t="s">
        <v>34</v>
      </c>
      <c r="F230">
        <v>2018</v>
      </c>
      <c r="G230" t="s">
        <v>44</v>
      </c>
      <c r="H230" t="s">
        <v>36</v>
      </c>
      <c r="I230" t="s">
        <v>562</v>
      </c>
      <c r="J230" t="s">
        <v>38</v>
      </c>
      <c r="K230" t="s">
        <v>39</v>
      </c>
      <c r="L230" t="s">
        <v>39</v>
      </c>
      <c r="M230" s="1">
        <v>43251</v>
      </c>
      <c r="N230">
        <v>47.38597</v>
      </c>
      <c r="O230">
        <v>-122.43799</v>
      </c>
      <c r="P230" t="s">
        <v>40</v>
      </c>
      <c r="Q230" t="s">
        <v>41</v>
      </c>
      <c r="R230">
        <v>-1.73736</v>
      </c>
      <c r="S230" t="s">
        <v>55</v>
      </c>
      <c r="T230">
        <v>12</v>
      </c>
      <c r="U230">
        <v>1</v>
      </c>
      <c r="V230">
        <v>12</v>
      </c>
      <c r="W230">
        <v>7.5</v>
      </c>
      <c r="X230">
        <v>0.75</v>
      </c>
      <c r="Y230">
        <v>30</v>
      </c>
      <c r="Z230">
        <v>600</v>
      </c>
      <c r="AA230">
        <v>50</v>
      </c>
      <c r="AB230">
        <v>80</v>
      </c>
      <c r="AC230" t="s">
        <v>113</v>
      </c>
      <c r="AD230" t="s">
        <v>565</v>
      </c>
      <c r="AE230" t="s">
        <v>129</v>
      </c>
      <c r="AF230">
        <v>152</v>
      </c>
      <c r="AG230">
        <f t="shared" si="12"/>
        <v>1</v>
      </c>
      <c r="AH230" s="5" t="str">
        <f t="shared" si="13"/>
        <v/>
      </c>
      <c r="AI230">
        <f t="shared" si="14"/>
        <v>1</v>
      </c>
      <c r="AJ230" t="str">
        <f t="shared" si="15"/>
        <v/>
      </c>
    </row>
    <row r="231" spans="1:37" ht="16.5" customHeight="1" x14ac:dyDescent="0.25">
      <c r="A231">
        <v>230</v>
      </c>
      <c r="B231" t="s">
        <v>562</v>
      </c>
      <c r="C231" t="s">
        <v>578</v>
      </c>
      <c r="D231" t="s">
        <v>579</v>
      </c>
      <c r="E231" t="s">
        <v>34</v>
      </c>
      <c r="F231">
        <v>2018</v>
      </c>
      <c r="G231" t="s">
        <v>44</v>
      </c>
      <c r="H231" t="s">
        <v>36</v>
      </c>
      <c r="I231" t="s">
        <v>562</v>
      </c>
      <c r="J231" t="s">
        <v>38</v>
      </c>
      <c r="K231" t="s">
        <v>39</v>
      </c>
      <c r="L231" t="s">
        <v>39</v>
      </c>
      <c r="M231" s="1">
        <v>43252</v>
      </c>
      <c r="N231">
        <v>47.394410000000001</v>
      </c>
      <c r="O231">
        <v>-122.44898000000001</v>
      </c>
      <c r="P231" t="s">
        <v>40</v>
      </c>
      <c r="Q231" t="s">
        <v>41</v>
      </c>
      <c r="R231">
        <v>-1.7983199999999999</v>
      </c>
      <c r="S231" t="s">
        <v>55</v>
      </c>
      <c r="T231">
        <v>12</v>
      </c>
      <c r="U231">
        <v>1</v>
      </c>
      <c r="V231">
        <v>12</v>
      </c>
      <c r="W231">
        <v>7.5</v>
      </c>
      <c r="X231">
        <v>0.75</v>
      </c>
      <c r="Y231">
        <v>30</v>
      </c>
      <c r="Z231">
        <v>600</v>
      </c>
      <c r="AA231">
        <v>50</v>
      </c>
      <c r="AB231">
        <v>80</v>
      </c>
      <c r="AC231" t="s">
        <v>113</v>
      </c>
      <c r="AD231" t="s">
        <v>580</v>
      </c>
      <c r="AE231" t="s">
        <v>129</v>
      </c>
      <c r="AF231">
        <v>153</v>
      </c>
      <c r="AG231">
        <f t="shared" si="12"/>
        <v>1</v>
      </c>
      <c r="AH231" s="5" t="str">
        <f t="shared" si="13"/>
        <v/>
      </c>
      <c r="AI231">
        <f t="shared" si="14"/>
        <v>1</v>
      </c>
      <c r="AJ231" t="str">
        <f t="shared" si="15"/>
        <v/>
      </c>
    </row>
    <row r="232" spans="1:37" ht="16.5" customHeight="1" x14ac:dyDescent="0.25">
      <c r="A232">
        <v>231</v>
      </c>
      <c r="B232" t="s">
        <v>562</v>
      </c>
      <c r="C232" t="s">
        <v>581</v>
      </c>
      <c r="D232" t="s">
        <v>582</v>
      </c>
      <c r="E232" t="s">
        <v>34</v>
      </c>
      <c r="F232">
        <v>2018</v>
      </c>
      <c r="G232" t="s">
        <v>44</v>
      </c>
      <c r="H232" t="s">
        <v>36</v>
      </c>
      <c r="I232" t="s">
        <v>562</v>
      </c>
      <c r="J232" t="s">
        <v>38</v>
      </c>
      <c r="K232" t="s">
        <v>39</v>
      </c>
      <c r="L232" t="s">
        <v>39</v>
      </c>
      <c r="M232" s="1">
        <v>43252</v>
      </c>
      <c r="N232">
        <v>47.403919999999999</v>
      </c>
      <c r="O232">
        <v>-122.44499</v>
      </c>
      <c r="P232" t="s">
        <v>40</v>
      </c>
      <c r="Q232" t="s">
        <v>41</v>
      </c>
      <c r="R232">
        <v>-1.2192000000000001</v>
      </c>
      <c r="S232" t="s">
        <v>55</v>
      </c>
      <c r="T232">
        <v>12</v>
      </c>
      <c r="U232">
        <v>1</v>
      </c>
      <c r="V232">
        <v>12</v>
      </c>
      <c r="W232">
        <v>7.5</v>
      </c>
      <c r="X232">
        <v>0.75</v>
      </c>
      <c r="Y232">
        <v>30</v>
      </c>
      <c r="Z232">
        <v>600</v>
      </c>
      <c r="AA232">
        <v>50</v>
      </c>
      <c r="AB232">
        <v>80</v>
      </c>
      <c r="AC232" t="s">
        <v>113</v>
      </c>
      <c r="AD232" t="s">
        <v>583</v>
      </c>
      <c r="AE232" t="s">
        <v>129</v>
      </c>
      <c r="AF232">
        <v>154</v>
      </c>
      <c r="AG232">
        <f t="shared" si="12"/>
        <v>1</v>
      </c>
      <c r="AH232" s="5" t="str">
        <f t="shared" si="13"/>
        <v/>
      </c>
      <c r="AI232">
        <f t="shared" si="14"/>
        <v>1</v>
      </c>
      <c r="AJ232" t="str">
        <f t="shared" si="15"/>
        <v/>
      </c>
    </row>
    <row r="233" spans="1:37" ht="16.5" customHeight="1" x14ac:dyDescent="0.25">
      <c r="A233">
        <v>232</v>
      </c>
      <c r="B233" t="s">
        <v>562</v>
      </c>
      <c r="C233" t="s">
        <v>584</v>
      </c>
      <c r="D233" t="s">
        <v>585</v>
      </c>
      <c r="E233" t="s">
        <v>34</v>
      </c>
      <c r="F233">
        <v>2018</v>
      </c>
      <c r="G233" t="s">
        <v>44</v>
      </c>
      <c r="H233" t="s">
        <v>36</v>
      </c>
      <c r="I233" t="s">
        <v>562</v>
      </c>
      <c r="J233" t="s">
        <v>38</v>
      </c>
      <c r="K233" t="s">
        <v>39</v>
      </c>
      <c r="L233" t="s">
        <v>39</v>
      </c>
      <c r="M233" s="1">
        <v>43252</v>
      </c>
      <c r="N233">
        <v>47.403860000000002</v>
      </c>
      <c r="O233">
        <v>-122.44484</v>
      </c>
      <c r="P233" t="s">
        <v>40</v>
      </c>
      <c r="Q233" t="s">
        <v>41</v>
      </c>
      <c r="R233">
        <v>-1.85928</v>
      </c>
      <c r="S233" t="s">
        <v>55</v>
      </c>
      <c r="T233">
        <v>12</v>
      </c>
      <c r="U233">
        <v>1</v>
      </c>
      <c r="V233">
        <v>12</v>
      </c>
      <c r="W233">
        <v>7.5</v>
      </c>
      <c r="X233">
        <v>0.75</v>
      </c>
      <c r="Y233">
        <v>30</v>
      </c>
      <c r="Z233">
        <v>600</v>
      </c>
      <c r="AA233">
        <v>50</v>
      </c>
      <c r="AB233">
        <v>80</v>
      </c>
      <c r="AC233" t="s">
        <v>113</v>
      </c>
      <c r="AD233" t="s">
        <v>586</v>
      </c>
      <c r="AE233" t="s">
        <v>129</v>
      </c>
      <c r="AF233">
        <v>155</v>
      </c>
      <c r="AG233">
        <f t="shared" si="12"/>
        <v>1</v>
      </c>
      <c r="AH233" s="5" t="str">
        <f t="shared" si="13"/>
        <v/>
      </c>
      <c r="AI233">
        <f t="shared" si="14"/>
        <v>1</v>
      </c>
      <c r="AJ233" t="str">
        <f t="shared" si="15"/>
        <v/>
      </c>
    </row>
    <row r="234" spans="1:37" ht="16.5" customHeight="1" x14ac:dyDescent="0.25">
      <c r="A234">
        <v>233</v>
      </c>
      <c r="B234" t="s">
        <v>562</v>
      </c>
      <c r="C234" t="s">
        <v>587</v>
      </c>
      <c r="D234" t="s">
        <v>570</v>
      </c>
      <c r="E234" t="s">
        <v>414</v>
      </c>
      <c r="F234">
        <v>2021</v>
      </c>
      <c r="G234" t="s">
        <v>44</v>
      </c>
      <c r="H234" t="s">
        <v>36</v>
      </c>
      <c r="I234" t="s">
        <v>562</v>
      </c>
      <c r="J234" t="s">
        <v>38</v>
      </c>
      <c r="K234" t="s">
        <v>39</v>
      </c>
      <c r="L234" t="s">
        <v>39</v>
      </c>
      <c r="M234" s="1">
        <v>44329</v>
      </c>
      <c r="N234">
        <v>47.390659999999997</v>
      </c>
      <c r="O234">
        <v>-122.43606</v>
      </c>
      <c r="P234" t="s">
        <v>40</v>
      </c>
      <c r="Q234" t="s">
        <v>41</v>
      </c>
      <c r="R234">
        <v>-1.5</v>
      </c>
      <c r="S234" t="s">
        <v>55</v>
      </c>
      <c r="T234">
        <v>3.5</v>
      </c>
      <c r="U234">
        <v>0.5</v>
      </c>
      <c r="V234">
        <v>1.75</v>
      </c>
      <c r="W234">
        <v>1</v>
      </c>
      <c r="X234">
        <v>0.3</v>
      </c>
      <c r="Y234">
        <v>12</v>
      </c>
      <c r="Z234">
        <v>240</v>
      </c>
      <c r="AA234">
        <v>137.142857142857</v>
      </c>
      <c r="AB234">
        <v>240</v>
      </c>
      <c r="AC234" t="s">
        <v>99</v>
      </c>
      <c r="AD234" t="s">
        <v>588</v>
      </c>
      <c r="AE234" t="s">
        <v>184</v>
      </c>
      <c r="AF234">
        <v>156</v>
      </c>
      <c r="AG234">
        <f t="shared" si="12"/>
        <v>1</v>
      </c>
      <c r="AH234" s="5" t="str">
        <f t="shared" si="13"/>
        <v/>
      </c>
      <c r="AI234">
        <f t="shared" si="14"/>
        <v>6</v>
      </c>
      <c r="AJ234" s="6" t="str">
        <f t="shared" si="15"/>
        <v>QMH_4S</v>
      </c>
      <c r="AK234" t="s">
        <v>705</v>
      </c>
    </row>
    <row r="235" spans="1:37" ht="16.5" customHeight="1" x14ac:dyDescent="0.25">
      <c r="A235">
        <v>234</v>
      </c>
      <c r="B235" t="s">
        <v>562</v>
      </c>
      <c r="C235" t="s">
        <v>587</v>
      </c>
      <c r="D235" t="s">
        <v>570</v>
      </c>
      <c r="E235" t="s">
        <v>414</v>
      </c>
      <c r="F235">
        <v>2021</v>
      </c>
      <c r="G235" t="s">
        <v>44</v>
      </c>
      <c r="H235" t="s">
        <v>36</v>
      </c>
      <c r="I235" t="s">
        <v>562</v>
      </c>
      <c r="J235" t="s">
        <v>38</v>
      </c>
      <c r="K235" t="s">
        <v>39</v>
      </c>
      <c r="L235" t="s">
        <v>39</v>
      </c>
      <c r="M235" s="1">
        <v>44330</v>
      </c>
      <c r="N235">
        <v>47.390659999999997</v>
      </c>
      <c r="O235">
        <v>-122.43606</v>
      </c>
      <c r="P235" t="s">
        <v>40</v>
      </c>
      <c r="Q235" t="s">
        <v>41</v>
      </c>
      <c r="R235">
        <v>-1.5</v>
      </c>
      <c r="S235" t="s">
        <v>55</v>
      </c>
      <c r="T235">
        <v>4.5</v>
      </c>
      <c r="U235">
        <v>0.5</v>
      </c>
      <c r="V235">
        <v>2.25</v>
      </c>
      <c r="W235">
        <v>1.25</v>
      </c>
      <c r="X235">
        <v>0.375</v>
      </c>
      <c r="Y235">
        <v>15</v>
      </c>
      <c r="Z235">
        <v>375</v>
      </c>
      <c r="AA235">
        <v>166.666666666667</v>
      </c>
      <c r="AB235">
        <v>300</v>
      </c>
      <c r="AC235" t="s">
        <v>113</v>
      </c>
      <c r="AD235" t="s">
        <v>589</v>
      </c>
      <c r="AE235" t="s">
        <v>184</v>
      </c>
      <c r="AF235">
        <v>157</v>
      </c>
      <c r="AG235">
        <f t="shared" si="12"/>
        <v>1</v>
      </c>
      <c r="AH235" s="5" t="str">
        <f t="shared" si="13"/>
        <v/>
      </c>
      <c r="AI235">
        <f t="shared" si="14"/>
        <v>6</v>
      </c>
      <c r="AJ235" s="6" t="str">
        <f t="shared" si="15"/>
        <v>QMH_4S</v>
      </c>
      <c r="AK235" t="s">
        <v>705</v>
      </c>
    </row>
    <row r="236" spans="1:37" ht="16.5" customHeight="1" x14ac:dyDescent="0.25">
      <c r="A236">
        <v>235</v>
      </c>
      <c r="B236" t="s">
        <v>562</v>
      </c>
      <c r="C236" t="s">
        <v>587</v>
      </c>
      <c r="D236" t="s">
        <v>570</v>
      </c>
      <c r="E236" t="s">
        <v>414</v>
      </c>
      <c r="F236">
        <v>2021</v>
      </c>
      <c r="G236" t="s">
        <v>44</v>
      </c>
      <c r="H236" t="s">
        <v>36</v>
      </c>
      <c r="I236" t="s">
        <v>562</v>
      </c>
      <c r="J236" t="s">
        <v>38</v>
      </c>
      <c r="K236" t="s">
        <v>39</v>
      </c>
      <c r="L236" t="s">
        <v>39</v>
      </c>
      <c r="M236" s="1">
        <v>44342</v>
      </c>
      <c r="N236">
        <v>47.390659999999997</v>
      </c>
      <c r="O236">
        <v>-122.43606</v>
      </c>
      <c r="P236" t="s">
        <v>40</v>
      </c>
      <c r="Q236" t="s">
        <v>41</v>
      </c>
      <c r="R236">
        <v>-1.5</v>
      </c>
      <c r="S236" t="s">
        <v>55</v>
      </c>
      <c r="T236">
        <v>2.5</v>
      </c>
      <c r="U236">
        <v>1</v>
      </c>
      <c r="V236">
        <v>2.5</v>
      </c>
      <c r="W236">
        <v>1.5</v>
      </c>
      <c r="X236">
        <v>0.45</v>
      </c>
      <c r="Y236">
        <v>18</v>
      </c>
      <c r="Z236">
        <v>270</v>
      </c>
      <c r="AA236">
        <v>108</v>
      </c>
      <c r="AB236">
        <v>180</v>
      </c>
      <c r="AC236" t="s">
        <v>99</v>
      </c>
      <c r="AD236" t="s">
        <v>590</v>
      </c>
      <c r="AE236" t="s">
        <v>184</v>
      </c>
      <c r="AF236">
        <v>158</v>
      </c>
      <c r="AG236">
        <f t="shared" si="12"/>
        <v>1</v>
      </c>
      <c r="AH236" s="5" t="str">
        <f t="shared" si="13"/>
        <v/>
      </c>
      <c r="AI236">
        <f t="shared" si="14"/>
        <v>6</v>
      </c>
      <c r="AJ236" s="6" t="str">
        <f t="shared" si="15"/>
        <v>QMH_4S</v>
      </c>
      <c r="AK236" t="s">
        <v>705</v>
      </c>
    </row>
    <row r="237" spans="1:37" ht="16.5" customHeight="1" x14ac:dyDescent="0.25">
      <c r="A237">
        <v>236</v>
      </c>
      <c r="B237" t="s">
        <v>562</v>
      </c>
      <c r="C237" t="s">
        <v>591</v>
      </c>
      <c r="D237" t="s">
        <v>592</v>
      </c>
      <c r="E237" t="s">
        <v>414</v>
      </c>
      <c r="F237">
        <v>2021</v>
      </c>
      <c r="G237" t="s">
        <v>44</v>
      </c>
      <c r="H237" t="s">
        <v>36</v>
      </c>
      <c r="I237" t="s">
        <v>562</v>
      </c>
      <c r="J237" t="s">
        <v>38</v>
      </c>
      <c r="K237" t="s">
        <v>39</v>
      </c>
      <c r="L237" t="s">
        <v>39</v>
      </c>
      <c r="M237" s="1">
        <v>44329</v>
      </c>
      <c r="N237">
        <v>47.385899999999999</v>
      </c>
      <c r="O237">
        <v>-122.4379</v>
      </c>
      <c r="P237" t="s">
        <v>40</v>
      </c>
      <c r="Q237" t="s">
        <v>41</v>
      </c>
      <c r="R237">
        <v>-1.5</v>
      </c>
      <c r="S237" t="s">
        <v>55</v>
      </c>
      <c r="T237">
        <v>2.5</v>
      </c>
      <c r="U237">
        <v>0.5</v>
      </c>
      <c r="V237">
        <v>1.25</v>
      </c>
      <c r="W237">
        <v>0.75</v>
      </c>
      <c r="X237">
        <v>0.22500000000000001</v>
      </c>
      <c r="Y237">
        <v>9</v>
      </c>
      <c r="Z237">
        <v>180</v>
      </c>
      <c r="AA237">
        <v>144</v>
      </c>
      <c r="AB237">
        <v>240</v>
      </c>
      <c r="AC237" t="s">
        <v>99</v>
      </c>
      <c r="AD237" t="s">
        <v>593</v>
      </c>
      <c r="AE237" t="s">
        <v>184</v>
      </c>
      <c r="AF237">
        <v>159</v>
      </c>
      <c r="AG237">
        <f t="shared" si="12"/>
        <v>1</v>
      </c>
      <c r="AH237" s="5" t="str">
        <f t="shared" si="13"/>
        <v/>
      </c>
      <c r="AI237">
        <f t="shared" si="14"/>
        <v>2</v>
      </c>
      <c r="AJ237" s="6" t="str">
        <f t="shared" si="15"/>
        <v>QMH_5a</v>
      </c>
      <c r="AK237" t="s">
        <v>414</v>
      </c>
    </row>
    <row r="238" spans="1:37" ht="16.5" customHeight="1" x14ac:dyDescent="0.25">
      <c r="A238">
        <v>237</v>
      </c>
      <c r="B238" t="s">
        <v>562</v>
      </c>
      <c r="C238" t="s">
        <v>591</v>
      </c>
      <c r="D238" t="s">
        <v>592</v>
      </c>
      <c r="E238" t="s">
        <v>414</v>
      </c>
      <c r="F238">
        <v>2021</v>
      </c>
      <c r="G238" t="s">
        <v>44</v>
      </c>
      <c r="H238" t="s">
        <v>36</v>
      </c>
      <c r="I238" t="s">
        <v>562</v>
      </c>
      <c r="J238" t="s">
        <v>38</v>
      </c>
      <c r="K238" t="s">
        <v>39</v>
      </c>
      <c r="L238" t="s">
        <v>39</v>
      </c>
      <c r="M238" s="1">
        <v>44330</v>
      </c>
      <c r="N238">
        <v>47.385899999999999</v>
      </c>
      <c r="O238">
        <v>-122.4379</v>
      </c>
      <c r="P238" t="s">
        <v>40</v>
      </c>
      <c r="Q238" t="s">
        <v>41</v>
      </c>
      <c r="R238">
        <v>-1.5</v>
      </c>
      <c r="S238" t="s">
        <v>55</v>
      </c>
      <c r="T238">
        <v>2.5</v>
      </c>
      <c r="U238">
        <v>0.5</v>
      </c>
      <c r="V238">
        <v>1.25</v>
      </c>
      <c r="W238">
        <v>0.75</v>
      </c>
      <c r="X238">
        <v>0.22500000000000001</v>
      </c>
      <c r="Y238">
        <v>9</v>
      </c>
      <c r="Z238">
        <v>180</v>
      </c>
      <c r="AA238">
        <v>144</v>
      </c>
      <c r="AB238">
        <v>240</v>
      </c>
      <c r="AC238" t="s">
        <v>113</v>
      </c>
      <c r="AD238" t="s">
        <v>594</v>
      </c>
      <c r="AE238" t="s">
        <v>184</v>
      </c>
      <c r="AF238">
        <v>160</v>
      </c>
      <c r="AG238">
        <f t="shared" si="12"/>
        <v>1</v>
      </c>
      <c r="AH238" s="5" t="str">
        <f t="shared" si="13"/>
        <v/>
      </c>
      <c r="AI238">
        <f t="shared" si="14"/>
        <v>2</v>
      </c>
      <c r="AJ238" s="6" t="str">
        <f t="shared" si="15"/>
        <v>QMH_5a</v>
      </c>
      <c r="AK238" t="s">
        <v>414</v>
      </c>
    </row>
    <row r="239" spans="1:37" ht="16.5" customHeight="1" x14ac:dyDescent="0.25">
      <c r="A239">
        <v>238</v>
      </c>
      <c r="B239" t="s">
        <v>562</v>
      </c>
      <c r="C239" t="s">
        <v>587</v>
      </c>
      <c r="D239" t="s">
        <v>570</v>
      </c>
      <c r="E239" t="s">
        <v>414</v>
      </c>
      <c r="F239">
        <v>2021</v>
      </c>
      <c r="G239" t="s">
        <v>44</v>
      </c>
      <c r="H239" t="s">
        <v>36</v>
      </c>
      <c r="I239" t="s">
        <v>562</v>
      </c>
      <c r="J239" t="s">
        <v>38</v>
      </c>
      <c r="K239" t="s">
        <v>39</v>
      </c>
      <c r="L239" t="s">
        <v>39</v>
      </c>
      <c r="M239" s="1">
        <v>44342</v>
      </c>
      <c r="N239">
        <v>47.390659999999997</v>
      </c>
      <c r="O239">
        <v>-122.43606</v>
      </c>
      <c r="P239" t="s">
        <v>40</v>
      </c>
      <c r="Q239" t="s">
        <v>41</v>
      </c>
      <c r="R239">
        <v>-1.5</v>
      </c>
      <c r="S239" t="s">
        <v>55</v>
      </c>
      <c r="T239">
        <v>2.5</v>
      </c>
      <c r="U239">
        <v>1</v>
      </c>
      <c r="V239">
        <v>2.5</v>
      </c>
      <c r="W239">
        <v>4.5</v>
      </c>
      <c r="X239">
        <v>0.45</v>
      </c>
      <c r="Y239">
        <v>18</v>
      </c>
      <c r="Z239">
        <v>360</v>
      </c>
      <c r="AA239">
        <v>144</v>
      </c>
      <c r="AB239">
        <v>80</v>
      </c>
      <c r="AC239" t="s">
        <v>99</v>
      </c>
      <c r="AD239" t="s">
        <v>595</v>
      </c>
      <c r="AE239" t="s">
        <v>184</v>
      </c>
      <c r="AF239">
        <v>161</v>
      </c>
      <c r="AG239">
        <f t="shared" si="12"/>
        <v>1</v>
      </c>
      <c r="AH239" s="5" t="str">
        <f t="shared" si="13"/>
        <v/>
      </c>
      <c r="AI239">
        <f t="shared" si="14"/>
        <v>6</v>
      </c>
      <c r="AJ239" s="6" t="str">
        <f t="shared" si="15"/>
        <v>QMH_4S</v>
      </c>
      <c r="AK239" t="s">
        <v>705</v>
      </c>
    </row>
    <row r="240" spans="1:37" ht="16.5" customHeight="1" x14ac:dyDescent="0.25">
      <c r="A240">
        <v>239</v>
      </c>
      <c r="B240" t="s">
        <v>562</v>
      </c>
      <c r="C240" t="s">
        <v>596</v>
      </c>
      <c r="D240" t="s">
        <v>570</v>
      </c>
      <c r="E240" t="s">
        <v>414</v>
      </c>
      <c r="F240">
        <v>2022</v>
      </c>
      <c r="G240" t="s">
        <v>44</v>
      </c>
      <c r="H240" t="s">
        <v>36</v>
      </c>
      <c r="I240" t="s">
        <v>562</v>
      </c>
      <c r="J240" t="s">
        <v>38</v>
      </c>
      <c r="K240" t="s">
        <v>39</v>
      </c>
      <c r="L240" t="s">
        <v>39</v>
      </c>
      <c r="M240" s="1">
        <v>44700</v>
      </c>
      <c r="N240">
        <v>47.390659999999997</v>
      </c>
      <c r="O240">
        <v>-122.43606</v>
      </c>
      <c r="P240" t="s">
        <v>40</v>
      </c>
      <c r="Q240" t="s">
        <v>41</v>
      </c>
      <c r="R240">
        <v>-1.5</v>
      </c>
      <c r="S240" t="s">
        <v>597</v>
      </c>
      <c r="T240">
        <v>1.5</v>
      </c>
      <c r="U240">
        <v>0.5</v>
      </c>
      <c r="V240">
        <v>0.75</v>
      </c>
      <c r="W240">
        <v>0.75</v>
      </c>
      <c r="X240">
        <v>0.75</v>
      </c>
      <c r="Y240">
        <v>3</v>
      </c>
      <c r="Z240">
        <v>75</v>
      </c>
      <c r="AA240">
        <v>100</v>
      </c>
      <c r="AB240">
        <v>100</v>
      </c>
      <c r="AC240" t="s">
        <v>99</v>
      </c>
      <c r="AD240" t="s">
        <v>598</v>
      </c>
      <c r="AE240" t="s">
        <v>184</v>
      </c>
      <c r="AF240">
        <v>162</v>
      </c>
      <c r="AG240">
        <f t="shared" si="12"/>
        <v>1</v>
      </c>
      <c r="AH240" s="5" t="str">
        <f t="shared" si="13"/>
        <v/>
      </c>
      <c r="AI240">
        <f t="shared" si="14"/>
        <v>6</v>
      </c>
      <c r="AJ240" s="6" t="str">
        <f t="shared" si="15"/>
        <v>QMH_4S</v>
      </c>
      <c r="AK240" t="s">
        <v>705</v>
      </c>
    </row>
    <row r="241" spans="1:36" ht="16.5" customHeight="1" x14ac:dyDescent="0.25">
      <c r="A241">
        <v>240</v>
      </c>
      <c r="B241" t="s">
        <v>599</v>
      </c>
      <c r="C241" t="s">
        <v>600</v>
      </c>
      <c r="D241" t="s">
        <v>601</v>
      </c>
      <c r="E241" t="s">
        <v>34</v>
      </c>
      <c r="F241">
        <v>2014</v>
      </c>
      <c r="G241" t="s">
        <v>35</v>
      </c>
      <c r="H241" t="s">
        <v>36</v>
      </c>
      <c r="I241" t="s">
        <v>599</v>
      </c>
      <c r="J241" t="s">
        <v>529</v>
      </c>
      <c r="K241" t="s">
        <v>39</v>
      </c>
      <c r="L241" t="s">
        <v>39</v>
      </c>
      <c r="M241" s="1">
        <v>41967</v>
      </c>
      <c r="N241">
        <v>47.797766666666703</v>
      </c>
      <c r="O241">
        <v>-122.84966666666701</v>
      </c>
      <c r="P241" t="s">
        <v>40</v>
      </c>
      <c r="Q241" t="s">
        <v>41</v>
      </c>
      <c r="R241">
        <v>-0.4</v>
      </c>
      <c r="S241" t="s">
        <v>42</v>
      </c>
      <c r="T241">
        <v>5</v>
      </c>
      <c r="U241">
        <v>5</v>
      </c>
      <c r="V241">
        <v>25</v>
      </c>
      <c r="W241">
        <v>25</v>
      </c>
      <c r="X241">
        <v>0.625</v>
      </c>
      <c r="Y241">
        <v>125</v>
      </c>
      <c r="Z241">
        <v>500</v>
      </c>
      <c r="AA241">
        <v>20</v>
      </c>
      <c r="AB241">
        <v>20</v>
      </c>
      <c r="AC241" t="s">
        <v>599</v>
      </c>
      <c r="AD241" t="s">
        <v>44</v>
      </c>
      <c r="AE241" t="s">
        <v>51</v>
      </c>
      <c r="AF241">
        <v>163</v>
      </c>
      <c r="AG241">
        <f t="shared" si="12"/>
        <v>1</v>
      </c>
      <c r="AH241" s="5" t="str">
        <f t="shared" si="13"/>
        <v/>
      </c>
      <c r="AI241">
        <f t="shared" si="14"/>
        <v>1</v>
      </c>
      <c r="AJ241" t="str">
        <f t="shared" si="15"/>
        <v/>
      </c>
    </row>
    <row r="242" spans="1:36" ht="16.5" customHeight="1" x14ac:dyDescent="0.25">
      <c r="A242">
        <v>241</v>
      </c>
      <c r="B242" t="s">
        <v>602</v>
      </c>
      <c r="C242" t="s">
        <v>603</v>
      </c>
      <c r="D242" t="s">
        <v>604</v>
      </c>
      <c r="E242" t="s">
        <v>34</v>
      </c>
      <c r="F242">
        <v>2016</v>
      </c>
      <c r="G242" t="s">
        <v>35</v>
      </c>
      <c r="H242" t="s">
        <v>36</v>
      </c>
      <c r="I242" t="s">
        <v>599</v>
      </c>
      <c r="J242" t="s">
        <v>529</v>
      </c>
      <c r="K242" t="s">
        <v>39</v>
      </c>
      <c r="L242" t="s">
        <v>39</v>
      </c>
      <c r="M242" s="1">
        <v>42551</v>
      </c>
      <c r="N242">
        <v>47.7990833333333</v>
      </c>
      <c r="O242">
        <v>-122.848716666667</v>
      </c>
      <c r="P242" t="s">
        <v>40</v>
      </c>
      <c r="Q242" t="s">
        <v>41</v>
      </c>
      <c r="R242">
        <v>-1.64592</v>
      </c>
      <c r="S242" t="s">
        <v>42</v>
      </c>
      <c r="T242">
        <v>2</v>
      </c>
      <c r="U242">
        <v>2</v>
      </c>
      <c r="V242">
        <v>4</v>
      </c>
      <c r="W242">
        <v>4</v>
      </c>
      <c r="X242">
        <v>0.3</v>
      </c>
      <c r="Y242">
        <v>60</v>
      </c>
      <c r="Z242">
        <v>240</v>
      </c>
      <c r="AA242">
        <v>60</v>
      </c>
      <c r="AB242">
        <v>60</v>
      </c>
      <c r="AC242" t="s">
        <v>599</v>
      </c>
      <c r="AD242" t="s">
        <v>44</v>
      </c>
      <c r="AE242" t="s">
        <v>57</v>
      </c>
      <c r="AF242">
        <v>164</v>
      </c>
      <c r="AG242">
        <f t="shared" si="12"/>
        <v>1</v>
      </c>
      <c r="AH242" s="5" t="str">
        <f t="shared" si="13"/>
        <v/>
      </c>
      <c r="AI242">
        <f t="shared" si="14"/>
        <v>1</v>
      </c>
      <c r="AJ242" t="str">
        <f t="shared" si="15"/>
        <v/>
      </c>
    </row>
    <row r="243" spans="1:36" ht="16.5" customHeight="1" x14ac:dyDescent="0.25">
      <c r="A243">
        <v>242</v>
      </c>
      <c r="B243" t="s">
        <v>602</v>
      </c>
      <c r="C243" t="s">
        <v>605</v>
      </c>
      <c r="D243" t="s">
        <v>606</v>
      </c>
      <c r="E243" t="s">
        <v>34</v>
      </c>
      <c r="F243">
        <v>2016</v>
      </c>
      <c r="G243" t="s">
        <v>35</v>
      </c>
      <c r="H243" t="s">
        <v>36</v>
      </c>
      <c r="I243" t="s">
        <v>599</v>
      </c>
      <c r="J243" t="s">
        <v>529</v>
      </c>
      <c r="K243" t="s">
        <v>39</v>
      </c>
      <c r="L243" t="s">
        <v>39</v>
      </c>
      <c r="M243" s="1">
        <v>42551</v>
      </c>
      <c r="N243">
        <v>47.799149999999997</v>
      </c>
      <c r="O243">
        <v>-122.84875</v>
      </c>
      <c r="P243" t="s">
        <v>40</v>
      </c>
      <c r="Q243" t="s">
        <v>41</v>
      </c>
      <c r="R243">
        <v>-1.70688</v>
      </c>
      <c r="S243" t="s">
        <v>42</v>
      </c>
      <c r="T243">
        <v>2</v>
      </c>
      <c r="U243">
        <v>2</v>
      </c>
      <c r="V243">
        <v>4</v>
      </c>
      <c r="W243">
        <v>4</v>
      </c>
      <c r="X243">
        <v>0.3</v>
      </c>
      <c r="Y243">
        <v>60</v>
      </c>
      <c r="Z243">
        <v>240</v>
      </c>
      <c r="AA243">
        <v>60</v>
      </c>
      <c r="AB243">
        <v>60</v>
      </c>
      <c r="AC243" t="s">
        <v>599</v>
      </c>
      <c r="AD243" t="s">
        <v>44</v>
      </c>
      <c r="AE243" t="s">
        <v>57</v>
      </c>
      <c r="AF243">
        <v>165</v>
      </c>
      <c r="AG243">
        <f t="shared" si="12"/>
        <v>1</v>
      </c>
      <c r="AH243" s="5" t="str">
        <f t="shared" si="13"/>
        <v/>
      </c>
      <c r="AI243">
        <f t="shared" si="14"/>
        <v>1</v>
      </c>
      <c r="AJ243" t="str">
        <f t="shared" si="15"/>
        <v/>
      </c>
    </row>
    <row r="244" spans="1:36" ht="16.5" customHeight="1" x14ac:dyDescent="0.25">
      <c r="A244">
        <v>243</v>
      </c>
      <c r="B244" t="s">
        <v>602</v>
      </c>
      <c r="C244" t="s">
        <v>607</v>
      </c>
      <c r="D244" t="s">
        <v>608</v>
      </c>
      <c r="E244" t="s">
        <v>34</v>
      </c>
      <c r="F244">
        <v>2016</v>
      </c>
      <c r="G244" t="s">
        <v>35</v>
      </c>
      <c r="H244" t="s">
        <v>36</v>
      </c>
      <c r="I244" t="s">
        <v>599</v>
      </c>
      <c r="J244" t="s">
        <v>529</v>
      </c>
      <c r="K244" t="s">
        <v>39</v>
      </c>
      <c r="L244" t="s">
        <v>39</v>
      </c>
      <c r="M244" s="1">
        <v>42551</v>
      </c>
      <c r="N244">
        <v>47.7991666666667</v>
      </c>
      <c r="O244">
        <v>-122.8488</v>
      </c>
      <c r="P244" t="s">
        <v>40</v>
      </c>
      <c r="Q244" t="s">
        <v>41</v>
      </c>
      <c r="R244" t="s">
        <v>44</v>
      </c>
      <c r="S244" t="s">
        <v>42</v>
      </c>
      <c r="T244">
        <v>2</v>
      </c>
      <c r="U244">
        <v>2</v>
      </c>
      <c r="V244">
        <v>4</v>
      </c>
      <c r="W244">
        <v>4</v>
      </c>
      <c r="X244">
        <v>0.3</v>
      </c>
      <c r="Y244">
        <v>60</v>
      </c>
      <c r="Z244">
        <v>240</v>
      </c>
      <c r="AA244">
        <v>60</v>
      </c>
      <c r="AB244">
        <v>60</v>
      </c>
      <c r="AC244" t="s">
        <v>599</v>
      </c>
      <c r="AD244" t="s">
        <v>44</v>
      </c>
      <c r="AE244" t="s">
        <v>57</v>
      </c>
      <c r="AF244">
        <v>166</v>
      </c>
      <c r="AG244">
        <f t="shared" si="12"/>
        <v>1</v>
      </c>
      <c r="AH244" s="5" t="str">
        <f t="shared" si="13"/>
        <v/>
      </c>
      <c r="AI244">
        <f t="shared" si="14"/>
        <v>1</v>
      </c>
      <c r="AJ244" t="str">
        <f t="shared" si="15"/>
        <v/>
      </c>
    </row>
    <row r="245" spans="1:36" ht="16.5" customHeight="1" x14ac:dyDescent="0.25">
      <c r="A245">
        <v>244</v>
      </c>
      <c r="B245" t="s">
        <v>602</v>
      </c>
      <c r="C245" t="s">
        <v>609</v>
      </c>
      <c r="D245" t="s">
        <v>610</v>
      </c>
      <c r="E245" t="s">
        <v>34</v>
      </c>
      <c r="F245">
        <v>2016</v>
      </c>
      <c r="G245" t="s">
        <v>35</v>
      </c>
      <c r="H245" t="s">
        <v>36</v>
      </c>
      <c r="I245" t="s">
        <v>599</v>
      </c>
      <c r="J245" t="s">
        <v>529</v>
      </c>
      <c r="K245" t="s">
        <v>39</v>
      </c>
      <c r="L245" t="s">
        <v>39</v>
      </c>
      <c r="M245" s="1">
        <v>42551</v>
      </c>
      <c r="N245">
        <v>47.798033333333301</v>
      </c>
      <c r="O245">
        <v>-122.849516666667</v>
      </c>
      <c r="P245" t="s">
        <v>40</v>
      </c>
      <c r="Q245" t="s">
        <v>41</v>
      </c>
      <c r="R245">
        <v>-1.4325600000000001</v>
      </c>
      <c r="S245" t="s">
        <v>42</v>
      </c>
      <c r="T245">
        <v>2</v>
      </c>
      <c r="U245">
        <v>2</v>
      </c>
      <c r="V245">
        <v>4</v>
      </c>
      <c r="W245">
        <v>4</v>
      </c>
      <c r="X245">
        <v>0.3</v>
      </c>
      <c r="Y245">
        <v>60</v>
      </c>
      <c r="Z245">
        <v>240</v>
      </c>
      <c r="AA245">
        <v>60</v>
      </c>
      <c r="AB245">
        <v>60</v>
      </c>
      <c r="AC245" t="s">
        <v>599</v>
      </c>
      <c r="AD245" t="s">
        <v>44</v>
      </c>
      <c r="AE245" t="s">
        <v>57</v>
      </c>
      <c r="AF245">
        <v>167</v>
      </c>
      <c r="AG245">
        <f t="shared" si="12"/>
        <v>1</v>
      </c>
      <c r="AH245" s="5" t="str">
        <f t="shared" si="13"/>
        <v/>
      </c>
      <c r="AI245">
        <f t="shared" si="14"/>
        <v>1</v>
      </c>
      <c r="AJ245" t="str">
        <f t="shared" si="15"/>
        <v/>
      </c>
    </row>
    <row r="246" spans="1:36" ht="16.5" customHeight="1" x14ac:dyDescent="0.25">
      <c r="A246">
        <v>245</v>
      </c>
      <c r="B246" t="s">
        <v>602</v>
      </c>
      <c r="C246" t="s">
        <v>611</v>
      </c>
      <c r="D246" t="s">
        <v>612</v>
      </c>
      <c r="E246" t="s">
        <v>34</v>
      </c>
      <c r="F246">
        <v>2016</v>
      </c>
      <c r="G246" t="s">
        <v>35</v>
      </c>
      <c r="H246" t="s">
        <v>36</v>
      </c>
      <c r="I246" t="s">
        <v>599</v>
      </c>
      <c r="J246" t="s">
        <v>529</v>
      </c>
      <c r="K246" t="s">
        <v>39</v>
      </c>
      <c r="L246" t="s">
        <v>39</v>
      </c>
      <c r="M246" s="1">
        <v>42551</v>
      </c>
      <c r="N246">
        <v>47.798083333333302</v>
      </c>
      <c r="O246">
        <v>-122.849583333333</v>
      </c>
      <c r="P246" t="s">
        <v>40</v>
      </c>
      <c r="Q246" t="s">
        <v>41</v>
      </c>
      <c r="R246">
        <v>-1.7983199999999999</v>
      </c>
      <c r="S246" t="s">
        <v>42</v>
      </c>
      <c r="T246">
        <v>2</v>
      </c>
      <c r="U246">
        <v>2</v>
      </c>
      <c r="V246">
        <v>4</v>
      </c>
      <c r="W246">
        <v>4</v>
      </c>
      <c r="X246">
        <v>0.3</v>
      </c>
      <c r="Y246">
        <v>60</v>
      </c>
      <c r="Z246">
        <v>240</v>
      </c>
      <c r="AA246">
        <v>60</v>
      </c>
      <c r="AB246">
        <v>60</v>
      </c>
      <c r="AC246" t="s">
        <v>599</v>
      </c>
      <c r="AD246" t="s">
        <v>44</v>
      </c>
      <c r="AE246" t="s">
        <v>57</v>
      </c>
      <c r="AF246">
        <v>168</v>
      </c>
      <c r="AG246">
        <f t="shared" si="12"/>
        <v>1</v>
      </c>
      <c r="AH246" s="5" t="str">
        <f t="shared" si="13"/>
        <v/>
      </c>
      <c r="AI246">
        <f t="shared" si="14"/>
        <v>1</v>
      </c>
      <c r="AJ246" t="str">
        <f t="shared" si="15"/>
        <v/>
      </c>
    </row>
    <row r="247" spans="1:36" ht="16.5" customHeight="1" x14ac:dyDescent="0.25">
      <c r="A247">
        <v>246</v>
      </c>
      <c r="B247" t="s">
        <v>602</v>
      </c>
      <c r="C247" t="s">
        <v>613</v>
      </c>
      <c r="D247" t="s">
        <v>614</v>
      </c>
      <c r="E247" t="s">
        <v>34</v>
      </c>
      <c r="F247">
        <v>2016</v>
      </c>
      <c r="G247" t="s">
        <v>35</v>
      </c>
      <c r="H247" t="s">
        <v>36</v>
      </c>
      <c r="I247" t="s">
        <v>599</v>
      </c>
      <c r="J247" t="s">
        <v>529</v>
      </c>
      <c r="K247" t="s">
        <v>39</v>
      </c>
      <c r="L247" t="s">
        <v>39</v>
      </c>
      <c r="M247" s="1">
        <v>42551</v>
      </c>
      <c r="N247">
        <v>47.798116666666701</v>
      </c>
      <c r="O247">
        <v>-122.8496</v>
      </c>
      <c r="P247" t="s">
        <v>40</v>
      </c>
      <c r="Q247" t="s">
        <v>41</v>
      </c>
      <c r="R247">
        <v>-2.1335999999999999</v>
      </c>
      <c r="S247" t="s">
        <v>42</v>
      </c>
      <c r="T247">
        <v>2</v>
      </c>
      <c r="U247">
        <v>2</v>
      </c>
      <c r="V247">
        <v>4</v>
      </c>
      <c r="W247">
        <v>4</v>
      </c>
      <c r="X247">
        <v>0.3</v>
      </c>
      <c r="Y247">
        <v>60</v>
      </c>
      <c r="Z247">
        <v>240</v>
      </c>
      <c r="AA247">
        <v>60</v>
      </c>
      <c r="AB247">
        <v>60</v>
      </c>
      <c r="AC247" t="s">
        <v>599</v>
      </c>
      <c r="AD247" t="s">
        <v>44</v>
      </c>
      <c r="AE247" t="s">
        <v>57</v>
      </c>
      <c r="AF247">
        <v>169</v>
      </c>
      <c r="AG247">
        <f t="shared" si="12"/>
        <v>1</v>
      </c>
      <c r="AH247" s="5" t="str">
        <f t="shared" si="13"/>
        <v/>
      </c>
      <c r="AI247">
        <f t="shared" si="14"/>
        <v>1</v>
      </c>
      <c r="AJ247" t="str">
        <f t="shared" si="15"/>
        <v/>
      </c>
    </row>
    <row r="248" spans="1:36" ht="16.5" customHeight="1" x14ac:dyDescent="0.25">
      <c r="A248">
        <v>247</v>
      </c>
      <c r="B248" t="s">
        <v>602</v>
      </c>
      <c r="C248" t="s">
        <v>615</v>
      </c>
      <c r="D248" t="s">
        <v>616</v>
      </c>
      <c r="E248" t="s">
        <v>34</v>
      </c>
      <c r="F248">
        <v>2016</v>
      </c>
      <c r="G248" t="s">
        <v>35</v>
      </c>
      <c r="H248" t="s">
        <v>36</v>
      </c>
      <c r="I248" t="s">
        <v>599</v>
      </c>
      <c r="J248" t="s">
        <v>529</v>
      </c>
      <c r="K248" t="s">
        <v>39</v>
      </c>
      <c r="L248" t="s">
        <v>39</v>
      </c>
      <c r="M248" s="1">
        <v>42551</v>
      </c>
      <c r="N248">
        <v>47.79665</v>
      </c>
      <c r="O248">
        <v>-122.8501333</v>
      </c>
      <c r="P248" t="s">
        <v>40</v>
      </c>
      <c r="Q248" t="s">
        <v>41</v>
      </c>
      <c r="R248">
        <v>-1.1582399999999999</v>
      </c>
      <c r="S248" t="s">
        <v>42</v>
      </c>
      <c r="T248">
        <v>2</v>
      </c>
      <c r="U248">
        <v>2</v>
      </c>
      <c r="V248">
        <v>4</v>
      </c>
      <c r="W248">
        <v>4</v>
      </c>
      <c r="X248">
        <v>0.3</v>
      </c>
      <c r="Y248">
        <v>60</v>
      </c>
      <c r="Z248">
        <v>240</v>
      </c>
      <c r="AA248">
        <v>60</v>
      </c>
      <c r="AB248">
        <v>60</v>
      </c>
      <c r="AC248" t="s">
        <v>599</v>
      </c>
      <c r="AD248" t="s">
        <v>44</v>
      </c>
      <c r="AE248" t="s">
        <v>57</v>
      </c>
      <c r="AF248">
        <v>170</v>
      </c>
      <c r="AG248">
        <f t="shared" si="12"/>
        <v>1</v>
      </c>
      <c r="AH248" s="5" t="str">
        <f t="shared" si="13"/>
        <v/>
      </c>
      <c r="AI248">
        <f t="shared" si="14"/>
        <v>1</v>
      </c>
      <c r="AJ248" t="str">
        <f t="shared" si="15"/>
        <v/>
      </c>
    </row>
    <row r="249" spans="1:36" ht="16.5" customHeight="1" x14ac:dyDescent="0.25">
      <c r="A249">
        <v>248</v>
      </c>
      <c r="B249" t="s">
        <v>602</v>
      </c>
      <c r="C249" t="s">
        <v>617</v>
      </c>
      <c r="D249" t="s">
        <v>618</v>
      </c>
      <c r="E249" t="s">
        <v>34</v>
      </c>
      <c r="F249">
        <v>2016</v>
      </c>
      <c r="G249" t="s">
        <v>35</v>
      </c>
      <c r="H249" t="s">
        <v>36</v>
      </c>
      <c r="I249" t="s">
        <v>599</v>
      </c>
      <c r="J249" t="s">
        <v>529</v>
      </c>
      <c r="K249" t="s">
        <v>39</v>
      </c>
      <c r="L249" t="s">
        <v>39</v>
      </c>
      <c r="M249" s="1">
        <v>42551</v>
      </c>
      <c r="N249">
        <v>47.79668333</v>
      </c>
      <c r="O249">
        <v>-122.8502</v>
      </c>
      <c r="P249" t="s">
        <v>40</v>
      </c>
      <c r="Q249" t="s">
        <v>41</v>
      </c>
      <c r="R249">
        <v>-1.4630399999999999</v>
      </c>
      <c r="S249" t="s">
        <v>42</v>
      </c>
      <c r="T249">
        <v>2</v>
      </c>
      <c r="U249">
        <v>2</v>
      </c>
      <c r="V249">
        <v>4</v>
      </c>
      <c r="W249">
        <v>4</v>
      </c>
      <c r="X249">
        <v>0.3</v>
      </c>
      <c r="Y249">
        <v>60</v>
      </c>
      <c r="Z249">
        <v>240</v>
      </c>
      <c r="AA249">
        <v>60</v>
      </c>
      <c r="AB249">
        <v>60</v>
      </c>
      <c r="AC249" t="s">
        <v>599</v>
      </c>
      <c r="AD249" t="s">
        <v>44</v>
      </c>
      <c r="AE249" t="s">
        <v>57</v>
      </c>
      <c r="AF249">
        <v>171</v>
      </c>
      <c r="AG249">
        <f t="shared" si="12"/>
        <v>1</v>
      </c>
      <c r="AH249" s="5" t="str">
        <f t="shared" si="13"/>
        <v/>
      </c>
      <c r="AI249">
        <f t="shared" si="14"/>
        <v>1</v>
      </c>
      <c r="AJ249" t="str">
        <f t="shared" si="15"/>
        <v/>
      </c>
    </row>
    <row r="250" spans="1:36" ht="16.5" customHeight="1" x14ac:dyDescent="0.25">
      <c r="A250">
        <v>249</v>
      </c>
      <c r="B250" t="s">
        <v>602</v>
      </c>
      <c r="C250" t="s">
        <v>619</v>
      </c>
      <c r="D250" t="s">
        <v>620</v>
      </c>
      <c r="E250" t="s">
        <v>34</v>
      </c>
      <c r="F250">
        <v>2016</v>
      </c>
      <c r="G250" t="s">
        <v>35</v>
      </c>
      <c r="H250" t="s">
        <v>36</v>
      </c>
      <c r="I250" t="s">
        <v>599</v>
      </c>
      <c r="J250" t="s">
        <v>529</v>
      </c>
      <c r="K250" t="s">
        <v>39</v>
      </c>
      <c r="L250" t="s">
        <v>39</v>
      </c>
      <c r="M250" s="1">
        <v>42551</v>
      </c>
      <c r="N250">
        <v>47.79668333</v>
      </c>
      <c r="O250">
        <v>-122.8502333</v>
      </c>
      <c r="P250" t="s">
        <v>40</v>
      </c>
      <c r="Q250" t="s">
        <v>41</v>
      </c>
      <c r="R250">
        <v>-2.0726399999999998</v>
      </c>
      <c r="S250" t="s">
        <v>42</v>
      </c>
      <c r="T250">
        <v>2</v>
      </c>
      <c r="U250">
        <v>2</v>
      </c>
      <c r="V250">
        <v>4</v>
      </c>
      <c r="W250">
        <v>4</v>
      </c>
      <c r="X250">
        <v>0.3</v>
      </c>
      <c r="Y250">
        <v>60</v>
      </c>
      <c r="Z250">
        <v>240</v>
      </c>
      <c r="AA250">
        <v>60</v>
      </c>
      <c r="AB250">
        <v>60</v>
      </c>
      <c r="AC250" t="s">
        <v>599</v>
      </c>
      <c r="AD250" t="s">
        <v>44</v>
      </c>
      <c r="AE250" t="s">
        <v>57</v>
      </c>
      <c r="AF250">
        <v>172</v>
      </c>
      <c r="AG250">
        <f t="shared" si="12"/>
        <v>1</v>
      </c>
      <c r="AH250" s="5" t="str">
        <f t="shared" si="13"/>
        <v/>
      </c>
      <c r="AI250">
        <f t="shared" si="14"/>
        <v>1</v>
      </c>
      <c r="AJ250" t="str">
        <f t="shared" si="15"/>
        <v/>
      </c>
    </row>
    <row r="251" spans="1:36" ht="16.5" customHeight="1" x14ac:dyDescent="0.25">
      <c r="A251">
        <v>250</v>
      </c>
      <c r="B251" t="s">
        <v>621</v>
      </c>
      <c r="C251" t="s">
        <v>622</v>
      </c>
      <c r="D251" t="s">
        <v>623</v>
      </c>
      <c r="E251" t="s">
        <v>34</v>
      </c>
      <c r="F251">
        <v>2023</v>
      </c>
      <c r="G251" t="s">
        <v>44</v>
      </c>
      <c r="H251" t="s">
        <v>36</v>
      </c>
      <c r="I251" t="s">
        <v>624</v>
      </c>
      <c r="J251" t="s">
        <v>529</v>
      </c>
      <c r="K251" t="s">
        <v>39</v>
      </c>
      <c r="L251" t="s">
        <v>39</v>
      </c>
      <c r="M251" s="1">
        <v>45081</v>
      </c>
      <c r="N251">
        <v>47.866653999999997</v>
      </c>
      <c r="O251">
        <v>-122.67272</v>
      </c>
      <c r="P251" t="s">
        <v>40</v>
      </c>
      <c r="Q251" t="s">
        <v>41</v>
      </c>
      <c r="R251">
        <v>-0.5</v>
      </c>
      <c r="S251" t="s">
        <v>55</v>
      </c>
      <c r="T251" t="s">
        <v>44</v>
      </c>
      <c r="U251" t="s">
        <v>44</v>
      </c>
      <c r="V251">
        <v>0</v>
      </c>
      <c r="W251">
        <v>2.25</v>
      </c>
      <c r="X251">
        <v>0.22500000000000001</v>
      </c>
      <c r="Y251">
        <v>9</v>
      </c>
      <c r="Z251" t="s">
        <v>44</v>
      </c>
      <c r="AA251" t="s">
        <v>44</v>
      </c>
      <c r="AB251">
        <v>0</v>
      </c>
      <c r="AC251" t="s">
        <v>621</v>
      </c>
      <c r="AD251" t="s">
        <v>44</v>
      </c>
      <c r="AE251" t="s">
        <v>100</v>
      </c>
      <c r="AF251">
        <v>173</v>
      </c>
      <c r="AG251">
        <f t="shared" si="12"/>
        <v>1</v>
      </c>
      <c r="AH251" s="5" t="str">
        <f t="shared" si="13"/>
        <v/>
      </c>
      <c r="AI251">
        <f t="shared" si="14"/>
        <v>1</v>
      </c>
      <c r="AJ251" t="str">
        <f t="shared" si="15"/>
        <v/>
      </c>
    </row>
    <row r="252" spans="1:36" ht="16.5" customHeight="1" x14ac:dyDescent="0.25">
      <c r="A252">
        <v>251</v>
      </c>
      <c r="B252" t="s">
        <v>625</v>
      </c>
      <c r="C252" t="s">
        <v>626</v>
      </c>
      <c r="D252" t="s">
        <v>627</v>
      </c>
      <c r="E252" t="s">
        <v>34</v>
      </c>
      <c r="F252">
        <v>2016</v>
      </c>
      <c r="G252" s="2" t="s">
        <v>628</v>
      </c>
      <c r="H252" t="s">
        <v>36</v>
      </c>
      <c r="I252" t="s">
        <v>629</v>
      </c>
      <c r="J252" t="s">
        <v>630</v>
      </c>
      <c r="K252" t="s">
        <v>39</v>
      </c>
      <c r="L252" t="s">
        <v>39</v>
      </c>
      <c r="M252" s="1">
        <v>42621</v>
      </c>
      <c r="N252">
        <v>48.347106666666697</v>
      </c>
      <c r="O252">
        <v>-122.541366666667</v>
      </c>
      <c r="P252" t="s">
        <v>40</v>
      </c>
      <c r="Q252" t="s">
        <v>41</v>
      </c>
      <c r="R252">
        <v>-0.70104</v>
      </c>
      <c r="S252" t="s">
        <v>55</v>
      </c>
      <c r="T252">
        <v>2</v>
      </c>
      <c r="U252">
        <v>2</v>
      </c>
      <c r="V252">
        <v>4</v>
      </c>
      <c r="W252">
        <v>5</v>
      </c>
      <c r="X252">
        <v>0.5</v>
      </c>
      <c r="Y252">
        <v>20</v>
      </c>
      <c r="Z252">
        <v>500</v>
      </c>
      <c r="AA252">
        <v>125</v>
      </c>
      <c r="AB252">
        <v>100</v>
      </c>
      <c r="AC252" t="s">
        <v>629</v>
      </c>
      <c r="AD252" t="s">
        <v>631</v>
      </c>
      <c r="AE252" t="s">
        <v>57</v>
      </c>
      <c r="AF252">
        <v>174</v>
      </c>
      <c r="AG252">
        <f t="shared" si="12"/>
        <v>1</v>
      </c>
      <c r="AH252" s="5" t="str">
        <f t="shared" si="13"/>
        <v/>
      </c>
      <c r="AI252">
        <f t="shared" si="14"/>
        <v>1</v>
      </c>
      <c r="AJ252" t="str">
        <f t="shared" si="15"/>
        <v/>
      </c>
    </row>
    <row r="253" spans="1:36" ht="16.5" customHeight="1" x14ac:dyDescent="0.25">
      <c r="A253">
        <v>252</v>
      </c>
      <c r="B253" t="s">
        <v>625</v>
      </c>
      <c r="C253" t="s">
        <v>632</v>
      </c>
      <c r="D253" t="s">
        <v>633</v>
      </c>
      <c r="E253" t="s">
        <v>34</v>
      </c>
      <c r="F253">
        <v>2016</v>
      </c>
      <c r="G253" s="2" t="s">
        <v>628</v>
      </c>
      <c r="H253" t="s">
        <v>36</v>
      </c>
      <c r="I253" t="s">
        <v>629</v>
      </c>
      <c r="J253" t="s">
        <v>630</v>
      </c>
      <c r="K253" t="s">
        <v>39</v>
      </c>
      <c r="L253" t="s">
        <v>39</v>
      </c>
      <c r="M253" s="1">
        <v>42621</v>
      </c>
      <c r="N253">
        <v>48.347566666666701</v>
      </c>
      <c r="O253">
        <v>-122.54205</v>
      </c>
      <c r="P253" t="s">
        <v>40</v>
      </c>
      <c r="Q253" t="s">
        <v>41</v>
      </c>
      <c r="R253">
        <v>-0.70104</v>
      </c>
      <c r="S253" t="s">
        <v>55</v>
      </c>
      <c r="T253">
        <v>2</v>
      </c>
      <c r="U253">
        <v>2</v>
      </c>
      <c r="V253">
        <v>4</v>
      </c>
      <c r="W253">
        <v>5</v>
      </c>
      <c r="X253">
        <v>0.5</v>
      </c>
      <c r="Y253">
        <v>20</v>
      </c>
      <c r="Z253">
        <v>500</v>
      </c>
      <c r="AA253">
        <v>125</v>
      </c>
      <c r="AB253">
        <v>100</v>
      </c>
      <c r="AC253" t="s">
        <v>629</v>
      </c>
      <c r="AD253" t="s">
        <v>634</v>
      </c>
      <c r="AE253" t="s">
        <v>57</v>
      </c>
      <c r="AF253">
        <v>175</v>
      </c>
      <c r="AG253">
        <f t="shared" si="12"/>
        <v>1</v>
      </c>
      <c r="AH253" s="5" t="str">
        <f t="shared" si="13"/>
        <v/>
      </c>
      <c r="AI253">
        <f t="shared" si="14"/>
        <v>1</v>
      </c>
      <c r="AJ253" t="str">
        <f t="shared" si="15"/>
        <v/>
      </c>
    </row>
    <row r="254" spans="1:36" ht="16.5" customHeight="1" x14ac:dyDescent="0.25">
      <c r="A254">
        <v>253</v>
      </c>
      <c r="B254" t="s">
        <v>625</v>
      </c>
      <c r="C254" t="s">
        <v>635</v>
      </c>
      <c r="D254" t="s">
        <v>636</v>
      </c>
      <c r="E254" t="s">
        <v>34</v>
      </c>
      <c r="F254">
        <v>2016</v>
      </c>
      <c r="G254" s="2" t="s">
        <v>628</v>
      </c>
      <c r="H254" t="s">
        <v>36</v>
      </c>
      <c r="I254" t="s">
        <v>629</v>
      </c>
      <c r="J254" t="s">
        <v>630</v>
      </c>
      <c r="K254" t="s">
        <v>39</v>
      </c>
      <c r="L254" t="s">
        <v>39</v>
      </c>
      <c r="M254" s="1">
        <v>42622</v>
      </c>
      <c r="N254">
        <v>48.348199999999999</v>
      </c>
      <c r="O254">
        <v>-122.54325</v>
      </c>
      <c r="P254" t="s">
        <v>40</v>
      </c>
      <c r="Q254" t="s">
        <v>41</v>
      </c>
      <c r="R254">
        <v>-0.42671999999999999</v>
      </c>
      <c r="S254" t="s">
        <v>55</v>
      </c>
      <c r="T254">
        <v>1.5</v>
      </c>
      <c r="U254">
        <v>2</v>
      </c>
      <c r="V254">
        <v>3</v>
      </c>
      <c r="W254">
        <v>4</v>
      </c>
      <c r="X254">
        <v>0.4</v>
      </c>
      <c r="Y254">
        <v>16</v>
      </c>
      <c r="Z254">
        <v>400</v>
      </c>
      <c r="AA254">
        <v>133.333333333333</v>
      </c>
      <c r="AB254">
        <v>100</v>
      </c>
      <c r="AC254" t="s">
        <v>629</v>
      </c>
      <c r="AD254" t="s">
        <v>637</v>
      </c>
      <c r="AE254" t="s">
        <v>57</v>
      </c>
      <c r="AF254">
        <v>176</v>
      </c>
      <c r="AG254">
        <f t="shared" si="12"/>
        <v>1</v>
      </c>
      <c r="AH254" s="5" t="str">
        <f t="shared" si="13"/>
        <v/>
      </c>
      <c r="AI254">
        <f t="shared" si="14"/>
        <v>1</v>
      </c>
      <c r="AJ254" t="str">
        <f t="shared" si="15"/>
        <v/>
      </c>
    </row>
    <row r="255" spans="1:36" ht="16.5" customHeight="1" x14ac:dyDescent="0.25">
      <c r="A255">
        <v>254</v>
      </c>
      <c r="B255" t="s">
        <v>625</v>
      </c>
      <c r="C255" t="s">
        <v>638</v>
      </c>
      <c r="D255" t="s">
        <v>639</v>
      </c>
      <c r="E255" t="s">
        <v>34</v>
      </c>
      <c r="F255">
        <v>2016</v>
      </c>
      <c r="G255" s="2" t="s">
        <v>628</v>
      </c>
      <c r="H255" t="s">
        <v>36</v>
      </c>
      <c r="I255" t="s">
        <v>629</v>
      </c>
      <c r="J255" t="s">
        <v>630</v>
      </c>
      <c r="K255" t="s">
        <v>39</v>
      </c>
      <c r="L255" t="s">
        <v>39</v>
      </c>
      <c r="M255" s="1">
        <v>42622</v>
      </c>
      <c r="N255">
        <v>48.348199999999999</v>
      </c>
      <c r="O255">
        <v>-122.543816666667</v>
      </c>
      <c r="P255" t="s">
        <v>40</v>
      </c>
      <c r="Q255" t="s">
        <v>41</v>
      </c>
      <c r="R255">
        <v>-0.51815999999999995</v>
      </c>
      <c r="S255" t="s">
        <v>55</v>
      </c>
      <c r="T255">
        <v>1.5</v>
      </c>
      <c r="U255">
        <v>2</v>
      </c>
      <c r="V255">
        <v>3</v>
      </c>
      <c r="W255">
        <v>4</v>
      </c>
      <c r="X255">
        <v>0.4</v>
      </c>
      <c r="Y255">
        <v>16</v>
      </c>
      <c r="Z255">
        <v>400</v>
      </c>
      <c r="AA255">
        <v>133.333333333333</v>
      </c>
      <c r="AB255">
        <v>100</v>
      </c>
      <c r="AC255" t="s">
        <v>629</v>
      </c>
      <c r="AD255" t="s">
        <v>637</v>
      </c>
      <c r="AE255" t="s">
        <v>57</v>
      </c>
      <c r="AF255">
        <v>177</v>
      </c>
      <c r="AG255">
        <f t="shared" si="12"/>
        <v>1</v>
      </c>
      <c r="AH255" s="5" t="str">
        <f t="shared" si="13"/>
        <v/>
      </c>
      <c r="AI255">
        <f t="shared" si="14"/>
        <v>1</v>
      </c>
      <c r="AJ255" t="str">
        <f t="shared" si="15"/>
        <v/>
      </c>
    </row>
    <row r="256" spans="1:36" ht="16.5" customHeight="1" x14ac:dyDescent="0.25">
      <c r="A256">
        <v>255</v>
      </c>
      <c r="B256" t="s">
        <v>640</v>
      </c>
      <c r="C256" t="s">
        <v>641</v>
      </c>
      <c r="D256" t="s">
        <v>642</v>
      </c>
      <c r="E256" t="s">
        <v>34</v>
      </c>
      <c r="F256">
        <v>2015</v>
      </c>
      <c r="G256" t="s">
        <v>44</v>
      </c>
      <c r="H256" t="s">
        <v>36</v>
      </c>
      <c r="I256" t="s">
        <v>107</v>
      </c>
      <c r="J256" t="s">
        <v>38</v>
      </c>
      <c r="K256" t="s">
        <v>39</v>
      </c>
      <c r="L256" t="s">
        <v>39</v>
      </c>
      <c r="M256" s="1">
        <v>42075</v>
      </c>
      <c r="N256">
        <v>47.320098000000002</v>
      </c>
      <c r="O256">
        <v>-122.831565</v>
      </c>
      <c r="P256" t="s">
        <v>40</v>
      </c>
      <c r="Q256" t="s">
        <v>41</v>
      </c>
      <c r="R256">
        <v>-1.0668</v>
      </c>
      <c r="S256" t="s">
        <v>42</v>
      </c>
      <c r="T256">
        <v>5</v>
      </c>
      <c r="U256">
        <v>5</v>
      </c>
      <c r="V256">
        <v>25</v>
      </c>
      <c r="W256">
        <v>25</v>
      </c>
      <c r="X256">
        <v>0.625</v>
      </c>
      <c r="Y256">
        <v>125</v>
      </c>
      <c r="Z256">
        <v>500</v>
      </c>
      <c r="AA256">
        <v>20</v>
      </c>
      <c r="AB256">
        <v>20</v>
      </c>
      <c r="AC256" t="s">
        <v>201</v>
      </c>
      <c r="AD256" t="s">
        <v>643</v>
      </c>
      <c r="AE256" t="s">
        <v>51</v>
      </c>
      <c r="AF256">
        <v>178</v>
      </c>
      <c r="AG256">
        <f t="shared" si="12"/>
        <v>1</v>
      </c>
      <c r="AH256" s="5" t="str">
        <f t="shared" si="13"/>
        <v/>
      </c>
      <c r="AI256">
        <f t="shared" si="14"/>
        <v>1</v>
      </c>
      <c r="AJ256" t="str">
        <f t="shared" si="15"/>
        <v/>
      </c>
    </row>
    <row r="257" spans="1:38" ht="16.5" customHeight="1" x14ac:dyDescent="0.25">
      <c r="A257">
        <v>256</v>
      </c>
      <c r="B257" t="s">
        <v>644</v>
      </c>
      <c r="C257" t="s">
        <v>645</v>
      </c>
      <c r="D257" t="s">
        <v>646</v>
      </c>
      <c r="E257" t="s">
        <v>34</v>
      </c>
      <c r="F257">
        <v>2016</v>
      </c>
      <c r="G257" t="s">
        <v>44</v>
      </c>
      <c r="H257" t="s">
        <v>63</v>
      </c>
      <c r="I257" t="s">
        <v>107</v>
      </c>
      <c r="J257" t="s">
        <v>38</v>
      </c>
      <c r="K257" t="s">
        <v>39</v>
      </c>
      <c r="L257" t="s">
        <v>39</v>
      </c>
      <c r="M257" s="1">
        <v>42509</v>
      </c>
      <c r="N257">
        <v>47.183090558333298</v>
      </c>
      <c r="O257">
        <v>-122.777793994444</v>
      </c>
      <c r="P257" t="s">
        <v>40</v>
      </c>
      <c r="Q257" t="s">
        <v>41</v>
      </c>
      <c r="R257">
        <v>-2</v>
      </c>
      <c r="S257" t="s">
        <v>146</v>
      </c>
      <c r="T257">
        <v>25</v>
      </c>
      <c r="U257">
        <v>5</v>
      </c>
      <c r="V257">
        <v>125</v>
      </c>
      <c r="W257">
        <v>75</v>
      </c>
      <c r="X257">
        <v>9.75</v>
      </c>
      <c r="Y257">
        <v>156</v>
      </c>
      <c r="Z257">
        <v>780</v>
      </c>
      <c r="AA257">
        <v>6.24</v>
      </c>
      <c r="AB257">
        <v>10.4</v>
      </c>
      <c r="AC257" t="s">
        <v>65</v>
      </c>
      <c r="AD257" t="s">
        <v>148</v>
      </c>
      <c r="AE257" t="s">
        <v>67</v>
      </c>
      <c r="AF257">
        <v>179</v>
      </c>
      <c r="AG257">
        <f t="shared" si="12"/>
        <v>2</v>
      </c>
      <c r="AH257" s="5">
        <f t="shared" si="13"/>
        <v>179</v>
      </c>
      <c r="AI257">
        <f t="shared" si="14"/>
        <v>2</v>
      </c>
      <c r="AJ257" t="str">
        <f t="shared" si="15"/>
        <v>TAY_L1</v>
      </c>
      <c r="AK257" t="s">
        <v>698</v>
      </c>
    </row>
    <row r="258" spans="1:38" ht="16.5" customHeight="1" x14ac:dyDescent="0.25">
      <c r="A258">
        <v>257</v>
      </c>
      <c r="B258" t="s">
        <v>644</v>
      </c>
      <c r="C258" t="s">
        <v>647</v>
      </c>
      <c r="D258" t="s">
        <v>646</v>
      </c>
      <c r="E258" t="s">
        <v>34</v>
      </c>
      <c r="F258">
        <v>2016</v>
      </c>
      <c r="G258" t="s">
        <v>44</v>
      </c>
      <c r="H258" t="s">
        <v>63</v>
      </c>
      <c r="I258" t="s">
        <v>107</v>
      </c>
      <c r="J258" t="s">
        <v>38</v>
      </c>
      <c r="K258" t="s">
        <v>39</v>
      </c>
      <c r="L258" t="s">
        <v>69</v>
      </c>
      <c r="M258" s="1">
        <v>42509</v>
      </c>
      <c r="N258">
        <v>47.182860077777804</v>
      </c>
      <c r="O258">
        <v>-122.777782322222</v>
      </c>
      <c r="P258" t="s">
        <v>40</v>
      </c>
      <c r="Q258" t="s">
        <v>41</v>
      </c>
      <c r="R258" t="s">
        <v>44</v>
      </c>
      <c r="S258" t="s">
        <v>44</v>
      </c>
      <c r="T258" t="s">
        <v>44</v>
      </c>
      <c r="U258" t="s">
        <v>44</v>
      </c>
      <c r="V258" t="s">
        <v>44</v>
      </c>
      <c r="W258" t="s">
        <v>44</v>
      </c>
      <c r="X258" t="s">
        <v>44</v>
      </c>
      <c r="Y258" t="s">
        <v>44</v>
      </c>
      <c r="Z258" t="s">
        <v>44</v>
      </c>
      <c r="AA258" t="s">
        <v>44</v>
      </c>
      <c r="AB258" t="s">
        <v>44</v>
      </c>
      <c r="AC258" t="s">
        <v>44</v>
      </c>
      <c r="AD258" t="s">
        <v>44</v>
      </c>
      <c r="AE258" t="s">
        <v>67</v>
      </c>
      <c r="AF258">
        <v>179</v>
      </c>
      <c r="AG258">
        <f t="shared" si="12"/>
        <v>2</v>
      </c>
      <c r="AH258" s="5">
        <f t="shared" si="13"/>
        <v>179</v>
      </c>
      <c r="AI258">
        <f t="shared" si="14"/>
        <v>2</v>
      </c>
      <c r="AJ258" t="str">
        <f t="shared" si="15"/>
        <v>TAY_L1</v>
      </c>
      <c r="AK258" t="s">
        <v>698</v>
      </c>
    </row>
    <row r="259" spans="1:38" ht="16.5" customHeight="1" x14ac:dyDescent="0.25">
      <c r="A259">
        <v>258</v>
      </c>
      <c r="B259" t="s">
        <v>648</v>
      </c>
      <c r="C259" t="s">
        <v>649</v>
      </c>
      <c r="D259" t="s">
        <v>650</v>
      </c>
      <c r="E259" t="s">
        <v>34</v>
      </c>
      <c r="F259">
        <v>2013</v>
      </c>
      <c r="G259" t="s">
        <v>35</v>
      </c>
      <c r="H259" t="s">
        <v>36</v>
      </c>
      <c r="I259" t="s">
        <v>648</v>
      </c>
      <c r="J259" t="s">
        <v>112</v>
      </c>
      <c r="K259" t="s">
        <v>39</v>
      </c>
      <c r="L259" t="s">
        <v>39</v>
      </c>
      <c r="M259" s="1">
        <v>41439</v>
      </c>
      <c r="N259">
        <v>48.601783333333302</v>
      </c>
      <c r="O259">
        <v>-123.13939999999999</v>
      </c>
      <c r="P259" t="s">
        <v>40</v>
      </c>
      <c r="Q259" t="s">
        <v>41</v>
      </c>
      <c r="R259">
        <v>-1.2192000000000001</v>
      </c>
      <c r="S259" t="s">
        <v>42</v>
      </c>
      <c r="T259">
        <v>5</v>
      </c>
      <c r="U259">
        <v>95</v>
      </c>
      <c r="V259">
        <v>475</v>
      </c>
      <c r="W259">
        <v>25</v>
      </c>
      <c r="X259">
        <v>0.56000000000000005</v>
      </c>
      <c r="Y259">
        <v>112</v>
      </c>
      <c r="Z259">
        <v>448</v>
      </c>
      <c r="AA259">
        <v>0.94315789473684197</v>
      </c>
      <c r="AB259">
        <v>17.920000000000002</v>
      </c>
      <c r="AC259" t="s">
        <v>651</v>
      </c>
      <c r="AD259" t="s">
        <v>652</v>
      </c>
      <c r="AE259" t="s">
        <v>45</v>
      </c>
      <c r="AF259">
        <v>180</v>
      </c>
      <c r="AG259">
        <f t="shared" ref="AG259:AG277" si="16">COUNTIF(AF:AF,AF259)</f>
        <v>1</v>
      </c>
      <c r="AH259" s="5" t="str">
        <f t="shared" ref="AH259:AH277" si="17">IF(AG259&gt;1,AF259,"")</f>
        <v/>
      </c>
      <c r="AI259">
        <f t="shared" ref="AI259:AI277" si="18">COUNTIF(D:D,D259)</f>
        <v>1</v>
      </c>
      <c r="AJ259" t="str">
        <f t="shared" ref="AJ259:AJ289" si="19">IF(AI259&gt;1,D259,"")</f>
        <v/>
      </c>
    </row>
    <row r="260" spans="1:38" ht="16.5" customHeight="1" x14ac:dyDescent="0.25">
      <c r="A260">
        <v>259</v>
      </c>
      <c r="B260" t="s">
        <v>648</v>
      </c>
      <c r="C260" t="s">
        <v>653</v>
      </c>
      <c r="D260" t="s">
        <v>654</v>
      </c>
      <c r="E260" t="s">
        <v>34</v>
      </c>
      <c r="F260">
        <v>2013</v>
      </c>
      <c r="G260" t="s">
        <v>35</v>
      </c>
      <c r="H260" t="s">
        <v>36</v>
      </c>
      <c r="I260" t="s">
        <v>648</v>
      </c>
      <c r="J260" t="s">
        <v>112</v>
      </c>
      <c r="K260" t="s">
        <v>39</v>
      </c>
      <c r="L260" t="s">
        <v>39</v>
      </c>
      <c r="M260" s="1">
        <v>41439</v>
      </c>
      <c r="N260">
        <v>48.596449999999997</v>
      </c>
      <c r="O260">
        <v>-123.160866666667</v>
      </c>
      <c r="P260" t="s">
        <v>40</v>
      </c>
      <c r="Q260" t="s">
        <v>41</v>
      </c>
      <c r="R260">
        <v>-1.524</v>
      </c>
      <c r="S260" t="s">
        <v>42</v>
      </c>
      <c r="T260">
        <v>5</v>
      </c>
      <c r="U260">
        <v>57</v>
      </c>
      <c r="V260">
        <v>285</v>
      </c>
      <c r="W260">
        <v>25</v>
      </c>
      <c r="X260">
        <v>0.59</v>
      </c>
      <c r="Y260">
        <v>118</v>
      </c>
      <c r="Z260">
        <v>472</v>
      </c>
      <c r="AA260">
        <v>1.6561403508771899</v>
      </c>
      <c r="AB260">
        <v>18.88</v>
      </c>
      <c r="AC260" t="s">
        <v>651</v>
      </c>
      <c r="AD260" t="s">
        <v>655</v>
      </c>
      <c r="AE260" t="s">
        <v>45</v>
      </c>
      <c r="AF260">
        <v>181</v>
      </c>
      <c r="AG260">
        <f t="shared" si="16"/>
        <v>1</v>
      </c>
      <c r="AH260" s="5" t="str">
        <f t="shared" si="17"/>
        <v/>
      </c>
      <c r="AI260">
        <f t="shared" si="18"/>
        <v>1</v>
      </c>
      <c r="AJ260" t="str">
        <f t="shared" si="19"/>
        <v/>
      </c>
    </row>
    <row r="261" spans="1:38" ht="16.5" customHeight="1" x14ac:dyDescent="0.25">
      <c r="A261">
        <v>260</v>
      </c>
      <c r="B261" t="s">
        <v>648</v>
      </c>
      <c r="C261" t="s">
        <v>656</v>
      </c>
      <c r="D261" t="s">
        <v>657</v>
      </c>
      <c r="E261" t="s">
        <v>34</v>
      </c>
      <c r="F261">
        <v>2017</v>
      </c>
      <c r="G261" t="s">
        <v>35</v>
      </c>
      <c r="H261" t="s">
        <v>36</v>
      </c>
      <c r="I261" t="s">
        <v>648</v>
      </c>
      <c r="J261" t="s">
        <v>112</v>
      </c>
      <c r="K261" t="s">
        <v>39</v>
      </c>
      <c r="L261" t="s">
        <v>39</v>
      </c>
      <c r="M261" s="1">
        <v>42887</v>
      </c>
      <c r="N261">
        <v>48.595866666666701</v>
      </c>
      <c r="O261">
        <v>-123.16155000000001</v>
      </c>
      <c r="P261" t="s">
        <v>40</v>
      </c>
      <c r="Q261" t="s">
        <v>41</v>
      </c>
      <c r="R261">
        <v>-1.40208</v>
      </c>
      <c r="S261" t="s">
        <v>55</v>
      </c>
      <c r="T261">
        <v>2.5</v>
      </c>
      <c r="U261">
        <v>2.5</v>
      </c>
      <c r="V261">
        <v>6.25</v>
      </c>
      <c r="W261">
        <v>5</v>
      </c>
      <c r="X261">
        <v>0.5</v>
      </c>
      <c r="Y261">
        <v>20</v>
      </c>
      <c r="Z261">
        <v>500</v>
      </c>
      <c r="AA261">
        <v>80</v>
      </c>
      <c r="AB261">
        <v>100</v>
      </c>
      <c r="AC261" t="s">
        <v>658</v>
      </c>
      <c r="AD261" t="s">
        <v>44</v>
      </c>
      <c r="AE261" t="s">
        <v>129</v>
      </c>
      <c r="AF261">
        <v>182</v>
      </c>
      <c r="AG261">
        <f t="shared" si="16"/>
        <v>1</v>
      </c>
      <c r="AH261" s="5" t="str">
        <f t="shared" si="17"/>
        <v/>
      </c>
      <c r="AI261">
        <f t="shared" si="18"/>
        <v>1</v>
      </c>
      <c r="AJ261" t="str">
        <f t="shared" si="19"/>
        <v/>
      </c>
    </row>
    <row r="262" spans="1:38" ht="16.5" customHeight="1" x14ac:dyDescent="0.25">
      <c r="A262">
        <v>261</v>
      </c>
      <c r="B262" t="s">
        <v>648</v>
      </c>
      <c r="C262" t="s">
        <v>659</v>
      </c>
      <c r="D262" t="s">
        <v>660</v>
      </c>
      <c r="E262" t="s">
        <v>34</v>
      </c>
      <c r="F262">
        <v>2017</v>
      </c>
      <c r="G262" t="s">
        <v>35</v>
      </c>
      <c r="H262" t="s">
        <v>36</v>
      </c>
      <c r="I262" t="s">
        <v>648</v>
      </c>
      <c r="J262" t="s">
        <v>112</v>
      </c>
      <c r="K262" t="s">
        <v>39</v>
      </c>
      <c r="L262" t="s">
        <v>39</v>
      </c>
      <c r="M262" s="1">
        <v>42887</v>
      </c>
      <c r="N262">
        <v>48.596449999999997</v>
      </c>
      <c r="O262">
        <v>-123.161283333333</v>
      </c>
      <c r="P262" t="s">
        <v>40</v>
      </c>
      <c r="Q262" t="s">
        <v>41</v>
      </c>
      <c r="R262">
        <v>-1.4630399999999999</v>
      </c>
      <c r="S262" t="s">
        <v>55</v>
      </c>
      <c r="T262">
        <v>2.5</v>
      </c>
      <c r="U262">
        <v>2.5</v>
      </c>
      <c r="V262">
        <v>6.25</v>
      </c>
      <c r="W262">
        <v>5</v>
      </c>
      <c r="X262">
        <v>0.5</v>
      </c>
      <c r="Y262">
        <v>20</v>
      </c>
      <c r="Z262">
        <v>500</v>
      </c>
      <c r="AA262">
        <v>80</v>
      </c>
      <c r="AB262">
        <v>100</v>
      </c>
      <c r="AC262" t="s">
        <v>661</v>
      </c>
      <c r="AD262" t="s">
        <v>44</v>
      </c>
      <c r="AE262" t="s">
        <v>129</v>
      </c>
      <c r="AF262">
        <v>183</v>
      </c>
      <c r="AG262">
        <f t="shared" si="16"/>
        <v>1</v>
      </c>
      <c r="AH262" s="5" t="str">
        <f t="shared" si="17"/>
        <v/>
      </c>
      <c r="AI262">
        <f t="shared" si="18"/>
        <v>1</v>
      </c>
      <c r="AJ262" t="str">
        <f t="shared" si="19"/>
        <v/>
      </c>
    </row>
    <row r="263" spans="1:38" ht="16.5" customHeight="1" x14ac:dyDescent="0.25">
      <c r="A263">
        <v>262</v>
      </c>
      <c r="B263" t="s">
        <v>648</v>
      </c>
      <c r="C263" t="s">
        <v>662</v>
      </c>
      <c r="D263" t="s">
        <v>663</v>
      </c>
      <c r="E263" t="s">
        <v>34</v>
      </c>
      <c r="F263">
        <v>2017</v>
      </c>
      <c r="G263" t="s">
        <v>35</v>
      </c>
      <c r="H263" t="s">
        <v>36</v>
      </c>
      <c r="I263" t="s">
        <v>648</v>
      </c>
      <c r="J263" t="s">
        <v>112</v>
      </c>
      <c r="K263" t="s">
        <v>39</v>
      </c>
      <c r="L263" t="s">
        <v>39</v>
      </c>
      <c r="M263" s="1">
        <v>42888</v>
      </c>
      <c r="N263">
        <v>48.597716666666699</v>
      </c>
      <c r="O263">
        <v>-123.159983333333</v>
      </c>
      <c r="P263" t="s">
        <v>40</v>
      </c>
      <c r="Q263" t="s">
        <v>41</v>
      </c>
      <c r="R263">
        <v>-1.49352</v>
      </c>
      <c r="S263" t="s">
        <v>55</v>
      </c>
      <c r="T263">
        <v>2.5</v>
      </c>
      <c r="U263">
        <v>2.5</v>
      </c>
      <c r="V263">
        <v>6.25</v>
      </c>
      <c r="W263">
        <v>4.75</v>
      </c>
      <c r="X263">
        <v>0.47499999999999998</v>
      </c>
      <c r="Y263">
        <v>19</v>
      </c>
      <c r="Z263">
        <v>475</v>
      </c>
      <c r="AA263">
        <v>76</v>
      </c>
      <c r="AB263">
        <v>100</v>
      </c>
      <c r="AC263" t="s">
        <v>664</v>
      </c>
      <c r="AD263" t="s">
        <v>44</v>
      </c>
      <c r="AE263" t="s">
        <v>129</v>
      </c>
      <c r="AF263">
        <v>184</v>
      </c>
      <c r="AG263">
        <f t="shared" si="16"/>
        <v>1</v>
      </c>
      <c r="AH263" s="5" t="str">
        <f t="shared" si="17"/>
        <v/>
      </c>
      <c r="AI263">
        <f t="shared" si="18"/>
        <v>1</v>
      </c>
      <c r="AJ263" t="str">
        <f t="shared" si="19"/>
        <v/>
      </c>
    </row>
    <row r="264" spans="1:38" ht="16.5" customHeight="1" x14ac:dyDescent="0.25">
      <c r="A264">
        <v>263</v>
      </c>
      <c r="B264" t="s">
        <v>648</v>
      </c>
      <c r="C264" t="s">
        <v>665</v>
      </c>
      <c r="D264" t="s">
        <v>666</v>
      </c>
      <c r="E264" t="s">
        <v>34</v>
      </c>
      <c r="F264">
        <v>2017</v>
      </c>
      <c r="G264" t="s">
        <v>35</v>
      </c>
      <c r="H264" t="s">
        <v>36</v>
      </c>
      <c r="I264" t="s">
        <v>648</v>
      </c>
      <c r="J264" t="s">
        <v>112</v>
      </c>
      <c r="K264" t="s">
        <v>39</v>
      </c>
      <c r="L264" t="s">
        <v>39</v>
      </c>
      <c r="M264" s="1">
        <v>42888</v>
      </c>
      <c r="N264">
        <v>48.598483333333299</v>
      </c>
      <c r="O264">
        <v>-123.156833333333</v>
      </c>
      <c r="P264" t="s">
        <v>40</v>
      </c>
      <c r="Q264" t="s">
        <v>41</v>
      </c>
      <c r="R264">
        <v>-1.524</v>
      </c>
      <c r="S264" t="s">
        <v>55</v>
      </c>
      <c r="T264">
        <v>3</v>
      </c>
      <c r="U264">
        <v>2.5</v>
      </c>
      <c r="V264">
        <v>7.5</v>
      </c>
      <c r="W264">
        <v>6.18</v>
      </c>
      <c r="X264">
        <v>0.61799999999999999</v>
      </c>
      <c r="Y264">
        <v>24.72</v>
      </c>
      <c r="Z264">
        <v>618</v>
      </c>
      <c r="AA264">
        <v>82.4</v>
      </c>
      <c r="AB264">
        <v>100</v>
      </c>
      <c r="AC264" t="s">
        <v>117</v>
      </c>
      <c r="AD264" t="s">
        <v>44</v>
      </c>
      <c r="AE264" t="s">
        <v>129</v>
      </c>
      <c r="AF264">
        <v>185</v>
      </c>
      <c r="AG264">
        <f t="shared" si="16"/>
        <v>1</v>
      </c>
      <c r="AH264" s="5" t="str">
        <f t="shared" si="17"/>
        <v/>
      </c>
      <c r="AI264">
        <f t="shared" si="18"/>
        <v>1</v>
      </c>
      <c r="AJ264" t="str">
        <f t="shared" si="19"/>
        <v/>
      </c>
    </row>
    <row r="265" spans="1:38" ht="16.5" customHeight="1" x14ac:dyDescent="0.25">
      <c r="A265">
        <v>264</v>
      </c>
      <c r="B265" t="s">
        <v>648</v>
      </c>
      <c r="C265" t="s">
        <v>667</v>
      </c>
      <c r="D265" t="s">
        <v>668</v>
      </c>
      <c r="E265" t="s">
        <v>34</v>
      </c>
      <c r="F265">
        <v>2020</v>
      </c>
      <c r="G265" t="s">
        <v>111</v>
      </c>
      <c r="H265" t="s">
        <v>63</v>
      </c>
      <c r="I265" t="s">
        <v>648</v>
      </c>
      <c r="J265" t="s">
        <v>112</v>
      </c>
      <c r="K265" t="s">
        <v>39</v>
      </c>
      <c r="L265" t="s">
        <v>39</v>
      </c>
      <c r="M265" s="1">
        <v>44044</v>
      </c>
      <c r="N265">
        <v>48.593940000000003</v>
      </c>
      <c r="O265">
        <v>-123.15505</v>
      </c>
      <c r="P265" t="s">
        <v>40</v>
      </c>
      <c r="Q265" t="s">
        <v>41</v>
      </c>
      <c r="R265">
        <v>-1.7</v>
      </c>
      <c r="S265" t="s">
        <v>55</v>
      </c>
      <c r="T265">
        <v>14</v>
      </c>
      <c r="U265">
        <v>1</v>
      </c>
      <c r="V265">
        <v>14</v>
      </c>
      <c r="W265">
        <v>6</v>
      </c>
      <c r="X265">
        <v>0.6</v>
      </c>
      <c r="Y265">
        <v>24</v>
      </c>
      <c r="Z265">
        <v>640</v>
      </c>
      <c r="AA265">
        <v>45.714285714285701</v>
      </c>
      <c r="AB265">
        <v>106.666666666667</v>
      </c>
      <c r="AC265" t="s">
        <v>113</v>
      </c>
      <c r="AD265" t="s">
        <v>669</v>
      </c>
      <c r="AE265" t="s">
        <v>115</v>
      </c>
      <c r="AF265">
        <v>186</v>
      </c>
      <c r="AG265">
        <f t="shared" si="16"/>
        <v>1</v>
      </c>
      <c r="AH265" s="5" t="str">
        <f t="shared" si="17"/>
        <v/>
      </c>
      <c r="AI265">
        <f t="shared" si="18"/>
        <v>5</v>
      </c>
      <c r="AJ265" s="6" t="str">
        <f t="shared" si="19"/>
        <v>WES_test_1</v>
      </c>
      <c r="AK265" t="s">
        <v>414</v>
      </c>
    </row>
    <row r="266" spans="1:38" ht="16.5" customHeight="1" x14ac:dyDescent="0.25">
      <c r="A266">
        <v>265</v>
      </c>
      <c r="B266" t="s">
        <v>648</v>
      </c>
      <c r="C266" t="s">
        <v>670</v>
      </c>
      <c r="D266" t="s">
        <v>668</v>
      </c>
      <c r="E266" t="s">
        <v>34</v>
      </c>
      <c r="F266">
        <v>2020</v>
      </c>
      <c r="G266" t="s">
        <v>111</v>
      </c>
      <c r="H266" t="s">
        <v>63</v>
      </c>
      <c r="I266" t="s">
        <v>648</v>
      </c>
      <c r="J266" t="s">
        <v>112</v>
      </c>
      <c r="K266" t="s">
        <v>39</v>
      </c>
      <c r="L266" t="s">
        <v>39</v>
      </c>
      <c r="M266" s="1">
        <v>44044</v>
      </c>
      <c r="N266">
        <v>48.593940000000003</v>
      </c>
      <c r="O266">
        <v>-123.15505</v>
      </c>
      <c r="P266" t="s">
        <v>40</v>
      </c>
      <c r="Q266" t="s">
        <v>41</v>
      </c>
      <c r="R266">
        <v>-1.7</v>
      </c>
      <c r="S266" t="s">
        <v>55</v>
      </c>
      <c r="T266">
        <v>14</v>
      </c>
      <c r="U266">
        <v>1</v>
      </c>
      <c r="V266">
        <v>14</v>
      </c>
      <c r="W266">
        <v>0.75</v>
      </c>
      <c r="X266">
        <v>7.4999999999999997E-2</v>
      </c>
      <c r="Y266">
        <v>3</v>
      </c>
      <c r="Z266">
        <v>60</v>
      </c>
      <c r="AA266">
        <v>4.28571428571429</v>
      </c>
      <c r="AB266">
        <v>80</v>
      </c>
      <c r="AC266" t="s">
        <v>116</v>
      </c>
      <c r="AD266" t="s">
        <v>669</v>
      </c>
      <c r="AE266" t="s">
        <v>115</v>
      </c>
      <c r="AF266">
        <v>187</v>
      </c>
      <c r="AG266">
        <f t="shared" si="16"/>
        <v>1</v>
      </c>
      <c r="AH266" s="5" t="str">
        <f t="shared" si="17"/>
        <v/>
      </c>
      <c r="AI266">
        <f t="shared" si="18"/>
        <v>5</v>
      </c>
      <c r="AJ266" s="6" t="str">
        <f t="shared" si="19"/>
        <v>WES_test_1</v>
      </c>
      <c r="AK266" t="s">
        <v>414</v>
      </c>
    </row>
    <row r="267" spans="1:38" ht="16.5" customHeight="1" x14ac:dyDescent="0.25">
      <c r="A267">
        <v>266</v>
      </c>
      <c r="B267" t="s">
        <v>648</v>
      </c>
      <c r="C267" t="s">
        <v>671</v>
      </c>
      <c r="D267" t="s">
        <v>668</v>
      </c>
      <c r="E267" t="s">
        <v>34</v>
      </c>
      <c r="F267">
        <v>2020</v>
      </c>
      <c r="G267" t="s">
        <v>111</v>
      </c>
      <c r="H267" t="s">
        <v>63</v>
      </c>
      <c r="I267" t="s">
        <v>648</v>
      </c>
      <c r="J267" t="s">
        <v>112</v>
      </c>
      <c r="K267" t="s">
        <v>39</v>
      </c>
      <c r="L267" t="s">
        <v>39</v>
      </c>
      <c r="M267" s="1">
        <v>44044</v>
      </c>
      <c r="N267">
        <v>48.593940000000003</v>
      </c>
      <c r="O267">
        <v>-123.15505</v>
      </c>
      <c r="P267" t="s">
        <v>40</v>
      </c>
      <c r="Q267" t="s">
        <v>41</v>
      </c>
      <c r="R267">
        <v>-1.7</v>
      </c>
      <c r="S267" t="s">
        <v>55</v>
      </c>
      <c r="T267">
        <v>14</v>
      </c>
      <c r="U267">
        <v>1</v>
      </c>
      <c r="V267">
        <v>14</v>
      </c>
      <c r="W267">
        <v>2.25</v>
      </c>
      <c r="X267">
        <v>0.22500000000000001</v>
      </c>
      <c r="Y267">
        <v>9</v>
      </c>
      <c r="Z267">
        <v>135</v>
      </c>
      <c r="AA267">
        <v>9.6428571428571406</v>
      </c>
      <c r="AB267">
        <v>60</v>
      </c>
      <c r="AC267" t="s">
        <v>117</v>
      </c>
      <c r="AD267" t="s">
        <v>672</v>
      </c>
      <c r="AE267" t="s">
        <v>115</v>
      </c>
      <c r="AF267">
        <v>188</v>
      </c>
      <c r="AG267">
        <f t="shared" si="16"/>
        <v>1</v>
      </c>
      <c r="AH267" s="5" t="str">
        <f t="shared" si="17"/>
        <v/>
      </c>
      <c r="AI267">
        <f t="shared" si="18"/>
        <v>5</v>
      </c>
      <c r="AJ267" s="6" t="str">
        <f t="shared" si="19"/>
        <v>WES_test_1</v>
      </c>
      <c r="AK267" t="s">
        <v>414</v>
      </c>
    </row>
    <row r="268" spans="1:38" ht="16.5" customHeight="1" x14ac:dyDescent="0.25">
      <c r="A268">
        <v>267</v>
      </c>
      <c r="B268" t="s">
        <v>648</v>
      </c>
      <c r="C268" t="s">
        <v>673</v>
      </c>
      <c r="D268" t="s">
        <v>668</v>
      </c>
      <c r="E268" t="s">
        <v>34</v>
      </c>
      <c r="F268">
        <v>2020</v>
      </c>
      <c r="G268" t="s">
        <v>111</v>
      </c>
      <c r="H268" t="s">
        <v>63</v>
      </c>
      <c r="I268" t="s">
        <v>648</v>
      </c>
      <c r="J268" t="s">
        <v>112</v>
      </c>
      <c r="K268" t="s">
        <v>39</v>
      </c>
      <c r="L268" t="s">
        <v>39</v>
      </c>
      <c r="M268" s="1">
        <v>44044</v>
      </c>
      <c r="N268">
        <v>48.593940000000003</v>
      </c>
      <c r="O268">
        <v>-123.15505</v>
      </c>
      <c r="P268" t="s">
        <v>40</v>
      </c>
      <c r="Q268" t="s">
        <v>41</v>
      </c>
      <c r="R268">
        <v>-1.7</v>
      </c>
      <c r="S268" t="s">
        <v>55</v>
      </c>
      <c r="T268">
        <v>14</v>
      </c>
      <c r="U268">
        <v>1</v>
      </c>
      <c r="V268">
        <v>14</v>
      </c>
      <c r="W268">
        <v>3.75</v>
      </c>
      <c r="X268">
        <v>0.375</v>
      </c>
      <c r="Y268">
        <v>15</v>
      </c>
      <c r="Z268">
        <v>210</v>
      </c>
      <c r="AA268">
        <v>15</v>
      </c>
      <c r="AB268">
        <v>56</v>
      </c>
      <c r="AC268" t="s">
        <v>119</v>
      </c>
      <c r="AD268" t="s">
        <v>669</v>
      </c>
      <c r="AE268" t="s">
        <v>115</v>
      </c>
      <c r="AF268">
        <v>189</v>
      </c>
      <c r="AG268">
        <f t="shared" si="16"/>
        <v>1</v>
      </c>
      <c r="AH268" s="5" t="str">
        <f t="shared" si="17"/>
        <v/>
      </c>
      <c r="AI268">
        <f t="shared" si="18"/>
        <v>5</v>
      </c>
      <c r="AJ268" s="6" t="str">
        <f t="shared" si="19"/>
        <v>WES_test_1</v>
      </c>
      <c r="AK268" t="s">
        <v>414</v>
      </c>
    </row>
    <row r="269" spans="1:38" ht="16.5" customHeight="1" x14ac:dyDescent="0.25">
      <c r="A269">
        <v>268</v>
      </c>
      <c r="B269" t="s">
        <v>648</v>
      </c>
      <c r="C269" t="s">
        <v>674</v>
      </c>
      <c r="D269" t="s">
        <v>668</v>
      </c>
      <c r="E269" t="s">
        <v>34</v>
      </c>
      <c r="F269">
        <v>2020</v>
      </c>
      <c r="G269" t="s">
        <v>111</v>
      </c>
      <c r="H269" t="s">
        <v>63</v>
      </c>
      <c r="I269" t="s">
        <v>648</v>
      </c>
      <c r="J269" t="s">
        <v>112</v>
      </c>
      <c r="K269" t="s">
        <v>39</v>
      </c>
      <c r="L269" t="s">
        <v>39</v>
      </c>
      <c r="M269" s="1">
        <v>44044</v>
      </c>
      <c r="N269">
        <v>48.593940000000003</v>
      </c>
      <c r="O269">
        <v>-123.15505</v>
      </c>
      <c r="P269" t="s">
        <v>40</v>
      </c>
      <c r="Q269" t="s">
        <v>41</v>
      </c>
      <c r="R269">
        <v>-1.7</v>
      </c>
      <c r="S269" t="s">
        <v>55</v>
      </c>
      <c r="T269">
        <v>14</v>
      </c>
      <c r="U269">
        <v>1</v>
      </c>
      <c r="V269">
        <v>14</v>
      </c>
      <c r="W269">
        <v>2.25</v>
      </c>
      <c r="X269">
        <v>0.22500000000000001</v>
      </c>
      <c r="Y269">
        <v>9</v>
      </c>
      <c r="Z269">
        <v>275</v>
      </c>
      <c r="AA269">
        <v>19.6428571428571</v>
      </c>
      <c r="AB269">
        <v>122.222222222222</v>
      </c>
      <c r="AC269" s="8" t="s">
        <v>120</v>
      </c>
      <c r="AD269" t="s">
        <v>669</v>
      </c>
      <c r="AE269" t="s">
        <v>115</v>
      </c>
      <c r="AF269">
        <v>190</v>
      </c>
      <c r="AG269">
        <f t="shared" si="16"/>
        <v>1</v>
      </c>
      <c r="AH269" s="5" t="str">
        <f t="shared" si="17"/>
        <v/>
      </c>
      <c r="AI269">
        <f t="shared" si="18"/>
        <v>5</v>
      </c>
      <c r="AJ269" s="6" t="str">
        <f t="shared" si="19"/>
        <v>WES_test_1</v>
      </c>
      <c r="AK269" t="s">
        <v>414</v>
      </c>
      <c r="AL269" t="s">
        <v>707</v>
      </c>
    </row>
    <row r="270" spans="1:38" ht="16.5" customHeight="1" x14ac:dyDescent="0.25">
      <c r="A270">
        <v>269</v>
      </c>
      <c r="B270" t="s">
        <v>675</v>
      </c>
      <c r="C270" t="s">
        <v>676</v>
      </c>
      <c r="D270" t="s">
        <v>677</v>
      </c>
      <c r="E270" t="s">
        <v>34</v>
      </c>
      <c r="F270">
        <v>2013</v>
      </c>
      <c r="G270" t="s">
        <v>678</v>
      </c>
      <c r="H270" t="s">
        <v>36</v>
      </c>
      <c r="I270" t="s">
        <v>679</v>
      </c>
      <c r="J270" t="s">
        <v>200</v>
      </c>
      <c r="K270" t="s">
        <v>39</v>
      </c>
      <c r="L270" t="s">
        <v>39</v>
      </c>
      <c r="M270" s="1">
        <v>41431</v>
      </c>
      <c r="N270">
        <v>47.14555</v>
      </c>
      <c r="O270">
        <v>-122.893233333333</v>
      </c>
      <c r="P270" t="s">
        <v>40</v>
      </c>
      <c r="Q270" t="s">
        <v>41</v>
      </c>
      <c r="R270">
        <v>-1.2192000000000001</v>
      </c>
      <c r="S270" t="s">
        <v>42</v>
      </c>
      <c r="T270">
        <v>5</v>
      </c>
      <c r="U270">
        <v>9</v>
      </c>
      <c r="V270">
        <v>45</v>
      </c>
      <c r="W270">
        <v>45</v>
      </c>
      <c r="X270">
        <v>1.0900000000000001</v>
      </c>
      <c r="Y270">
        <v>218</v>
      </c>
      <c r="Z270">
        <v>872</v>
      </c>
      <c r="AA270">
        <v>19.377777777777801</v>
      </c>
      <c r="AB270">
        <v>19.377777777777801</v>
      </c>
      <c r="AC270" t="s">
        <v>43</v>
      </c>
      <c r="AD270" t="s">
        <v>44</v>
      </c>
      <c r="AE270" t="s">
        <v>45</v>
      </c>
      <c r="AF270">
        <v>191</v>
      </c>
      <c r="AG270">
        <f t="shared" si="16"/>
        <v>1</v>
      </c>
      <c r="AH270" s="5" t="str">
        <f t="shared" si="17"/>
        <v/>
      </c>
      <c r="AI270">
        <f t="shared" si="18"/>
        <v>1</v>
      </c>
      <c r="AJ270" t="str">
        <f t="shared" si="19"/>
        <v/>
      </c>
    </row>
    <row r="271" spans="1:38" ht="16.5" customHeight="1" x14ac:dyDescent="0.25">
      <c r="A271">
        <v>270</v>
      </c>
      <c r="B271" t="s">
        <v>675</v>
      </c>
      <c r="C271" t="s">
        <v>680</v>
      </c>
      <c r="D271" t="s">
        <v>681</v>
      </c>
      <c r="E271" t="s">
        <v>34</v>
      </c>
      <c r="F271">
        <v>2015</v>
      </c>
      <c r="G271" t="s">
        <v>678</v>
      </c>
      <c r="H271" t="s">
        <v>76</v>
      </c>
      <c r="I271" t="s">
        <v>679</v>
      </c>
      <c r="J271" t="s">
        <v>200</v>
      </c>
      <c r="K271" t="s">
        <v>77</v>
      </c>
      <c r="L271" t="s">
        <v>77</v>
      </c>
      <c r="M271" s="1">
        <v>42128</v>
      </c>
      <c r="N271">
        <v>47.145733333333297</v>
      </c>
      <c r="O271">
        <v>-122.893183333333</v>
      </c>
      <c r="P271" t="s">
        <v>40</v>
      </c>
      <c r="Q271" t="s">
        <v>41</v>
      </c>
      <c r="R271">
        <v>-2.286</v>
      </c>
      <c r="S271" t="s">
        <v>42</v>
      </c>
      <c r="T271">
        <v>55</v>
      </c>
      <c r="U271">
        <v>30</v>
      </c>
      <c r="V271">
        <v>1650</v>
      </c>
      <c r="W271">
        <v>220</v>
      </c>
      <c r="X271">
        <v>11.225</v>
      </c>
      <c r="Y271">
        <v>2245</v>
      </c>
      <c r="Z271">
        <v>8980</v>
      </c>
      <c r="AA271">
        <v>5.4424242424242397</v>
      </c>
      <c r="AB271">
        <v>40.818181818181799</v>
      </c>
      <c r="AC271" t="s">
        <v>43</v>
      </c>
      <c r="AD271" t="s">
        <v>682</v>
      </c>
      <c r="AE271" t="s">
        <v>51</v>
      </c>
      <c r="AF271">
        <v>192</v>
      </c>
      <c r="AG271">
        <f t="shared" si="16"/>
        <v>4</v>
      </c>
      <c r="AH271" s="5">
        <f t="shared" si="17"/>
        <v>192</v>
      </c>
      <c r="AI271">
        <f t="shared" si="18"/>
        <v>4</v>
      </c>
      <c r="AJ271" t="str">
        <f t="shared" si="19"/>
        <v>ZAN_P1</v>
      </c>
      <c r="AK271" t="s">
        <v>698</v>
      </c>
    </row>
    <row r="272" spans="1:38" ht="16.5" customHeight="1" x14ac:dyDescent="0.25">
      <c r="A272">
        <v>271</v>
      </c>
      <c r="B272" t="s">
        <v>675</v>
      </c>
      <c r="C272" t="s">
        <v>683</v>
      </c>
      <c r="D272" t="s">
        <v>681</v>
      </c>
      <c r="E272" t="s">
        <v>34</v>
      </c>
      <c r="F272">
        <v>2015</v>
      </c>
      <c r="G272" t="s">
        <v>678</v>
      </c>
      <c r="H272" t="s">
        <v>76</v>
      </c>
      <c r="I272" t="s">
        <v>679</v>
      </c>
      <c r="J272" t="s">
        <v>200</v>
      </c>
      <c r="K272" t="s">
        <v>77</v>
      </c>
      <c r="L272" t="s">
        <v>69</v>
      </c>
      <c r="M272" s="1">
        <v>42128</v>
      </c>
      <c r="N272">
        <v>47.145633333333301</v>
      </c>
      <c r="O272">
        <v>-122.892466666667</v>
      </c>
      <c r="P272" t="s">
        <v>40</v>
      </c>
      <c r="Q272" t="s">
        <v>41</v>
      </c>
      <c r="R272" t="s">
        <v>44</v>
      </c>
      <c r="S272" t="s">
        <v>42</v>
      </c>
      <c r="T272" t="s">
        <v>44</v>
      </c>
      <c r="U272" t="s">
        <v>44</v>
      </c>
      <c r="V272" t="s">
        <v>44</v>
      </c>
      <c r="W272" t="s">
        <v>44</v>
      </c>
      <c r="X272" t="s">
        <v>44</v>
      </c>
      <c r="Y272" t="s">
        <v>44</v>
      </c>
      <c r="Z272" t="s">
        <v>44</v>
      </c>
      <c r="AA272" t="s">
        <v>44</v>
      </c>
      <c r="AB272" t="s">
        <v>44</v>
      </c>
      <c r="AC272" t="s">
        <v>44</v>
      </c>
      <c r="AD272" t="s">
        <v>44</v>
      </c>
      <c r="AE272" t="s">
        <v>51</v>
      </c>
      <c r="AF272">
        <v>192</v>
      </c>
      <c r="AG272">
        <f t="shared" si="16"/>
        <v>4</v>
      </c>
      <c r="AH272" s="5">
        <f t="shared" si="17"/>
        <v>192</v>
      </c>
      <c r="AI272">
        <f t="shared" si="18"/>
        <v>4</v>
      </c>
      <c r="AJ272" t="str">
        <f t="shared" si="19"/>
        <v>ZAN_P1</v>
      </c>
      <c r="AK272" t="s">
        <v>698</v>
      </c>
    </row>
    <row r="273" spans="1:37" ht="16.5" customHeight="1" x14ac:dyDescent="0.25">
      <c r="A273">
        <v>272</v>
      </c>
      <c r="B273" t="s">
        <v>675</v>
      </c>
      <c r="C273" t="s">
        <v>684</v>
      </c>
      <c r="D273" t="s">
        <v>681</v>
      </c>
      <c r="E273" t="s">
        <v>34</v>
      </c>
      <c r="F273">
        <v>2015</v>
      </c>
      <c r="G273" t="s">
        <v>678</v>
      </c>
      <c r="H273" t="s">
        <v>76</v>
      </c>
      <c r="I273" t="s">
        <v>679</v>
      </c>
      <c r="J273" t="s">
        <v>200</v>
      </c>
      <c r="K273" t="s">
        <v>77</v>
      </c>
      <c r="L273" t="s">
        <v>69</v>
      </c>
      <c r="M273" s="1">
        <v>42128</v>
      </c>
      <c r="N273">
        <v>47.145400000000002</v>
      </c>
      <c r="O273">
        <v>-122.89255</v>
      </c>
      <c r="P273" t="s">
        <v>40</v>
      </c>
      <c r="Q273" t="s">
        <v>41</v>
      </c>
      <c r="R273" t="s">
        <v>44</v>
      </c>
      <c r="S273" t="s">
        <v>42</v>
      </c>
      <c r="T273" t="s">
        <v>44</v>
      </c>
      <c r="U273" t="s">
        <v>44</v>
      </c>
      <c r="V273" t="s">
        <v>44</v>
      </c>
      <c r="W273" t="s">
        <v>44</v>
      </c>
      <c r="X273" t="s">
        <v>44</v>
      </c>
      <c r="Y273" t="s">
        <v>44</v>
      </c>
      <c r="Z273" t="s">
        <v>44</v>
      </c>
      <c r="AA273" t="s">
        <v>44</v>
      </c>
      <c r="AB273" t="s">
        <v>44</v>
      </c>
      <c r="AC273" t="s">
        <v>44</v>
      </c>
      <c r="AD273" t="s">
        <v>44</v>
      </c>
      <c r="AE273" t="s">
        <v>51</v>
      </c>
      <c r="AF273">
        <v>192</v>
      </c>
      <c r="AG273">
        <f t="shared" si="16"/>
        <v>4</v>
      </c>
      <c r="AH273" s="5">
        <f t="shared" si="17"/>
        <v>192</v>
      </c>
      <c r="AI273">
        <f t="shared" si="18"/>
        <v>4</v>
      </c>
      <c r="AJ273" t="str">
        <f t="shared" si="19"/>
        <v>ZAN_P1</v>
      </c>
      <c r="AK273" t="s">
        <v>698</v>
      </c>
    </row>
    <row r="274" spans="1:37" ht="16.5" customHeight="1" x14ac:dyDescent="0.25">
      <c r="A274">
        <v>273</v>
      </c>
      <c r="B274" t="s">
        <v>675</v>
      </c>
      <c r="C274" t="s">
        <v>685</v>
      </c>
      <c r="D274" t="s">
        <v>681</v>
      </c>
      <c r="E274" t="s">
        <v>34</v>
      </c>
      <c r="F274">
        <v>2015</v>
      </c>
      <c r="G274" t="s">
        <v>678</v>
      </c>
      <c r="H274" t="s">
        <v>76</v>
      </c>
      <c r="I274" t="s">
        <v>679</v>
      </c>
      <c r="J274" t="s">
        <v>200</v>
      </c>
      <c r="K274" t="s">
        <v>77</v>
      </c>
      <c r="L274" t="s">
        <v>69</v>
      </c>
      <c r="M274" s="1">
        <v>42128</v>
      </c>
      <c r="N274">
        <v>47.14555</v>
      </c>
      <c r="O274">
        <v>-122.893233333333</v>
      </c>
      <c r="P274" t="s">
        <v>40</v>
      </c>
      <c r="Q274" t="s">
        <v>41</v>
      </c>
      <c r="R274">
        <v>-1.1277600000000001</v>
      </c>
      <c r="S274" t="s">
        <v>42</v>
      </c>
      <c r="T274" t="s">
        <v>44</v>
      </c>
      <c r="U274" t="s">
        <v>44</v>
      </c>
      <c r="V274" t="s">
        <v>44</v>
      </c>
      <c r="W274" t="s">
        <v>44</v>
      </c>
      <c r="X274" t="s">
        <v>44</v>
      </c>
      <c r="Y274" t="s">
        <v>44</v>
      </c>
      <c r="Z274" t="s">
        <v>44</v>
      </c>
      <c r="AA274" t="s">
        <v>44</v>
      </c>
      <c r="AB274" t="s">
        <v>44</v>
      </c>
      <c r="AC274" t="s">
        <v>44</v>
      </c>
      <c r="AD274" t="s">
        <v>44</v>
      </c>
      <c r="AE274" t="s">
        <v>51</v>
      </c>
      <c r="AF274">
        <v>192</v>
      </c>
      <c r="AG274">
        <f t="shared" si="16"/>
        <v>4</v>
      </c>
      <c r="AH274" s="5">
        <f t="shared" si="17"/>
        <v>192</v>
      </c>
      <c r="AI274">
        <f t="shared" si="18"/>
        <v>4</v>
      </c>
      <c r="AJ274" t="str">
        <f t="shared" si="19"/>
        <v>ZAN_P1</v>
      </c>
      <c r="AK274" t="s">
        <v>698</v>
      </c>
    </row>
    <row r="275" spans="1:37" ht="16.5" customHeight="1" x14ac:dyDescent="0.25">
      <c r="A275">
        <v>274</v>
      </c>
      <c r="B275" t="s">
        <v>675</v>
      </c>
      <c r="C275" t="s">
        <v>686</v>
      </c>
      <c r="D275" t="s">
        <v>687</v>
      </c>
      <c r="E275" t="s">
        <v>34</v>
      </c>
      <c r="F275">
        <v>2015</v>
      </c>
      <c r="G275" t="s">
        <v>678</v>
      </c>
      <c r="H275" t="s">
        <v>36</v>
      </c>
      <c r="I275" t="s">
        <v>679</v>
      </c>
      <c r="J275" t="s">
        <v>200</v>
      </c>
      <c r="K275" t="s">
        <v>39</v>
      </c>
      <c r="L275" t="s">
        <v>39</v>
      </c>
      <c r="M275" s="1">
        <v>42130</v>
      </c>
      <c r="N275">
        <v>47.145699999999998</v>
      </c>
      <c r="O275">
        <v>-122.89225</v>
      </c>
      <c r="P275" t="s">
        <v>40</v>
      </c>
      <c r="Q275" t="s">
        <v>41</v>
      </c>
      <c r="R275">
        <v>-2.3469600000000002</v>
      </c>
      <c r="S275" t="s">
        <v>42</v>
      </c>
      <c r="T275">
        <v>5</v>
      </c>
      <c r="U275">
        <v>5</v>
      </c>
      <c r="V275">
        <v>25</v>
      </c>
      <c r="W275">
        <v>25</v>
      </c>
      <c r="X275">
        <v>0.625</v>
      </c>
      <c r="Y275">
        <v>125</v>
      </c>
      <c r="Z275">
        <v>500</v>
      </c>
      <c r="AA275">
        <v>20</v>
      </c>
      <c r="AB275">
        <v>20</v>
      </c>
      <c r="AC275" t="s">
        <v>43</v>
      </c>
      <c r="AD275" t="s">
        <v>44</v>
      </c>
      <c r="AE275" t="s">
        <v>51</v>
      </c>
      <c r="AF275">
        <v>193</v>
      </c>
      <c r="AG275">
        <f t="shared" si="16"/>
        <v>1</v>
      </c>
      <c r="AH275" s="5" t="str">
        <f t="shared" si="17"/>
        <v/>
      </c>
      <c r="AI275">
        <f t="shared" si="18"/>
        <v>1</v>
      </c>
      <c r="AJ275" t="str">
        <f t="shared" si="19"/>
        <v/>
      </c>
    </row>
    <row r="276" spans="1:37" ht="16.5" customHeight="1" x14ac:dyDescent="0.25">
      <c r="A276">
        <v>275</v>
      </c>
      <c r="B276" t="s">
        <v>675</v>
      </c>
      <c r="C276" t="s">
        <v>688</v>
      </c>
      <c r="D276" t="s">
        <v>689</v>
      </c>
      <c r="E276" t="s">
        <v>34</v>
      </c>
      <c r="F276">
        <v>2016</v>
      </c>
      <c r="G276" t="s">
        <v>678</v>
      </c>
      <c r="H276" t="s">
        <v>36</v>
      </c>
      <c r="I276" t="s">
        <v>679</v>
      </c>
      <c r="J276" t="s">
        <v>200</v>
      </c>
      <c r="K276" t="s">
        <v>39</v>
      </c>
      <c r="L276" t="s">
        <v>39</v>
      </c>
      <c r="M276" s="1">
        <v>42527</v>
      </c>
      <c r="N276">
        <v>47.145636789500003</v>
      </c>
      <c r="O276">
        <v>-122.8932577651</v>
      </c>
      <c r="P276" t="s">
        <v>40</v>
      </c>
      <c r="Q276" t="s">
        <v>41</v>
      </c>
      <c r="R276" t="s">
        <v>44</v>
      </c>
      <c r="S276" t="s">
        <v>55</v>
      </c>
      <c r="T276">
        <v>0.25</v>
      </c>
      <c r="U276">
        <v>0.25</v>
      </c>
      <c r="V276">
        <v>6.25E-2</v>
      </c>
      <c r="W276">
        <v>0.25</v>
      </c>
      <c r="X276">
        <v>2.5000000000000001E-2</v>
      </c>
      <c r="Y276">
        <v>1</v>
      </c>
      <c r="Z276">
        <v>40</v>
      </c>
      <c r="AA276">
        <v>640</v>
      </c>
      <c r="AB276">
        <v>160</v>
      </c>
      <c r="AC276" t="s">
        <v>99</v>
      </c>
      <c r="AD276" t="s">
        <v>690</v>
      </c>
      <c r="AE276" t="s">
        <v>164</v>
      </c>
      <c r="AF276">
        <v>194</v>
      </c>
      <c r="AG276">
        <f t="shared" si="16"/>
        <v>1</v>
      </c>
      <c r="AH276" s="5" t="str">
        <f t="shared" si="17"/>
        <v/>
      </c>
      <c r="AI276">
        <f t="shared" si="18"/>
        <v>1</v>
      </c>
      <c r="AJ276" t="str">
        <f t="shared" si="19"/>
        <v/>
      </c>
    </row>
    <row r="277" spans="1:37" ht="16.5" customHeight="1" x14ac:dyDescent="0.25">
      <c r="A277">
        <v>276</v>
      </c>
      <c r="B277" t="s">
        <v>675</v>
      </c>
      <c r="C277" t="s">
        <v>691</v>
      </c>
      <c r="D277" t="s">
        <v>692</v>
      </c>
      <c r="E277" t="s">
        <v>34</v>
      </c>
      <c r="F277">
        <v>2016</v>
      </c>
      <c r="G277" t="s">
        <v>678</v>
      </c>
      <c r="H277" t="s">
        <v>36</v>
      </c>
      <c r="I277" t="s">
        <v>679</v>
      </c>
      <c r="J277" t="s">
        <v>200</v>
      </c>
      <c r="K277" t="s">
        <v>39</v>
      </c>
      <c r="L277" t="s">
        <v>39</v>
      </c>
      <c r="M277" s="1">
        <v>42572</v>
      </c>
      <c r="N277">
        <v>47.145493289999997</v>
      </c>
      <c r="O277">
        <v>-122.8937296</v>
      </c>
      <c r="P277" t="s">
        <v>40</v>
      </c>
      <c r="Q277" t="s">
        <v>41</v>
      </c>
      <c r="R277">
        <v>-0.5</v>
      </c>
      <c r="S277" t="s">
        <v>55</v>
      </c>
      <c r="T277">
        <v>4</v>
      </c>
      <c r="U277">
        <v>0.25</v>
      </c>
      <c r="V277">
        <v>1</v>
      </c>
      <c r="W277">
        <v>1</v>
      </c>
      <c r="X277">
        <v>0.1</v>
      </c>
      <c r="Y277">
        <v>4</v>
      </c>
      <c r="Z277">
        <v>200</v>
      </c>
      <c r="AA277">
        <v>200</v>
      </c>
      <c r="AB277">
        <v>200</v>
      </c>
      <c r="AC277" t="s">
        <v>99</v>
      </c>
      <c r="AD277" t="s">
        <v>693</v>
      </c>
      <c r="AE277" t="s">
        <v>164</v>
      </c>
      <c r="AF277">
        <v>195</v>
      </c>
      <c r="AG277">
        <f t="shared" si="16"/>
        <v>1</v>
      </c>
      <c r="AH277" s="5" t="str">
        <f t="shared" si="17"/>
        <v/>
      </c>
      <c r="AI277">
        <f t="shared" si="18"/>
        <v>1</v>
      </c>
      <c r="AJ277" t="str">
        <f t="shared" si="19"/>
        <v/>
      </c>
    </row>
    <row r="278" spans="1:37" ht="16.5" customHeight="1" x14ac:dyDescent="0.25">
      <c r="AH278" s="5"/>
      <c r="AJ278" t="str">
        <f t="shared" si="19"/>
        <v/>
      </c>
    </row>
    <row r="279" spans="1:37" ht="16.5" customHeight="1" x14ac:dyDescent="0.25">
      <c r="AH279" s="5"/>
      <c r="AJ279" t="str">
        <f t="shared" si="19"/>
        <v/>
      </c>
    </row>
    <row r="280" spans="1:37" ht="16.5" customHeight="1" x14ac:dyDescent="0.25">
      <c r="AH280" s="5"/>
      <c r="AJ280" t="str">
        <f t="shared" si="19"/>
        <v/>
      </c>
    </row>
    <row r="281" spans="1:37" ht="16.5" customHeight="1" x14ac:dyDescent="0.25">
      <c r="AH281" s="5"/>
      <c r="AJ281" t="str">
        <f t="shared" si="19"/>
        <v/>
      </c>
    </row>
    <row r="282" spans="1:37" ht="16.5" customHeight="1" x14ac:dyDescent="0.25">
      <c r="AH282" s="5"/>
      <c r="AJ282" t="str">
        <f t="shared" si="19"/>
        <v/>
      </c>
    </row>
    <row r="283" spans="1:37" ht="16.5" customHeight="1" x14ac:dyDescent="0.25">
      <c r="AH283" s="5"/>
      <c r="AJ283" t="str">
        <f t="shared" si="19"/>
        <v/>
      </c>
    </row>
    <row r="284" spans="1:37" ht="16.5" customHeight="1" x14ac:dyDescent="0.25">
      <c r="AH284" s="5"/>
      <c r="AJ284" t="str">
        <f t="shared" si="19"/>
        <v/>
      </c>
    </row>
    <row r="285" spans="1:37" ht="16.5" customHeight="1" x14ac:dyDescent="0.25">
      <c r="AH285" s="5"/>
      <c r="AJ285" t="str">
        <f t="shared" si="19"/>
        <v/>
      </c>
    </row>
    <row r="286" spans="1:37" ht="16.5" customHeight="1" x14ac:dyDescent="0.25">
      <c r="AH286" s="5"/>
      <c r="AJ286" t="str">
        <f t="shared" si="19"/>
        <v/>
      </c>
    </row>
    <row r="287" spans="1:37" ht="16.5" customHeight="1" x14ac:dyDescent="0.25">
      <c r="AH287" s="5"/>
      <c r="AJ287" t="str">
        <f t="shared" si="19"/>
        <v/>
      </c>
    </row>
    <row r="288" spans="1:37" ht="16.5" customHeight="1" x14ac:dyDescent="0.25">
      <c r="AH288" s="5"/>
      <c r="AJ288" t="str">
        <f t="shared" si="19"/>
        <v/>
      </c>
    </row>
    <row r="289" spans="34:36" ht="16.5" customHeight="1" x14ac:dyDescent="0.25">
      <c r="AH289" s="5"/>
      <c r="AJ289" t="str">
        <f t="shared" si="19"/>
        <v/>
      </c>
    </row>
  </sheetData>
  <pageMargins left="0.7" right="0.7" top="0.75" bottom="0.75" header="0.3" footer="0.3"/>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p_gps_pts1_groupno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2026-05-08T16:29:43Z</dcterms:created>
  <dcterms:modified xsi:type="dcterms:W3CDTF">2026-07-13T20:56:32Z</dcterms:modified>
</cp:coreProperties>
</file>