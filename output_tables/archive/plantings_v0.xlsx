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output_tables/"/>
    </mc:Choice>
  </mc:AlternateContent>
  <xr:revisionPtr revIDLastSave="29" documentId="8_{D1885A0B-A093-4F5A-A065-0F1D63344F0A}" xr6:coauthVersionLast="47" xr6:coauthVersionMax="47" xr10:uidLastSave="{59AB296C-DEE2-4546-8D8F-AE015D86ED9D}"/>
  <bookViews>
    <workbookView xWindow="0" yWindow="90" windowWidth="28785" windowHeight="15390" xr2:uid="{1CFDC714-F3F6-45AA-88A3-9DD7A6A9084C}"/>
  </bookViews>
  <sheets>
    <sheet name="plantings_v0" sheetId="1" r:id="rId1"/>
  </sheets>
  <calcPr calcId="0"/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" i="1"/>
</calcChain>
</file>

<file path=xl/sharedStrings.xml><?xml version="1.0" encoding="utf-8"?>
<sst xmlns="http://schemas.openxmlformats.org/spreadsheetml/2006/main" count="2298" uniqueCount="475">
  <si>
    <t>group_no</t>
  </si>
  <si>
    <t>planting_location_code_summ</t>
  </si>
  <si>
    <t>donor_site_code_summ</t>
  </si>
  <si>
    <t>planting_method_summ</t>
  </si>
  <si>
    <t>plantingID</t>
  </si>
  <si>
    <t>planting_geometry</t>
  </si>
  <si>
    <t>activity_type</t>
  </si>
  <si>
    <t>planting_date</t>
  </si>
  <si>
    <t>planting_location_code</t>
  </si>
  <si>
    <t>planting_method</t>
  </si>
  <si>
    <t>parallel_length_m</t>
  </si>
  <si>
    <t>perpendicular_length_m</t>
  </si>
  <si>
    <t>plot_area_m2</t>
  </si>
  <si>
    <t>planted_area_m2</t>
  </si>
  <si>
    <t>effecive_area_planted_m2</t>
  </si>
  <si>
    <t>number_planting_units</t>
  </si>
  <si>
    <t>number_shoots</t>
  </si>
  <si>
    <t>plot_shoot_density_m2</t>
  </si>
  <si>
    <t>planted_area_shoot_density_m2</t>
  </si>
  <si>
    <t>donor_site_code</t>
  </si>
  <si>
    <t>subproj_code</t>
  </si>
  <si>
    <t>AMS_shallow</t>
  </si>
  <si>
    <t>THC</t>
  </si>
  <si>
    <t>staple</t>
  </si>
  <si>
    <t>AMS_shallow__2013-06-06__staple__THC</t>
  </si>
  <si>
    <t>point</t>
  </si>
  <si>
    <t>test</t>
  </si>
  <si>
    <t>twentypc__WDFW__PNNL</t>
  </si>
  <si>
    <t>AMS_deep</t>
  </si>
  <si>
    <t>AMS_deep__2013-06-06__staple__THC</t>
  </si>
  <si>
    <t>AND_west1</t>
  </si>
  <si>
    <t>KTI</t>
  </si>
  <si>
    <t>AND_west1__2015-02-27__staple__KTI</t>
  </si>
  <si>
    <t>zos_rest_ps__DNR__PNNL</t>
  </si>
  <si>
    <t>AND_west2</t>
  </si>
  <si>
    <t>SPT</t>
  </si>
  <si>
    <t>rebar</t>
  </si>
  <si>
    <t>AND_west2__2016-09-20__rebar__SPT</t>
  </si>
  <si>
    <t>zos_rest_3_deltas__USACE__PNNL</t>
  </si>
  <si>
    <t>AND_south1</t>
  </si>
  <si>
    <t>AND_south1__2016-09-20__rebar__SPT</t>
  </si>
  <si>
    <t>AND_west_L1</t>
  </si>
  <si>
    <t>RKB</t>
  </si>
  <si>
    <t>turf</t>
  </si>
  <si>
    <t>AND_west_L1__2017-05-05__turf__RKB</t>
  </si>
  <si>
    <t>line</t>
  </si>
  <si>
    <t>zos_rest_ps__WDFW__Hart Crowser</t>
  </si>
  <si>
    <t>AND_south_L1</t>
  </si>
  <si>
    <t>AND_south_L1__2017-05-05__turf__RKB</t>
  </si>
  <si>
    <t>AND_south_L2</t>
  </si>
  <si>
    <t>AND_south_L2__2017-06-02__turf__RKB</t>
  </si>
  <si>
    <t>polygon</t>
  </si>
  <si>
    <t>large scale</t>
  </si>
  <si>
    <t>AND_south_L3</t>
  </si>
  <si>
    <t>AND_south_L3__2017-06-04__turf__RKB</t>
  </si>
  <si>
    <t>AND_south_L4</t>
  </si>
  <si>
    <t>AND_south_L4__2017-08-08__rebar__THC</t>
  </si>
  <si>
    <t>AMS_deeper</t>
  </si>
  <si>
    <t>AND</t>
  </si>
  <si>
    <t>AMS_deeper__2020-06-30__rebar__AND</t>
  </si>
  <si>
    <t>zos_rec_ps__USACE__PNNL</t>
  </si>
  <si>
    <t>AND_west3</t>
  </si>
  <si>
    <t>AND_west3__2020-07-01__rebar__AND</t>
  </si>
  <si>
    <t>AND_nw1</t>
  </si>
  <si>
    <t>AND_nw1__2020-06-30__rebar__AND</t>
  </si>
  <si>
    <t>AND_west4</t>
  </si>
  <si>
    <t>DPW</t>
  </si>
  <si>
    <t>AND_west4__2021-06-22__rebar__DPW</t>
  </si>
  <si>
    <t>unaffiliated__unspecified__unspecified</t>
  </si>
  <si>
    <t>AND_west5</t>
  </si>
  <si>
    <t>AND_west5__2021-06-25__rebar__DPW</t>
  </si>
  <si>
    <t>AND_west6</t>
  </si>
  <si>
    <t>AND_west6__2021-06-25__rebar__DPW</t>
  </si>
  <si>
    <t>AND_se1</t>
  </si>
  <si>
    <t>AND_se1__2023-06-05__rebar__DPW</t>
  </si>
  <si>
    <t>BB_test_1</t>
  </si>
  <si>
    <t>DMB</t>
  </si>
  <si>
    <t>BB_test_1__2020-08-02__rebar__DMB</t>
  </si>
  <si>
    <t>zos_rec_sji__DNR__unspecified</t>
  </si>
  <si>
    <t>FYB</t>
  </si>
  <si>
    <t>BB_test_1__2020-08-02__rebar__FYB</t>
  </si>
  <si>
    <t>HRI</t>
  </si>
  <si>
    <t>BB_test_1__2020-08-02__rebar__HRI</t>
  </si>
  <si>
    <t>SHH</t>
  </si>
  <si>
    <t>BB_test_1__2020-08-02__rebar__SHH</t>
  </si>
  <si>
    <t>Mix</t>
  </si>
  <si>
    <t>BB_test_1__2020-08-02__rebar__Mix</t>
  </si>
  <si>
    <t>CHC</t>
  </si>
  <si>
    <t>CPT</t>
  </si>
  <si>
    <t>CHC__2015-02-18__staple__CPT</t>
  </si>
  <si>
    <t>COM_shallow</t>
  </si>
  <si>
    <t>COM_shallow__2017-08-31__rebar__CPT</t>
  </si>
  <si>
    <t>zos_rec_ps__USFWS__PNNL</t>
  </si>
  <si>
    <t>COM_deep</t>
  </si>
  <si>
    <t>COM_deep__2017-08-31__rebar__CPT</t>
  </si>
  <si>
    <t>COM_L1</t>
  </si>
  <si>
    <t>COM_L1__2018-06-26__rebar__DMB</t>
  </si>
  <si>
    <t>COM_L2</t>
  </si>
  <si>
    <t>COM_L2__2019-06-09__rebar__DMB</t>
  </si>
  <si>
    <t>DEL_1</t>
  </si>
  <si>
    <t>DEL_1__2015-02-26__staple__KTI</t>
  </si>
  <si>
    <t>DEL_L1</t>
  </si>
  <si>
    <t>CTI</t>
  </si>
  <si>
    <t>burlap</t>
  </si>
  <si>
    <t>DEL_L1__2016-04-21__burlap__CTI</t>
  </si>
  <si>
    <t>DEL_P1</t>
  </si>
  <si>
    <t>DEL_P1__2016-06-14__burlap__CTI</t>
  </si>
  <si>
    <t>DEL_3</t>
  </si>
  <si>
    <t>DEL_3__2017-07-17__turf__CTI</t>
  </si>
  <si>
    <t>DEL_2</t>
  </si>
  <si>
    <t>DEL_2__2017-07-17__turf__CTI</t>
  </si>
  <si>
    <t>DEL_1__2018-06-28__rebar__DPW</t>
  </si>
  <si>
    <t>dnr__DNR__unspecified</t>
  </si>
  <si>
    <t>DEL_3__2018-06-28__rebar__DPW</t>
  </si>
  <si>
    <t>DEL_east_1</t>
  </si>
  <si>
    <t>DEL_east_1__2020-07-01__rebar__AND</t>
  </si>
  <si>
    <t>DEL_west_1</t>
  </si>
  <si>
    <t>DEL_west_1__2020-07-01__rebar__AND</t>
  </si>
  <si>
    <t>DEL_L</t>
  </si>
  <si>
    <t>GPT</t>
  </si>
  <si>
    <t>DEL_L__2021-06-03__rebar__GPT</t>
  </si>
  <si>
    <t>DEL_west_shallow_1</t>
  </si>
  <si>
    <t>DEL_west_shallow_1__2021-06-23__rebar__DPW</t>
  </si>
  <si>
    <t>DEL_west_deep_1</t>
  </si>
  <si>
    <t>DEL_west_deep_1__2021-06-23__rebar__DPW</t>
  </si>
  <si>
    <t>DB_test_1</t>
  </si>
  <si>
    <t>DB_test_1__2020-07-06__rebar__DMB</t>
  </si>
  <si>
    <t>kingco__KingCounty__unspecified</t>
  </si>
  <si>
    <t>DB_test_2</t>
  </si>
  <si>
    <t>DB_test_2__2021-04-28__rebar__DMB</t>
  </si>
  <si>
    <t>DB_test_2__2021-05-13__rebar__DPW</t>
  </si>
  <si>
    <t>DB_test_2__2021-05-26__rebar__DPW</t>
  </si>
  <si>
    <t>DB_test_2__2021-06-26__rebar__DPW</t>
  </si>
  <si>
    <t>DB_test_6</t>
  </si>
  <si>
    <t>DB_test_6__2022-06-16__rebar__DPW</t>
  </si>
  <si>
    <t>DB_test_7</t>
  </si>
  <si>
    <t>DB_test_7__2022-05-19__rebar__DPW</t>
  </si>
  <si>
    <t>ELD_shallow</t>
  </si>
  <si>
    <t>WNB</t>
  </si>
  <si>
    <t>ELD_shallow__2015-03-12__staple__WNB</t>
  </si>
  <si>
    <t>ELD_deep</t>
  </si>
  <si>
    <t>ELD_deep__2015-03-12__staple__WNB</t>
  </si>
  <si>
    <t>ELD</t>
  </si>
  <si>
    <t>ELD__2020-07-01__rebar__AND</t>
  </si>
  <si>
    <t>ELW_deep_west</t>
  </si>
  <si>
    <t>FWB</t>
  </si>
  <si>
    <t>ELW_deep_west__2016-08-11__rebar__FWB</t>
  </si>
  <si>
    <t>ELW_shallow_west</t>
  </si>
  <si>
    <t>ELW_shallow_west__2016-08-11__rebar__FWB</t>
  </si>
  <si>
    <t>FDG_1</t>
  </si>
  <si>
    <t>FDG_1__2017-07-19__rebar__RKB</t>
  </si>
  <si>
    <t>FDG_L1</t>
  </si>
  <si>
    <t>FDG_L1__2017-07-19__turf__RKB</t>
  </si>
  <si>
    <t>FDG_L2</t>
  </si>
  <si>
    <t>FDG_L2__2017-07-19__turf__RKB</t>
  </si>
  <si>
    <t>FDG_L1__2018-06-12__rebar__DPW</t>
  </si>
  <si>
    <t>FDG_L2__2018-06-12__rebar__DPW</t>
  </si>
  <si>
    <t>GRA_1</t>
  </si>
  <si>
    <t>GRA_1__2015-03-12__staple__WNB</t>
  </si>
  <si>
    <t>GRA_2</t>
  </si>
  <si>
    <t>GRA_2__2016-07-21__rebar__DPW</t>
  </si>
  <si>
    <t>HAR_2</t>
  </si>
  <si>
    <t>HAR_2__2017-06-07__rebar__WNB</t>
  </si>
  <si>
    <t>HAR_3</t>
  </si>
  <si>
    <t>HAR_3__2017-06-07__rebar__WNB</t>
  </si>
  <si>
    <t>HAR_4</t>
  </si>
  <si>
    <t>HAR_4__2017-06-07__staple__WNB</t>
  </si>
  <si>
    <t>HAR_4__2017-06-07__rebar__WNB</t>
  </si>
  <si>
    <t>HAR_1</t>
  </si>
  <si>
    <t>HAR_1__2017-06-07__rebar__WNB</t>
  </si>
  <si>
    <t>HAR_deep_L1</t>
  </si>
  <si>
    <t>RPT</t>
  </si>
  <si>
    <t>HAR_deep_L1__2018-05-15__rebar__RPT</t>
  </si>
  <si>
    <t>HAR_shallow_L1</t>
  </si>
  <si>
    <t>HAR_shallow_L1__2018-06-14__rebar__WNB</t>
  </si>
  <si>
    <t>HAR_shallow_L2</t>
  </si>
  <si>
    <t>HAR_shallow_L2__2019-05-14__rebar__Mix</t>
  </si>
  <si>
    <t>HAR_shallow_L3</t>
  </si>
  <si>
    <t>HAR_shallow_L3__2020-06-01__rebar__Mix</t>
  </si>
  <si>
    <t>HAR_5</t>
  </si>
  <si>
    <t>HAR_5__2020-06-29__rebar__RKB</t>
  </si>
  <si>
    <t>HAR_6</t>
  </si>
  <si>
    <t>HAR_6__2020-06-29__rebar__RKB</t>
  </si>
  <si>
    <t>HRI__2015-03-12__staple__WNB</t>
  </si>
  <si>
    <t>HPT_south_1</t>
  </si>
  <si>
    <t>HPT_south_1__2015-05-18__staple__THC</t>
  </si>
  <si>
    <t>HPT_north_2</t>
  </si>
  <si>
    <t>HPT_north_2__2015-05-18__staple__THC</t>
  </si>
  <si>
    <t>HPT_south_2</t>
  </si>
  <si>
    <t>HPT_south_2__2020-06-29__rebar__RKB</t>
  </si>
  <si>
    <t>HPT_north_2__2020-06-29__rebar__RKB</t>
  </si>
  <si>
    <t>JSP_mid_shallow</t>
  </si>
  <si>
    <t>JSP_mid_shallow__2013-06-05__staple__Mix</t>
  </si>
  <si>
    <t>JSP_mid_deep</t>
  </si>
  <si>
    <t>JSP_mid_deep__2013-06-05__staple__Mix</t>
  </si>
  <si>
    <t>JSP_mid_south_P1</t>
  </si>
  <si>
    <t>JSP_mid_south_P1__2015-05-17__staple__Mix</t>
  </si>
  <si>
    <t>JSP_mid_north_P1</t>
  </si>
  <si>
    <t>JSP_mid_north_P1__2015-06-07__staple__Mix</t>
  </si>
  <si>
    <t>JSP_southeast</t>
  </si>
  <si>
    <t>JSP_southeast__2015-06-09__staple__Mix</t>
  </si>
  <si>
    <t>JSP_north</t>
  </si>
  <si>
    <t>JSP_north__2016-05-17__burlap__RKB</t>
  </si>
  <si>
    <t>JSP_south_P1</t>
  </si>
  <si>
    <t>JSP_south_P1__2016-07-25__burlap__RKB</t>
  </si>
  <si>
    <t>JSP_chia_1</t>
  </si>
  <si>
    <t>JSP_chia_1__2016-05-24__rebar__DPW</t>
  </si>
  <si>
    <t>JSP_north_L1</t>
  </si>
  <si>
    <t>JSP_north_L1__2017-05-04__turf__RKB</t>
  </si>
  <si>
    <t>JSP_north_L2</t>
  </si>
  <si>
    <t>JSP_north_L2__2017-05-04__turf__RKB</t>
  </si>
  <si>
    <t>JSP_south_P2</t>
  </si>
  <si>
    <t>JSP_south_P2__2017-05-07__turf__CTI</t>
  </si>
  <si>
    <t>JSP_south_P3</t>
  </si>
  <si>
    <t>JSP_south_P3__2017-05-19__turf__DPW</t>
  </si>
  <si>
    <t>JSP_south_P4</t>
  </si>
  <si>
    <t>JSP_south_P4__2017-05-22__turf__RKB</t>
  </si>
  <si>
    <t>JSP_mid_AG1</t>
  </si>
  <si>
    <t>JSP_mid_AG1__2017-05-25__staple__DPW</t>
  </si>
  <si>
    <t>bese__DNR__unspecified</t>
  </si>
  <si>
    <t>JSP_mid_BG1</t>
  </si>
  <si>
    <t>JSP_mid_BG1__2017-05-25__staple__DPW</t>
  </si>
  <si>
    <t>JSP_mid_C1</t>
  </si>
  <si>
    <t>JSP_mid_C1__2017-05-25__staple__DPW</t>
  </si>
  <si>
    <t>JSP_mid_AG2</t>
  </si>
  <si>
    <t>JSP_mid_AG2__2017-05-25__staple__DPW</t>
  </si>
  <si>
    <t>JSP_mid_C2</t>
  </si>
  <si>
    <t>JSP_mid_C2__2017-05-25__staple__DPW</t>
  </si>
  <si>
    <t>JSP_mid_BG2</t>
  </si>
  <si>
    <t>JSP_mid_BG2__2017-05-25__staple__DPW</t>
  </si>
  <si>
    <t>JSP_mid_C3</t>
  </si>
  <si>
    <t>JSP_mid_C3__2017-05-25__staple__DPW</t>
  </si>
  <si>
    <t>JSP_mid_BG3</t>
  </si>
  <si>
    <t>JSP_mid_BG3__2017-05-25__staple__DPW</t>
  </si>
  <si>
    <t>JSP_mid_C4</t>
  </si>
  <si>
    <t>JSP_mid_C4__2017-05-25__staple__DPW</t>
  </si>
  <si>
    <t>JSP_mid_BG4</t>
  </si>
  <si>
    <t>JSP_mid_BG4__2017-05-25__staple__DPW</t>
  </si>
  <si>
    <t>JSP_mid_AG3</t>
  </si>
  <si>
    <t>JSP_mid_AG3__2017-05-25__staple__DPW</t>
  </si>
  <si>
    <t>JSP_mid_AG4</t>
  </si>
  <si>
    <t>JSP_mid_AG4__2017-05-25__staple__DPW</t>
  </si>
  <si>
    <t>JSP_north_P1</t>
  </si>
  <si>
    <t>JSP_north_P1__2017-05-26__burlap__DPW</t>
  </si>
  <si>
    <t>grid</t>
  </si>
  <si>
    <t>zos_rest_methods__DNR__unspecified</t>
  </si>
  <si>
    <t>washer</t>
  </si>
  <si>
    <t>JSP_north_P1__2017-05-26__washer__DPW</t>
  </si>
  <si>
    <t>JSP_north_P1__2017-05-26__staple__DPW</t>
  </si>
  <si>
    <t>JSP_north_P1__2017-05-26__rebar__DPW</t>
  </si>
  <si>
    <t>JSP_mid_P1</t>
  </si>
  <si>
    <t>JSP_mid_P1__2017-05-26__burlap__DPW</t>
  </si>
  <si>
    <t>JSP_mid_P1__2017-05-26__washer__DPW</t>
  </si>
  <si>
    <t>JSP_mid_P1__2017-05-26__staple__DPW</t>
  </si>
  <si>
    <t>JSP_mid_P1__2017-05-26__rebar__DPW</t>
  </si>
  <si>
    <t>JSP_south_P5</t>
  </si>
  <si>
    <t>JSP_south_P5__2017-05-26__burlap__DPW</t>
  </si>
  <si>
    <t>JSP_south_P5__2017-05-26__washer__DPW</t>
  </si>
  <si>
    <t>JSP_south_P5__2017-05-26__staple__DPW</t>
  </si>
  <si>
    <t>JSP_south_P5__2017-05-26__rebar__DPW</t>
  </si>
  <si>
    <t>JSP_mid_south_2</t>
  </si>
  <si>
    <t>JSP_mid_south_2__2017-05-28__rebar__DPW_r1</t>
  </si>
  <si>
    <t>JSP_mid_south_2__2017-05-28__rebar__DPW_r2</t>
  </si>
  <si>
    <t>JSP_mid_south_2__2017-05-28__rebar__DPW_r3</t>
  </si>
  <si>
    <t>JSP_mid_south_2__2017-05-28__burlap__DPW</t>
  </si>
  <si>
    <t>JSP_mid_AG1__2017-04-29__staple__DMB</t>
  </si>
  <si>
    <t>JSP_mid_BG1__2017-04-29__staple__DMB</t>
  </si>
  <si>
    <t>JSP_mid_C1__2017-04-29__staple__DMB</t>
  </si>
  <si>
    <t>JSP_mid_AG2__2017-04-29__staple__DMB</t>
  </si>
  <si>
    <t>JSP_mid_C2__2017-04-29__staple__DMB</t>
  </si>
  <si>
    <t>JSP_mid_BG2__2017-04-29__staple__DMB</t>
  </si>
  <si>
    <t>JSP_mid_C3__2017-04-29__staple__DMB</t>
  </si>
  <si>
    <t>JSP_mid_BG3__2017-04-29__staple__DMB</t>
  </si>
  <si>
    <t>JSP_mid_C4__2017-04-29__staple__DMB</t>
  </si>
  <si>
    <t>JSP_mid_BG4__2017-04-29__staple__DMB</t>
  </si>
  <si>
    <t>JSP_mid_AG3__2017-04-29__staple__DMB</t>
  </si>
  <si>
    <t>JSP_mid_AG4__2017-04-29__staple__DMB</t>
  </si>
  <si>
    <t>JSP_mid_south_2__2018-06-13__rebar__DPW</t>
  </si>
  <si>
    <t>JSP_mid_south_1</t>
  </si>
  <si>
    <t>JSP_mid_south_1__2018-06-13__rebar__DPW</t>
  </si>
  <si>
    <t>JSP_mid_1</t>
  </si>
  <si>
    <t>JSP_mid_1__2018-07-14__rebar__DPW</t>
  </si>
  <si>
    <t>pucks</t>
  </si>
  <si>
    <t>JSP_mid_1__2018-07-14__pucks__DPW</t>
  </si>
  <si>
    <t>JSP_mid_2</t>
  </si>
  <si>
    <t>JSP_mid_2__2018-07-14__pucks__DPW</t>
  </si>
  <si>
    <t>JSP_mid_2__2018-07-14__rebar__DPW</t>
  </si>
  <si>
    <t>JSP_mid_3</t>
  </si>
  <si>
    <t>JSP_mid_3__2018-07-14__rebar__DPW</t>
  </si>
  <si>
    <t>JSP_mid_3__2018-07-14__pucks__DPW</t>
  </si>
  <si>
    <t>JSP_mid_4</t>
  </si>
  <si>
    <t>JSP_mid_4__2020-07-06__rebar__DMB</t>
  </si>
  <si>
    <t>WHB_test_1</t>
  </si>
  <si>
    <t>WHB_test_1__2020-06-29__rebar__RKB</t>
  </si>
  <si>
    <t>JSP_south_test</t>
  </si>
  <si>
    <t>JSP_south_test__2021-06-25__rebar__DPW</t>
  </si>
  <si>
    <t>JSP_mid_connect</t>
  </si>
  <si>
    <t>JSP_mid_connect__2022-06-17__rebar__DPW</t>
  </si>
  <si>
    <t>HC_off_1</t>
  </si>
  <si>
    <t>HC_off_1__2022-06-17__rebar__DPW</t>
  </si>
  <si>
    <t>HC_off_2</t>
  </si>
  <si>
    <t>HC_off_2__2025-07-10__rebar__DPW</t>
  </si>
  <si>
    <t>KYP_dog1</t>
  </si>
  <si>
    <t>KYP_dog1__2020-06-30__rebar__AND</t>
  </si>
  <si>
    <t>LBT_east</t>
  </si>
  <si>
    <t>SNH</t>
  </si>
  <si>
    <t>LBT_east__2013-06-07__staple__SNH</t>
  </si>
  <si>
    <t>LBT_west</t>
  </si>
  <si>
    <t>LBT_west__2013-06-07__staple__SNH</t>
  </si>
  <si>
    <t>MCD_south_L1</t>
  </si>
  <si>
    <t>MCD_south_L1__2017-05-04__turf__RKB</t>
  </si>
  <si>
    <t>MCD_north_L1</t>
  </si>
  <si>
    <t>MCD_north_L1__2017-05-04__turf__RKB</t>
  </si>
  <si>
    <t>MCD_1</t>
  </si>
  <si>
    <t>MCD_1__2020-06-30__rebar__AND</t>
  </si>
  <si>
    <t>MCN_north</t>
  </si>
  <si>
    <t>MCN_north__2015-02-26__staple__KTI</t>
  </si>
  <si>
    <t>MCN_south_1</t>
  </si>
  <si>
    <t>MCN_south_1__2016-09-21__rebar__SPT</t>
  </si>
  <si>
    <t>MCN_south_2</t>
  </si>
  <si>
    <t>MCN_south_2__2016-09-21__rebar__SPT</t>
  </si>
  <si>
    <t>MCN_south_3</t>
  </si>
  <si>
    <t>MCN_south_3__2016-09-21__rebar__SPT</t>
  </si>
  <si>
    <t>MCN_still_1</t>
  </si>
  <si>
    <t>MCN_still_1__2016-09-21__rebar__SPT</t>
  </si>
  <si>
    <t>MCN_still_2</t>
  </si>
  <si>
    <t>MCN_still_2__2016-09-21__rebar__SPT</t>
  </si>
  <si>
    <t>MCN_still_2__2016-09-21__staple__SPT</t>
  </si>
  <si>
    <t>MCN_north_2</t>
  </si>
  <si>
    <t>MCN_north_2__2017-06-07__rebar__THC</t>
  </si>
  <si>
    <t>MCN_North_3</t>
  </si>
  <si>
    <t>MCN_North_3__2017-06-07__rebar__THC</t>
  </si>
  <si>
    <t>MCN_south_L2</t>
  </si>
  <si>
    <t>MCN_south_L2__2017-07-06__rebar__THC</t>
  </si>
  <si>
    <t>MCN_south_L1</t>
  </si>
  <si>
    <t>MCN_south_L1__2017-07-07__rebar__THC</t>
  </si>
  <si>
    <t>MCN_south_L3</t>
  </si>
  <si>
    <t>MCN_south_L3__2017-07-08__rebar__THC</t>
  </si>
  <si>
    <t>MIL_1</t>
  </si>
  <si>
    <t>MIL_1__2017-08-31__rebar__CPT</t>
  </si>
  <si>
    <t>MIL_3</t>
  </si>
  <si>
    <t>MIL_3__2017-08-31__rebar__CPT</t>
  </si>
  <si>
    <t>MRE_1</t>
  </si>
  <si>
    <t>MRE_1__2021-05-28__rebar__DPW</t>
  </si>
  <si>
    <t>MRE_1__2021-05-28__rebar__DMB</t>
  </si>
  <si>
    <t>MRE_2</t>
  </si>
  <si>
    <t>MRE_2__2022-05-17__rebar__DPW_r1</t>
  </si>
  <si>
    <t>MRE_2__2022-05-17__rebar__DPW_r2</t>
  </si>
  <si>
    <t>OST</t>
  </si>
  <si>
    <t>OST__2015-02-18__staple__CPT</t>
  </si>
  <si>
    <t>OTB_1</t>
  </si>
  <si>
    <t>OTB_1__2023-05-07__rebar__DPW</t>
  </si>
  <si>
    <t>PEN_L1</t>
  </si>
  <si>
    <t>PEN_L1__2016-05-20__burlap__RKB</t>
  </si>
  <si>
    <t>PTG_5</t>
  </si>
  <si>
    <t>PTJ</t>
  </si>
  <si>
    <t>PTG_5__2014-11-18__staple__PTJ</t>
  </si>
  <si>
    <t>zos_rest_pgamble__Ecology__PNNL</t>
  </si>
  <si>
    <t>PTG_2</t>
  </si>
  <si>
    <t>PTG_2__2014-11-19__staple__PTJ</t>
  </si>
  <si>
    <t>PTG_3</t>
  </si>
  <si>
    <t>PTG_3__2014-11-19__staple__PTJ</t>
  </si>
  <si>
    <t>PTG_4</t>
  </si>
  <si>
    <t>PTG_4__2014-11-19__staple__PTJ</t>
  </si>
  <si>
    <t>PTG_1</t>
  </si>
  <si>
    <t>PTG_1__2014-11-20__staple__PTJ</t>
  </si>
  <si>
    <t>PTG_6</t>
  </si>
  <si>
    <t>PTG_6__2014-11-20__staple__PTJ</t>
  </si>
  <si>
    <t>PTG_P1</t>
  </si>
  <si>
    <t>PTG_P1__2015-04-01__staple__PTJ</t>
  </si>
  <si>
    <t>PTG_P2</t>
  </si>
  <si>
    <t>PTG_P2__2015-04-01__staple__PTJ</t>
  </si>
  <si>
    <t>PTG_P3</t>
  </si>
  <si>
    <t>PTG_P3__2015-04-01__staple__PTJ</t>
  </si>
  <si>
    <t>PTG_P4</t>
  </si>
  <si>
    <t>PTG_P4__2015-04-01__staple__PTJ</t>
  </si>
  <si>
    <t>QMH_1S</t>
  </si>
  <si>
    <t>QMH_1S__2018-05-30__rebar__DMB</t>
  </si>
  <si>
    <t>QMH_1D</t>
  </si>
  <si>
    <t>QMH_1D__2018-05-30__rebar__DMB</t>
  </si>
  <si>
    <t>QMH_4S</t>
  </si>
  <si>
    <t>QMH_4S__2018-05-30__rebar__DMB</t>
  </si>
  <si>
    <t>QMH_4D</t>
  </si>
  <si>
    <t>QMH_4D__2018-05-30__rebar__DMB</t>
  </si>
  <si>
    <t>QMH_5S</t>
  </si>
  <si>
    <t>QMH_5S__2018-05-31__rebar__DMB</t>
  </si>
  <si>
    <t>QMH_5D</t>
  </si>
  <si>
    <t>QMH_5D__2018-05-31__rebar__DMB</t>
  </si>
  <si>
    <t>QMH_2D</t>
  </si>
  <si>
    <t>QMH_2D__2018-06-01__rebar__DMB</t>
  </si>
  <si>
    <t>QMH_3S</t>
  </si>
  <si>
    <t>QMH_3S__2018-06-01__rebar__DMB</t>
  </si>
  <si>
    <t>QMH_3D</t>
  </si>
  <si>
    <t>QMH_3D__2018-06-01__rebar__DMB</t>
  </si>
  <si>
    <t>QMH_4S__2021-05-13__rebar__DPW</t>
  </si>
  <si>
    <t>QMH_4S__2021-05-14__rebar__DMB</t>
  </si>
  <si>
    <t>QMH_4S__2021-05-26__rebar__DPW_r1</t>
  </si>
  <si>
    <t>QMH_5a</t>
  </si>
  <si>
    <t>QMH_5a__2021-05-13__rebar__DPW</t>
  </si>
  <si>
    <t>QMH_5a__2021-05-14__rebar__DMB</t>
  </si>
  <si>
    <t>QMH_4S__2021-05-26__rebar__DPW_r2</t>
  </si>
  <si>
    <t>TERFS</t>
  </si>
  <si>
    <t>QMH_4S__2022-05-19__TERFS__DPW</t>
  </si>
  <si>
    <t>QLC01</t>
  </si>
  <si>
    <t>QLB</t>
  </si>
  <si>
    <t>QLC01__2014-11-24__staple__QLB</t>
  </si>
  <si>
    <t>QLC_north1</t>
  </si>
  <si>
    <t>QLC_north1__2016-06-30__staple__QLB</t>
  </si>
  <si>
    <t>QLC_north2</t>
  </si>
  <si>
    <t>QLC_north2__2016-06-30__staple__QLB</t>
  </si>
  <si>
    <t>QLC_north3</t>
  </si>
  <si>
    <t>QLC_north3__2016-06-30__staple__QLB</t>
  </si>
  <si>
    <t>QLC_mid1</t>
  </si>
  <si>
    <t>QLC_mid1__2016-06-30__staple__QLB</t>
  </si>
  <si>
    <t>QLC_mid2</t>
  </si>
  <si>
    <t>QLC_mid2__2016-06-30__staple__QLB</t>
  </si>
  <si>
    <t>QLC_mid3</t>
  </si>
  <si>
    <t>QLC_mid3__2016-06-30__staple__QLB</t>
  </si>
  <si>
    <t>QLC_south1</t>
  </si>
  <si>
    <t>QLC_south1__2016-06-30__staple__QLB</t>
  </si>
  <si>
    <t>QLC_south2</t>
  </si>
  <si>
    <t>QLC_south2__2016-06-30__staple__QLB</t>
  </si>
  <si>
    <t>QLC_south3</t>
  </si>
  <si>
    <t>QLC_south3__2016-06-30__staple__QLB</t>
  </si>
  <si>
    <t>SHB_1</t>
  </si>
  <si>
    <t>SHB</t>
  </si>
  <si>
    <t>SHB_1__2023-06-04__rebar__SHB</t>
  </si>
  <si>
    <t>NA</t>
  </si>
  <si>
    <t>SKG_1</t>
  </si>
  <si>
    <t>SKB</t>
  </si>
  <si>
    <t>SKG_1__2016-09-08__rebar__SKB</t>
  </si>
  <si>
    <t>SKG_2</t>
  </si>
  <si>
    <t>SKG_2__2016-09-08__rebar__SKB</t>
  </si>
  <si>
    <t>SKG_5</t>
  </si>
  <si>
    <t>SKG_5__2016-09-09__rebar__SKB</t>
  </si>
  <si>
    <t>SKG_6</t>
  </si>
  <si>
    <t>SKG_6__2016-09-09__rebar__SKB</t>
  </si>
  <si>
    <t>STI</t>
  </si>
  <si>
    <t>STI__2015-03-12__staple__WNB</t>
  </si>
  <si>
    <t>TAY_L1</t>
  </si>
  <si>
    <t>TAY_L1__2016-05-19__burlap__RKB</t>
  </si>
  <si>
    <t>WES_east</t>
  </si>
  <si>
    <t>PNT</t>
  </si>
  <si>
    <t>WES_east__2013-06-14__staple__PNT</t>
  </si>
  <si>
    <t>WES_west</t>
  </si>
  <si>
    <t>WES_west__2013-06-14__staple__PNT</t>
  </si>
  <si>
    <t>WES_A</t>
  </si>
  <si>
    <t>WES_A__2017-06-01__rebar__Mix</t>
  </si>
  <si>
    <t>WES_B</t>
  </si>
  <si>
    <t>BPT</t>
  </si>
  <si>
    <t>WES_B__2017-06-01__rebar__BPT</t>
  </si>
  <si>
    <t>WES_C</t>
  </si>
  <si>
    <t>MTB</t>
  </si>
  <si>
    <t>WES_C__2017-06-02__rebar__MTB</t>
  </si>
  <si>
    <t>WES_D</t>
  </si>
  <si>
    <t>WES_D__2017-06-02__rebar__HRI</t>
  </si>
  <si>
    <t>WES_test_1</t>
  </si>
  <si>
    <t>WES_test_1__2020-08-01__rebar__DMB</t>
  </si>
  <si>
    <t>WES_test_1__2020-08-01__rebar__FYB</t>
  </si>
  <si>
    <t>WES_test_1__2020-08-01__rebar__HRI</t>
  </si>
  <si>
    <t>WES_test_1__2020-08-01__rebar__SHH</t>
  </si>
  <si>
    <t>WES_test_1__2020-08-01__rebar__Mix</t>
  </si>
  <si>
    <t>ZAN_1</t>
  </si>
  <si>
    <t>ZAN_1__2013-06-06__staple__THC</t>
  </si>
  <si>
    <t>ZAN_P1</t>
  </si>
  <si>
    <t>ZAN_P1__2015-05-04__staple__THC</t>
  </si>
  <si>
    <t>ZAN_2</t>
  </si>
  <si>
    <t>ZAN_2__2015-05-06__staple__THC</t>
  </si>
  <si>
    <t>ZAN_3</t>
  </si>
  <si>
    <t>ZAN_3__2016-06-06__rebar__DPW</t>
  </si>
  <si>
    <t>ZAN_4</t>
  </si>
  <si>
    <t>ZAN_4__2016-07-21__rebar__DPW</t>
  </si>
  <si>
    <t>cmp_p_loc_code</t>
  </si>
  <si>
    <t>cmp_donor_code</t>
  </si>
  <si>
    <t>cmp_method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</si>
</sst>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0" borderId="11" xfId="0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6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E813-DF6F-40E2-80DD-C0B3DD755B98}">
  <dimension ref="A1:Z228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T7" sqref="T7"/>
    </sheetView>
  </sheetViews>
  <sheetFormatPr defaultRowHeight="15" x14ac:dyDescent="0.25"/>
  <cols>
    <col min="1" max="1" width="4" bestFit="1" customWidth="1"/>
    <col min="2" max="2" width="9.42578125" bestFit="1" customWidth="1"/>
    <col min="3" max="3" width="28.7109375" bestFit="1" customWidth="1"/>
    <col min="4" max="4" width="22.7109375" bestFit="1" customWidth="1"/>
    <col min="5" max="5" width="23.140625" bestFit="1" customWidth="1"/>
    <col min="6" max="6" width="44.85546875" bestFit="1" customWidth="1"/>
    <col min="7" max="7" width="18.140625" bestFit="1" customWidth="1"/>
    <col min="8" max="8" width="12.42578125" bestFit="1" customWidth="1"/>
    <col min="9" max="9" width="13.42578125" bestFit="1" customWidth="1"/>
    <col min="10" max="10" width="22.140625" bestFit="1" customWidth="1"/>
    <col min="11" max="11" width="16.42578125" bestFit="1" customWidth="1"/>
    <col min="12" max="12" width="17.42578125" bestFit="1" customWidth="1"/>
    <col min="13" max="13" width="23.28515625" bestFit="1" customWidth="1"/>
    <col min="14" max="14" width="13.28515625" bestFit="1" customWidth="1"/>
    <col min="15" max="15" width="16.5703125" bestFit="1" customWidth="1"/>
    <col min="16" max="16" width="25.140625" bestFit="1" customWidth="1"/>
    <col min="17" max="17" width="22.140625" bestFit="1" customWidth="1"/>
    <col min="18" max="18" width="15" bestFit="1" customWidth="1"/>
    <col min="19" max="19" width="22.28515625" bestFit="1" customWidth="1"/>
    <col min="20" max="20" width="30.7109375" bestFit="1" customWidth="1"/>
    <col min="21" max="21" width="16" bestFit="1" customWidth="1"/>
    <col min="22" max="22" width="37.140625" style="3" bestFit="1" customWidth="1"/>
    <col min="23" max="23" width="20.5703125" customWidth="1"/>
    <col min="24" max="24" width="18.140625" customWidth="1"/>
    <col min="25" max="25" width="16.28515625" customWidth="1"/>
  </cols>
  <sheetData>
    <row r="1" spans="1:26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2" t="s">
        <v>18</v>
      </c>
      <c r="U1" s="6" t="s">
        <v>19</v>
      </c>
      <c r="V1" s="7" t="s">
        <v>20</v>
      </c>
      <c r="W1" s="4" t="s">
        <v>472</v>
      </c>
      <c r="X1" s="4" t="s">
        <v>473</v>
      </c>
      <c r="Y1" s="4" t="s">
        <v>474</v>
      </c>
      <c r="Z1" s="4"/>
    </row>
    <row r="2" spans="1:26" x14ac:dyDescent="0.25">
      <c r="A2">
        <v>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>
        <v>41431</v>
      </c>
      <c r="J2" t="s">
        <v>21</v>
      </c>
      <c r="K2" t="s">
        <v>23</v>
      </c>
      <c r="L2">
        <v>6</v>
      </c>
      <c r="M2">
        <v>6</v>
      </c>
      <c r="N2">
        <v>36</v>
      </c>
      <c r="O2">
        <v>36</v>
      </c>
      <c r="P2">
        <v>0.9</v>
      </c>
      <c r="Q2">
        <v>180</v>
      </c>
      <c r="R2">
        <v>720</v>
      </c>
      <c r="S2">
        <v>20</v>
      </c>
      <c r="T2">
        <v>20</v>
      </c>
      <c r="U2" t="s">
        <v>22</v>
      </c>
      <c r="V2" s="3" t="s">
        <v>27</v>
      </c>
      <c r="W2" t="str">
        <f>IF(C2=J2,"",9999)</f>
        <v/>
      </c>
      <c r="X2" t="str">
        <f>IF(D2=U2,"",9999)</f>
        <v/>
      </c>
      <c r="Y2" t="str">
        <f>IF(E2=K2,"",9999)</f>
        <v/>
      </c>
    </row>
    <row r="3" spans="1:26" x14ac:dyDescent="0.25">
      <c r="A3">
        <v>2</v>
      </c>
      <c r="B3">
        <v>2</v>
      </c>
      <c r="C3" t="s">
        <v>28</v>
      </c>
      <c r="D3" t="s">
        <v>22</v>
      </c>
      <c r="E3" t="s">
        <v>23</v>
      </c>
      <c r="F3" t="s">
        <v>29</v>
      </c>
      <c r="G3" t="s">
        <v>25</v>
      </c>
      <c r="H3" t="s">
        <v>26</v>
      </c>
      <c r="I3" s="1">
        <v>41431</v>
      </c>
      <c r="J3" t="s">
        <v>28</v>
      </c>
      <c r="K3" t="s">
        <v>23</v>
      </c>
      <c r="L3">
        <v>6</v>
      </c>
      <c r="M3">
        <v>6</v>
      </c>
      <c r="N3">
        <v>36</v>
      </c>
      <c r="O3">
        <v>36</v>
      </c>
      <c r="P3">
        <v>0.9</v>
      </c>
      <c r="Q3">
        <v>180</v>
      </c>
      <c r="R3">
        <v>720</v>
      </c>
      <c r="S3">
        <v>20</v>
      </c>
      <c r="T3">
        <v>20</v>
      </c>
      <c r="U3" t="s">
        <v>22</v>
      </c>
      <c r="V3" s="3" t="s">
        <v>27</v>
      </c>
      <c r="W3" t="str">
        <f t="shared" ref="W3:W66" si="0">IF(C3=J3,"",9999)</f>
        <v/>
      </c>
      <c r="X3" t="str">
        <f t="shared" ref="X3:X66" si="1">IF(D3=U3,"",9999)</f>
        <v/>
      </c>
      <c r="Y3" t="str">
        <f t="shared" ref="Y3:Y66" si="2">IF(E3=K3,"",9999)</f>
        <v/>
      </c>
    </row>
    <row r="4" spans="1:26" x14ac:dyDescent="0.25">
      <c r="A4">
        <v>3</v>
      </c>
      <c r="B4">
        <v>3</v>
      </c>
      <c r="C4" t="s">
        <v>30</v>
      </c>
      <c r="D4" t="s">
        <v>31</v>
      </c>
      <c r="E4" t="s">
        <v>23</v>
      </c>
      <c r="F4" t="s">
        <v>32</v>
      </c>
      <c r="G4" t="s">
        <v>25</v>
      </c>
      <c r="H4" t="s">
        <v>26</v>
      </c>
      <c r="I4" s="1">
        <v>42062</v>
      </c>
      <c r="J4" t="s">
        <v>30</v>
      </c>
      <c r="K4" t="s">
        <v>23</v>
      </c>
      <c r="L4">
        <v>5</v>
      </c>
      <c r="M4">
        <v>5</v>
      </c>
      <c r="N4">
        <v>25</v>
      </c>
      <c r="O4">
        <v>25</v>
      </c>
      <c r="P4">
        <v>0.625</v>
      </c>
      <c r="Q4">
        <v>125</v>
      </c>
      <c r="R4">
        <v>500</v>
      </c>
      <c r="S4">
        <v>20</v>
      </c>
      <c r="T4">
        <v>20</v>
      </c>
      <c r="U4" t="s">
        <v>31</v>
      </c>
      <c r="V4" s="3" t="s">
        <v>33</v>
      </c>
      <c r="W4" t="str">
        <f t="shared" si="0"/>
        <v/>
      </c>
      <c r="X4" t="str">
        <f t="shared" si="1"/>
        <v/>
      </c>
      <c r="Y4" t="str">
        <f t="shared" si="2"/>
        <v/>
      </c>
    </row>
    <row r="5" spans="1:26" x14ac:dyDescent="0.25">
      <c r="A5">
        <v>4</v>
      </c>
      <c r="B5">
        <v>4</v>
      </c>
      <c r="C5" t="s">
        <v>34</v>
      </c>
      <c r="D5" t="s">
        <v>35</v>
      </c>
      <c r="E5" t="s">
        <v>36</v>
      </c>
      <c r="F5" t="s">
        <v>37</v>
      </c>
      <c r="G5" t="s">
        <v>25</v>
      </c>
      <c r="H5" t="s">
        <v>26</v>
      </c>
      <c r="I5" s="1">
        <v>42633</v>
      </c>
      <c r="J5" t="s">
        <v>34</v>
      </c>
      <c r="K5" t="s">
        <v>36</v>
      </c>
      <c r="L5">
        <v>2.5</v>
      </c>
      <c r="M5">
        <v>2.5</v>
      </c>
      <c r="N5">
        <v>6.25</v>
      </c>
      <c r="O5">
        <v>5</v>
      </c>
      <c r="P5">
        <v>0.5</v>
      </c>
      <c r="Q5">
        <v>20</v>
      </c>
      <c r="R5">
        <v>500</v>
      </c>
      <c r="S5">
        <v>80</v>
      </c>
      <c r="T5">
        <v>100</v>
      </c>
      <c r="U5" t="s">
        <v>35</v>
      </c>
      <c r="V5" s="3" t="s">
        <v>38</v>
      </c>
      <c r="W5" t="str">
        <f t="shared" si="0"/>
        <v/>
      </c>
      <c r="X5" t="str">
        <f t="shared" si="1"/>
        <v/>
      </c>
      <c r="Y5" t="str">
        <f t="shared" si="2"/>
        <v/>
      </c>
    </row>
    <row r="6" spans="1:26" x14ac:dyDescent="0.25">
      <c r="A6">
        <v>5</v>
      </c>
      <c r="B6">
        <v>5</v>
      </c>
      <c r="C6" t="s">
        <v>39</v>
      </c>
      <c r="D6" t="s">
        <v>35</v>
      </c>
      <c r="E6" t="s">
        <v>36</v>
      </c>
      <c r="F6" t="s">
        <v>40</v>
      </c>
      <c r="G6" t="s">
        <v>25</v>
      </c>
      <c r="H6" t="s">
        <v>26</v>
      </c>
      <c r="I6" s="1">
        <v>42633</v>
      </c>
      <c r="J6" t="s">
        <v>39</v>
      </c>
      <c r="K6" t="s">
        <v>36</v>
      </c>
      <c r="L6">
        <v>2.5</v>
      </c>
      <c r="M6">
        <v>2.5</v>
      </c>
      <c r="N6">
        <v>6.25</v>
      </c>
      <c r="O6">
        <v>5</v>
      </c>
      <c r="P6">
        <v>0.5</v>
      </c>
      <c r="Q6">
        <v>20</v>
      </c>
      <c r="R6">
        <v>500</v>
      </c>
      <c r="S6">
        <v>80</v>
      </c>
      <c r="T6">
        <v>100</v>
      </c>
      <c r="U6" t="s">
        <v>35</v>
      </c>
      <c r="V6" s="3" t="s">
        <v>38</v>
      </c>
      <c r="W6" t="str">
        <f t="shared" si="0"/>
        <v/>
      </c>
      <c r="X6" t="str">
        <f t="shared" si="1"/>
        <v/>
      </c>
      <c r="Y6" t="str">
        <f t="shared" si="2"/>
        <v/>
      </c>
    </row>
    <row r="7" spans="1:26" x14ac:dyDescent="0.25">
      <c r="A7">
        <v>6</v>
      </c>
      <c r="B7">
        <v>6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26</v>
      </c>
      <c r="I7" s="1">
        <v>42860</v>
      </c>
      <c r="J7" t="s">
        <v>41</v>
      </c>
      <c r="K7" t="s">
        <v>43</v>
      </c>
      <c r="L7">
        <v>10</v>
      </c>
      <c r="M7">
        <v>1</v>
      </c>
      <c r="N7">
        <v>10</v>
      </c>
      <c r="O7">
        <v>6</v>
      </c>
      <c r="P7">
        <v>0.87</v>
      </c>
      <c r="Q7">
        <v>87</v>
      </c>
      <c r="R7">
        <v>869</v>
      </c>
      <c r="S7">
        <v>86.9</v>
      </c>
      <c r="T7">
        <v>144.833333333333</v>
      </c>
      <c r="U7" t="s">
        <v>42</v>
      </c>
      <c r="V7" s="3" t="s">
        <v>46</v>
      </c>
      <c r="W7" t="str">
        <f t="shared" si="0"/>
        <v/>
      </c>
      <c r="X7" t="str">
        <f t="shared" si="1"/>
        <v/>
      </c>
      <c r="Y7" t="str">
        <f t="shared" si="2"/>
        <v/>
      </c>
    </row>
    <row r="8" spans="1:26" x14ac:dyDescent="0.25">
      <c r="A8">
        <v>7</v>
      </c>
      <c r="B8">
        <v>7</v>
      </c>
      <c r="C8" t="s">
        <v>47</v>
      </c>
      <c r="D8" t="s">
        <v>42</v>
      </c>
      <c r="E8" t="s">
        <v>43</v>
      </c>
      <c r="F8" t="s">
        <v>48</v>
      </c>
      <c r="G8" t="s">
        <v>45</v>
      </c>
      <c r="H8" t="s">
        <v>26</v>
      </c>
      <c r="I8" s="1">
        <v>42860</v>
      </c>
      <c r="J8" t="s">
        <v>47</v>
      </c>
      <c r="K8" t="s">
        <v>43</v>
      </c>
      <c r="L8">
        <v>10</v>
      </c>
      <c r="M8">
        <v>1</v>
      </c>
      <c r="N8">
        <v>10</v>
      </c>
      <c r="O8">
        <v>6</v>
      </c>
      <c r="P8">
        <v>0.87</v>
      </c>
      <c r="Q8">
        <v>87</v>
      </c>
      <c r="R8">
        <v>869</v>
      </c>
      <c r="S8">
        <v>86.9</v>
      </c>
      <c r="T8">
        <v>144.833333333333</v>
      </c>
      <c r="U8" t="s">
        <v>42</v>
      </c>
      <c r="V8" s="3" t="s">
        <v>46</v>
      </c>
      <c r="W8" t="str">
        <f t="shared" si="0"/>
        <v/>
      </c>
      <c r="X8" t="str">
        <f t="shared" si="1"/>
        <v/>
      </c>
      <c r="Y8" t="str">
        <f t="shared" si="2"/>
        <v/>
      </c>
    </row>
    <row r="9" spans="1:26" x14ac:dyDescent="0.25">
      <c r="A9">
        <v>8</v>
      </c>
      <c r="B9">
        <v>8</v>
      </c>
      <c r="C9" t="s">
        <v>49</v>
      </c>
      <c r="D9" t="s">
        <v>42</v>
      </c>
      <c r="E9" t="s">
        <v>43</v>
      </c>
      <c r="F9" t="s">
        <v>50</v>
      </c>
      <c r="G9" t="s">
        <v>51</v>
      </c>
      <c r="H9" t="s">
        <v>52</v>
      </c>
      <c r="I9" s="1">
        <v>42888</v>
      </c>
      <c r="J9" t="s">
        <v>49</v>
      </c>
      <c r="K9" t="s">
        <v>43</v>
      </c>
      <c r="L9">
        <v>40</v>
      </c>
      <c r="M9">
        <v>4</v>
      </c>
      <c r="N9">
        <v>160</v>
      </c>
      <c r="O9">
        <v>155</v>
      </c>
      <c r="P9">
        <v>20.5</v>
      </c>
      <c r="Q9">
        <v>2050</v>
      </c>
      <c r="R9">
        <v>20500</v>
      </c>
      <c r="S9">
        <v>128.125</v>
      </c>
      <c r="T9">
        <v>132.258064516129</v>
      </c>
      <c r="U9" t="s">
        <v>42</v>
      </c>
      <c r="V9" s="3" t="s">
        <v>46</v>
      </c>
      <c r="W9" t="str">
        <f t="shared" si="0"/>
        <v/>
      </c>
      <c r="X9" t="str">
        <f t="shared" si="1"/>
        <v/>
      </c>
      <c r="Y9" t="str">
        <f t="shared" si="2"/>
        <v/>
      </c>
    </row>
    <row r="10" spans="1:26" x14ac:dyDescent="0.25">
      <c r="A10">
        <v>9</v>
      </c>
      <c r="B10">
        <v>9</v>
      </c>
      <c r="C10" t="s">
        <v>53</v>
      </c>
      <c r="D10" t="s">
        <v>42</v>
      </c>
      <c r="E10" t="s">
        <v>43</v>
      </c>
      <c r="F10" t="s">
        <v>54</v>
      </c>
      <c r="G10" t="s">
        <v>51</v>
      </c>
      <c r="H10" t="s">
        <v>52</v>
      </c>
      <c r="I10" s="1">
        <v>42890</v>
      </c>
      <c r="J10" t="s">
        <v>53</v>
      </c>
      <c r="K10" t="s">
        <v>43</v>
      </c>
      <c r="L10">
        <v>40</v>
      </c>
      <c r="M10">
        <v>4</v>
      </c>
      <c r="N10">
        <v>160</v>
      </c>
      <c r="O10">
        <v>160</v>
      </c>
      <c r="P10">
        <v>24.83</v>
      </c>
      <c r="Q10">
        <v>2483</v>
      </c>
      <c r="R10">
        <v>24830</v>
      </c>
      <c r="S10">
        <v>155.1875</v>
      </c>
      <c r="T10">
        <v>155.1875</v>
      </c>
      <c r="U10" t="s">
        <v>42</v>
      </c>
      <c r="V10" s="3" t="s">
        <v>46</v>
      </c>
      <c r="W10" t="str">
        <f t="shared" si="0"/>
        <v/>
      </c>
      <c r="X10" t="str">
        <f t="shared" si="1"/>
        <v/>
      </c>
      <c r="Y10" t="str">
        <f t="shared" si="2"/>
        <v/>
      </c>
    </row>
    <row r="11" spans="1:26" x14ac:dyDescent="0.25">
      <c r="A11">
        <v>10</v>
      </c>
      <c r="B11">
        <v>10</v>
      </c>
      <c r="C11" t="s">
        <v>55</v>
      </c>
      <c r="D11" t="s">
        <v>22</v>
      </c>
      <c r="E11" t="s">
        <v>36</v>
      </c>
      <c r="F11" t="s">
        <v>56</v>
      </c>
      <c r="G11" t="s">
        <v>45</v>
      </c>
      <c r="H11" t="s">
        <v>52</v>
      </c>
      <c r="I11" s="1">
        <v>42955</v>
      </c>
      <c r="J11" t="s">
        <v>55</v>
      </c>
      <c r="K11" t="s">
        <v>36</v>
      </c>
      <c r="L11">
        <v>30</v>
      </c>
      <c r="M11">
        <v>5</v>
      </c>
      <c r="N11">
        <v>150</v>
      </c>
      <c r="O11">
        <v>105.25</v>
      </c>
      <c r="P11">
        <v>10.525</v>
      </c>
      <c r="Q11">
        <v>421</v>
      </c>
      <c r="R11">
        <v>10525</v>
      </c>
      <c r="S11">
        <v>70.1666666666667</v>
      </c>
      <c r="T11">
        <v>100</v>
      </c>
      <c r="U11" t="s">
        <v>22</v>
      </c>
      <c r="V11" s="3" t="s">
        <v>38</v>
      </c>
      <c r="W11" t="str">
        <f t="shared" si="0"/>
        <v/>
      </c>
      <c r="X11" t="str">
        <f t="shared" si="1"/>
        <v/>
      </c>
      <c r="Y11" t="str">
        <f t="shared" si="2"/>
        <v/>
      </c>
    </row>
    <row r="12" spans="1:26" x14ac:dyDescent="0.25">
      <c r="A12">
        <v>11</v>
      </c>
      <c r="B12">
        <v>11</v>
      </c>
      <c r="C12" t="s">
        <v>57</v>
      </c>
      <c r="D12" t="s">
        <v>58</v>
      </c>
      <c r="E12" t="s">
        <v>36</v>
      </c>
      <c r="F12" t="s">
        <v>59</v>
      </c>
      <c r="G12" t="s">
        <v>25</v>
      </c>
      <c r="H12" t="s">
        <v>26</v>
      </c>
      <c r="I12" s="1">
        <v>44012</v>
      </c>
      <c r="J12" t="s">
        <v>57</v>
      </c>
      <c r="K12" t="s">
        <v>36</v>
      </c>
      <c r="L12">
        <v>2.5</v>
      </c>
      <c r="M12">
        <v>2.5</v>
      </c>
      <c r="N12">
        <v>6.25</v>
      </c>
      <c r="O12">
        <v>4.75</v>
      </c>
      <c r="P12">
        <v>0.47499999999999998</v>
      </c>
      <c r="Q12">
        <v>19</v>
      </c>
      <c r="R12">
        <v>475</v>
      </c>
      <c r="S12">
        <v>76</v>
      </c>
      <c r="T12">
        <v>100</v>
      </c>
      <c r="U12" t="s">
        <v>58</v>
      </c>
      <c r="V12" s="3" t="s">
        <v>60</v>
      </c>
      <c r="W12" t="str">
        <f t="shared" si="0"/>
        <v/>
      </c>
      <c r="X12" t="str">
        <f t="shared" si="1"/>
        <v/>
      </c>
      <c r="Y12" t="str">
        <f t="shared" si="2"/>
        <v/>
      </c>
    </row>
    <row r="13" spans="1:26" x14ac:dyDescent="0.25">
      <c r="A13">
        <v>12</v>
      </c>
      <c r="B13">
        <v>12</v>
      </c>
      <c r="C13" t="s">
        <v>61</v>
      </c>
      <c r="D13" t="s">
        <v>58</v>
      </c>
      <c r="E13" t="s">
        <v>36</v>
      </c>
      <c r="F13" t="s">
        <v>62</v>
      </c>
      <c r="G13" t="s">
        <v>25</v>
      </c>
      <c r="H13" t="s">
        <v>26</v>
      </c>
      <c r="I13" s="1">
        <v>44013</v>
      </c>
      <c r="J13" t="s">
        <v>61</v>
      </c>
      <c r="K13" t="s">
        <v>36</v>
      </c>
      <c r="L13">
        <v>3</v>
      </c>
      <c r="M13">
        <v>2.5</v>
      </c>
      <c r="N13">
        <v>7.5</v>
      </c>
      <c r="O13">
        <v>6.25</v>
      </c>
      <c r="P13">
        <v>0.625</v>
      </c>
      <c r="Q13">
        <v>25</v>
      </c>
      <c r="R13">
        <v>625</v>
      </c>
      <c r="S13">
        <v>83.3333333333333</v>
      </c>
      <c r="T13">
        <v>100</v>
      </c>
      <c r="U13" t="s">
        <v>58</v>
      </c>
      <c r="V13" s="3" t="s">
        <v>60</v>
      </c>
      <c r="W13" t="str">
        <f t="shared" si="0"/>
        <v/>
      </c>
      <c r="X13" t="str">
        <f t="shared" si="1"/>
        <v/>
      </c>
      <c r="Y13" t="str">
        <f t="shared" si="2"/>
        <v/>
      </c>
    </row>
    <row r="14" spans="1:26" x14ac:dyDescent="0.25">
      <c r="A14">
        <v>13</v>
      </c>
      <c r="B14">
        <v>13</v>
      </c>
      <c r="C14" t="s">
        <v>63</v>
      </c>
      <c r="D14" t="s">
        <v>58</v>
      </c>
      <c r="E14" t="s">
        <v>36</v>
      </c>
      <c r="F14" t="s">
        <v>64</v>
      </c>
      <c r="G14" t="s">
        <v>25</v>
      </c>
      <c r="H14" t="s">
        <v>26</v>
      </c>
      <c r="I14" s="1">
        <v>44012</v>
      </c>
      <c r="J14" t="s">
        <v>63</v>
      </c>
      <c r="K14" t="s">
        <v>36</v>
      </c>
      <c r="L14">
        <v>2.5</v>
      </c>
      <c r="M14">
        <v>2.5</v>
      </c>
      <c r="N14">
        <v>6.25</v>
      </c>
      <c r="O14">
        <v>5</v>
      </c>
      <c r="P14">
        <v>0.5</v>
      </c>
      <c r="Q14">
        <v>20</v>
      </c>
      <c r="R14">
        <v>500</v>
      </c>
      <c r="S14">
        <v>80</v>
      </c>
      <c r="T14">
        <v>100</v>
      </c>
      <c r="U14" t="s">
        <v>58</v>
      </c>
      <c r="V14" s="3" t="s">
        <v>60</v>
      </c>
      <c r="W14" t="str">
        <f t="shared" si="0"/>
        <v/>
      </c>
      <c r="X14" t="str">
        <f t="shared" si="1"/>
        <v/>
      </c>
      <c r="Y14" t="str">
        <f t="shared" si="2"/>
        <v/>
      </c>
    </row>
    <row r="15" spans="1:26" x14ac:dyDescent="0.25">
      <c r="A15">
        <v>14</v>
      </c>
      <c r="B15">
        <v>14</v>
      </c>
      <c r="C15" t="s">
        <v>65</v>
      </c>
      <c r="D15" t="s">
        <v>66</v>
      </c>
      <c r="E15" t="s">
        <v>36</v>
      </c>
      <c r="F15" t="s">
        <v>67</v>
      </c>
      <c r="G15" t="s">
        <v>25</v>
      </c>
      <c r="H15" t="s">
        <v>26</v>
      </c>
      <c r="I15" s="1">
        <v>44369</v>
      </c>
      <c r="J15" t="s">
        <v>65</v>
      </c>
      <c r="K15" t="s">
        <v>36</v>
      </c>
      <c r="L15">
        <v>3.5</v>
      </c>
      <c r="M15">
        <v>0.5</v>
      </c>
      <c r="N15">
        <v>1.75</v>
      </c>
      <c r="O15">
        <v>2.25</v>
      </c>
      <c r="P15">
        <v>0.22500000000000001</v>
      </c>
      <c r="Q15">
        <v>9</v>
      </c>
      <c r="R15">
        <v>135</v>
      </c>
      <c r="S15">
        <v>77.142857142857096</v>
      </c>
      <c r="T15">
        <v>60</v>
      </c>
      <c r="U15" t="s">
        <v>66</v>
      </c>
      <c r="V15" s="3" t="s">
        <v>68</v>
      </c>
      <c r="W15" t="str">
        <f t="shared" si="0"/>
        <v/>
      </c>
      <c r="X15" t="str">
        <f t="shared" si="1"/>
        <v/>
      </c>
      <c r="Y15" t="str">
        <f t="shared" si="2"/>
        <v/>
      </c>
    </row>
    <row r="16" spans="1:26" x14ac:dyDescent="0.25">
      <c r="A16">
        <v>15</v>
      </c>
      <c r="B16">
        <v>15</v>
      </c>
      <c r="C16" t="s">
        <v>69</v>
      </c>
      <c r="D16" t="s">
        <v>66</v>
      </c>
      <c r="E16" t="s">
        <v>36</v>
      </c>
      <c r="F16" t="s">
        <v>70</v>
      </c>
      <c r="G16" t="s">
        <v>25</v>
      </c>
      <c r="H16" t="s">
        <v>26</v>
      </c>
      <c r="I16" s="1">
        <v>44372</v>
      </c>
      <c r="J16" t="s">
        <v>69</v>
      </c>
      <c r="K16" t="s">
        <v>36</v>
      </c>
      <c r="L16">
        <v>3.5</v>
      </c>
      <c r="M16">
        <v>0.5</v>
      </c>
      <c r="N16">
        <v>1.75</v>
      </c>
      <c r="O16">
        <v>2.25</v>
      </c>
      <c r="P16">
        <v>0.22500000000000001</v>
      </c>
      <c r="Q16">
        <v>9</v>
      </c>
      <c r="R16">
        <v>135</v>
      </c>
      <c r="S16">
        <v>77.142857142857096</v>
      </c>
      <c r="T16">
        <v>60</v>
      </c>
      <c r="U16" t="s">
        <v>66</v>
      </c>
      <c r="V16" s="3" t="s">
        <v>68</v>
      </c>
      <c r="W16" t="str">
        <f t="shared" si="0"/>
        <v/>
      </c>
      <c r="X16" t="str">
        <f t="shared" si="1"/>
        <v/>
      </c>
      <c r="Y16" t="str">
        <f t="shared" si="2"/>
        <v/>
      </c>
    </row>
    <row r="17" spans="1:25" x14ac:dyDescent="0.25">
      <c r="A17">
        <v>16</v>
      </c>
      <c r="B17">
        <v>16</v>
      </c>
      <c r="C17" t="s">
        <v>71</v>
      </c>
      <c r="D17" t="s">
        <v>66</v>
      </c>
      <c r="E17" t="s">
        <v>36</v>
      </c>
      <c r="F17" t="s">
        <v>72</v>
      </c>
      <c r="G17" t="s">
        <v>25</v>
      </c>
      <c r="H17" t="s">
        <v>26</v>
      </c>
      <c r="I17" s="1">
        <v>44372</v>
      </c>
      <c r="J17" t="s">
        <v>71</v>
      </c>
      <c r="K17" t="s">
        <v>36</v>
      </c>
      <c r="L17">
        <v>3.5</v>
      </c>
      <c r="M17">
        <v>0.5</v>
      </c>
      <c r="N17">
        <v>1.75</v>
      </c>
      <c r="O17">
        <v>2.25</v>
      </c>
      <c r="P17">
        <v>0.22500000000000001</v>
      </c>
      <c r="Q17">
        <v>9</v>
      </c>
      <c r="R17">
        <v>135</v>
      </c>
      <c r="S17">
        <v>77.142857142857096</v>
      </c>
      <c r="T17">
        <v>60</v>
      </c>
      <c r="U17" t="s">
        <v>66</v>
      </c>
      <c r="V17" s="3" t="s">
        <v>68</v>
      </c>
      <c r="W17" t="str">
        <f t="shared" si="0"/>
        <v/>
      </c>
      <c r="X17" t="str">
        <f t="shared" si="1"/>
        <v/>
      </c>
      <c r="Y17" t="str">
        <f t="shared" si="2"/>
        <v/>
      </c>
    </row>
    <row r="18" spans="1:25" x14ac:dyDescent="0.25">
      <c r="A18">
        <v>17</v>
      </c>
      <c r="B18">
        <v>17</v>
      </c>
      <c r="C18" t="s">
        <v>73</v>
      </c>
      <c r="D18" t="s">
        <v>66</v>
      </c>
      <c r="E18" t="s">
        <v>36</v>
      </c>
      <c r="F18" t="s">
        <v>74</v>
      </c>
      <c r="G18" t="s">
        <v>25</v>
      </c>
      <c r="H18" t="s">
        <v>26</v>
      </c>
      <c r="I18" s="1">
        <v>45082</v>
      </c>
      <c r="J18" t="s">
        <v>73</v>
      </c>
      <c r="K18" t="s">
        <v>36</v>
      </c>
      <c r="L18">
        <v>1.5</v>
      </c>
      <c r="M18">
        <v>0.5</v>
      </c>
      <c r="N18">
        <v>0.75</v>
      </c>
      <c r="O18">
        <v>2.25</v>
      </c>
      <c r="P18">
        <v>0.22500000000000001</v>
      </c>
      <c r="Q18">
        <v>9</v>
      </c>
      <c r="R18">
        <v>150</v>
      </c>
      <c r="S18">
        <v>200</v>
      </c>
      <c r="T18">
        <v>66.6666666666667</v>
      </c>
      <c r="U18" t="s">
        <v>66</v>
      </c>
      <c r="V18" s="3" t="s">
        <v>68</v>
      </c>
      <c r="W18" t="str">
        <f t="shared" si="0"/>
        <v/>
      </c>
      <c r="X18" t="str">
        <f t="shared" si="1"/>
        <v/>
      </c>
      <c r="Y18" t="str">
        <f t="shared" si="2"/>
        <v/>
      </c>
    </row>
    <row r="19" spans="1:25" x14ac:dyDescent="0.25">
      <c r="A19">
        <v>18</v>
      </c>
      <c r="B19">
        <v>18</v>
      </c>
      <c r="C19" t="s">
        <v>75</v>
      </c>
      <c r="D19" t="s">
        <v>76</v>
      </c>
      <c r="E19" t="s">
        <v>36</v>
      </c>
      <c r="F19" t="s">
        <v>77</v>
      </c>
      <c r="G19" t="s">
        <v>45</v>
      </c>
      <c r="H19" t="s">
        <v>26</v>
      </c>
      <c r="I19" s="1">
        <v>44045</v>
      </c>
      <c r="J19" t="s">
        <v>75</v>
      </c>
      <c r="K19" t="s">
        <v>36</v>
      </c>
      <c r="L19">
        <v>14</v>
      </c>
      <c r="M19">
        <v>1</v>
      </c>
      <c r="N19">
        <v>14</v>
      </c>
      <c r="O19">
        <v>4</v>
      </c>
      <c r="P19">
        <v>0.4</v>
      </c>
      <c r="Q19">
        <v>16</v>
      </c>
      <c r="R19">
        <v>320</v>
      </c>
      <c r="S19">
        <v>22.8571428571429</v>
      </c>
      <c r="T19">
        <v>80</v>
      </c>
      <c r="U19" t="s">
        <v>76</v>
      </c>
      <c r="V19" s="3" t="s">
        <v>78</v>
      </c>
      <c r="W19" t="str">
        <f t="shared" si="0"/>
        <v/>
      </c>
      <c r="X19" t="str">
        <f t="shared" si="1"/>
        <v/>
      </c>
      <c r="Y19" t="str">
        <f t="shared" si="2"/>
        <v/>
      </c>
    </row>
    <row r="20" spans="1:25" x14ac:dyDescent="0.25">
      <c r="A20">
        <v>19</v>
      </c>
      <c r="B20">
        <v>19</v>
      </c>
      <c r="C20" t="s">
        <v>75</v>
      </c>
      <c r="D20" t="s">
        <v>79</v>
      </c>
      <c r="E20" t="s">
        <v>36</v>
      </c>
      <c r="F20" t="s">
        <v>80</v>
      </c>
      <c r="G20" t="s">
        <v>45</v>
      </c>
      <c r="H20" t="s">
        <v>26</v>
      </c>
      <c r="I20" s="1">
        <v>44045</v>
      </c>
      <c r="J20" t="s">
        <v>75</v>
      </c>
      <c r="K20" t="s">
        <v>36</v>
      </c>
      <c r="L20">
        <v>14</v>
      </c>
      <c r="M20">
        <v>1</v>
      </c>
      <c r="N20">
        <v>14</v>
      </c>
      <c r="O20">
        <v>0.75</v>
      </c>
      <c r="P20">
        <v>7.4999999999999997E-2</v>
      </c>
      <c r="Q20">
        <v>3</v>
      </c>
      <c r="R20">
        <v>60</v>
      </c>
      <c r="S20">
        <v>4.28571428571429</v>
      </c>
      <c r="T20">
        <v>80</v>
      </c>
      <c r="U20" t="s">
        <v>79</v>
      </c>
      <c r="V20" s="3" t="s">
        <v>78</v>
      </c>
      <c r="W20" t="str">
        <f t="shared" si="0"/>
        <v/>
      </c>
      <c r="X20" t="str">
        <f t="shared" si="1"/>
        <v/>
      </c>
      <c r="Y20" t="str">
        <f t="shared" si="2"/>
        <v/>
      </c>
    </row>
    <row r="21" spans="1:25" x14ac:dyDescent="0.25">
      <c r="A21">
        <v>20</v>
      </c>
      <c r="B21">
        <v>20</v>
      </c>
      <c r="C21" t="s">
        <v>75</v>
      </c>
      <c r="D21" t="s">
        <v>81</v>
      </c>
      <c r="E21" t="s">
        <v>36</v>
      </c>
      <c r="F21" t="s">
        <v>82</v>
      </c>
      <c r="G21" t="s">
        <v>45</v>
      </c>
      <c r="H21" t="s">
        <v>26</v>
      </c>
      <c r="I21" s="1">
        <v>44045</v>
      </c>
      <c r="J21" t="s">
        <v>75</v>
      </c>
      <c r="K21" t="s">
        <v>36</v>
      </c>
      <c r="L21">
        <v>14</v>
      </c>
      <c r="M21">
        <v>1</v>
      </c>
      <c r="N21">
        <v>14</v>
      </c>
      <c r="O21">
        <v>2.25</v>
      </c>
      <c r="P21">
        <v>0.22500000000000001</v>
      </c>
      <c r="Q21">
        <v>9</v>
      </c>
      <c r="R21">
        <v>135</v>
      </c>
      <c r="S21">
        <v>9.6428571428571406</v>
      </c>
      <c r="T21">
        <v>60</v>
      </c>
      <c r="U21" t="s">
        <v>81</v>
      </c>
      <c r="V21" s="3" t="s">
        <v>78</v>
      </c>
      <c r="W21" t="str">
        <f t="shared" si="0"/>
        <v/>
      </c>
      <c r="X21" t="str">
        <f t="shared" si="1"/>
        <v/>
      </c>
      <c r="Y21" t="str">
        <f t="shared" si="2"/>
        <v/>
      </c>
    </row>
    <row r="22" spans="1:25" x14ac:dyDescent="0.25">
      <c r="A22">
        <v>21</v>
      </c>
      <c r="B22">
        <v>21</v>
      </c>
      <c r="C22" t="s">
        <v>75</v>
      </c>
      <c r="D22" t="s">
        <v>83</v>
      </c>
      <c r="E22" t="s">
        <v>36</v>
      </c>
      <c r="F22" t="s">
        <v>84</v>
      </c>
      <c r="G22" t="s">
        <v>45</v>
      </c>
      <c r="H22" t="s">
        <v>26</v>
      </c>
      <c r="I22" s="1">
        <v>44045</v>
      </c>
      <c r="J22" t="s">
        <v>75</v>
      </c>
      <c r="K22" t="s">
        <v>36</v>
      </c>
      <c r="L22">
        <v>14</v>
      </c>
      <c r="M22">
        <v>1</v>
      </c>
      <c r="N22">
        <v>14</v>
      </c>
      <c r="O22">
        <v>3.75</v>
      </c>
      <c r="P22">
        <v>0.375</v>
      </c>
      <c r="Q22">
        <v>15</v>
      </c>
      <c r="R22">
        <v>210</v>
      </c>
      <c r="S22">
        <v>15</v>
      </c>
      <c r="T22">
        <v>56</v>
      </c>
      <c r="U22" t="s">
        <v>83</v>
      </c>
      <c r="V22" s="3" t="s">
        <v>78</v>
      </c>
      <c r="W22" t="str">
        <f t="shared" si="0"/>
        <v/>
      </c>
      <c r="X22" t="str">
        <f t="shared" si="1"/>
        <v/>
      </c>
      <c r="Y22" t="str">
        <f t="shared" si="2"/>
        <v/>
      </c>
    </row>
    <row r="23" spans="1:25" x14ac:dyDescent="0.25">
      <c r="A23">
        <v>22</v>
      </c>
      <c r="B23">
        <v>22</v>
      </c>
      <c r="C23" t="s">
        <v>75</v>
      </c>
      <c r="D23" t="s">
        <v>85</v>
      </c>
      <c r="E23" t="s">
        <v>36</v>
      </c>
      <c r="F23" t="s">
        <v>86</v>
      </c>
      <c r="G23" t="s">
        <v>45</v>
      </c>
      <c r="H23" t="s">
        <v>26</v>
      </c>
      <c r="I23" s="1">
        <v>44045</v>
      </c>
      <c r="J23" t="s">
        <v>75</v>
      </c>
      <c r="K23" t="s">
        <v>36</v>
      </c>
      <c r="L23">
        <v>14</v>
      </c>
      <c r="M23">
        <v>1</v>
      </c>
      <c r="N23">
        <v>14</v>
      </c>
      <c r="O23">
        <v>1.75</v>
      </c>
      <c r="P23">
        <v>0.17499999999999999</v>
      </c>
      <c r="Q23">
        <v>7</v>
      </c>
      <c r="R23">
        <v>175</v>
      </c>
      <c r="S23">
        <v>12.5</v>
      </c>
      <c r="T23">
        <v>100</v>
      </c>
      <c r="U23" t="s">
        <v>85</v>
      </c>
      <c r="V23" s="3" t="s">
        <v>78</v>
      </c>
      <c r="W23" t="str">
        <f t="shared" si="0"/>
        <v/>
      </c>
      <c r="X23" t="str">
        <f t="shared" si="1"/>
        <v/>
      </c>
      <c r="Y23" t="str">
        <f t="shared" si="2"/>
        <v/>
      </c>
    </row>
    <row r="24" spans="1:25" x14ac:dyDescent="0.25">
      <c r="A24">
        <v>23</v>
      </c>
      <c r="B24">
        <v>23</v>
      </c>
      <c r="C24" t="s">
        <v>87</v>
      </c>
      <c r="D24" t="s">
        <v>88</v>
      </c>
      <c r="E24" t="s">
        <v>23</v>
      </c>
      <c r="F24" t="s">
        <v>89</v>
      </c>
      <c r="G24" t="s">
        <v>25</v>
      </c>
      <c r="H24" t="s">
        <v>26</v>
      </c>
      <c r="I24" s="1">
        <v>42053</v>
      </c>
      <c r="J24" t="s">
        <v>87</v>
      </c>
      <c r="K24" t="s">
        <v>23</v>
      </c>
      <c r="L24">
        <v>5</v>
      </c>
      <c r="M24">
        <v>5</v>
      </c>
      <c r="N24">
        <v>25</v>
      </c>
      <c r="O24">
        <v>25</v>
      </c>
      <c r="P24">
        <v>0.625</v>
      </c>
      <c r="Q24">
        <v>125</v>
      </c>
      <c r="R24">
        <v>500</v>
      </c>
      <c r="S24">
        <v>20</v>
      </c>
      <c r="T24">
        <v>20</v>
      </c>
      <c r="U24" t="s">
        <v>88</v>
      </c>
      <c r="V24" s="3" t="s">
        <v>33</v>
      </c>
      <c r="W24" t="str">
        <f t="shared" si="0"/>
        <v/>
      </c>
      <c r="X24" t="str">
        <f t="shared" si="1"/>
        <v/>
      </c>
      <c r="Y24" t="str">
        <f t="shared" si="2"/>
        <v/>
      </c>
    </row>
    <row r="25" spans="1:25" x14ac:dyDescent="0.25">
      <c r="A25">
        <v>24</v>
      </c>
      <c r="B25">
        <v>24</v>
      </c>
      <c r="C25" t="s">
        <v>90</v>
      </c>
      <c r="D25" t="s">
        <v>88</v>
      </c>
      <c r="E25" t="s">
        <v>36</v>
      </c>
      <c r="F25" t="s">
        <v>91</v>
      </c>
      <c r="G25" t="s">
        <v>25</v>
      </c>
      <c r="H25" t="s">
        <v>26</v>
      </c>
      <c r="I25" s="1">
        <v>42978</v>
      </c>
      <c r="J25" t="s">
        <v>90</v>
      </c>
      <c r="K25" t="s">
        <v>36</v>
      </c>
      <c r="L25">
        <v>2.5</v>
      </c>
      <c r="M25">
        <v>2.5</v>
      </c>
      <c r="N25">
        <v>6.25</v>
      </c>
      <c r="O25">
        <v>5</v>
      </c>
      <c r="P25">
        <v>0.5</v>
      </c>
      <c r="Q25">
        <v>20</v>
      </c>
      <c r="R25">
        <v>500</v>
      </c>
      <c r="S25">
        <v>80</v>
      </c>
      <c r="T25">
        <v>100</v>
      </c>
      <c r="U25" t="s">
        <v>88</v>
      </c>
      <c r="V25" s="3" t="s">
        <v>92</v>
      </c>
      <c r="W25" t="str">
        <f t="shared" si="0"/>
        <v/>
      </c>
      <c r="X25" t="str">
        <f t="shared" si="1"/>
        <v/>
      </c>
      <c r="Y25" t="str">
        <f t="shared" si="2"/>
        <v/>
      </c>
    </row>
    <row r="26" spans="1:25" x14ac:dyDescent="0.25">
      <c r="A26">
        <v>25</v>
      </c>
      <c r="B26">
        <v>25</v>
      </c>
      <c r="C26" t="s">
        <v>93</v>
      </c>
      <c r="D26" t="s">
        <v>88</v>
      </c>
      <c r="E26" t="s">
        <v>36</v>
      </c>
      <c r="F26" t="s">
        <v>94</v>
      </c>
      <c r="G26" t="s">
        <v>25</v>
      </c>
      <c r="H26" t="s">
        <v>26</v>
      </c>
      <c r="I26" s="1">
        <v>42978</v>
      </c>
      <c r="J26" t="s">
        <v>93</v>
      </c>
      <c r="K26" t="s">
        <v>36</v>
      </c>
      <c r="L26">
        <v>2.5</v>
      </c>
      <c r="M26">
        <v>2.5</v>
      </c>
      <c r="N26">
        <v>6.25</v>
      </c>
      <c r="O26">
        <v>5</v>
      </c>
      <c r="P26">
        <v>0.5</v>
      </c>
      <c r="Q26">
        <v>20</v>
      </c>
      <c r="R26">
        <v>500</v>
      </c>
      <c r="S26">
        <v>80</v>
      </c>
      <c r="T26">
        <v>100</v>
      </c>
      <c r="U26" t="s">
        <v>88</v>
      </c>
      <c r="V26" s="3" t="s">
        <v>92</v>
      </c>
      <c r="W26" t="str">
        <f t="shared" si="0"/>
        <v/>
      </c>
      <c r="X26" t="str">
        <f t="shared" si="1"/>
        <v/>
      </c>
      <c r="Y26" t="str">
        <f t="shared" si="2"/>
        <v/>
      </c>
    </row>
    <row r="27" spans="1:25" x14ac:dyDescent="0.25">
      <c r="A27">
        <v>26</v>
      </c>
      <c r="B27">
        <v>26</v>
      </c>
      <c r="C27" t="s">
        <v>95</v>
      </c>
      <c r="D27" t="s">
        <v>76</v>
      </c>
      <c r="E27" t="s">
        <v>36</v>
      </c>
      <c r="F27" t="s">
        <v>96</v>
      </c>
      <c r="G27" t="s">
        <v>45</v>
      </c>
      <c r="H27" t="s">
        <v>52</v>
      </c>
      <c r="I27" s="1">
        <v>43277</v>
      </c>
      <c r="J27" t="s">
        <v>95</v>
      </c>
      <c r="K27" t="s">
        <v>36</v>
      </c>
      <c r="L27">
        <v>19</v>
      </c>
      <c r="M27">
        <v>10</v>
      </c>
      <c r="N27">
        <v>190</v>
      </c>
      <c r="O27">
        <v>108.25</v>
      </c>
      <c r="P27">
        <v>10.824999999999999</v>
      </c>
      <c r="Q27">
        <v>433</v>
      </c>
      <c r="R27">
        <v>10825</v>
      </c>
      <c r="S27">
        <v>56.973684210526301</v>
      </c>
      <c r="T27">
        <v>100</v>
      </c>
      <c r="U27" t="s">
        <v>76</v>
      </c>
      <c r="V27" s="3" t="s">
        <v>92</v>
      </c>
      <c r="W27" t="str">
        <f t="shared" si="0"/>
        <v/>
      </c>
      <c r="X27" t="str">
        <f t="shared" si="1"/>
        <v/>
      </c>
      <c r="Y27" t="str">
        <f t="shared" si="2"/>
        <v/>
      </c>
    </row>
    <row r="28" spans="1:25" x14ac:dyDescent="0.25">
      <c r="A28">
        <v>27</v>
      </c>
      <c r="B28">
        <v>27</v>
      </c>
      <c r="C28" t="s">
        <v>97</v>
      </c>
      <c r="D28" t="s">
        <v>76</v>
      </c>
      <c r="E28" t="s">
        <v>36</v>
      </c>
      <c r="F28" t="s">
        <v>98</v>
      </c>
      <c r="G28" t="s">
        <v>45</v>
      </c>
      <c r="H28" t="s">
        <v>52</v>
      </c>
      <c r="I28" s="1">
        <v>43625</v>
      </c>
      <c r="J28" t="s">
        <v>97</v>
      </c>
      <c r="K28" t="s">
        <v>36</v>
      </c>
      <c r="L28">
        <v>27</v>
      </c>
      <c r="M28">
        <v>10</v>
      </c>
      <c r="N28">
        <v>270</v>
      </c>
      <c r="O28">
        <v>164</v>
      </c>
      <c r="P28">
        <v>16.399999999999999</v>
      </c>
      <c r="Q28">
        <v>656</v>
      </c>
      <c r="R28">
        <v>16400</v>
      </c>
      <c r="S28">
        <v>60.740740740740698</v>
      </c>
      <c r="T28">
        <v>100</v>
      </c>
      <c r="U28" t="s">
        <v>76</v>
      </c>
      <c r="V28" s="3" t="s">
        <v>60</v>
      </c>
      <c r="W28" t="str">
        <f t="shared" si="0"/>
        <v/>
      </c>
      <c r="X28" t="str">
        <f t="shared" si="1"/>
        <v/>
      </c>
      <c r="Y28" t="str">
        <f t="shared" si="2"/>
        <v/>
      </c>
    </row>
    <row r="29" spans="1:25" x14ac:dyDescent="0.25">
      <c r="A29">
        <v>28</v>
      </c>
      <c r="B29">
        <v>28</v>
      </c>
      <c r="C29" t="s">
        <v>99</v>
      </c>
      <c r="D29" t="s">
        <v>31</v>
      </c>
      <c r="E29" t="s">
        <v>23</v>
      </c>
      <c r="F29" t="s">
        <v>100</v>
      </c>
      <c r="G29" t="s">
        <v>25</v>
      </c>
      <c r="H29" t="s">
        <v>26</v>
      </c>
      <c r="I29" s="1">
        <v>42061</v>
      </c>
      <c r="J29" t="s">
        <v>99</v>
      </c>
      <c r="K29" t="s">
        <v>23</v>
      </c>
      <c r="L29">
        <v>5</v>
      </c>
      <c r="M29">
        <v>5</v>
      </c>
      <c r="N29">
        <v>25</v>
      </c>
      <c r="O29">
        <v>25</v>
      </c>
      <c r="P29">
        <v>0.625</v>
      </c>
      <c r="Q29">
        <v>125</v>
      </c>
      <c r="R29">
        <v>500</v>
      </c>
      <c r="S29">
        <v>20</v>
      </c>
      <c r="T29">
        <v>20</v>
      </c>
      <c r="U29" t="s">
        <v>31</v>
      </c>
      <c r="V29" s="3" t="s">
        <v>33</v>
      </c>
      <c r="W29" t="str">
        <f t="shared" si="0"/>
        <v/>
      </c>
      <c r="X29" t="str">
        <f t="shared" si="1"/>
        <v/>
      </c>
      <c r="Y29" t="str">
        <f t="shared" si="2"/>
        <v/>
      </c>
    </row>
    <row r="30" spans="1:25" x14ac:dyDescent="0.25">
      <c r="A30">
        <v>29</v>
      </c>
      <c r="B30">
        <v>29</v>
      </c>
      <c r="C30" t="s">
        <v>101</v>
      </c>
      <c r="D30" t="s">
        <v>102</v>
      </c>
      <c r="E30" t="s">
        <v>103</v>
      </c>
      <c r="F30" t="s">
        <v>104</v>
      </c>
      <c r="G30" t="s">
        <v>45</v>
      </c>
      <c r="H30" t="s">
        <v>26</v>
      </c>
      <c r="I30" s="1">
        <v>42481</v>
      </c>
      <c r="J30" t="s">
        <v>101</v>
      </c>
      <c r="K30" t="s">
        <v>103</v>
      </c>
      <c r="L30">
        <v>25</v>
      </c>
      <c r="M30">
        <v>5</v>
      </c>
      <c r="N30">
        <v>125</v>
      </c>
      <c r="O30">
        <v>75</v>
      </c>
      <c r="P30">
        <v>9.75</v>
      </c>
      <c r="Q30">
        <v>156</v>
      </c>
      <c r="R30">
        <v>780</v>
      </c>
      <c r="S30">
        <v>6.24</v>
      </c>
      <c r="T30">
        <v>10.4</v>
      </c>
      <c r="U30" t="s">
        <v>102</v>
      </c>
      <c r="V30" s="3" t="s">
        <v>46</v>
      </c>
      <c r="W30" t="str">
        <f t="shared" si="0"/>
        <v/>
      </c>
      <c r="X30" t="str">
        <f t="shared" si="1"/>
        <v/>
      </c>
      <c r="Y30" t="str">
        <f t="shared" si="2"/>
        <v/>
      </c>
    </row>
    <row r="31" spans="1:25" x14ac:dyDescent="0.25">
      <c r="A31">
        <v>30</v>
      </c>
      <c r="B31">
        <v>30</v>
      </c>
      <c r="C31" t="s">
        <v>105</v>
      </c>
      <c r="D31" t="s">
        <v>102</v>
      </c>
      <c r="E31" t="s">
        <v>103</v>
      </c>
      <c r="F31" t="s">
        <v>106</v>
      </c>
      <c r="G31" t="s">
        <v>51</v>
      </c>
      <c r="H31" t="s">
        <v>52</v>
      </c>
      <c r="I31" s="1">
        <v>42535</v>
      </c>
      <c r="J31" t="s">
        <v>105</v>
      </c>
      <c r="K31" t="s">
        <v>103</v>
      </c>
      <c r="L31">
        <v>35</v>
      </c>
      <c r="M31">
        <v>6</v>
      </c>
      <c r="N31">
        <v>210</v>
      </c>
      <c r="O31">
        <v>50.4</v>
      </c>
      <c r="P31">
        <v>78.75</v>
      </c>
      <c r="Q31">
        <v>1260</v>
      </c>
      <c r="R31">
        <v>20850</v>
      </c>
      <c r="S31">
        <v>99.285714285714306</v>
      </c>
      <c r="T31">
        <v>413.69047619047598</v>
      </c>
      <c r="U31" t="s">
        <v>102</v>
      </c>
      <c r="V31" s="3" t="s">
        <v>46</v>
      </c>
      <c r="W31" t="str">
        <f t="shared" si="0"/>
        <v/>
      </c>
      <c r="X31" t="str">
        <f t="shared" si="1"/>
        <v/>
      </c>
      <c r="Y31" t="str">
        <f t="shared" si="2"/>
        <v/>
      </c>
    </row>
    <row r="32" spans="1:25" x14ac:dyDescent="0.25">
      <c r="A32">
        <v>31</v>
      </c>
      <c r="B32">
        <v>31</v>
      </c>
      <c r="C32" t="s">
        <v>107</v>
      </c>
      <c r="D32" t="s">
        <v>102</v>
      </c>
      <c r="E32" t="s">
        <v>43</v>
      </c>
      <c r="F32" t="s">
        <v>108</v>
      </c>
      <c r="G32" t="s">
        <v>25</v>
      </c>
      <c r="H32" t="s">
        <v>26</v>
      </c>
      <c r="I32" s="1">
        <v>42933</v>
      </c>
      <c r="J32" t="s">
        <v>107</v>
      </c>
      <c r="K32" t="s">
        <v>43</v>
      </c>
      <c r="L32">
        <v>10</v>
      </c>
      <c r="M32">
        <v>1</v>
      </c>
      <c r="N32">
        <v>10</v>
      </c>
      <c r="O32">
        <v>6</v>
      </c>
      <c r="P32">
        <v>1.67</v>
      </c>
      <c r="Q32">
        <v>167</v>
      </c>
      <c r="R32">
        <v>1172</v>
      </c>
      <c r="S32">
        <v>117.2</v>
      </c>
      <c r="T32">
        <v>195.333333333333</v>
      </c>
      <c r="U32" t="s">
        <v>102</v>
      </c>
      <c r="V32" s="3" t="s">
        <v>46</v>
      </c>
      <c r="W32" t="str">
        <f t="shared" si="0"/>
        <v/>
      </c>
      <c r="X32" t="str">
        <f t="shared" si="1"/>
        <v/>
      </c>
      <c r="Y32" t="str">
        <f t="shared" si="2"/>
        <v/>
      </c>
    </row>
    <row r="33" spans="1:25" x14ac:dyDescent="0.25">
      <c r="A33">
        <v>32</v>
      </c>
      <c r="B33">
        <v>32</v>
      </c>
      <c r="C33" t="s">
        <v>109</v>
      </c>
      <c r="D33" t="s">
        <v>102</v>
      </c>
      <c r="E33" t="s">
        <v>43</v>
      </c>
      <c r="F33" t="s">
        <v>110</v>
      </c>
      <c r="G33" t="s">
        <v>25</v>
      </c>
      <c r="H33" t="s">
        <v>26</v>
      </c>
      <c r="I33" s="1">
        <v>42933</v>
      </c>
      <c r="J33" t="s">
        <v>109</v>
      </c>
      <c r="K33" t="s">
        <v>43</v>
      </c>
      <c r="L33">
        <v>10</v>
      </c>
      <c r="M33">
        <v>1</v>
      </c>
      <c r="N33">
        <v>10</v>
      </c>
      <c r="O33">
        <v>6</v>
      </c>
      <c r="P33">
        <v>1.45</v>
      </c>
      <c r="Q33">
        <v>145</v>
      </c>
      <c r="R33">
        <v>1015</v>
      </c>
      <c r="S33">
        <v>101.5</v>
      </c>
      <c r="T33">
        <v>169.166666666667</v>
      </c>
      <c r="U33" t="s">
        <v>102</v>
      </c>
      <c r="V33" s="3" t="s">
        <v>46</v>
      </c>
      <c r="W33" t="str">
        <f t="shared" si="0"/>
        <v/>
      </c>
      <c r="X33" t="str">
        <f t="shared" si="1"/>
        <v/>
      </c>
      <c r="Y33" t="str">
        <f t="shared" si="2"/>
        <v/>
      </c>
    </row>
    <row r="34" spans="1:25" x14ac:dyDescent="0.25">
      <c r="A34">
        <v>33</v>
      </c>
      <c r="B34">
        <v>33</v>
      </c>
      <c r="C34" t="s">
        <v>99</v>
      </c>
      <c r="D34" t="s">
        <v>66</v>
      </c>
      <c r="E34" t="s">
        <v>36</v>
      </c>
      <c r="F34" t="s">
        <v>111</v>
      </c>
      <c r="G34" t="s">
        <v>25</v>
      </c>
      <c r="H34" t="s">
        <v>26</v>
      </c>
      <c r="I34" s="1">
        <v>43279</v>
      </c>
      <c r="J34" t="s">
        <v>99</v>
      </c>
      <c r="K34" t="s">
        <v>36</v>
      </c>
      <c r="L34">
        <v>5</v>
      </c>
      <c r="M34">
        <v>0.5</v>
      </c>
      <c r="N34">
        <v>2.5</v>
      </c>
      <c r="O34">
        <v>2.75</v>
      </c>
      <c r="P34">
        <v>0.27500000000000002</v>
      </c>
      <c r="Q34">
        <v>11</v>
      </c>
      <c r="R34">
        <v>275</v>
      </c>
      <c r="S34">
        <v>110</v>
      </c>
      <c r="T34">
        <v>100</v>
      </c>
      <c r="U34" t="s">
        <v>66</v>
      </c>
      <c r="V34" s="3" t="s">
        <v>112</v>
      </c>
      <c r="W34" t="str">
        <f t="shared" si="0"/>
        <v/>
      </c>
      <c r="X34" t="str">
        <f t="shared" si="1"/>
        <v/>
      </c>
      <c r="Y34" t="str">
        <f t="shared" si="2"/>
        <v/>
      </c>
    </row>
    <row r="35" spans="1:25" x14ac:dyDescent="0.25">
      <c r="A35">
        <v>34</v>
      </c>
      <c r="B35">
        <v>34</v>
      </c>
      <c r="C35" t="s">
        <v>107</v>
      </c>
      <c r="D35" t="s">
        <v>66</v>
      </c>
      <c r="E35" t="s">
        <v>36</v>
      </c>
      <c r="F35" t="s">
        <v>113</v>
      </c>
      <c r="G35" t="s">
        <v>25</v>
      </c>
      <c r="H35" t="s">
        <v>26</v>
      </c>
      <c r="I35" s="1">
        <v>43279</v>
      </c>
      <c r="J35" t="s">
        <v>107</v>
      </c>
      <c r="K35" t="s">
        <v>36</v>
      </c>
      <c r="L35">
        <v>5</v>
      </c>
      <c r="M35">
        <v>0.5</v>
      </c>
      <c r="N35">
        <v>2.5</v>
      </c>
      <c r="O35">
        <v>2.25</v>
      </c>
      <c r="P35">
        <v>0.22500000000000001</v>
      </c>
      <c r="Q35">
        <v>9</v>
      </c>
      <c r="R35">
        <v>225</v>
      </c>
      <c r="S35">
        <v>90</v>
      </c>
      <c r="T35">
        <v>100</v>
      </c>
      <c r="U35" t="s">
        <v>66</v>
      </c>
      <c r="V35" s="3" t="s">
        <v>112</v>
      </c>
      <c r="W35" t="str">
        <f t="shared" si="0"/>
        <v/>
      </c>
      <c r="X35" t="str">
        <f t="shared" si="1"/>
        <v/>
      </c>
      <c r="Y35" t="str">
        <f t="shared" si="2"/>
        <v/>
      </c>
    </row>
    <row r="36" spans="1:25" x14ac:dyDescent="0.25">
      <c r="A36">
        <v>35</v>
      </c>
      <c r="B36">
        <v>35</v>
      </c>
      <c r="C36" t="s">
        <v>114</v>
      </c>
      <c r="D36" t="s">
        <v>58</v>
      </c>
      <c r="E36" t="s">
        <v>36</v>
      </c>
      <c r="F36" t="s">
        <v>115</v>
      </c>
      <c r="G36" t="s">
        <v>25</v>
      </c>
      <c r="H36" t="s">
        <v>26</v>
      </c>
      <c r="I36" s="1">
        <v>44013</v>
      </c>
      <c r="J36" t="s">
        <v>114</v>
      </c>
      <c r="K36" t="s">
        <v>36</v>
      </c>
      <c r="L36">
        <v>2.5</v>
      </c>
      <c r="M36">
        <v>2.5</v>
      </c>
      <c r="N36">
        <v>6.25</v>
      </c>
      <c r="O36">
        <v>6.25</v>
      </c>
      <c r="P36">
        <v>0.625</v>
      </c>
      <c r="Q36">
        <v>25</v>
      </c>
      <c r="R36">
        <v>625</v>
      </c>
      <c r="S36">
        <v>100</v>
      </c>
      <c r="T36">
        <v>100</v>
      </c>
      <c r="U36" t="s">
        <v>58</v>
      </c>
      <c r="V36" s="3" t="s">
        <v>60</v>
      </c>
      <c r="W36" t="str">
        <f t="shared" si="0"/>
        <v/>
      </c>
      <c r="X36" t="str">
        <f t="shared" si="1"/>
        <v/>
      </c>
      <c r="Y36" t="str">
        <f t="shared" si="2"/>
        <v/>
      </c>
    </row>
    <row r="37" spans="1:25" x14ac:dyDescent="0.25">
      <c r="A37">
        <v>36</v>
      </c>
      <c r="B37">
        <v>36</v>
      </c>
      <c r="C37" t="s">
        <v>116</v>
      </c>
      <c r="D37" t="s">
        <v>58</v>
      </c>
      <c r="E37" t="s">
        <v>36</v>
      </c>
      <c r="F37" t="s">
        <v>117</v>
      </c>
      <c r="G37" t="s">
        <v>25</v>
      </c>
      <c r="H37" t="s">
        <v>26</v>
      </c>
      <c r="I37" s="1">
        <v>44013</v>
      </c>
      <c r="J37" t="s">
        <v>116</v>
      </c>
      <c r="K37" t="s">
        <v>36</v>
      </c>
      <c r="L37">
        <v>3</v>
      </c>
      <c r="M37">
        <v>2.5</v>
      </c>
      <c r="N37">
        <v>7.5</v>
      </c>
      <c r="O37">
        <v>6.75</v>
      </c>
      <c r="P37">
        <v>0.67500000000000004</v>
      </c>
      <c r="Q37">
        <v>27</v>
      </c>
      <c r="R37">
        <v>692</v>
      </c>
      <c r="S37">
        <v>92.266666666666694</v>
      </c>
      <c r="T37">
        <v>102.518518518519</v>
      </c>
      <c r="U37" t="s">
        <v>58</v>
      </c>
      <c r="V37" s="3" t="s">
        <v>60</v>
      </c>
      <c r="W37" t="str">
        <f t="shared" si="0"/>
        <v/>
      </c>
      <c r="X37" t="str">
        <f t="shared" si="1"/>
        <v/>
      </c>
      <c r="Y37" t="str">
        <f t="shared" si="2"/>
        <v/>
      </c>
    </row>
    <row r="38" spans="1:25" x14ac:dyDescent="0.25">
      <c r="A38">
        <v>37</v>
      </c>
      <c r="B38">
        <v>37</v>
      </c>
      <c r="C38" t="s">
        <v>118</v>
      </c>
      <c r="D38" t="s">
        <v>119</v>
      </c>
      <c r="E38" t="s">
        <v>36</v>
      </c>
      <c r="F38" t="s">
        <v>120</v>
      </c>
      <c r="G38" t="s">
        <v>25</v>
      </c>
      <c r="H38" t="s">
        <v>52</v>
      </c>
      <c r="I38" s="1">
        <v>44350</v>
      </c>
      <c r="J38" t="s">
        <v>118</v>
      </c>
      <c r="K38" t="s">
        <v>36</v>
      </c>
      <c r="L38">
        <v>50</v>
      </c>
      <c r="M38">
        <v>5</v>
      </c>
      <c r="N38">
        <v>250</v>
      </c>
      <c r="O38">
        <v>149.25</v>
      </c>
      <c r="P38">
        <v>14.925000000000001</v>
      </c>
      <c r="Q38">
        <v>597</v>
      </c>
      <c r="R38">
        <v>12305</v>
      </c>
      <c r="S38">
        <v>49.22</v>
      </c>
      <c r="T38">
        <v>82.445561139028499</v>
      </c>
      <c r="U38" t="s">
        <v>119</v>
      </c>
      <c r="V38" s="3" t="s">
        <v>60</v>
      </c>
      <c r="W38" t="str">
        <f t="shared" si="0"/>
        <v/>
      </c>
      <c r="X38" t="str">
        <f t="shared" si="1"/>
        <v/>
      </c>
      <c r="Y38" t="str">
        <f t="shared" si="2"/>
        <v/>
      </c>
    </row>
    <row r="39" spans="1:25" x14ac:dyDescent="0.25">
      <c r="A39">
        <v>38</v>
      </c>
      <c r="B39">
        <v>38</v>
      </c>
      <c r="C39" t="s">
        <v>121</v>
      </c>
      <c r="D39" t="s">
        <v>66</v>
      </c>
      <c r="E39" t="s">
        <v>36</v>
      </c>
      <c r="F39" t="s">
        <v>122</v>
      </c>
      <c r="G39" t="s">
        <v>25</v>
      </c>
      <c r="H39" t="s">
        <v>26</v>
      </c>
      <c r="I39" s="1">
        <v>44370</v>
      </c>
      <c r="J39" t="s">
        <v>121</v>
      </c>
      <c r="K39" t="s">
        <v>36</v>
      </c>
      <c r="L39">
        <v>1.5</v>
      </c>
      <c r="M39">
        <v>1</v>
      </c>
      <c r="N39">
        <v>1.5</v>
      </c>
      <c r="O39">
        <v>4.5</v>
      </c>
      <c r="P39">
        <v>0.45</v>
      </c>
      <c r="Q39">
        <v>18</v>
      </c>
      <c r="R39">
        <v>270</v>
      </c>
      <c r="S39">
        <v>180</v>
      </c>
      <c r="T39">
        <v>60</v>
      </c>
      <c r="U39" t="s">
        <v>66</v>
      </c>
      <c r="V39" s="3" t="s">
        <v>112</v>
      </c>
      <c r="W39" t="str">
        <f t="shared" si="0"/>
        <v/>
      </c>
      <c r="X39" t="str">
        <f t="shared" si="1"/>
        <v/>
      </c>
      <c r="Y39" t="str">
        <f t="shared" si="2"/>
        <v/>
      </c>
    </row>
    <row r="40" spans="1:25" x14ac:dyDescent="0.25">
      <c r="A40">
        <v>39</v>
      </c>
      <c r="B40">
        <v>39</v>
      </c>
      <c r="C40" t="s">
        <v>123</v>
      </c>
      <c r="D40" t="s">
        <v>66</v>
      </c>
      <c r="E40" t="s">
        <v>36</v>
      </c>
      <c r="F40" t="s">
        <v>124</v>
      </c>
      <c r="G40" t="s">
        <v>25</v>
      </c>
      <c r="H40" t="s">
        <v>26</v>
      </c>
      <c r="I40" s="1">
        <v>44370</v>
      </c>
      <c r="J40" t="s">
        <v>123</v>
      </c>
      <c r="K40" t="s">
        <v>36</v>
      </c>
      <c r="L40">
        <v>1</v>
      </c>
      <c r="M40">
        <v>1</v>
      </c>
      <c r="N40">
        <v>1</v>
      </c>
      <c r="O40">
        <v>3</v>
      </c>
      <c r="P40">
        <v>0.3</v>
      </c>
      <c r="Q40">
        <v>12</v>
      </c>
      <c r="R40">
        <v>180</v>
      </c>
      <c r="S40">
        <v>180</v>
      </c>
      <c r="T40">
        <v>60</v>
      </c>
      <c r="U40" t="s">
        <v>66</v>
      </c>
      <c r="V40" s="3" t="s">
        <v>112</v>
      </c>
      <c r="W40" t="str">
        <f t="shared" si="0"/>
        <v/>
      </c>
      <c r="X40" t="str">
        <f t="shared" si="1"/>
        <v/>
      </c>
      <c r="Y40" t="str">
        <f t="shared" si="2"/>
        <v/>
      </c>
    </row>
    <row r="41" spans="1:25" x14ac:dyDescent="0.25">
      <c r="A41">
        <v>40</v>
      </c>
      <c r="B41">
        <v>40</v>
      </c>
      <c r="C41" t="s">
        <v>125</v>
      </c>
      <c r="D41" t="s">
        <v>76</v>
      </c>
      <c r="E41" t="s">
        <v>36</v>
      </c>
      <c r="F41" t="s">
        <v>126</v>
      </c>
      <c r="G41" t="s">
        <v>25</v>
      </c>
      <c r="H41" t="s">
        <v>26</v>
      </c>
      <c r="I41" s="1">
        <v>44018</v>
      </c>
      <c r="J41" t="s">
        <v>125</v>
      </c>
      <c r="K41" t="s">
        <v>36</v>
      </c>
      <c r="L41">
        <v>3.5</v>
      </c>
      <c r="M41">
        <v>3.5</v>
      </c>
      <c r="N41">
        <v>12.25</v>
      </c>
      <c r="O41">
        <v>1.5</v>
      </c>
      <c r="P41">
        <v>0.45</v>
      </c>
      <c r="Q41">
        <v>18</v>
      </c>
      <c r="R41">
        <v>300</v>
      </c>
      <c r="S41">
        <v>24.4897959183673</v>
      </c>
      <c r="T41">
        <v>200</v>
      </c>
      <c r="U41" t="s">
        <v>76</v>
      </c>
      <c r="V41" s="3" t="s">
        <v>127</v>
      </c>
      <c r="W41" t="str">
        <f t="shared" si="0"/>
        <v/>
      </c>
      <c r="X41" t="str">
        <f t="shared" si="1"/>
        <v/>
      </c>
      <c r="Y41" t="str">
        <f t="shared" si="2"/>
        <v/>
      </c>
    </row>
    <row r="42" spans="1:25" x14ac:dyDescent="0.25">
      <c r="A42">
        <v>41</v>
      </c>
      <c r="B42">
        <v>41</v>
      </c>
      <c r="C42" t="s">
        <v>128</v>
      </c>
      <c r="D42" t="s">
        <v>76</v>
      </c>
      <c r="E42" t="s">
        <v>36</v>
      </c>
      <c r="F42" t="s">
        <v>129</v>
      </c>
      <c r="G42" t="s">
        <v>25</v>
      </c>
      <c r="H42" t="s">
        <v>26</v>
      </c>
      <c r="I42" s="1">
        <v>44314</v>
      </c>
      <c r="J42" t="s">
        <v>128</v>
      </c>
      <c r="K42" t="s">
        <v>36</v>
      </c>
      <c r="L42">
        <v>3.5</v>
      </c>
      <c r="M42">
        <v>3.5</v>
      </c>
      <c r="N42">
        <v>12.25</v>
      </c>
      <c r="O42">
        <v>1</v>
      </c>
      <c r="P42">
        <v>0.3</v>
      </c>
      <c r="Q42">
        <v>12</v>
      </c>
      <c r="R42">
        <v>300</v>
      </c>
      <c r="S42">
        <v>24.4897959183673</v>
      </c>
      <c r="T42">
        <v>300</v>
      </c>
      <c r="U42" t="s">
        <v>76</v>
      </c>
      <c r="V42" s="3" t="s">
        <v>127</v>
      </c>
      <c r="W42" t="str">
        <f t="shared" si="0"/>
        <v/>
      </c>
      <c r="X42" t="str">
        <f t="shared" si="1"/>
        <v/>
      </c>
      <c r="Y42" t="str">
        <f t="shared" si="2"/>
        <v/>
      </c>
    </row>
    <row r="43" spans="1:25" x14ac:dyDescent="0.25">
      <c r="A43">
        <v>42</v>
      </c>
      <c r="B43">
        <v>42</v>
      </c>
      <c r="C43" t="s">
        <v>128</v>
      </c>
      <c r="D43" t="s">
        <v>66</v>
      </c>
      <c r="E43" t="s">
        <v>36</v>
      </c>
      <c r="F43" t="s">
        <v>130</v>
      </c>
      <c r="G43" t="s">
        <v>25</v>
      </c>
      <c r="H43" t="s">
        <v>26</v>
      </c>
      <c r="I43" s="1">
        <v>44329</v>
      </c>
      <c r="J43" t="s">
        <v>128</v>
      </c>
      <c r="K43" t="s">
        <v>36</v>
      </c>
      <c r="L43">
        <v>3.5</v>
      </c>
      <c r="M43">
        <v>0.5</v>
      </c>
      <c r="N43">
        <v>1.75</v>
      </c>
      <c r="O43">
        <v>0.75</v>
      </c>
      <c r="P43">
        <v>0.22500000000000001</v>
      </c>
      <c r="Q43">
        <v>9</v>
      </c>
      <c r="R43">
        <v>180</v>
      </c>
      <c r="S43">
        <v>102.857142857143</v>
      </c>
      <c r="T43">
        <v>240</v>
      </c>
      <c r="U43" t="s">
        <v>66</v>
      </c>
      <c r="V43" s="3" t="s">
        <v>127</v>
      </c>
      <c r="W43" t="str">
        <f t="shared" si="0"/>
        <v/>
      </c>
      <c r="X43" t="str">
        <f t="shared" si="1"/>
        <v/>
      </c>
      <c r="Y43" t="str">
        <f t="shared" si="2"/>
        <v/>
      </c>
    </row>
    <row r="44" spans="1:25" x14ac:dyDescent="0.25">
      <c r="A44">
        <v>43</v>
      </c>
      <c r="B44">
        <v>43</v>
      </c>
      <c r="C44" t="s">
        <v>128</v>
      </c>
      <c r="D44" t="s">
        <v>66</v>
      </c>
      <c r="E44" t="s">
        <v>36</v>
      </c>
      <c r="F44" t="s">
        <v>131</v>
      </c>
      <c r="G44" t="s">
        <v>25</v>
      </c>
      <c r="H44" t="s">
        <v>26</v>
      </c>
      <c r="I44" s="1">
        <v>44342</v>
      </c>
      <c r="J44" t="s">
        <v>128</v>
      </c>
      <c r="K44" t="s">
        <v>36</v>
      </c>
      <c r="L44">
        <v>3.5</v>
      </c>
      <c r="M44">
        <v>0.5</v>
      </c>
      <c r="N44">
        <v>1.75</v>
      </c>
      <c r="O44">
        <v>0.75</v>
      </c>
      <c r="P44">
        <v>0.22500000000000001</v>
      </c>
      <c r="Q44">
        <v>9</v>
      </c>
      <c r="R44">
        <v>180</v>
      </c>
      <c r="S44">
        <v>102.857142857143</v>
      </c>
      <c r="T44">
        <v>240</v>
      </c>
      <c r="U44" t="s">
        <v>66</v>
      </c>
      <c r="V44" s="3" t="s">
        <v>127</v>
      </c>
      <c r="W44" t="str">
        <f t="shared" si="0"/>
        <v/>
      </c>
      <c r="X44" t="str">
        <f t="shared" si="1"/>
        <v/>
      </c>
      <c r="Y44" t="str">
        <f t="shared" si="2"/>
        <v/>
      </c>
    </row>
    <row r="45" spans="1:25" x14ac:dyDescent="0.25">
      <c r="A45">
        <v>44</v>
      </c>
      <c r="B45">
        <v>44</v>
      </c>
      <c r="C45" t="s">
        <v>128</v>
      </c>
      <c r="D45" t="s">
        <v>66</v>
      </c>
      <c r="E45" t="s">
        <v>36</v>
      </c>
      <c r="F45" t="s">
        <v>132</v>
      </c>
      <c r="G45" t="s">
        <v>25</v>
      </c>
      <c r="H45" t="s">
        <v>26</v>
      </c>
      <c r="I45" s="1">
        <v>44373</v>
      </c>
      <c r="J45" t="s">
        <v>128</v>
      </c>
      <c r="K45" t="s">
        <v>36</v>
      </c>
      <c r="L45">
        <v>3.5</v>
      </c>
      <c r="M45">
        <v>2</v>
      </c>
      <c r="N45">
        <v>7</v>
      </c>
      <c r="O45">
        <v>1.5</v>
      </c>
      <c r="P45">
        <v>0.45</v>
      </c>
      <c r="Q45">
        <v>18</v>
      </c>
      <c r="R45">
        <v>270</v>
      </c>
      <c r="S45">
        <v>38.571428571428598</v>
      </c>
      <c r="T45">
        <v>180</v>
      </c>
      <c r="U45" t="s">
        <v>66</v>
      </c>
      <c r="V45" s="3" t="s">
        <v>127</v>
      </c>
      <c r="W45" t="str">
        <f t="shared" si="0"/>
        <v/>
      </c>
      <c r="X45" t="str">
        <f t="shared" si="1"/>
        <v/>
      </c>
      <c r="Y45" t="str">
        <f t="shared" si="2"/>
        <v/>
      </c>
    </row>
    <row r="46" spans="1:25" x14ac:dyDescent="0.25">
      <c r="A46">
        <v>45</v>
      </c>
      <c r="B46">
        <v>45</v>
      </c>
      <c r="C46" t="s">
        <v>133</v>
      </c>
      <c r="D46" t="s">
        <v>66</v>
      </c>
      <c r="E46" t="s">
        <v>36</v>
      </c>
      <c r="F46" t="s">
        <v>134</v>
      </c>
      <c r="G46" t="s">
        <v>25</v>
      </c>
      <c r="H46" t="s">
        <v>26</v>
      </c>
      <c r="I46" s="1">
        <v>44728</v>
      </c>
      <c r="J46" t="s">
        <v>133</v>
      </c>
      <c r="K46" t="s">
        <v>36</v>
      </c>
      <c r="L46">
        <v>10</v>
      </c>
      <c r="M46">
        <v>1</v>
      </c>
      <c r="N46">
        <v>10</v>
      </c>
      <c r="O46">
        <v>5</v>
      </c>
      <c r="P46">
        <v>1.5</v>
      </c>
      <c r="Q46">
        <v>60</v>
      </c>
      <c r="R46">
        <v>720</v>
      </c>
      <c r="S46">
        <v>72</v>
      </c>
      <c r="T46">
        <v>144</v>
      </c>
      <c r="U46" t="s">
        <v>66</v>
      </c>
      <c r="V46" s="3" t="s">
        <v>127</v>
      </c>
      <c r="W46" t="str">
        <f t="shared" si="0"/>
        <v/>
      </c>
      <c r="X46" t="str">
        <f t="shared" si="1"/>
        <v/>
      </c>
      <c r="Y46" t="str">
        <f t="shared" si="2"/>
        <v/>
      </c>
    </row>
    <row r="47" spans="1:25" x14ac:dyDescent="0.25">
      <c r="A47">
        <v>46</v>
      </c>
      <c r="B47">
        <v>46</v>
      </c>
      <c r="C47" t="s">
        <v>135</v>
      </c>
      <c r="D47" t="s">
        <v>66</v>
      </c>
      <c r="E47" t="s">
        <v>36</v>
      </c>
      <c r="F47" t="s">
        <v>136</v>
      </c>
      <c r="G47" t="s">
        <v>25</v>
      </c>
      <c r="H47" t="s">
        <v>26</v>
      </c>
      <c r="I47" s="1">
        <v>44700</v>
      </c>
      <c r="J47" t="s">
        <v>135</v>
      </c>
      <c r="K47" t="s">
        <v>36</v>
      </c>
      <c r="L47">
        <v>3</v>
      </c>
      <c r="M47">
        <v>0.5</v>
      </c>
      <c r="N47">
        <v>1.5</v>
      </c>
      <c r="O47">
        <v>5</v>
      </c>
      <c r="P47">
        <v>0.5</v>
      </c>
      <c r="Q47">
        <v>20</v>
      </c>
      <c r="R47">
        <v>400</v>
      </c>
      <c r="S47">
        <v>266.66666666666703</v>
      </c>
      <c r="T47">
        <v>80</v>
      </c>
      <c r="U47" t="s">
        <v>66</v>
      </c>
      <c r="V47" s="3" t="s">
        <v>127</v>
      </c>
      <c r="W47" t="str">
        <f t="shared" si="0"/>
        <v/>
      </c>
      <c r="X47" t="str">
        <f t="shared" si="1"/>
        <v/>
      </c>
      <c r="Y47" t="str">
        <f t="shared" si="2"/>
        <v/>
      </c>
    </row>
    <row r="48" spans="1:25" x14ac:dyDescent="0.25">
      <c r="A48">
        <v>47</v>
      </c>
      <c r="B48">
        <v>47</v>
      </c>
      <c r="C48" t="s">
        <v>137</v>
      </c>
      <c r="D48" t="s">
        <v>138</v>
      </c>
      <c r="E48" t="s">
        <v>23</v>
      </c>
      <c r="F48" t="s">
        <v>139</v>
      </c>
      <c r="G48" t="s">
        <v>25</v>
      </c>
      <c r="H48" t="s">
        <v>26</v>
      </c>
      <c r="I48" s="1">
        <v>42075</v>
      </c>
      <c r="J48" t="s">
        <v>137</v>
      </c>
      <c r="K48" t="s">
        <v>23</v>
      </c>
      <c r="L48">
        <v>5</v>
      </c>
      <c r="M48">
        <v>5</v>
      </c>
      <c r="N48">
        <v>25</v>
      </c>
      <c r="O48">
        <v>25</v>
      </c>
      <c r="P48">
        <v>0.625</v>
      </c>
      <c r="Q48">
        <v>125</v>
      </c>
      <c r="R48">
        <v>500</v>
      </c>
      <c r="S48">
        <v>20</v>
      </c>
      <c r="T48">
        <v>20</v>
      </c>
      <c r="U48" t="s">
        <v>138</v>
      </c>
      <c r="V48" s="3" t="s">
        <v>33</v>
      </c>
      <c r="W48" t="str">
        <f t="shared" si="0"/>
        <v/>
      </c>
      <c r="X48" t="str">
        <f t="shared" si="1"/>
        <v/>
      </c>
      <c r="Y48" t="str">
        <f t="shared" si="2"/>
        <v/>
      </c>
    </row>
    <row r="49" spans="1:25" x14ac:dyDescent="0.25">
      <c r="A49">
        <v>48</v>
      </c>
      <c r="B49">
        <v>48</v>
      </c>
      <c r="C49" t="s">
        <v>140</v>
      </c>
      <c r="D49" t="s">
        <v>138</v>
      </c>
      <c r="E49" t="s">
        <v>23</v>
      </c>
      <c r="F49" t="s">
        <v>141</v>
      </c>
      <c r="G49" t="s">
        <v>25</v>
      </c>
      <c r="H49" t="s">
        <v>26</v>
      </c>
      <c r="I49" s="1">
        <v>42075</v>
      </c>
      <c r="J49" t="s">
        <v>140</v>
      </c>
      <c r="K49" t="s">
        <v>23</v>
      </c>
      <c r="L49">
        <v>5</v>
      </c>
      <c r="M49">
        <v>5</v>
      </c>
      <c r="N49">
        <v>25</v>
      </c>
      <c r="O49">
        <v>25</v>
      </c>
      <c r="P49">
        <v>0.625</v>
      </c>
      <c r="Q49">
        <v>125</v>
      </c>
      <c r="R49">
        <v>500</v>
      </c>
      <c r="S49">
        <v>20</v>
      </c>
      <c r="T49">
        <v>20</v>
      </c>
      <c r="U49" t="s">
        <v>138</v>
      </c>
      <c r="V49" s="3" t="s">
        <v>33</v>
      </c>
      <c r="W49" t="str">
        <f t="shared" si="0"/>
        <v/>
      </c>
      <c r="X49" t="str">
        <f t="shared" si="1"/>
        <v/>
      </c>
      <c r="Y49" t="str">
        <f t="shared" si="2"/>
        <v/>
      </c>
    </row>
    <row r="50" spans="1:25" x14ac:dyDescent="0.25">
      <c r="A50">
        <v>49</v>
      </c>
      <c r="B50">
        <v>49</v>
      </c>
      <c r="C50" t="s">
        <v>142</v>
      </c>
      <c r="D50" t="s">
        <v>58</v>
      </c>
      <c r="E50" t="s">
        <v>36</v>
      </c>
      <c r="F50" t="s">
        <v>143</v>
      </c>
      <c r="G50" t="s">
        <v>25</v>
      </c>
      <c r="H50" t="s">
        <v>26</v>
      </c>
      <c r="I50" s="1">
        <v>44013</v>
      </c>
      <c r="J50" t="s">
        <v>142</v>
      </c>
      <c r="K50" t="s">
        <v>36</v>
      </c>
      <c r="L50">
        <v>3</v>
      </c>
      <c r="M50">
        <v>2.5</v>
      </c>
      <c r="N50">
        <v>7.5</v>
      </c>
      <c r="O50">
        <v>6.25</v>
      </c>
      <c r="P50">
        <v>0.625</v>
      </c>
      <c r="Q50">
        <v>25</v>
      </c>
      <c r="R50">
        <v>625</v>
      </c>
      <c r="S50">
        <v>83.3333333333333</v>
      </c>
      <c r="T50">
        <v>100</v>
      </c>
      <c r="U50" t="s">
        <v>58</v>
      </c>
      <c r="V50" s="3" t="s">
        <v>60</v>
      </c>
      <c r="W50" t="str">
        <f t="shared" si="0"/>
        <v/>
      </c>
      <c r="X50" t="str">
        <f t="shared" si="1"/>
        <v/>
      </c>
      <c r="Y50" t="str">
        <f t="shared" si="2"/>
        <v/>
      </c>
    </row>
    <row r="51" spans="1:25" x14ac:dyDescent="0.25">
      <c r="A51">
        <v>50</v>
      </c>
      <c r="B51">
        <v>50</v>
      </c>
      <c r="C51" t="s">
        <v>144</v>
      </c>
      <c r="D51" t="s">
        <v>145</v>
      </c>
      <c r="E51" t="s">
        <v>36</v>
      </c>
      <c r="F51" t="s">
        <v>146</v>
      </c>
      <c r="G51" t="s">
        <v>25</v>
      </c>
      <c r="H51" t="s">
        <v>26</v>
      </c>
      <c r="I51" s="1">
        <v>42593</v>
      </c>
      <c r="J51" t="s">
        <v>144</v>
      </c>
      <c r="K51" t="s">
        <v>36</v>
      </c>
      <c r="L51">
        <v>2</v>
      </c>
      <c r="M51">
        <v>2</v>
      </c>
      <c r="N51">
        <v>4</v>
      </c>
      <c r="O51">
        <v>5</v>
      </c>
      <c r="P51">
        <v>0.5</v>
      </c>
      <c r="Q51">
        <v>20</v>
      </c>
      <c r="R51">
        <v>500</v>
      </c>
      <c r="S51">
        <v>125</v>
      </c>
      <c r="T51">
        <v>100</v>
      </c>
      <c r="U51" t="s">
        <v>145</v>
      </c>
      <c r="V51" s="3" t="s">
        <v>38</v>
      </c>
      <c r="W51" t="str">
        <f t="shared" si="0"/>
        <v/>
      </c>
      <c r="X51" t="str">
        <f t="shared" si="1"/>
        <v/>
      </c>
      <c r="Y51" t="str">
        <f t="shared" si="2"/>
        <v/>
      </c>
    </row>
    <row r="52" spans="1:25" x14ac:dyDescent="0.25">
      <c r="A52">
        <v>51</v>
      </c>
      <c r="B52">
        <v>51</v>
      </c>
      <c r="C52" t="s">
        <v>147</v>
      </c>
      <c r="D52" t="s">
        <v>145</v>
      </c>
      <c r="E52" t="s">
        <v>36</v>
      </c>
      <c r="F52" t="s">
        <v>148</v>
      </c>
      <c r="G52" t="s">
        <v>25</v>
      </c>
      <c r="H52" t="s">
        <v>26</v>
      </c>
      <c r="I52" s="1">
        <v>42593</v>
      </c>
      <c r="J52" t="s">
        <v>147</v>
      </c>
      <c r="K52" t="s">
        <v>36</v>
      </c>
      <c r="L52">
        <v>2</v>
      </c>
      <c r="M52">
        <v>2</v>
      </c>
      <c r="N52">
        <v>4</v>
      </c>
      <c r="O52">
        <v>5.5</v>
      </c>
      <c r="P52">
        <v>0.55000000000000004</v>
      </c>
      <c r="Q52">
        <v>22</v>
      </c>
      <c r="R52">
        <v>550</v>
      </c>
      <c r="S52">
        <v>137.5</v>
      </c>
      <c r="T52">
        <v>100</v>
      </c>
      <c r="U52" t="s">
        <v>145</v>
      </c>
      <c r="V52" s="3" t="s">
        <v>38</v>
      </c>
      <c r="W52" t="str">
        <f t="shared" si="0"/>
        <v/>
      </c>
      <c r="X52" t="str">
        <f t="shared" si="1"/>
        <v/>
      </c>
      <c r="Y52" t="str">
        <f t="shared" si="2"/>
        <v/>
      </c>
    </row>
    <row r="53" spans="1:25" x14ac:dyDescent="0.25">
      <c r="A53">
        <v>52</v>
      </c>
      <c r="B53">
        <v>52</v>
      </c>
      <c r="C53" t="s">
        <v>149</v>
      </c>
      <c r="D53" t="s">
        <v>42</v>
      </c>
      <c r="E53" t="s">
        <v>36</v>
      </c>
      <c r="F53" t="s">
        <v>150</v>
      </c>
      <c r="G53" t="s">
        <v>25</v>
      </c>
      <c r="H53" t="s">
        <v>26</v>
      </c>
      <c r="I53" s="1">
        <v>42935</v>
      </c>
      <c r="J53" t="s">
        <v>149</v>
      </c>
      <c r="K53" t="s">
        <v>36</v>
      </c>
      <c r="L53">
        <v>1</v>
      </c>
      <c r="M53">
        <v>1</v>
      </c>
      <c r="N53">
        <v>1</v>
      </c>
      <c r="O53">
        <v>1.25</v>
      </c>
      <c r="P53">
        <v>0.125</v>
      </c>
      <c r="Q53">
        <v>5</v>
      </c>
      <c r="R53">
        <v>250</v>
      </c>
      <c r="S53">
        <v>250</v>
      </c>
      <c r="T53">
        <v>200</v>
      </c>
      <c r="U53" t="s">
        <v>42</v>
      </c>
      <c r="V53" s="3" t="s">
        <v>112</v>
      </c>
      <c r="W53" t="str">
        <f t="shared" si="0"/>
        <v/>
      </c>
      <c r="X53" t="str">
        <f t="shared" si="1"/>
        <v/>
      </c>
      <c r="Y53" t="str">
        <f t="shared" si="2"/>
        <v/>
      </c>
    </row>
    <row r="54" spans="1:25" x14ac:dyDescent="0.25">
      <c r="A54">
        <v>53</v>
      </c>
      <c r="B54">
        <v>53</v>
      </c>
      <c r="C54" t="s">
        <v>151</v>
      </c>
      <c r="D54" t="s">
        <v>42</v>
      </c>
      <c r="E54" t="s">
        <v>43</v>
      </c>
      <c r="F54" t="s">
        <v>152</v>
      </c>
      <c r="G54" t="s">
        <v>45</v>
      </c>
      <c r="H54" t="s">
        <v>26</v>
      </c>
      <c r="I54" s="1">
        <v>42935</v>
      </c>
      <c r="J54" t="s">
        <v>151</v>
      </c>
      <c r="K54" t="s">
        <v>43</v>
      </c>
      <c r="L54">
        <v>10</v>
      </c>
      <c r="M54">
        <v>1</v>
      </c>
      <c r="N54">
        <v>10</v>
      </c>
      <c r="O54">
        <v>6</v>
      </c>
      <c r="P54">
        <v>1.06</v>
      </c>
      <c r="Q54">
        <v>106</v>
      </c>
      <c r="R54">
        <v>1056</v>
      </c>
      <c r="S54">
        <v>105.6</v>
      </c>
      <c r="T54">
        <v>176</v>
      </c>
      <c r="U54" t="s">
        <v>42</v>
      </c>
      <c r="V54" s="3" t="s">
        <v>46</v>
      </c>
      <c r="W54" t="str">
        <f t="shared" si="0"/>
        <v/>
      </c>
      <c r="X54" t="str">
        <f t="shared" si="1"/>
        <v/>
      </c>
      <c r="Y54" t="str">
        <f t="shared" si="2"/>
        <v/>
      </c>
    </row>
    <row r="55" spans="1:25" x14ac:dyDescent="0.25">
      <c r="A55">
        <v>54</v>
      </c>
      <c r="B55">
        <v>54</v>
      </c>
      <c r="C55" t="s">
        <v>153</v>
      </c>
      <c r="D55" t="s">
        <v>42</v>
      </c>
      <c r="E55" t="s">
        <v>43</v>
      </c>
      <c r="F55" t="s">
        <v>154</v>
      </c>
      <c r="G55" t="s">
        <v>45</v>
      </c>
      <c r="H55" t="s">
        <v>26</v>
      </c>
      <c r="I55" s="1">
        <v>42935</v>
      </c>
      <c r="J55" t="s">
        <v>153</v>
      </c>
      <c r="K55" t="s">
        <v>43</v>
      </c>
      <c r="L55">
        <v>10</v>
      </c>
      <c r="M55">
        <v>1</v>
      </c>
      <c r="N55">
        <v>10</v>
      </c>
      <c r="O55">
        <v>6</v>
      </c>
      <c r="P55">
        <v>1.1599999999999999</v>
      </c>
      <c r="Q55">
        <v>116</v>
      </c>
      <c r="R55">
        <v>1160</v>
      </c>
      <c r="S55">
        <v>116</v>
      </c>
      <c r="T55">
        <v>193.333333333333</v>
      </c>
      <c r="U55" t="s">
        <v>42</v>
      </c>
      <c r="V55" s="3" t="s">
        <v>46</v>
      </c>
      <c r="W55" t="str">
        <f t="shared" si="0"/>
        <v/>
      </c>
      <c r="X55" t="str">
        <f t="shared" si="1"/>
        <v/>
      </c>
      <c r="Y55" t="str">
        <f t="shared" si="2"/>
        <v/>
      </c>
    </row>
    <row r="56" spans="1:25" x14ac:dyDescent="0.25">
      <c r="A56">
        <v>55</v>
      </c>
      <c r="B56">
        <v>55</v>
      </c>
      <c r="C56" t="s">
        <v>151</v>
      </c>
      <c r="D56" t="s">
        <v>66</v>
      </c>
      <c r="E56" t="s">
        <v>36</v>
      </c>
      <c r="F56" t="s">
        <v>155</v>
      </c>
      <c r="G56" t="s">
        <v>45</v>
      </c>
      <c r="H56" t="s">
        <v>26</v>
      </c>
      <c r="I56" s="1">
        <v>43263</v>
      </c>
      <c r="J56" t="s">
        <v>151</v>
      </c>
      <c r="K56" t="s">
        <v>36</v>
      </c>
      <c r="L56">
        <v>10</v>
      </c>
      <c r="M56">
        <v>0.5</v>
      </c>
      <c r="N56">
        <v>5</v>
      </c>
      <c r="O56">
        <v>2.25</v>
      </c>
      <c r="P56">
        <v>0.22500000000000001</v>
      </c>
      <c r="Q56">
        <v>9</v>
      </c>
      <c r="R56">
        <v>225</v>
      </c>
      <c r="S56">
        <v>45</v>
      </c>
      <c r="T56">
        <v>100</v>
      </c>
      <c r="U56" t="s">
        <v>66</v>
      </c>
      <c r="V56" s="3" t="s">
        <v>112</v>
      </c>
      <c r="W56" t="str">
        <f t="shared" si="0"/>
        <v/>
      </c>
      <c r="X56" t="str">
        <f t="shared" si="1"/>
        <v/>
      </c>
      <c r="Y56" t="str">
        <f t="shared" si="2"/>
        <v/>
      </c>
    </row>
    <row r="57" spans="1:25" x14ac:dyDescent="0.25">
      <c r="A57">
        <v>56</v>
      </c>
      <c r="B57">
        <v>56</v>
      </c>
      <c r="C57" t="s">
        <v>153</v>
      </c>
      <c r="D57" t="s">
        <v>66</v>
      </c>
      <c r="E57" t="s">
        <v>36</v>
      </c>
      <c r="F57" t="s">
        <v>156</v>
      </c>
      <c r="G57" t="s">
        <v>45</v>
      </c>
      <c r="H57" t="s">
        <v>26</v>
      </c>
      <c r="I57" s="1">
        <v>43263</v>
      </c>
      <c r="J57" t="s">
        <v>153</v>
      </c>
      <c r="K57" t="s">
        <v>36</v>
      </c>
      <c r="L57">
        <v>10</v>
      </c>
      <c r="M57">
        <v>0.5</v>
      </c>
      <c r="N57">
        <v>5</v>
      </c>
      <c r="O57">
        <v>2.25</v>
      </c>
      <c r="P57">
        <v>0.22500000000000001</v>
      </c>
      <c r="Q57">
        <v>9</v>
      </c>
      <c r="R57">
        <v>225</v>
      </c>
      <c r="S57">
        <v>45</v>
      </c>
      <c r="T57">
        <v>100</v>
      </c>
      <c r="U57" t="s">
        <v>66</v>
      </c>
      <c r="V57" s="3" t="s">
        <v>112</v>
      </c>
      <c r="W57" t="str">
        <f t="shared" si="0"/>
        <v/>
      </c>
      <c r="X57" t="str">
        <f t="shared" si="1"/>
        <v/>
      </c>
      <c r="Y57" t="str">
        <f t="shared" si="2"/>
        <v/>
      </c>
    </row>
    <row r="58" spans="1:25" x14ac:dyDescent="0.25">
      <c r="A58">
        <v>57</v>
      </c>
      <c r="B58">
        <v>57</v>
      </c>
      <c r="C58" t="s">
        <v>157</v>
      </c>
      <c r="D58" t="s">
        <v>138</v>
      </c>
      <c r="E58" t="s">
        <v>23</v>
      </c>
      <c r="F58" t="s">
        <v>158</v>
      </c>
      <c r="G58" t="s">
        <v>25</v>
      </c>
      <c r="H58" t="s">
        <v>26</v>
      </c>
      <c r="I58" s="1">
        <v>42075</v>
      </c>
      <c r="J58" t="s">
        <v>157</v>
      </c>
      <c r="K58" t="s">
        <v>23</v>
      </c>
      <c r="L58">
        <v>5</v>
      </c>
      <c r="M58">
        <v>5</v>
      </c>
      <c r="N58">
        <v>25</v>
      </c>
      <c r="O58">
        <v>25</v>
      </c>
      <c r="P58">
        <v>0.625</v>
      </c>
      <c r="Q58">
        <v>125</v>
      </c>
      <c r="R58">
        <v>500</v>
      </c>
      <c r="S58">
        <v>20</v>
      </c>
      <c r="T58">
        <v>20</v>
      </c>
      <c r="U58" t="s">
        <v>138</v>
      </c>
      <c r="V58" s="3" t="s">
        <v>33</v>
      </c>
      <c r="W58" t="str">
        <f t="shared" si="0"/>
        <v/>
      </c>
      <c r="X58" t="str">
        <f t="shared" si="1"/>
        <v/>
      </c>
      <c r="Y58" t="str">
        <f t="shared" si="2"/>
        <v/>
      </c>
    </row>
    <row r="59" spans="1:25" x14ac:dyDescent="0.25">
      <c r="A59">
        <v>58</v>
      </c>
      <c r="B59">
        <v>58</v>
      </c>
      <c r="C59" t="s">
        <v>159</v>
      </c>
      <c r="D59" t="s">
        <v>66</v>
      </c>
      <c r="E59" t="s">
        <v>36</v>
      </c>
      <c r="F59" t="s">
        <v>160</v>
      </c>
      <c r="G59" t="s">
        <v>25</v>
      </c>
      <c r="H59" t="s">
        <v>26</v>
      </c>
      <c r="I59" s="1">
        <v>42572</v>
      </c>
      <c r="J59" t="s">
        <v>159</v>
      </c>
      <c r="K59" t="s">
        <v>36</v>
      </c>
      <c r="L59">
        <v>0.25</v>
      </c>
      <c r="M59">
        <v>9</v>
      </c>
      <c r="N59">
        <v>2.25</v>
      </c>
      <c r="O59">
        <v>12.5625</v>
      </c>
      <c r="P59">
        <v>1.2562500000000001</v>
      </c>
      <c r="Q59">
        <v>50.25</v>
      </c>
      <c r="R59">
        <v>201</v>
      </c>
      <c r="S59">
        <v>89.3333333333333</v>
      </c>
      <c r="T59">
        <v>16</v>
      </c>
      <c r="U59" t="s">
        <v>66</v>
      </c>
      <c r="V59" s="3" t="s">
        <v>112</v>
      </c>
      <c r="W59" t="str">
        <f t="shared" si="0"/>
        <v/>
      </c>
      <c r="X59" t="str">
        <f t="shared" si="1"/>
        <v/>
      </c>
      <c r="Y59" t="str">
        <f t="shared" si="2"/>
        <v/>
      </c>
    </row>
    <row r="60" spans="1:25" x14ac:dyDescent="0.25">
      <c r="A60">
        <v>59</v>
      </c>
      <c r="B60">
        <v>59</v>
      </c>
      <c r="C60" t="s">
        <v>161</v>
      </c>
      <c r="D60" t="s">
        <v>138</v>
      </c>
      <c r="E60" t="s">
        <v>36</v>
      </c>
      <c r="F60" t="s">
        <v>162</v>
      </c>
      <c r="G60" t="s">
        <v>25</v>
      </c>
      <c r="H60" t="s">
        <v>26</v>
      </c>
      <c r="I60" s="1">
        <v>42893</v>
      </c>
      <c r="J60" t="s">
        <v>161</v>
      </c>
      <c r="K60" t="s">
        <v>36</v>
      </c>
      <c r="L60">
        <v>3</v>
      </c>
      <c r="M60">
        <v>2</v>
      </c>
      <c r="N60">
        <v>6</v>
      </c>
      <c r="O60">
        <v>5</v>
      </c>
      <c r="P60">
        <v>0.5</v>
      </c>
      <c r="Q60">
        <v>20</v>
      </c>
      <c r="R60">
        <v>1000</v>
      </c>
      <c r="S60">
        <v>166.666666666667</v>
      </c>
      <c r="T60">
        <v>200</v>
      </c>
      <c r="U60" t="s">
        <v>138</v>
      </c>
      <c r="V60" s="3" t="s">
        <v>92</v>
      </c>
      <c r="W60" t="str">
        <f t="shared" si="0"/>
        <v/>
      </c>
      <c r="X60" t="str">
        <f t="shared" si="1"/>
        <v/>
      </c>
      <c r="Y60" t="str">
        <f t="shared" si="2"/>
        <v/>
      </c>
    </row>
    <row r="61" spans="1:25" x14ac:dyDescent="0.25">
      <c r="A61">
        <v>60</v>
      </c>
      <c r="B61">
        <v>60</v>
      </c>
      <c r="C61" t="s">
        <v>163</v>
      </c>
      <c r="D61" t="s">
        <v>138</v>
      </c>
      <c r="E61" t="s">
        <v>36</v>
      </c>
      <c r="F61" t="s">
        <v>164</v>
      </c>
      <c r="G61" t="s">
        <v>25</v>
      </c>
      <c r="H61" t="s">
        <v>26</v>
      </c>
      <c r="I61" s="1">
        <v>42893</v>
      </c>
      <c r="J61" t="s">
        <v>163</v>
      </c>
      <c r="K61" t="s">
        <v>36</v>
      </c>
      <c r="L61">
        <v>3</v>
      </c>
      <c r="M61">
        <v>2</v>
      </c>
      <c r="N61">
        <v>6</v>
      </c>
      <c r="O61">
        <v>5</v>
      </c>
      <c r="P61">
        <v>0.5</v>
      </c>
      <c r="Q61">
        <v>20</v>
      </c>
      <c r="R61">
        <v>1000</v>
      </c>
      <c r="S61">
        <v>166.666666666667</v>
      </c>
      <c r="T61">
        <v>200</v>
      </c>
      <c r="U61" t="s">
        <v>138</v>
      </c>
      <c r="V61" s="3" t="s">
        <v>92</v>
      </c>
      <c r="W61" t="str">
        <f t="shared" si="0"/>
        <v/>
      </c>
      <c r="X61" t="str">
        <f t="shared" si="1"/>
        <v/>
      </c>
      <c r="Y61" t="str">
        <f t="shared" si="2"/>
        <v/>
      </c>
    </row>
    <row r="62" spans="1:25" x14ac:dyDescent="0.25">
      <c r="A62">
        <v>61</v>
      </c>
      <c r="B62">
        <v>61</v>
      </c>
      <c r="C62" t="s">
        <v>165</v>
      </c>
      <c r="D62" t="s">
        <v>138</v>
      </c>
      <c r="E62" t="s">
        <v>23</v>
      </c>
      <c r="F62" t="s">
        <v>166</v>
      </c>
      <c r="G62" t="s">
        <v>25</v>
      </c>
      <c r="H62" t="s">
        <v>26</v>
      </c>
      <c r="I62" s="1">
        <v>42893</v>
      </c>
      <c r="J62" t="s">
        <v>165</v>
      </c>
      <c r="K62" t="s">
        <v>23</v>
      </c>
      <c r="L62">
        <v>2.5</v>
      </c>
      <c r="M62">
        <v>2</v>
      </c>
      <c r="N62">
        <v>5</v>
      </c>
      <c r="O62">
        <v>5</v>
      </c>
      <c r="P62">
        <v>0.5</v>
      </c>
      <c r="Q62">
        <v>100</v>
      </c>
      <c r="R62">
        <v>800</v>
      </c>
      <c r="S62">
        <v>160</v>
      </c>
      <c r="T62">
        <v>160</v>
      </c>
      <c r="U62" t="s">
        <v>138</v>
      </c>
      <c r="V62" s="3" t="s">
        <v>92</v>
      </c>
      <c r="W62" t="str">
        <f t="shared" si="0"/>
        <v/>
      </c>
      <c r="X62" t="str">
        <f t="shared" si="1"/>
        <v/>
      </c>
      <c r="Y62" t="str">
        <f t="shared" si="2"/>
        <v/>
      </c>
    </row>
    <row r="63" spans="1:25" x14ac:dyDescent="0.25">
      <c r="A63">
        <v>62</v>
      </c>
      <c r="B63">
        <v>62</v>
      </c>
      <c r="C63" t="s">
        <v>165</v>
      </c>
      <c r="D63" t="s">
        <v>138</v>
      </c>
      <c r="E63" t="s">
        <v>36</v>
      </c>
      <c r="F63" t="s">
        <v>167</v>
      </c>
      <c r="G63" t="s">
        <v>25</v>
      </c>
      <c r="H63" t="s">
        <v>26</v>
      </c>
      <c r="I63" s="1">
        <v>42893</v>
      </c>
      <c r="J63" t="s">
        <v>165</v>
      </c>
      <c r="K63" t="s">
        <v>36</v>
      </c>
      <c r="L63">
        <v>3</v>
      </c>
      <c r="M63">
        <v>2</v>
      </c>
      <c r="N63">
        <v>6</v>
      </c>
      <c r="O63">
        <v>5</v>
      </c>
      <c r="P63">
        <v>0.5</v>
      </c>
      <c r="Q63">
        <v>20</v>
      </c>
      <c r="R63">
        <v>1000</v>
      </c>
      <c r="S63">
        <v>166.666666666667</v>
      </c>
      <c r="T63">
        <v>200</v>
      </c>
      <c r="U63" t="s">
        <v>138</v>
      </c>
      <c r="V63" s="3" t="s">
        <v>92</v>
      </c>
      <c r="W63" t="str">
        <f t="shared" si="0"/>
        <v/>
      </c>
      <c r="X63" t="str">
        <f t="shared" si="1"/>
        <v/>
      </c>
      <c r="Y63" t="str">
        <f t="shared" si="2"/>
        <v/>
      </c>
    </row>
    <row r="64" spans="1:25" x14ac:dyDescent="0.25">
      <c r="A64">
        <v>63</v>
      </c>
      <c r="B64">
        <v>63</v>
      </c>
      <c r="C64" t="s">
        <v>168</v>
      </c>
      <c r="D64" t="s">
        <v>138</v>
      </c>
      <c r="E64" t="s">
        <v>36</v>
      </c>
      <c r="F64" t="s">
        <v>169</v>
      </c>
      <c r="G64" t="s">
        <v>25</v>
      </c>
      <c r="H64" t="s">
        <v>26</v>
      </c>
      <c r="I64" s="1">
        <v>42893</v>
      </c>
      <c r="J64" t="s">
        <v>168</v>
      </c>
      <c r="K64" t="s">
        <v>36</v>
      </c>
      <c r="L64">
        <v>3</v>
      </c>
      <c r="M64">
        <v>2</v>
      </c>
      <c r="N64">
        <v>6</v>
      </c>
      <c r="O64">
        <v>5</v>
      </c>
      <c r="P64">
        <v>0.5</v>
      </c>
      <c r="Q64">
        <v>20</v>
      </c>
      <c r="R64">
        <v>1000</v>
      </c>
      <c r="S64">
        <v>166.666666666667</v>
      </c>
      <c r="T64">
        <v>200</v>
      </c>
      <c r="U64" t="s">
        <v>138</v>
      </c>
      <c r="V64" s="3" t="s">
        <v>92</v>
      </c>
      <c r="W64" t="str">
        <f t="shared" si="0"/>
        <v/>
      </c>
      <c r="X64" t="str">
        <f t="shared" si="1"/>
        <v/>
      </c>
      <c r="Y64" t="str">
        <f t="shared" si="2"/>
        <v/>
      </c>
    </row>
    <row r="65" spans="1:25" x14ac:dyDescent="0.25">
      <c r="A65">
        <v>64</v>
      </c>
      <c r="B65">
        <v>64</v>
      </c>
      <c r="C65" t="s">
        <v>170</v>
      </c>
      <c r="D65" t="s">
        <v>171</v>
      </c>
      <c r="E65" t="s">
        <v>36</v>
      </c>
      <c r="F65" t="s">
        <v>172</v>
      </c>
      <c r="G65" t="s">
        <v>45</v>
      </c>
      <c r="H65" t="s">
        <v>52</v>
      </c>
      <c r="I65" s="1">
        <v>43235</v>
      </c>
      <c r="J65" t="s">
        <v>170</v>
      </c>
      <c r="K65" t="s">
        <v>36</v>
      </c>
      <c r="L65">
        <v>42</v>
      </c>
      <c r="M65">
        <v>5</v>
      </c>
      <c r="N65">
        <v>210</v>
      </c>
      <c r="O65">
        <v>138</v>
      </c>
      <c r="P65">
        <v>13.8</v>
      </c>
      <c r="Q65">
        <v>552</v>
      </c>
      <c r="R65">
        <v>13800</v>
      </c>
      <c r="S65">
        <v>65.714285714285694</v>
      </c>
      <c r="T65">
        <v>100</v>
      </c>
      <c r="U65" t="s">
        <v>171</v>
      </c>
      <c r="V65" s="3" t="s">
        <v>92</v>
      </c>
      <c r="W65" t="str">
        <f t="shared" si="0"/>
        <v/>
      </c>
      <c r="X65" t="str">
        <f t="shared" si="1"/>
        <v/>
      </c>
      <c r="Y65" t="str">
        <f t="shared" si="2"/>
        <v/>
      </c>
    </row>
    <row r="66" spans="1:25" x14ac:dyDescent="0.25">
      <c r="A66">
        <v>65</v>
      </c>
      <c r="B66">
        <v>65</v>
      </c>
      <c r="C66" t="s">
        <v>173</v>
      </c>
      <c r="D66" t="s">
        <v>138</v>
      </c>
      <c r="E66" t="s">
        <v>36</v>
      </c>
      <c r="F66" t="s">
        <v>174</v>
      </c>
      <c r="G66" t="s">
        <v>45</v>
      </c>
      <c r="H66" t="s">
        <v>52</v>
      </c>
      <c r="I66" s="1">
        <v>43265</v>
      </c>
      <c r="J66" t="s">
        <v>173</v>
      </c>
      <c r="K66" t="s">
        <v>36</v>
      </c>
      <c r="L66">
        <v>31</v>
      </c>
      <c r="M66">
        <v>5</v>
      </c>
      <c r="N66">
        <v>155</v>
      </c>
      <c r="O66">
        <v>97</v>
      </c>
      <c r="P66">
        <v>9.6999999999999993</v>
      </c>
      <c r="Q66">
        <v>388</v>
      </c>
      <c r="R66">
        <v>9688</v>
      </c>
      <c r="S66">
        <v>62.503225806451603</v>
      </c>
      <c r="T66">
        <v>99.876288659793801</v>
      </c>
      <c r="U66" t="s">
        <v>138</v>
      </c>
      <c r="V66" s="3" t="s">
        <v>38</v>
      </c>
      <c r="W66" t="str">
        <f t="shared" si="0"/>
        <v/>
      </c>
      <c r="X66" t="str">
        <f t="shared" si="1"/>
        <v/>
      </c>
      <c r="Y66" t="str">
        <f t="shared" si="2"/>
        <v/>
      </c>
    </row>
    <row r="67" spans="1:25" x14ac:dyDescent="0.25">
      <c r="A67">
        <v>66</v>
      </c>
      <c r="B67">
        <v>66</v>
      </c>
      <c r="C67" t="s">
        <v>175</v>
      </c>
      <c r="D67" t="s">
        <v>85</v>
      </c>
      <c r="E67" t="s">
        <v>36</v>
      </c>
      <c r="F67" t="s">
        <v>176</v>
      </c>
      <c r="G67" t="s">
        <v>45</v>
      </c>
      <c r="H67" t="s">
        <v>52</v>
      </c>
      <c r="I67" s="1">
        <v>43599</v>
      </c>
      <c r="J67" t="s">
        <v>175</v>
      </c>
      <c r="K67" t="s">
        <v>36</v>
      </c>
      <c r="L67">
        <v>39</v>
      </c>
      <c r="M67">
        <v>6</v>
      </c>
      <c r="N67">
        <v>234</v>
      </c>
      <c r="O67">
        <v>136.75</v>
      </c>
      <c r="P67">
        <v>13.675000000000001</v>
      </c>
      <c r="Q67">
        <v>547</v>
      </c>
      <c r="R67">
        <v>13320</v>
      </c>
      <c r="S67">
        <v>56.923076923076898</v>
      </c>
      <c r="T67">
        <v>97.404021937842799</v>
      </c>
      <c r="U67" t="s">
        <v>85</v>
      </c>
      <c r="V67" s="3" t="s">
        <v>92</v>
      </c>
      <c r="W67" t="str">
        <f t="shared" ref="W67:W130" si="3">IF(C67=J67,"",9999)</f>
        <v/>
      </c>
      <c r="X67" t="str">
        <f t="shared" ref="X67:X130" si="4">IF(D67=U67,"",9999)</f>
        <v/>
      </c>
      <c r="Y67" t="str">
        <f t="shared" ref="Y67:Y130" si="5">IF(E67=K67,"",9999)</f>
        <v/>
      </c>
    </row>
    <row r="68" spans="1:25" x14ac:dyDescent="0.25">
      <c r="A68">
        <v>67</v>
      </c>
      <c r="B68">
        <v>67</v>
      </c>
      <c r="C68" t="s">
        <v>177</v>
      </c>
      <c r="D68" t="s">
        <v>85</v>
      </c>
      <c r="E68" t="s">
        <v>36</v>
      </c>
      <c r="F68" t="s">
        <v>178</v>
      </c>
      <c r="G68" t="s">
        <v>45</v>
      </c>
      <c r="H68" t="s">
        <v>52</v>
      </c>
      <c r="I68" s="1">
        <v>43983</v>
      </c>
      <c r="J68" t="s">
        <v>177</v>
      </c>
      <c r="K68" t="s">
        <v>36</v>
      </c>
      <c r="L68">
        <v>32</v>
      </c>
      <c r="M68">
        <v>6</v>
      </c>
      <c r="N68">
        <v>192</v>
      </c>
      <c r="O68">
        <v>118.5</v>
      </c>
      <c r="P68">
        <v>11.85</v>
      </c>
      <c r="Q68">
        <v>474</v>
      </c>
      <c r="R68">
        <v>11390</v>
      </c>
      <c r="S68">
        <v>59.3229166666667</v>
      </c>
      <c r="T68">
        <v>96.118143459915601</v>
      </c>
      <c r="U68" t="s">
        <v>85</v>
      </c>
      <c r="V68" s="3" t="s">
        <v>92</v>
      </c>
      <c r="W68" t="str">
        <f t="shared" si="3"/>
        <v/>
      </c>
      <c r="X68" t="str">
        <f t="shared" si="4"/>
        <v/>
      </c>
      <c r="Y68" t="str">
        <f t="shared" si="5"/>
        <v/>
      </c>
    </row>
    <row r="69" spans="1:25" x14ac:dyDescent="0.25">
      <c r="A69">
        <v>68</v>
      </c>
      <c r="B69">
        <v>68</v>
      </c>
      <c r="C69" t="s">
        <v>179</v>
      </c>
      <c r="D69" t="s">
        <v>42</v>
      </c>
      <c r="E69" t="s">
        <v>36</v>
      </c>
      <c r="F69" t="s">
        <v>180</v>
      </c>
      <c r="G69" t="s">
        <v>25</v>
      </c>
      <c r="H69" t="s">
        <v>26</v>
      </c>
      <c r="I69" s="1">
        <v>44011</v>
      </c>
      <c r="J69" t="s">
        <v>179</v>
      </c>
      <c r="K69" t="s">
        <v>36</v>
      </c>
      <c r="L69">
        <v>2.5</v>
      </c>
      <c r="M69">
        <v>2.5</v>
      </c>
      <c r="N69">
        <v>6.25</v>
      </c>
      <c r="O69">
        <v>5</v>
      </c>
      <c r="P69">
        <v>0.5</v>
      </c>
      <c r="Q69">
        <v>20</v>
      </c>
      <c r="R69">
        <v>500</v>
      </c>
      <c r="S69">
        <v>80</v>
      </c>
      <c r="T69">
        <v>100</v>
      </c>
      <c r="U69" t="s">
        <v>42</v>
      </c>
      <c r="V69" s="3" t="s">
        <v>60</v>
      </c>
      <c r="W69" t="str">
        <f t="shared" si="3"/>
        <v/>
      </c>
      <c r="X69" t="str">
        <f t="shared" si="4"/>
        <v/>
      </c>
      <c r="Y69" t="str">
        <f t="shared" si="5"/>
        <v/>
      </c>
    </row>
    <row r="70" spans="1:25" x14ac:dyDescent="0.25">
      <c r="A70">
        <v>69</v>
      </c>
      <c r="B70">
        <v>69</v>
      </c>
      <c r="C70" t="s">
        <v>181</v>
      </c>
      <c r="D70" t="s">
        <v>42</v>
      </c>
      <c r="E70" t="s">
        <v>36</v>
      </c>
      <c r="F70" t="s">
        <v>182</v>
      </c>
      <c r="G70" t="s">
        <v>25</v>
      </c>
      <c r="H70" t="s">
        <v>26</v>
      </c>
      <c r="I70" s="1">
        <v>44011</v>
      </c>
      <c r="J70" t="s">
        <v>181</v>
      </c>
      <c r="K70" t="s">
        <v>36</v>
      </c>
      <c r="L70">
        <v>2.5</v>
      </c>
      <c r="M70">
        <v>2.5</v>
      </c>
      <c r="N70">
        <v>6.25</v>
      </c>
      <c r="O70">
        <v>5</v>
      </c>
      <c r="P70">
        <v>0.5</v>
      </c>
      <c r="Q70">
        <v>20</v>
      </c>
      <c r="R70">
        <v>500</v>
      </c>
      <c r="S70">
        <v>80</v>
      </c>
      <c r="T70">
        <v>100</v>
      </c>
      <c r="U70" t="s">
        <v>42</v>
      </c>
      <c r="V70" s="3" t="s">
        <v>60</v>
      </c>
      <c r="W70" t="str">
        <f t="shared" si="3"/>
        <v/>
      </c>
      <c r="X70" t="str">
        <f t="shared" si="4"/>
        <v/>
      </c>
      <c r="Y70" t="str">
        <f t="shared" si="5"/>
        <v/>
      </c>
    </row>
    <row r="71" spans="1:25" x14ac:dyDescent="0.25">
      <c r="A71">
        <v>70</v>
      </c>
      <c r="B71">
        <v>70</v>
      </c>
      <c r="C71" t="s">
        <v>81</v>
      </c>
      <c r="D71" t="s">
        <v>138</v>
      </c>
      <c r="E71" t="s">
        <v>23</v>
      </c>
      <c r="F71" t="s">
        <v>183</v>
      </c>
      <c r="G71" t="s">
        <v>25</v>
      </c>
      <c r="H71" t="s">
        <v>26</v>
      </c>
      <c r="I71" s="1">
        <v>42075</v>
      </c>
      <c r="J71" t="s">
        <v>81</v>
      </c>
      <c r="K71" t="s">
        <v>23</v>
      </c>
      <c r="L71">
        <v>5</v>
      </c>
      <c r="M71">
        <v>5</v>
      </c>
      <c r="N71">
        <v>25</v>
      </c>
      <c r="O71">
        <v>25</v>
      </c>
      <c r="P71">
        <v>0.625</v>
      </c>
      <c r="Q71">
        <v>125</v>
      </c>
      <c r="R71">
        <v>500</v>
      </c>
      <c r="S71">
        <v>20</v>
      </c>
      <c r="T71">
        <v>20</v>
      </c>
      <c r="U71" t="s">
        <v>138</v>
      </c>
      <c r="V71" s="3" t="s">
        <v>33</v>
      </c>
      <c r="W71" t="str">
        <f t="shared" si="3"/>
        <v/>
      </c>
      <c r="X71" t="str">
        <f t="shared" si="4"/>
        <v/>
      </c>
      <c r="Y71" t="str">
        <f t="shared" si="5"/>
        <v/>
      </c>
    </row>
    <row r="72" spans="1:25" x14ac:dyDescent="0.25">
      <c r="A72">
        <v>71</v>
      </c>
      <c r="B72">
        <v>71</v>
      </c>
      <c r="C72" t="s">
        <v>184</v>
      </c>
      <c r="D72" t="s">
        <v>22</v>
      </c>
      <c r="E72" t="s">
        <v>23</v>
      </c>
      <c r="F72" t="s">
        <v>185</v>
      </c>
      <c r="G72" t="s">
        <v>25</v>
      </c>
      <c r="H72" t="s">
        <v>26</v>
      </c>
      <c r="I72" s="1">
        <v>42142</v>
      </c>
      <c r="J72" t="s">
        <v>184</v>
      </c>
      <c r="K72" t="s">
        <v>23</v>
      </c>
      <c r="L72">
        <v>5</v>
      </c>
      <c r="M72">
        <v>5</v>
      </c>
      <c r="N72">
        <v>25</v>
      </c>
      <c r="O72">
        <v>25</v>
      </c>
      <c r="P72">
        <v>0.625</v>
      </c>
      <c r="Q72">
        <v>125</v>
      </c>
      <c r="R72">
        <v>500</v>
      </c>
      <c r="S72">
        <v>20</v>
      </c>
      <c r="T72">
        <v>20</v>
      </c>
      <c r="U72" t="s">
        <v>22</v>
      </c>
      <c r="V72" s="3" t="s">
        <v>33</v>
      </c>
      <c r="W72" t="str">
        <f t="shared" si="3"/>
        <v/>
      </c>
      <c r="X72" t="str">
        <f t="shared" si="4"/>
        <v/>
      </c>
      <c r="Y72" t="str">
        <f t="shared" si="5"/>
        <v/>
      </c>
    </row>
    <row r="73" spans="1:25" x14ac:dyDescent="0.25">
      <c r="A73">
        <v>72</v>
      </c>
      <c r="B73">
        <v>72</v>
      </c>
      <c r="C73" t="s">
        <v>186</v>
      </c>
      <c r="D73" t="s">
        <v>22</v>
      </c>
      <c r="E73" t="s">
        <v>23</v>
      </c>
      <c r="F73" t="s">
        <v>187</v>
      </c>
      <c r="G73" t="s">
        <v>25</v>
      </c>
      <c r="H73" t="s">
        <v>26</v>
      </c>
      <c r="I73" s="1">
        <v>42142</v>
      </c>
      <c r="J73" t="s">
        <v>186</v>
      </c>
      <c r="K73" t="s">
        <v>23</v>
      </c>
      <c r="L73">
        <v>5</v>
      </c>
      <c r="M73">
        <v>5</v>
      </c>
      <c r="N73">
        <v>25</v>
      </c>
      <c r="O73">
        <v>25</v>
      </c>
      <c r="P73">
        <v>0.625</v>
      </c>
      <c r="Q73">
        <v>125</v>
      </c>
      <c r="R73">
        <v>500</v>
      </c>
      <c r="S73">
        <v>20</v>
      </c>
      <c r="T73">
        <v>20</v>
      </c>
      <c r="U73" t="s">
        <v>22</v>
      </c>
      <c r="V73" s="3" t="s">
        <v>33</v>
      </c>
      <c r="W73" t="str">
        <f t="shared" si="3"/>
        <v/>
      </c>
      <c r="X73" t="str">
        <f t="shared" si="4"/>
        <v/>
      </c>
      <c r="Y73" t="str">
        <f t="shared" si="5"/>
        <v/>
      </c>
    </row>
    <row r="74" spans="1:25" x14ac:dyDescent="0.25">
      <c r="A74">
        <v>73</v>
      </c>
      <c r="B74">
        <v>73</v>
      </c>
      <c r="C74" t="s">
        <v>188</v>
      </c>
      <c r="D74" t="s">
        <v>42</v>
      </c>
      <c r="E74" t="s">
        <v>36</v>
      </c>
      <c r="F74" t="s">
        <v>189</v>
      </c>
      <c r="G74" t="s">
        <v>25</v>
      </c>
      <c r="H74" t="s">
        <v>26</v>
      </c>
      <c r="I74" s="1">
        <v>44011</v>
      </c>
      <c r="J74" t="s">
        <v>188</v>
      </c>
      <c r="K74" t="s">
        <v>36</v>
      </c>
      <c r="L74">
        <v>2.5</v>
      </c>
      <c r="M74">
        <v>2.5</v>
      </c>
      <c r="N74">
        <v>6.25</v>
      </c>
      <c r="O74">
        <v>5</v>
      </c>
      <c r="P74">
        <v>0.5</v>
      </c>
      <c r="Q74">
        <v>20</v>
      </c>
      <c r="R74">
        <v>500</v>
      </c>
      <c r="S74">
        <v>80</v>
      </c>
      <c r="T74">
        <v>100</v>
      </c>
      <c r="U74" t="s">
        <v>42</v>
      </c>
      <c r="V74" s="3" t="s">
        <v>60</v>
      </c>
      <c r="W74" t="str">
        <f t="shared" si="3"/>
        <v/>
      </c>
      <c r="X74" t="str">
        <f t="shared" si="4"/>
        <v/>
      </c>
      <c r="Y74" t="str">
        <f t="shared" si="5"/>
        <v/>
      </c>
    </row>
    <row r="75" spans="1:25" x14ac:dyDescent="0.25">
      <c r="A75">
        <v>74</v>
      </c>
      <c r="B75">
        <v>74</v>
      </c>
      <c r="C75" t="s">
        <v>186</v>
      </c>
      <c r="D75" t="s">
        <v>42</v>
      </c>
      <c r="E75" t="s">
        <v>36</v>
      </c>
      <c r="F75" t="s">
        <v>190</v>
      </c>
      <c r="G75" t="s">
        <v>25</v>
      </c>
      <c r="H75" t="s">
        <v>26</v>
      </c>
      <c r="I75" s="1">
        <v>44011</v>
      </c>
      <c r="J75" t="s">
        <v>186</v>
      </c>
      <c r="K75" t="s">
        <v>36</v>
      </c>
      <c r="L75">
        <v>3</v>
      </c>
      <c r="M75">
        <v>2.5</v>
      </c>
      <c r="N75">
        <v>7.5</v>
      </c>
      <c r="O75">
        <v>6</v>
      </c>
      <c r="P75">
        <v>0.6</v>
      </c>
      <c r="Q75">
        <v>24</v>
      </c>
      <c r="R75">
        <v>600</v>
      </c>
      <c r="S75">
        <v>80</v>
      </c>
      <c r="T75">
        <v>100</v>
      </c>
      <c r="U75" t="s">
        <v>42</v>
      </c>
      <c r="V75" s="3" t="s">
        <v>60</v>
      </c>
      <c r="W75" t="str">
        <f t="shared" si="3"/>
        <v/>
      </c>
      <c r="X75" t="str">
        <f t="shared" si="4"/>
        <v/>
      </c>
      <c r="Y75" t="str">
        <f t="shared" si="5"/>
        <v/>
      </c>
    </row>
    <row r="76" spans="1:25" x14ac:dyDescent="0.25">
      <c r="A76">
        <v>75</v>
      </c>
      <c r="B76">
        <v>75</v>
      </c>
      <c r="C76" t="s">
        <v>191</v>
      </c>
      <c r="D76" t="s">
        <v>85</v>
      </c>
      <c r="E76" t="s">
        <v>23</v>
      </c>
      <c r="F76" t="s">
        <v>192</v>
      </c>
      <c r="G76" t="s">
        <v>25</v>
      </c>
      <c r="H76" t="s">
        <v>26</v>
      </c>
      <c r="I76" s="1">
        <v>41430</v>
      </c>
      <c r="J76" t="s">
        <v>191</v>
      </c>
      <c r="K76" t="s">
        <v>23</v>
      </c>
      <c r="L76">
        <v>6</v>
      </c>
      <c r="M76">
        <v>6</v>
      </c>
      <c r="N76">
        <v>36</v>
      </c>
      <c r="O76">
        <v>36</v>
      </c>
      <c r="P76">
        <v>0.89</v>
      </c>
      <c r="Q76">
        <v>178</v>
      </c>
      <c r="R76">
        <v>712</v>
      </c>
      <c r="S76">
        <v>19.7777777777778</v>
      </c>
      <c r="T76">
        <v>19.7777777777778</v>
      </c>
      <c r="U76" t="s">
        <v>85</v>
      </c>
      <c r="V76" s="3" t="s">
        <v>27</v>
      </c>
      <c r="W76" t="str">
        <f t="shared" si="3"/>
        <v/>
      </c>
      <c r="X76" t="str">
        <f t="shared" si="4"/>
        <v/>
      </c>
      <c r="Y76" t="str">
        <f t="shared" si="5"/>
        <v/>
      </c>
    </row>
    <row r="77" spans="1:25" x14ac:dyDescent="0.25">
      <c r="A77">
        <v>76</v>
      </c>
      <c r="B77">
        <v>76</v>
      </c>
      <c r="C77" t="s">
        <v>193</v>
      </c>
      <c r="D77" t="s">
        <v>85</v>
      </c>
      <c r="E77" t="s">
        <v>23</v>
      </c>
      <c r="F77" t="s">
        <v>194</v>
      </c>
      <c r="G77" t="s">
        <v>25</v>
      </c>
      <c r="H77" t="s">
        <v>26</v>
      </c>
      <c r="I77" s="1">
        <v>41430</v>
      </c>
      <c r="J77" t="s">
        <v>193</v>
      </c>
      <c r="K77" t="s">
        <v>23</v>
      </c>
      <c r="L77">
        <v>6</v>
      </c>
      <c r="M77">
        <v>6</v>
      </c>
      <c r="N77">
        <v>36</v>
      </c>
      <c r="O77">
        <v>36</v>
      </c>
      <c r="P77">
        <v>0.89</v>
      </c>
      <c r="Q77">
        <v>178</v>
      </c>
      <c r="R77">
        <v>712</v>
      </c>
      <c r="S77">
        <v>19.7777777777778</v>
      </c>
      <c r="T77">
        <v>19.7777777777778</v>
      </c>
      <c r="U77" t="s">
        <v>85</v>
      </c>
      <c r="V77" s="3" t="s">
        <v>27</v>
      </c>
      <c r="W77" t="str">
        <f t="shared" si="3"/>
        <v/>
      </c>
      <c r="X77" t="str">
        <f t="shared" si="4"/>
        <v/>
      </c>
      <c r="Y77" t="str">
        <f t="shared" si="5"/>
        <v/>
      </c>
    </row>
    <row r="78" spans="1:25" x14ac:dyDescent="0.25">
      <c r="A78">
        <v>77</v>
      </c>
      <c r="B78">
        <v>77</v>
      </c>
      <c r="C78" t="s">
        <v>195</v>
      </c>
      <c r="D78" t="s">
        <v>85</v>
      </c>
      <c r="E78" t="s">
        <v>23</v>
      </c>
      <c r="F78" t="s">
        <v>196</v>
      </c>
      <c r="G78" t="s">
        <v>51</v>
      </c>
      <c r="H78" t="s">
        <v>52</v>
      </c>
      <c r="I78" s="1">
        <v>42141</v>
      </c>
      <c r="J78" t="s">
        <v>195</v>
      </c>
      <c r="K78" t="s">
        <v>23</v>
      </c>
      <c r="L78">
        <v>50</v>
      </c>
      <c r="M78">
        <v>40</v>
      </c>
      <c r="N78">
        <v>2000</v>
      </c>
      <c r="O78">
        <v>126.25</v>
      </c>
      <c r="P78">
        <v>12.75</v>
      </c>
      <c r="Q78">
        <v>2550</v>
      </c>
      <c r="R78">
        <v>10200</v>
      </c>
      <c r="S78">
        <v>5.0999999999999996</v>
      </c>
      <c r="T78">
        <v>80.792079207920807</v>
      </c>
      <c r="U78" t="s">
        <v>85</v>
      </c>
      <c r="V78" s="3" t="s">
        <v>33</v>
      </c>
      <c r="W78" t="str">
        <f t="shared" si="3"/>
        <v/>
      </c>
      <c r="X78" t="str">
        <f t="shared" si="4"/>
        <v/>
      </c>
      <c r="Y78" t="str">
        <f t="shared" si="5"/>
        <v/>
      </c>
    </row>
    <row r="79" spans="1:25" x14ac:dyDescent="0.25">
      <c r="A79">
        <v>78</v>
      </c>
      <c r="B79">
        <v>78</v>
      </c>
      <c r="C79" t="s">
        <v>197</v>
      </c>
      <c r="D79" t="s">
        <v>85</v>
      </c>
      <c r="E79" t="s">
        <v>23</v>
      </c>
      <c r="F79" t="s">
        <v>198</v>
      </c>
      <c r="G79" t="s">
        <v>51</v>
      </c>
      <c r="H79" t="s">
        <v>52</v>
      </c>
      <c r="I79" s="1">
        <v>42162</v>
      </c>
      <c r="J79" t="s">
        <v>197</v>
      </c>
      <c r="K79" t="s">
        <v>23</v>
      </c>
      <c r="L79">
        <v>60</v>
      </c>
      <c r="M79">
        <v>40</v>
      </c>
      <c r="N79">
        <v>2400</v>
      </c>
      <c r="O79">
        <v>151.25</v>
      </c>
      <c r="P79">
        <v>15</v>
      </c>
      <c r="Q79">
        <v>3000</v>
      </c>
      <c r="R79">
        <v>12000</v>
      </c>
      <c r="S79">
        <v>5</v>
      </c>
      <c r="T79">
        <v>79.338842975206603</v>
      </c>
      <c r="U79" t="s">
        <v>85</v>
      </c>
      <c r="V79" s="3" t="s">
        <v>33</v>
      </c>
      <c r="W79" t="str">
        <f t="shared" si="3"/>
        <v/>
      </c>
      <c r="X79" t="str">
        <f t="shared" si="4"/>
        <v/>
      </c>
      <c r="Y79" t="str">
        <f t="shared" si="5"/>
        <v/>
      </c>
    </row>
    <row r="80" spans="1:25" x14ac:dyDescent="0.25">
      <c r="A80">
        <v>79</v>
      </c>
      <c r="B80">
        <v>79</v>
      </c>
      <c r="C80" t="s">
        <v>199</v>
      </c>
      <c r="D80" t="s">
        <v>85</v>
      </c>
      <c r="E80" t="s">
        <v>23</v>
      </c>
      <c r="F80" t="s">
        <v>200</v>
      </c>
      <c r="G80" t="s">
        <v>25</v>
      </c>
      <c r="H80" t="s">
        <v>26</v>
      </c>
      <c r="I80" s="1">
        <v>42164</v>
      </c>
      <c r="J80" t="s">
        <v>199</v>
      </c>
      <c r="K80" t="s">
        <v>23</v>
      </c>
      <c r="L80">
        <v>5</v>
      </c>
      <c r="M80">
        <v>5</v>
      </c>
      <c r="N80">
        <v>25</v>
      </c>
      <c r="O80">
        <v>25</v>
      </c>
      <c r="P80">
        <v>0.625</v>
      </c>
      <c r="Q80">
        <v>125</v>
      </c>
      <c r="R80">
        <v>500</v>
      </c>
      <c r="S80">
        <v>20</v>
      </c>
      <c r="T80">
        <v>20</v>
      </c>
      <c r="U80" t="s">
        <v>85</v>
      </c>
      <c r="V80" s="3" t="s">
        <v>33</v>
      </c>
      <c r="W80" t="str">
        <f t="shared" si="3"/>
        <v/>
      </c>
      <c r="X80" t="str">
        <f t="shared" si="4"/>
        <v/>
      </c>
      <c r="Y80" t="str">
        <f t="shared" si="5"/>
        <v/>
      </c>
    </row>
    <row r="81" spans="1:25" x14ac:dyDescent="0.25">
      <c r="A81">
        <v>80</v>
      </c>
      <c r="B81">
        <v>80</v>
      </c>
      <c r="C81" t="s">
        <v>201</v>
      </c>
      <c r="D81" t="s">
        <v>42</v>
      </c>
      <c r="E81" t="s">
        <v>103</v>
      </c>
      <c r="F81" t="s">
        <v>202</v>
      </c>
      <c r="G81" t="s">
        <v>45</v>
      </c>
      <c r="H81" t="s">
        <v>26</v>
      </c>
      <c r="I81" s="1">
        <v>42507</v>
      </c>
      <c r="J81" t="s">
        <v>201</v>
      </c>
      <c r="K81" t="s">
        <v>103</v>
      </c>
      <c r="L81">
        <v>25</v>
      </c>
      <c r="M81">
        <v>5</v>
      </c>
      <c r="N81">
        <v>125</v>
      </c>
      <c r="O81">
        <v>75</v>
      </c>
      <c r="P81">
        <v>9.75</v>
      </c>
      <c r="Q81">
        <v>156</v>
      </c>
      <c r="R81">
        <v>780</v>
      </c>
      <c r="S81">
        <v>6.24</v>
      </c>
      <c r="T81">
        <v>10.4</v>
      </c>
      <c r="U81" t="s">
        <v>42</v>
      </c>
      <c r="V81" s="3" t="s">
        <v>46</v>
      </c>
      <c r="W81" t="str">
        <f t="shared" si="3"/>
        <v/>
      </c>
      <c r="X81" t="str">
        <f t="shared" si="4"/>
        <v/>
      </c>
      <c r="Y81" t="str">
        <f t="shared" si="5"/>
        <v/>
      </c>
    </row>
    <row r="82" spans="1:25" x14ac:dyDescent="0.25">
      <c r="A82">
        <v>81</v>
      </c>
      <c r="B82">
        <v>81</v>
      </c>
      <c r="C82" t="s">
        <v>203</v>
      </c>
      <c r="D82" t="s">
        <v>42</v>
      </c>
      <c r="E82" t="s">
        <v>103</v>
      </c>
      <c r="F82" t="s">
        <v>204</v>
      </c>
      <c r="G82" t="s">
        <v>51</v>
      </c>
      <c r="H82" t="s">
        <v>52</v>
      </c>
      <c r="I82" s="1">
        <v>42576</v>
      </c>
      <c r="J82" t="s">
        <v>203</v>
      </c>
      <c r="K82" t="s">
        <v>103</v>
      </c>
      <c r="L82">
        <v>20</v>
      </c>
      <c r="M82">
        <v>8</v>
      </c>
      <c r="N82">
        <v>160</v>
      </c>
      <c r="O82">
        <v>60</v>
      </c>
      <c r="P82">
        <v>60</v>
      </c>
      <c r="Q82">
        <v>960</v>
      </c>
      <c r="R82">
        <v>20260</v>
      </c>
      <c r="S82">
        <v>126.625</v>
      </c>
      <c r="T82">
        <v>337.66666666666703</v>
      </c>
      <c r="U82" t="s">
        <v>42</v>
      </c>
      <c r="V82" s="3" t="s">
        <v>46</v>
      </c>
      <c r="W82" t="str">
        <f t="shared" si="3"/>
        <v/>
      </c>
      <c r="X82" t="str">
        <f t="shared" si="4"/>
        <v/>
      </c>
      <c r="Y82" t="str">
        <f t="shared" si="5"/>
        <v/>
      </c>
    </row>
    <row r="83" spans="1:25" x14ac:dyDescent="0.25">
      <c r="A83">
        <v>82</v>
      </c>
      <c r="B83">
        <v>82</v>
      </c>
      <c r="C83" t="s">
        <v>205</v>
      </c>
      <c r="D83" t="s">
        <v>66</v>
      </c>
      <c r="E83" t="s">
        <v>36</v>
      </c>
      <c r="F83" t="s">
        <v>206</v>
      </c>
      <c r="G83" t="s">
        <v>25</v>
      </c>
      <c r="H83" t="s">
        <v>26</v>
      </c>
      <c r="I83" s="1">
        <v>42514</v>
      </c>
      <c r="J83" t="s">
        <v>205</v>
      </c>
      <c r="K83" t="s">
        <v>36</v>
      </c>
      <c r="L83">
        <v>9</v>
      </c>
      <c r="M83">
        <v>0.25</v>
      </c>
      <c r="N83">
        <v>2.25</v>
      </c>
      <c r="O83">
        <v>0.56000000000000005</v>
      </c>
      <c r="P83">
        <v>0.22500000000000001</v>
      </c>
      <c r="Q83">
        <v>9</v>
      </c>
      <c r="R83">
        <v>360</v>
      </c>
      <c r="S83">
        <v>160</v>
      </c>
      <c r="T83">
        <v>642.857142857143</v>
      </c>
      <c r="U83" t="s">
        <v>66</v>
      </c>
      <c r="V83" s="3" t="s">
        <v>112</v>
      </c>
      <c r="W83" t="str">
        <f t="shared" si="3"/>
        <v/>
      </c>
      <c r="X83" t="str">
        <f t="shared" si="4"/>
        <v/>
      </c>
      <c r="Y83" t="str">
        <f t="shared" si="5"/>
        <v/>
      </c>
    </row>
    <row r="84" spans="1:25" x14ac:dyDescent="0.25">
      <c r="A84">
        <v>83</v>
      </c>
      <c r="B84">
        <v>83</v>
      </c>
      <c r="C84" t="s">
        <v>207</v>
      </c>
      <c r="D84" t="s">
        <v>42</v>
      </c>
      <c r="E84" t="s">
        <v>43</v>
      </c>
      <c r="F84" t="s">
        <v>208</v>
      </c>
      <c r="G84" t="s">
        <v>45</v>
      </c>
      <c r="H84" t="s">
        <v>26</v>
      </c>
      <c r="I84" s="1">
        <v>42859</v>
      </c>
      <c r="J84" t="s">
        <v>207</v>
      </c>
      <c r="K84" t="s">
        <v>43</v>
      </c>
      <c r="L84">
        <v>5</v>
      </c>
      <c r="M84">
        <v>5</v>
      </c>
      <c r="N84">
        <v>25</v>
      </c>
      <c r="O84">
        <v>39</v>
      </c>
      <c r="P84">
        <v>1.04</v>
      </c>
      <c r="Q84">
        <v>104</v>
      </c>
      <c r="R84">
        <v>1042</v>
      </c>
      <c r="S84">
        <v>41.68</v>
      </c>
      <c r="T84">
        <v>26.717948717948701</v>
      </c>
      <c r="U84" t="s">
        <v>42</v>
      </c>
      <c r="V84" s="3" t="s">
        <v>46</v>
      </c>
      <c r="W84" t="str">
        <f t="shared" si="3"/>
        <v/>
      </c>
      <c r="X84" t="str">
        <f t="shared" si="4"/>
        <v/>
      </c>
      <c r="Y84" t="str">
        <f t="shared" si="5"/>
        <v/>
      </c>
    </row>
    <row r="85" spans="1:25" x14ac:dyDescent="0.25">
      <c r="A85">
        <v>84</v>
      </c>
      <c r="B85">
        <v>84</v>
      </c>
      <c r="C85" t="s">
        <v>209</v>
      </c>
      <c r="D85" t="s">
        <v>42</v>
      </c>
      <c r="E85" t="s">
        <v>43</v>
      </c>
      <c r="F85" t="s">
        <v>210</v>
      </c>
      <c r="G85" t="s">
        <v>45</v>
      </c>
      <c r="H85" t="s">
        <v>26</v>
      </c>
      <c r="I85" s="1">
        <v>42859</v>
      </c>
      <c r="J85" t="s">
        <v>209</v>
      </c>
      <c r="K85" t="s">
        <v>43</v>
      </c>
      <c r="L85">
        <v>5</v>
      </c>
      <c r="M85">
        <v>5</v>
      </c>
      <c r="N85">
        <v>25</v>
      </c>
      <c r="O85">
        <v>39</v>
      </c>
      <c r="P85">
        <v>1.05</v>
      </c>
      <c r="Q85">
        <v>105</v>
      </c>
      <c r="R85">
        <v>1052</v>
      </c>
      <c r="S85">
        <v>42.08</v>
      </c>
      <c r="T85">
        <v>26.974358974358999</v>
      </c>
      <c r="U85" t="s">
        <v>42</v>
      </c>
      <c r="V85" s="3" t="s">
        <v>46</v>
      </c>
      <c r="W85" t="str">
        <f t="shared" si="3"/>
        <v/>
      </c>
      <c r="X85" t="str">
        <f t="shared" si="4"/>
        <v/>
      </c>
      <c r="Y85" t="str">
        <f t="shared" si="5"/>
        <v/>
      </c>
    </row>
    <row r="86" spans="1:25" x14ac:dyDescent="0.25">
      <c r="A86">
        <v>85</v>
      </c>
      <c r="B86">
        <v>85</v>
      </c>
      <c r="C86" t="s">
        <v>211</v>
      </c>
      <c r="D86" t="s">
        <v>102</v>
      </c>
      <c r="E86" t="s">
        <v>43</v>
      </c>
      <c r="F86" t="s">
        <v>212</v>
      </c>
      <c r="G86" t="s">
        <v>51</v>
      </c>
      <c r="H86" t="s">
        <v>52</v>
      </c>
      <c r="I86" s="1">
        <v>42862</v>
      </c>
      <c r="J86" t="s">
        <v>211</v>
      </c>
      <c r="K86" t="s">
        <v>43</v>
      </c>
      <c r="L86">
        <v>20</v>
      </c>
      <c r="M86">
        <v>8</v>
      </c>
      <c r="N86">
        <v>160</v>
      </c>
      <c r="O86">
        <v>80</v>
      </c>
      <c r="P86">
        <v>23.67</v>
      </c>
      <c r="Q86">
        <v>2367</v>
      </c>
      <c r="R86">
        <v>16570</v>
      </c>
      <c r="S86">
        <v>103.5625</v>
      </c>
      <c r="T86">
        <v>207.125</v>
      </c>
      <c r="U86" t="s">
        <v>102</v>
      </c>
      <c r="V86" s="3" t="s">
        <v>46</v>
      </c>
      <c r="W86" t="str">
        <f t="shared" si="3"/>
        <v/>
      </c>
      <c r="X86" t="str">
        <f t="shared" si="4"/>
        <v/>
      </c>
      <c r="Y86" t="str">
        <f t="shared" si="5"/>
        <v/>
      </c>
    </row>
    <row r="87" spans="1:25" x14ac:dyDescent="0.25">
      <c r="A87">
        <v>86</v>
      </c>
      <c r="B87">
        <v>86</v>
      </c>
      <c r="C87" t="s">
        <v>213</v>
      </c>
      <c r="D87" t="s">
        <v>66</v>
      </c>
      <c r="E87" t="s">
        <v>43</v>
      </c>
      <c r="F87" t="s">
        <v>214</v>
      </c>
      <c r="G87" t="s">
        <v>51</v>
      </c>
      <c r="H87" t="s">
        <v>52</v>
      </c>
      <c r="I87" s="1">
        <v>42874</v>
      </c>
      <c r="J87" t="s">
        <v>213</v>
      </c>
      <c r="K87" t="s">
        <v>43</v>
      </c>
      <c r="L87">
        <v>20</v>
      </c>
      <c r="M87">
        <v>8</v>
      </c>
      <c r="N87">
        <v>160</v>
      </c>
      <c r="O87">
        <v>77.5</v>
      </c>
      <c r="P87">
        <v>29.56</v>
      </c>
      <c r="Q87">
        <v>2956</v>
      </c>
      <c r="R87">
        <v>24734</v>
      </c>
      <c r="S87">
        <v>154.58750000000001</v>
      </c>
      <c r="T87">
        <v>319.148387096774</v>
      </c>
      <c r="U87" t="s">
        <v>66</v>
      </c>
      <c r="V87" s="3" t="s">
        <v>46</v>
      </c>
      <c r="W87" t="str">
        <f t="shared" si="3"/>
        <v/>
      </c>
      <c r="X87" t="str">
        <f t="shared" si="4"/>
        <v/>
      </c>
      <c r="Y87" t="str">
        <f t="shared" si="5"/>
        <v/>
      </c>
    </row>
    <row r="88" spans="1:25" x14ac:dyDescent="0.25">
      <c r="A88">
        <v>87</v>
      </c>
      <c r="B88">
        <v>87</v>
      </c>
      <c r="C88" t="s">
        <v>215</v>
      </c>
      <c r="D88" t="s">
        <v>42</v>
      </c>
      <c r="E88" t="s">
        <v>43</v>
      </c>
      <c r="F88" t="s">
        <v>216</v>
      </c>
      <c r="G88" t="s">
        <v>51</v>
      </c>
      <c r="H88" t="s">
        <v>52</v>
      </c>
      <c r="I88" s="1">
        <v>42877</v>
      </c>
      <c r="J88" t="s">
        <v>215</v>
      </c>
      <c r="K88" t="s">
        <v>43</v>
      </c>
      <c r="L88">
        <v>20</v>
      </c>
      <c r="M88">
        <v>8</v>
      </c>
      <c r="N88">
        <v>160</v>
      </c>
      <c r="O88">
        <v>80</v>
      </c>
      <c r="P88">
        <v>26.15</v>
      </c>
      <c r="Q88">
        <v>2615</v>
      </c>
      <c r="R88">
        <v>26149</v>
      </c>
      <c r="S88">
        <v>163.43125000000001</v>
      </c>
      <c r="T88">
        <v>326.86250000000001</v>
      </c>
      <c r="U88" t="s">
        <v>42</v>
      </c>
      <c r="V88" s="3" t="s">
        <v>46</v>
      </c>
      <c r="W88" t="str">
        <f t="shared" si="3"/>
        <v/>
      </c>
      <c r="X88" t="str">
        <f t="shared" si="4"/>
        <v/>
      </c>
      <c r="Y88" t="str">
        <f t="shared" si="5"/>
        <v/>
      </c>
    </row>
    <row r="89" spans="1:25" x14ac:dyDescent="0.25">
      <c r="A89">
        <v>88</v>
      </c>
      <c r="B89">
        <v>88</v>
      </c>
      <c r="C89" t="s">
        <v>217</v>
      </c>
      <c r="D89" t="s">
        <v>66</v>
      </c>
      <c r="E89" t="s">
        <v>23</v>
      </c>
      <c r="F89" t="s">
        <v>218</v>
      </c>
      <c r="G89" t="s">
        <v>25</v>
      </c>
      <c r="H89" t="s">
        <v>26</v>
      </c>
      <c r="I89" s="1">
        <v>42880</v>
      </c>
      <c r="J89" t="s">
        <v>217</v>
      </c>
      <c r="K89" t="s">
        <v>23</v>
      </c>
      <c r="L89">
        <v>1</v>
      </c>
      <c r="M89">
        <v>1</v>
      </c>
      <c r="N89">
        <v>1</v>
      </c>
      <c r="O89">
        <v>8.0000000000000002E-3</v>
      </c>
      <c r="P89">
        <v>1.4999999999999999E-2</v>
      </c>
      <c r="Q89">
        <v>3</v>
      </c>
      <c r="R89">
        <v>12</v>
      </c>
      <c r="S89">
        <v>12</v>
      </c>
      <c r="T89">
        <v>1500</v>
      </c>
      <c r="U89" t="s">
        <v>66</v>
      </c>
      <c r="V89" s="3" t="s">
        <v>219</v>
      </c>
      <c r="W89" t="str">
        <f t="shared" si="3"/>
        <v/>
      </c>
      <c r="X89" t="str">
        <f t="shared" si="4"/>
        <v/>
      </c>
      <c r="Y89" t="str">
        <f t="shared" si="5"/>
        <v/>
      </c>
    </row>
    <row r="90" spans="1:25" x14ac:dyDescent="0.25">
      <c r="A90">
        <v>89</v>
      </c>
      <c r="B90">
        <v>89</v>
      </c>
      <c r="C90" t="s">
        <v>220</v>
      </c>
      <c r="D90" t="s">
        <v>66</v>
      </c>
      <c r="E90" t="s">
        <v>23</v>
      </c>
      <c r="F90" t="s">
        <v>221</v>
      </c>
      <c r="G90" t="s">
        <v>25</v>
      </c>
      <c r="H90" t="s">
        <v>26</v>
      </c>
      <c r="I90" s="1">
        <v>42880</v>
      </c>
      <c r="J90" t="s">
        <v>220</v>
      </c>
      <c r="K90" t="s">
        <v>23</v>
      </c>
      <c r="L90">
        <v>1</v>
      </c>
      <c r="M90">
        <v>1</v>
      </c>
      <c r="N90">
        <v>1</v>
      </c>
      <c r="O90">
        <v>8.0000000000000002E-3</v>
      </c>
      <c r="P90">
        <v>1.4999999999999999E-2</v>
      </c>
      <c r="Q90">
        <v>3</v>
      </c>
      <c r="R90">
        <v>12</v>
      </c>
      <c r="S90">
        <v>12</v>
      </c>
      <c r="T90">
        <v>1500</v>
      </c>
      <c r="U90" t="s">
        <v>66</v>
      </c>
      <c r="V90" s="3" t="s">
        <v>219</v>
      </c>
      <c r="W90" t="str">
        <f t="shared" si="3"/>
        <v/>
      </c>
      <c r="X90" t="str">
        <f t="shared" si="4"/>
        <v/>
      </c>
      <c r="Y90" t="str">
        <f t="shared" si="5"/>
        <v/>
      </c>
    </row>
    <row r="91" spans="1:25" x14ac:dyDescent="0.25">
      <c r="A91">
        <v>90</v>
      </c>
      <c r="B91">
        <v>90</v>
      </c>
      <c r="C91" t="s">
        <v>222</v>
      </c>
      <c r="D91" t="s">
        <v>66</v>
      </c>
      <c r="E91" t="s">
        <v>23</v>
      </c>
      <c r="F91" t="s">
        <v>223</v>
      </c>
      <c r="G91" t="s">
        <v>25</v>
      </c>
      <c r="H91" t="s">
        <v>26</v>
      </c>
      <c r="I91" s="1">
        <v>42880</v>
      </c>
      <c r="J91" t="s">
        <v>222</v>
      </c>
      <c r="K91" t="s">
        <v>23</v>
      </c>
      <c r="L91">
        <v>1</v>
      </c>
      <c r="M91">
        <v>1</v>
      </c>
      <c r="N91">
        <v>1</v>
      </c>
      <c r="O91">
        <v>8.0000000000000002E-3</v>
      </c>
      <c r="P91">
        <v>1.4999999999999999E-2</v>
      </c>
      <c r="Q91">
        <v>3</v>
      </c>
      <c r="R91">
        <v>12</v>
      </c>
      <c r="S91">
        <v>12</v>
      </c>
      <c r="T91">
        <v>1500</v>
      </c>
      <c r="U91" t="s">
        <v>66</v>
      </c>
      <c r="V91" s="3" t="s">
        <v>219</v>
      </c>
      <c r="W91" t="str">
        <f t="shared" si="3"/>
        <v/>
      </c>
      <c r="X91" t="str">
        <f t="shared" si="4"/>
        <v/>
      </c>
      <c r="Y91" t="str">
        <f t="shared" si="5"/>
        <v/>
      </c>
    </row>
    <row r="92" spans="1:25" x14ac:dyDescent="0.25">
      <c r="A92">
        <v>91</v>
      </c>
      <c r="B92">
        <v>91</v>
      </c>
      <c r="C92" t="s">
        <v>224</v>
      </c>
      <c r="D92" t="s">
        <v>66</v>
      </c>
      <c r="E92" t="s">
        <v>23</v>
      </c>
      <c r="F92" t="s">
        <v>225</v>
      </c>
      <c r="G92" t="s">
        <v>25</v>
      </c>
      <c r="H92" t="s">
        <v>26</v>
      </c>
      <c r="I92" s="1">
        <v>42880</v>
      </c>
      <c r="J92" t="s">
        <v>224</v>
      </c>
      <c r="K92" t="s">
        <v>23</v>
      </c>
      <c r="L92">
        <v>1</v>
      </c>
      <c r="M92">
        <v>1</v>
      </c>
      <c r="N92">
        <v>1</v>
      </c>
      <c r="O92">
        <v>8.0000000000000002E-3</v>
      </c>
      <c r="P92">
        <v>1.4999999999999999E-2</v>
      </c>
      <c r="Q92">
        <v>3</v>
      </c>
      <c r="R92">
        <v>12</v>
      </c>
      <c r="S92">
        <v>12</v>
      </c>
      <c r="T92">
        <v>1500</v>
      </c>
      <c r="U92" t="s">
        <v>66</v>
      </c>
      <c r="V92" s="3" t="s">
        <v>219</v>
      </c>
      <c r="W92" t="str">
        <f t="shared" si="3"/>
        <v/>
      </c>
      <c r="X92" t="str">
        <f t="shared" si="4"/>
        <v/>
      </c>
      <c r="Y92" t="str">
        <f t="shared" si="5"/>
        <v/>
      </c>
    </row>
    <row r="93" spans="1:25" x14ac:dyDescent="0.25">
      <c r="A93">
        <v>92</v>
      </c>
      <c r="B93">
        <v>92</v>
      </c>
      <c r="C93" t="s">
        <v>226</v>
      </c>
      <c r="D93" t="s">
        <v>66</v>
      </c>
      <c r="E93" t="s">
        <v>23</v>
      </c>
      <c r="F93" t="s">
        <v>227</v>
      </c>
      <c r="G93" t="s">
        <v>25</v>
      </c>
      <c r="H93" t="s">
        <v>26</v>
      </c>
      <c r="I93" s="1">
        <v>42880</v>
      </c>
      <c r="J93" t="s">
        <v>226</v>
      </c>
      <c r="K93" t="s">
        <v>23</v>
      </c>
      <c r="L93">
        <v>1</v>
      </c>
      <c r="M93">
        <v>1</v>
      </c>
      <c r="N93">
        <v>1</v>
      </c>
      <c r="O93">
        <v>8.0000000000000002E-3</v>
      </c>
      <c r="P93">
        <v>1.4999999999999999E-2</v>
      </c>
      <c r="Q93">
        <v>3</v>
      </c>
      <c r="R93">
        <v>12</v>
      </c>
      <c r="S93">
        <v>12</v>
      </c>
      <c r="T93">
        <v>1500</v>
      </c>
      <c r="U93" t="s">
        <v>66</v>
      </c>
      <c r="V93" s="3" t="s">
        <v>219</v>
      </c>
      <c r="W93" t="str">
        <f t="shared" si="3"/>
        <v/>
      </c>
      <c r="X93" t="str">
        <f t="shared" si="4"/>
        <v/>
      </c>
      <c r="Y93" t="str">
        <f t="shared" si="5"/>
        <v/>
      </c>
    </row>
    <row r="94" spans="1:25" x14ac:dyDescent="0.25">
      <c r="A94">
        <v>93</v>
      </c>
      <c r="B94">
        <v>93</v>
      </c>
      <c r="C94" t="s">
        <v>228</v>
      </c>
      <c r="D94" t="s">
        <v>66</v>
      </c>
      <c r="E94" t="s">
        <v>23</v>
      </c>
      <c r="F94" t="s">
        <v>229</v>
      </c>
      <c r="G94" t="s">
        <v>25</v>
      </c>
      <c r="H94" t="s">
        <v>26</v>
      </c>
      <c r="I94" s="1">
        <v>42880</v>
      </c>
      <c r="J94" t="s">
        <v>228</v>
      </c>
      <c r="K94" t="s">
        <v>23</v>
      </c>
      <c r="L94">
        <v>1</v>
      </c>
      <c r="M94">
        <v>1</v>
      </c>
      <c r="N94">
        <v>1</v>
      </c>
      <c r="O94">
        <v>8.0000000000000002E-3</v>
      </c>
      <c r="P94">
        <v>1.4999999999999999E-2</v>
      </c>
      <c r="Q94">
        <v>3</v>
      </c>
      <c r="R94">
        <v>12</v>
      </c>
      <c r="S94">
        <v>12</v>
      </c>
      <c r="T94">
        <v>1500</v>
      </c>
      <c r="U94" t="s">
        <v>66</v>
      </c>
      <c r="V94" s="3" t="s">
        <v>219</v>
      </c>
      <c r="W94" t="str">
        <f t="shared" si="3"/>
        <v/>
      </c>
      <c r="X94" t="str">
        <f t="shared" si="4"/>
        <v/>
      </c>
      <c r="Y94" t="str">
        <f t="shared" si="5"/>
        <v/>
      </c>
    </row>
    <row r="95" spans="1:25" x14ac:dyDescent="0.25">
      <c r="A95">
        <v>94</v>
      </c>
      <c r="B95">
        <v>94</v>
      </c>
      <c r="C95" t="s">
        <v>230</v>
      </c>
      <c r="D95" t="s">
        <v>66</v>
      </c>
      <c r="E95" t="s">
        <v>23</v>
      </c>
      <c r="F95" t="s">
        <v>231</v>
      </c>
      <c r="G95" t="s">
        <v>25</v>
      </c>
      <c r="H95" t="s">
        <v>26</v>
      </c>
      <c r="I95" s="1">
        <v>42880</v>
      </c>
      <c r="J95" t="s">
        <v>230</v>
      </c>
      <c r="K95" t="s">
        <v>23</v>
      </c>
      <c r="L95">
        <v>1</v>
      </c>
      <c r="M95">
        <v>1</v>
      </c>
      <c r="N95">
        <v>1</v>
      </c>
      <c r="O95">
        <v>8.0000000000000002E-3</v>
      </c>
      <c r="P95">
        <v>1.4999999999999999E-2</v>
      </c>
      <c r="Q95">
        <v>3</v>
      </c>
      <c r="R95">
        <v>12</v>
      </c>
      <c r="S95">
        <v>12</v>
      </c>
      <c r="T95">
        <v>1500</v>
      </c>
      <c r="U95" t="s">
        <v>66</v>
      </c>
      <c r="V95" s="3" t="s">
        <v>219</v>
      </c>
      <c r="W95" t="str">
        <f t="shared" si="3"/>
        <v/>
      </c>
      <c r="X95" t="str">
        <f t="shared" si="4"/>
        <v/>
      </c>
      <c r="Y95" t="str">
        <f t="shared" si="5"/>
        <v/>
      </c>
    </row>
    <row r="96" spans="1:25" x14ac:dyDescent="0.25">
      <c r="A96">
        <v>95</v>
      </c>
      <c r="B96">
        <v>95</v>
      </c>
      <c r="C96" t="s">
        <v>232</v>
      </c>
      <c r="D96" t="s">
        <v>66</v>
      </c>
      <c r="E96" t="s">
        <v>23</v>
      </c>
      <c r="F96" t="s">
        <v>233</v>
      </c>
      <c r="G96" t="s">
        <v>25</v>
      </c>
      <c r="H96" t="s">
        <v>26</v>
      </c>
      <c r="I96" s="1">
        <v>42880</v>
      </c>
      <c r="J96" t="s">
        <v>232</v>
      </c>
      <c r="K96" t="s">
        <v>23</v>
      </c>
      <c r="L96">
        <v>1</v>
      </c>
      <c r="M96">
        <v>1</v>
      </c>
      <c r="N96">
        <v>1</v>
      </c>
      <c r="O96">
        <v>8.0000000000000002E-3</v>
      </c>
      <c r="P96">
        <v>1.4999999999999999E-2</v>
      </c>
      <c r="Q96">
        <v>3</v>
      </c>
      <c r="R96">
        <v>12</v>
      </c>
      <c r="S96">
        <v>12</v>
      </c>
      <c r="T96">
        <v>1500</v>
      </c>
      <c r="U96" t="s">
        <v>66</v>
      </c>
      <c r="V96" s="3" t="s">
        <v>219</v>
      </c>
      <c r="W96" t="str">
        <f t="shared" si="3"/>
        <v/>
      </c>
      <c r="X96" t="str">
        <f t="shared" si="4"/>
        <v/>
      </c>
      <c r="Y96" t="str">
        <f t="shared" si="5"/>
        <v/>
      </c>
    </row>
    <row r="97" spans="1:25" x14ac:dyDescent="0.25">
      <c r="A97">
        <v>96</v>
      </c>
      <c r="B97">
        <v>96</v>
      </c>
      <c r="C97" t="s">
        <v>234</v>
      </c>
      <c r="D97" t="s">
        <v>66</v>
      </c>
      <c r="E97" t="s">
        <v>23</v>
      </c>
      <c r="F97" t="s">
        <v>235</v>
      </c>
      <c r="G97" t="s">
        <v>25</v>
      </c>
      <c r="H97" t="s">
        <v>26</v>
      </c>
      <c r="I97" s="1">
        <v>42880</v>
      </c>
      <c r="J97" t="s">
        <v>234</v>
      </c>
      <c r="K97" t="s">
        <v>23</v>
      </c>
      <c r="L97">
        <v>1</v>
      </c>
      <c r="M97">
        <v>1</v>
      </c>
      <c r="N97">
        <v>1</v>
      </c>
      <c r="O97">
        <v>8.0000000000000002E-3</v>
      </c>
      <c r="P97">
        <v>1.4999999999999999E-2</v>
      </c>
      <c r="Q97">
        <v>3</v>
      </c>
      <c r="R97">
        <v>12</v>
      </c>
      <c r="S97">
        <v>12</v>
      </c>
      <c r="T97">
        <v>1500</v>
      </c>
      <c r="U97" t="s">
        <v>66</v>
      </c>
      <c r="V97" s="3" t="s">
        <v>219</v>
      </c>
      <c r="W97" t="str">
        <f t="shared" si="3"/>
        <v/>
      </c>
      <c r="X97" t="str">
        <f t="shared" si="4"/>
        <v/>
      </c>
      <c r="Y97" t="str">
        <f t="shared" si="5"/>
        <v/>
      </c>
    </row>
    <row r="98" spans="1:25" x14ac:dyDescent="0.25">
      <c r="A98">
        <v>97</v>
      </c>
      <c r="B98">
        <v>97</v>
      </c>
      <c r="C98" t="s">
        <v>236</v>
      </c>
      <c r="D98" t="s">
        <v>66</v>
      </c>
      <c r="E98" t="s">
        <v>23</v>
      </c>
      <c r="F98" t="s">
        <v>237</v>
      </c>
      <c r="G98" t="s">
        <v>25</v>
      </c>
      <c r="H98" t="s">
        <v>26</v>
      </c>
      <c r="I98" s="1">
        <v>42880</v>
      </c>
      <c r="J98" t="s">
        <v>236</v>
      </c>
      <c r="K98" t="s">
        <v>23</v>
      </c>
      <c r="L98">
        <v>1</v>
      </c>
      <c r="M98">
        <v>1</v>
      </c>
      <c r="N98">
        <v>1</v>
      </c>
      <c r="O98">
        <v>8.0000000000000002E-3</v>
      </c>
      <c r="P98">
        <v>1.4999999999999999E-2</v>
      </c>
      <c r="Q98">
        <v>3</v>
      </c>
      <c r="R98">
        <v>12</v>
      </c>
      <c r="S98">
        <v>12</v>
      </c>
      <c r="T98">
        <v>1500</v>
      </c>
      <c r="U98" t="s">
        <v>66</v>
      </c>
      <c r="V98" s="3" t="s">
        <v>219</v>
      </c>
      <c r="W98" t="str">
        <f t="shared" si="3"/>
        <v/>
      </c>
      <c r="X98" t="str">
        <f t="shared" si="4"/>
        <v/>
      </c>
      <c r="Y98" t="str">
        <f t="shared" si="5"/>
        <v/>
      </c>
    </row>
    <row r="99" spans="1:25" x14ac:dyDescent="0.25">
      <c r="A99">
        <v>98</v>
      </c>
      <c r="B99">
        <v>98</v>
      </c>
      <c r="C99" t="s">
        <v>238</v>
      </c>
      <c r="D99" t="s">
        <v>66</v>
      </c>
      <c r="E99" t="s">
        <v>23</v>
      </c>
      <c r="F99" t="s">
        <v>239</v>
      </c>
      <c r="G99" t="s">
        <v>25</v>
      </c>
      <c r="H99" t="s">
        <v>26</v>
      </c>
      <c r="I99" s="1">
        <v>42880</v>
      </c>
      <c r="J99" t="s">
        <v>238</v>
      </c>
      <c r="K99" t="s">
        <v>23</v>
      </c>
      <c r="L99">
        <v>1</v>
      </c>
      <c r="M99">
        <v>1</v>
      </c>
      <c r="N99">
        <v>1</v>
      </c>
      <c r="O99">
        <v>8.0000000000000002E-3</v>
      </c>
      <c r="P99">
        <v>1.4999999999999999E-2</v>
      </c>
      <c r="Q99">
        <v>3</v>
      </c>
      <c r="R99">
        <v>12</v>
      </c>
      <c r="S99">
        <v>12</v>
      </c>
      <c r="T99">
        <v>1500</v>
      </c>
      <c r="U99" t="s">
        <v>66</v>
      </c>
      <c r="V99" s="3" t="s">
        <v>219</v>
      </c>
      <c r="W99" t="str">
        <f t="shared" si="3"/>
        <v/>
      </c>
      <c r="X99" t="str">
        <f t="shared" si="4"/>
        <v/>
      </c>
      <c r="Y99" t="str">
        <f t="shared" si="5"/>
        <v/>
      </c>
    </row>
    <row r="100" spans="1:25" x14ac:dyDescent="0.25">
      <c r="A100">
        <v>99</v>
      </c>
      <c r="B100">
        <v>99</v>
      </c>
      <c r="C100" t="s">
        <v>240</v>
      </c>
      <c r="D100" t="s">
        <v>66</v>
      </c>
      <c r="E100" t="s">
        <v>23</v>
      </c>
      <c r="F100" t="s">
        <v>241</v>
      </c>
      <c r="G100" t="s">
        <v>25</v>
      </c>
      <c r="H100" t="s">
        <v>26</v>
      </c>
      <c r="I100" s="1">
        <v>42880</v>
      </c>
      <c r="J100" t="s">
        <v>240</v>
      </c>
      <c r="K100" t="s">
        <v>23</v>
      </c>
      <c r="L100">
        <v>1</v>
      </c>
      <c r="M100">
        <v>1</v>
      </c>
      <c r="N100">
        <v>1</v>
      </c>
      <c r="O100">
        <v>8.0000000000000002E-3</v>
      </c>
      <c r="P100">
        <v>1.4999999999999999E-2</v>
      </c>
      <c r="Q100">
        <v>3</v>
      </c>
      <c r="R100">
        <v>12</v>
      </c>
      <c r="S100">
        <v>12</v>
      </c>
      <c r="T100">
        <v>1500</v>
      </c>
      <c r="U100" t="s">
        <v>66</v>
      </c>
      <c r="V100" s="3" t="s">
        <v>219</v>
      </c>
      <c r="W100" t="str">
        <f t="shared" si="3"/>
        <v/>
      </c>
      <c r="X100" t="str">
        <f t="shared" si="4"/>
        <v/>
      </c>
      <c r="Y100" t="str">
        <f t="shared" si="5"/>
        <v/>
      </c>
    </row>
    <row r="101" spans="1:25" x14ac:dyDescent="0.25">
      <c r="A101">
        <v>100</v>
      </c>
      <c r="B101">
        <v>100</v>
      </c>
      <c r="C101" t="s">
        <v>242</v>
      </c>
      <c r="D101" t="s">
        <v>66</v>
      </c>
      <c r="E101" t="s">
        <v>103</v>
      </c>
      <c r="F101" t="s">
        <v>243</v>
      </c>
      <c r="G101" t="s">
        <v>244</v>
      </c>
      <c r="H101" t="s">
        <v>26</v>
      </c>
      <c r="I101" s="1">
        <v>42881</v>
      </c>
      <c r="J101" t="s">
        <v>242</v>
      </c>
      <c r="K101" t="s">
        <v>103</v>
      </c>
      <c r="L101">
        <v>10</v>
      </c>
      <c r="M101">
        <v>4</v>
      </c>
      <c r="N101">
        <v>40</v>
      </c>
      <c r="O101">
        <v>1.25</v>
      </c>
      <c r="P101">
        <v>0.1875</v>
      </c>
      <c r="Q101">
        <v>3</v>
      </c>
      <c r="R101">
        <v>90</v>
      </c>
      <c r="S101">
        <v>2.25</v>
      </c>
      <c r="T101">
        <v>72</v>
      </c>
      <c r="U101" t="s">
        <v>66</v>
      </c>
      <c r="V101" s="3" t="s">
        <v>245</v>
      </c>
      <c r="W101" t="str">
        <f t="shared" si="3"/>
        <v/>
      </c>
      <c r="X101" t="str">
        <f t="shared" si="4"/>
        <v/>
      </c>
      <c r="Y101" t="str">
        <f t="shared" si="5"/>
        <v/>
      </c>
    </row>
    <row r="102" spans="1:25" x14ac:dyDescent="0.25">
      <c r="A102">
        <v>101</v>
      </c>
      <c r="B102">
        <v>101</v>
      </c>
      <c r="C102" t="s">
        <v>242</v>
      </c>
      <c r="D102" t="s">
        <v>66</v>
      </c>
      <c r="E102" t="s">
        <v>246</v>
      </c>
      <c r="F102" t="s">
        <v>247</v>
      </c>
      <c r="G102" t="s">
        <v>244</v>
      </c>
      <c r="H102" t="s">
        <v>26</v>
      </c>
      <c r="I102" s="1">
        <v>42881</v>
      </c>
      <c r="J102" t="s">
        <v>242</v>
      </c>
      <c r="K102" t="s">
        <v>246</v>
      </c>
      <c r="L102">
        <v>10</v>
      </c>
      <c r="M102">
        <v>4</v>
      </c>
      <c r="N102">
        <v>40</v>
      </c>
      <c r="O102">
        <v>1.25</v>
      </c>
      <c r="P102">
        <v>2.2499999999999999E-2</v>
      </c>
      <c r="Q102">
        <v>9</v>
      </c>
      <c r="R102">
        <v>90</v>
      </c>
      <c r="S102">
        <v>2.25</v>
      </c>
      <c r="T102">
        <v>72</v>
      </c>
      <c r="U102" t="s">
        <v>66</v>
      </c>
      <c r="V102" s="3" t="s">
        <v>245</v>
      </c>
      <c r="W102" t="str">
        <f t="shared" si="3"/>
        <v/>
      </c>
      <c r="X102" t="str">
        <f t="shared" si="4"/>
        <v/>
      </c>
      <c r="Y102" t="str">
        <f t="shared" si="5"/>
        <v/>
      </c>
    </row>
    <row r="103" spans="1:25" x14ac:dyDescent="0.25">
      <c r="A103">
        <v>102</v>
      </c>
      <c r="B103">
        <v>102</v>
      </c>
      <c r="C103" t="s">
        <v>242</v>
      </c>
      <c r="D103" t="s">
        <v>66</v>
      </c>
      <c r="E103" t="s">
        <v>23</v>
      </c>
      <c r="F103" t="s">
        <v>248</v>
      </c>
      <c r="G103" t="s">
        <v>244</v>
      </c>
      <c r="H103" t="s">
        <v>26</v>
      </c>
      <c r="I103" s="1">
        <v>42881</v>
      </c>
      <c r="J103" t="s">
        <v>242</v>
      </c>
      <c r="K103" t="s">
        <v>23</v>
      </c>
      <c r="L103">
        <v>10</v>
      </c>
      <c r="M103">
        <v>4</v>
      </c>
      <c r="N103">
        <v>40</v>
      </c>
      <c r="O103">
        <v>1.25</v>
      </c>
      <c r="P103">
        <v>4.4999999999999998E-2</v>
      </c>
      <c r="Q103">
        <v>9</v>
      </c>
      <c r="R103">
        <v>90</v>
      </c>
      <c r="S103">
        <v>2.25</v>
      </c>
      <c r="T103">
        <v>72</v>
      </c>
      <c r="U103" t="s">
        <v>66</v>
      </c>
      <c r="V103" s="3" t="s">
        <v>245</v>
      </c>
      <c r="W103" t="str">
        <f t="shared" si="3"/>
        <v/>
      </c>
      <c r="X103" t="str">
        <f t="shared" si="4"/>
        <v/>
      </c>
      <c r="Y103" t="str">
        <f t="shared" si="5"/>
        <v/>
      </c>
    </row>
    <row r="104" spans="1:25" x14ac:dyDescent="0.25">
      <c r="A104">
        <v>103</v>
      </c>
      <c r="B104">
        <v>103</v>
      </c>
      <c r="C104" t="s">
        <v>242</v>
      </c>
      <c r="D104" t="s">
        <v>66</v>
      </c>
      <c r="E104" t="s">
        <v>36</v>
      </c>
      <c r="F104" t="s">
        <v>249</v>
      </c>
      <c r="G104" t="s">
        <v>244</v>
      </c>
      <c r="H104" t="s">
        <v>26</v>
      </c>
      <c r="I104" s="1">
        <v>42881</v>
      </c>
      <c r="J104" t="s">
        <v>242</v>
      </c>
      <c r="K104" t="s">
        <v>36</v>
      </c>
      <c r="L104">
        <v>10</v>
      </c>
      <c r="M104">
        <v>4</v>
      </c>
      <c r="N104">
        <v>40</v>
      </c>
      <c r="O104">
        <v>1.25</v>
      </c>
      <c r="P104">
        <v>7.4999999999999997E-2</v>
      </c>
      <c r="Q104">
        <v>3</v>
      </c>
      <c r="R104">
        <v>90</v>
      </c>
      <c r="S104">
        <v>2.25</v>
      </c>
      <c r="T104">
        <v>72</v>
      </c>
      <c r="U104" t="s">
        <v>66</v>
      </c>
      <c r="V104" s="3" t="s">
        <v>245</v>
      </c>
      <c r="W104" t="str">
        <f t="shared" si="3"/>
        <v/>
      </c>
      <c r="X104" t="str">
        <f t="shared" si="4"/>
        <v/>
      </c>
      <c r="Y104" t="str">
        <f t="shared" si="5"/>
        <v/>
      </c>
    </row>
    <row r="105" spans="1:25" x14ac:dyDescent="0.25">
      <c r="A105">
        <v>104</v>
      </c>
      <c r="B105">
        <v>104</v>
      </c>
      <c r="C105" t="s">
        <v>250</v>
      </c>
      <c r="D105" t="s">
        <v>66</v>
      </c>
      <c r="E105" t="s">
        <v>103</v>
      </c>
      <c r="F105" t="s">
        <v>251</v>
      </c>
      <c r="G105" t="s">
        <v>244</v>
      </c>
      <c r="H105" t="s">
        <v>26</v>
      </c>
      <c r="I105" s="1">
        <v>42881</v>
      </c>
      <c r="J105" t="s">
        <v>250</v>
      </c>
      <c r="K105" t="s">
        <v>103</v>
      </c>
      <c r="L105">
        <v>10</v>
      </c>
      <c r="M105">
        <v>4</v>
      </c>
      <c r="N105">
        <v>40</v>
      </c>
      <c r="O105">
        <v>1.25</v>
      </c>
      <c r="P105">
        <v>0.1875</v>
      </c>
      <c r="Q105">
        <v>3</v>
      </c>
      <c r="R105">
        <v>90</v>
      </c>
      <c r="S105">
        <v>2.25</v>
      </c>
      <c r="T105">
        <v>72</v>
      </c>
      <c r="U105" t="s">
        <v>66</v>
      </c>
      <c r="V105" s="3" t="s">
        <v>245</v>
      </c>
      <c r="W105" t="str">
        <f t="shared" si="3"/>
        <v/>
      </c>
      <c r="X105" t="str">
        <f t="shared" si="4"/>
        <v/>
      </c>
      <c r="Y105" t="str">
        <f t="shared" si="5"/>
        <v/>
      </c>
    </row>
    <row r="106" spans="1:25" x14ac:dyDescent="0.25">
      <c r="A106">
        <v>105</v>
      </c>
      <c r="B106">
        <v>105</v>
      </c>
      <c r="C106" t="s">
        <v>250</v>
      </c>
      <c r="D106" t="s">
        <v>66</v>
      </c>
      <c r="E106" t="s">
        <v>246</v>
      </c>
      <c r="F106" t="s">
        <v>252</v>
      </c>
      <c r="G106" t="s">
        <v>244</v>
      </c>
      <c r="H106" t="s">
        <v>26</v>
      </c>
      <c r="I106" s="1">
        <v>42881</v>
      </c>
      <c r="J106" t="s">
        <v>250</v>
      </c>
      <c r="K106" t="s">
        <v>246</v>
      </c>
      <c r="L106">
        <v>10</v>
      </c>
      <c r="M106">
        <v>4</v>
      </c>
      <c r="N106">
        <v>40</v>
      </c>
      <c r="O106">
        <v>1.25</v>
      </c>
      <c r="P106">
        <v>2.2499999999999999E-2</v>
      </c>
      <c r="Q106">
        <v>9</v>
      </c>
      <c r="R106">
        <v>90</v>
      </c>
      <c r="S106">
        <v>2.25</v>
      </c>
      <c r="T106">
        <v>72</v>
      </c>
      <c r="U106" t="s">
        <v>66</v>
      </c>
      <c r="V106" s="3" t="s">
        <v>245</v>
      </c>
      <c r="W106" t="str">
        <f t="shared" si="3"/>
        <v/>
      </c>
      <c r="X106" t="str">
        <f t="shared" si="4"/>
        <v/>
      </c>
      <c r="Y106" t="str">
        <f t="shared" si="5"/>
        <v/>
      </c>
    </row>
    <row r="107" spans="1:25" x14ac:dyDescent="0.25">
      <c r="A107">
        <v>106</v>
      </c>
      <c r="B107">
        <v>106</v>
      </c>
      <c r="C107" t="s">
        <v>250</v>
      </c>
      <c r="D107" t="s">
        <v>66</v>
      </c>
      <c r="E107" t="s">
        <v>23</v>
      </c>
      <c r="F107" t="s">
        <v>253</v>
      </c>
      <c r="G107" t="s">
        <v>244</v>
      </c>
      <c r="H107" t="s">
        <v>26</v>
      </c>
      <c r="I107" s="1">
        <v>42881</v>
      </c>
      <c r="J107" t="s">
        <v>250</v>
      </c>
      <c r="K107" t="s">
        <v>23</v>
      </c>
      <c r="L107">
        <v>10</v>
      </c>
      <c r="M107">
        <v>4</v>
      </c>
      <c r="N107">
        <v>40</v>
      </c>
      <c r="O107">
        <v>1.25</v>
      </c>
      <c r="P107">
        <v>4.4999999999999998E-2</v>
      </c>
      <c r="Q107">
        <v>9</v>
      </c>
      <c r="R107">
        <v>90</v>
      </c>
      <c r="S107">
        <v>2.25</v>
      </c>
      <c r="T107">
        <v>72</v>
      </c>
      <c r="U107" t="s">
        <v>66</v>
      </c>
      <c r="V107" s="3" t="s">
        <v>245</v>
      </c>
      <c r="W107" t="str">
        <f t="shared" si="3"/>
        <v/>
      </c>
      <c r="X107" t="str">
        <f t="shared" si="4"/>
        <v/>
      </c>
      <c r="Y107" t="str">
        <f t="shared" si="5"/>
        <v/>
      </c>
    </row>
    <row r="108" spans="1:25" x14ac:dyDescent="0.25">
      <c r="A108">
        <v>107</v>
      </c>
      <c r="B108">
        <v>107</v>
      </c>
      <c r="C108" t="s">
        <v>250</v>
      </c>
      <c r="D108" t="s">
        <v>66</v>
      </c>
      <c r="E108" t="s">
        <v>36</v>
      </c>
      <c r="F108" t="s">
        <v>254</v>
      </c>
      <c r="G108" t="s">
        <v>244</v>
      </c>
      <c r="H108" t="s">
        <v>26</v>
      </c>
      <c r="I108" s="1">
        <v>42881</v>
      </c>
      <c r="J108" t="s">
        <v>250</v>
      </c>
      <c r="K108" t="s">
        <v>36</v>
      </c>
      <c r="L108">
        <v>10</v>
      </c>
      <c r="M108">
        <v>4</v>
      </c>
      <c r="N108">
        <v>40</v>
      </c>
      <c r="O108">
        <v>1.25</v>
      </c>
      <c r="P108">
        <v>7.4999999999999997E-2</v>
      </c>
      <c r="Q108">
        <v>3</v>
      </c>
      <c r="R108">
        <v>90</v>
      </c>
      <c r="S108">
        <v>2.25</v>
      </c>
      <c r="T108">
        <v>72</v>
      </c>
      <c r="U108" t="s">
        <v>66</v>
      </c>
      <c r="V108" s="3" t="s">
        <v>245</v>
      </c>
      <c r="W108" t="str">
        <f t="shared" si="3"/>
        <v/>
      </c>
      <c r="X108" t="str">
        <f t="shared" si="4"/>
        <v/>
      </c>
      <c r="Y108" t="str">
        <f t="shared" si="5"/>
        <v/>
      </c>
    </row>
    <row r="109" spans="1:25" x14ac:dyDescent="0.25">
      <c r="A109">
        <v>108</v>
      </c>
      <c r="B109">
        <v>108</v>
      </c>
      <c r="C109" t="s">
        <v>255</v>
      </c>
      <c r="D109" t="s">
        <v>66</v>
      </c>
      <c r="E109" t="s">
        <v>103</v>
      </c>
      <c r="F109" t="s">
        <v>256</v>
      </c>
      <c r="G109" t="s">
        <v>244</v>
      </c>
      <c r="H109" t="s">
        <v>26</v>
      </c>
      <c r="I109" s="1">
        <v>42881</v>
      </c>
      <c r="J109" t="s">
        <v>255</v>
      </c>
      <c r="K109" t="s">
        <v>103</v>
      </c>
      <c r="L109">
        <v>10</v>
      </c>
      <c r="M109">
        <v>4</v>
      </c>
      <c r="N109">
        <v>40</v>
      </c>
      <c r="O109">
        <v>1.25</v>
      </c>
      <c r="P109">
        <v>0.1875</v>
      </c>
      <c r="Q109">
        <v>3</v>
      </c>
      <c r="R109">
        <v>90</v>
      </c>
      <c r="S109">
        <v>2.25</v>
      </c>
      <c r="T109">
        <v>72</v>
      </c>
      <c r="U109" t="s">
        <v>66</v>
      </c>
      <c r="V109" s="3" t="s">
        <v>245</v>
      </c>
      <c r="W109" t="str">
        <f t="shared" si="3"/>
        <v/>
      </c>
      <c r="X109" t="str">
        <f t="shared" si="4"/>
        <v/>
      </c>
      <c r="Y109" t="str">
        <f t="shared" si="5"/>
        <v/>
      </c>
    </row>
    <row r="110" spans="1:25" x14ac:dyDescent="0.25">
      <c r="A110">
        <v>109</v>
      </c>
      <c r="B110">
        <v>109</v>
      </c>
      <c r="C110" t="s">
        <v>255</v>
      </c>
      <c r="D110" t="s">
        <v>66</v>
      </c>
      <c r="E110" t="s">
        <v>246</v>
      </c>
      <c r="F110" t="s">
        <v>257</v>
      </c>
      <c r="G110" t="s">
        <v>244</v>
      </c>
      <c r="H110" t="s">
        <v>26</v>
      </c>
      <c r="I110" s="1">
        <v>42881</v>
      </c>
      <c r="J110" t="s">
        <v>255</v>
      </c>
      <c r="K110" t="s">
        <v>246</v>
      </c>
      <c r="L110">
        <v>10</v>
      </c>
      <c r="M110">
        <v>4</v>
      </c>
      <c r="N110">
        <v>40</v>
      </c>
      <c r="O110">
        <v>1.25</v>
      </c>
      <c r="P110">
        <v>2.2499999999999999E-2</v>
      </c>
      <c r="Q110">
        <v>9</v>
      </c>
      <c r="R110">
        <v>90</v>
      </c>
      <c r="S110">
        <v>2.25</v>
      </c>
      <c r="T110">
        <v>72</v>
      </c>
      <c r="U110" t="s">
        <v>66</v>
      </c>
      <c r="V110" s="3" t="s">
        <v>245</v>
      </c>
      <c r="W110" t="str">
        <f t="shared" si="3"/>
        <v/>
      </c>
      <c r="X110" t="str">
        <f t="shared" si="4"/>
        <v/>
      </c>
      <c r="Y110" t="str">
        <f t="shared" si="5"/>
        <v/>
      </c>
    </row>
    <row r="111" spans="1:25" x14ac:dyDescent="0.25">
      <c r="A111">
        <v>110</v>
      </c>
      <c r="B111">
        <v>110</v>
      </c>
      <c r="C111" t="s">
        <v>255</v>
      </c>
      <c r="D111" t="s">
        <v>66</v>
      </c>
      <c r="E111" t="s">
        <v>23</v>
      </c>
      <c r="F111" t="s">
        <v>258</v>
      </c>
      <c r="G111" t="s">
        <v>244</v>
      </c>
      <c r="H111" t="s">
        <v>26</v>
      </c>
      <c r="I111" s="1">
        <v>42881</v>
      </c>
      <c r="J111" t="s">
        <v>255</v>
      </c>
      <c r="K111" t="s">
        <v>23</v>
      </c>
      <c r="L111">
        <v>10</v>
      </c>
      <c r="M111">
        <v>4</v>
      </c>
      <c r="N111">
        <v>40</v>
      </c>
      <c r="O111">
        <v>1.25</v>
      </c>
      <c r="P111">
        <v>4.4999999999999998E-2</v>
      </c>
      <c r="Q111">
        <v>9</v>
      </c>
      <c r="R111">
        <v>90</v>
      </c>
      <c r="S111">
        <v>2.25</v>
      </c>
      <c r="T111">
        <v>72</v>
      </c>
      <c r="U111" t="s">
        <v>66</v>
      </c>
      <c r="V111" s="3" t="s">
        <v>245</v>
      </c>
      <c r="W111" t="str">
        <f t="shared" si="3"/>
        <v/>
      </c>
      <c r="X111" t="str">
        <f t="shared" si="4"/>
        <v/>
      </c>
      <c r="Y111" t="str">
        <f t="shared" si="5"/>
        <v/>
      </c>
    </row>
    <row r="112" spans="1:25" x14ac:dyDescent="0.25">
      <c r="A112">
        <v>111</v>
      </c>
      <c r="B112">
        <v>111</v>
      </c>
      <c r="C112" t="s">
        <v>255</v>
      </c>
      <c r="D112" t="s">
        <v>66</v>
      </c>
      <c r="E112" t="s">
        <v>36</v>
      </c>
      <c r="F112" t="s">
        <v>259</v>
      </c>
      <c r="G112" t="s">
        <v>244</v>
      </c>
      <c r="H112" t="s">
        <v>26</v>
      </c>
      <c r="I112" s="1">
        <v>42881</v>
      </c>
      <c r="J112" t="s">
        <v>255</v>
      </c>
      <c r="K112" t="s">
        <v>36</v>
      </c>
      <c r="L112">
        <v>10</v>
      </c>
      <c r="M112">
        <v>4</v>
      </c>
      <c r="N112">
        <v>40</v>
      </c>
      <c r="O112">
        <v>1.25</v>
      </c>
      <c r="P112">
        <v>7.4999999999999997E-2</v>
      </c>
      <c r="Q112">
        <v>3</v>
      </c>
      <c r="R112">
        <v>90</v>
      </c>
      <c r="S112">
        <v>2.25</v>
      </c>
      <c r="T112">
        <v>72</v>
      </c>
      <c r="U112" t="s">
        <v>66</v>
      </c>
      <c r="V112" s="3" t="s">
        <v>245</v>
      </c>
      <c r="W112" t="str">
        <f t="shared" si="3"/>
        <v/>
      </c>
      <c r="X112" t="str">
        <f t="shared" si="4"/>
        <v/>
      </c>
      <c r="Y112" t="str">
        <f t="shared" si="5"/>
        <v/>
      </c>
    </row>
    <row r="113" spans="1:25" x14ac:dyDescent="0.25">
      <c r="A113">
        <v>112</v>
      </c>
      <c r="B113">
        <v>112</v>
      </c>
      <c r="C113" t="s">
        <v>260</v>
      </c>
      <c r="D113" t="s">
        <v>66</v>
      </c>
      <c r="E113" t="s">
        <v>36</v>
      </c>
      <c r="F113" t="s">
        <v>261</v>
      </c>
      <c r="G113" t="s">
        <v>25</v>
      </c>
      <c r="H113" t="s">
        <v>26</v>
      </c>
      <c r="I113" s="1">
        <v>42883</v>
      </c>
      <c r="J113" t="s">
        <v>260</v>
      </c>
      <c r="K113" t="s">
        <v>36</v>
      </c>
      <c r="L113">
        <v>4</v>
      </c>
      <c r="M113">
        <v>0.25</v>
      </c>
      <c r="N113">
        <v>1</v>
      </c>
      <c r="O113">
        <v>1</v>
      </c>
      <c r="P113">
        <v>0.1</v>
      </c>
      <c r="Q113">
        <v>4</v>
      </c>
      <c r="R113">
        <v>80</v>
      </c>
      <c r="S113">
        <v>80</v>
      </c>
      <c r="T113">
        <v>80</v>
      </c>
      <c r="U113" t="s">
        <v>66</v>
      </c>
      <c r="V113" s="3" t="s">
        <v>112</v>
      </c>
      <c r="W113" t="str">
        <f t="shared" si="3"/>
        <v/>
      </c>
      <c r="X113" t="str">
        <f t="shared" si="4"/>
        <v/>
      </c>
      <c r="Y113" t="str">
        <f t="shared" si="5"/>
        <v/>
      </c>
    </row>
    <row r="114" spans="1:25" x14ac:dyDescent="0.25">
      <c r="A114">
        <v>113</v>
      </c>
      <c r="B114">
        <v>113</v>
      </c>
      <c r="C114" t="s">
        <v>260</v>
      </c>
      <c r="D114" t="s">
        <v>66</v>
      </c>
      <c r="E114" t="s">
        <v>36</v>
      </c>
      <c r="F114" t="s">
        <v>262</v>
      </c>
      <c r="G114" t="s">
        <v>25</v>
      </c>
      <c r="H114" t="s">
        <v>26</v>
      </c>
      <c r="I114" s="1">
        <v>42883</v>
      </c>
      <c r="J114" t="s">
        <v>260</v>
      </c>
      <c r="K114" t="s">
        <v>36</v>
      </c>
      <c r="L114">
        <v>4</v>
      </c>
      <c r="M114">
        <v>0.25</v>
      </c>
      <c r="N114">
        <v>1</v>
      </c>
      <c r="O114">
        <v>1</v>
      </c>
      <c r="P114">
        <v>0.1</v>
      </c>
      <c r="Q114">
        <v>4</v>
      </c>
      <c r="R114">
        <v>100</v>
      </c>
      <c r="S114">
        <v>100</v>
      </c>
      <c r="T114">
        <v>100</v>
      </c>
      <c r="U114" t="s">
        <v>66</v>
      </c>
      <c r="V114" s="3" t="s">
        <v>112</v>
      </c>
      <c r="W114" t="str">
        <f t="shared" si="3"/>
        <v/>
      </c>
      <c r="X114" t="str">
        <f t="shared" si="4"/>
        <v/>
      </c>
      <c r="Y114" t="str">
        <f t="shared" si="5"/>
        <v/>
      </c>
    </row>
    <row r="115" spans="1:25" x14ac:dyDescent="0.25">
      <c r="A115">
        <v>114</v>
      </c>
      <c r="B115">
        <v>114</v>
      </c>
      <c r="C115" t="s">
        <v>260</v>
      </c>
      <c r="D115" t="s">
        <v>66</v>
      </c>
      <c r="E115" t="s">
        <v>36</v>
      </c>
      <c r="F115" t="s">
        <v>263</v>
      </c>
      <c r="G115" t="s">
        <v>25</v>
      </c>
      <c r="H115" t="s">
        <v>26</v>
      </c>
      <c r="I115" s="1">
        <v>42883</v>
      </c>
      <c r="J115" t="s">
        <v>260</v>
      </c>
      <c r="K115" t="s">
        <v>36</v>
      </c>
      <c r="L115">
        <v>2</v>
      </c>
      <c r="M115">
        <v>0.25</v>
      </c>
      <c r="N115">
        <v>0.5</v>
      </c>
      <c r="O115">
        <v>0.5</v>
      </c>
      <c r="P115">
        <v>0.05</v>
      </c>
      <c r="Q115">
        <v>2</v>
      </c>
      <c r="R115">
        <v>50</v>
      </c>
      <c r="S115">
        <v>100</v>
      </c>
      <c r="T115">
        <v>100</v>
      </c>
      <c r="U115" t="s">
        <v>66</v>
      </c>
      <c r="V115" s="3" t="s">
        <v>112</v>
      </c>
      <c r="W115" t="str">
        <f t="shared" si="3"/>
        <v/>
      </c>
      <c r="X115" t="str">
        <f t="shared" si="4"/>
        <v/>
      </c>
      <c r="Y115" t="str">
        <f t="shared" si="5"/>
        <v/>
      </c>
    </row>
    <row r="116" spans="1:25" x14ac:dyDescent="0.25">
      <c r="A116">
        <v>115</v>
      </c>
      <c r="B116">
        <v>115</v>
      </c>
      <c r="C116" t="s">
        <v>260</v>
      </c>
      <c r="D116" t="s">
        <v>66</v>
      </c>
      <c r="E116" t="s">
        <v>103</v>
      </c>
      <c r="F116" t="s">
        <v>264</v>
      </c>
      <c r="G116" t="s">
        <v>25</v>
      </c>
      <c r="H116" t="s">
        <v>26</v>
      </c>
      <c r="I116" s="1">
        <v>42883</v>
      </c>
      <c r="J116" t="s">
        <v>260</v>
      </c>
      <c r="K116" t="s">
        <v>103</v>
      </c>
      <c r="L116">
        <v>2</v>
      </c>
      <c r="M116">
        <v>0.25</v>
      </c>
      <c r="N116">
        <v>0.5</v>
      </c>
      <c r="O116">
        <v>0.5</v>
      </c>
      <c r="P116">
        <v>0.125</v>
      </c>
      <c r="Q116">
        <v>2</v>
      </c>
      <c r="R116">
        <v>50</v>
      </c>
      <c r="S116">
        <v>100</v>
      </c>
      <c r="T116">
        <v>100</v>
      </c>
      <c r="U116" t="s">
        <v>66</v>
      </c>
      <c r="V116" s="3" t="s">
        <v>112</v>
      </c>
      <c r="W116" t="str">
        <f t="shared" si="3"/>
        <v/>
      </c>
      <c r="X116" t="str">
        <f t="shared" si="4"/>
        <v/>
      </c>
      <c r="Y116" t="str">
        <f t="shared" si="5"/>
        <v/>
      </c>
    </row>
    <row r="117" spans="1:25" x14ac:dyDescent="0.25">
      <c r="A117">
        <v>116</v>
      </c>
      <c r="B117">
        <v>116</v>
      </c>
      <c r="C117" t="s">
        <v>217</v>
      </c>
      <c r="D117" t="s">
        <v>76</v>
      </c>
      <c r="E117" t="s">
        <v>23</v>
      </c>
      <c r="F117" t="s">
        <v>265</v>
      </c>
      <c r="G117" t="s">
        <v>25</v>
      </c>
      <c r="H117" t="s">
        <v>26</v>
      </c>
      <c r="I117" s="1">
        <v>42854</v>
      </c>
      <c r="J117" t="s">
        <v>217</v>
      </c>
      <c r="K117" t="s">
        <v>23</v>
      </c>
      <c r="L117">
        <v>1</v>
      </c>
      <c r="M117">
        <v>1</v>
      </c>
      <c r="N117">
        <v>1</v>
      </c>
      <c r="O117">
        <v>8.0000000000000002E-3</v>
      </c>
      <c r="P117">
        <v>1.4999999999999999E-2</v>
      </c>
      <c r="Q117">
        <v>3</v>
      </c>
      <c r="R117">
        <v>12</v>
      </c>
      <c r="S117">
        <v>12</v>
      </c>
      <c r="T117">
        <v>1500</v>
      </c>
      <c r="U117" t="s">
        <v>76</v>
      </c>
      <c r="V117" s="3" t="s">
        <v>112</v>
      </c>
      <c r="W117" t="str">
        <f t="shared" si="3"/>
        <v/>
      </c>
      <c r="X117" t="str">
        <f t="shared" si="4"/>
        <v/>
      </c>
      <c r="Y117" t="str">
        <f t="shared" si="5"/>
        <v/>
      </c>
    </row>
    <row r="118" spans="1:25" x14ac:dyDescent="0.25">
      <c r="A118">
        <v>117</v>
      </c>
      <c r="B118">
        <v>117</v>
      </c>
      <c r="C118" t="s">
        <v>220</v>
      </c>
      <c r="D118" t="s">
        <v>76</v>
      </c>
      <c r="E118" t="s">
        <v>23</v>
      </c>
      <c r="F118" t="s">
        <v>266</v>
      </c>
      <c r="G118" t="s">
        <v>25</v>
      </c>
      <c r="H118" t="s">
        <v>26</v>
      </c>
      <c r="I118" s="1">
        <v>42854</v>
      </c>
      <c r="J118" t="s">
        <v>220</v>
      </c>
      <c r="K118" t="s">
        <v>23</v>
      </c>
      <c r="L118">
        <v>1</v>
      </c>
      <c r="M118">
        <v>1</v>
      </c>
      <c r="N118">
        <v>1</v>
      </c>
      <c r="O118">
        <v>8.0000000000000002E-3</v>
      </c>
      <c r="P118">
        <v>1.4999999999999999E-2</v>
      </c>
      <c r="Q118">
        <v>3</v>
      </c>
      <c r="R118">
        <v>12</v>
      </c>
      <c r="S118">
        <v>12</v>
      </c>
      <c r="T118">
        <v>1500</v>
      </c>
      <c r="U118" t="s">
        <v>76</v>
      </c>
      <c r="V118" s="3" t="s">
        <v>112</v>
      </c>
      <c r="W118" t="str">
        <f t="shared" si="3"/>
        <v/>
      </c>
      <c r="X118" t="str">
        <f t="shared" si="4"/>
        <v/>
      </c>
      <c r="Y118" t="str">
        <f t="shared" si="5"/>
        <v/>
      </c>
    </row>
    <row r="119" spans="1:25" x14ac:dyDescent="0.25">
      <c r="A119">
        <v>118</v>
      </c>
      <c r="B119">
        <v>118</v>
      </c>
      <c r="C119" t="s">
        <v>222</v>
      </c>
      <c r="D119" t="s">
        <v>76</v>
      </c>
      <c r="E119" t="s">
        <v>23</v>
      </c>
      <c r="F119" t="s">
        <v>267</v>
      </c>
      <c r="G119" t="s">
        <v>25</v>
      </c>
      <c r="H119" t="s">
        <v>26</v>
      </c>
      <c r="I119" s="1">
        <v>42854</v>
      </c>
      <c r="J119" t="s">
        <v>222</v>
      </c>
      <c r="K119" t="s">
        <v>23</v>
      </c>
      <c r="L119">
        <v>1</v>
      </c>
      <c r="M119">
        <v>1</v>
      </c>
      <c r="N119">
        <v>1</v>
      </c>
      <c r="O119">
        <v>8.0000000000000002E-3</v>
      </c>
      <c r="P119">
        <v>1.4999999999999999E-2</v>
      </c>
      <c r="Q119">
        <v>3</v>
      </c>
      <c r="R119">
        <v>12</v>
      </c>
      <c r="S119">
        <v>12</v>
      </c>
      <c r="T119">
        <v>1500</v>
      </c>
      <c r="U119" t="s">
        <v>76</v>
      </c>
      <c r="V119" s="3" t="s">
        <v>112</v>
      </c>
      <c r="W119" t="str">
        <f t="shared" si="3"/>
        <v/>
      </c>
      <c r="X119" t="str">
        <f t="shared" si="4"/>
        <v/>
      </c>
      <c r="Y119" t="str">
        <f t="shared" si="5"/>
        <v/>
      </c>
    </row>
    <row r="120" spans="1:25" x14ac:dyDescent="0.25">
      <c r="A120">
        <v>119</v>
      </c>
      <c r="B120">
        <v>119</v>
      </c>
      <c r="C120" t="s">
        <v>224</v>
      </c>
      <c r="D120" t="s">
        <v>76</v>
      </c>
      <c r="E120" t="s">
        <v>23</v>
      </c>
      <c r="F120" t="s">
        <v>268</v>
      </c>
      <c r="G120" t="s">
        <v>25</v>
      </c>
      <c r="H120" t="s">
        <v>26</v>
      </c>
      <c r="I120" s="1">
        <v>42854</v>
      </c>
      <c r="J120" t="s">
        <v>224</v>
      </c>
      <c r="K120" t="s">
        <v>23</v>
      </c>
      <c r="L120">
        <v>1</v>
      </c>
      <c r="M120">
        <v>1</v>
      </c>
      <c r="N120">
        <v>1</v>
      </c>
      <c r="O120">
        <v>8.0000000000000002E-3</v>
      </c>
      <c r="P120">
        <v>1.4999999999999999E-2</v>
      </c>
      <c r="Q120">
        <v>3</v>
      </c>
      <c r="R120">
        <v>12</v>
      </c>
      <c r="S120">
        <v>12</v>
      </c>
      <c r="T120">
        <v>1500</v>
      </c>
      <c r="U120" t="s">
        <v>76</v>
      </c>
      <c r="V120" s="3" t="s">
        <v>112</v>
      </c>
      <c r="W120" t="str">
        <f t="shared" si="3"/>
        <v/>
      </c>
      <c r="X120" t="str">
        <f t="shared" si="4"/>
        <v/>
      </c>
      <c r="Y120" t="str">
        <f t="shared" si="5"/>
        <v/>
      </c>
    </row>
    <row r="121" spans="1:25" x14ac:dyDescent="0.25">
      <c r="A121">
        <v>120</v>
      </c>
      <c r="B121">
        <v>120</v>
      </c>
      <c r="C121" t="s">
        <v>226</v>
      </c>
      <c r="D121" t="s">
        <v>76</v>
      </c>
      <c r="E121" t="s">
        <v>23</v>
      </c>
      <c r="F121" t="s">
        <v>269</v>
      </c>
      <c r="G121" t="s">
        <v>25</v>
      </c>
      <c r="H121" t="s">
        <v>26</v>
      </c>
      <c r="I121" s="1">
        <v>42854</v>
      </c>
      <c r="J121" t="s">
        <v>226</v>
      </c>
      <c r="K121" t="s">
        <v>23</v>
      </c>
      <c r="L121">
        <v>1</v>
      </c>
      <c r="M121">
        <v>1</v>
      </c>
      <c r="N121">
        <v>1</v>
      </c>
      <c r="O121">
        <v>8.0000000000000002E-3</v>
      </c>
      <c r="P121">
        <v>1.4999999999999999E-2</v>
      </c>
      <c r="Q121">
        <v>3</v>
      </c>
      <c r="R121">
        <v>12</v>
      </c>
      <c r="S121">
        <v>12</v>
      </c>
      <c r="T121">
        <v>1500</v>
      </c>
      <c r="U121" t="s">
        <v>76</v>
      </c>
      <c r="V121" s="3" t="s">
        <v>112</v>
      </c>
      <c r="W121" t="str">
        <f t="shared" si="3"/>
        <v/>
      </c>
      <c r="X121" t="str">
        <f t="shared" si="4"/>
        <v/>
      </c>
      <c r="Y121" t="str">
        <f t="shared" si="5"/>
        <v/>
      </c>
    </row>
    <row r="122" spans="1:25" x14ac:dyDescent="0.25">
      <c r="A122">
        <v>121</v>
      </c>
      <c r="B122">
        <v>121</v>
      </c>
      <c r="C122" t="s">
        <v>228</v>
      </c>
      <c r="D122" t="s">
        <v>76</v>
      </c>
      <c r="E122" t="s">
        <v>23</v>
      </c>
      <c r="F122" t="s">
        <v>270</v>
      </c>
      <c r="G122" t="s">
        <v>25</v>
      </c>
      <c r="H122" t="s">
        <v>26</v>
      </c>
      <c r="I122" s="1">
        <v>42854</v>
      </c>
      <c r="J122" t="s">
        <v>228</v>
      </c>
      <c r="K122" t="s">
        <v>23</v>
      </c>
      <c r="L122">
        <v>1</v>
      </c>
      <c r="M122">
        <v>1</v>
      </c>
      <c r="N122">
        <v>1</v>
      </c>
      <c r="O122">
        <v>8.0000000000000002E-3</v>
      </c>
      <c r="P122">
        <v>1.4999999999999999E-2</v>
      </c>
      <c r="Q122">
        <v>3</v>
      </c>
      <c r="R122">
        <v>12</v>
      </c>
      <c r="S122">
        <v>12</v>
      </c>
      <c r="T122">
        <v>1500</v>
      </c>
      <c r="U122" t="s">
        <v>76</v>
      </c>
      <c r="V122" s="3" t="s">
        <v>112</v>
      </c>
      <c r="W122" t="str">
        <f t="shared" si="3"/>
        <v/>
      </c>
      <c r="X122" t="str">
        <f t="shared" si="4"/>
        <v/>
      </c>
      <c r="Y122" t="str">
        <f t="shared" si="5"/>
        <v/>
      </c>
    </row>
    <row r="123" spans="1:25" x14ac:dyDescent="0.25">
      <c r="A123">
        <v>122</v>
      </c>
      <c r="B123">
        <v>122</v>
      </c>
      <c r="C123" t="s">
        <v>230</v>
      </c>
      <c r="D123" t="s">
        <v>76</v>
      </c>
      <c r="E123" t="s">
        <v>23</v>
      </c>
      <c r="F123" t="s">
        <v>271</v>
      </c>
      <c r="G123" t="s">
        <v>25</v>
      </c>
      <c r="H123" t="s">
        <v>26</v>
      </c>
      <c r="I123" s="1">
        <v>42854</v>
      </c>
      <c r="J123" t="s">
        <v>230</v>
      </c>
      <c r="K123" t="s">
        <v>23</v>
      </c>
      <c r="L123">
        <v>1</v>
      </c>
      <c r="M123">
        <v>1</v>
      </c>
      <c r="N123">
        <v>1</v>
      </c>
      <c r="O123">
        <v>8.0000000000000002E-3</v>
      </c>
      <c r="P123">
        <v>1.4999999999999999E-2</v>
      </c>
      <c r="Q123">
        <v>3</v>
      </c>
      <c r="R123">
        <v>12</v>
      </c>
      <c r="S123">
        <v>12</v>
      </c>
      <c r="T123">
        <v>1500</v>
      </c>
      <c r="U123" t="s">
        <v>76</v>
      </c>
      <c r="V123" s="3" t="s">
        <v>112</v>
      </c>
      <c r="W123" t="str">
        <f t="shared" si="3"/>
        <v/>
      </c>
      <c r="X123" t="str">
        <f t="shared" si="4"/>
        <v/>
      </c>
      <c r="Y123" t="str">
        <f t="shared" si="5"/>
        <v/>
      </c>
    </row>
    <row r="124" spans="1:25" x14ac:dyDescent="0.25">
      <c r="A124">
        <v>123</v>
      </c>
      <c r="B124">
        <v>123</v>
      </c>
      <c r="C124" t="s">
        <v>232</v>
      </c>
      <c r="D124" t="s">
        <v>76</v>
      </c>
      <c r="E124" t="s">
        <v>23</v>
      </c>
      <c r="F124" t="s">
        <v>272</v>
      </c>
      <c r="G124" t="s">
        <v>25</v>
      </c>
      <c r="H124" t="s">
        <v>26</v>
      </c>
      <c r="I124" s="1">
        <v>42854</v>
      </c>
      <c r="J124" t="s">
        <v>232</v>
      </c>
      <c r="K124" t="s">
        <v>23</v>
      </c>
      <c r="L124">
        <v>1</v>
      </c>
      <c r="M124">
        <v>1</v>
      </c>
      <c r="N124">
        <v>1</v>
      </c>
      <c r="O124">
        <v>8.0000000000000002E-3</v>
      </c>
      <c r="P124">
        <v>1.4999999999999999E-2</v>
      </c>
      <c r="Q124">
        <v>3</v>
      </c>
      <c r="R124">
        <v>12</v>
      </c>
      <c r="S124">
        <v>12</v>
      </c>
      <c r="T124">
        <v>1500</v>
      </c>
      <c r="U124" t="s">
        <v>76</v>
      </c>
      <c r="V124" s="3" t="s">
        <v>112</v>
      </c>
      <c r="W124" t="str">
        <f t="shared" si="3"/>
        <v/>
      </c>
      <c r="X124" t="str">
        <f t="shared" si="4"/>
        <v/>
      </c>
      <c r="Y124" t="str">
        <f t="shared" si="5"/>
        <v/>
      </c>
    </row>
    <row r="125" spans="1:25" x14ac:dyDescent="0.25">
      <c r="A125">
        <v>124</v>
      </c>
      <c r="B125">
        <v>124</v>
      </c>
      <c r="C125" t="s">
        <v>234</v>
      </c>
      <c r="D125" t="s">
        <v>76</v>
      </c>
      <c r="E125" t="s">
        <v>23</v>
      </c>
      <c r="F125" t="s">
        <v>273</v>
      </c>
      <c r="G125" t="s">
        <v>25</v>
      </c>
      <c r="H125" t="s">
        <v>26</v>
      </c>
      <c r="I125" s="1">
        <v>42854</v>
      </c>
      <c r="J125" t="s">
        <v>234</v>
      </c>
      <c r="K125" t="s">
        <v>23</v>
      </c>
      <c r="L125">
        <v>1</v>
      </c>
      <c r="M125">
        <v>1</v>
      </c>
      <c r="N125">
        <v>1</v>
      </c>
      <c r="O125">
        <v>8.0000000000000002E-3</v>
      </c>
      <c r="P125">
        <v>1.4999999999999999E-2</v>
      </c>
      <c r="Q125">
        <v>3</v>
      </c>
      <c r="R125">
        <v>12</v>
      </c>
      <c r="S125">
        <v>12</v>
      </c>
      <c r="T125">
        <v>1500</v>
      </c>
      <c r="U125" t="s">
        <v>76</v>
      </c>
      <c r="V125" s="3" t="s">
        <v>112</v>
      </c>
      <c r="W125" t="str">
        <f t="shared" si="3"/>
        <v/>
      </c>
      <c r="X125" t="str">
        <f t="shared" si="4"/>
        <v/>
      </c>
      <c r="Y125" t="str">
        <f t="shared" si="5"/>
        <v/>
      </c>
    </row>
    <row r="126" spans="1:25" x14ac:dyDescent="0.25">
      <c r="A126">
        <v>125</v>
      </c>
      <c r="B126">
        <v>125</v>
      </c>
      <c r="C126" t="s">
        <v>236</v>
      </c>
      <c r="D126" t="s">
        <v>76</v>
      </c>
      <c r="E126" t="s">
        <v>23</v>
      </c>
      <c r="F126" t="s">
        <v>274</v>
      </c>
      <c r="G126" t="s">
        <v>25</v>
      </c>
      <c r="H126" t="s">
        <v>26</v>
      </c>
      <c r="I126" s="1">
        <v>42854</v>
      </c>
      <c r="J126" t="s">
        <v>236</v>
      </c>
      <c r="K126" t="s">
        <v>23</v>
      </c>
      <c r="L126">
        <v>1</v>
      </c>
      <c r="M126">
        <v>1</v>
      </c>
      <c r="N126">
        <v>1</v>
      </c>
      <c r="O126">
        <v>8.0000000000000002E-3</v>
      </c>
      <c r="P126">
        <v>1.4999999999999999E-2</v>
      </c>
      <c r="Q126">
        <v>3</v>
      </c>
      <c r="R126">
        <v>12</v>
      </c>
      <c r="S126">
        <v>12</v>
      </c>
      <c r="T126">
        <v>1500</v>
      </c>
      <c r="U126" t="s">
        <v>76</v>
      </c>
      <c r="V126" s="3" t="s">
        <v>112</v>
      </c>
      <c r="W126" t="str">
        <f t="shared" si="3"/>
        <v/>
      </c>
      <c r="X126" t="str">
        <f t="shared" si="4"/>
        <v/>
      </c>
      <c r="Y126" t="str">
        <f t="shared" si="5"/>
        <v/>
      </c>
    </row>
    <row r="127" spans="1:25" x14ac:dyDescent="0.25">
      <c r="A127">
        <v>126</v>
      </c>
      <c r="B127">
        <v>126</v>
      </c>
      <c r="C127" t="s">
        <v>238</v>
      </c>
      <c r="D127" t="s">
        <v>76</v>
      </c>
      <c r="E127" t="s">
        <v>23</v>
      </c>
      <c r="F127" t="s">
        <v>275</v>
      </c>
      <c r="G127" t="s">
        <v>25</v>
      </c>
      <c r="H127" t="s">
        <v>26</v>
      </c>
      <c r="I127" s="1">
        <v>42854</v>
      </c>
      <c r="J127" t="s">
        <v>238</v>
      </c>
      <c r="K127" t="s">
        <v>23</v>
      </c>
      <c r="L127">
        <v>1</v>
      </c>
      <c r="M127">
        <v>1</v>
      </c>
      <c r="N127">
        <v>1</v>
      </c>
      <c r="O127">
        <v>8.0000000000000002E-3</v>
      </c>
      <c r="P127">
        <v>1.4999999999999999E-2</v>
      </c>
      <c r="Q127">
        <v>3</v>
      </c>
      <c r="R127">
        <v>12</v>
      </c>
      <c r="S127">
        <v>12</v>
      </c>
      <c r="T127">
        <v>1500</v>
      </c>
      <c r="U127" t="s">
        <v>76</v>
      </c>
      <c r="V127" s="3" t="s">
        <v>112</v>
      </c>
      <c r="W127" t="str">
        <f t="shared" si="3"/>
        <v/>
      </c>
      <c r="X127" t="str">
        <f t="shared" si="4"/>
        <v/>
      </c>
      <c r="Y127" t="str">
        <f t="shared" si="5"/>
        <v/>
      </c>
    </row>
    <row r="128" spans="1:25" x14ac:dyDescent="0.25">
      <c r="A128">
        <v>127</v>
      </c>
      <c r="B128">
        <v>127</v>
      </c>
      <c r="C128" t="s">
        <v>240</v>
      </c>
      <c r="D128" t="s">
        <v>76</v>
      </c>
      <c r="E128" t="s">
        <v>23</v>
      </c>
      <c r="F128" t="s">
        <v>276</v>
      </c>
      <c r="G128" t="s">
        <v>25</v>
      </c>
      <c r="H128" t="s">
        <v>26</v>
      </c>
      <c r="I128" s="1">
        <v>42854</v>
      </c>
      <c r="J128" t="s">
        <v>240</v>
      </c>
      <c r="K128" t="s">
        <v>23</v>
      </c>
      <c r="L128">
        <v>1</v>
      </c>
      <c r="M128">
        <v>1</v>
      </c>
      <c r="N128">
        <v>1</v>
      </c>
      <c r="O128">
        <v>8.0000000000000002E-3</v>
      </c>
      <c r="P128">
        <v>1.4999999999999999E-2</v>
      </c>
      <c r="Q128">
        <v>3</v>
      </c>
      <c r="R128">
        <v>12</v>
      </c>
      <c r="S128">
        <v>12</v>
      </c>
      <c r="T128">
        <v>1500</v>
      </c>
      <c r="U128" t="s">
        <v>76</v>
      </c>
      <c r="V128" s="3" t="s">
        <v>112</v>
      </c>
      <c r="W128" t="str">
        <f t="shared" si="3"/>
        <v/>
      </c>
      <c r="X128" t="str">
        <f t="shared" si="4"/>
        <v/>
      </c>
      <c r="Y128" t="str">
        <f t="shared" si="5"/>
        <v/>
      </c>
    </row>
    <row r="129" spans="1:25" x14ac:dyDescent="0.25">
      <c r="A129">
        <v>128</v>
      </c>
      <c r="B129">
        <v>128</v>
      </c>
      <c r="C129" t="s">
        <v>260</v>
      </c>
      <c r="D129" t="s">
        <v>66</v>
      </c>
      <c r="E129" t="s">
        <v>36</v>
      </c>
      <c r="F129" t="s">
        <v>277</v>
      </c>
      <c r="G129" t="s">
        <v>25</v>
      </c>
      <c r="H129" t="s">
        <v>26</v>
      </c>
      <c r="I129" s="1">
        <v>43264</v>
      </c>
      <c r="J129" t="s">
        <v>260</v>
      </c>
      <c r="K129" t="s">
        <v>36</v>
      </c>
      <c r="L129">
        <v>4</v>
      </c>
      <c r="M129">
        <v>0.25</v>
      </c>
      <c r="N129">
        <v>1</v>
      </c>
      <c r="O129">
        <v>0.25</v>
      </c>
      <c r="P129">
        <v>0.1</v>
      </c>
      <c r="Q129">
        <v>4</v>
      </c>
      <c r="R129">
        <v>100</v>
      </c>
      <c r="S129">
        <v>100</v>
      </c>
      <c r="T129">
        <v>400</v>
      </c>
      <c r="U129" t="s">
        <v>66</v>
      </c>
      <c r="V129" s="3" t="s">
        <v>112</v>
      </c>
      <c r="W129" t="str">
        <f t="shared" si="3"/>
        <v/>
      </c>
      <c r="X129" t="str">
        <f t="shared" si="4"/>
        <v/>
      </c>
      <c r="Y129" t="str">
        <f t="shared" si="5"/>
        <v/>
      </c>
    </row>
    <row r="130" spans="1:25" x14ac:dyDescent="0.25">
      <c r="A130">
        <v>129</v>
      </c>
      <c r="B130">
        <v>129</v>
      </c>
      <c r="C130" t="s">
        <v>278</v>
      </c>
      <c r="D130" t="s">
        <v>66</v>
      </c>
      <c r="E130" t="s">
        <v>36</v>
      </c>
      <c r="F130" t="s">
        <v>279</v>
      </c>
      <c r="G130" t="s">
        <v>25</v>
      </c>
      <c r="H130" t="s">
        <v>26</v>
      </c>
      <c r="I130" s="1">
        <v>43264</v>
      </c>
      <c r="J130" t="s">
        <v>278</v>
      </c>
      <c r="K130" t="s">
        <v>36</v>
      </c>
      <c r="L130">
        <v>3</v>
      </c>
      <c r="M130">
        <v>0.25</v>
      </c>
      <c r="N130">
        <v>0.75</v>
      </c>
      <c r="O130">
        <v>0.25</v>
      </c>
      <c r="P130">
        <v>7.4999999999999997E-2</v>
      </c>
      <c r="Q130">
        <v>3</v>
      </c>
      <c r="R130">
        <v>75</v>
      </c>
      <c r="S130">
        <v>100</v>
      </c>
      <c r="T130">
        <v>300</v>
      </c>
      <c r="U130" t="s">
        <v>66</v>
      </c>
      <c r="V130" s="3" t="s">
        <v>112</v>
      </c>
      <c r="W130" t="str">
        <f t="shared" si="3"/>
        <v/>
      </c>
      <c r="X130" t="str">
        <f t="shared" si="4"/>
        <v/>
      </c>
      <c r="Y130" t="str">
        <f t="shared" si="5"/>
        <v/>
      </c>
    </row>
    <row r="131" spans="1:25" x14ac:dyDescent="0.25">
      <c r="A131">
        <v>130</v>
      </c>
      <c r="B131">
        <v>130</v>
      </c>
      <c r="C131" t="s">
        <v>280</v>
      </c>
      <c r="D131" t="s">
        <v>66</v>
      </c>
      <c r="E131" t="s">
        <v>36</v>
      </c>
      <c r="F131" t="s">
        <v>281</v>
      </c>
      <c r="G131" t="s">
        <v>25</v>
      </c>
      <c r="H131" t="s">
        <v>26</v>
      </c>
      <c r="I131" s="1">
        <v>43295</v>
      </c>
      <c r="J131" t="s">
        <v>280</v>
      </c>
      <c r="K131" t="s">
        <v>36</v>
      </c>
      <c r="L131">
        <v>0.5</v>
      </c>
      <c r="M131">
        <v>0.5</v>
      </c>
      <c r="N131">
        <v>0.25</v>
      </c>
      <c r="O131">
        <v>0.25</v>
      </c>
      <c r="P131">
        <v>7.4999999999999997E-2</v>
      </c>
      <c r="Q131">
        <v>3</v>
      </c>
      <c r="R131">
        <v>63</v>
      </c>
      <c r="S131">
        <v>252</v>
      </c>
      <c r="T131">
        <v>252</v>
      </c>
      <c r="U131" t="s">
        <v>66</v>
      </c>
      <c r="V131" s="3" t="s">
        <v>112</v>
      </c>
      <c r="W131" t="str">
        <f t="shared" ref="W131:W194" si="6">IF(C131=J131,"",9999)</f>
        <v/>
      </c>
      <c r="X131" t="str">
        <f t="shared" ref="X131:X194" si="7">IF(D131=U131,"",9999)</f>
        <v/>
      </c>
      <c r="Y131" t="str">
        <f t="shared" ref="Y131:Y194" si="8">IF(E131=K131,"",9999)</f>
        <v/>
      </c>
    </row>
    <row r="132" spans="1:25" x14ac:dyDescent="0.25">
      <c r="A132">
        <v>131</v>
      </c>
      <c r="B132">
        <v>131</v>
      </c>
      <c r="C132" t="s">
        <v>280</v>
      </c>
      <c r="D132" t="s">
        <v>66</v>
      </c>
      <c r="E132" t="s">
        <v>282</v>
      </c>
      <c r="F132" t="s">
        <v>283</v>
      </c>
      <c r="G132" t="s">
        <v>25</v>
      </c>
      <c r="H132" t="s">
        <v>26</v>
      </c>
      <c r="I132" s="1">
        <v>43295</v>
      </c>
      <c r="J132" t="s">
        <v>280</v>
      </c>
      <c r="K132" t="s">
        <v>282</v>
      </c>
      <c r="L132">
        <v>0.5</v>
      </c>
      <c r="M132">
        <v>0.5</v>
      </c>
      <c r="N132">
        <v>0.25</v>
      </c>
      <c r="O132">
        <v>0.25</v>
      </c>
      <c r="P132">
        <v>7.0650000000000004E-2</v>
      </c>
      <c r="Q132">
        <v>9</v>
      </c>
      <c r="R132">
        <v>63</v>
      </c>
      <c r="S132">
        <v>252</v>
      </c>
      <c r="T132">
        <v>252</v>
      </c>
      <c r="U132" t="s">
        <v>66</v>
      </c>
      <c r="V132" s="3" t="s">
        <v>112</v>
      </c>
      <c r="W132" t="str">
        <f t="shared" si="6"/>
        <v/>
      </c>
      <c r="X132" t="str">
        <f t="shared" si="7"/>
        <v/>
      </c>
      <c r="Y132" t="str">
        <f t="shared" si="8"/>
        <v/>
      </c>
    </row>
    <row r="133" spans="1:25" x14ac:dyDescent="0.25">
      <c r="A133">
        <v>132</v>
      </c>
      <c r="B133">
        <v>132</v>
      </c>
      <c r="C133" t="s">
        <v>284</v>
      </c>
      <c r="D133" t="s">
        <v>66</v>
      </c>
      <c r="E133" t="s">
        <v>282</v>
      </c>
      <c r="F133" t="s">
        <v>285</v>
      </c>
      <c r="G133" t="s">
        <v>25</v>
      </c>
      <c r="H133" t="s">
        <v>26</v>
      </c>
      <c r="I133" s="1">
        <v>43295</v>
      </c>
      <c r="J133" t="s">
        <v>284</v>
      </c>
      <c r="K133" t="s">
        <v>282</v>
      </c>
      <c r="L133">
        <v>0.5</v>
      </c>
      <c r="M133">
        <v>0.5</v>
      </c>
      <c r="N133">
        <v>0.25</v>
      </c>
      <c r="O133">
        <v>0.25</v>
      </c>
      <c r="P133">
        <v>7.0650000000000004E-2</v>
      </c>
      <c r="Q133">
        <v>9</v>
      </c>
      <c r="R133">
        <v>63</v>
      </c>
      <c r="S133">
        <v>252</v>
      </c>
      <c r="T133">
        <v>252</v>
      </c>
      <c r="U133" t="s">
        <v>66</v>
      </c>
      <c r="V133" s="3" t="s">
        <v>112</v>
      </c>
      <c r="W133" t="str">
        <f t="shared" si="6"/>
        <v/>
      </c>
      <c r="X133" t="str">
        <f t="shared" si="7"/>
        <v/>
      </c>
      <c r="Y133" t="str">
        <f t="shared" si="8"/>
        <v/>
      </c>
    </row>
    <row r="134" spans="1:25" x14ac:dyDescent="0.25">
      <c r="A134">
        <v>133</v>
      </c>
      <c r="B134">
        <v>133</v>
      </c>
      <c r="C134" t="s">
        <v>284</v>
      </c>
      <c r="D134" t="s">
        <v>66</v>
      </c>
      <c r="E134" t="s">
        <v>36</v>
      </c>
      <c r="F134" t="s">
        <v>286</v>
      </c>
      <c r="G134" t="s">
        <v>25</v>
      </c>
      <c r="H134" t="s">
        <v>26</v>
      </c>
      <c r="I134" s="1">
        <v>43295</v>
      </c>
      <c r="J134" t="s">
        <v>284</v>
      </c>
      <c r="K134" t="s">
        <v>36</v>
      </c>
      <c r="L134">
        <v>0.5</v>
      </c>
      <c r="M134">
        <v>0.5</v>
      </c>
      <c r="N134">
        <v>0.25</v>
      </c>
      <c r="O134">
        <v>0.25</v>
      </c>
      <c r="P134">
        <v>7.4999999999999997E-2</v>
      </c>
      <c r="Q134">
        <v>3</v>
      </c>
      <c r="R134">
        <v>63</v>
      </c>
      <c r="S134">
        <v>252</v>
      </c>
      <c r="T134">
        <v>252</v>
      </c>
      <c r="U134" t="s">
        <v>66</v>
      </c>
      <c r="V134" s="3" t="s">
        <v>112</v>
      </c>
      <c r="W134" t="str">
        <f t="shared" si="6"/>
        <v/>
      </c>
      <c r="X134" t="str">
        <f t="shared" si="7"/>
        <v/>
      </c>
      <c r="Y134" t="str">
        <f t="shared" si="8"/>
        <v/>
      </c>
    </row>
    <row r="135" spans="1:25" x14ac:dyDescent="0.25">
      <c r="A135">
        <v>134</v>
      </c>
      <c r="B135">
        <v>134</v>
      </c>
      <c r="C135" t="s">
        <v>287</v>
      </c>
      <c r="D135" t="s">
        <v>66</v>
      </c>
      <c r="E135" t="s">
        <v>36</v>
      </c>
      <c r="F135" t="s">
        <v>288</v>
      </c>
      <c r="G135" t="s">
        <v>25</v>
      </c>
      <c r="H135" t="s">
        <v>26</v>
      </c>
      <c r="I135" s="1">
        <v>43295</v>
      </c>
      <c r="J135" t="s">
        <v>287</v>
      </c>
      <c r="K135" t="s">
        <v>36</v>
      </c>
      <c r="L135">
        <v>0.5</v>
      </c>
      <c r="M135">
        <v>0.5</v>
      </c>
      <c r="N135">
        <v>0.25</v>
      </c>
      <c r="O135">
        <v>0.25</v>
      </c>
      <c r="P135">
        <v>7.4999999999999997E-2</v>
      </c>
      <c r="Q135">
        <v>3</v>
      </c>
      <c r="R135">
        <v>63</v>
      </c>
      <c r="S135">
        <v>252</v>
      </c>
      <c r="T135">
        <v>252</v>
      </c>
      <c r="U135" t="s">
        <v>66</v>
      </c>
      <c r="V135" s="3" t="s">
        <v>112</v>
      </c>
      <c r="W135" t="str">
        <f t="shared" si="6"/>
        <v/>
      </c>
      <c r="X135" t="str">
        <f t="shared" si="7"/>
        <v/>
      </c>
      <c r="Y135" t="str">
        <f t="shared" si="8"/>
        <v/>
      </c>
    </row>
    <row r="136" spans="1:25" x14ac:dyDescent="0.25">
      <c r="A136">
        <v>135</v>
      </c>
      <c r="B136">
        <v>135</v>
      </c>
      <c r="C136" t="s">
        <v>287</v>
      </c>
      <c r="D136" t="s">
        <v>66</v>
      </c>
      <c r="E136" t="s">
        <v>282</v>
      </c>
      <c r="F136" t="s">
        <v>289</v>
      </c>
      <c r="G136" t="s">
        <v>25</v>
      </c>
      <c r="H136" t="s">
        <v>26</v>
      </c>
      <c r="I136" s="1">
        <v>43295</v>
      </c>
      <c r="J136" t="s">
        <v>287</v>
      </c>
      <c r="K136" t="s">
        <v>282</v>
      </c>
      <c r="L136">
        <v>0.5</v>
      </c>
      <c r="M136">
        <v>0.5</v>
      </c>
      <c r="N136">
        <v>0.25</v>
      </c>
      <c r="O136">
        <v>0.25</v>
      </c>
      <c r="P136">
        <v>7.0650000000000004E-2</v>
      </c>
      <c r="Q136">
        <v>9</v>
      </c>
      <c r="R136">
        <v>63</v>
      </c>
      <c r="S136">
        <v>252</v>
      </c>
      <c r="T136">
        <v>252</v>
      </c>
      <c r="U136" t="s">
        <v>66</v>
      </c>
      <c r="V136" s="3" t="s">
        <v>112</v>
      </c>
      <c r="W136" t="str">
        <f t="shared" si="6"/>
        <v/>
      </c>
      <c r="X136" t="str">
        <f t="shared" si="7"/>
        <v/>
      </c>
      <c r="Y136" t="str">
        <f t="shared" si="8"/>
        <v/>
      </c>
    </row>
    <row r="137" spans="1:25" x14ac:dyDescent="0.25">
      <c r="A137">
        <v>136</v>
      </c>
      <c r="B137">
        <v>136</v>
      </c>
      <c r="C137" t="s">
        <v>290</v>
      </c>
      <c r="D137" t="s">
        <v>76</v>
      </c>
      <c r="E137" t="s">
        <v>36</v>
      </c>
      <c r="F137" t="s">
        <v>291</v>
      </c>
      <c r="G137" t="s">
        <v>25</v>
      </c>
      <c r="H137" t="s">
        <v>26</v>
      </c>
      <c r="I137" s="1">
        <v>44018</v>
      </c>
      <c r="J137" t="s">
        <v>290</v>
      </c>
      <c r="K137" t="s">
        <v>36</v>
      </c>
      <c r="L137">
        <v>8</v>
      </c>
      <c r="M137">
        <v>0.5</v>
      </c>
      <c r="N137">
        <v>4</v>
      </c>
      <c r="O137">
        <v>1</v>
      </c>
      <c r="P137">
        <v>0.3</v>
      </c>
      <c r="Q137">
        <v>12</v>
      </c>
      <c r="R137">
        <v>240</v>
      </c>
      <c r="S137">
        <v>60</v>
      </c>
      <c r="T137">
        <v>240</v>
      </c>
      <c r="U137" t="s">
        <v>76</v>
      </c>
      <c r="V137" s="3" t="s">
        <v>112</v>
      </c>
      <c r="W137" t="str">
        <f t="shared" si="6"/>
        <v/>
      </c>
      <c r="X137" t="str">
        <f t="shared" si="7"/>
        <v/>
      </c>
      <c r="Y137" t="str">
        <f t="shared" si="8"/>
        <v/>
      </c>
    </row>
    <row r="138" spans="1:25" x14ac:dyDescent="0.25">
      <c r="A138">
        <v>137</v>
      </c>
      <c r="B138">
        <v>137</v>
      </c>
      <c r="C138" t="s">
        <v>292</v>
      </c>
      <c r="D138" t="s">
        <v>42</v>
      </c>
      <c r="E138" t="s">
        <v>36</v>
      </c>
      <c r="F138" t="s">
        <v>293</v>
      </c>
      <c r="G138" t="s">
        <v>25</v>
      </c>
      <c r="H138" t="s">
        <v>26</v>
      </c>
      <c r="I138" s="1">
        <v>44011</v>
      </c>
      <c r="J138" t="s">
        <v>292</v>
      </c>
      <c r="K138" t="s">
        <v>36</v>
      </c>
      <c r="L138">
        <v>2.5</v>
      </c>
      <c r="M138">
        <v>2.5</v>
      </c>
      <c r="N138">
        <v>6.25</v>
      </c>
      <c r="O138">
        <v>5</v>
      </c>
      <c r="P138">
        <v>0.5</v>
      </c>
      <c r="Q138">
        <v>20</v>
      </c>
      <c r="R138">
        <v>500</v>
      </c>
      <c r="S138">
        <v>80</v>
      </c>
      <c r="T138">
        <v>100</v>
      </c>
      <c r="U138" t="s">
        <v>42</v>
      </c>
      <c r="V138" s="3" t="s">
        <v>60</v>
      </c>
      <c r="W138" t="str">
        <f t="shared" si="6"/>
        <v/>
      </c>
      <c r="X138" t="str">
        <f t="shared" si="7"/>
        <v/>
      </c>
      <c r="Y138" t="str">
        <f t="shared" si="8"/>
        <v/>
      </c>
    </row>
    <row r="139" spans="1:25" x14ac:dyDescent="0.25">
      <c r="A139">
        <v>138</v>
      </c>
      <c r="B139">
        <v>138</v>
      </c>
      <c r="C139" t="s">
        <v>294</v>
      </c>
      <c r="D139" t="s">
        <v>66</v>
      </c>
      <c r="E139" t="s">
        <v>36</v>
      </c>
      <c r="F139" t="s">
        <v>295</v>
      </c>
      <c r="G139" t="s">
        <v>25</v>
      </c>
      <c r="H139" t="s">
        <v>26</v>
      </c>
      <c r="I139" s="1">
        <v>44372</v>
      </c>
      <c r="J139" t="s">
        <v>294</v>
      </c>
      <c r="K139" t="s">
        <v>36</v>
      </c>
      <c r="L139">
        <v>3.5</v>
      </c>
      <c r="M139">
        <v>0.5</v>
      </c>
      <c r="N139">
        <v>1.75</v>
      </c>
      <c r="O139">
        <v>2.25</v>
      </c>
      <c r="P139">
        <v>0.22500000000000001</v>
      </c>
      <c r="Q139">
        <v>9</v>
      </c>
      <c r="R139">
        <v>135</v>
      </c>
      <c r="S139">
        <v>77.142857142857096</v>
      </c>
      <c r="T139">
        <v>60</v>
      </c>
      <c r="U139" t="s">
        <v>66</v>
      </c>
      <c r="V139" s="3" t="s">
        <v>112</v>
      </c>
      <c r="W139" t="str">
        <f t="shared" si="6"/>
        <v/>
      </c>
      <c r="X139" t="str">
        <f t="shared" si="7"/>
        <v/>
      </c>
      <c r="Y139" t="str">
        <f t="shared" si="8"/>
        <v/>
      </c>
    </row>
    <row r="140" spans="1:25" x14ac:dyDescent="0.25">
      <c r="A140">
        <v>139</v>
      </c>
      <c r="B140">
        <v>139</v>
      </c>
      <c r="C140" t="s">
        <v>296</v>
      </c>
      <c r="D140" t="s">
        <v>66</v>
      </c>
      <c r="E140" t="s">
        <v>36</v>
      </c>
      <c r="F140" t="s">
        <v>297</v>
      </c>
      <c r="G140" t="s">
        <v>25</v>
      </c>
      <c r="H140" t="s">
        <v>26</v>
      </c>
      <c r="I140" s="1">
        <v>44729</v>
      </c>
      <c r="J140" t="s">
        <v>296</v>
      </c>
      <c r="K140" t="s">
        <v>36</v>
      </c>
      <c r="L140">
        <v>2.5</v>
      </c>
      <c r="M140">
        <v>0.5</v>
      </c>
      <c r="N140">
        <v>1.25</v>
      </c>
      <c r="O140">
        <v>1.75</v>
      </c>
      <c r="P140">
        <v>0.375</v>
      </c>
      <c r="Q140">
        <v>15</v>
      </c>
      <c r="R140">
        <v>180</v>
      </c>
      <c r="S140">
        <v>144</v>
      </c>
      <c r="T140">
        <v>102.857142857143</v>
      </c>
      <c r="U140" t="s">
        <v>66</v>
      </c>
      <c r="V140" s="3" t="s">
        <v>112</v>
      </c>
      <c r="W140" t="str">
        <f t="shared" si="6"/>
        <v/>
      </c>
      <c r="X140" t="str">
        <f t="shared" si="7"/>
        <v/>
      </c>
      <c r="Y140" t="str">
        <f t="shared" si="8"/>
        <v/>
      </c>
    </row>
    <row r="141" spans="1:25" x14ac:dyDescent="0.25">
      <c r="A141">
        <v>140</v>
      </c>
      <c r="B141">
        <v>140</v>
      </c>
      <c r="C141" t="s">
        <v>298</v>
      </c>
      <c r="D141" t="s">
        <v>66</v>
      </c>
      <c r="E141" t="s">
        <v>36</v>
      </c>
      <c r="F141" t="s">
        <v>299</v>
      </c>
      <c r="G141" t="s">
        <v>25</v>
      </c>
      <c r="H141" t="s">
        <v>26</v>
      </c>
      <c r="I141" s="1">
        <v>44729</v>
      </c>
      <c r="J141" t="s">
        <v>298</v>
      </c>
      <c r="K141" t="s">
        <v>36</v>
      </c>
      <c r="L141">
        <v>1</v>
      </c>
      <c r="M141">
        <v>0.5</v>
      </c>
      <c r="N141">
        <v>0.5</v>
      </c>
      <c r="O141">
        <v>0.25</v>
      </c>
      <c r="P141">
        <v>0.15</v>
      </c>
      <c r="Q141">
        <v>6</v>
      </c>
      <c r="R141">
        <v>48</v>
      </c>
      <c r="S141">
        <v>96</v>
      </c>
      <c r="T141">
        <v>192</v>
      </c>
      <c r="U141" t="s">
        <v>66</v>
      </c>
      <c r="V141" s="3" t="s">
        <v>112</v>
      </c>
      <c r="W141" t="str">
        <f t="shared" si="6"/>
        <v/>
      </c>
      <c r="X141" t="str">
        <f t="shared" si="7"/>
        <v/>
      </c>
      <c r="Y141" t="str">
        <f t="shared" si="8"/>
        <v/>
      </c>
    </row>
    <row r="142" spans="1:25" x14ac:dyDescent="0.25">
      <c r="A142">
        <v>141</v>
      </c>
      <c r="B142">
        <v>141</v>
      </c>
      <c r="C142" t="s">
        <v>300</v>
      </c>
      <c r="D142" t="s">
        <v>66</v>
      </c>
      <c r="E142" t="s">
        <v>36</v>
      </c>
      <c r="F142" t="s">
        <v>301</v>
      </c>
      <c r="G142" t="s">
        <v>25</v>
      </c>
      <c r="H142" t="s">
        <v>26</v>
      </c>
      <c r="I142" s="1">
        <v>45848</v>
      </c>
      <c r="J142" t="s">
        <v>300</v>
      </c>
      <c r="K142" t="s">
        <v>36</v>
      </c>
      <c r="L142">
        <v>32</v>
      </c>
      <c r="M142">
        <v>0.5</v>
      </c>
      <c r="N142">
        <v>16</v>
      </c>
      <c r="O142">
        <v>16</v>
      </c>
      <c r="P142">
        <v>0.8</v>
      </c>
      <c r="Q142">
        <v>32</v>
      </c>
      <c r="R142">
        <v>700</v>
      </c>
      <c r="S142">
        <v>43.75</v>
      </c>
      <c r="T142">
        <v>43.75</v>
      </c>
      <c r="U142" t="s">
        <v>66</v>
      </c>
      <c r="V142" s="3" t="s">
        <v>112</v>
      </c>
      <c r="W142" t="str">
        <f t="shared" si="6"/>
        <v/>
      </c>
      <c r="X142" t="str">
        <f t="shared" si="7"/>
        <v/>
      </c>
      <c r="Y142" t="str">
        <f t="shared" si="8"/>
        <v/>
      </c>
    </row>
    <row r="143" spans="1:25" x14ac:dyDescent="0.25">
      <c r="A143">
        <v>142</v>
      </c>
      <c r="B143">
        <v>142</v>
      </c>
      <c r="C143" t="s">
        <v>302</v>
      </c>
      <c r="D143" t="s">
        <v>58</v>
      </c>
      <c r="E143" t="s">
        <v>36</v>
      </c>
      <c r="F143" t="s">
        <v>303</v>
      </c>
      <c r="G143" t="s">
        <v>25</v>
      </c>
      <c r="H143" t="s">
        <v>26</v>
      </c>
      <c r="I143" s="1">
        <v>44012</v>
      </c>
      <c r="J143" t="s">
        <v>302</v>
      </c>
      <c r="K143" t="s">
        <v>36</v>
      </c>
      <c r="L143">
        <v>2.5</v>
      </c>
      <c r="M143">
        <v>2.5</v>
      </c>
      <c r="N143">
        <v>6.25</v>
      </c>
      <c r="O143">
        <v>4.75</v>
      </c>
      <c r="P143">
        <v>0.15</v>
      </c>
      <c r="Q143">
        <v>19</v>
      </c>
      <c r="R143">
        <v>475</v>
      </c>
      <c r="S143">
        <v>76</v>
      </c>
      <c r="T143">
        <v>100</v>
      </c>
      <c r="U143" t="s">
        <v>58</v>
      </c>
      <c r="V143" s="3" t="s">
        <v>60</v>
      </c>
      <c r="W143" t="str">
        <f t="shared" si="6"/>
        <v/>
      </c>
      <c r="X143" t="str">
        <f t="shared" si="7"/>
        <v/>
      </c>
      <c r="Y143" t="str">
        <f t="shared" si="8"/>
        <v/>
      </c>
    </row>
    <row r="144" spans="1:25" x14ac:dyDescent="0.25">
      <c r="A144">
        <v>143</v>
      </c>
      <c r="B144">
        <v>143</v>
      </c>
      <c r="C144" t="s">
        <v>304</v>
      </c>
      <c r="D144" t="s">
        <v>305</v>
      </c>
      <c r="E144" t="s">
        <v>23</v>
      </c>
      <c r="F144" t="s">
        <v>306</v>
      </c>
      <c r="G144" t="s">
        <v>25</v>
      </c>
      <c r="H144" t="s">
        <v>26</v>
      </c>
      <c r="I144" s="1">
        <v>41432</v>
      </c>
      <c r="J144" t="s">
        <v>304</v>
      </c>
      <c r="K144" t="s">
        <v>23</v>
      </c>
      <c r="L144">
        <v>6</v>
      </c>
      <c r="M144">
        <v>6</v>
      </c>
      <c r="N144">
        <v>36</v>
      </c>
      <c r="O144">
        <v>36</v>
      </c>
      <c r="P144">
        <v>0.9</v>
      </c>
      <c r="Q144">
        <v>180</v>
      </c>
      <c r="R144">
        <v>720</v>
      </c>
      <c r="S144">
        <v>20</v>
      </c>
      <c r="T144">
        <v>20</v>
      </c>
      <c r="U144" t="s">
        <v>305</v>
      </c>
      <c r="V144" s="3" t="s">
        <v>27</v>
      </c>
      <c r="W144" t="str">
        <f t="shared" si="6"/>
        <v/>
      </c>
      <c r="X144" t="str">
        <f t="shared" si="7"/>
        <v/>
      </c>
      <c r="Y144" t="str">
        <f t="shared" si="8"/>
        <v/>
      </c>
    </row>
    <row r="145" spans="1:25" x14ac:dyDescent="0.25">
      <c r="A145">
        <v>144</v>
      </c>
      <c r="B145">
        <v>144</v>
      </c>
      <c r="C145" t="s">
        <v>307</v>
      </c>
      <c r="D145" t="s">
        <v>305</v>
      </c>
      <c r="E145" t="s">
        <v>23</v>
      </c>
      <c r="F145" t="s">
        <v>308</v>
      </c>
      <c r="G145" t="s">
        <v>25</v>
      </c>
      <c r="H145" t="s">
        <v>26</v>
      </c>
      <c r="I145" s="1">
        <v>41432</v>
      </c>
      <c r="J145" t="s">
        <v>307</v>
      </c>
      <c r="K145" t="s">
        <v>23</v>
      </c>
      <c r="L145">
        <v>5</v>
      </c>
      <c r="M145">
        <v>6</v>
      </c>
      <c r="N145">
        <v>30</v>
      </c>
      <c r="O145">
        <v>30</v>
      </c>
      <c r="P145">
        <v>0.75</v>
      </c>
      <c r="Q145">
        <v>150</v>
      </c>
      <c r="R145">
        <v>600</v>
      </c>
      <c r="S145">
        <v>20</v>
      </c>
      <c r="T145">
        <v>20</v>
      </c>
      <c r="U145" t="s">
        <v>305</v>
      </c>
      <c r="V145" s="3" t="s">
        <v>27</v>
      </c>
      <c r="W145" t="str">
        <f t="shared" si="6"/>
        <v/>
      </c>
      <c r="X145" t="str">
        <f t="shared" si="7"/>
        <v/>
      </c>
      <c r="Y145" t="str">
        <f t="shared" si="8"/>
        <v/>
      </c>
    </row>
    <row r="146" spans="1:25" x14ac:dyDescent="0.25">
      <c r="A146">
        <v>145</v>
      </c>
      <c r="B146">
        <v>145</v>
      </c>
      <c r="C146" t="s">
        <v>309</v>
      </c>
      <c r="D146" t="s">
        <v>42</v>
      </c>
      <c r="E146" t="s">
        <v>43</v>
      </c>
      <c r="F146" t="s">
        <v>310</v>
      </c>
      <c r="G146" t="s">
        <v>45</v>
      </c>
      <c r="H146" t="s">
        <v>26</v>
      </c>
      <c r="I146" s="1">
        <v>42859</v>
      </c>
      <c r="J146" t="s">
        <v>309</v>
      </c>
      <c r="K146" t="s">
        <v>43</v>
      </c>
      <c r="L146">
        <v>5</v>
      </c>
      <c r="M146">
        <v>5</v>
      </c>
      <c r="N146">
        <v>25</v>
      </c>
      <c r="O146">
        <v>39</v>
      </c>
      <c r="P146">
        <v>0.99</v>
      </c>
      <c r="Q146">
        <v>99</v>
      </c>
      <c r="R146">
        <v>998</v>
      </c>
      <c r="S146">
        <v>39.92</v>
      </c>
      <c r="T146">
        <v>25.589743589743598</v>
      </c>
      <c r="U146" t="s">
        <v>42</v>
      </c>
      <c r="V146" s="3" t="s">
        <v>46</v>
      </c>
      <c r="W146" t="str">
        <f t="shared" si="6"/>
        <v/>
      </c>
      <c r="X146" t="str">
        <f t="shared" si="7"/>
        <v/>
      </c>
      <c r="Y146" t="str">
        <f t="shared" si="8"/>
        <v/>
      </c>
    </row>
    <row r="147" spans="1:25" x14ac:dyDescent="0.25">
      <c r="A147">
        <v>146</v>
      </c>
      <c r="B147">
        <v>146</v>
      </c>
      <c r="C147" t="s">
        <v>311</v>
      </c>
      <c r="D147" t="s">
        <v>42</v>
      </c>
      <c r="E147" t="s">
        <v>43</v>
      </c>
      <c r="F147" t="s">
        <v>312</v>
      </c>
      <c r="G147" t="s">
        <v>45</v>
      </c>
      <c r="H147" t="s">
        <v>26</v>
      </c>
      <c r="I147" s="1">
        <v>42859</v>
      </c>
      <c r="J147" t="s">
        <v>311</v>
      </c>
      <c r="K147" t="s">
        <v>43</v>
      </c>
      <c r="L147">
        <v>5</v>
      </c>
      <c r="M147">
        <v>5</v>
      </c>
      <c r="N147">
        <v>25</v>
      </c>
      <c r="O147">
        <v>39</v>
      </c>
      <c r="P147">
        <v>0.99</v>
      </c>
      <c r="Q147">
        <v>99</v>
      </c>
      <c r="R147">
        <v>994</v>
      </c>
      <c r="S147">
        <v>39.76</v>
      </c>
      <c r="T147">
        <v>25.4871794871795</v>
      </c>
      <c r="U147" t="s">
        <v>42</v>
      </c>
      <c r="V147" s="3" t="s">
        <v>46</v>
      </c>
      <c r="W147" t="str">
        <f t="shared" si="6"/>
        <v/>
      </c>
      <c r="X147" t="str">
        <f t="shared" si="7"/>
        <v/>
      </c>
      <c r="Y147" t="str">
        <f t="shared" si="8"/>
        <v/>
      </c>
    </row>
    <row r="148" spans="1:25" x14ac:dyDescent="0.25">
      <c r="A148">
        <v>147</v>
      </c>
      <c r="B148">
        <v>147</v>
      </c>
      <c r="C148" t="s">
        <v>313</v>
      </c>
      <c r="D148" t="s">
        <v>58</v>
      </c>
      <c r="E148" t="s">
        <v>36</v>
      </c>
      <c r="F148" t="s">
        <v>314</v>
      </c>
      <c r="G148" t="s">
        <v>25</v>
      </c>
      <c r="H148" t="s">
        <v>26</v>
      </c>
      <c r="I148" s="1">
        <v>44012</v>
      </c>
      <c r="J148" t="s">
        <v>313</v>
      </c>
      <c r="K148" t="s">
        <v>36</v>
      </c>
      <c r="L148">
        <v>2.5</v>
      </c>
      <c r="M148">
        <v>2.5</v>
      </c>
      <c r="N148">
        <v>6.25</v>
      </c>
      <c r="O148">
        <v>5</v>
      </c>
      <c r="P148">
        <v>0.15</v>
      </c>
      <c r="Q148">
        <v>20</v>
      </c>
      <c r="R148">
        <v>500</v>
      </c>
      <c r="S148">
        <v>80</v>
      </c>
      <c r="T148">
        <v>100</v>
      </c>
      <c r="U148" t="s">
        <v>58</v>
      </c>
      <c r="V148" s="3" t="s">
        <v>60</v>
      </c>
      <c r="W148" t="str">
        <f t="shared" si="6"/>
        <v/>
      </c>
      <c r="X148" t="str">
        <f t="shared" si="7"/>
        <v/>
      </c>
      <c r="Y148" t="str">
        <f t="shared" si="8"/>
        <v/>
      </c>
    </row>
    <row r="149" spans="1:25" x14ac:dyDescent="0.25">
      <c r="A149">
        <v>148</v>
      </c>
      <c r="B149">
        <v>148</v>
      </c>
      <c r="C149" t="s">
        <v>315</v>
      </c>
      <c r="D149" t="s">
        <v>31</v>
      </c>
      <c r="E149" t="s">
        <v>23</v>
      </c>
      <c r="F149" t="s">
        <v>316</v>
      </c>
      <c r="G149" t="s">
        <v>25</v>
      </c>
      <c r="H149" t="s">
        <v>26</v>
      </c>
      <c r="I149" s="1">
        <v>42061</v>
      </c>
      <c r="J149" t="s">
        <v>315</v>
      </c>
      <c r="K149" t="s">
        <v>23</v>
      </c>
      <c r="L149">
        <v>5</v>
      </c>
      <c r="M149">
        <v>5</v>
      </c>
      <c r="N149">
        <v>25</v>
      </c>
      <c r="O149">
        <v>25</v>
      </c>
      <c r="P149">
        <v>0.625</v>
      </c>
      <c r="Q149">
        <v>125</v>
      </c>
      <c r="R149">
        <v>500</v>
      </c>
      <c r="S149">
        <v>20</v>
      </c>
      <c r="T149">
        <v>20</v>
      </c>
      <c r="U149" t="s">
        <v>31</v>
      </c>
      <c r="V149" s="3" t="s">
        <v>33</v>
      </c>
      <c r="W149" t="str">
        <f t="shared" si="6"/>
        <v/>
      </c>
      <c r="X149" t="str">
        <f t="shared" si="7"/>
        <v/>
      </c>
      <c r="Y149" t="str">
        <f t="shared" si="8"/>
        <v/>
      </c>
    </row>
    <row r="150" spans="1:25" x14ac:dyDescent="0.25">
      <c r="A150">
        <v>149</v>
      </c>
      <c r="B150">
        <v>149</v>
      </c>
      <c r="C150" t="s">
        <v>317</v>
      </c>
      <c r="D150" t="s">
        <v>35</v>
      </c>
      <c r="E150" t="s">
        <v>36</v>
      </c>
      <c r="F150" t="s">
        <v>318</v>
      </c>
      <c r="G150" t="s">
        <v>25</v>
      </c>
      <c r="H150" t="s">
        <v>26</v>
      </c>
      <c r="I150" s="1">
        <v>42634</v>
      </c>
      <c r="J150" t="s">
        <v>317</v>
      </c>
      <c r="K150" t="s">
        <v>36</v>
      </c>
      <c r="L150">
        <v>2.5</v>
      </c>
      <c r="M150">
        <v>2.5</v>
      </c>
      <c r="N150">
        <v>6.25</v>
      </c>
      <c r="O150">
        <v>5</v>
      </c>
      <c r="P150">
        <v>0.15</v>
      </c>
      <c r="Q150">
        <v>20</v>
      </c>
      <c r="R150">
        <v>500</v>
      </c>
      <c r="S150">
        <v>80</v>
      </c>
      <c r="T150">
        <v>100</v>
      </c>
      <c r="U150" t="s">
        <v>35</v>
      </c>
      <c r="V150" s="3" t="s">
        <v>92</v>
      </c>
      <c r="W150" t="str">
        <f t="shared" si="6"/>
        <v/>
      </c>
      <c r="X150" t="str">
        <f t="shared" si="7"/>
        <v/>
      </c>
      <c r="Y150" t="str">
        <f t="shared" si="8"/>
        <v/>
      </c>
    </row>
    <row r="151" spans="1:25" x14ac:dyDescent="0.25">
      <c r="A151">
        <v>150</v>
      </c>
      <c r="B151">
        <v>150</v>
      </c>
      <c r="C151" t="s">
        <v>319</v>
      </c>
      <c r="D151" t="s">
        <v>35</v>
      </c>
      <c r="E151" t="s">
        <v>36</v>
      </c>
      <c r="F151" t="s">
        <v>320</v>
      </c>
      <c r="G151" t="s">
        <v>25</v>
      </c>
      <c r="H151" t="s">
        <v>26</v>
      </c>
      <c r="I151" s="1">
        <v>42634</v>
      </c>
      <c r="J151" t="s">
        <v>319</v>
      </c>
      <c r="K151" t="s">
        <v>36</v>
      </c>
      <c r="L151">
        <v>2.5</v>
      </c>
      <c r="M151">
        <v>2.5</v>
      </c>
      <c r="N151">
        <v>6.25</v>
      </c>
      <c r="O151">
        <v>5</v>
      </c>
      <c r="P151">
        <v>0.5</v>
      </c>
      <c r="Q151">
        <v>20</v>
      </c>
      <c r="R151">
        <v>500</v>
      </c>
      <c r="S151">
        <v>80</v>
      </c>
      <c r="T151">
        <v>100</v>
      </c>
      <c r="U151" t="s">
        <v>35</v>
      </c>
      <c r="V151" s="3" t="s">
        <v>92</v>
      </c>
      <c r="W151" t="str">
        <f t="shared" si="6"/>
        <v/>
      </c>
      <c r="X151" t="str">
        <f t="shared" si="7"/>
        <v/>
      </c>
      <c r="Y151" t="str">
        <f t="shared" si="8"/>
        <v/>
      </c>
    </row>
    <row r="152" spans="1:25" x14ac:dyDescent="0.25">
      <c r="A152">
        <v>151</v>
      </c>
      <c r="B152">
        <v>151</v>
      </c>
      <c r="C152" t="s">
        <v>321</v>
      </c>
      <c r="D152" t="s">
        <v>35</v>
      </c>
      <c r="E152" t="s">
        <v>36</v>
      </c>
      <c r="F152" t="s">
        <v>322</v>
      </c>
      <c r="G152" t="s">
        <v>25</v>
      </c>
      <c r="H152" t="s">
        <v>26</v>
      </c>
      <c r="I152" s="1">
        <v>42634</v>
      </c>
      <c r="J152" t="s">
        <v>321</v>
      </c>
      <c r="K152" t="s">
        <v>36</v>
      </c>
      <c r="L152">
        <v>2.5</v>
      </c>
      <c r="M152">
        <v>2.5</v>
      </c>
      <c r="N152">
        <v>6.25</v>
      </c>
      <c r="O152">
        <v>5</v>
      </c>
      <c r="P152">
        <v>0.5</v>
      </c>
      <c r="Q152">
        <v>20</v>
      </c>
      <c r="R152">
        <v>500</v>
      </c>
      <c r="S152">
        <v>80</v>
      </c>
      <c r="T152">
        <v>100</v>
      </c>
      <c r="U152" t="s">
        <v>35</v>
      </c>
      <c r="V152" s="3" t="s">
        <v>92</v>
      </c>
      <c r="W152" t="str">
        <f t="shared" si="6"/>
        <v/>
      </c>
      <c r="X152" t="str">
        <f t="shared" si="7"/>
        <v/>
      </c>
      <c r="Y152" t="str">
        <f t="shared" si="8"/>
        <v/>
      </c>
    </row>
    <row r="153" spans="1:25" x14ac:dyDescent="0.25">
      <c r="A153">
        <v>152</v>
      </c>
      <c r="B153">
        <v>152</v>
      </c>
      <c r="C153" t="s">
        <v>323</v>
      </c>
      <c r="D153" t="s">
        <v>35</v>
      </c>
      <c r="E153" t="s">
        <v>36</v>
      </c>
      <c r="F153" t="s">
        <v>324</v>
      </c>
      <c r="G153" t="s">
        <v>25</v>
      </c>
      <c r="H153" t="s">
        <v>26</v>
      </c>
      <c r="I153" s="1">
        <v>42634</v>
      </c>
      <c r="J153" t="s">
        <v>323</v>
      </c>
      <c r="K153" t="s">
        <v>36</v>
      </c>
      <c r="L153">
        <v>2.5</v>
      </c>
      <c r="M153">
        <v>2.5</v>
      </c>
      <c r="N153">
        <v>6.25</v>
      </c>
      <c r="O153">
        <v>5</v>
      </c>
      <c r="P153">
        <v>0.5</v>
      </c>
      <c r="Q153">
        <v>20</v>
      </c>
      <c r="R153">
        <v>500</v>
      </c>
      <c r="S153">
        <v>80</v>
      </c>
      <c r="T153">
        <v>100</v>
      </c>
      <c r="U153" t="s">
        <v>35</v>
      </c>
      <c r="V153" s="3" t="s">
        <v>92</v>
      </c>
      <c r="W153" t="str">
        <f t="shared" si="6"/>
        <v/>
      </c>
      <c r="X153" t="str">
        <f t="shared" si="7"/>
        <v/>
      </c>
      <c r="Y153" t="str">
        <f t="shared" si="8"/>
        <v/>
      </c>
    </row>
    <row r="154" spans="1:25" x14ac:dyDescent="0.25">
      <c r="A154">
        <v>153</v>
      </c>
      <c r="B154">
        <v>153</v>
      </c>
      <c r="C154" t="s">
        <v>325</v>
      </c>
      <c r="D154" t="s">
        <v>35</v>
      </c>
      <c r="E154" t="s">
        <v>36</v>
      </c>
      <c r="F154" t="s">
        <v>326</v>
      </c>
      <c r="G154" t="s">
        <v>25</v>
      </c>
      <c r="H154" t="s">
        <v>26</v>
      </c>
      <c r="I154" s="1">
        <v>42634</v>
      </c>
      <c r="J154" t="s">
        <v>325</v>
      </c>
      <c r="K154" t="s">
        <v>36</v>
      </c>
      <c r="L154">
        <v>2.5</v>
      </c>
      <c r="M154">
        <v>2</v>
      </c>
      <c r="N154">
        <v>5</v>
      </c>
      <c r="O154">
        <v>5</v>
      </c>
      <c r="P154">
        <v>0.5</v>
      </c>
      <c r="Q154">
        <v>20</v>
      </c>
      <c r="R154">
        <v>500</v>
      </c>
      <c r="S154">
        <v>100</v>
      </c>
      <c r="T154">
        <v>100</v>
      </c>
      <c r="U154" t="s">
        <v>35</v>
      </c>
      <c r="V154" s="3" t="s">
        <v>92</v>
      </c>
      <c r="W154" t="str">
        <f t="shared" si="6"/>
        <v/>
      </c>
      <c r="X154" t="str">
        <f t="shared" si="7"/>
        <v/>
      </c>
      <c r="Y154" t="str">
        <f t="shared" si="8"/>
        <v/>
      </c>
    </row>
    <row r="155" spans="1:25" x14ac:dyDescent="0.25">
      <c r="A155">
        <v>154</v>
      </c>
      <c r="B155">
        <v>154</v>
      </c>
      <c r="C155" t="s">
        <v>325</v>
      </c>
      <c r="D155" t="s">
        <v>35</v>
      </c>
      <c r="E155" t="s">
        <v>23</v>
      </c>
      <c r="F155" t="s">
        <v>327</v>
      </c>
      <c r="G155" t="s">
        <v>25</v>
      </c>
      <c r="H155" t="s">
        <v>26</v>
      </c>
      <c r="I155" s="1">
        <v>42634</v>
      </c>
      <c r="J155" t="s">
        <v>325</v>
      </c>
      <c r="K155" t="s">
        <v>23</v>
      </c>
      <c r="L155">
        <v>2.5</v>
      </c>
      <c r="M155">
        <v>2</v>
      </c>
      <c r="N155">
        <v>5</v>
      </c>
      <c r="O155">
        <v>5</v>
      </c>
      <c r="P155">
        <v>0.625</v>
      </c>
      <c r="Q155">
        <v>125</v>
      </c>
      <c r="R155">
        <v>500</v>
      </c>
      <c r="S155">
        <v>100</v>
      </c>
      <c r="T155">
        <v>100</v>
      </c>
      <c r="U155" t="s">
        <v>35</v>
      </c>
      <c r="V155" s="3" t="s">
        <v>92</v>
      </c>
      <c r="W155" t="str">
        <f t="shared" si="6"/>
        <v/>
      </c>
      <c r="X155" t="str">
        <f t="shared" si="7"/>
        <v/>
      </c>
      <c r="Y155" t="str">
        <f t="shared" si="8"/>
        <v/>
      </c>
    </row>
    <row r="156" spans="1:25" x14ac:dyDescent="0.25">
      <c r="A156">
        <v>155</v>
      </c>
      <c r="B156">
        <v>155</v>
      </c>
      <c r="C156" t="s">
        <v>328</v>
      </c>
      <c r="D156" t="s">
        <v>22</v>
      </c>
      <c r="E156" t="s">
        <v>36</v>
      </c>
      <c r="F156" t="s">
        <v>329</v>
      </c>
      <c r="G156" t="s">
        <v>25</v>
      </c>
      <c r="H156" t="s">
        <v>26</v>
      </c>
      <c r="I156" s="1">
        <v>42893</v>
      </c>
      <c r="J156" t="s">
        <v>328</v>
      </c>
      <c r="K156" t="s">
        <v>36</v>
      </c>
      <c r="L156">
        <v>2.5</v>
      </c>
      <c r="M156">
        <v>2</v>
      </c>
      <c r="N156">
        <v>5</v>
      </c>
      <c r="O156">
        <v>5</v>
      </c>
      <c r="P156">
        <v>0.5</v>
      </c>
      <c r="Q156">
        <v>20</v>
      </c>
      <c r="R156">
        <v>500</v>
      </c>
      <c r="S156">
        <v>100</v>
      </c>
      <c r="T156">
        <v>100</v>
      </c>
      <c r="U156" t="s">
        <v>22</v>
      </c>
      <c r="V156" s="3" t="s">
        <v>92</v>
      </c>
      <c r="W156" t="str">
        <f t="shared" si="6"/>
        <v/>
      </c>
      <c r="X156" t="str">
        <f t="shared" si="7"/>
        <v/>
      </c>
      <c r="Y156" t="str">
        <f t="shared" si="8"/>
        <v/>
      </c>
    </row>
    <row r="157" spans="1:25" x14ac:dyDescent="0.25">
      <c r="A157">
        <v>156</v>
      </c>
      <c r="B157">
        <v>156</v>
      </c>
      <c r="C157" t="s">
        <v>330</v>
      </c>
      <c r="D157" t="s">
        <v>22</v>
      </c>
      <c r="E157" t="s">
        <v>36</v>
      </c>
      <c r="F157" t="s">
        <v>331</v>
      </c>
      <c r="G157" t="s">
        <v>25</v>
      </c>
      <c r="H157" t="s">
        <v>26</v>
      </c>
      <c r="I157" s="1">
        <v>42893</v>
      </c>
      <c r="J157" t="s">
        <v>330</v>
      </c>
      <c r="K157" t="s">
        <v>36</v>
      </c>
      <c r="L157">
        <v>2.5</v>
      </c>
      <c r="M157">
        <v>2</v>
      </c>
      <c r="N157">
        <v>5</v>
      </c>
      <c r="O157">
        <v>5</v>
      </c>
      <c r="P157">
        <v>0.5</v>
      </c>
      <c r="Q157">
        <v>20</v>
      </c>
      <c r="R157">
        <v>500</v>
      </c>
      <c r="S157">
        <v>100</v>
      </c>
      <c r="T157">
        <v>100</v>
      </c>
      <c r="U157" t="s">
        <v>22</v>
      </c>
      <c r="V157" s="3" t="s">
        <v>92</v>
      </c>
      <c r="W157" t="str">
        <f t="shared" si="6"/>
        <v/>
      </c>
      <c r="X157" t="str">
        <f t="shared" si="7"/>
        <v/>
      </c>
      <c r="Y157" t="str">
        <f t="shared" si="8"/>
        <v/>
      </c>
    </row>
    <row r="158" spans="1:25" x14ac:dyDescent="0.25">
      <c r="A158">
        <v>157</v>
      </c>
      <c r="B158">
        <v>157</v>
      </c>
      <c r="C158" t="s">
        <v>332</v>
      </c>
      <c r="D158" t="s">
        <v>22</v>
      </c>
      <c r="E158" t="s">
        <v>36</v>
      </c>
      <c r="F158" t="s">
        <v>333</v>
      </c>
      <c r="G158" t="s">
        <v>45</v>
      </c>
      <c r="H158" t="s">
        <v>52</v>
      </c>
      <c r="I158" s="1">
        <v>42922</v>
      </c>
      <c r="J158" t="s">
        <v>332</v>
      </c>
      <c r="K158" t="s">
        <v>36</v>
      </c>
      <c r="L158">
        <v>24</v>
      </c>
      <c r="M158">
        <v>5</v>
      </c>
      <c r="N158">
        <v>120</v>
      </c>
      <c r="O158">
        <v>58.25</v>
      </c>
      <c r="P158">
        <v>5.8250000000000002</v>
      </c>
      <c r="Q158">
        <v>233</v>
      </c>
      <c r="R158">
        <v>5825</v>
      </c>
      <c r="S158">
        <v>48.5416666666667</v>
      </c>
      <c r="T158">
        <v>100</v>
      </c>
      <c r="U158" t="s">
        <v>22</v>
      </c>
      <c r="V158" s="3" t="s">
        <v>92</v>
      </c>
      <c r="W158" t="str">
        <f t="shared" si="6"/>
        <v/>
      </c>
      <c r="X158" t="str">
        <f t="shared" si="7"/>
        <v/>
      </c>
      <c r="Y158" t="str">
        <f t="shared" si="8"/>
        <v/>
      </c>
    </row>
    <row r="159" spans="1:25" x14ac:dyDescent="0.25">
      <c r="A159">
        <v>158</v>
      </c>
      <c r="B159">
        <v>158</v>
      </c>
      <c r="C159" t="s">
        <v>334</v>
      </c>
      <c r="D159" t="s">
        <v>22</v>
      </c>
      <c r="E159" t="s">
        <v>36</v>
      </c>
      <c r="F159" t="s">
        <v>335</v>
      </c>
      <c r="G159" t="s">
        <v>45</v>
      </c>
      <c r="H159" t="s">
        <v>52</v>
      </c>
      <c r="I159" s="1">
        <v>42923</v>
      </c>
      <c r="J159" t="s">
        <v>334</v>
      </c>
      <c r="K159" t="s">
        <v>36</v>
      </c>
      <c r="L159">
        <v>8</v>
      </c>
      <c r="M159">
        <v>5</v>
      </c>
      <c r="N159">
        <v>40</v>
      </c>
      <c r="O159">
        <v>20</v>
      </c>
      <c r="P159">
        <v>2</v>
      </c>
      <c r="Q159">
        <v>80</v>
      </c>
      <c r="R159">
        <v>2000</v>
      </c>
      <c r="S159">
        <v>50</v>
      </c>
      <c r="T159">
        <v>100</v>
      </c>
      <c r="U159" t="s">
        <v>22</v>
      </c>
      <c r="V159" s="3" t="s">
        <v>92</v>
      </c>
      <c r="W159" t="str">
        <f t="shared" si="6"/>
        <v/>
      </c>
      <c r="X159" t="str">
        <f t="shared" si="7"/>
        <v/>
      </c>
      <c r="Y159" t="str">
        <f t="shared" si="8"/>
        <v/>
      </c>
    </row>
    <row r="160" spans="1:25" x14ac:dyDescent="0.25">
      <c r="A160">
        <v>159</v>
      </c>
      <c r="B160">
        <v>159</v>
      </c>
      <c r="C160" t="s">
        <v>336</v>
      </c>
      <c r="D160" t="s">
        <v>22</v>
      </c>
      <c r="E160" t="s">
        <v>36</v>
      </c>
      <c r="F160" t="s">
        <v>337</v>
      </c>
      <c r="G160" t="s">
        <v>45</v>
      </c>
      <c r="H160" t="s">
        <v>52</v>
      </c>
      <c r="I160" s="1">
        <v>42924</v>
      </c>
      <c r="J160" t="s">
        <v>336</v>
      </c>
      <c r="K160" t="s">
        <v>36</v>
      </c>
      <c r="L160">
        <v>16</v>
      </c>
      <c r="M160">
        <v>5</v>
      </c>
      <c r="N160">
        <v>80</v>
      </c>
      <c r="O160">
        <v>40</v>
      </c>
      <c r="P160">
        <v>4</v>
      </c>
      <c r="Q160">
        <v>160</v>
      </c>
      <c r="R160">
        <v>4000</v>
      </c>
      <c r="S160">
        <v>50</v>
      </c>
      <c r="T160">
        <v>100</v>
      </c>
      <c r="U160" t="s">
        <v>22</v>
      </c>
      <c r="V160" s="3" t="s">
        <v>92</v>
      </c>
      <c r="W160" t="str">
        <f t="shared" si="6"/>
        <v/>
      </c>
      <c r="X160" t="str">
        <f t="shared" si="7"/>
        <v/>
      </c>
      <c r="Y160" t="str">
        <f t="shared" si="8"/>
        <v/>
      </c>
    </row>
    <row r="161" spans="1:25" x14ac:dyDescent="0.25">
      <c r="A161">
        <v>160</v>
      </c>
      <c r="B161">
        <v>160</v>
      </c>
      <c r="C161" t="s">
        <v>338</v>
      </c>
      <c r="D161" t="s">
        <v>88</v>
      </c>
      <c r="E161" t="s">
        <v>36</v>
      </c>
      <c r="F161" t="s">
        <v>339</v>
      </c>
      <c r="G161" t="s">
        <v>25</v>
      </c>
      <c r="H161" t="s">
        <v>26</v>
      </c>
      <c r="I161" s="1">
        <v>42978</v>
      </c>
      <c r="J161" t="s">
        <v>338</v>
      </c>
      <c r="K161" t="s">
        <v>36</v>
      </c>
      <c r="L161">
        <v>2.5</v>
      </c>
      <c r="M161">
        <v>2.5</v>
      </c>
      <c r="N161">
        <v>6.25</v>
      </c>
      <c r="O161">
        <v>4.5</v>
      </c>
      <c r="P161">
        <v>0.45</v>
      </c>
      <c r="Q161">
        <v>18</v>
      </c>
      <c r="R161">
        <v>450</v>
      </c>
      <c r="S161">
        <v>72</v>
      </c>
      <c r="T161">
        <v>100</v>
      </c>
      <c r="U161" t="s">
        <v>88</v>
      </c>
      <c r="V161" s="3" t="s">
        <v>92</v>
      </c>
      <c r="W161" t="str">
        <f t="shared" si="6"/>
        <v/>
      </c>
      <c r="X161" t="str">
        <f t="shared" si="7"/>
        <v/>
      </c>
      <c r="Y161" t="str">
        <f t="shared" si="8"/>
        <v/>
      </c>
    </row>
    <row r="162" spans="1:25" x14ac:dyDescent="0.25">
      <c r="A162">
        <v>161</v>
      </c>
      <c r="B162">
        <v>161</v>
      </c>
      <c r="C162" t="s">
        <v>340</v>
      </c>
      <c r="D162" t="s">
        <v>88</v>
      </c>
      <c r="E162" t="s">
        <v>36</v>
      </c>
      <c r="F162" t="s">
        <v>341</v>
      </c>
      <c r="G162" t="s">
        <v>25</v>
      </c>
      <c r="H162" t="s">
        <v>26</v>
      </c>
      <c r="I162" s="1">
        <v>42978</v>
      </c>
      <c r="J162" t="s">
        <v>340</v>
      </c>
      <c r="K162" t="s">
        <v>36</v>
      </c>
      <c r="L162">
        <v>2.5</v>
      </c>
      <c r="M162">
        <v>2.5</v>
      </c>
      <c r="N162">
        <v>6.25</v>
      </c>
      <c r="O162">
        <v>5</v>
      </c>
      <c r="P162">
        <v>0.5</v>
      </c>
      <c r="Q162">
        <v>20</v>
      </c>
      <c r="R162">
        <v>500</v>
      </c>
      <c r="S162">
        <v>80</v>
      </c>
      <c r="T162">
        <v>100</v>
      </c>
      <c r="U162" t="s">
        <v>88</v>
      </c>
      <c r="V162" s="3" t="s">
        <v>92</v>
      </c>
      <c r="W162" t="str">
        <f t="shared" si="6"/>
        <v/>
      </c>
      <c r="X162" t="str">
        <f t="shared" si="7"/>
        <v/>
      </c>
      <c r="Y162" t="str">
        <f t="shared" si="8"/>
        <v/>
      </c>
    </row>
    <row r="163" spans="1:25" x14ac:dyDescent="0.25">
      <c r="A163">
        <v>162</v>
      </c>
      <c r="B163">
        <v>162</v>
      </c>
      <c r="C163" t="s">
        <v>342</v>
      </c>
      <c r="D163" t="s">
        <v>66</v>
      </c>
      <c r="E163" t="s">
        <v>36</v>
      </c>
      <c r="F163" t="s">
        <v>343</v>
      </c>
      <c r="G163" t="s">
        <v>25</v>
      </c>
      <c r="H163" t="s">
        <v>26</v>
      </c>
      <c r="I163" s="1">
        <v>44344</v>
      </c>
      <c r="J163" t="s">
        <v>342</v>
      </c>
      <c r="K163" t="s">
        <v>36</v>
      </c>
      <c r="L163">
        <v>1.5</v>
      </c>
      <c r="M163">
        <v>1</v>
      </c>
      <c r="N163">
        <v>1.5</v>
      </c>
      <c r="O163">
        <v>3.75</v>
      </c>
      <c r="P163">
        <v>0.375</v>
      </c>
      <c r="Q163">
        <v>15</v>
      </c>
      <c r="R163">
        <v>300</v>
      </c>
      <c r="S163">
        <v>200</v>
      </c>
      <c r="T163">
        <v>80</v>
      </c>
      <c r="U163" t="s">
        <v>66</v>
      </c>
      <c r="V163" s="3" t="s">
        <v>127</v>
      </c>
      <c r="W163" t="str">
        <f t="shared" si="6"/>
        <v/>
      </c>
      <c r="X163" t="str">
        <f t="shared" si="7"/>
        <v/>
      </c>
      <c r="Y163" t="str">
        <f t="shared" si="8"/>
        <v/>
      </c>
    </row>
    <row r="164" spans="1:25" x14ac:dyDescent="0.25">
      <c r="A164">
        <v>163</v>
      </c>
      <c r="B164">
        <v>163</v>
      </c>
      <c r="C164" t="s">
        <v>342</v>
      </c>
      <c r="D164" t="s">
        <v>76</v>
      </c>
      <c r="E164" t="s">
        <v>36</v>
      </c>
      <c r="F164" t="s">
        <v>344</v>
      </c>
      <c r="G164" t="s">
        <v>25</v>
      </c>
      <c r="H164" t="s">
        <v>26</v>
      </c>
      <c r="I164" s="1">
        <v>44344</v>
      </c>
      <c r="J164" t="s">
        <v>342</v>
      </c>
      <c r="K164" t="s">
        <v>36</v>
      </c>
      <c r="L164">
        <v>1</v>
      </c>
      <c r="M164">
        <v>1</v>
      </c>
      <c r="N164">
        <v>1</v>
      </c>
      <c r="O164">
        <v>3</v>
      </c>
      <c r="P164">
        <v>0.3</v>
      </c>
      <c r="Q164">
        <v>12</v>
      </c>
      <c r="R164">
        <v>240</v>
      </c>
      <c r="S164">
        <v>240</v>
      </c>
      <c r="T164">
        <v>80</v>
      </c>
      <c r="U164" t="s">
        <v>76</v>
      </c>
      <c r="V164" s="3" t="s">
        <v>127</v>
      </c>
      <c r="W164" t="str">
        <f t="shared" si="6"/>
        <v/>
      </c>
      <c r="X164" t="str">
        <f t="shared" si="7"/>
        <v/>
      </c>
      <c r="Y164" t="str">
        <f t="shared" si="8"/>
        <v/>
      </c>
    </row>
    <row r="165" spans="1:25" x14ac:dyDescent="0.25">
      <c r="A165">
        <v>164</v>
      </c>
      <c r="B165">
        <v>164</v>
      </c>
      <c r="C165" t="s">
        <v>345</v>
      </c>
      <c r="D165" t="s">
        <v>66</v>
      </c>
      <c r="E165" t="s">
        <v>36</v>
      </c>
      <c r="F165" t="s">
        <v>346</v>
      </c>
      <c r="G165" t="s">
        <v>25</v>
      </c>
      <c r="H165" t="s">
        <v>26</v>
      </c>
      <c r="I165" s="1">
        <v>44698</v>
      </c>
      <c r="J165" t="s">
        <v>345</v>
      </c>
      <c r="K165" t="s">
        <v>36</v>
      </c>
      <c r="L165">
        <v>1</v>
      </c>
      <c r="M165">
        <v>0.5</v>
      </c>
      <c r="N165">
        <v>0.5</v>
      </c>
      <c r="O165">
        <v>1.5</v>
      </c>
      <c r="P165">
        <v>0.15</v>
      </c>
      <c r="Q165">
        <v>6</v>
      </c>
      <c r="R165">
        <v>120</v>
      </c>
      <c r="S165">
        <v>240</v>
      </c>
      <c r="T165">
        <v>80</v>
      </c>
      <c r="U165" t="s">
        <v>66</v>
      </c>
      <c r="V165" s="3" t="s">
        <v>127</v>
      </c>
      <c r="W165" t="str">
        <f t="shared" si="6"/>
        <v/>
      </c>
      <c r="X165" t="str">
        <f t="shared" si="7"/>
        <v/>
      </c>
      <c r="Y165" t="str">
        <f t="shared" si="8"/>
        <v/>
      </c>
    </row>
    <row r="166" spans="1:25" x14ac:dyDescent="0.25">
      <c r="A166">
        <v>165</v>
      </c>
      <c r="B166">
        <v>165</v>
      </c>
      <c r="C166" t="s">
        <v>345</v>
      </c>
      <c r="D166" t="s">
        <v>66</v>
      </c>
      <c r="E166" t="s">
        <v>36</v>
      </c>
      <c r="F166" t="s">
        <v>347</v>
      </c>
      <c r="G166" t="s">
        <v>25</v>
      </c>
      <c r="H166" t="s">
        <v>26</v>
      </c>
      <c r="I166" s="1">
        <v>44698</v>
      </c>
      <c r="J166" t="s">
        <v>345</v>
      </c>
      <c r="K166" t="s">
        <v>36</v>
      </c>
      <c r="L166">
        <v>2.5</v>
      </c>
      <c r="M166">
        <v>1</v>
      </c>
      <c r="N166">
        <v>2.5</v>
      </c>
      <c r="O166">
        <v>7.75</v>
      </c>
      <c r="P166">
        <v>0.77500000000000002</v>
      </c>
      <c r="Q166">
        <v>31</v>
      </c>
      <c r="R166">
        <v>620</v>
      </c>
      <c r="S166">
        <v>248</v>
      </c>
      <c r="T166">
        <v>80</v>
      </c>
      <c r="U166" t="s">
        <v>66</v>
      </c>
      <c r="V166" s="3" t="s">
        <v>127</v>
      </c>
      <c r="W166" t="str">
        <f t="shared" si="6"/>
        <v/>
      </c>
      <c r="X166" t="str">
        <f t="shared" si="7"/>
        <v/>
      </c>
      <c r="Y166" t="str">
        <f t="shared" si="8"/>
        <v/>
      </c>
    </row>
    <row r="167" spans="1:25" x14ac:dyDescent="0.25">
      <c r="A167">
        <v>166</v>
      </c>
      <c r="B167">
        <v>166</v>
      </c>
      <c r="C167" t="s">
        <v>348</v>
      </c>
      <c r="D167" t="s">
        <v>88</v>
      </c>
      <c r="E167" t="s">
        <v>23</v>
      </c>
      <c r="F167" t="s">
        <v>349</v>
      </c>
      <c r="G167" t="s">
        <v>25</v>
      </c>
      <c r="H167" t="s">
        <v>26</v>
      </c>
      <c r="I167" s="1">
        <v>42053</v>
      </c>
      <c r="J167" t="s">
        <v>348</v>
      </c>
      <c r="K167" t="s">
        <v>23</v>
      </c>
      <c r="L167">
        <v>5</v>
      </c>
      <c r="M167">
        <v>5</v>
      </c>
      <c r="N167">
        <v>25</v>
      </c>
      <c r="O167">
        <v>25</v>
      </c>
      <c r="P167">
        <v>0.625</v>
      </c>
      <c r="Q167">
        <v>125</v>
      </c>
      <c r="R167">
        <v>500</v>
      </c>
      <c r="S167">
        <v>20</v>
      </c>
      <c r="T167">
        <v>20</v>
      </c>
      <c r="U167" t="s">
        <v>88</v>
      </c>
      <c r="V167" s="3" t="s">
        <v>33</v>
      </c>
      <c r="W167" t="str">
        <f t="shared" si="6"/>
        <v/>
      </c>
      <c r="X167" t="str">
        <f t="shared" si="7"/>
        <v/>
      </c>
      <c r="Y167" t="str">
        <f t="shared" si="8"/>
        <v/>
      </c>
    </row>
    <row r="168" spans="1:25" x14ac:dyDescent="0.25">
      <c r="A168">
        <v>167</v>
      </c>
      <c r="B168">
        <v>167</v>
      </c>
      <c r="C168" t="s">
        <v>350</v>
      </c>
      <c r="D168" t="s">
        <v>66</v>
      </c>
      <c r="E168" t="s">
        <v>36</v>
      </c>
      <c r="F168" t="s">
        <v>351</v>
      </c>
      <c r="G168" t="s">
        <v>25</v>
      </c>
      <c r="H168" t="s">
        <v>26</v>
      </c>
      <c r="I168" s="1">
        <v>45053</v>
      </c>
      <c r="J168" t="s">
        <v>350</v>
      </c>
      <c r="K168" t="s">
        <v>36</v>
      </c>
      <c r="L168">
        <v>1.5</v>
      </c>
      <c r="M168">
        <v>0.5</v>
      </c>
      <c r="N168">
        <v>0.75</v>
      </c>
      <c r="O168">
        <v>2.75</v>
      </c>
      <c r="P168">
        <v>0.27500000000000002</v>
      </c>
      <c r="Q168">
        <v>11</v>
      </c>
      <c r="R168">
        <v>150</v>
      </c>
      <c r="S168">
        <v>200</v>
      </c>
      <c r="T168">
        <v>54.545454545454497</v>
      </c>
      <c r="U168" t="s">
        <v>66</v>
      </c>
      <c r="V168" s="3" t="s">
        <v>68</v>
      </c>
      <c r="W168" t="str">
        <f t="shared" si="6"/>
        <v/>
      </c>
      <c r="X168" t="str">
        <f t="shared" si="7"/>
        <v/>
      </c>
      <c r="Y168" t="str">
        <f t="shared" si="8"/>
        <v/>
      </c>
    </row>
    <row r="169" spans="1:25" x14ac:dyDescent="0.25">
      <c r="A169">
        <v>168</v>
      </c>
      <c r="B169">
        <v>168</v>
      </c>
      <c r="C169" t="s">
        <v>352</v>
      </c>
      <c r="D169" t="s">
        <v>42</v>
      </c>
      <c r="E169" t="s">
        <v>103</v>
      </c>
      <c r="F169" t="s">
        <v>353</v>
      </c>
      <c r="G169" t="s">
        <v>25</v>
      </c>
      <c r="H169" t="s">
        <v>26</v>
      </c>
      <c r="I169" s="1">
        <v>42510</v>
      </c>
      <c r="J169" t="s">
        <v>352</v>
      </c>
      <c r="K169" t="s">
        <v>103</v>
      </c>
      <c r="L169">
        <v>5</v>
      </c>
      <c r="M169">
        <v>5</v>
      </c>
      <c r="N169">
        <v>25</v>
      </c>
      <c r="O169">
        <v>39</v>
      </c>
      <c r="P169">
        <v>9.75</v>
      </c>
      <c r="Q169">
        <v>156</v>
      </c>
      <c r="R169">
        <v>780</v>
      </c>
      <c r="S169">
        <v>31.2</v>
      </c>
      <c r="T169">
        <v>20</v>
      </c>
      <c r="U169" t="s">
        <v>42</v>
      </c>
      <c r="V169" s="3" t="s">
        <v>46</v>
      </c>
      <c r="W169" t="str">
        <f t="shared" si="6"/>
        <v/>
      </c>
      <c r="X169" t="str">
        <f t="shared" si="7"/>
        <v/>
      </c>
      <c r="Y169" t="str">
        <f t="shared" si="8"/>
        <v/>
      </c>
    </row>
    <row r="170" spans="1:25" x14ac:dyDescent="0.25">
      <c r="A170">
        <v>169</v>
      </c>
      <c r="B170">
        <v>169</v>
      </c>
      <c r="C170" t="s">
        <v>354</v>
      </c>
      <c r="D170" t="s">
        <v>355</v>
      </c>
      <c r="E170" t="s">
        <v>23</v>
      </c>
      <c r="F170" t="s">
        <v>356</v>
      </c>
      <c r="G170" t="s">
        <v>25</v>
      </c>
      <c r="H170" t="s">
        <v>26</v>
      </c>
      <c r="I170" s="1">
        <v>41961</v>
      </c>
      <c r="J170" t="s">
        <v>354</v>
      </c>
      <c r="K170" t="s">
        <v>23</v>
      </c>
      <c r="L170">
        <v>5</v>
      </c>
      <c r="M170">
        <v>5</v>
      </c>
      <c r="N170">
        <v>25</v>
      </c>
      <c r="O170">
        <v>25</v>
      </c>
      <c r="P170">
        <v>0.625</v>
      </c>
      <c r="Q170">
        <v>125</v>
      </c>
      <c r="R170">
        <v>500</v>
      </c>
      <c r="S170">
        <v>20</v>
      </c>
      <c r="T170">
        <v>20</v>
      </c>
      <c r="U170" t="s">
        <v>355</v>
      </c>
      <c r="V170" s="3" t="s">
        <v>357</v>
      </c>
      <c r="W170" t="str">
        <f t="shared" si="6"/>
        <v/>
      </c>
      <c r="X170" t="str">
        <f t="shared" si="7"/>
        <v/>
      </c>
      <c r="Y170" t="str">
        <f t="shared" si="8"/>
        <v/>
      </c>
    </row>
    <row r="171" spans="1:25" x14ac:dyDescent="0.25">
      <c r="A171">
        <v>170</v>
      </c>
      <c r="B171">
        <v>170</v>
      </c>
      <c r="C171" t="s">
        <v>358</v>
      </c>
      <c r="D171" t="s">
        <v>355</v>
      </c>
      <c r="E171" t="s">
        <v>23</v>
      </c>
      <c r="F171" t="s">
        <v>359</v>
      </c>
      <c r="G171" t="s">
        <v>25</v>
      </c>
      <c r="H171" t="s">
        <v>26</v>
      </c>
      <c r="I171" s="1">
        <v>41962</v>
      </c>
      <c r="J171" t="s">
        <v>358</v>
      </c>
      <c r="K171" t="s">
        <v>23</v>
      </c>
      <c r="L171">
        <v>5</v>
      </c>
      <c r="M171">
        <v>5</v>
      </c>
      <c r="N171">
        <v>25</v>
      </c>
      <c r="O171">
        <v>25</v>
      </c>
      <c r="P171">
        <v>0.625</v>
      </c>
      <c r="Q171">
        <v>125</v>
      </c>
      <c r="R171">
        <v>500</v>
      </c>
      <c r="S171">
        <v>20</v>
      </c>
      <c r="T171">
        <v>20</v>
      </c>
      <c r="U171" t="s">
        <v>355</v>
      </c>
      <c r="V171" s="3" t="s">
        <v>357</v>
      </c>
      <c r="W171" t="str">
        <f t="shared" si="6"/>
        <v/>
      </c>
      <c r="X171" t="str">
        <f t="shared" si="7"/>
        <v/>
      </c>
      <c r="Y171" t="str">
        <f t="shared" si="8"/>
        <v/>
      </c>
    </row>
    <row r="172" spans="1:25" x14ac:dyDescent="0.25">
      <c r="A172">
        <v>171</v>
      </c>
      <c r="B172">
        <v>171</v>
      </c>
      <c r="C172" t="s">
        <v>360</v>
      </c>
      <c r="D172" t="s">
        <v>355</v>
      </c>
      <c r="E172" t="s">
        <v>23</v>
      </c>
      <c r="F172" t="s">
        <v>361</v>
      </c>
      <c r="G172" t="s">
        <v>25</v>
      </c>
      <c r="H172" t="s">
        <v>26</v>
      </c>
      <c r="I172" s="1">
        <v>41962</v>
      </c>
      <c r="J172" t="s">
        <v>360</v>
      </c>
      <c r="K172" t="s">
        <v>23</v>
      </c>
      <c r="L172">
        <v>5</v>
      </c>
      <c r="M172">
        <v>5</v>
      </c>
      <c r="N172">
        <v>25</v>
      </c>
      <c r="O172">
        <v>25</v>
      </c>
      <c r="P172">
        <v>0.625</v>
      </c>
      <c r="Q172">
        <v>125</v>
      </c>
      <c r="R172">
        <v>500</v>
      </c>
      <c r="S172">
        <v>20</v>
      </c>
      <c r="T172">
        <v>20</v>
      </c>
      <c r="U172" t="s">
        <v>355</v>
      </c>
      <c r="V172" s="3" t="s">
        <v>357</v>
      </c>
      <c r="W172" t="str">
        <f t="shared" si="6"/>
        <v/>
      </c>
      <c r="X172" t="str">
        <f t="shared" si="7"/>
        <v/>
      </c>
      <c r="Y172" t="str">
        <f t="shared" si="8"/>
        <v/>
      </c>
    </row>
    <row r="173" spans="1:25" x14ac:dyDescent="0.25">
      <c r="A173">
        <v>172</v>
      </c>
      <c r="B173">
        <v>172</v>
      </c>
      <c r="C173" t="s">
        <v>362</v>
      </c>
      <c r="D173" t="s">
        <v>355</v>
      </c>
      <c r="E173" t="s">
        <v>23</v>
      </c>
      <c r="F173" t="s">
        <v>363</v>
      </c>
      <c r="G173" t="s">
        <v>25</v>
      </c>
      <c r="H173" t="s">
        <v>26</v>
      </c>
      <c r="I173" s="1">
        <v>41962</v>
      </c>
      <c r="J173" t="s">
        <v>362</v>
      </c>
      <c r="K173" t="s">
        <v>23</v>
      </c>
      <c r="L173">
        <v>5</v>
      </c>
      <c r="M173">
        <v>5</v>
      </c>
      <c r="N173">
        <v>25</v>
      </c>
      <c r="O173">
        <v>25</v>
      </c>
      <c r="P173">
        <v>0.625</v>
      </c>
      <c r="Q173">
        <v>125</v>
      </c>
      <c r="R173">
        <v>500</v>
      </c>
      <c r="S173">
        <v>20</v>
      </c>
      <c r="T173">
        <v>20</v>
      </c>
      <c r="U173" t="s">
        <v>355</v>
      </c>
      <c r="V173" s="3" t="s">
        <v>357</v>
      </c>
      <c r="W173" t="str">
        <f t="shared" si="6"/>
        <v/>
      </c>
      <c r="X173" t="str">
        <f t="shared" si="7"/>
        <v/>
      </c>
      <c r="Y173" t="str">
        <f t="shared" si="8"/>
        <v/>
      </c>
    </row>
    <row r="174" spans="1:25" x14ac:dyDescent="0.25">
      <c r="A174">
        <v>173</v>
      </c>
      <c r="B174">
        <v>173</v>
      </c>
      <c r="C174" t="s">
        <v>364</v>
      </c>
      <c r="D174" t="s">
        <v>355</v>
      </c>
      <c r="E174" t="s">
        <v>23</v>
      </c>
      <c r="F174" t="s">
        <v>365</v>
      </c>
      <c r="G174" t="s">
        <v>25</v>
      </c>
      <c r="H174" t="s">
        <v>26</v>
      </c>
      <c r="I174" s="1">
        <v>41963</v>
      </c>
      <c r="J174" t="s">
        <v>364</v>
      </c>
      <c r="K174" t="s">
        <v>23</v>
      </c>
      <c r="L174">
        <v>5</v>
      </c>
      <c r="M174">
        <v>5</v>
      </c>
      <c r="N174">
        <v>25</v>
      </c>
      <c r="O174">
        <v>25</v>
      </c>
      <c r="P174">
        <v>0.625</v>
      </c>
      <c r="Q174">
        <v>125</v>
      </c>
      <c r="R174">
        <v>500</v>
      </c>
      <c r="S174">
        <v>20</v>
      </c>
      <c r="T174">
        <v>20</v>
      </c>
      <c r="U174" t="s">
        <v>355</v>
      </c>
      <c r="V174" s="3" t="s">
        <v>357</v>
      </c>
      <c r="W174" t="str">
        <f t="shared" si="6"/>
        <v/>
      </c>
      <c r="X174" t="str">
        <f t="shared" si="7"/>
        <v/>
      </c>
      <c r="Y174" t="str">
        <f t="shared" si="8"/>
        <v/>
      </c>
    </row>
    <row r="175" spans="1:25" x14ac:dyDescent="0.25">
      <c r="A175">
        <v>174</v>
      </c>
      <c r="B175">
        <v>174</v>
      </c>
      <c r="C175" t="s">
        <v>366</v>
      </c>
      <c r="D175" t="s">
        <v>355</v>
      </c>
      <c r="E175" t="s">
        <v>23</v>
      </c>
      <c r="F175" t="s">
        <v>367</v>
      </c>
      <c r="G175" t="s">
        <v>25</v>
      </c>
      <c r="H175" t="s">
        <v>26</v>
      </c>
      <c r="I175" s="1">
        <v>41963</v>
      </c>
      <c r="J175" t="s">
        <v>366</v>
      </c>
      <c r="K175" t="s">
        <v>23</v>
      </c>
      <c r="L175">
        <v>5</v>
      </c>
      <c r="M175">
        <v>5</v>
      </c>
      <c r="N175">
        <v>25</v>
      </c>
      <c r="O175">
        <v>25</v>
      </c>
      <c r="P175">
        <v>0.625</v>
      </c>
      <c r="Q175">
        <v>125</v>
      </c>
      <c r="R175">
        <v>500</v>
      </c>
      <c r="S175">
        <v>20</v>
      </c>
      <c r="T175">
        <v>20</v>
      </c>
      <c r="U175" t="s">
        <v>355</v>
      </c>
      <c r="V175" s="3" t="s">
        <v>357</v>
      </c>
      <c r="W175" t="str">
        <f t="shared" si="6"/>
        <v/>
      </c>
      <c r="X175" t="str">
        <f t="shared" si="7"/>
        <v/>
      </c>
      <c r="Y175" t="str">
        <f t="shared" si="8"/>
        <v/>
      </c>
    </row>
    <row r="176" spans="1:25" x14ac:dyDescent="0.25">
      <c r="A176">
        <v>175</v>
      </c>
      <c r="B176">
        <v>175</v>
      </c>
      <c r="C176" t="s">
        <v>368</v>
      </c>
      <c r="D176" t="s">
        <v>355</v>
      </c>
      <c r="E176" t="s">
        <v>23</v>
      </c>
      <c r="F176" t="s">
        <v>369</v>
      </c>
      <c r="G176" t="s">
        <v>51</v>
      </c>
      <c r="H176" t="s">
        <v>52</v>
      </c>
      <c r="I176" s="1">
        <v>42095</v>
      </c>
      <c r="J176" t="s">
        <v>368</v>
      </c>
      <c r="K176" t="s">
        <v>23</v>
      </c>
      <c r="L176">
        <v>48</v>
      </c>
      <c r="M176">
        <v>36</v>
      </c>
      <c r="N176">
        <v>1728</v>
      </c>
      <c r="O176">
        <v>240</v>
      </c>
      <c r="P176">
        <v>6</v>
      </c>
      <c r="Q176">
        <v>1200</v>
      </c>
      <c r="R176">
        <v>4800</v>
      </c>
      <c r="S176">
        <v>2.7777777777777799</v>
      </c>
      <c r="T176">
        <v>20</v>
      </c>
      <c r="U176" t="s">
        <v>355</v>
      </c>
      <c r="V176" s="3" t="s">
        <v>357</v>
      </c>
      <c r="W176" t="str">
        <f t="shared" si="6"/>
        <v/>
      </c>
      <c r="X176" t="str">
        <f t="shared" si="7"/>
        <v/>
      </c>
      <c r="Y176" t="str">
        <f t="shared" si="8"/>
        <v/>
      </c>
    </row>
    <row r="177" spans="1:25" x14ac:dyDescent="0.25">
      <c r="A177">
        <v>176</v>
      </c>
      <c r="B177">
        <v>176</v>
      </c>
      <c r="C177" t="s">
        <v>370</v>
      </c>
      <c r="D177" t="s">
        <v>355</v>
      </c>
      <c r="E177" t="s">
        <v>23</v>
      </c>
      <c r="F177" t="s">
        <v>371</v>
      </c>
      <c r="G177" t="s">
        <v>51</v>
      </c>
      <c r="H177" t="s">
        <v>52</v>
      </c>
      <c r="I177" s="1">
        <v>42095</v>
      </c>
      <c r="J177" t="s">
        <v>370</v>
      </c>
      <c r="K177" t="s">
        <v>23</v>
      </c>
      <c r="L177">
        <v>60</v>
      </c>
      <c r="M177">
        <v>36</v>
      </c>
      <c r="N177">
        <v>2160</v>
      </c>
      <c r="O177">
        <v>320</v>
      </c>
      <c r="P177">
        <v>7.9124999999999996</v>
      </c>
      <c r="Q177">
        <v>1582.5</v>
      </c>
      <c r="R177">
        <v>6330</v>
      </c>
      <c r="S177">
        <v>2.9305555555555598</v>
      </c>
      <c r="T177">
        <v>19.78125</v>
      </c>
      <c r="U177" t="s">
        <v>355</v>
      </c>
      <c r="V177" s="3" t="s">
        <v>357</v>
      </c>
      <c r="W177" t="str">
        <f t="shared" si="6"/>
        <v/>
      </c>
      <c r="X177" t="str">
        <f t="shared" si="7"/>
        <v/>
      </c>
      <c r="Y177" t="str">
        <f t="shared" si="8"/>
        <v/>
      </c>
    </row>
    <row r="178" spans="1:25" x14ac:dyDescent="0.25">
      <c r="A178">
        <v>177</v>
      </c>
      <c r="B178">
        <v>177</v>
      </c>
      <c r="C178" t="s">
        <v>372</v>
      </c>
      <c r="D178" t="s">
        <v>355</v>
      </c>
      <c r="E178" t="s">
        <v>23</v>
      </c>
      <c r="F178" t="s">
        <v>373</v>
      </c>
      <c r="G178" t="s">
        <v>51</v>
      </c>
      <c r="H178" t="s">
        <v>52</v>
      </c>
      <c r="I178" s="1">
        <v>42095</v>
      </c>
      <c r="J178" t="s">
        <v>372</v>
      </c>
      <c r="K178" t="s">
        <v>23</v>
      </c>
      <c r="L178">
        <v>60</v>
      </c>
      <c r="M178">
        <v>36</v>
      </c>
      <c r="N178">
        <v>2160</v>
      </c>
      <c r="O178">
        <v>320</v>
      </c>
      <c r="P178">
        <v>8</v>
      </c>
      <c r="Q178">
        <v>1600</v>
      </c>
      <c r="R178">
        <v>6400</v>
      </c>
      <c r="S178">
        <v>2.9629629629629601</v>
      </c>
      <c r="T178">
        <v>20</v>
      </c>
      <c r="U178" t="s">
        <v>355</v>
      </c>
      <c r="V178" s="3" t="s">
        <v>357</v>
      </c>
      <c r="W178" t="str">
        <f t="shared" si="6"/>
        <v/>
      </c>
      <c r="X178" t="str">
        <f t="shared" si="7"/>
        <v/>
      </c>
      <c r="Y178" t="str">
        <f t="shared" si="8"/>
        <v/>
      </c>
    </row>
    <row r="179" spans="1:25" x14ac:dyDescent="0.25">
      <c r="A179">
        <v>178</v>
      </c>
      <c r="B179">
        <v>178</v>
      </c>
      <c r="C179" t="s">
        <v>374</v>
      </c>
      <c r="D179" t="s">
        <v>355</v>
      </c>
      <c r="E179" t="s">
        <v>23</v>
      </c>
      <c r="F179" t="s">
        <v>375</v>
      </c>
      <c r="G179" t="s">
        <v>51</v>
      </c>
      <c r="H179" t="s">
        <v>52</v>
      </c>
      <c r="I179" s="1">
        <v>42095</v>
      </c>
      <c r="J179" t="s">
        <v>374</v>
      </c>
      <c r="K179" t="s">
        <v>23</v>
      </c>
      <c r="L179">
        <v>60</v>
      </c>
      <c r="M179">
        <v>36</v>
      </c>
      <c r="N179">
        <v>2160</v>
      </c>
      <c r="O179">
        <v>320</v>
      </c>
      <c r="P179">
        <v>7.9649999999999999</v>
      </c>
      <c r="Q179">
        <v>1593</v>
      </c>
      <c r="R179">
        <v>6372</v>
      </c>
      <c r="S179">
        <v>2.95</v>
      </c>
      <c r="T179">
        <v>19.912500000000001</v>
      </c>
      <c r="U179" t="s">
        <v>355</v>
      </c>
      <c r="V179" s="3" t="s">
        <v>357</v>
      </c>
      <c r="W179" t="str">
        <f t="shared" si="6"/>
        <v/>
      </c>
      <c r="X179" t="str">
        <f t="shared" si="7"/>
        <v/>
      </c>
      <c r="Y179" t="str">
        <f t="shared" si="8"/>
        <v/>
      </c>
    </row>
    <row r="180" spans="1:25" x14ac:dyDescent="0.25">
      <c r="A180">
        <v>179</v>
      </c>
      <c r="B180">
        <v>179</v>
      </c>
      <c r="C180" t="s">
        <v>376</v>
      </c>
      <c r="D180" t="s">
        <v>76</v>
      </c>
      <c r="E180" t="s">
        <v>36</v>
      </c>
      <c r="F180" t="s">
        <v>377</v>
      </c>
      <c r="G180" t="s">
        <v>25</v>
      </c>
      <c r="H180" t="s">
        <v>26</v>
      </c>
      <c r="I180" s="1">
        <v>43250</v>
      </c>
      <c r="J180" t="s">
        <v>376</v>
      </c>
      <c r="K180" t="s">
        <v>36</v>
      </c>
      <c r="L180">
        <v>12</v>
      </c>
      <c r="M180">
        <v>1</v>
      </c>
      <c r="N180">
        <v>12</v>
      </c>
      <c r="O180">
        <v>7.5</v>
      </c>
      <c r="P180">
        <v>0.75</v>
      </c>
      <c r="Q180">
        <v>30</v>
      </c>
      <c r="R180">
        <v>600</v>
      </c>
      <c r="S180">
        <v>50</v>
      </c>
      <c r="T180">
        <v>80</v>
      </c>
      <c r="U180" t="s">
        <v>76</v>
      </c>
      <c r="V180" s="3" t="s">
        <v>92</v>
      </c>
      <c r="W180" t="str">
        <f t="shared" si="6"/>
        <v/>
      </c>
      <c r="X180" t="str">
        <f t="shared" si="7"/>
        <v/>
      </c>
      <c r="Y180" t="str">
        <f t="shared" si="8"/>
        <v/>
      </c>
    </row>
    <row r="181" spans="1:25" x14ac:dyDescent="0.25">
      <c r="A181">
        <v>180</v>
      </c>
      <c r="B181">
        <v>180</v>
      </c>
      <c r="C181" t="s">
        <v>378</v>
      </c>
      <c r="D181" t="s">
        <v>76</v>
      </c>
      <c r="E181" t="s">
        <v>36</v>
      </c>
      <c r="F181" t="s">
        <v>379</v>
      </c>
      <c r="G181" t="s">
        <v>25</v>
      </c>
      <c r="H181" t="s">
        <v>26</v>
      </c>
      <c r="I181" s="1">
        <v>43250</v>
      </c>
      <c r="J181" t="s">
        <v>378</v>
      </c>
      <c r="K181" t="s">
        <v>36</v>
      </c>
      <c r="L181">
        <v>12</v>
      </c>
      <c r="M181">
        <v>1</v>
      </c>
      <c r="N181">
        <v>12</v>
      </c>
      <c r="O181">
        <v>7.5</v>
      </c>
      <c r="P181">
        <v>0.75</v>
      </c>
      <c r="Q181">
        <v>30</v>
      </c>
      <c r="R181">
        <v>600</v>
      </c>
      <c r="S181">
        <v>50</v>
      </c>
      <c r="T181">
        <v>80</v>
      </c>
      <c r="U181" t="s">
        <v>76</v>
      </c>
      <c r="V181" s="3" t="s">
        <v>92</v>
      </c>
      <c r="W181" t="str">
        <f t="shared" si="6"/>
        <v/>
      </c>
      <c r="X181" t="str">
        <f t="shared" si="7"/>
        <v/>
      </c>
      <c r="Y181" t="str">
        <f t="shared" si="8"/>
        <v/>
      </c>
    </row>
    <row r="182" spans="1:25" x14ac:dyDescent="0.25">
      <c r="A182">
        <v>181</v>
      </c>
      <c r="B182">
        <v>181</v>
      </c>
      <c r="C182" t="s">
        <v>380</v>
      </c>
      <c r="D182" t="s">
        <v>76</v>
      </c>
      <c r="E182" t="s">
        <v>36</v>
      </c>
      <c r="F182" t="s">
        <v>381</v>
      </c>
      <c r="G182" t="s">
        <v>25</v>
      </c>
      <c r="H182" t="s">
        <v>26</v>
      </c>
      <c r="I182" s="1">
        <v>43250</v>
      </c>
      <c r="J182" t="s">
        <v>380</v>
      </c>
      <c r="K182" t="s">
        <v>36</v>
      </c>
      <c r="L182">
        <v>12</v>
      </c>
      <c r="M182">
        <v>1</v>
      </c>
      <c r="N182">
        <v>12</v>
      </c>
      <c r="O182">
        <v>7.5</v>
      </c>
      <c r="P182">
        <v>0.75</v>
      </c>
      <c r="Q182">
        <v>30</v>
      </c>
      <c r="R182">
        <v>600</v>
      </c>
      <c r="S182">
        <v>50</v>
      </c>
      <c r="T182">
        <v>80</v>
      </c>
      <c r="U182" t="s">
        <v>76</v>
      </c>
      <c r="V182" s="3" t="s">
        <v>92</v>
      </c>
      <c r="W182" t="str">
        <f t="shared" si="6"/>
        <v/>
      </c>
      <c r="X182" t="str">
        <f t="shared" si="7"/>
        <v/>
      </c>
      <c r="Y182" t="str">
        <f t="shared" si="8"/>
        <v/>
      </c>
    </row>
    <row r="183" spans="1:25" x14ac:dyDescent="0.25">
      <c r="A183">
        <v>182</v>
      </c>
      <c r="B183">
        <v>182</v>
      </c>
      <c r="C183" t="s">
        <v>382</v>
      </c>
      <c r="D183" t="s">
        <v>76</v>
      </c>
      <c r="E183" t="s">
        <v>36</v>
      </c>
      <c r="F183" t="s">
        <v>383</v>
      </c>
      <c r="G183" t="s">
        <v>25</v>
      </c>
      <c r="H183" t="s">
        <v>26</v>
      </c>
      <c r="I183" s="1">
        <v>43250</v>
      </c>
      <c r="J183" t="s">
        <v>382</v>
      </c>
      <c r="K183" t="s">
        <v>36</v>
      </c>
      <c r="L183">
        <v>12</v>
      </c>
      <c r="M183">
        <v>1</v>
      </c>
      <c r="N183">
        <v>12</v>
      </c>
      <c r="O183">
        <v>7.5</v>
      </c>
      <c r="P183">
        <v>0.75</v>
      </c>
      <c r="Q183">
        <v>30</v>
      </c>
      <c r="R183">
        <v>600</v>
      </c>
      <c r="S183">
        <v>50</v>
      </c>
      <c r="T183">
        <v>80</v>
      </c>
      <c r="U183" t="s">
        <v>76</v>
      </c>
      <c r="V183" s="3" t="s">
        <v>92</v>
      </c>
      <c r="W183" t="str">
        <f t="shared" si="6"/>
        <v/>
      </c>
      <c r="X183" t="str">
        <f t="shared" si="7"/>
        <v/>
      </c>
      <c r="Y183" t="str">
        <f t="shared" si="8"/>
        <v/>
      </c>
    </row>
    <row r="184" spans="1:25" x14ac:dyDescent="0.25">
      <c r="A184">
        <v>183</v>
      </c>
      <c r="B184">
        <v>183</v>
      </c>
      <c r="C184" t="s">
        <v>384</v>
      </c>
      <c r="D184" t="s">
        <v>76</v>
      </c>
      <c r="E184" t="s">
        <v>36</v>
      </c>
      <c r="F184" t="s">
        <v>385</v>
      </c>
      <c r="G184" t="s">
        <v>25</v>
      </c>
      <c r="H184" t="s">
        <v>26</v>
      </c>
      <c r="I184" s="1">
        <v>43251</v>
      </c>
      <c r="J184" t="s">
        <v>384</v>
      </c>
      <c r="K184" t="s">
        <v>36</v>
      </c>
      <c r="L184">
        <v>12</v>
      </c>
      <c r="M184">
        <v>1</v>
      </c>
      <c r="N184">
        <v>12</v>
      </c>
      <c r="O184">
        <v>7.5</v>
      </c>
      <c r="P184">
        <v>0.75</v>
      </c>
      <c r="Q184">
        <v>30</v>
      </c>
      <c r="R184">
        <v>600</v>
      </c>
      <c r="S184">
        <v>50</v>
      </c>
      <c r="T184">
        <v>80</v>
      </c>
      <c r="U184" t="s">
        <v>76</v>
      </c>
      <c r="V184" s="3" t="s">
        <v>92</v>
      </c>
      <c r="W184" t="str">
        <f t="shared" si="6"/>
        <v/>
      </c>
      <c r="X184" t="str">
        <f t="shared" si="7"/>
        <v/>
      </c>
      <c r="Y184" t="str">
        <f t="shared" si="8"/>
        <v/>
      </c>
    </row>
    <row r="185" spans="1:25" x14ac:dyDescent="0.25">
      <c r="A185">
        <v>184</v>
      </c>
      <c r="B185">
        <v>184</v>
      </c>
      <c r="C185" t="s">
        <v>386</v>
      </c>
      <c r="D185" t="s">
        <v>76</v>
      </c>
      <c r="E185" t="s">
        <v>36</v>
      </c>
      <c r="F185" t="s">
        <v>387</v>
      </c>
      <c r="G185" t="s">
        <v>25</v>
      </c>
      <c r="H185" t="s">
        <v>26</v>
      </c>
      <c r="I185" s="1">
        <v>43251</v>
      </c>
      <c r="J185" t="s">
        <v>386</v>
      </c>
      <c r="K185" t="s">
        <v>36</v>
      </c>
      <c r="L185">
        <v>12</v>
      </c>
      <c r="M185">
        <v>1</v>
      </c>
      <c r="N185">
        <v>12</v>
      </c>
      <c r="O185">
        <v>7.5</v>
      </c>
      <c r="P185">
        <v>0.75</v>
      </c>
      <c r="Q185">
        <v>30</v>
      </c>
      <c r="R185">
        <v>600</v>
      </c>
      <c r="S185">
        <v>50</v>
      </c>
      <c r="T185">
        <v>80</v>
      </c>
      <c r="U185" t="s">
        <v>76</v>
      </c>
      <c r="V185" s="3" t="s">
        <v>92</v>
      </c>
      <c r="W185" t="str">
        <f t="shared" si="6"/>
        <v/>
      </c>
      <c r="X185" t="str">
        <f t="shared" si="7"/>
        <v/>
      </c>
      <c r="Y185" t="str">
        <f t="shared" si="8"/>
        <v/>
      </c>
    </row>
    <row r="186" spans="1:25" x14ac:dyDescent="0.25">
      <c r="A186">
        <v>185</v>
      </c>
      <c r="B186">
        <v>185</v>
      </c>
      <c r="C186" t="s">
        <v>388</v>
      </c>
      <c r="D186" t="s">
        <v>76</v>
      </c>
      <c r="E186" t="s">
        <v>36</v>
      </c>
      <c r="F186" t="s">
        <v>389</v>
      </c>
      <c r="G186" t="s">
        <v>25</v>
      </c>
      <c r="H186" t="s">
        <v>26</v>
      </c>
      <c r="I186" s="1">
        <v>43252</v>
      </c>
      <c r="J186" t="s">
        <v>388</v>
      </c>
      <c r="K186" t="s">
        <v>36</v>
      </c>
      <c r="L186">
        <v>12</v>
      </c>
      <c r="M186">
        <v>1</v>
      </c>
      <c r="N186">
        <v>12</v>
      </c>
      <c r="O186">
        <v>7.5</v>
      </c>
      <c r="P186">
        <v>0.75</v>
      </c>
      <c r="Q186">
        <v>30</v>
      </c>
      <c r="R186">
        <v>600</v>
      </c>
      <c r="S186">
        <v>50</v>
      </c>
      <c r="T186">
        <v>80</v>
      </c>
      <c r="U186" t="s">
        <v>76</v>
      </c>
      <c r="V186" s="3" t="s">
        <v>92</v>
      </c>
      <c r="W186" t="str">
        <f t="shared" si="6"/>
        <v/>
      </c>
      <c r="X186" t="str">
        <f t="shared" si="7"/>
        <v/>
      </c>
      <c r="Y186" t="str">
        <f t="shared" si="8"/>
        <v/>
      </c>
    </row>
    <row r="187" spans="1:25" x14ac:dyDescent="0.25">
      <c r="A187">
        <v>186</v>
      </c>
      <c r="B187">
        <v>186</v>
      </c>
      <c r="C187" t="s">
        <v>390</v>
      </c>
      <c r="D187" t="s">
        <v>76</v>
      </c>
      <c r="E187" t="s">
        <v>36</v>
      </c>
      <c r="F187" t="s">
        <v>391</v>
      </c>
      <c r="G187" t="s">
        <v>25</v>
      </c>
      <c r="H187" t="s">
        <v>26</v>
      </c>
      <c r="I187" s="1">
        <v>43252</v>
      </c>
      <c r="J187" t="s">
        <v>390</v>
      </c>
      <c r="K187" t="s">
        <v>36</v>
      </c>
      <c r="L187">
        <v>12</v>
      </c>
      <c r="M187">
        <v>1</v>
      </c>
      <c r="N187">
        <v>12</v>
      </c>
      <c r="O187">
        <v>7.5</v>
      </c>
      <c r="P187">
        <v>0.75</v>
      </c>
      <c r="Q187">
        <v>30</v>
      </c>
      <c r="R187">
        <v>600</v>
      </c>
      <c r="S187">
        <v>50</v>
      </c>
      <c r="T187">
        <v>80</v>
      </c>
      <c r="U187" t="s">
        <v>76</v>
      </c>
      <c r="V187" s="3" t="s">
        <v>92</v>
      </c>
      <c r="W187" t="str">
        <f t="shared" si="6"/>
        <v/>
      </c>
      <c r="X187" t="str">
        <f t="shared" si="7"/>
        <v/>
      </c>
      <c r="Y187" t="str">
        <f t="shared" si="8"/>
        <v/>
      </c>
    </row>
    <row r="188" spans="1:25" x14ac:dyDescent="0.25">
      <c r="A188">
        <v>187</v>
      </c>
      <c r="B188">
        <v>187</v>
      </c>
      <c r="C188" t="s">
        <v>392</v>
      </c>
      <c r="D188" t="s">
        <v>76</v>
      </c>
      <c r="E188" t="s">
        <v>36</v>
      </c>
      <c r="F188" t="s">
        <v>393</v>
      </c>
      <c r="G188" t="s">
        <v>25</v>
      </c>
      <c r="H188" t="s">
        <v>26</v>
      </c>
      <c r="I188" s="1">
        <v>43252</v>
      </c>
      <c r="J188" t="s">
        <v>392</v>
      </c>
      <c r="K188" t="s">
        <v>36</v>
      </c>
      <c r="L188">
        <v>12</v>
      </c>
      <c r="M188">
        <v>1</v>
      </c>
      <c r="N188">
        <v>12</v>
      </c>
      <c r="O188">
        <v>7.5</v>
      </c>
      <c r="P188">
        <v>0.75</v>
      </c>
      <c r="Q188">
        <v>30</v>
      </c>
      <c r="R188">
        <v>600</v>
      </c>
      <c r="S188">
        <v>50</v>
      </c>
      <c r="T188">
        <v>80</v>
      </c>
      <c r="U188" t="s">
        <v>76</v>
      </c>
      <c r="V188" s="3" t="s">
        <v>92</v>
      </c>
      <c r="W188" t="str">
        <f t="shared" si="6"/>
        <v/>
      </c>
      <c r="X188" t="str">
        <f t="shared" si="7"/>
        <v/>
      </c>
      <c r="Y188" t="str">
        <f t="shared" si="8"/>
        <v/>
      </c>
    </row>
    <row r="189" spans="1:25" x14ac:dyDescent="0.25">
      <c r="A189">
        <v>188</v>
      </c>
      <c r="B189">
        <v>188</v>
      </c>
      <c r="C189" t="s">
        <v>380</v>
      </c>
      <c r="D189" t="s">
        <v>66</v>
      </c>
      <c r="E189" t="s">
        <v>36</v>
      </c>
      <c r="F189" t="s">
        <v>394</v>
      </c>
      <c r="G189" t="s">
        <v>25</v>
      </c>
      <c r="H189" t="s">
        <v>26</v>
      </c>
      <c r="I189" s="1">
        <v>44329</v>
      </c>
      <c r="J189" t="s">
        <v>380</v>
      </c>
      <c r="K189" t="s">
        <v>36</v>
      </c>
      <c r="L189">
        <v>3.5</v>
      </c>
      <c r="M189">
        <v>0.5</v>
      </c>
      <c r="N189">
        <v>1.75</v>
      </c>
      <c r="O189">
        <v>1</v>
      </c>
      <c r="P189">
        <v>0.3</v>
      </c>
      <c r="Q189">
        <v>12</v>
      </c>
      <c r="R189">
        <v>240</v>
      </c>
      <c r="S189">
        <v>137.142857142857</v>
      </c>
      <c r="T189">
        <v>240</v>
      </c>
      <c r="U189" t="s">
        <v>66</v>
      </c>
      <c r="V189" s="3" t="s">
        <v>127</v>
      </c>
      <c r="W189" t="str">
        <f t="shared" si="6"/>
        <v/>
      </c>
      <c r="X189" t="str">
        <f t="shared" si="7"/>
        <v/>
      </c>
      <c r="Y189" t="str">
        <f t="shared" si="8"/>
        <v/>
      </c>
    </row>
    <row r="190" spans="1:25" x14ac:dyDescent="0.25">
      <c r="A190">
        <v>189</v>
      </c>
      <c r="B190">
        <v>189</v>
      </c>
      <c r="C190" t="s">
        <v>380</v>
      </c>
      <c r="D190" t="s">
        <v>76</v>
      </c>
      <c r="E190" t="s">
        <v>36</v>
      </c>
      <c r="F190" t="s">
        <v>395</v>
      </c>
      <c r="G190" t="s">
        <v>25</v>
      </c>
      <c r="H190" t="s">
        <v>26</v>
      </c>
      <c r="I190" s="1">
        <v>44330</v>
      </c>
      <c r="J190" t="s">
        <v>380</v>
      </c>
      <c r="K190" t="s">
        <v>36</v>
      </c>
      <c r="L190">
        <v>4.5</v>
      </c>
      <c r="M190">
        <v>0.5</v>
      </c>
      <c r="N190">
        <v>2.25</v>
      </c>
      <c r="O190">
        <v>1.25</v>
      </c>
      <c r="P190">
        <v>0.375</v>
      </c>
      <c r="Q190">
        <v>15</v>
      </c>
      <c r="R190">
        <v>375</v>
      </c>
      <c r="S190">
        <v>166.666666666667</v>
      </c>
      <c r="T190">
        <v>300</v>
      </c>
      <c r="U190" t="s">
        <v>76</v>
      </c>
      <c r="V190" s="3" t="s">
        <v>127</v>
      </c>
      <c r="W190" t="str">
        <f t="shared" si="6"/>
        <v/>
      </c>
      <c r="X190" t="str">
        <f t="shared" si="7"/>
        <v/>
      </c>
      <c r="Y190" t="str">
        <f t="shared" si="8"/>
        <v/>
      </c>
    </row>
    <row r="191" spans="1:25" x14ac:dyDescent="0.25">
      <c r="A191">
        <v>190</v>
      </c>
      <c r="B191">
        <v>190</v>
      </c>
      <c r="C191" t="s">
        <v>380</v>
      </c>
      <c r="D191" t="s">
        <v>66</v>
      </c>
      <c r="E191" t="s">
        <v>36</v>
      </c>
      <c r="F191" t="s">
        <v>396</v>
      </c>
      <c r="G191" t="s">
        <v>25</v>
      </c>
      <c r="H191" t="s">
        <v>26</v>
      </c>
      <c r="I191" s="1">
        <v>44342</v>
      </c>
      <c r="J191" t="s">
        <v>380</v>
      </c>
      <c r="K191" t="s">
        <v>36</v>
      </c>
      <c r="L191">
        <v>2.5</v>
      </c>
      <c r="M191">
        <v>1</v>
      </c>
      <c r="N191">
        <v>2.5</v>
      </c>
      <c r="O191">
        <v>1.5</v>
      </c>
      <c r="P191">
        <v>0.45</v>
      </c>
      <c r="Q191">
        <v>18</v>
      </c>
      <c r="R191">
        <v>270</v>
      </c>
      <c r="S191">
        <v>108</v>
      </c>
      <c r="T191">
        <v>180</v>
      </c>
      <c r="U191" t="s">
        <v>66</v>
      </c>
      <c r="V191" s="3" t="s">
        <v>127</v>
      </c>
      <c r="W191" t="str">
        <f t="shared" si="6"/>
        <v/>
      </c>
      <c r="X191" t="str">
        <f t="shared" si="7"/>
        <v/>
      </c>
      <c r="Y191" t="str">
        <f t="shared" si="8"/>
        <v/>
      </c>
    </row>
    <row r="192" spans="1:25" x14ac:dyDescent="0.25">
      <c r="A192">
        <v>191</v>
      </c>
      <c r="B192">
        <v>191</v>
      </c>
      <c r="C192" t="s">
        <v>397</v>
      </c>
      <c r="D192" t="s">
        <v>66</v>
      </c>
      <c r="E192" t="s">
        <v>36</v>
      </c>
      <c r="F192" t="s">
        <v>398</v>
      </c>
      <c r="G192" t="s">
        <v>25</v>
      </c>
      <c r="H192" t="s">
        <v>26</v>
      </c>
      <c r="I192" s="1">
        <v>44329</v>
      </c>
      <c r="J192" t="s">
        <v>397</v>
      </c>
      <c r="K192" t="s">
        <v>36</v>
      </c>
      <c r="L192">
        <v>2.5</v>
      </c>
      <c r="M192">
        <v>0.5</v>
      </c>
      <c r="N192">
        <v>1.25</v>
      </c>
      <c r="O192">
        <v>0.75</v>
      </c>
      <c r="P192">
        <v>0.22500000000000001</v>
      </c>
      <c r="Q192">
        <v>9</v>
      </c>
      <c r="R192">
        <v>180</v>
      </c>
      <c r="S192">
        <v>144</v>
      </c>
      <c r="T192">
        <v>240</v>
      </c>
      <c r="U192" t="s">
        <v>66</v>
      </c>
      <c r="V192" s="3" t="s">
        <v>127</v>
      </c>
      <c r="W192" t="str">
        <f t="shared" si="6"/>
        <v/>
      </c>
      <c r="X192" t="str">
        <f t="shared" si="7"/>
        <v/>
      </c>
      <c r="Y192" t="str">
        <f t="shared" si="8"/>
        <v/>
      </c>
    </row>
    <row r="193" spans="1:25" x14ac:dyDescent="0.25">
      <c r="A193">
        <v>192</v>
      </c>
      <c r="B193">
        <v>192</v>
      </c>
      <c r="C193" t="s">
        <v>397</v>
      </c>
      <c r="D193" t="s">
        <v>76</v>
      </c>
      <c r="E193" t="s">
        <v>36</v>
      </c>
      <c r="F193" t="s">
        <v>399</v>
      </c>
      <c r="G193" t="s">
        <v>25</v>
      </c>
      <c r="H193" t="s">
        <v>26</v>
      </c>
      <c r="I193" s="1">
        <v>44330</v>
      </c>
      <c r="J193" t="s">
        <v>397</v>
      </c>
      <c r="K193" t="s">
        <v>36</v>
      </c>
      <c r="L193">
        <v>2.5</v>
      </c>
      <c r="M193">
        <v>0.5</v>
      </c>
      <c r="N193">
        <v>1.25</v>
      </c>
      <c r="O193">
        <v>0.75</v>
      </c>
      <c r="P193">
        <v>0.22500000000000001</v>
      </c>
      <c r="Q193">
        <v>9</v>
      </c>
      <c r="R193">
        <v>180</v>
      </c>
      <c r="S193">
        <v>144</v>
      </c>
      <c r="T193">
        <v>240</v>
      </c>
      <c r="U193" t="s">
        <v>76</v>
      </c>
      <c r="V193" s="3" t="s">
        <v>127</v>
      </c>
      <c r="W193" t="str">
        <f t="shared" si="6"/>
        <v/>
      </c>
      <c r="X193" t="str">
        <f t="shared" si="7"/>
        <v/>
      </c>
      <c r="Y193" t="str">
        <f t="shared" si="8"/>
        <v/>
      </c>
    </row>
    <row r="194" spans="1:25" x14ac:dyDescent="0.25">
      <c r="A194">
        <v>193</v>
      </c>
      <c r="B194">
        <v>193</v>
      </c>
      <c r="C194" t="s">
        <v>380</v>
      </c>
      <c r="D194" t="s">
        <v>66</v>
      </c>
      <c r="E194" t="s">
        <v>36</v>
      </c>
      <c r="F194" t="s">
        <v>400</v>
      </c>
      <c r="G194" t="s">
        <v>25</v>
      </c>
      <c r="H194" t="s">
        <v>26</v>
      </c>
      <c r="I194" s="1">
        <v>44342</v>
      </c>
      <c r="J194" t="s">
        <v>380</v>
      </c>
      <c r="K194" t="s">
        <v>36</v>
      </c>
      <c r="L194">
        <v>2.5</v>
      </c>
      <c r="M194">
        <v>1</v>
      </c>
      <c r="N194">
        <v>2.5</v>
      </c>
      <c r="O194">
        <v>4.5</v>
      </c>
      <c r="P194">
        <v>0.45</v>
      </c>
      <c r="Q194">
        <v>18</v>
      </c>
      <c r="R194">
        <v>360</v>
      </c>
      <c r="S194">
        <v>144</v>
      </c>
      <c r="T194">
        <v>80</v>
      </c>
      <c r="U194" t="s">
        <v>66</v>
      </c>
      <c r="V194" s="3" t="s">
        <v>127</v>
      </c>
      <c r="W194" t="str">
        <f t="shared" si="6"/>
        <v/>
      </c>
      <c r="X194" t="str">
        <f t="shared" si="7"/>
        <v/>
      </c>
      <c r="Y194" t="str">
        <f t="shared" si="8"/>
        <v/>
      </c>
    </row>
    <row r="195" spans="1:25" x14ac:dyDescent="0.25">
      <c r="A195">
        <v>194</v>
      </c>
      <c r="B195">
        <v>194</v>
      </c>
      <c r="C195" t="s">
        <v>380</v>
      </c>
      <c r="D195" t="s">
        <v>66</v>
      </c>
      <c r="E195" t="s">
        <v>401</v>
      </c>
      <c r="F195" t="s">
        <v>402</v>
      </c>
      <c r="G195" t="s">
        <v>25</v>
      </c>
      <c r="H195" t="s">
        <v>26</v>
      </c>
      <c r="I195" s="1">
        <v>44700</v>
      </c>
      <c r="J195" t="s">
        <v>380</v>
      </c>
      <c r="K195" t="s">
        <v>401</v>
      </c>
      <c r="L195">
        <v>1.5</v>
      </c>
      <c r="M195">
        <v>0.5</v>
      </c>
      <c r="N195">
        <v>0.75</v>
      </c>
      <c r="O195">
        <v>0.75</v>
      </c>
      <c r="P195">
        <v>0.75</v>
      </c>
      <c r="Q195">
        <v>3</v>
      </c>
      <c r="R195">
        <v>75</v>
      </c>
      <c r="S195">
        <v>100</v>
      </c>
      <c r="T195">
        <v>100</v>
      </c>
      <c r="U195" t="s">
        <v>66</v>
      </c>
      <c r="V195" s="3" t="s">
        <v>127</v>
      </c>
      <c r="W195" t="str">
        <f t="shared" ref="W195:W228" si="9">IF(C195=J195,"",9999)</f>
        <v/>
      </c>
      <c r="X195" t="str">
        <f t="shared" ref="X195:X228" si="10">IF(D195=U195,"",9999)</f>
        <v/>
      </c>
      <c r="Y195" t="str">
        <f t="shared" ref="Y195:Y228" si="11">IF(E195=K195,"",9999)</f>
        <v/>
      </c>
    </row>
    <row r="196" spans="1:25" x14ac:dyDescent="0.25">
      <c r="A196">
        <v>195</v>
      </c>
      <c r="B196">
        <v>195</v>
      </c>
      <c r="C196" t="s">
        <v>403</v>
      </c>
      <c r="D196" t="s">
        <v>404</v>
      </c>
      <c r="E196" t="s">
        <v>23</v>
      </c>
      <c r="F196" t="s">
        <v>405</v>
      </c>
      <c r="G196" t="s">
        <v>25</v>
      </c>
      <c r="H196" t="s">
        <v>26</v>
      </c>
      <c r="I196" s="1">
        <v>41967</v>
      </c>
      <c r="J196" t="s">
        <v>403</v>
      </c>
      <c r="K196" t="s">
        <v>23</v>
      </c>
      <c r="L196">
        <v>5</v>
      </c>
      <c r="M196">
        <v>5</v>
      </c>
      <c r="N196">
        <v>25</v>
      </c>
      <c r="O196">
        <v>25</v>
      </c>
      <c r="P196">
        <v>0.625</v>
      </c>
      <c r="Q196">
        <v>125</v>
      </c>
      <c r="R196">
        <v>500</v>
      </c>
      <c r="S196">
        <v>20</v>
      </c>
      <c r="T196">
        <v>20</v>
      </c>
      <c r="U196" t="s">
        <v>404</v>
      </c>
      <c r="V196" s="3" t="s">
        <v>33</v>
      </c>
      <c r="W196" t="str">
        <f t="shared" si="9"/>
        <v/>
      </c>
      <c r="X196" t="str">
        <f t="shared" si="10"/>
        <v/>
      </c>
      <c r="Y196" t="str">
        <f t="shared" si="11"/>
        <v/>
      </c>
    </row>
    <row r="197" spans="1:25" x14ac:dyDescent="0.25">
      <c r="A197">
        <v>196</v>
      </c>
      <c r="B197">
        <v>196</v>
      </c>
      <c r="C197" t="s">
        <v>406</v>
      </c>
      <c r="D197" t="s">
        <v>404</v>
      </c>
      <c r="E197" t="s">
        <v>23</v>
      </c>
      <c r="F197" t="s">
        <v>407</v>
      </c>
      <c r="G197" t="s">
        <v>25</v>
      </c>
      <c r="H197" t="s">
        <v>26</v>
      </c>
      <c r="I197" s="1">
        <v>42551</v>
      </c>
      <c r="J197" t="s">
        <v>406</v>
      </c>
      <c r="K197" t="s">
        <v>23</v>
      </c>
      <c r="L197">
        <v>2</v>
      </c>
      <c r="M197">
        <v>2</v>
      </c>
      <c r="N197">
        <v>4</v>
      </c>
      <c r="O197">
        <v>4</v>
      </c>
      <c r="P197">
        <v>0.3</v>
      </c>
      <c r="Q197">
        <v>60</v>
      </c>
      <c r="R197">
        <v>240</v>
      </c>
      <c r="S197">
        <v>60</v>
      </c>
      <c r="T197">
        <v>60</v>
      </c>
      <c r="U197" t="s">
        <v>404</v>
      </c>
      <c r="V197" s="3" t="s">
        <v>38</v>
      </c>
      <c r="W197" t="str">
        <f t="shared" si="9"/>
        <v/>
      </c>
      <c r="X197" t="str">
        <f t="shared" si="10"/>
        <v/>
      </c>
      <c r="Y197" t="str">
        <f t="shared" si="11"/>
        <v/>
      </c>
    </row>
    <row r="198" spans="1:25" x14ac:dyDescent="0.25">
      <c r="A198">
        <v>197</v>
      </c>
      <c r="B198">
        <v>197</v>
      </c>
      <c r="C198" t="s">
        <v>408</v>
      </c>
      <c r="D198" t="s">
        <v>404</v>
      </c>
      <c r="E198" t="s">
        <v>23</v>
      </c>
      <c r="F198" t="s">
        <v>409</v>
      </c>
      <c r="G198" t="s">
        <v>25</v>
      </c>
      <c r="H198" t="s">
        <v>26</v>
      </c>
      <c r="I198" s="1">
        <v>42551</v>
      </c>
      <c r="J198" t="s">
        <v>408</v>
      </c>
      <c r="K198" t="s">
        <v>23</v>
      </c>
      <c r="L198">
        <v>2</v>
      </c>
      <c r="M198">
        <v>2</v>
      </c>
      <c r="N198">
        <v>4</v>
      </c>
      <c r="O198">
        <v>4</v>
      </c>
      <c r="P198">
        <v>0.3</v>
      </c>
      <c r="Q198">
        <v>60</v>
      </c>
      <c r="R198">
        <v>240</v>
      </c>
      <c r="S198">
        <v>60</v>
      </c>
      <c r="T198">
        <v>60</v>
      </c>
      <c r="U198" t="s">
        <v>404</v>
      </c>
      <c r="V198" s="3" t="s">
        <v>38</v>
      </c>
      <c r="W198" t="str">
        <f t="shared" si="9"/>
        <v/>
      </c>
      <c r="X198" t="str">
        <f t="shared" si="10"/>
        <v/>
      </c>
      <c r="Y198" t="str">
        <f t="shared" si="11"/>
        <v/>
      </c>
    </row>
    <row r="199" spans="1:25" x14ac:dyDescent="0.25">
      <c r="A199">
        <v>198</v>
      </c>
      <c r="B199">
        <v>198</v>
      </c>
      <c r="C199" t="s">
        <v>410</v>
      </c>
      <c r="D199" t="s">
        <v>404</v>
      </c>
      <c r="E199" t="s">
        <v>23</v>
      </c>
      <c r="F199" t="s">
        <v>411</v>
      </c>
      <c r="G199" t="s">
        <v>25</v>
      </c>
      <c r="H199" t="s">
        <v>26</v>
      </c>
      <c r="I199" s="1">
        <v>42551</v>
      </c>
      <c r="J199" t="s">
        <v>410</v>
      </c>
      <c r="K199" t="s">
        <v>23</v>
      </c>
      <c r="L199">
        <v>2</v>
      </c>
      <c r="M199">
        <v>2</v>
      </c>
      <c r="N199">
        <v>4</v>
      </c>
      <c r="O199">
        <v>4</v>
      </c>
      <c r="P199">
        <v>0.3</v>
      </c>
      <c r="Q199">
        <v>60</v>
      </c>
      <c r="R199">
        <v>240</v>
      </c>
      <c r="S199">
        <v>60</v>
      </c>
      <c r="T199">
        <v>60</v>
      </c>
      <c r="U199" t="s">
        <v>404</v>
      </c>
      <c r="V199" s="3" t="s">
        <v>38</v>
      </c>
      <c r="W199" t="str">
        <f t="shared" si="9"/>
        <v/>
      </c>
      <c r="X199" t="str">
        <f t="shared" si="10"/>
        <v/>
      </c>
      <c r="Y199" t="str">
        <f t="shared" si="11"/>
        <v/>
      </c>
    </row>
    <row r="200" spans="1:25" x14ac:dyDescent="0.25">
      <c r="A200">
        <v>199</v>
      </c>
      <c r="B200">
        <v>199</v>
      </c>
      <c r="C200" t="s">
        <v>412</v>
      </c>
      <c r="D200" t="s">
        <v>404</v>
      </c>
      <c r="E200" t="s">
        <v>23</v>
      </c>
      <c r="F200" t="s">
        <v>413</v>
      </c>
      <c r="G200" t="s">
        <v>25</v>
      </c>
      <c r="H200" t="s">
        <v>26</v>
      </c>
      <c r="I200" s="1">
        <v>42551</v>
      </c>
      <c r="J200" t="s">
        <v>412</v>
      </c>
      <c r="K200" t="s">
        <v>23</v>
      </c>
      <c r="L200">
        <v>2</v>
      </c>
      <c r="M200">
        <v>2</v>
      </c>
      <c r="N200">
        <v>4</v>
      </c>
      <c r="O200">
        <v>4</v>
      </c>
      <c r="P200">
        <v>0.3</v>
      </c>
      <c r="Q200">
        <v>60</v>
      </c>
      <c r="R200">
        <v>240</v>
      </c>
      <c r="S200">
        <v>60</v>
      </c>
      <c r="T200">
        <v>60</v>
      </c>
      <c r="U200" t="s">
        <v>404</v>
      </c>
      <c r="V200" s="3" t="s">
        <v>38</v>
      </c>
      <c r="W200" t="str">
        <f t="shared" si="9"/>
        <v/>
      </c>
      <c r="X200" t="str">
        <f t="shared" si="10"/>
        <v/>
      </c>
      <c r="Y200" t="str">
        <f t="shared" si="11"/>
        <v/>
      </c>
    </row>
    <row r="201" spans="1:25" x14ac:dyDescent="0.25">
      <c r="A201">
        <v>200</v>
      </c>
      <c r="B201">
        <v>200</v>
      </c>
      <c r="C201" t="s">
        <v>414</v>
      </c>
      <c r="D201" t="s">
        <v>404</v>
      </c>
      <c r="E201" t="s">
        <v>23</v>
      </c>
      <c r="F201" t="s">
        <v>415</v>
      </c>
      <c r="G201" t="s">
        <v>25</v>
      </c>
      <c r="H201" t="s">
        <v>26</v>
      </c>
      <c r="I201" s="1">
        <v>42551</v>
      </c>
      <c r="J201" t="s">
        <v>414</v>
      </c>
      <c r="K201" t="s">
        <v>23</v>
      </c>
      <c r="L201">
        <v>2</v>
      </c>
      <c r="M201">
        <v>2</v>
      </c>
      <c r="N201">
        <v>4</v>
      </c>
      <c r="O201">
        <v>4</v>
      </c>
      <c r="P201">
        <v>0.3</v>
      </c>
      <c r="Q201">
        <v>60</v>
      </c>
      <c r="R201">
        <v>240</v>
      </c>
      <c r="S201">
        <v>60</v>
      </c>
      <c r="T201">
        <v>60</v>
      </c>
      <c r="U201" t="s">
        <v>404</v>
      </c>
      <c r="V201" s="3" t="s">
        <v>38</v>
      </c>
      <c r="W201" t="str">
        <f t="shared" si="9"/>
        <v/>
      </c>
      <c r="X201" t="str">
        <f t="shared" si="10"/>
        <v/>
      </c>
      <c r="Y201" t="str">
        <f t="shared" si="11"/>
        <v/>
      </c>
    </row>
    <row r="202" spans="1:25" x14ac:dyDescent="0.25">
      <c r="A202">
        <v>201</v>
      </c>
      <c r="B202">
        <v>201</v>
      </c>
      <c r="C202" t="s">
        <v>416</v>
      </c>
      <c r="D202" t="s">
        <v>404</v>
      </c>
      <c r="E202" t="s">
        <v>23</v>
      </c>
      <c r="F202" t="s">
        <v>417</v>
      </c>
      <c r="G202" t="s">
        <v>25</v>
      </c>
      <c r="H202" t="s">
        <v>26</v>
      </c>
      <c r="I202" s="1">
        <v>42551</v>
      </c>
      <c r="J202" t="s">
        <v>416</v>
      </c>
      <c r="K202" t="s">
        <v>23</v>
      </c>
      <c r="L202">
        <v>2</v>
      </c>
      <c r="M202">
        <v>2</v>
      </c>
      <c r="N202">
        <v>4</v>
      </c>
      <c r="O202">
        <v>4</v>
      </c>
      <c r="P202">
        <v>0.3</v>
      </c>
      <c r="Q202">
        <v>60</v>
      </c>
      <c r="R202">
        <v>240</v>
      </c>
      <c r="S202">
        <v>60</v>
      </c>
      <c r="T202">
        <v>60</v>
      </c>
      <c r="U202" t="s">
        <v>404</v>
      </c>
      <c r="V202" s="3" t="s">
        <v>38</v>
      </c>
      <c r="W202" t="str">
        <f t="shared" si="9"/>
        <v/>
      </c>
      <c r="X202" t="str">
        <f t="shared" si="10"/>
        <v/>
      </c>
      <c r="Y202" t="str">
        <f t="shared" si="11"/>
        <v/>
      </c>
    </row>
    <row r="203" spans="1:25" x14ac:dyDescent="0.25">
      <c r="A203">
        <v>202</v>
      </c>
      <c r="B203">
        <v>202</v>
      </c>
      <c r="C203" t="s">
        <v>418</v>
      </c>
      <c r="D203" t="s">
        <v>404</v>
      </c>
      <c r="E203" t="s">
        <v>23</v>
      </c>
      <c r="F203" t="s">
        <v>419</v>
      </c>
      <c r="G203" t="s">
        <v>25</v>
      </c>
      <c r="H203" t="s">
        <v>26</v>
      </c>
      <c r="I203" s="1">
        <v>42551</v>
      </c>
      <c r="J203" t="s">
        <v>418</v>
      </c>
      <c r="K203" t="s">
        <v>23</v>
      </c>
      <c r="L203">
        <v>2</v>
      </c>
      <c r="M203">
        <v>2</v>
      </c>
      <c r="N203">
        <v>4</v>
      </c>
      <c r="O203">
        <v>4</v>
      </c>
      <c r="P203">
        <v>0.3</v>
      </c>
      <c r="Q203">
        <v>60</v>
      </c>
      <c r="R203">
        <v>240</v>
      </c>
      <c r="S203">
        <v>60</v>
      </c>
      <c r="T203">
        <v>60</v>
      </c>
      <c r="U203" t="s">
        <v>404</v>
      </c>
      <c r="V203" s="3" t="s">
        <v>38</v>
      </c>
      <c r="W203" t="str">
        <f t="shared" si="9"/>
        <v/>
      </c>
      <c r="X203" t="str">
        <f t="shared" si="10"/>
        <v/>
      </c>
      <c r="Y203" t="str">
        <f t="shared" si="11"/>
        <v/>
      </c>
    </row>
    <row r="204" spans="1:25" x14ac:dyDescent="0.25">
      <c r="A204">
        <v>203</v>
      </c>
      <c r="B204">
        <v>203</v>
      </c>
      <c r="C204" t="s">
        <v>420</v>
      </c>
      <c r="D204" t="s">
        <v>404</v>
      </c>
      <c r="E204" t="s">
        <v>23</v>
      </c>
      <c r="F204" t="s">
        <v>421</v>
      </c>
      <c r="G204" t="s">
        <v>25</v>
      </c>
      <c r="H204" t="s">
        <v>26</v>
      </c>
      <c r="I204" s="1">
        <v>42551</v>
      </c>
      <c r="J204" t="s">
        <v>420</v>
      </c>
      <c r="K204" t="s">
        <v>23</v>
      </c>
      <c r="L204">
        <v>2</v>
      </c>
      <c r="M204">
        <v>2</v>
      </c>
      <c r="N204">
        <v>4</v>
      </c>
      <c r="O204">
        <v>4</v>
      </c>
      <c r="P204">
        <v>0.3</v>
      </c>
      <c r="Q204">
        <v>60</v>
      </c>
      <c r="R204">
        <v>240</v>
      </c>
      <c r="S204">
        <v>60</v>
      </c>
      <c r="T204">
        <v>60</v>
      </c>
      <c r="U204" t="s">
        <v>404</v>
      </c>
      <c r="V204" s="3" t="s">
        <v>38</v>
      </c>
      <c r="W204" t="str">
        <f t="shared" si="9"/>
        <v/>
      </c>
      <c r="X204" t="str">
        <f t="shared" si="10"/>
        <v/>
      </c>
      <c r="Y204" t="str">
        <f t="shared" si="11"/>
        <v/>
      </c>
    </row>
    <row r="205" spans="1:25" x14ac:dyDescent="0.25">
      <c r="A205">
        <v>204</v>
      </c>
      <c r="B205">
        <v>204</v>
      </c>
      <c r="C205" t="s">
        <v>422</v>
      </c>
      <c r="D205" t="s">
        <v>404</v>
      </c>
      <c r="E205" t="s">
        <v>23</v>
      </c>
      <c r="F205" t="s">
        <v>423</v>
      </c>
      <c r="G205" t="s">
        <v>25</v>
      </c>
      <c r="H205" t="s">
        <v>26</v>
      </c>
      <c r="I205" s="1">
        <v>42551</v>
      </c>
      <c r="J205" t="s">
        <v>422</v>
      </c>
      <c r="K205" t="s">
        <v>23</v>
      </c>
      <c r="L205">
        <v>2</v>
      </c>
      <c r="M205">
        <v>2</v>
      </c>
      <c r="N205">
        <v>4</v>
      </c>
      <c r="O205">
        <v>4</v>
      </c>
      <c r="P205">
        <v>0.3</v>
      </c>
      <c r="Q205">
        <v>60</v>
      </c>
      <c r="R205">
        <v>240</v>
      </c>
      <c r="S205">
        <v>60</v>
      </c>
      <c r="T205">
        <v>60</v>
      </c>
      <c r="U205" t="s">
        <v>404</v>
      </c>
      <c r="V205" s="3" t="s">
        <v>38</v>
      </c>
      <c r="W205" t="str">
        <f t="shared" si="9"/>
        <v/>
      </c>
      <c r="X205" t="str">
        <f t="shared" si="10"/>
        <v/>
      </c>
      <c r="Y205" t="str">
        <f t="shared" si="11"/>
        <v/>
      </c>
    </row>
    <row r="206" spans="1:25" x14ac:dyDescent="0.25">
      <c r="A206">
        <v>205</v>
      </c>
      <c r="B206">
        <v>205</v>
      </c>
      <c r="C206" t="s">
        <v>424</v>
      </c>
      <c r="D206" t="s">
        <v>425</v>
      </c>
      <c r="E206" t="s">
        <v>36</v>
      </c>
      <c r="F206" t="s">
        <v>426</v>
      </c>
      <c r="G206" t="s">
        <v>25</v>
      </c>
      <c r="H206" t="s">
        <v>26</v>
      </c>
      <c r="I206" s="1">
        <v>45081</v>
      </c>
      <c r="J206" t="s">
        <v>424</v>
      </c>
      <c r="K206" t="s">
        <v>36</v>
      </c>
      <c r="L206" t="s">
        <v>427</v>
      </c>
      <c r="M206" t="s">
        <v>427</v>
      </c>
      <c r="N206">
        <v>0</v>
      </c>
      <c r="O206">
        <v>2.25</v>
      </c>
      <c r="P206">
        <v>0.22500000000000001</v>
      </c>
      <c r="Q206">
        <v>9</v>
      </c>
      <c r="R206" t="s">
        <v>427</v>
      </c>
      <c r="S206" t="s">
        <v>427</v>
      </c>
      <c r="T206">
        <v>0</v>
      </c>
      <c r="U206" t="s">
        <v>425</v>
      </c>
      <c r="V206" s="3" t="s">
        <v>68</v>
      </c>
      <c r="W206" t="str">
        <f t="shared" si="9"/>
        <v/>
      </c>
      <c r="X206" t="str">
        <f t="shared" si="10"/>
        <v/>
      </c>
      <c r="Y206" t="str">
        <f t="shared" si="11"/>
        <v/>
      </c>
    </row>
    <row r="207" spans="1:25" x14ac:dyDescent="0.25">
      <c r="A207">
        <v>206</v>
      </c>
      <c r="B207">
        <v>206</v>
      </c>
      <c r="C207" t="s">
        <v>428</v>
      </c>
      <c r="D207" t="s">
        <v>429</v>
      </c>
      <c r="E207" t="s">
        <v>36</v>
      </c>
      <c r="F207" t="s">
        <v>430</v>
      </c>
      <c r="G207" t="s">
        <v>25</v>
      </c>
      <c r="H207" t="s">
        <v>26</v>
      </c>
      <c r="I207" s="1">
        <v>42621</v>
      </c>
      <c r="J207" t="s">
        <v>428</v>
      </c>
      <c r="K207" t="s">
        <v>36</v>
      </c>
      <c r="L207">
        <v>2</v>
      </c>
      <c r="M207">
        <v>2</v>
      </c>
      <c r="N207">
        <v>4</v>
      </c>
      <c r="O207">
        <v>5</v>
      </c>
      <c r="P207">
        <v>0.5</v>
      </c>
      <c r="Q207">
        <v>20</v>
      </c>
      <c r="R207">
        <v>500</v>
      </c>
      <c r="S207">
        <v>125</v>
      </c>
      <c r="T207">
        <v>100</v>
      </c>
      <c r="U207" t="s">
        <v>429</v>
      </c>
      <c r="V207" s="3" t="s">
        <v>38</v>
      </c>
      <c r="W207" t="str">
        <f t="shared" si="9"/>
        <v/>
      </c>
      <c r="X207" t="str">
        <f t="shared" si="10"/>
        <v/>
      </c>
      <c r="Y207" t="str">
        <f t="shared" si="11"/>
        <v/>
      </c>
    </row>
    <row r="208" spans="1:25" x14ac:dyDescent="0.25">
      <c r="A208">
        <v>207</v>
      </c>
      <c r="B208">
        <v>207</v>
      </c>
      <c r="C208" t="s">
        <v>431</v>
      </c>
      <c r="D208" t="s">
        <v>429</v>
      </c>
      <c r="E208" t="s">
        <v>36</v>
      </c>
      <c r="F208" t="s">
        <v>432</v>
      </c>
      <c r="G208" t="s">
        <v>25</v>
      </c>
      <c r="H208" t="s">
        <v>26</v>
      </c>
      <c r="I208" s="1">
        <v>42621</v>
      </c>
      <c r="J208" t="s">
        <v>431</v>
      </c>
      <c r="K208" t="s">
        <v>36</v>
      </c>
      <c r="L208">
        <v>2</v>
      </c>
      <c r="M208">
        <v>2</v>
      </c>
      <c r="N208">
        <v>4</v>
      </c>
      <c r="O208">
        <v>5</v>
      </c>
      <c r="P208">
        <v>0.5</v>
      </c>
      <c r="Q208">
        <v>20</v>
      </c>
      <c r="R208">
        <v>500</v>
      </c>
      <c r="S208">
        <v>125</v>
      </c>
      <c r="T208">
        <v>100</v>
      </c>
      <c r="U208" t="s">
        <v>429</v>
      </c>
      <c r="V208" s="3" t="s">
        <v>38</v>
      </c>
      <c r="W208" t="str">
        <f t="shared" si="9"/>
        <v/>
      </c>
      <c r="X208" t="str">
        <f t="shared" si="10"/>
        <v/>
      </c>
      <c r="Y208" t="str">
        <f t="shared" si="11"/>
        <v/>
      </c>
    </row>
    <row r="209" spans="1:25" x14ac:dyDescent="0.25">
      <c r="A209">
        <v>208</v>
      </c>
      <c r="B209">
        <v>208</v>
      </c>
      <c r="C209" t="s">
        <v>433</v>
      </c>
      <c r="D209" t="s">
        <v>429</v>
      </c>
      <c r="E209" t="s">
        <v>36</v>
      </c>
      <c r="F209" t="s">
        <v>434</v>
      </c>
      <c r="G209" t="s">
        <v>25</v>
      </c>
      <c r="H209" t="s">
        <v>26</v>
      </c>
      <c r="I209" s="1">
        <v>42622</v>
      </c>
      <c r="J209" t="s">
        <v>433</v>
      </c>
      <c r="K209" t="s">
        <v>36</v>
      </c>
      <c r="L209">
        <v>1.5</v>
      </c>
      <c r="M209">
        <v>2</v>
      </c>
      <c r="N209">
        <v>3</v>
      </c>
      <c r="O209">
        <v>4</v>
      </c>
      <c r="P209">
        <v>0.4</v>
      </c>
      <c r="Q209">
        <v>16</v>
      </c>
      <c r="R209">
        <v>400</v>
      </c>
      <c r="S209">
        <v>133.333333333333</v>
      </c>
      <c r="T209">
        <v>100</v>
      </c>
      <c r="U209" t="s">
        <v>429</v>
      </c>
      <c r="V209" s="3" t="s">
        <v>38</v>
      </c>
      <c r="W209" t="str">
        <f t="shared" si="9"/>
        <v/>
      </c>
      <c r="X209" t="str">
        <f t="shared" si="10"/>
        <v/>
      </c>
      <c r="Y209" t="str">
        <f t="shared" si="11"/>
        <v/>
      </c>
    </row>
    <row r="210" spans="1:25" x14ac:dyDescent="0.25">
      <c r="A210">
        <v>209</v>
      </c>
      <c r="B210">
        <v>209</v>
      </c>
      <c r="C210" t="s">
        <v>435</v>
      </c>
      <c r="D210" t="s">
        <v>429</v>
      </c>
      <c r="E210" t="s">
        <v>36</v>
      </c>
      <c r="F210" t="s">
        <v>436</v>
      </c>
      <c r="G210" t="s">
        <v>25</v>
      </c>
      <c r="H210" t="s">
        <v>26</v>
      </c>
      <c r="I210" s="1">
        <v>42622</v>
      </c>
      <c r="J210" t="s">
        <v>435</v>
      </c>
      <c r="K210" t="s">
        <v>36</v>
      </c>
      <c r="L210">
        <v>1.5</v>
      </c>
      <c r="M210">
        <v>2</v>
      </c>
      <c r="N210">
        <v>3</v>
      </c>
      <c r="O210">
        <v>4</v>
      </c>
      <c r="P210">
        <v>0.4</v>
      </c>
      <c r="Q210">
        <v>16</v>
      </c>
      <c r="R210">
        <v>400</v>
      </c>
      <c r="S210">
        <v>133.333333333333</v>
      </c>
      <c r="T210">
        <v>100</v>
      </c>
      <c r="U210" t="s">
        <v>429</v>
      </c>
      <c r="V210" s="3" t="s">
        <v>38</v>
      </c>
      <c r="W210" t="str">
        <f t="shared" si="9"/>
        <v/>
      </c>
      <c r="X210" t="str">
        <f t="shared" si="10"/>
        <v/>
      </c>
      <c r="Y210" t="str">
        <f t="shared" si="11"/>
        <v/>
      </c>
    </row>
    <row r="211" spans="1:25" x14ac:dyDescent="0.25">
      <c r="A211">
        <v>210</v>
      </c>
      <c r="B211">
        <v>210</v>
      </c>
      <c r="C211" t="s">
        <v>437</v>
      </c>
      <c r="D211" t="s">
        <v>138</v>
      </c>
      <c r="E211" t="s">
        <v>23</v>
      </c>
      <c r="F211" t="s">
        <v>438</v>
      </c>
      <c r="G211" t="s">
        <v>25</v>
      </c>
      <c r="H211" t="s">
        <v>26</v>
      </c>
      <c r="I211" s="1">
        <v>42075</v>
      </c>
      <c r="J211" t="s">
        <v>437</v>
      </c>
      <c r="K211" t="s">
        <v>23</v>
      </c>
      <c r="L211">
        <v>5</v>
      </c>
      <c r="M211">
        <v>5</v>
      </c>
      <c r="N211">
        <v>25</v>
      </c>
      <c r="O211">
        <v>25</v>
      </c>
      <c r="P211">
        <v>0.625</v>
      </c>
      <c r="Q211">
        <v>125</v>
      </c>
      <c r="R211">
        <v>500</v>
      </c>
      <c r="S211">
        <v>20</v>
      </c>
      <c r="T211">
        <v>20</v>
      </c>
      <c r="U211" t="s">
        <v>138</v>
      </c>
      <c r="V211" s="3" t="s">
        <v>33</v>
      </c>
      <c r="W211" t="str">
        <f t="shared" si="9"/>
        <v/>
      </c>
      <c r="X211" t="str">
        <f t="shared" si="10"/>
        <v/>
      </c>
      <c r="Y211" t="str">
        <f t="shared" si="11"/>
        <v/>
      </c>
    </row>
    <row r="212" spans="1:25" x14ac:dyDescent="0.25">
      <c r="A212">
        <v>211</v>
      </c>
      <c r="B212">
        <v>211</v>
      </c>
      <c r="C212" t="s">
        <v>439</v>
      </c>
      <c r="D212" t="s">
        <v>42</v>
      </c>
      <c r="E212" t="s">
        <v>103</v>
      </c>
      <c r="F212" t="s">
        <v>440</v>
      </c>
      <c r="G212" t="s">
        <v>45</v>
      </c>
      <c r="H212" t="s">
        <v>26</v>
      </c>
      <c r="I212" s="1">
        <v>42509</v>
      </c>
      <c r="J212" t="s">
        <v>439</v>
      </c>
      <c r="K212" t="s">
        <v>103</v>
      </c>
      <c r="L212">
        <v>25</v>
      </c>
      <c r="M212">
        <v>5</v>
      </c>
      <c r="N212">
        <v>125</v>
      </c>
      <c r="O212">
        <v>75</v>
      </c>
      <c r="P212">
        <v>9.75</v>
      </c>
      <c r="Q212">
        <v>156</v>
      </c>
      <c r="R212">
        <v>780</v>
      </c>
      <c r="S212">
        <v>6.24</v>
      </c>
      <c r="T212">
        <v>10.4</v>
      </c>
      <c r="U212" t="s">
        <v>42</v>
      </c>
      <c r="V212" s="3" t="s">
        <v>46</v>
      </c>
      <c r="W212" t="str">
        <f t="shared" si="9"/>
        <v/>
      </c>
      <c r="X212" t="str">
        <f t="shared" si="10"/>
        <v/>
      </c>
      <c r="Y212" t="str">
        <f t="shared" si="11"/>
        <v/>
      </c>
    </row>
    <row r="213" spans="1:25" x14ac:dyDescent="0.25">
      <c r="A213">
        <v>212</v>
      </c>
      <c r="B213">
        <v>212</v>
      </c>
      <c r="C213" t="s">
        <v>441</v>
      </c>
      <c r="D213" t="s">
        <v>442</v>
      </c>
      <c r="E213" t="s">
        <v>23</v>
      </c>
      <c r="F213" t="s">
        <v>443</v>
      </c>
      <c r="G213" t="s">
        <v>25</v>
      </c>
      <c r="H213" t="s">
        <v>26</v>
      </c>
      <c r="I213" s="1">
        <v>41439</v>
      </c>
      <c r="J213" t="s">
        <v>441</v>
      </c>
      <c r="K213" t="s">
        <v>23</v>
      </c>
      <c r="L213">
        <v>5</v>
      </c>
      <c r="M213">
        <v>95</v>
      </c>
      <c r="N213">
        <v>475</v>
      </c>
      <c r="O213">
        <v>25</v>
      </c>
      <c r="P213">
        <v>0.56000000000000005</v>
      </c>
      <c r="Q213">
        <v>112</v>
      </c>
      <c r="R213">
        <v>448</v>
      </c>
      <c r="S213">
        <v>0.94315789473684197</v>
      </c>
      <c r="T213">
        <v>17.920000000000002</v>
      </c>
      <c r="U213" t="s">
        <v>442</v>
      </c>
      <c r="V213" s="3" t="s">
        <v>27</v>
      </c>
      <c r="W213" t="str">
        <f t="shared" si="9"/>
        <v/>
      </c>
      <c r="X213" t="str">
        <f t="shared" si="10"/>
        <v/>
      </c>
      <c r="Y213" t="str">
        <f t="shared" si="11"/>
        <v/>
      </c>
    </row>
    <row r="214" spans="1:25" x14ac:dyDescent="0.25">
      <c r="A214">
        <v>213</v>
      </c>
      <c r="B214">
        <v>213</v>
      </c>
      <c r="C214" t="s">
        <v>444</v>
      </c>
      <c r="D214" t="s">
        <v>442</v>
      </c>
      <c r="E214" t="s">
        <v>23</v>
      </c>
      <c r="F214" t="s">
        <v>445</v>
      </c>
      <c r="G214" t="s">
        <v>25</v>
      </c>
      <c r="H214" t="s">
        <v>26</v>
      </c>
      <c r="I214" s="1">
        <v>41439</v>
      </c>
      <c r="J214" t="s">
        <v>444</v>
      </c>
      <c r="K214" t="s">
        <v>23</v>
      </c>
      <c r="L214">
        <v>5</v>
      </c>
      <c r="M214">
        <v>57</v>
      </c>
      <c r="N214">
        <v>285</v>
      </c>
      <c r="O214">
        <v>25</v>
      </c>
      <c r="P214">
        <v>0.59</v>
      </c>
      <c r="Q214">
        <v>118</v>
      </c>
      <c r="R214">
        <v>472</v>
      </c>
      <c r="S214">
        <v>1.6561403508771899</v>
      </c>
      <c r="T214">
        <v>18.88</v>
      </c>
      <c r="U214" t="s">
        <v>442</v>
      </c>
      <c r="V214" s="3" t="s">
        <v>27</v>
      </c>
      <c r="W214" t="str">
        <f t="shared" si="9"/>
        <v/>
      </c>
      <c r="X214" t="str">
        <f t="shared" si="10"/>
        <v/>
      </c>
      <c r="Y214" t="str">
        <f t="shared" si="11"/>
        <v/>
      </c>
    </row>
    <row r="215" spans="1:25" x14ac:dyDescent="0.25">
      <c r="A215">
        <v>214</v>
      </c>
      <c r="B215">
        <v>214</v>
      </c>
      <c r="C215" t="s">
        <v>446</v>
      </c>
      <c r="D215" t="s">
        <v>85</v>
      </c>
      <c r="E215" t="s">
        <v>36</v>
      </c>
      <c r="F215" t="s">
        <v>447</v>
      </c>
      <c r="G215" t="s">
        <v>25</v>
      </c>
      <c r="H215" t="s">
        <v>26</v>
      </c>
      <c r="I215" s="1">
        <v>42887</v>
      </c>
      <c r="J215" t="s">
        <v>446</v>
      </c>
      <c r="K215" t="s">
        <v>36</v>
      </c>
      <c r="L215">
        <v>2.5</v>
      </c>
      <c r="M215">
        <v>2.5</v>
      </c>
      <c r="N215">
        <v>6.25</v>
      </c>
      <c r="O215">
        <v>5</v>
      </c>
      <c r="P215">
        <v>0.5</v>
      </c>
      <c r="Q215">
        <v>20</v>
      </c>
      <c r="R215">
        <v>500</v>
      </c>
      <c r="S215">
        <v>80</v>
      </c>
      <c r="T215">
        <v>100</v>
      </c>
      <c r="U215" t="s">
        <v>85</v>
      </c>
      <c r="V215" s="3" t="s">
        <v>92</v>
      </c>
      <c r="W215" t="str">
        <f t="shared" si="9"/>
        <v/>
      </c>
      <c r="X215" t="str">
        <f t="shared" si="10"/>
        <v/>
      </c>
      <c r="Y215" t="str">
        <f t="shared" si="11"/>
        <v/>
      </c>
    </row>
    <row r="216" spans="1:25" x14ac:dyDescent="0.25">
      <c r="A216">
        <v>215</v>
      </c>
      <c r="B216">
        <v>215</v>
      </c>
      <c r="C216" t="s">
        <v>448</v>
      </c>
      <c r="D216" t="s">
        <v>449</v>
      </c>
      <c r="E216" t="s">
        <v>36</v>
      </c>
      <c r="F216" t="s">
        <v>450</v>
      </c>
      <c r="G216" t="s">
        <v>25</v>
      </c>
      <c r="H216" t="s">
        <v>26</v>
      </c>
      <c r="I216" s="1">
        <v>42887</v>
      </c>
      <c r="J216" t="s">
        <v>448</v>
      </c>
      <c r="K216" t="s">
        <v>36</v>
      </c>
      <c r="L216">
        <v>2.5</v>
      </c>
      <c r="M216">
        <v>2.5</v>
      </c>
      <c r="N216">
        <v>6.25</v>
      </c>
      <c r="O216">
        <v>5</v>
      </c>
      <c r="P216">
        <v>0.5</v>
      </c>
      <c r="Q216">
        <v>20</v>
      </c>
      <c r="R216">
        <v>500</v>
      </c>
      <c r="S216">
        <v>80</v>
      </c>
      <c r="T216">
        <v>100</v>
      </c>
      <c r="U216" t="s">
        <v>449</v>
      </c>
      <c r="V216" s="3" t="s">
        <v>92</v>
      </c>
      <c r="W216" t="str">
        <f t="shared" si="9"/>
        <v/>
      </c>
      <c r="X216" t="str">
        <f t="shared" si="10"/>
        <v/>
      </c>
      <c r="Y216" t="str">
        <f t="shared" si="11"/>
        <v/>
      </c>
    </row>
    <row r="217" spans="1:25" x14ac:dyDescent="0.25">
      <c r="A217">
        <v>216</v>
      </c>
      <c r="B217">
        <v>216</v>
      </c>
      <c r="C217" t="s">
        <v>451</v>
      </c>
      <c r="D217" t="s">
        <v>452</v>
      </c>
      <c r="E217" t="s">
        <v>36</v>
      </c>
      <c r="F217" t="s">
        <v>453</v>
      </c>
      <c r="G217" t="s">
        <v>25</v>
      </c>
      <c r="H217" t="s">
        <v>26</v>
      </c>
      <c r="I217" s="1">
        <v>42888</v>
      </c>
      <c r="J217" t="s">
        <v>451</v>
      </c>
      <c r="K217" t="s">
        <v>36</v>
      </c>
      <c r="L217">
        <v>2.5</v>
      </c>
      <c r="M217">
        <v>2.5</v>
      </c>
      <c r="N217">
        <v>6.25</v>
      </c>
      <c r="O217">
        <v>4.75</v>
      </c>
      <c r="P217">
        <v>0.47499999999999998</v>
      </c>
      <c r="Q217">
        <v>19</v>
      </c>
      <c r="R217">
        <v>475</v>
      </c>
      <c r="S217">
        <v>76</v>
      </c>
      <c r="T217">
        <v>100</v>
      </c>
      <c r="U217" t="s">
        <v>452</v>
      </c>
      <c r="V217" s="3" t="s">
        <v>92</v>
      </c>
      <c r="W217" t="str">
        <f t="shared" si="9"/>
        <v/>
      </c>
      <c r="X217" t="str">
        <f t="shared" si="10"/>
        <v/>
      </c>
      <c r="Y217" t="str">
        <f t="shared" si="11"/>
        <v/>
      </c>
    </row>
    <row r="218" spans="1:25" x14ac:dyDescent="0.25">
      <c r="A218">
        <v>217</v>
      </c>
      <c r="B218">
        <v>217</v>
      </c>
      <c r="C218" t="s">
        <v>454</v>
      </c>
      <c r="D218" t="s">
        <v>81</v>
      </c>
      <c r="E218" t="s">
        <v>36</v>
      </c>
      <c r="F218" t="s">
        <v>455</v>
      </c>
      <c r="G218" t="s">
        <v>25</v>
      </c>
      <c r="H218" t="s">
        <v>26</v>
      </c>
      <c r="I218" s="1">
        <v>42888</v>
      </c>
      <c r="J218" t="s">
        <v>454</v>
      </c>
      <c r="K218" t="s">
        <v>36</v>
      </c>
      <c r="L218">
        <v>3</v>
      </c>
      <c r="M218">
        <v>2.5</v>
      </c>
      <c r="N218">
        <v>7.5</v>
      </c>
      <c r="O218">
        <v>6.18</v>
      </c>
      <c r="P218">
        <v>0.61799999999999999</v>
      </c>
      <c r="Q218">
        <v>24.72</v>
      </c>
      <c r="R218">
        <v>618</v>
      </c>
      <c r="S218">
        <v>82.4</v>
      </c>
      <c r="T218">
        <v>100</v>
      </c>
      <c r="U218" t="s">
        <v>81</v>
      </c>
      <c r="V218" s="3" t="s">
        <v>92</v>
      </c>
      <c r="W218" t="str">
        <f t="shared" si="9"/>
        <v/>
      </c>
      <c r="X218" t="str">
        <f t="shared" si="10"/>
        <v/>
      </c>
      <c r="Y218" t="str">
        <f t="shared" si="11"/>
        <v/>
      </c>
    </row>
    <row r="219" spans="1:25" x14ac:dyDescent="0.25">
      <c r="A219">
        <v>218</v>
      </c>
      <c r="B219">
        <v>218</v>
      </c>
      <c r="C219" t="s">
        <v>456</v>
      </c>
      <c r="D219" t="s">
        <v>76</v>
      </c>
      <c r="E219" t="s">
        <v>36</v>
      </c>
      <c r="F219" t="s">
        <v>457</v>
      </c>
      <c r="G219" t="s">
        <v>45</v>
      </c>
      <c r="H219" t="s">
        <v>26</v>
      </c>
      <c r="I219" s="1">
        <v>44044</v>
      </c>
      <c r="J219" t="s">
        <v>456</v>
      </c>
      <c r="K219" t="s">
        <v>36</v>
      </c>
      <c r="L219">
        <v>14</v>
      </c>
      <c r="M219">
        <v>1</v>
      </c>
      <c r="N219">
        <v>14</v>
      </c>
      <c r="O219">
        <v>6</v>
      </c>
      <c r="P219">
        <v>0.6</v>
      </c>
      <c r="Q219">
        <v>24</v>
      </c>
      <c r="R219">
        <v>640</v>
      </c>
      <c r="S219">
        <v>45.714285714285701</v>
      </c>
      <c r="T219">
        <v>106.666666666667</v>
      </c>
      <c r="U219" t="s">
        <v>76</v>
      </c>
      <c r="V219" s="3" t="s">
        <v>78</v>
      </c>
      <c r="W219" t="str">
        <f t="shared" si="9"/>
        <v/>
      </c>
      <c r="X219" t="str">
        <f t="shared" si="10"/>
        <v/>
      </c>
      <c r="Y219" t="str">
        <f t="shared" si="11"/>
        <v/>
      </c>
    </row>
    <row r="220" spans="1:25" x14ac:dyDescent="0.25">
      <c r="A220">
        <v>219</v>
      </c>
      <c r="B220">
        <v>219</v>
      </c>
      <c r="C220" t="s">
        <v>456</v>
      </c>
      <c r="D220" t="s">
        <v>79</v>
      </c>
      <c r="E220" t="s">
        <v>36</v>
      </c>
      <c r="F220" t="s">
        <v>458</v>
      </c>
      <c r="G220" t="s">
        <v>45</v>
      </c>
      <c r="H220" t="s">
        <v>26</v>
      </c>
      <c r="I220" s="1">
        <v>44044</v>
      </c>
      <c r="J220" t="s">
        <v>456</v>
      </c>
      <c r="K220" t="s">
        <v>36</v>
      </c>
      <c r="L220">
        <v>14</v>
      </c>
      <c r="M220">
        <v>1</v>
      </c>
      <c r="N220">
        <v>14</v>
      </c>
      <c r="O220">
        <v>0.75</v>
      </c>
      <c r="P220">
        <v>7.4999999999999997E-2</v>
      </c>
      <c r="Q220">
        <v>3</v>
      </c>
      <c r="R220">
        <v>60</v>
      </c>
      <c r="S220">
        <v>4.28571428571429</v>
      </c>
      <c r="T220">
        <v>80</v>
      </c>
      <c r="U220" t="s">
        <v>79</v>
      </c>
      <c r="V220" s="3" t="s">
        <v>78</v>
      </c>
      <c r="W220" t="str">
        <f t="shared" si="9"/>
        <v/>
      </c>
      <c r="X220" t="str">
        <f t="shared" si="10"/>
        <v/>
      </c>
      <c r="Y220" t="str">
        <f t="shared" si="11"/>
        <v/>
      </c>
    </row>
    <row r="221" spans="1:25" x14ac:dyDescent="0.25">
      <c r="A221">
        <v>220</v>
      </c>
      <c r="B221">
        <v>220</v>
      </c>
      <c r="C221" t="s">
        <v>456</v>
      </c>
      <c r="D221" t="s">
        <v>81</v>
      </c>
      <c r="E221" t="s">
        <v>36</v>
      </c>
      <c r="F221" t="s">
        <v>459</v>
      </c>
      <c r="G221" t="s">
        <v>45</v>
      </c>
      <c r="H221" t="s">
        <v>26</v>
      </c>
      <c r="I221" s="1">
        <v>44044</v>
      </c>
      <c r="J221" t="s">
        <v>456</v>
      </c>
      <c r="K221" t="s">
        <v>36</v>
      </c>
      <c r="L221">
        <v>14</v>
      </c>
      <c r="M221">
        <v>1</v>
      </c>
      <c r="N221">
        <v>14</v>
      </c>
      <c r="O221">
        <v>2.25</v>
      </c>
      <c r="P221">
        <v>0.22500000000000001</v>
      </c>
      <c r="Q221">
        <v>9</v>
      </c>
      <c r="R221">
        <v>135</v>
      </c>
      <c r="S221">
        <v>9.6428571428571406</v>
      </c>
      <c r="T221">
        <v>60</v>
      </c>
      <c r="U221" t="s">
        <v>81</v>
      </c>
      <c r="V221" s="3" t="s">
        <v>78</v>
      </c>
      <c r="W221" t="str">
        <f t="shared" si="9"/>
        <v/>
      </c>
      <c r="X221" t="str">
        <f t="shared" si="10"/>
        <v/>
      </c>
      <c r="Y221" t="str">
        <f t="shared" si="11"/>
        <v/>
      </c>
    </row>
    <row r="222" spans="1:25" x14ac:dyDescent="0.25">
      <c r="A222">
        <v>221</v>
      </c>
      <c r="B222">
        <v>221</v>
      </c>
      <c r="C222" t="s">
        <v>456</v>
      </c>
      <c r="D222" t="s">
        <v>83</v>
      </c>
      <c r="E222" t="s">
        <v>36</v>
      </c>
      <c r="F222" t="s">
        <v>460</v>
      </c>
      <c r="G222" t="s">
        <v>45</v>
      </c>
      <c r="H222" t="s">
        <v>26</v>
      </c>
      <c r="I222" s="1">
        <v>44044</v>
      </c>
      <c r="J222" t="s">
        <v>456</v>
      </c>
      <c r="K222" t="s">
        <v>36</v>
      </c>
      <c r="L222">
        <v>14</v>
      </c>
      <c r="M222">
        <v>1</v>
      </c>
      <c r="N222">
        <v>14</v>
      </c>
      <c r="O222">
        <v>3.75</v>
      </c>
      <c r="P222">
        <v>0.375</v>
      </c>
      <c r="Q222">
        <v>15</v>
      </c>
      <c r="R222">
        <v>210</v>
      </c>
      <c r="S222">
        <v>15</v>
      </c>
      <c r="T222">
        <v>56</v>
      </c>
      <c r="U222" t="s">
        <v>83</v>
      </c>
      <c r="V222" s="3" t="s">
        <v>78</v>
      </c>
      <c r="W222" t="str">
        <f t="shared" si="9"/>
        <v/>
      </c>
      <c r="X222" t="str">
        <f t="shared" si="10"/>
        <v/>
      </c>
      <c r="Y222" t="str">
        <f t="shared" si="11"/>
        <v/>
      </c>
    </row>
    <row r="223" spans="1:25" x14ac:dyDescent="0.25">
      <c r="A223">
        <v>222</v>
      </c>
      <c r="B223">
        <v>222</v>
      </c>
      <c r="C223" t="s">
        <v>456</v>
      </c>
      <c r="D223" t="s">
        <v>85</v>
      </c>
      <c r="E223" t="s">
        <v>36</v>
      </c>
      <c r="F223" t="s">
        <v>461</v>
      </c>
      <c r="G223" t="s">
        <v>45</v>
      </c>
      <c r="H223" t="s">
        <v>26</v>
      </c>
      <c r="I223" s="1">
        <v>44044</v>
      </c>
      <c r="J223" t="s">
        <v>456</v>
      </c>
      <c r="K223" t="s">
        <v>36</v>
      </c>
      <c r="L223">
        <v>14</v>
      </c>
      <c r="M223">
        <v>1</v>
      </c>
      <c r="N223">
        <v>14</v>
      </c>
      <c r="O223">
        <v>2.25</v>
      </c>
      <c r="P223">
        <v>0.22500000000000001</v>
      </c>
      <c r="Q223">
        <v>9</v>
      </c>
      <c r="R223">
        <v>275</v>
      </c>
      <c r="S223">
        <v>19.6428571428571</v>
      </c>
      <c r="T223">
        <v>122.222222222222</v>
      </c>
      <c r="U223" t="s">
        <v>85</v>
      </c>
      <c r="V223" s="3" t="s">
        <v>78</v>
      </c>
      <c r="W223" t="str">
        <f t="shared" si="9"/>
        <v/>
      </c>
      <c r="X223" t="str">
        <f t="shared" si="10"/>
        <v/>
      </c>
      <c r="Y223" t="str">
        <f t="shared" si="11"/>
        <v/>
      </c>
    </row>
    <row r="224" spans="1:25" x14ac:dyDescent="0.25">
      <c r="A224">
        <v>223</v>
      </c>
      <c r="B224">
        <v>223</v>
      </c>
      <c r="C224" t="s">
        <v>462</v>
      </c>
      <c r="D224" t="s">
        <v>22</v>
      </c>
      <c r="E224" t="s">
        <v>23</v>
      </c>
      <c r="F224" t="s">
        <v>463</v>
      </c>
      <c r="G224" t="s">
        <v>25</v>
      </c>
      <c r="H224" t="s">
        <v>26</v>
      </c>
      <c r="I224" s="1">
        <v>41431</v>
      </c>
      <c r="J224" t="s">
        <v>462</v>
      </c>
      <c r="K224" t="s">
        <v>23</v>
      </c>
      <c r="L224">
        <v>5</v>
      </c>
      <c r="M224">
        <v>9</v>
      </c>
      <c r="N224">
        <v>45</v>
      </c>
      <c r="O224">
        <v>45</v>
      </c>
      <c r="P224">
        <v>1.0900000000000001</v>
      </c>
      <c r="Q224">
        <v>218</v>
      </c>
      <c r="R224">
        <v>872</v>
      </c>
      <c r="S224">
        <v>19.377777777777801</v>
      </c>
      <c r="T224">
        <v>19.377777777777801</v>
      </c>
      <c r="U224" t="s">
        <v>22</v>
      </c>
      <c r="V224" s="3" t="s">
        <v>27</v>
      </c>
      <c r="W224" t="str">
        <f t="shared" si="9"/>
        <v/>
      </c>
      <c r="X224" t="str">
        <f t="shared" si="10"/>
        <v/>
      </c>
      <c r="Y224" t="str">
        <f t="shared" si="11"/>
        <v/>
      </c>
    </row>
    <row r="225" spans="1:25" x14ac:dyDescent="0.25">
      <c r="A225">
        <v>224</v>
      </c>
      <c r="B225">
        <v>224</v>
      </c>
      <c r="C225" t="s">
        <v>464</v>
      </c>
      <c r="D225" t="s">
        <v>22</v>
      </c>
      <c r="E225" t="s">
        <v>23</v>
      </c>
      <c r="F225" t="s">
        <v>465</v>
      </c>
      <c r="G225" t="s">
        <v>51</v>
      </c>
      <c r="H225" t="s">
        <v>52</v>
      </c>
      <c r="I225" s="1">
        <v>42128</v>
      </c>
      <c r="J225" t="s">
        <v>464</v>
      </c>
      <c r="K225" t="s">
        <v>23</v>
      </c>
      <c r="L225">
        <v>55</v>
      </c>
      <c r="M225">
        <v>30</v>
      </c>
      <c r="N225">
        <v>1650</v>
      </c>
      <c r="O225">
        <v>220</v>
      </c>
      <c r="P225">
        <v>11.225</v>
      </c>
      <c r="Q225">
        <v>2245</v>
      </c>
      <c r="R225">
        <v>8980</v>
      </c>
      <c r="S225">
        <v>5.4424242424242397</v>
      </c>
      <c r="T225">
        <v>40.818181818181799</v>
      </c>
      <c r="U225" t="s">
        <v>22</v>
      </c>
      <c r="V225" s="3" t="s">
        <v>33</v>
      </c>
      <c r="W225" t="str">
        <f t="shared" si="9"/>
        <v/>
      </c>
      <c r="X225" t="str">
        <f t="shared" si="10"/>
        <v/>
      </c>
      <c r="Y225" t="str">
        <f t="shared" si="11"/>
        <v/>
      </c>
    </row>
    <row r="226" spans="1:25" x14ac:dyDescent="0.25">
      <c r="A226">
        <v>225</v>
      </c>
      <c r="B226">
        <v>225</v>
      </c>
      <c r="C226" t="s">
        <v>466</v>
      </c>
      <c r="D226" t="s">
        <v>22</v>
      </c>
      <c r="E226" t="s">
        <v>23</v>
      </c>
      <c r="F226" t="s">
        <v>467</v>
      </c>
      <c r="G226" t="s">
        <v>25</v>
      </c>
      <c r="H226" t="s">
        <v>26</v>
      </c>
      <c r="I226" s="1">
        <v>42130</v>
      </c>
      <c r="J226" t="s">
        <v>466</v>
      </c>
      <c r="K226" t="s">
        <v>23</v>
      </c>
      <c r="L226">
        <v>5</v>
      </c>
      <c r="M226">
        <v>5</v>
      </c>
      <c r="N226">
        <v>25</v>
      </c>
      <c r="O226">
        <v>25</v>
      </c>
      <c r="P226">
        <v>0.625</v>
      </c>
      <c r="Q226">
        <v>125</v>
      </c>
      <c r="R226">
        <v>500</v>
      </c>
      <c r="S226">
        <v>20</v>
      </c>
      <c r="T226">
        <v>20</v>
      </c>
      <c r="U226" t="s">
        <v>22</v>
      </c>
      <c r="V226" s="3" t="s">
        <v>33</v>
      </c>
      <c r="W226" t="str">
        <f t="shared" si="9"/>
        <v/>
      </c>
      <c r="X226" t="str">
        <f t="shared" si="10"/>
        <v/>
      </c>
      <c r="Y226" t="str">
        <f t="shared" si="11"/>
        <v/>
      </c>
    </row>
    <row r="227" spans="1:25" x14ac:dyDescent="0.25">
      <c r="A227">
        <v>226</v>
      </c>
      <c r="B227">
        <v>226</v>
      </c>
      <c r="C227" t="s">
        <v>468</v>
      </c>
      <c r="D227" t="s">
        <v>66</v>
      </c>
      <c r="E227" t="s">
        <v>36</v>
      </c>
      <c r="F227" t="s">
        <v>469</v>
      </c>
      <c r="G227" t="s">
        <v>25</v>
      </c>
      <c r="H227" t="s">
        <v>26</v>
      </c>
      <c r="I227" s="1">
        <v>42527</v>
      </c>
      <c r="J227" t="s">
        <v>468</v>
      </c>
      <c r="K227" t="s">
        <v>36</v>
      </c>
      <c r="L227">
        <v>0.25</v>
      </c>
      <c r="M227">
        <v>0.25</v>
      </c>
      <c r="N227">
        <v>6.25E-2</v>
      </c>
      <c r="O227">
        <v>0.25</v>
      </c>
      <c r="P227">
        <v>2.5000000000000001E-2</v>
      </c>
      <c r="Q227">
        <v>1</v>
      </c>
      <c r="R227">
        <v>40</v>
      </c>
      <c r="S227">
        <v>640</v>
      </c>
      <c r="T227">
        <v>160</v>
      </c>
      <c r="U227" t="s">
        <v>66</v>
      </c>
      <c r="V227" s="3" t="s">
        <v>112</v>
      </c>
      <c r="W227" t="str">
        <f t="shared" si="9"/>
        <v/>
      </c>
      <c r="X227" t="str">
        <f t="shared" si="10"/>
        <v/>
      </c>
      <c r="Y227" t="str">
        <f t="shared" si="11"/>
        <v/>
      </c>
    </row>
    <row r="228" spans="1:25" x14ac:dyDescent="0.25">
      <c r="A228">
        <v>227</v>
      </c>
      <c r="B228">
        <v>227</v>
      </c>
      <c r="C228" t="s">
        <v>470</v>
      </c>
      <c r="D228" t="s">
        <v>66</v>
      </c>
      <c r="E228" t="s">
        <v>36</v>
      </c>
      <c r="F228" t="s">
        <v>471</v>
      </c>
      <c r="G228" t="s">
        <v>25</v>
      </c>
      <c r="H228" t="s">
        <v>26</v>
      </c>
      <c r="I228" s="1">
        <v>42572</v>
      </c>
      <c r="J228" t="s">
        <v>470</v>
      </c>
      <c r="K228" t="s">
        <v>36</v>
      </c>
      <c r="L228">
        <v>4</v>
      </c>
      <c r="M228">
        <v>0.25</v>
      </c>
      <c r="N228">
        <v>1</v>
      </c>
      <c r="O228">
        <v>1</v>
      </c>
      <c r="P228">
        <v>0.1</v>
      </c>
      <c r="Q228">
        <v>4</v>
      </c>
      <c r="R228">
        <v>200</v>
      </c>
      <c r="S228">
        <v>200</v>
      </c>
      <c r="T228">
        <v>200</v>
      </c>
      <c r="U228" t="s">
        <v>66</v>
      </c>
      <c r="V228" s="3" t="s">
        <v>112</v>
      </c>
      <c r="W228" t="str">
        <f t="shared" si="9"/>
        <v/>
      </c>
      <c r="X228" t="str">
        <f t="shared" si="10"/>
        <v/>
      </c>
      <c r="Y228" t="str">
        <f t="shared" si="11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plantings_v0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DOWTY, PETER (DNR)</cp:lastModifiedBy>
  <dcterms:created xsi:type="dcterms:W3CDTF">2026-05-22T21:48:25Z</dcterms:created>
  <dcterms:modified xsi:type="dcterms:W3CDTF">2026-05-22T23:12:31Z</dcterms:modified>
</cp:coreProperties>
</file>