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stateofwa-my.sharepoint.com/personal/peter_dowty_dnr_wa_gov/Documents/projects/seagrass_restoration_data_2026/output_tables/"/>
    </mc:Choice>
  </mc:AlternateContent>
  <xr:revisionPtr revIDLastSave="116" documentId="8_{EB6844CB-B00B-C149-BA62-3D755AB65A66}" xr6:coauthVersionLast="47" xr6:coauthVersionMax="47" xr10:uidLastSave="{5F542F39-928D-490B-BC11-7B66EA9BEAB9}"/>
  <bookViews>
    <workbookView xWindow="30" yWindow="90" windowWidth="28635" windowHeight="15390" xr2:uid="{90356A2A-0026-ED48-B849-0DEEBCDB8670}"/>
  </bookViews>
  <sheets>
    <sheet name="p_gps_pts1_groupn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3" i="1" l="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 i="1"/>
</calcChain>
</file>

<file path=xl/sharedStrings.xml><?xml version="1.0" encoding="utf-8"?>
<sst xmlns="http://schemas.openxmlformats.org/spreadsheetml/2006/main" count="5513" uniqueCount="719">
  <si>
    <t>site_location</t>
  </si>
  <si>
    <t>site_name</t>
  </si>
  <si>
    <t>planting_location_code</t>
  </si>
  <si>
    <t>planting_relationships</t>
  </si>
  <si>
    <t>year</t>
  </si>
  <si>
    <t>historical_presence_source</t>
  </si>
  <si>
    <t>planting_geometry</t>
  </si>
  <si>
    <t>water_body</t>
  </si>
  <si>
    <t>svmp_region</t>
  </si>
  <si>
    <t>activity_type</t>
  </si>
  <si>
    <t>activity_filter</t>
  </si>
  <si>
    <t>planting_date</t>
  </si>
  <si>
    <t>latitude</t>
  </si>
  <si>
    <t>longitude</t>
  </si>
  <si>
    <t>retain_drop</t>
  </si>
  <si>
    <t>datum</t>
  </si>
  <si>
    <t>elevation_m_MLLW</t>
  </si>
  <si>
    <t>planting_method</t>
  </si>
  <si>
    <t>parallel_length_m</t>
  </si>
  <si>
    <t>perpendicular_length_m</t>
  </si>
  <si>
    <t>plot_area_m2</t>
  </si>
  <si>
    <t>planted_area_m2</t>
  </si>
  <si>
    <t>effective_area_planted_m2</t>
  </si>
  <si>
    <t>number_planting_units</t>
  </si>
  <si>
    <t>number_shoots</t>
  </si>
  <si>
    <t>plot_shoot_density_m2</t>
  </si>
  <si>
    <t>planted_area_shoot_density_m2</t>
  </si>
  <si>
    <t>donor_site_name</t>
  </si>
  <si>
    <t>notes</t>
  </si>
  <si>
    <t>subproj_code</t>
  </si>
  <si>
    <t>group_no</t>
  </si>
  <si>
    <t>Anderson Island</t>
  </si>
  <si>
    <t>Amsterdam Bay - PNNL - shallow - test - 2013</t>
  </si>
  <si>
    <t>AMS_shallow</t>
  </si>
  <si>
    <t>single</t>
  </si>
  <si>
    <t>Thom, RM, and L Hallum. 1990. Long‚Äêterm changes in the areal extent of tidal marshes, eelgrass meadows, and kelp forests of Puget Sound. FRI‚ÄêUW‚Äê9008, Fisheries Research Institute, School of Fisheries, University of Washington, Seattle. Pp. 110.</t>
  </si>
  <si>
    <t>point</t>
  </si>
  <si>
    <t>Drayton Passage</t>
  </si>
  <si>
    <t>CPS</t>
  </si>
  <si>
    <t>test</t>
  </si>
  <si>
    <t>retain</t>
  </si>
  <si>
    <t>WGS84</t>
  </si>
  <si>
    <t>staple</t>
  </si>
  <si>
    <t>Thompson Cove</t>
  </si>
  <si>
    <t>NA</t>
  </si>
  <si>
    <t>twentypc__WDFW__PNNL</t>
  </si>
  <si>
    <t>Amsterdam Bay - PNNL - deep - test - 2013</t>
  </si>
  <si>
    <t>AMS_deep</t>
  </si>
  <si>
    <t>Anderson Island West - PNNL - test - 2015</t>
  </si>
  <si>
    <t>AND_west1</t>
  </si>
  <si>
    <t>Ketron Island</t>
  </si>
  <si>
    <t>zos_rest_ps__DNR__PNNL</t>
  </si>
  <si>
    <t>Anderson Island West - PNNL - test - 2016</t>
  </si>
  <si>
    <t>AND_west2</t>
  </si>
  <si>
    <t>Nisqually Reach</t>
  </si>
  <si>
    <t>rebar</t>
  </si>
  <si>
    <t>Sandy Point</t>
  </si>
  <si>
    <t>zos_rest_3_deltas__USACE__PNNL</t>
  </si>
  <si>
    <t>Anderson Island South - PNNL - test - 2016</t>
  </si>
  <si>
    <t>AND_south1</t>
  </si>
  <si>
    <t>Also known as Gaeckle 3</t>
  </si>
  <si>
    <t>Anderson Island West - North - south - HC - test - 2017</t>
  </si>
  <si>
    <t>AND_west_L1</t>
  </si>
  <si>
    <t>line</t>
  </si>
  <si>
    <t>turf</t>
  </si>
  <si>
    <t>Rocky Bay</t>
  </si>
  <si>
    <t>Referred to as 'Anderson Island West 1' in final report. Turfs plant 5-15 shoots per staple (X= ~10 shoots/staple). Estimated number of PUs at test-transplant site as 869/10 = 87.</t>
  </si>
  <si>
    <t>zos_rest_ps__WDFW__Hart Crowser</t>
  </si>
  <si>
    <t>Anderson Island West - North - north - HC - test - 2017</t>
  </si>
  <si>
    <t>--</t>
  </si>
  <si>
    <t>Anderson Island West - South - south - HC - test - 2017</t>
  </si>
  <si>
    <t>AND_south_L1</t>
  </si>
  <si>
    <t>Referred to as 'Anderson Island West 2' in final report. Turfs plant 5-15 shoots per staple (X= ~10 shoots/staple). Estimated number of PUs at test-transplant site as 869/10 = 87.</t>
  </si>
  <si>
    <t>Anderson Island West - South - north - HC - test - 2017</t>
  </si>
  <si>
    <t>Anderson Island South 1 - west - HC - large - 2017</t>
  </si>
  <si>
    <t>AND_south_L2</t>
  </si>
  <si>
    <t>polygon</t>
  </si>
  <si>
    <t>large scale</t>
  </si>
  <si>
    <t>large scale area of 40 m X 4 m (160 m2). Planted with plants from Rocky Bay. Turfs plant 5-15 shoots per staple (X= ~10 shoots/staple). Estimated number of PUs at test-transplant site as 20500/10 = 2050.</t>
  </si>
  <si>
    <t>Anderson Island South 1 - east - HC - large - 2017</t>
  </si>
  <si>
    <t>Anderson Island South 2 - west - HC - large - 2017</t>
  </si>
  <si>
    <t>AND_south_L3</t>
  </si>
  <si>
    <t>large scale area of 40 m X 4 m (160 m2). Planted with plants from Rocky Bay. Planted with plants from Rocky Bay. Turfs plant 5-15 shoots per staple (X= ~10 shoots/staple). Estimated number of PUs at test-transplant site as 24,830/10 = 2483.</t>
  </si>
  <si>
    <t>Anderson Island South 2 - east - HC - large - 2017</t>
  </si>
  <si>
    <t>Anderson Island South 3 - east - PNNL - large - 2017</t>
  </si>
  <si>
    <t>AND_south_L4</t>
  </si>
  <si>
    <t>Site also known as Gaeckle 3, base line runs 320¬∞</t>
  </si>
  <si>
    <t>Amsterdam Bay - PNNL - deeper - test - 2020</t>
  </si>
  <si>
    <t>AMS_deeper</t>
  </si>
  <si>
    <t>180 deg az, sandy with gravel some wispy ulva</t>
  </si>
  <si>
    <t>zos_rec_ps__USACE__PNNL</t>
  </si>
  <si>
    <t>Anderson Island West - PNNL - test - 2020</t>
  </si>
  <si>
    <t>AND_west3</t>
  </si>
  <si>
    <t>180deg az, sandy with little bit of ulva</t>
  </si>
  <si>
    <t>Anderson Island Northwest - PNNL - test - 2020</t>
  </si>
  <si>
    <t>AND_nw1</t>
  </si>
  <si>
    <t>170deg az, sandy with non-attached ulva</t>
  </si>
  <si>
    <t>Anderson Island South 1 - west - test - 2021</t>
  </si>
  <si>
    <t>AND_west4</t>
  </si>
  <si>
    <t>DuPont Wharf</t>
  </si>
  <si>
    <t>unaffiliated__unspecified__unspecified</t>
  </si>
  <si>
    <t>Anderson Island South 2 - west - test - 2021</t>
  </si>
  <si>
    <t>AND_west5</t>
  </si>
  <si>
    <t>Anderson Island South 3 - west - test - 2021</t>
  </si>
  <si>
    <t>AND_west6</t>
  </si>
  <si>
    <t>Anderson Island - Carlson Bay SE - DNR - test 1 - 2023</t>
  </si>
  <si>
    <t>AND_se1</t>
  </si>
  <si>
    <t>Case Inlet</t>
  </si>
  <si>
    <t>Blind Bay</t>
  </si>
  <si>
    <t>Blind Bay - DNR - test - 2020</t>
  </si>
  <si>
    <t>BB_test_1</t>
  </si>
  <si>
    <t>SVMP</t>
  </si>
  <si>
    <t>SJS</t>
  </si>
  <si>
    <t>Dumas Bay</t>
  </si>
  <si>
    <t>GPS marks the 0 m helical anchor. Another helical is set at 14 m (48.57810 -122.94094). Planting started at 2 m and ended at 10 m to keep transplants 2 m away from helicals at the end of the 14 m transect. Eelgrass harvested from the Shannon Point Marine Center mesocosms on 31 Jul 2020.</t>
  </si>
  <si>
    <t>zos_rec_sji__DNR__unspecified</t>
  </si>
  <si>
    <t>Fay Bainbridge</t>
  </si>
  <si>
    <t>Henry Island</t>
  </si>
  <si>
    <t>GPS marks the 0 m helical anchor. Another helical is set at 14 m (48.57810 -122.94094). Planting started at 2 m and ended at 10 m to keep transplants 2 m away from helicals at the end of the 14 m transect. Eelgrass harvested from the Pacific Northwest National Laboratory mesocosms on 31 July 2020.</t>
  </si>
  <si>
    <t>Ship Harbor</t>
  </si>
  <si>
    <t>Mixed</t>
  </si>
  <si>
    <t>Chico Bay</t>
  </si>
  <si>
    <t>Chico Bay - PNNL - test - 2015</t>
  </si>
  <si>
    <t>CHC</t>
  </si>
  <si>
    <t>Dyes Inlet</t>
  </si>
  <si>
    <t>Creosote Point</t>
  </si>
  <si>
    <t>Commencement Bay</t>
  </si>
  <si>
    <t>Commencement Bay - PNNL - Test Plot shallow - 2017</t>
  </si>
  <si>
    <t>COM_shallow</t>
  </si>
  <si>
    <t>zos_rec_ps__USFWS__PNNL</t>
  </si>
  <si>
    <t>Commencement Bay - PNNL - Test Plot deep - 2017</t>
  </si>
  <si>
    <t>COM_deep</t>
  </si>
  <si>
    <t>Commencement Bay - PNNL - large - 2018</t>
  </si>
  <si>
    <t>COM_L1</t>
  </si>
  <si>
    <t>Planting occurred near 2 test plots so planting was irregular to not overlap with the test plots. See planting diagram</t>
  </si>
  <si>
    <t>Commencement Bay - PNNL - large - 2019</t>
  </si>
  <si>
    <t>COM_L2</t>
  </si>
  <si>
    <t>planted 5m on each side of baseline, 10m total width, starting @1m planted 4 rows 0.5m apart, skip 1.5m, repeat. Exceptions: 1 row planted inshore at 3m, offshore rows 8.5m-17.5m 2.5m long, 10m offshore row = 50shoots/rebar, 10.5m-11.5m offshore row = 35shoots/rebar. 300 extra shoots not included in total (column AD)</t>
  </si>
  <si>
    <t>Delano Beach</t>
  </si>
  <si>
    <t>Delano Beach - PNNL - test - 2015</t>
  </si>
  <si>
    <t>DEL_1</t>
  </si>
  <si>
    <t>initial</t>
  </si>
  <si>
    <t>Carr Inlet</t>
  </si>
  <si>
    <t>"mega"-bundles were planted with 260 shoots on 26 staples outside of the plot and just south</t>
  </si>
  <si>
    <t>Delano W T1 - HC - test - 2016</t>
  </si>
  <si>
    <t>DEL_L1</t>
  </si>
  <si>
    <t>burlap</t>
  </si>
  <si>
    <t>Cutts Island</t>
  </si>
  <si>
    <t>transect line that includes 3 test plots</t>
  </si>
  <si>
    <t>Delano W T2 - HC - test - 2016</t>
  </si>
  <si>
    <t>Delano Beach - SE - HC - large - 2016</t>
  </si>
  <si>
    <t>DEL_P1</t>
  </si>
  <si>
    <t>Delano Beach - SW - HC - large - 2016</t>
  </si>
  <si>
    <t>Delano Beach - NE - HC - large - 2016</t>
  </si>
  <si>
    <t>Delano Beach - NW - HC - large - 2016</t>
  </si>
  <si>
    <t>Delano Beach East - north - HC - test - 2017</t>
  </si>
  <si>
    <t>DEL_3</t>
  </si>
  <si>
    <t>Referred to as 'South Head 1' in final report. Turfs plant 5-15 shoots per staple (X= ~7 shoots/staple because donor site was Cutts Island with larger Zm than Rocky Bay). Estimated number of PUs at test-transplant site as 1172/7 = 167.</t>
  </si>
  <si>
    <t>Delano Beach East - south - HC - test - 2017</t>
  </si>
  <si>
    <t>DEL_2</t>
  </si>
  <si>
    <t>Referred to as 'South Head 2' in final report. Turfs plant 5-15 shoots per staple (X= ~7 shoots/staple because donor site was Cutts Island with larger Zm than Rocky Bay). Estimated number of PUs at test-transplant site as 1015/7 = 145.</t>
  </si>
  <si>
    <t>Delano Beach - PNNL - test - enhancement</t>
  </si>
  <si>
    <t>repeat</t>
  </si>
  <si>
    <t>transplanted 4, 0.25 m2 patches. 3 patches had 3, 50 cm lengths of rebar each with 25 shoots while 1 patch had 2, 50 cm lengths of rebar each with 25 shoots.</t>
  </si>
  <si>
    <t>dnr__DNR__unspecified</t>
  </si>
  <si>
    <t>Delano Beach East - north - HC - test - enhancement</t>
  </si>
  <si>
    <t>transplanted 3, 0.25 m2 patch with 3, 50 cm lengths of rebar each with 25 shoots near north buoy</t>
  </si>
  <si>
    <t>Delano Beach East - PNNL - test - 2020</t>
  </si>
  <si>
    <t>DEL_east_1</t>
  </si>
  <si>
    <t>180deg az, sandy with shell hash, some ulva with sand on it and chaetomorpha, firm bottom</t>
  </si>
  <si>
    <t>Delano Beach West - PNNL - test - 2020</t>
  </si>
  <si>
    <t>DEL_west_1</t>
  </si>
  <si>
    <t>270deg az, sandy with patches of ulva and other "green stuff"</t>
  </si>
  <si>
    <t>Delano Beach West - PNNL - large - 2021</t>
  </si>
  <si>
    <t>DEL_L</t>
  </si>
  <si>
    <t>Green Point</t>
  </si>
  <si>
    <t>Delano Beach West - DNR - shallow - test - 2021</t>
  </si>
  <si>
    <t>DEL_west_shallow_1</t>
  </si>
  <si>
    <t>Delano Beach West - DNR - deep - test - 2021</t>
  </si>
  <si>
    <t>DEL_west_deep_1</t>
  </si>
  <si>
    <t>Dumas Bay - KC Zm Restoration - test - 2020</t>
  </si>
  <si>
    <t>DB_test_1</t>
  </si>
  <si>
    <t>East Passage</t>
  </si>
  <si>
    <t>eelgrass harvested from area between Transects B and C at the Dumas Bay SeagrassNet site (WA50.1)</t>
  </si>
  <si>
    <t>kingco__KingCounty__unspecified</t>
  </si>
  <si>
    <t>Dumas Bay - KC Zm Restoration - test - 2021</t>
  </si>
  <si>
    <t>DB_test_2</t>
  </si>
  <si>
    <t>2020 test transplants were present so decided to add to the site. Eelgrass harvested from area between Transects B and C at the Dumas Bay SeagrassNet site (WA50.1)</t>
  </si>
  <si>
    <t>Planted on plot southwest of light sensor location, then one deeper from there and one plot shallower from there</t>
  </si>
  <si>
    <t>Planted on plot ENE of light sensor location. 3 plots of 3 rebar planted at 5m, 6m and 7m ENE of light sensor</t>
  </si>
  <si>
    <t>planted in parallel groups of 3 in line with transplants from May. One row set 1 m further offshore than the shallow row.</t>
  </si>
  <si>
    <t>Dumas Bay - KC Zm Restoration - test 2 - 2022</t>
  </si>
  <si>
    <t>DB_test_6</t>
  </si>
  <si>
    <t>set helical anchor 20 m NE of light sensor. From that point, measure out 20 m and planted a 0.25 m2 checkboard along the tape starting at 2 m to 7 m, then again at 12 m to 17 m. Checkerboard pattern layout as follows: 2-2.5 m nearshore planting, 2.5-3 m offshore planting, 3-3.5 nearshore planting, etc.</t>
  </si>
  <si>
    <t>Dumas Bay - KC Zm Restoration - test 1 - 2022</t>
  </si>
  <si>
    <t>DB_test_7</t>
  </si>
  <si>
    <t>planted 20 rebar (6, 0.25 m2 plots + 2 rebar) parallel to shore and deeper than 2021 test transplants from 05/26/2021.</t>
  </si>
  <si>
    <t>Eld Inlet</t>
  </si>
  <si>
    <t>Eld Inlet - shallow - PNNL - test - 2015</t>
  </si>
  <si>
    <t>ELD_shallow</t>
  </si>
  <si>
    <t>SPS</t>
  </si>
  <si>
    <t>Windy Bluff</t>
  </si>
  <si>
    <t>"mega"-bundles were planted with 260 shoots on 26 staples outside of the plot 1 m west of the shallow plot</t>
  </si>
  <si>
    <t>Eld Inlet - deep - PNNL - test - 2015</t>
  </si>
  <si>
    <t>ELD_deep</t>
  </si>
  <si>
    <t>"mega"-bundles were planted nearby, see Eld Inlet shallow</t>
  </si>
  <si>
    <t>Eld Inlet - PNNL - test - 2020</t>
  </si>
  <si>
    <t>ELD</t>
  </si>
  <si>
    <t>160deg az, mixed fines, soft, no algae</t>
  </si>
  <si>
    <t>Elwha Delta</t>
  </si>
  <si>
    <t>Elwha Delta - deep west - PNNL - test - 2016</t>
  </si>
  <si>
    <t>ELW_deep_west</t>
  </si>
  <si>
    <t>Freshwater Bay</t>
  </si>
  <si>
    <t>Elwha Delta - shallow west - PNNL - test - 2016</t>
  </si>
  <si>
    <t>ELW_shallow_west</t>
  </si>
  <si>
    <t>Fudge Point</t>
  </si>
  <si>
    <t>Fudge Point South - north - DNR - rebar test - 2017</t>
  </si>
  <si>
    <t>FDG_1</t>
  </si>
  <si>
    <t>Fudge Point South - south - HC - test - 2017</t>
  </si>
  <si>
    <t>FDG_L1</t>
  </si>
  <si>
    <t>Referred to as 'Fudge Point 2' in final report. Turfs plant 5-15 shoots per staple (X= ~10 shoots/staple b/c donor site was Rocky Bay). Estimated number of PUs at test-transplant site as 1056/10 = 105</t>
  </si>
  <si>
    <t>Fudge Point South - north - HC test - 2017</t>
  </si>
  <si>
    <t>Fudge Point North - south - HC - test - 2017</t>
  </si>
  <si>
    <t>FDG_L2</t>
  </si>
  <si>
    <t>Referred to as 'Fudge Point 1' in final report. Turfs plant 5-15 shoots per staple (X= ~10 shoots/staple b/c donor site was Rocky Bay). Estimated number of PUs at test-transplant site as 1160/10 = 116</t>
  </si>
  <si>
    <t>Fudge Point North - north - HC - test - 2017</t>
  </si>
  <si>
    <t>Fudge Point South - south - HC - test - 2018</t>
  </si>
  <si>
    <t>Same location as 2017 Fudge Point test transplant sites, just different donor plants. Screw anchor at 0 and 10 m, planted at 1, 5, and 9 meters between screw anchor</t>
  </si>
  <si>
    <t>Fudge Point South - north - HC test - 2018</t>
  </si>
  <si>
    <t>Fudge Point North - south - HC - test - 2018</t>
  </si>
  <si>
    <t>Fudge Point North - north - HC - test - 2018</t>
  </si>
  <si>
    <t>Graham Point</t>
  </si>
  <si>
    <t>Graham Point - PNNL - test - 2015</t>
  </si>
  <si>
    <t>GRA_1</t>
  </si>
  <si>
    <t>Pickering Passage</t>
  </si>
  <si>
    <t>planting depths on slope depth range of -1.2m, MLLW to -2.1m, MLLW</t>
  </si>
  <si>
    <t>Graham Point - DNR - test - chia -2016</t>
  </si>
  <si>
    <t>GRA_2</t>
  </si>
  <si>
    <t>drop</t>
  </si>
  <si>
    <t>planted 0.0625 m2 rebar quads at 0 m, -0.2 m, -0.3 m &amp; -0.4 m (4 total 0.0625 m2 quads). Planted slightly shallower than 2015 test plots.</t>
  </si>
  <si>
    <t>Harstine Island</t>
  </si>
  <si>
    <t>Harstine Island - PNNL - Test Plot 2 of 4 (north plot) - 2017</t>
  </si>
  <si>
    <t>HAR_2</t>
  </si>
  <si>
    <t>S screw anchor for test plot</t>
  </si>
  <si>
    <t>Harstine Island - PNNL - Test Plot 3 of 4 (south plot) - 2017</t>
  </si>
  <si>
    <t>HAR_3</t>
  </si>
  <si>
    <t>Harstine Island - PNNL - Test Plot 4 of 4 (south of south plot) staples - 2017</t>
  </si>
  <si>
    <t>HAR_4</t>
  </si>
  <si>
    <t>side by side plantings using 2 methods</t>
  </si>
  <si>
    <t>Harstine Island - PNNL - Test Plot 4 of 4 (south of south plot) rebar - 2017</t>
  </si>
  <si>
    <t>Harstine Island - PNNL - Test Plot 1 of 4 (north of north plot) - 2017</t>
  </si>
  <si>
    <t>HAR_1</t>
  </si>
  <si>
    <t>Harstine - PNNL - Large Scale 1 - north (deep)¬†- 2018</t>
  </si>
  <si>
    <t>HAR_deep_L1</t>
  </si>
  <si>
    <t>Rocky Point</t>
  </si>
  <si>
    <t>base line runs 30¬∞M; 25 shoots/rebar; 552 rebar planted on the offshore side of the base line, see planting diagram, offshore transect</t>
  </si>
  <si>
    <t>Harstine - PNNL - Large Scale 1 - south (shallow) - 2018</t>
  </si>
  <si>
    <t>HAR_shallow_L1</t>
  </si>
  <si>
    <t>0 m screw anchor (also N screw anchor of 2017 test plot 3), baseline runs 15¬∞M, planting started at 3m, second screw anchor placed 40m from the first but planting stopped at 31m. Planted in blocks of 4 rows perpendicular to the baseline; each row seperated by 0.5 m and each block seperated by 1.5 m. Rows extended 5 m perpendicular to baseline.</t>
  </si>
  <si>
    <t>40 m screw anchor for baseline, but planting stopped at 31 m</t>
  </si>
  <si>
    <t>Harstine Island - PNNL - Large Scale 2 - shallow - 2019</t>
  </si>
  <si>
    <t>HAR_shallow_L2</t>
  </si>
  <si>
    <t>Anderson Island, Windy Bluff</t>
  </si>
  <si>
    <t>0 m screw anchor (also N screw anchor for 2017 test plot 2), baseline runs at 60¬∞M 40 m to screw anchor and extends to the south 240¬∞M 7 m (no screw anchor). Planted started at 1 m and extended to 31 m to the north and from -3 to -6.5 m along baseline to south. Planted offshore of baseline in blocks of 4 rows perpendicular to the baseline; each row seperated by 0.5 m and each block seperated by 1.5 m; 5m off baseline planted with Windy Bluff plants (from -6.5 to -3m and 1 to 31 m along baseline), 5m - 6m off baseline planted with Anderson Island plants (from -6.5 m to -3 m and 1 to 21 m along baseline). N end of baseline had more Ulva and seemed less favorable for planting so baseline was extended to the south instead.</t>
  </si>
  <si>
    <t>40 m screw anchor, but planting stopped at 31 m.</t>
  </si>
  <si>
    <t>Harstine Island - PNNL - Large Scale 3 - shallow - 2020</t>
  </si>
  <si>
    <t>HAR_shallow_L3</t>
  </si>
  <si>
    <t>0 m screw anchor; baseline runs 5¬∞M, planting started at 2 m and planted to 32 m in blocks of 4 rows perpendicular to the baseline; each row seperated by 0.5 m and each block seperated by 1.5 m. Planted offshore of baseline;  5m off baseline planted with Windy Bluff plants. 5m - 6m off baseline planted with Anderson Island plants. Last 3 rows (31-32) all Anderson Island plants.</t>
  </si>
  <si>
    <t>40 m screw anchor, but planting stopped at 32 m.</t>
  </si>
  <si>
    <t>Harstine Island - PNNL - Test Plot 5 (north of north plot) rebar shallow- 2020</t>
  </si>
  <si>
    <t>HAR_5</t>
  </si>
  <si>
    <t>330 deg az, substrate is bare sand, little more current at this site on a rising tide, substrate is more course and sand is not sticky</t>
  </si>
  <si>
    <t>Harstine Island - PNNL - Test Plot 6 (south of south plot) rebar shallow - 2020</t>
  </si>
  <si>
    <t>HAR_6</t>
  </si>
  <si>
    <t>15deg azimuth, offshore depth 11ft dive computer,</t>
  </si>
  <si>
    <t>Herron Island</t>
  </si>
  <si>
    <t>Herron Island - PNNL - test - 2015</t>
  </si>
  <si>
    <t>HRI</t>
  </si>
  <si>
    <t>"mega"-bundles were planted with 260 shoots on 26 staples outside of the plot and south</t>
  </si>
  <si>
    <t>Hunter Point</t>
  </si>
  <si>
    <t>Edgewater - south - PNNL - test - 2015</t>
  </si>
  <si>
    <t>HPT_south_1</t>
  </si>
  <si>
    <t>SW corner of plot</t>
  </si>
  <si>
    <t>Edgewater - north - PNNL - test - 2015</t>
  </si>
  <si>
    <t>HPT_north_2</t>
  </si>
  <si>
    <t>SW corner of plot, depth taken at NE corner of plot</t>
  </si>
  <si>
    <t>Edgewater - south - PNNL - test - deep - 2020</t>
  </si>
  <si>
    <t>HPT_south_2</t>
  </si>
  <si>
    <t>10deg az, course and compacted sand with lots of fines, lots of algae but still lots of sand visible</t>
  </si>
  <si>
    <t>Edgewater - north - PNNL - test - deep - 2020</t>
  </si>
  <si>
    <t>4 extra rebar planted at this site, 60 deg az, mixed fines fairly compact some kelp but can see mostly sand, baseline 14' offshore 15'</t>
  </si>
  <si>
    <t>Joemma Beach State Park</t>
  </si>
  <si>
    <t>Joemma Beach State Park Mid - PNNL - shallow - test - 2013</t>
  </si>
  <si>
    <t>JSP_mid_shallow</t>
  </si>
  <si>
    <t>Windy Bluff/Thompson Cove</t>
  </si>
  <si>
    <t>Plants from two donor sites were tested at Joemma Beach State Park. Helical removed from test plot on 7 June 2016.</t>
  </si>
  <si>
    <t>Joemma Beach State Park Mid - PNNL - deep - test - 2013</t>
  </si>
  <si>
    <t>JSP_mid_deep</t>
  </si>
  <si>
    <t>Plants from two donor sites were tested at Joemma State Park</t>
  </si>
  <si>
    <t>Joemma Beach State Park Mid South - W - PNNL - large - 2015</t>
  </si>
  <si>
    <t>JSP_mid_south_P1</t>
  </si>
  <si>
    <t>Windy Bluff and Thompson Cove</t>
  </si>
  <si>
    <t>north corner, south plot. Most offshore transect was all Thompson Cove plants, most onshore line was all Windy Bluff plants, south end of the plot was all Windy Bluff plants, north end of the plot was all Thompson Cove plants. See diagram.</t>
  </si>
  <si>
    <t>Joemma Beach State Park Mid South - N - PNNL - large - 2015</t>
  </si>
  <si>
    <t>east corner, south plot</t>
  </si>
  <si>
    <t>Joemma Beach State Park Mid South - E - PNNL - large - 2015</t>
  </si>
  <si>
    <t>south corner, south plot</t>
  </si>
  <si>
    <t>Joemma Beach State Park Mid South - S - PNNL - large - 2015</t>
  </si>
  <si>
    <t>west corner, south plot</t>
  </si>
  <si>
    <t>Joemma Beach State Park Mid North - NW - PNNL - large - 2015</t>
  </si>
  <si>
    <t>JSP_mid_north_P1</t>
  </si>
  <si>
    <t>NW corner, north plot, planted 2,900 extra shoots at north end of the 3 middle transects. Thompson Cove plants planted in the south 20m of the transects, Windy Bluff plants planted in the north 20m of the transects, and mix of plants from both donor sites planted in the middle 20m of the transects. See planting diagram.</t>
  </si>
  <si>
    <t>Joemma Beach State Park Mid North - NE - PNNL - large - 2015</t>
  </si>
  <si>
    <t>NE corner, north plot</t>
  </si>
  <si>
    <t>Joemma Beach State Park Mid North - SE - PNNL - large - 2015</t>
  </si>
  <si>
    <t>SE corner, north plot</t>
  </si>
  <si>
    <t>Joemma Beach State Park Mid North - SW - PNNL - large - 2015</t>
  </si>
  <si>
    <t>SW corner, north plot</t>
  </si>
  <si>
    <t>Joemma Beach State Park - southeast - PNNL - test - 2015</t>
  </si>
  <si>
    <t>JSP_southeast</t>
  </si>
  <si>
    <t>planned, site is between JSP and Taylor Bay</t>
  </si>
  <si>
    <t>Joemma Beach State Park North - north - HC - test - 2016</t>
  </si>
  <si>
    <t>JSP_north</t>
  </si>
  <si>
    <t>Joemma Beach State Park South - SE - HC - large 1 - 2016</t>
  </si>
  <si>
    <t>JSP_south_P1</t>
  </si>
  <si>
    <t>Joemma Beach State Park South - SW - HC - large 1 - 2016</t>
  </si>
  <si>
    <t>Joemma Beach State Park South - NE - HC - large 1 - 2016</t>
  </si>
  <si>
    <t>Joemma Beach State Park South - NW - HC - large 1 - 2016</t>
  </si>
  <si>
    <t>Joemma Beach State Park - Mid - chia - 2016</t>
  </si>
  <si>
    <t>JSP_chia_1</t>
  </si>
  <si>
    <t>Planted 9, rebar quads (0.0625 m2) at the south end of Transect 3 at Joemma Beach State Park Mid South - PNNL - large - 2015.</t>
  </si>
  <si>
    <t>Joemma Beach State Park North - south - HC - test 1 - 2017</t>
  </si>
  <si>
    <t>JSP_north_L1</t>
  </si>
  <si>
    <t>Referred to as 'Joemma Beach State Park 1' in final report. Turfs plant 5-15 shoots per staple (X= ~10 shoots/staple b/c donor site was Rocky Bay). Estimated number of PUs at test-transplant site as 1042/10 = 104</t>
  </si>
  <si>
    <t>Joemma Beach State Park North - north - HC - test 1 - 2017</t>
  </si>
  <si>
    <t>Joemma Beach State Park North - south - HC - test 2 - 2017</t>
  </si>
  <si>
    <t>JSP_north_L2</t>
  </si>
  <si>
    <t>Referred to as 'Joemma Beach State Park 2' in final report. Turfs plant 5-15 shoots per staple (X= ~10 shoots/staple b/c donor site was Rocky Bay). Estimated number of PUs at test-transplant site as 1052/10 = 105</t>
  </si>
  <si>
    <t>Joemma Beach State Park North - north - HC - test 2 - 2017</t>
  </si>
  <si>
    <t>Joemma Beach State Park South - SE - HC - large 2 - 2017</t>
  </si>
  <si>
    <t>JSP_south_P2</t>
  </si>
  <si>
    <t>Referred to as 'Joemma Beach State Park 2' (large-scale site) in final report. Turfs plant 5-15 shoots per staple (X= ~7 shoots/staple b/c donor site was Cutts Island). Estimated number of PUs at test-transplant site as 16570/7 = 2367</t>
  </si>
  <si>
    <t>Joemma Beach State Park South - SW - HC - large 2 - 2017</t>
  </si>
  <si>
    <t>don't have gps coordinates</t>
  </si>
  <si>
    <t>Joemma Beach State Park South - NE - HC - large 2 - 2017</t>
  </si>
  <si>
    <t>Joemma Beach State Park South - NW - HC - large 2 - 2017</t>
  </si>
  <si>
    <t>Joemma Beach State Park South - SE - HC - large 3 - 2017</t>
  </si>
  <si>
    <t>JSP_south_P3</t>
  </si>
  <si>
    <t>Referred to as 'Joemma Beach State Park 4' (large-scale site) in final report. Turfs plant 5-15 shoots per staple (X= ~10 shoots/staple b/c donor site was Rocky Bay). Estimated number of PUs at test-transplant site as 11286/7 = 1612. Second half of site was planted with Rocky Bay plants (13448/10 shoots = 1344 PUs.)</t>
  </si>
  <si>
    <t>Joemma Beach State Park South - SW - HC - large 3 - 2017</t>
  </si>
  <si>
    <t>Joemma Beach State Park South - NE - HC - large 3 - 2017</t>
  </si>
  <si>
    <t>Joemma Beach State Park South - NW - HC - large 3 - 2017</t>
  </si>
  <si>
    <t>Joemma Beach State Park South - SE - HC - large 4 - 2017</t>
  </si>
  <si>
    <t>JSP_south_P4</t>
  </si>
  <si>
    <t>Referred to as 'Joemma Beach State Park 3' (large-scale site) in final report. Turfs plant 5-15 shoots per staple (X= ~7 shoots/staple b/c donor site was DuPont Wharf). Estimated number of PUs at test-transplant site as 26149/10 = 2615</t>
  </si>
  <si>
    <t>Joemma Beach State Park South - SW - HC - large 4 - 2017</t>
  </si>
  <si>
    <t>Joemma Beach State Park South - NE - HC - large 4 - 2017</t>
  </si>
  <si>
    <t>Joemma Beach State Park South - NW - HC - large 4 - 2017</t>
  </si>
  <si>
    <t>Joemma Beach State Park Mid - DNR - BESE - AG - 1 - 2017</t>
  </si>
  <si>
    <t>JSP_mid_AG1</t>
  </si>
  <si>
    <t>Biodegradable ecosystem engineering elements (BESE) for Marjolijn Christianen, Wageningen University &amp; Research, Netherlands. Overall area was 1 m2. Actual was 0.1 m2 (10 x 10 cm area in center of BESE. 3 planting units with 4 shoots each. DuPont Wharf shoots.</t>
  </si>
  <si>
    <t>bese__DNR__unspecified</t>
  </si>
  <si>
    <t>Joemma Beach State Park Mid - DNR - BESE - BG - 1 - 2017</t>
  </si>
  <si>
    <t>JSP_mid_BG1</t>
  </si>
  <si>
    <t>Joemma Beach State Park Mid - DNR - BESE - C - 1 - 2017</t>
  </si>
  <si>
    <t>JSP_mid_C1</t>
  </si>
  <si>
    <t>Joemma Beach State Park Mid - DNR - BESE - AG - 2 - 2017</t>
  </si>
  <si>
    <t>JSP_mid_AG2</t>
  </si>
  <si>
    <t>Joemma Beach State Park Mid - DNR - BESE - C - 2 - 2017</t>
  </si>
  <si>
    <t>JSP_mid_C2</t>
  </si>
  <si>
    <t>Joemma Beach State Park Mid - DNR - BESE - BG - 2 - 2017</t>
  </si>
  <si>
    <t>JSP_mid_BG2</t>
  </si>
  <si>
    <t>Joemma Beach State Park Mid - DNR - BESE - C - 3 - 2017</t>
  </si>
  <si>
    <t>JSP_mid_C3</t>
  </si>
  <si>
    <t>Joemma Beach State Park Mid - DNR - BESE - BG - 3 - 2017</t>
  </si>
  <si>
    <t>JSP_mid_BG3</t>
  </si>
  <si>
    <t>Joemma Beach State Park Mid - DNR - BESE - C - 4 - 2017</t>
  </si>
  <si>
    <t>JSP_mid_C4</t>
  </si>
  <si>
    <t>Joemma Beach State Park Mid - DNR - BESE - BG - 4 - 2017</t>
  </si>
  <si>
    <t>JSP_mid_BG4</t>
  </si>
  <si>
    <t>Joemma Beach State Park Mid - DNR - BESE - AG - 3 - 2017</t>
  </si>
  <si>
    <t>JSP_mid_AG3</t>
  </si>
  <si>
    <t>Joemma Beach State Park Mid - DNR - BESE - AG - 4 - 2017</t>
  </si>
  <si>
    <t>JSP_mid_AG4</t>
  </si>
  <si>
    <t>Joemma Beach State Park North - SE - DNR - methods - 2017</t>
  </si>
  <si>
    <t>JSP_north_P1</t>
  </si>
  <si>
    <t>overall area was 10 m x 4 m (40 m2), Actual area was 5 m2 (20, 0.25 m2 plots)</t>
  </si>
  <si>
    <t>zos_rest_methods__DNR__unspecified</t>
  </si>
  <si>
    <t>Joemma Beach State Park North - SW - DNR - methods - 2017</t>
  </si>
  <si>
    <t>washer</t>
  </si>
  <si>
    <t>Joemma Beach State Park North - NE - DNR - methods - 2017</t>
  </si>
  <si>
    <t>Joemma Beach State Park North - NW - DNR - methods - 2017</t>
  </si>
  <si>
    <t>Joemma Beach State Park Mid - SE - DNR - methods - 2017</t>
  </si>
  <si>
    <t>JSP_mid_P1</t>
  </si>
  <si>
    <t>Joemma Beach State Park Mid - SW - DNR - methods - 2017</t>
  </si>
  <si>
    <t>Joemma Beach State Park Mid - NE - DNR - methods - 2017</t>
  </si>
  <si>
    <t>Joemma Beach State Park Mid - NW - DNR - methods - 2017</t>
  </si>
  <si>
    <t>Joemma Beach State Park South - SE - DNR - methods - 2017</t>
  </si>
  <si>
    <t>JSP_south_P5</t>
  </si>
  <si>
    <t>Joemma Beach State Park South - SW - DNR - methods - 2017</t>
  </si>
  <si>
    <t>Joemma Beach State Park South - NE - DNR - methods - 2017</t>
  </si>
  <si>
    <t>Joemma Beach State Park South - NW - DNR - methods - 2017</t>
  </si>
  <si>
    <t>Joemma Beach State Park Mid South - PNNL - large - T4-5 - 2015</t>
  </si>
  <si>
    <t>JSP_mid_south_2</t>
  </si>
  <si>
    <t>4, 50 cm long rebar with 20 shoots attached to each placed between Transects 4 &amp; 5 of JBSP Mid South - PNNL - large - 2015, approximately 10 m from southern end of transects.</t>
  </si>
  <si>
    <t>4, 50 cm long rebar with 20 shoots attached to each placed between Transects 4 &amp; 5 of JBSP Mid South - PNNL - large - 2015. About 5 meters north of southern extent of Transects 4 &amp; 5.</t>
  </si>
  <si>
    <t>2, 50 cm long rebar with 20 shoots attached to each placed between Transects 4 &amp; 5 of JBSP Mid South - PNNL - large - 2015. Most southern extent of Transects 4 &amp; 5.</t>
  </si>
  <si>
    <t>2, 40 cm long burlap strips with 20 shoots attached to each placed between Transects 4 &amp; 5 of JBSP Mid South - PNNL - large - 2015. Most southern extent of Transects 4 &amp; 5.</t>
  </si>
  <si>
    <t>Joemma Beach State Park Mid - DNR - BESE v1 - 1 - Aboveground (AG)</t>
  </si>
  <si>
    <t>colocated</t>
  </si>
  <si>
    <t>BESE setup version 1 - setup was incorrect. Rather than removing all the eelgrass, it was left in place and new BESEs set just westward. 3 planting units with 4 shoots each. Dumas Bay shoots.</t>
  </si>
  <si>
    <t>Joemma Beach State Park Mid - DNR - BESE v1 - 1 - Belowground (BG)</t>
  </si>
  <si>
    <t>Joemma Beach State Park Mid - DNR - BESE v1 - 1 - Control ( C)</t>
  </si>
  <si>
    <t>Joemma Beach State Park Mid - DNR - BESE v1 - 2 - AG</t>
  </si>
  <si>
    <t>Joemma Beach State Park Mid - DNR - BESE v1 - 2 - C</t>
  </si>
  <si>
    <t>Joemma Beach State Park Mid - DNR - BESE v1 - 2 - BG</t>
  </si>
  <si>
    <t>Joemma Beach State Park Mid - DNR - BESE v1 - 3 - C</t>
  </si>
  <si>
    <t>Joemma Beach State Park Mid - DNR - BESE v1 - 3 - BG</t>
  </si>
  <si>
    <t>Joemma Beach State Park Mid - DNR - BESE v1 - 4 - C</t>
  </si>
  <si>
    <t>Joemma Beach State Park Mid - DNR - BESE v1 - 4 - BG</t>
  </si>
  <si>
    <t>Joemma Beach State Park Mid - DNR - BESE v1 - 3 - AG</t>
  </si>
  <si>
    <t>Joemma Beach State Park Mid - DNR - BESE v1 - 4 - AG</t>
  </si>
  <si>
    <t>4, 50 cm long rebar with 20 shoots attached to each placed between Transects 4 &amp; 5 of JBSP Mid South - PNNL - large - 2015, approximately 15 m from southern end of transects. These planting are in addition to 2017 plantings between Transects 4 &amp; 5.</t>
  </si>
  <si>
    <t>Joemma Beach State Park Mid South - PNNL - large - T3-4 - 2015</t>
  </si>
  <si>
    <t>JSP_mid_south_1</t>
  </si>
  <si>
    <t>3, 50 cm long rebar with 20 shoots attached to each placed between Transects 3 &amp; 4 of JBSP Mid South - PNNL - large - 2015. These plantings are new and between transects 3 &amp; 4.</t>
  </si>
  <si>
    <t>Joemma Beach State Park - Mid - Rebar 1 - 2018</t>
  </si>
  <si>
    <t>JSP_mid_1</t>
  </si>
  <si>
    <t>Southern most replicate. Transplanted 3, 50 cm long lengths of rebar with 21 shoots each in a 0.25 m2 area.  3 replicates total along a 16 m transect between the north and south points.</t>
  </si>
  <si>
    <t>Joemma Beach State Park - Mid - Puck 1 - 2018</t>
  </si>
  <si>
    <t>pucks</t>
  </si>
  <si>
    <t>Transplanted 9 ceramic pucks with 7 shoots per puck in a 0.25 m2 area. 3 replicates total along a 16 m transect between the north and south points.</t>
  </si>
  <si>
    <t>Joemma Beach State Park - Mid - Puck 2 - 2018</t>
  </si>
  <si>
    <t>JSP_mid_2</t>
  </si>
  <si>
    <t>Joemma Beach State Park - Mid - Rebar 2 - 2018</t>
  </si>
  <si>
    <t>Transplanted 3, 50 cm long lengths of rebar with 21 shoots each in a 0.25 m2 area.  3 replicates total along a 16 m transect between the north and south points.</t>
  </si>
  <si>
    <t>Joemma Beach State Park - Mid - Rebar 3 - 2018</t>
  </si>
  <si>
    <t>JSP_mid_3</t>
  </si>
  <si>
    <t>Transplanted 3, 50 cm long lengths of rebar with 21 shoots each in a 0.25 m2 area.  3 replicates total along a 16 m transect between the north and south points..</t>
  </si>
  <si>
    <t>Joemma Beach State Park - Mid - Puck 3 - 2018</t>
  </si>
  <si>
    <t>Northern most replicate. Transplanted 9 ceramic pucks with 7 shoots per puck in a 0.25 m2 area. 3 replicates total along a 16 m transect between the north and south points.</t>
  </si>
  <si>
    <t>Joemma Beach State Park - Mid - test - 2020</t>
  </si>
  <si>
    <t>JSP_mid_4</t>
  </si>
  <si>
    <t>Planted 4, 0.25 m2 plots of 3 rebar each with Dumas Bay Zm just shoreward of the 2018 Rebar-Puck transplants.</t>
  </si>
  <si>
    <t>Joemma Beach State Park South of South- PNNL - test - 2020</t>
  </si>
  <si>
    <t>WHB_test_1</t>
  </si>
  <si>
    <t>130deg az, sed sandy, wispy ulva, 15' depth baseline and 17' depth offshore at 1235, Whiskey Beach Ct SW is the nearest road so planting location is WHB_test_1</t>
  </si>
  <si>
    <t>Joemma Beach State Park - Mid - Rebar - 2021</t>
  </si>
  <si>
    <t>JSP_south_test</t>
  </si>
  <si>
    <t>Planted just south of Joemma Beach State Park South - SE - HC - large 1 - 2016.</t>
  </si>
  <si>
    <t>Joemma Beach State Park - Mid - Rebar - 2022</t>
  </si>
  <si>
    <t>JSP_mid_connect</t>
  </si>
  <si>
    <t>Planted north of Joemma Beach State Park - Mid - Rebar - 2021. 4 plots of 3 rebar to a small patch of Zm, then 1 plot of 3 rebar to connect with a patch of Zm from the Joemma Beach State Park South - SE - HC - large 1 - 2016 site for a total of 15 rebar over 5, 0.25 m2 plots.</t>
  </si>
  <si>
    <t>Joemma Beach State Park - Mid - offshore HC 2016 - Rebar - 2022</t>
  </si>
  <si>
    <t>HC_off_1</t>
  </si>
  <si>
    <t>Planted 6,  50 cm long rebar with 12 shoots from DuPont Wharf attached to each to form a 0.25 m2 patch just offshore of the HC 2016 large scale plot that planted Rocky Point eelgrass.</t>
  </si>
  <si>
    <t>Joemma Beach State Park - Mid - offshore HC 2016 - Rebar - 2025</t>
  </si>
  <si>
    <t>HC_off_2</t>
  </si>
  <si>
    <t>planted 32, 50 cm long rebar with ~20 shoots from DuPont Wharf attached to each length. 1 rebar was planted at 0.5 m and then every 0.5 m thereafter to reach 16.5 m along a tape between a helical to the south with a donut toggle and another helical at PNNL 2015 deep.</t>
  </si>
  <si>
    <t>Key Peninsula</t>
  </si>
  <si>
    <t>Dog Camp - PNNL - test - 2020</t>
  </si>
  <si>
    <t>KYP_dog1</t>
  </si>
  <si>
    <t>300 deg az, deep sand good current to keep algae away* this was at the slack tide</t>
  </si>
  <si>
    <t>Liberty Bay</t>
  </si>
  <si>
    <t>Liberty Bay East - PNNL - test - 2013</t>
  </si>
  <si>
    <t>LBT_east</t>
  </si>
  <si>
    <t>Sandy Hook</t>
  </si>
  <si>
    <t>Liberty Bay West - PNNL - test - 2013</t>
  </si>
  <si>
    <t>LBT_west</t>
  </si>
  <si>
    <t>McDermott Point</t>
  </si>
  <si>
    <t>McDermott Point South - south - HC - test - 2017</t>
  </si>
  <si>
    <t>MCD_south_L1</t>
  </si>
  <si>
    <t>Turfs plant 5-15 shoots per staple (X= ~10 shoots/staple b/c donor site was Rocky Bay). Estimated number of PUs at test-transplant site as 998/10 = 99. Referred to in report as McDermott Point 1.</t>
  </si>
  <si>
    <t>McDermott Point South - north - HC - test - 2017</t>
  </si>
  <si>
    <t>McDermott Point North - south - HC - test - 2017</t>
  </si>
  <si>
    <t>MCD_north_L1</t>
  </si>
  <si>
    <t>Turfs plant 5-15 shoots per staple (X= ~10 shoots/staple b/c donor site was Rocky Bay). Estimated number of PUs at test-transplant site as 994/10 = 99. Referred to in report as McDermott Point 1.</t>
  </si>
  <si>
    <t>McDermott Point North - north - HC - test - 2017</t>
  </si>
  <si>
    <t>McDermott Point - PNNL - test - 2020</t>
  </si>
  <si>
    <t>MCD_1</t>
  </si>
  <si>
    <t>200deg az , sandy with patchy ulva but not much, fist-sized pockmarks possibly bivalves</t>
  </si>
  <si>
    <t>McNeil Island</t>
  </si>
  <si>
    <t>McNeil Island - north - PNNL - test - 2015</t>
  </si>
  <si>
    <t>MCN_north</t>
  </si>
  <si>
    <t>South Shore -PNNL - test - 1 - (eastern most) - 2016</t>
  </si>
  <si>
    <t>MCN_south_1</t>
  </si>
  <si>
    <t>South Shore - PNNL - test - 2  - (middle) - 2016</t>
  </si>
  <si>
    <t>MCN_south_2</t>
  </si>
  <si>
    <t>South Shore - PNNL - test - 3  - (western most) - 2016</t>
  </si>
  <si>
    <t>MCN_south_3</t>
  </si>
  <si>
    <t>Still Harbor - PNNL - test - 1  - (southern most) - 2016</t>
  </si>
  <si>
    <t>MCN_still_1</t>
  </si>
  <si>
    <t>Still Harbor - PNNL - test - 2  - rebar (northern most) - 2016</t>
  </si>
  <si>
    <t>MCN_still_2</t>
  </si>
  <si>
    <t>side by side plantings using 2 methods.</t>
  </si>
  <si>
    <t>Still Harbor - PNNL - test - 2  - staple (northern most) - 2016</t>
  </si>
  <si>
    <t>McNeil Island North - PNNL - test - 1 - 2017</t>
  </si>
  <si>
    <t>MCN_north_2</t>
  </si>
  <si>
    <t>McNeil Island North - PNNL - test - 2 - 2017</t>
  </si>
  <si>
    <t>MCN_North_3</t>
  </si>
  <si>
    <t>McNeil Island South - mid plot - PNNL - large - 2017</t>
  </si>
  <si>
    <t>MCN_south_L2</t>
  </si>
  <si>
    <t>McNeil Island South - east plot - PNNL - large - 2017</t>
  </si>
  <si>
    <t>MCN_south_L1</t>
  </si>
  <si>
    <t>screw anchor at 0m and 16.5 m but only planted through 7.5m  because test plot not as successful as other test plots</t>
  </si>
  <si>
    <t>McNeil Island South - west plot - PNNL - large - 2017</t>
  </si>
  <si>
    <t>MCN_south_L3</t>
  </si>
  <si>
    <t>screw anchors at 0m and 25m</t>
  </si>
  <si>
    <t>Milwaukee Dock</t>
  </si>
  <si>
    <t>Milwaukee Dock southern depression - PNNL - test - anchor1 - 2017</t>
  </si>
  <si>
    <t>MIL_1</t>
  </si>
  <si>
    <t>Eagle Harbor</t>
  </si>
  <si>
    <t>Testing to see if rebar will hold better than failed staples at this site. See planting diagram</t>
  </si>
  <si>
    <t>Milwaukee Dock southern depression - PNNL - test - anchor3 - 2017</t>
  </si>
  <si>
    <t>MIL_3</t>
  </si>
  <si>
    <t>Myrtle Edwards</t>
  </si>
  <si>
    <t>Myrtle Edwards - DNR - test - DW - 2021</t>
  </si>
  <si>
    <t>MRE_1</t>
  </si>
  <si>
    <t>Elliott Bay</t>
  </si>
  <si>
    <t>planted 5, 0.25 m2 plots of 3 rebar each with DuPont Wharf Zm. 2 plots 1.4 m south of light sensor adjacent to 2 plots of Dumas Bay Zm. One plot shallow with the other plot deep. The other 3 plots were 1.4 m north of the light sensor. 2 plots parallel to shore at the same depth, with 1 plot adjacent but deeper to make an "L". Dumas Bay Zm test plots completed the 1 x 1 m2 plot and then a second Dumas Bay test plot was added shallow and adjacent to the 2 DuPont Wharf Zm test plots.</t>
  </si>
  <si>
    <t>Myrtle Edwards - DNR - test - DB - 2021</t>
  </si>
  <si>
    <t>planted 4, 0.25 m2 plots of 3 rebar each with Dumas Bay Zm. 2 plots 1.4 m south of light sensor adjacent to 2 plots of DuPont Wharf Zm. One plot shallow with the other plot deep. The other 2 plots were 1.4 m north of light sensor, 1 plot shallow, 1 plot deep.</t>
  </si>
  <si>
    <t>Myrtle Edwards - DNR - test 1 - DW - 2022</t>
  </si>
  <si>
    <t>MRE_2</t>
  </si>
  <si>
    <t>planted 2, 0.25 m2 plots of 3 rebar each with DuPont Wharf Zm near remaining 3 shoots from 2021 test transplant. Transplants were adjacent to rip rap.</t>
  </si>
  <si>
    <t>Myrtle Edwards - DNR - test 2 - DW - 2022</t>
  </si>
  <si>
    <t>planted 10, 0.25 m2 plots of 3 rebar each with DuPont Wharf Zm 16 m southeast of the 2021 test transplants, adjacent to the sandy beach of Myrtle Edwards Park. Transplants were set up as a shallow 0.25 m2 plot with 3 rebar and an adjacent and deeper 0.25 m2 plot with 3 rebar. There were 5 rows of these from shallow to deep with 1 rebar placed in the middle between rows 2 and 3.</t>
  </si>
  <si>
    <t>Ostrich Bay</t>
  </si>
  <si>
    <t>Ostrich Bay - PNNL - test - 2015</t>
  </si>
  <si>
    <t>OST</t>
  </si>
  <si>
    <t>Otis Beach</t>
  </si>
  <si>
    <t>Otis Beach - Henderson Inlet - DNR - test 1 - 2023</t>
  </si>
  <si>
    <t>OTB_1</t>
  </si>
  <si>
    <t>Henderson Inlet</t>
  </si>
  <si>
    <t>planted 11 rebar. First 2 rebar were perpendicular to shore, then 3 rebar parallel to shore, then 3 rebar perpendicular to shore, then 3 rebar parallel to shore (=, 3 parallel, |||, 3 parallel).</t>
  </si>
  <si>
    <t>Penrose State Park</t>
  </si>
  <si>
    <t>Penrose North - HC - test - 2016</t>
  </si>
  <si>
    <t>PEN_L1</t>
  </si>
  <si>
    <t>Port Gamble Bay</t>
  </si>
  <si>
    <t>Port Gamble Bay - PNNL - test 5 - 2014</t>
  </si>
  <si>
    <t>PTG_5</t>
  </si>
  <si>
    <t xml:space="preserve">NewFields Northwest. 2007. Port Gamble Baseline Investigations: marine natural resources. Prepared for Olympic Property Group, Poulsbo, WA. Pp. 49._x000D_
Thom, RM, and L Hallum. 1990. Long‚Äêterm changes in the areal extent of tidal marshes, eelgrass meadows, and kelp forests of Puget Sound. FRI‚ÄêUW‚Äê9008, Fisheries Research Institute, School of Fisheries, University of Washington, Seattle. Pp. 110._x000D_
</t>
  </si>
  <si>
    <t>HDC</t>
  </si>
  <si>
    <t>Point Julia</t>
  </si>
  <si>
    <t>zos_rest_pgamble__Ecology__PNNL</t>
  </si>
  <si>
    <t>Port Gamble Bay - PNNL - test 2 - 2014</t>
  </si>
  <si>
    <t>PTG_2</t>
  </si>
  <si>
    <t>Port Gamble Bay - PNNL - test 3 - 2014</t>
  </si>
  <si>
    <t>PTG_3</t>
  </si>
  <si>
    <t>Port Gamble Bay - PNNL - test 4 - 2014</t>
  </si>
  <si>
    <t>PTG_4</t>
  </si>
  <si>
    <t>Port Gamble Bay - PNNL - test 1 - 2014</t>
  </si>
  <si>
    <t>PTG_1</t>
  </si>
  <si>
    <t>Port Gamble Bay - PNNL - test 6 - 2014</t>
  </si>
  <si>
    <t>PTG_6</t>
  </si>
  <si>
    <t>Port Gamble Bay - 1 - PNNL - large scale - N corner</t>
  </si>
  <si>
    <t>PTG_P1</t>
  </si>
  <si>
    <t>Port Gamble Bay - 1 - PNNL - large scale - E corner</t>
  </si>
  <si>
    <t>Port Gamble Bay - 1 - PNNL - large scale - S corner</t>
  </si>
  <si>
    <t>Port Gamble Bay - 1 - PNNL - large scale - W corner</t>
  </si>
  <si>
    <t>Port Gamble Bay - 2 - PNNL - large scale - N corner</t>
  </si>
  <si>
    <t>PTG_P2</t>
  </si>
  <si>
    <t>Port Gamble Bay - 2 - PNNL - large scale - E corner</t>
  </si>
  <si>
    <t>Port Gamble Bay - 2 - PNNL - large scale - S corner</t>
  </si>
  <si>
    <t>Port Gamble Bay - 2 - PNNL - large scale - W corner</t>
  </si>
  <si>
    <t>Port Gamble Bay - 3 - PNNL -  large scale - NW corner</t>
  </si>
  <si>
    <t>PTG_P3</t>
  </si>
  <si>
    <t>Port Gamble Bay - 3 - PNNL - large scale - NE corner</t>
  </si>
  <si>
    <t>Port Gamble Bay - 3 - PNNL - large scale - SE corner</t>
  </si>
  <si>
    <t>Port Gamble Bay - 3 - PNNL - large scale - SW corner</t>
  </si>
  <si>
    <t>Port Gamble Bay - 4 - PNNL - large scale - NW corner</t>
  </si>
  <si>
    <t>PTG_P4</t>
  </si>
  <si>
    <t>Port Gamble Bay - 4 - PNNL - large scale - NE corner</t>
  </si>
  <si>
    <t>Port Gamble Bay - 4 - PNNL - large scale - SE corner</t>
  </si>
  <si>
    <t>Port Gamble Bay - 4 - PNNL - large scale - SW corner</t>
  </si>
  <si>
    <t>Quartermaster Harbor</t>
  </si>
  <si>
    <t>Quartermaster Harbor - PNNL - Test Plot 1S - 2018</t>
  </si>
  <si>
    <t>QMH_1S</t>
  </si>
  <si>
    <t>base line runs 230¬∞M; 20 shoots/rebar; 30 rebar planted on the offshore side of baseline</t>
  </si>
  <si>
    <t>Quartermaster Harbor - PNNL - Test Plot 1D - 2018</t>
  </si>
  <si>
    <t>QMH_1D</t>
  </si>
  <si>
    <t>base line runs 240¬∞M; 20 shoots/rebar; 30 rebar planted on the offshore side of baseline</t>
  </si>
  <si>
    <t>Quartermaster Harbor - PNNL - Test Plot 4S - 2018</t>
  </si>
  <si>
    <t>QMH_4S</t>
  </si>
  <si>
    <t>base line runs 90¬∞M; 20 shoots/rebar; 30 rebar planted on the offshore side of baseline</t>
  </si>
  <si>
    <t>Quartermaster Harbor - PNNL - Test Plot 4D - 2018</t>
  </si>
  <si>
    <t>QMH_4D</t>
  </si>
  <si>
    <t>Quartermaster Harbor - PNNL - Test Plot 5S - 2018</t>
  </si>
  <si>
    <t>QMH_5S</t>
  </si>
  <si>
    <t>Quartermaster Harbor - PNNL - Test Plot 5D - 2018</t>
  </si>
  <si>
    <t>QMH_5D</t>
  </si>
  <si>
    <t>Quartermaster Harbor - PNNL - Test Plot 2D - 2018</t>
  </si>
  <si>
    <t>QMH_2D</t>
  </si>
  <si>
    <t>base line runs 305¬∞M; 20 shoots/rebar; 30 rebar planted on the offshore side of baseline</t>
  </si>
  <si>
    <t>Quartermaster Harbor - PNNL - Test Plot 3S - 2018</t>
  </si>
  <si>
    <t>QMH_3S</t>
  </si>
  <si>
    <t>base line runs 40¬∞M; 20 shoots/rebar; 30 rebar planted on the offshore side of baseline</t>
  </si>
  <si>
    <t>Quartermaster Harbor - PNNL - Test Plot 3D - 2018</t>
  </si>
  <si>
    <t>QMH_3D</t>
  </si>
  <si>
    <t>base line runs 25¬∞M; 20 shoots/rebar; 30 rebar planted on the inshore side of baseline</t>
  </si>
  <si>
    <t>Quartermaster Harbor - PNNL - Test Plot 4S - 2021</t>
  </si>
  <si>
    <t>20 shoots per rebar as DuPont Wharf shoots were large (~50 cm canopy height). Plots start approximatey 5 m east of light sensor. 3rd plot east of light sensor included a base of sand (50# bag of play sand)</t>
  </si>
  <si>
    <t>25 shoots per rebar because Dumas Bay shoots were small (~30 cm canopy height). Plots were placed shallower and a 0.5 m offset from DuPont Wharf shoots. 3rd plot east of light sensor included a base of sand (50# bag of play sand)</t>
  </si>
  <si>
    <t>15 shoots per rebar because DuPont Wharf shoots were large (~50 cm canopy height). Plots were placed along a trasect 2 meters south of the light sensor. The first plot of 3 rebar was planted at 5 m along the tape in a westerly direction. The second plot was at 6 m and the 3rd plot was at 7 m. 3 plots on one side of the tape (9 rebar total) and 3 plots on the other side of the tape (9 rebar). 360 shoots total.</t>
  </si>
  <si>
    <t>Quartermaster Harbor - PNNL - Test Plot 5a - 2021</t>
  </si>
  <si>
    <t>QMH_5a</t>
  </si>
  <si>
    <t>20 shoots per rebar as DuPont Wharf shoots were large (~50 cm canopy height). KC Project (IAA 93-097520) Dockton test transplant site.</t>
  </si>
  <si>
    <t>25 shoots per rebar because Dumas Bay shoots were small (~30 cm canopy height). 3 plots were planted alternate to the DuPont Wharf plots and shallower. KC Project (IAA 93-097520) Dockton test transplant site.</t>
  </si>
  <si>
    <t>20 shoots per rebar as DuPont Wharf shoots were large (~50 cm canopy height). Transplant plots start at 5 m west of light sensor and were planted on either side of the tape at 5 m, 6 m, and 7 m (shallow - deep). 3 rebar with 20 shoots each placed deep and 3 rebar placed shallow to span from 5 m to 5.5 m, 6 m to 6.5 m, and 7 m to 7.5 m.</t>
  </si>
  <si>
    <t>Quartermaster Harbor - PNNL - Test Plot 4S - 2022</t>
  </si>
  <si>
    <t>TERFS</t>
  </si>
  <si>
    <t>planted 3 upside down TERFS with 25 shoots attached with hemp cord and electrical tape wrapped around a rhizome segment and metal of the TERFS. Goal was to determine if plants could survive in water column without contact with sediment. Possible stressor is grazing by crabs as observed in 2021. TERFS were placed approximately 2 m northwest of light sensor and separated by approximately 1 m.</t>
  </si>
  <si>
    <t>Quilcene Bay</t>
  </si>
  <si>
    <t>Quilcene Bay - PNNL - test - 2014</t>
  </si>
  <si>
    <t>QLC01</t>
  </si>
  <si>
    <t>Quilcene Delta</t>
  </si>
  <si>
    <t>Quilcene Delta - PNNL - Northern line test plot 1 (inshore) - 2016</t>
  </si>
  <si>
    <t>QLC_north1</t>
  </si>
  <si>
    <t>Quilcene Delta - PNNL - Northern line test plot 2 - 2016</t>
  </si>
  <si>
    <t>QLC_north2</t>
  </si>
  <si>
    <t>Quilcene Delta - PNNL - Northern line test plot 3 (offshore) - 2016</t>
  </si>
  <si>
    <t>QLC_north3</t>
  </si>
  <si>
    <t>Quilcene Delta - PNNL - Middle line test plot 1 (inshore) - 2016</t>
  </si>
  <si>
    <t>QLC_mid1</t>
  </si>
  <si>
    <t>Quilcene Delta - PNNL - Middle line test plot 2 - 2016</t>
  </si>
  <si>
    <t>QLC_mid2</t>
  </si>
  <si>
    <t>Quilcene Delta - PNNL - Middle line test plot 3 (offshore) - 2016</t>
  </si>
  <si>
    <t>QLC_mid3</t>
  </si>
  <si>
    <t>Quilcene Delta - PNNL - Southern line test plot 1 (inshore) - 2016</t>
  </si>
  <si>
    <t>QLC_south1</t>
  </si>
  <si>
    <t>Quilcene Delta - PNNL - Southern line test plot 2 - 2016</t>
  </si>
  <si>
    <t>QLC_south2</t>
  </si>
  <si>
    <t>Quilcene Delta - PNNL - Southern line test plot 3 (offshore) - 2016</t>
  </si>
  <si>
    <t>QLC_south3</t>
  </si>
  <si>
    <t>Shine Beach</t>
  </si>
  <si>
    <t>Shine Beach - Squamish Harbor - DNR - test 1 - 2023</t>
  </si>
  <si>
    <t>SHB_1</t>
  </si>
  <si>
    <t>Squamish Harbor</t>
  </si>
  <si>
    <t>Skagit Delta</t>
  </si>
  <si>
    <t>Skagit Delta - PNNL - test - 1 - 2016</t>
  </si>
  <si>
    <t>SKG_1</t>
  </si>
  <si>
    <t>Thom, RM, and L Hallum. 1990. Long‚Äêterm changes in the areal extent of tidal marshes, eelgrass meadows, and kelp forests of Puget Sound. FRI‚ÄêUW‚Äê9008, Fisheries Research Institute, School of Fisheries, University of Washington, Seattle. Pp. 110._x000D_
SVMP Program</t>
  </si>
  <si>
    <t>Skagit Bay</t>
  </si>
  <si>
    <t>SWH</t>
  </si>
  <si>
    <t>screw anchors 3 meters apart</t>
  </si>
  <si>
    <t>Skagit Delta - PNNL - test - 2 - 2016</t>
  </si>
  <si>
    <t>SKG_2</t>
  </si>
  <si>
    <t>screw anchors 2 meters apart</t>
  </si>
  <si>
    <t>Skagit Delta - PNNL - test - 5 - 2016</t>
  </si>
  <si>
    <t>SKG_5</t>
  </si>
  <si>
    <t>screw anchors 1.5 meters apart</t>
  </si>
  <si>
    <t>Skagit Delta - PNNL - test - 6 - 2016</t>
  </si>
  <si>
    <t>SKG_6</t>
  </si>
  <si>
    <t>Stretch Island</t>
  </si>
  <si>
    <t>Stretch Island - PNNL - test - 2015</t>
  </si>
  <si>
    <t>STI</t>
  </si>
  <si>
    <t>"mega"-bundles were planted with 260 shoots on 26 staples outside of the plot 4 m west of the SW corner, at -1.5m, MLLW</t>
  </si>
  <si>
    <t>Taylor Bay</t>
  </si>
  <si>
    <t>Taylor Bay North - HC - test - 2016</t>
  </si>
  <si>
    <t>TAY_L1</t>
  </si>
  <si>
    <t>Taylor Bay South - HC - test - 2016</t>
  </si>
  <si>
    <t>Westcott Bay</t>
  </si>
  <si>
    <t>Westcott Bay East - PNNL - test - 2013</t>
  </si>
  <si>
    <t>WES_east</t>
  </si>
  <si>
    <t>PNNL - MSL Tanks</t>
  </si>
  <si>
    <t>head of bay, planted along a depth gradient from -4.0' to -6.0'</t>
  </si>
  <si>
    <t>Westcott Bay West - PNNL - test - 2013</t>
  </si>
  <si>
    <t>WES_west</t>
  </si>
  <si>
    <t>middle of bay, planted along a depth gradient from -5.0' to -9.0'</t>
  </si>
  <si>
    <t>Westcott Bay - PNNL - Test Plot A - 2017</t>
  </si>
  <si>
    <t>WES_A</t>
  </si>
  <si>
    <t>Bell Point, Stuart Island</t>
  </si>
  <si>
    <t>Westcott Bay - PNNL - Test Plot B - 2017</t>
  </si>
  <si>
    <t>WES_B</t>
  </si>
  <si>
    <t>Bell Point</t>
  </si>
  <si>
    <t>Westcott Bay - PNNL - Test Plot C - 2017</t>
  </si>
  <si>
    <t>WES_C</t>
  </si>
  <si>
    <t>Mitchell Bay</t>
  </si>
  <si>
    <t>Westcott Bay - PNNL - Test Plot D - 2017</t>
  </si>
  <si>
    <t>WES_D</t>
  </si>
  <si>
    <t>Westcott Bay - Bell Point North - DNR - test - 2020-Dumas</t>
  </si>
  <si>
    <t>WES_test_1</t>
  </si>
  <si>
    <t>GPS marks the 0 m helical anchor. Another helical is set at 14 m (48.59399, -123.15520). Planting started at 2 m and ended at 10 m to keep transplants 2 m away from helicals at the end of the 14 m transect. Eelgrass harvested from the Shannon Point Marine Center mesocosms on 31 Jul 2020.</t>
  </si>
  <si>
    <t>Westcott Bay - Bell Point North - DNR - test - 2020-Fay</t>
  </si>
  <si>
    <t>Westcott Bay - Bell Point North - DNR - test - 2020-Henry</t>
  </si>
  <si>
    <t>GPS marks the 0 m helical anchor. Another helical is set at 14 m (48.59399, -123.15520). Planting started at 2 m and ended at 10 m to keep transplants 2 m away from helicals at the end of the 14 m transect. Eelgrass harvested from the Pacific Northwest National Laboratory mesocosms on 31 July 2020.</t>
  </si>
  <si>
    <t>Westcott Bay - Bell Point North - DNR - test - 2020-Ship</t>
  </si>
  <si>
    <t>Westcott Bay - Bell Point North - DNR - test - 2020-Mixed</t>
  </si>
  <si>
    <t>Zangle Cove</t>
  </si>
  <si>
    <t>Zangle Cove - PNNL - test - 2013</t>
  </si>
  <si>
    <t>ZAN_1</t>
  </si>
  <si>
    <t>personal observation</t>
  </si>
  <si>
    <t>Dana Passage</t>
  </si>
  <si>
    <t>Zangle Cove - NW - PNNL - large - 2015</t>
  </si>
  <si>
    <t>ZAN_P1</t>
  </si>
  <si>
    <t>See planting diagram</t>
  </si>
  <si>
    <t>Zangle Cove - NE - PNNL - large - 2015</t>
  </si>
  <si>
    <t>Zangle Cove - SE - PNNL - large - 2015</t>
  </si>
  <si>
    <t>Zangle Cove - SW - PNNL - large - 2015</t>
  </si>
  <si>
    <t>Zangle Cove - SW - PNNL - test - 2015</t>
  </si>
  <si>
    <t>ZAN_2</t>
  </si>
  <si>
    <t>Zangle Cove - DNR - test - 1 Chia - 2016</t>
  </si>
  <si>
    <t>ZAN_3</t>
  </si>
  <si>
    <t>1, 0.0625 m2 rebar quads planted and PAR sensor installed ~ 2 m away</t>
  </si>
  <si>
    <t>Zangle Cove - DNR - test - 4 Chia - 2016</t>
  </si>
  <si>
    <t>ZAN_4</t>
  </si>
  <si>
    <t>4, 0.0625 m2 rebar quads planted (chia pets)</t>
  </si>
  <si>
    <t>group_no_count</t>
  </si>
  <si>
    <t>group multi-cases</t>
  </si>
  <si>
    <t>loc multi-cases</t>
  </si>
  <si>
    <t>plt_loc_code count</t>
  </si>
  <si>
    <t>replicates</t>
  </si>
  <si>
    <t>addint donor site to key would differentiate</t>
  </si>
  <si>
    <t>different dates in 2021</t>
  </si>
  <si>
    <t>different methods</t>
  </si>
  <si>
    <t>but slightly different coords</t>
  </si>
  <si>
    <t>no coords</t>
  </si>
  <si>
    <t>repeat / colated</t>
  </si>
  <si>
    <t>geometry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</si>
</sst>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b/>
      <sz val="11"/>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applyAlignment="1">
      <alignment wrapText="1"/>
    </xf>
    <xf numFmtId="0" fontId="18" fillId="33" borderId="10" xfId="0" applyFont="1" applyFill="1" applyBorder="1"/>
    <xf numFmtId="0" fontId="18" fillId="33" borderId="11" xfId="0" applyFont="1" applyFill="1" applyBorder="1"/>
    <xf numFmtId="0" fontId="0" fillId="0" borderId="0" xfId="0" applyAlignment="1">
      <alignment horizontal="center"/>
    </xf>
    <xf numFmtId="0" fontId="19" fillId="34" borderId="11" xfId="0" applyFont="1" applyFill="1" applyBorder="1" applyAlignment="1">
      <alignment horizontal="center"/>
    </xf>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C9244-C0FC-E942-B546-829044779B62}">
  <dimension ref="A1:AM289"/>
  <sheetViews>
    <sheetView tabSelected="1" topLeftCell="C1" zoomScaleNormal="100" workbookViewId="0">
      <pane xSplit="1" ySplit="1" topLeftCell="AE2" activePane="bottomRight" state="frozen"/>
      <selection activeCell="C1" sqref="C1"/>
      <selection pane="topRight" activeCell="D1" sqref="D1"/>
      <selection pane="bottomLeft" activeCell="C2" sqref="C2"/>
      <selection pane="bottomRight" activeCell="AG1" sqref="AG1:AL1048576"/>
    </sheetView>
  </sheetViews>
  <sheetFormatPr defaultColWidth="11" defaultRowHeight="15.75" x14ac:dyDescent="0.25"/>
  <cols>
    <col min="1" max="1" width="4.125" bestFit="1" customWidth="1"/>
    <col min="2" max="2" width="22.125" bestFit="1" customWidth="1"/>
    <col min="3" max="3" width="63.125" bestFit="1" customWidth="1"/>
    <col min="4" max="4" width="20.125" bestFit="1" customWidth="1"/>
    <col min="5" max="5" width="19.125" bestFit="1" customWidth="1"/>
    <col min="6" max="6" width="5.125" bestFit="1" customWidth="1"/>
    <col min="7" max="7" width="208" hidden="1" customWidth="1"/>
    <col min="8" max="8" width="16" bestFit="1" customWidth="1"/>
    <col min="9" max="9" width="19.375" hidden="1" customWidth="1"/>
    <col min="10" max="10" width="11.125" hidden="1" customWidth="1"/>
    <col min="11" max="11" width="11.5" bestFit="1" customWidth="1"/>
    <col min="12" max="12" width="11.875" bestFit="1" customWidth="1"/>
    <col min="13" max="14" width="12.125" bestFit="1" customWidth="1"/>
    <col min="15" max="15" width="12.875" bestFit="1" customWidth="1"/>
    <col min="16" max="16" width="10.5" bestFit="1" customWidth="1"/>
    <col min="17" max="17" width="7.125" hidden="1" customWidth="1"/>
    <col min="18" max="18" width="16.875" hidden="1" customWidth="1"/>
    <col min="19" max="19" width="14.625" bestFit="1" customWidth="1"/>
    <col min="20" max="20" width="15.5" hidden="1" customWidth="1"/>
    <col min="21" max="21" width="20.875" hidden="1" customWidth="1"/>
    <col min="22" max="22" width="12.125" hidden="1" customWidth="1"/>
    <col min="23" max="23" width="15.125" hidden="1" customWidth="1"/>
    <col min="24" max="24" width="23.375" hidden="1" customWidth="1"/>
    <col min="25" max="25" width="19.625" hidden="1" customWidth="1"/>
    <col min="26" max="26" width="13.5" hidden="1" customWidth="1"/>
    <col min="27" max="27" width="19.875" hidden="1" customWidth="1"/>
    <col min="28" max="28" width="27.625" hidden="1" customWidth="1"/>
    <col min="29" max="29" width="27" bestFit="1" customWidth="1"/>
    <col min="30" max="30" width="255.875" customWidth="1"/>
    <col min="31" max="31" width="33" customWidth="1"/>
    <col min="32" max="32" width="8.5" customWidth="1"/>
    <col min="33" max="33" width="14.625" customWidth="1"/>
    <col min="34" max="35" width="15.625" customWidth="1"/>
    <col min="36" max="36" width="16.875" customWidth="1"/>
    <col min="37" max="37" width="20.625" customWidth="1"/>
    <col min="38" max="38" width="22.625" customWidth="1"/>
  </cols>
  <sheetData>
    <row r="1" spans="1:37" x14ac:dyDescent="0.25">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4" t="s">
        <v>707</v>
      </c>
      <c r="AH1" s="4" t="s">
        <v>708</v>
      </c>
      <c r="AI1" s="6" t="s">
        <v>710</v>
      </c>
      <c r="AJ1" s="6" t="s">
        <v>709</v>
      </c>
    </row>
    <row r="2" spans="1:37" x14ac:dyDescent="0.25">
      <c r="A2">
        <v>1</v>
      </c>
      <c r="B2" t="s">
        <v>31</v>
      </c>
      <c r="C2" t="s">
        <v>32</v>
      </c>
      <c r="D2" t="s">
        <v>33</v>
      </c>
      <c r="E2" t="s">
        <v>34</v>
      </c>
      <c r="F2">
        <v>2013</v>
      </c>
      <c r="G2" t="s">
        <v>35</v>
      </c>
      <c r="H2" t="s">
        <v>36</v>
      </c>
      <c r="I2" t="s">
        <v>37</v>
      </c>
      <c r="J2" t="s">
        <v>38</v>
      </c>
      <c r="K2" t="s">
        <v>39</v>
      </c>
      <c r="L2" t="s">
        <v>39</v>
      </c>
      <c r="M2" s="1">
        <v>41431</v>
      </c>
      <c r="N2">
        <v>47.160600000000002</v>
      </c>
      <c r="O2">
        <v>-122.72776666666699</v>
      </c>
      <c r="P2" t="s">
        <v>40</v>
      </c>
      <c r="Q2" t="s">
        <v>41</v>
      </c>
      <c r="R2">
        <v>-0.91439999999999999</v>
      </c>
      <c r="S2" t="s">
        <v>42</v>
      </c>
      <c r="T2">
        <v>6</v>
      </c>
      <c r="U2">
        <v>6</v>
      </c>
      <c r="V2">
        <v>36</v>
      </c>
      <c r="W2">
        <v>36</v>
      </c>
      <c r="X2">
        <v>0.9</v>
      </c>
      <c r="Y2">
        <v>180</v>
      </c>
      <c r="Z2">
        <v>720</v>
      </c>
      <c r="AA2">
        <v>20</v>
      </c>
      <c r="AB2">
        <v>20</v>
      </c>
      <c r="AC2" t="s">
        <v>43</v>
      </c>
      <c r="AD2" t="s">
        <v>44</v>
      </c>
      <c r="AE2" t="s">
        <v>45</v>
      </c>
      <c r="AF2">
        <v>1</v>
      </c>
      <c r="AG2">
        <f>COUNTIF(AF:AF,AF2)</f>
        <v>1</v>
      </c>
      <c r="AH2" s="5" t="str">
        <f>IF(AG2&gt;1,AF2,"")</f>
        <v/>
      </c>
      <c r="AI2">
        <f>COUNTIF(D:D,D2)</f>
        <v>1</v>
      </c>
      <c r="AJ2" t="str">
        <f>IF(AI2&gt;1,D2,"")</f>
        <v/>
      </c>
    </row>
    <row r="3" spans="1:37" x14ac:dyDescent="0.25">
      <c r="A3">
        <v>2</v>
      </c>
      <c r="B3" t="s">
        <v>31</v>
      </c>
      <c r="C3" t="s">
        <v>46</v>
      </c>
      <c r="D3" t="s">
        <v>47</v>
      </c>
      <c r="E3" t="s">
        <v>34</v>
      </c>
      <c r="F3">
        <v>2013</v>
      </c>
      <c r="G3" t="s">
        <v>35</v>
      </c>
      <c r="H3" t="s">
        <v>36</v>
      </c>
      <c r="I3" t="s">
        <v>37</v>
      </c>
      <c r="J3" t="s">
        <v>38</v>
      </c>
      <c r="K3" t="s">
        <v>39</v>
      </c>
      <c r="L3" t="s">
        <v>39</v>
      </c>
      <c r="M3" s="1">
        <v>41431</v>
      </c>
      <c r="N3">
        <v>47.160683333333303</v>
      </c>
      <c r="O3">
        <v>-122.727816666667</v>
      </c>
      <c r="P3" t="s">
        <v>40</v>
      </c>
      <c r="Q3" t="s">
        <v>41</v>
      </c>
      <c r="R3">
        <v>-1.524</v>
      </c>
      <c r="S3" t="s">
        <v>42</v>
      </c>
      <c r="T3">
        <v>6</v>
      </c>
      <c r="U3">
        <v>6</v>
      </c>
      <c r="V3">
        <v>36</v>
      </c>
      <c r="W3">
        <v>36</v>
      </c>
      <c r="X3">
        <v>0.9</v>
      </c>
      <c r="Y3">
        <v>180</v>
      </c>
      <c r="Z3">
        <v>720</v>
      </c>
      <c r="AA3">
        <v>20</v>
      </c>
      <c r="AB3">
        <v>20</v>
      </c>
      <c r="AC3" t="s">
        <v>43</v>
      </c>
      <c r="AD3" t="s">
        <v>44</v>
      </c>
      <c r="AE3" t="s">
        <v>45</v>
      </c>
      <c r="AF3">
        <v>2</v>
      </c>
      <c r="AG3">
        <f t="shared" ref="AG3:AG66" si="0">COUNTIF(AF:AF,AF3)</f>
        <v>1</v>
      </c>
      <c r="AH3" s="5" t="str">
        <f t="shared" ref="AH3:AH66" si="1">IF(AG3&gt;1,AF3,"")</f>
        <v/>
      </c>
      <c r="AI3">
        <f t="shared" ref="AI3:AI66" si="2">COUNTIF(D:D,D3)</f>
        <v>1</v>
      </c>
      <c r="AJ3" t="str">
        <f t="shared" ref="AJ3:AJ66" si="3">IF(AI3&gt;1,D3,"")</f>
        <v/>
      </c>
    </row>
    <row r="4" spans="1:37" x14ac:dyDescent="0.25">
      <c r="A4">
        <v>3</v>
      </c>
      <c r="B4" t="s">
        <v>31</v>
      </c>
      <c r="C4" t="s">
        <v>48</v>
      </c>
      <c r="D4" t="s">
        <v>49</v>
      </c>
      <c r="E4" t="s">
        <v>34</v>
      </c>
      <c r="F4">
        <v>2015</v>
      </c>
      <c r="G4" t="s">
        <v>35</v>
      </c>
      <c r="H4" t="s">
        <v>36</v>
      </c>
      <c r="I4" t="s">
        <v>37</v>
      </c>
      <c r="J4" t="s">
        <v>38</v>
      </c>
      <c r="K4" t="s">
        <v>39</v>
      </c>
      <c r="L4" t="s">
        <v>39</v>
      </c>
      <c r="M4" s="1">
        <v>42062</v>
      </c>
      <c r="N4">
        <v>47.170783333333297</v>
      </c>
      <c r="O4">
        <v>-122.728883333333</v>
      </c>
      <c r="P4" t="s">
        <v>40</v>
      </c>
      <c r="Q4" t="s">
        <v>41</v>
      </c>
      <c r="R4">
        <v>-0.8</v>
      </c>
      <c r="S4" t="s">
        <v>42</v>
      </c>
      <c r="T4">
        <v>5</v>
      </c>
      <c r="U4">
        <v>5</v>
      </c>
      <c r="V4">
        <v>25</v>
      </c>
      <c r="W4">
        <v>25</v>
      </c>
      <c r="X4">
        <v>0.625</v>
      </c>
      <c r="Y4">
        <v>125</v>
      </c>
      <c r="Z4">
        <v>500</v>
      </c>
      <c r="AA4">
        <v>20</v>
      </c>
      <c r="AB4">
        <v>20</v>
      </c>
      <c r="AC4" t="s">
        <v>50</v>
      </c>
      <c r="AD4" t="s">
        <v>44</v>
      </c>
      <c r="AE4" t="s">
        <v>51</v>
      </c>
      <c r="AF4">
        <v>3</v>
      </c>
      <c r="AG4">
        <f t="shared" si="0"/>
        <v>1</v>
      </c>
      <c r="AH4" s="5" t="str">
        <f t="shared" si="1"/>
        <v/>
      </c>
      <c r="AI4">
        <f t="shared" si="2"/>
        <v>1</v>
      </c>
      <c r="AJ4" t="str">
        <f t="shared" si="3"/>
        <v/>
      </c>
    </row>
    <row r="5" spans="1:37" x14ac:dyDescent="0.25">
      <c r="A5">
        <v>4</v>
      </c>
      <c r="B5" t="s">
        <v>31</v>
      </c>
      <c r="C5" t="s">
        <v>52</v>
      </c>
      <c r="D5" t="s">
        <v>53</v>
      </c>
      <c r="E5" t="s">
        <v>34</v>
      </c>
      <c r="F5">
        <v>2016</v>
      </c>
      <c r="G5" t="s">
        <v>35</v>
      </c>
      <c r="H5" t="s">
        <v>36</v>
      </c>
      <c r="I5" t="s">
        <v>54</v>
      </c>
      <c r="J5" t="s">
        <v>38</v>
      </c>
      <c r="K5" t="s">
        <v>39</v>
      </c>
      <c r="L5" t="s">
        <v>39</v>
      </c>
      <c r="M5" s="1">
        <v>42633</v>
      </c>
      <c r="N5">
        <v>47.170933333333302</v>
      </c>
      <c r="O5">
        <v>-122.72905</v>
      </c>
      <c r="P5" t="s">
        <v>40</v>
      </c>
      <c r="Q5" t="s">
        <v>41</v>
      </c>
      <c r="R5">
        <v>-1.7</v>
      </c>
      <c r="S5" t="s">
        <v>55</v>
      </c>
      <c r="T5">
        <v>2.5</v>
      </c>
      <c r="U5">
        <v>2.5</v>
      </c>
      <c r="V5">
        <v>6.25</v>
      </c>
      <c r="W5">
        <v>5</v>
      </c>
      <c r="X5">
        <v>0.5</v>
      </c>
      <c r="Y5">
        <v>20</v>
      </c>
      <c r="Z5">
        <v>500</v>
      </c>
      <c r="AA5">
        <v>80</v>
      </c>
      <c r="AB5">
        <v>100</v>
      </c>
      <c r="AC5" t="s">
        <v>56</v>
      </c>
      <c r="AD5" t="s">
        <v>44</v>
      </c>
      <c r="AE5" t="s">
        <v>57</v>
      </c>
      <c r="AF5">
        <v>4</v>
      </c>
      <c r="AG5">
        <f t="shared" si="0"/>
        <v>1</v>
      </c>
      <c r="AH5" s="5" t="str">
        <f t="shared" si="1"/>
        <v/>
      </c>
      <c r="AI5">
        <f t="shared" si="2"/>
        <v>1</v>
      </c>
      <c r="AJ5" t="str">
        <f t="shared" si="3"/>
        <v/>
      </c>
    </row>
    <row r="6" spans="1:37" x14ac:dyDescent="0.25">
      <c r="A6">
        <v>5</v>
      </c>
      <c r="B6" t="s">
        <v>31</v>
      </c>
      <c r="C6" t="s">
        <v>58</v>
      </c>
      <c r="D6" t="s">
        <v>59</v>
      </c>
      <c r="E6" t="s">
        <v>34</v>
      </c>
      <c r="F6">
        <v>2016</v>
      </c>
      <c r="G6" t="s">
        <v>35</v>
      </c>
      <c r="H6" t="s">
        <v>36</v>
      </c>
      <c r="I6" t="s">
        <v>54</v>
      </c>
      <c r="J6" t="s">
        <v>38</v>
      </c>
      <c r="K6" t="s">
        <v>39</v>
      </c>
      <c r="L6" t="s">
        <v>39</v>
      </c>
      <c r="M6" s="1">
        <v>42633</v>
      </c>
      <c r="N6">
        <v>47.132633329999997</v>
      </c>
      <c r="O6">
        <v>-122.7181167</v>
      </c>
      <c r="P6" t="s">
        <v>40</v>
      </c>
      <c r="Q6" t="s">
        <v>41</v>
      </c>
      <c r="R6">
        <v>-1.9</v>
      </c>
      <c r="S6" t="s">
        <v>55</v>
      </c>
      <c r="T6">
        <v>2.5</v>
      </c>
      <c r="U6">
        <v>2.5</v>
      </c>
      <c r="V6">
        <v>6.25</v>
      </c>
      <c r="W6">
        <v>5</v>
      </c>
      <c r="X6">
        <v>0.5</v>
      </c>
      <c r="Y6">
        <v>20</v>
      </c>
      <c r="Z6">
        <v>500</v>
      </c>
      <c r="AA6">
        <v>80</v>
      </c>
      <c r="AB6">
        <v>100</v>
      </c>
      <c r="AC6" t="s">
        <v>56</v>
      </c>
      <c r="AD6" t="s">
        <v>60</v>
      </c>
      <c r="AE6" t="s">
        <v>57</v>
      </c>
      <c r="AF6">
        <v>5</v>
      </c>
      <c r="AG6">
        <f t="shared" si="0"/>
        <v>1</v>
      </c>
      <c r="AH6" s="5" t="str">
        <f t="shared" si="1"/>
        <v/>
      </c>
      <c r="AI6">
        <f t="shared" si="2"/>
        <v>1</v>
      </c>
      <c r="AJ6" t="str">
        <f t="shared" si="3"/>
        <v/>
      </c>
    </row>
    <row r="7" spans="1:37" x14ac:dyDescent="0.25">
      <c r="A7">
        <v>6</v>
      </c>
      <c r="B7" t="s">
        <v>31</v>
      </c>
      <c r="C7" t="s">
        <v>61</v>
      </c>
      <c r="D7" t="s">
        <v>62</v>
      </c>
      <c r="E7" t="s">
        <v>34</v>
      </c>
      <c r="F7">
        <v>2017</v>
      </c>
      <c r="G7" t="s">
        <v>35</v>
      </c>
      <c r="H7" t="s">
        <v>63</v>
      </c>
      <c r="I7" t="s">
        <v>37</v>
      </c>
      <c r="J7" t="s">
        <v>38</v>
      </c>
      <c r="K7" t="s">
        <v>39</v>
      </c>
      <c r="L7" t="s">
        <v>39</v>
      </c>
      <c r="M7" s="1">
        <v>42860</v>
      </c>
      <c r="N7">
        <v>47.181829999999998</v>
      </c>
      <c r="O7">
        <v>-122.71405</v>
      </c>
      <c r="P7" t="s">
        <v>40</v>
      </c>
      <c r="Q7" t="s">
        <v>41</v>
      </c>
      <c r="R7">
        <v>-1.6</v>
      </c>
      <c r="S7" t="s">
        <v>64</v>
      </c>
      <c r="T7">
        <v>10</v>
      </c>
      <c r="U7">
        <v>1</v>
      </c>
      <c r="V7">
        <v>10</v>
      </c>
      <c r="W7">
        <v>6</v>
      </c>
      <c r="X7">
        <v>0.87</v>
      </c>
      <c r="Y7">
        <v>87</v>
      </c>
      <c r="Z7">
        <v>869</v>
      </c>
      <c r="AA7">
        <v>86.9</v>
      </c>
      <c r="AB7">
        <v>144.833333333333</v>
      </c>
      <c r="AC7" t="s">
        <v>65</v>
      </c>
      <c r="AD7" t="s">
        <v>66</v>
      </c>
      <c r="AE7" t="s">
        <v>67</v>
      </c>
      <c r="AF7">
        <v>6</v>
      </c>
      <c r="AG7">
        <f t="shared" si="0"/>
        <v>2</v>
      </c>
      <c r="AH7" s="5">
        <f t="shared" si="1"/>
        <v>6</v>
      </c>
      <c r="AI7">
        <f t="shared" si="2"/>
        <v>2</v>
      </c>
      <c r="AJ7" t="str">
        <f t="shared" si="3"/>
        <v>AND_west_L1</v>
      </c>
      <c r="AK7" t="s">
        <v>718</v>
      </c>
    </row>
    <row r="8" spans="1:37" x14ac:dyDescent="0.25">
      <c r="A8">
        <v>7</v>
      </c>
      <c r="B8" t="s">
        <v>31</v>
      </c>
      <c r="C8" t="s">
        <v>68</v>
      </c>
      <c r="D8" t="s">
        <v>62</v>
      </c>
      <c r="E8" t="s">
        <v>34</v>
      </c>
      <c r="F8">
        <v>2017</v>
      </c>
      <c r="G8" t="s">
        <v>35</v>
      </c>
      <c r="H8" t="s">
        <v>63</v>
      </c>
      <c r="I8" t="s">
        <v>37</v>
      </c>
      <c r="J8" t="s">
        <v>38</v>
      </c>
      <c r="K8" t="s">
        <v>39</v>
      </c>
      <c r="L8" t="s">
        <v>69</v>
      </c>
      <c r="M8" s="1">
        <v>42860</v>
      </c>
      <c r="N8">
        <v>47.18186</v>
      </c>
      <c r="O8">
        <v>-122.71402999999999</v>
      </c>
      <c r="P8" t="s">
        <v>40</v>
      </c>
      <c r="Q8" t="s">
        <v>41</v>
      </c>
      <c r="R8" t="s">
        <v>44</v>
      </c>
      <c r="S8" t="s">
        <v>44</v>
      </c>
      <c r="T8" t="s">
        <v>44</v>
      </c>
      <c r="U8" t="s">
        <v>44</v>
      </c>
      <c r="V8" t="s">
        <v>44</v>
      </c>
      <c r="W8" t="s">
        <v>44</v>
      </c>
      <c r="X8" t="s">
        <v>44</v>
      </c>
      <c r="Y8" t="s">
        <v>44</v>
      </c>
      <c r="Z8" t="s">
        <v>44</v>
      </c>
      <c r="AA8" t="s">
        <v>44</v>
      </c>
      <c r="AB8" t="s">
        <v>44</v>
      </c>
      <c r="AC8" t="s">
        <v>44</v>
      </c>
      <c r="AD8" t="s">
        <v>44</v>
      </c>
      <c r="AE8" t="s">
        <v>67</v>
      </c>
      <c r="AF8">
        <v>6</v>
      </c>
      <c r="AG8">
        <f t="shared" si="0"/>
        <v>2</v>
      </c>
      <c r="AH8" s="5">
        <f t="shared" si="1"/>
        <v>6</v>
      </c>
      <c r="AI8">
        <f t="shared" si="2"/>
        <v>2</v>
      </c>
      <c r="AJ8" t="str">
        <f t="shared" si="3"/>
        <v>AND_west_L1</v>
      </c>
      <c r="AK8" t="s">
        <v>718</v>
      </c>
    </row>
    <row r="9" spans="1:37" x14ac:dyDescent="0.25">
      <c r="A9">
        <v>8</v>
      </c>
      <c r="B9" t="s">
        <v>31</v>
      </c>
      <c r="C9" t="s">
        <v>70</v>
      </c>
      <c r="D9" t="s">
        <v>71</v>
      </c>
      <c r="E9" t="s">
        <v>34</v>
      </c>
      <c r="F9">
        <v>2017</v>
      </c>
      <c r="G9" t="s">
        <v>35</v>
      </c>
      <c r="H9" t="s">
        <v>63</v>
      </c>
      <c r="I9" t="s">
        <v>37</v>
      </c>
      <c r="J9" t="s">
        <v>38</v>
      </c>
      <c r="K9" t="s">
        <v>39</v>
      </c>
      <c r="L9" t="s">
        <v>39</v>
      </c>
      <c r="M9" s="1">
        <v>42860</v>
      </c>
      <c r="N9">
        <v>47.176900000000003</v>
      </c>
      <c r="O9">
        <v>-122.7251</v>
      </c>
      <c r="P9" t="s">
        <v>40</v>
      </c>
      <c r="Q9" t="s">
        <v>41</v>
      </c>
      <c r="R9">
        <v>-1.6</v>
      </c>
      <c r="S9" t="s">
        <v>64</v>
      </c>
      <c r="T9">
        <v>10</v>
      </c>
      <c r="U9">
        <v>1</v>
      </c>
      <c r="V9">
        <v>10</v>
      </c>
      <c r="W9">
        <v>6</v>
      </c>
      <c r="X9">
        <v>0.87</v>
      </c>
      <c r="Y9">
        <v>87</v>
      </c>
      <c r="Z9">
        <v>869</v>
      </c>
      <c r="AA9">
        <v>86.9</v>
      </c>
      <c r="AB9">
        <v>144.833333333333</v>
      </c>
      <c r="AC9" t="s">
        <v>65</v>
      </c>
      <c r="AD9" t="s">
        <v>72</v>
      </c>
      <c r="AE9" t="s">
        <v>67</v>
      </c>
      <c r="AF9">
        <v>7</v>
      </c>
      <c r="AG9">
        <f t="shared" si="0"/>
        <v>2</v>
      </c>
      <c r="AH9" s="5">
        <f t="shared" si="1"/>
        <v>7</v>
      </c>
      <c r="AI9">
        <f t="shared" si="2"/>
        <v>2</v>
      </c>
      <c r="AJ9" t="str">
        <f t="shared" si="3"/>
        <v>AND_south_L1</v>
      </c>
      <c r="AK9" t="s">
        <v>718</v>
      </c>
    </row>
    <row r="10" spans="1:37" x14ac:dyDescent="0.25">
      <c r="A10">
        <v>9</v>
      </c>
      <c r="B10" t="s">
        <v>31</v>
      </c>
      <c r="C10" t="s">
        <v>73</v>
      </c>
      <c r="D10" t="s">
        <v>71</v>
      </c>
      <c r="E10" t="s">
        <v>34</v>
      </c>
      <c r="F10">
        <v>2017</v>
      </c>
      <c r="G10" t="s">
        <v>35</v>
      </c>
      <c r="H10" t="s">
        <v>63</v>
      </c>
      <c r="I10" t="s">
        <v>37</v>
      </c>
      <c r="J10" t="s">
        <v>38</v>
      </c>
      <c r="K10" t="s">
        <v>39</v>
      </c>
      <c r="L10" t="s">
        <v>69</v>
      </c>
      <c r="M10" s="1">
        <v>42860</v>
      </c>
      <c r="N10">
        <v>47.176929999999999</v>
      </c>
      <c r="O10">
        <v>-122.72505</v>
      </c>
      <c r="P10" t="s">
        <v>40</v>
      </c>
      <c r="Q10" t="s">
        <v>41</v>
      </c>
      <c r="R10" t="s">
        <v>44</v>
      </c>
      <c r="S10" t="s">
        <v>44</v>
      </c>
      <c r="T10" t="s">
        <v>44</v>
      </c>
      <c r="U10" t="s">
        <v>44</v>
      </c>
      <c r="V10" t="s">
        <v>44</v>
      </c>
      <c r="W10" t="s">
        <v>44</v>
      </c>
      <c r="X10" t="s">
        <v>44</v>
      </c>
      <c r="Y10" t="s">
        <v>44</v>
      </c>
      <c r="Z10" t="s">
        <v>44</v>
      </c>
      <c r="AA10" t="s">
        <v>44</v>
      </c>
      <c r="AB10" t="s">
        <v>44</v>
      </c>
      <c r="AC10" t="s">
        <v>44</v>
      </c>
      <c r="AD10" t="s">
        <v>44</v>
      </c>
      <c r="AE10" t="s">
        <v>67</v>
      </c>
      <c r="AF10">
        <v>7</v>
      </c>
      <c r="AG10">
        <f t="shared" si="0"/>
        <v>2</v>
      </c>
      <c r="AH10" s="5">
        <f t="shared" si="1"/>
        <v>7</v>
      </c>
      <c r="AI10">
        <f t="shared" si="2"/>
        <v>2</v>
      </c>
      <c r="AJ10" t="str">
        <f t="shared" si="3"/>
        <v>AND_south_L1</v>
      </c>
      <c r="AK10" t="s">
        <v>718</v>
      </c>
    </row>
    <row r="11" spans="1:37" x14ac:dyDescent="0.25">
      <c r="A11">
        <v>10</v>
      </c>
      <c r="B11" t="s">
        <v>31</v>
      </c>
      <c r="C11" t="s">
        <v>74</v>
      </c>
      <c r="D11" t="s">
        <v>75</v>
      </c>
      <c r="E11" t="s">
        <v>34</v>
      </c>
      <c r="F11">
        <v>2017</v>
      </c>
      <c r="G11" t="s">
        <v>35</v>
      </c>
      <c r="H11" t="s">
        <v>76</v>
      </c>
      <c r="I11" t="s">
        <v>54</v>
      </c>
      <c r="J11" t="s">
        <v>38</v>
      </c>
      <c r="K11" t="s">
        <v>77</v>
      </c>
      <c r="L11" t="s">
        <v>77</v>
      </c>
      <c r="M11" s="1">
        <v>42888</v>
      </c>
      <c r="N11">
        <v>47.138750000000002</v>
      </c>
      <c r="O11">
        <v>-122.725111</v>
      </c>
      <c r="P11" t="s">
        <v>40</v>
      </c>
      <c r="Q11" t="s">
        <v>41</v>
      </c>
      <c r="R11">
        <v>-1.6</v>
      </c>
      <c r="S11" t="s">
        <v>64</v>
      </c>
      <c r="T11">
        <v>40</v>
      </c>
      <c r="U11">
        <v>4</v>
      </c>
      <c r="V11">
        <v>160</v>
      </c>
      <c r="W11">
        <v>155</v>
      </c>
      <c r="X11">
        <v>20.5</v>
      </c>
      <c r="Y11">
        <v>2050</v>
      </c>
      <c r="Z11">
        <v>20500</v>
      </c>
      <c r="AA11">
        <v>128.125</v>
      </c>
      <c r="AB11">
        <v>132.258064516129</v>
      </c>
      <c r="AC11" t="s">
        <v>65</v>
      </c>
      <c r="AD11" t="s">
        <v>78</v>
      </c>
      <c r="AE11" t="s">
        <v>67</v>
      </c>
      <c r="AF11">
        <v>8</v>
      </c>
      <c r="AG11">
        <f t="shared" si="0"/>
        <v>2</v>
      </c>
      <c r="AH11" s="5">
        <f t="shared" si="1"/>
        <v>8</v>
      </c>
      <c r="AI11">
        <f t="shared" si="2"/>
        <v>2</v>
      </c>
      <c r="AJ11" t="str">
        <f t="shared" si="3"/>
        <v>AND_south_L2</v>
      </c>
      <c r="AK11" t="s">
        <v>718</v>
      </c>
    </row>
    <row r="12" spans="1:37" x14ac:dyDescent="0.25">
      <c r="A12">
        <v>11</v>
      </c>
      <c r="B12" t="s">
        <v>31</v>
      </c>
      <c r="C12" t="s">
        <v>79</v>
      </c>
      <c r="D12" t="s">
        <v>75</v>
      </c>
      <c r="E12" t="s">
        <v>34</v>
      </c>
      <c r="F12">
        <v>2017</v>
      </c>
      <c r="G12" t="s">
        <v>35</v>
      </c>
      <c r="H12" t="s">
        <v>76</v>
      </c>
      <c r="I12" t="s">
        <v>54</v>
      </c>
      <c r="J12" t="s">
        <v>38</v>
      </c>
      <c r="K12" t="s">
        <v>77</v>
      </c>
      <c r="L12" t="s">
        <v>69</v>
      </c>
      <c r="M12" s="1">
        <v>42888</v>
      </c>
      <c r="N12">
        <v>47.138916999999999</v>
      </c>
      <c r="O12">
        <v>-122.725556</v>
      </c>
      <c r="P12" t="s">
        <v>40</v>
      </c>
      <c r="Q12" t="s">
        <v>41</v>
      </c>
      <c r="R12" t="s">
        <v>44</v>
      </c>
      <c r="S12" t="s">
        <v>44</v>
      </c>
      <c r="T12" t="s">
        <v>44</v>
      </c>
      <c r="U12" t="s">
        <v>44</v>
      </c>
      <c r="V12" t="s">
        <v>44</v>
      </c>
      <c r="W12" t="s">
        <v>44</v>
      </c>
      <c r="X12" t="s">
        <v>44</v>
      </c>
      <c r="Y12" t="s">
        <v>44</v>
      </c>
      <c r="Z12" t="s">
        <v>44</v>
      </c>
      <c r="AA12" t="s">
        <v>44</v>
      </c>
      <c r="AB12" t="s">
        <v>44</v>
      </c>
      <c r="AC12" t="s">
        <v>44</v>
      </c>
      <c r="AD12" t="s">
        <v>44</v>
      </c>
      <c r="AE12" t="s">
        <v>67</v>
      </c>
      <c r="AF12">
        <v>8</v>
      </c>
      <c r="AG12">
        <f t="shared" si="0"/>
        <v>2</v>
      </c>
      <c r="AH12" s="5">
        <f t="shared" si="1"/>
        <v>8</v>
      </c>
      <c r="AI12">
        <f t="shared" si="2"/>
        <v>2</v>
      </c>
      <c r="AJ12" t="str">
        <f t="shared" si="3"/>
        <v>AND_south_L2</v>
      </c>
      <c r="AK12" t="s">
        <v>718</v>
      </c>
    </row>
    <row r="13" spans="1:37" x14ac:dyDescent="0.25">
      <c r="A13">
        <v>12</v>
      </c>
      <c r="B13" t="s">
        <v>31</v>
      </c>
      <c r="C13" t="s">
        <v>80</v>
      </c>
      <c r="D13" t="s">
        <v>81</v>
      </c>
      <c r="E13" t="s">
        <v>34</v>
      </c>
      <c r="F13">
        <v>2017</v>
      </c>
      <c r="G13" t="s">
        <v>35</v>
      </c>
      <c r="H13" t="s">
        <v>76</v>
      </c>
      <c r="I13" t="s">
        <v>54</v>
      </c>
      <c r="J13" t="s">
        <v>38</v>
      </c>
      <c r="K13" t="s">
        <v>77</v>
      </c>
      <c r="L13" t="s">
        <v>77</v>
      </c>
      <c r="M13" s="1">
        <v>42890</v>
      </c>
      <c r="N13">
        <v>47.138249999999999</v>
      </c>
      <c r="O13">
        <v>-122.72369399999999</v>
      </c>
      <c r="P13" t="s">
        <v>40</v>
      </c>
      <c r="Q13" t="s">
        <v>41</v>
      </c>
      <c r="R13">
        <v>-1.6</v>
      </c>
      <c r="S13" t="s">
        <v>64</v>
      </c>
      <c r="T13">
        <v>40</v>
      </c>
      <c r="U13">
        <v>4</v>
      </c>
      <c r="V13">
        <v>160</v>
      </c>
      <c r="W13">
        <v>160</v>
      </c>
      <c r="X13">
        <v>24.83</v>
      </c>
      <c r="Y13">
        <v>2483</v>
      </c>
      <c r="Z13">
        <v>24830</v>
      </c>
      <c r="AA13">
        <v>155.1875</v>
      </c>
      <c r="AB13">
        <v>155.1875</v>
      </c>
      <c r="AC13" t="s">
        <v>65</v>
      </c>
      <c r="AD13" t="s">
        <v>82</v>
      </c>
      <c r="AE13" t="s">
        <v>67</v>
      </c>
      <c r="AF13">
        <v>9</v>
      </c>
      <c r="AG13">
        <f t="shared" si="0"/>
        <v>2</v>
      </c>
      <c r="AH13" s="5">
        <f t="shared" si="1"/>
        <v>9</v>
      </c>
      <c r="AI13">
        <f t="shared" si="2"/>
        <v>2</v>
      </c>
      <c r="AJ13" t="str">
        <f t="shared" si="3"/>
        <v>AND_south_L3</v>
      </c>
      <c r="AK13" t="s">
        <v>718</v>
      </c>
    </row>
    <row r="14" spans="1:37" x14ac:dyDescent="0.25">
      <c r="A14">
        <v>13</v>
      </c>
      <c r="B14" t="s">
        <v>31</v>
      </c>
      <c r="C14" t="s">
        <v>83</v>
      </c>
      <c r="D14" t="s">
        <v>81</v>
      </c>
      <c r="E14" t="s">
        <v>34</v>
      </c>
      <c r="F14">
        <v>2017</v>
      </c>
      <c r="G14" t="s">
        <v>35</v>
      </c>
      <c r="H14" t="s">
        <v>76</v>
      </c>
      <c r="I14" t="s">
        <v>54</v>
      </c>
      <c r="J14" t="s">
        <v>38</v>
      </c>
      <c r="K14" t="s">
        <v>77</v>
      </c>
      <c r="L14" t="s">
        <v>69</v>
      </c>
      <c r="M14" s="1">
        <v>42890</v>
      </c>
      <c r="N14">
        <v>47.138444</v>
      </c>
      <c r="O14">
        <v>-122.72416699999999</v>
      </c>
      <c r="P14" t="s">
        <v>40</v>
      </c>
      <c r="Q14" t="s">
        <v>41</v>
      </c>
      <c r="R14" t="s">
        <v>44</v>
      </c>
      <c r="S14" t="s">
        <v>44</v>
      </c>
      <c r="T14" t="s">
        <v>44</v>
      </c>
      <c r="U14" t="s">
        <v>44</v>
      </c>
      <c r="V14" t="s">
        <v>44</v>
      </c>
      <c r="W14" t="s">
        <v>44</v>
      </c>
      <c r="X14" t="s">
        <v>44</v>
      </c>
      <c r="Y14" t="s">
        <v>44</v>
      </c>
      <c r="Z14" t="s">
        <v>44</v>
      </c>
      <c r="AA14" t="s">
        <v>44</v>
      </c>
      <c r="AB14" t="s">
        <v>44</v>
      </c>
      <c r="AC14" t="s">
        <v>44</v>
      </c>
      <c r="AD14" t="s">
        <v>44</v>
      </c>
      <c r="AE14" t="s">
        <v>67</v>
      </c>
      <c r="AF14">
        <v>9</v>
      </c>
      <c r="AG14">
        <f t="shared" si="0"/>
        <v>2</v>
      </c>
      <c r="AH14" s="5">
        <f t="shared" si="1"/>
        <v>9</v>
      </c>
      <c r="AI14">
        <f t="shared" si="2"/>
        <v>2</v>
      </c>
      <c r="AJ14" t="str">
        <f t="shared" si="3"/>
        <v>AND_south_L3</v>
      </c>
      <c r="AK14" t="s">
        <v>718</v>
      </c>
    </row>
    <row r="15" spans="1:37" x14ac:dyDescent="0.25">
      <c r="A15">
        <v>14</v>
      </c>
      <c r="B15" t="s">
        <v>31</v>
      </c>
      <c r="C15" t="s">
        <v>84</v>
      </c>
      <c r="D15" t="s">
        <v>85</v>
      </c>
      <c r="E15" t="s">
        <v>34</v>
      </c>
      <c r="F15">
        <v>2017</v>
      </c>
      <c r="G15" t="s">
        <v>35</v>
      </c>
      <c r="H15" t="s">
        <v>63</v>
      </c>
      <c r="I15" t="s">
        <v>54</v>
      </c>
      <c r="J15" t="s">
        <v>38</v>
      </c>
      <c r="K15" t="s">
        <v>77</v>
      </c>
      <c r="L15" t="s">
        <v>77</v>
      </c>
      <c r="M15" s="1">
        <v>42955</v>
      </c>
      <c r="N15">
        <v>47.132633329999997</v>
      </c>
      <c r="O15">
        <v>-122.7181167</v>
      </c>
      <c r="P15" t="s">
        <v>40</v>
      </c>
      <c r="Q15" t="s">
        <v>41</v>
      </c>
      <c r="R15">
        <v>-1.31064</v>
      </c>
      <c r="S15" t="s">
        <v>55</v>
      </c>
      <c r="T15">
        <v>30</v>
      </c>
      <c r="U15">
        <v>5</v>
      </c>
      <c r="V15">
        <v>150</v>
      </c>
      <c r="W15">
        <v>105.25</v>
      </c>
      <c r="X15">
        <v>10.525</v>
      </c>
      <c r="Y15">
        <v>421</v>
      </c>
      <c r="Z15">
        <v>10525</v>
      </c>
      <c r="AA15">
        <v>70.1666666666667</v>
      </c>
      <c r="AB15">
        <v>100</v>
      </c>
      <c r="AC15" t="s">
        <v>43</v>
      </c>
      <c r="AD15" t="s">
        <v>86</v>
      </c>
      <c r="AE15" t="s">
        <v>57</v>
      </c>
      <c r="AF15">
        <v>10</v>
      </c>
      <c r="AG15">
        <f t="shared" si="0"/>
        <v>2</v>
      </c>
      <c r="AH15" s="5">
        <f t="shared" si="1"/>
        <v>10</v>
      </c>
      <c r="AI15">
        <f t="shared" si="2"/>
        <v>2</v>
      </c>
      <c r="AJ15" t="str">
        <f t="shared" si="3"/>
        <v>AND_south_L4</v>
      </c>
      <c r="AK15" t="s">
        <v>718</v>
      </c>
    </row>
    <row r="16" spans="1:37" x14ac:dyDescent="0.25">
      <c r="A16">
        <v>15</v>
      </c>
      <c r="B16" t="s">
        <v>31</v>
      </c>
      <c r="C16" t="s">
        <v>84</v>
      </c>
      <c r="D16" t="s">
        <v>85</v>
      </c>
      <c r="E16" t="s">
        <v>34</v>
      </c>
      <c r="F16">
        <v>2017</v>
      </c>
      <c r="G16" t="s">
        <v>35</v>
      </c>
      <c r="H16" t="s">
        <v>63</v>
      </c>
      <c r="I16" t="s">
        <v>54</v>
      </c>
      <c r="J16" t="s">
        <v>38</v>
      </c>
      <c r="K16" t="s">
        <v>77</v>
      </c>
      <c r="L16" t="s">
        <v>69</v>
      </c>
      <c r="M16" s="1">
        <v>42955</v>
      </c>
      <c r="N16">
        <v>47.132379999999998</v>
      </c>
      <c r="O16">
        <v>-122.71795</v>
      </c>
      <c r="P16" t="s">
        <v>40</v>
      </c>
      <c r="Q16" t="s">
        <v>41</v>
      </c>
      <c r="R16" t="s">
        <v>44</v>
      </c>
      <c r="S16" t="s">
        <v>44</v>
      </c>
      <c r="T16" t="s">
        <v>44</v>
      </c>
      <c r="U16" t="s">
        <v>44</v>
      </c>
      <c r="V16" t="s">
        <v>44</v>
      </c>
      <c r="W16" t="s">
        <v>44</v>
      </c>
      <c r="X16" t="s">
        <v>44</v>
      </c>
      <c r="Y16" t="s">
        <v>44</v>
      </c>
      <c r="Z16" t="s">
        <v>44</v>
      </c>
      <c r="AA16" t="s">
        <v>44</v>
      </c>
      <c r="AB16" t="s">
        <v>44</v>
      </c>
      <c r="AC16" t="s">
        <v>44</v>
      </c>
      <c r="AD16" t="s">
        <v>44</v>
      </c>
      <c r="AE16" t="s">
        <v>57</v>
      </c>
      <c r="AF16">
        <v>10</v>
      </c>
      <c r="AG16">
        <f t="shared" si="0"/>
        <v>2</v>
      </c>
      <c r="AH16" s="5">
        <f t="shared" si="1"/>
        <v>10</v>
      </c>
      <c r="AI16">
        <f t="shared" si="2"/>
        <v>2</v>
      </c>
      <c r="AJ16" t="str">
        <f t="shared" si="3"/>
        <v>AND_south_L4</v>
      </c>
      <c r="AK16" t="s">
        <v>718</v>
      </c>
    </row>
    <row r="17" spans="1:38" x14ac:dyDescent="0.25">
      <c r="A17">
        <v>16</v>
      </c>
      <c r="B17" t="s">
        <v>31</v>
      </c>
      <c r="C17" t="s">
        <v>87</v>
      </c>
      <c r="D17" t="s">
        <v>88</v>
      </c>
      <c r="E17" t="s">
        <v>34</v>
      </c>
      <c r="F17">
        <v>2020</v>
      </c>
      <c r="G17" t="s">
        <v>35</v>
      </c>
      <c r="H17" t="s">
        <v>36</v>
      </c>
      <c r="I17" t="s">
        <v>37</v>
      </c>
      <c r="J17" t="s">
        <v>38</v>
      </c>
      <c r="K17" t="s">
        <v>39</v>
      </c>
      <c r="L17" t="s">
        <v>39</v>
      </c>
      <c r="M17" s="1">
        <v>44012</v>
      </c>
      <c r="N17">
        <v>47.160375999999999</v>
      </c>
      <c r="O17">
        <v>-122.72771659999999</v>
      </c>
      <c r="P17" t="s">
        <v>40</v>
      </c>
      <c r="Q17" t="s">
        <v>41</v>
      </c>
      <c r="R17">
        <v>-1.1000000000000001</v>
      </c>
      <c r="S17" t="s">
        <v>55</v>
      </c>
      <c r="T17">
        <v>2.5</v>
      </c>
      <c r="U17">
        <v>2.5</v>
      </c>
      <c r="V17">
        <v>6.25</v>
      </c>
      <c r="W17">
        <v>4.75</v>
      </c>
      <c r="X17">
        <v>0.47499999999999998</v>
      </c>
      <c r="Y17">
        <v>19</v>
      </c>
      <c r="Z17">
        <v>475</v>
      </c>
      <c r="AA17">
        <v>76</v>
      </c>
      <c r="AB17">
        <v>100</v>
      </c>
      <c r="AC17" t="s">
        <v>31</v>
      </c>
      <c r="AD17" t="s">
        <v>89</v>
      </c>
      <c r="AE17" t="s">
        <v>90</v>
      </c>
      <c r="AF17">
        <v>11</v>
      </c>
      <c r="AG17">
        <f t="shared" si="0"/>
        <v>1</v>
      </c>
      <c r="AH17" s="5" t="str">
        <f t="shared" si="1"/>
        <v/>
      </c>
      <c r="AI17">
        <f t="shared" si="2"/>
        <v>1</v>
      </c>
      <c r="AJ17" t="str">
        <f t="shared" si="3"/>
        <v/>
      </c>
    </row>
    <row r="18" spans="1:38" x14ac:dyDescent="0.25">
      <c r="A18">
        <v>17</v>
      </c>
      <c r="B18" t="s">
        <v>31</v>
      </c>
      <c r="C18" t="s">
        <v>91</v>
      </c>
      <c r="D18" t="s">
        <v>92</v>
      </c>
      <c r="E18" t="s">
        <v>34</v>
      </c>
      <c r="F18">
        <v>2020</v>
      </c>
      <c r="G18" t="s">
        <v>35</v>
      </c>
      <c r="H18" t="s">
        <v>36</v>
      </c>
      <c r="I18" t="s">
        <v>37</v>
      </c>
      <c r="J18" t="s">
        <v>38</v>
      </c>
      <c r="K18" t="s">
        <v>39</v>
      </c>
      <c r="L18" t="s">
        <v>39</v>
      </c>
      <c r="M18" s="1">
        <v>44013</v>
      </c>
      <c r="N18">
        <v>47.172138166000003</v>
      </c>
      <c r="O18">
        <v>-122.7279458</v>
      </c>
      <c r="P18" t="s">
        <v>40</v>
      </c>
      <c r="Q18" t="s">
        <v>41</v>
      </c>
      <c r="R18">
        <v>-1.2</v>
      </c>
      <c r="S18" t="s">
        <v>55</v>
      </c>
      <c r="T18">
        <v>3</v>
      </c>
      <c r="U18">
        <v>2.5</v>
      </c>
      <c r="V18">
        <v>7.5</v>
      </c>
      <c r="W18">
        <v>6.25</v>
      </c>
      <c r="X18">
        <v>0.625</v>
      </c>
      <c r="Y18">
        <v>25</v>
      </c>
      <c r="Z18">
        <v>625</v>
      </c>
      <c r="AA18">
        <v>83.3333333333333</v>
      </c>
      <c r="AB18">
        <v>100</v>
      </c>
      <c r="AC18" t="s">
        <v>31</v>
      </c>
      <c r="AD18" t="s">
        <v>93</v>
      </c>
      <c r="AE18" t="s">
        <v>90</v>
      </c>
      <c r="AF18">
        <v>12</v>
      </c>
      <c r="AG18">
        <f t="shared" si="0"/>
        <v>1</v>
      </c>
      <c r="AH18" s="5" t="str">
        <f t="shared" si="1"/>
        <v/>
      </c>
      <c r="AI18">
        <f t="shared" si="2"/>
        <v>1</v>
      </c>
      <c r="AJ18" t="str">
        <f t="shared" si="3"/>
        <v/>
      </c>
    </row>
    <row r="19" spans="1:38" x14ac:dyDescent="0.25">
      <c r="A19">
        <v>18</v>
      </c>
      <c r="B19" t="s">
        <v>31</v>
      </c>
      <c r="C19" t="s">
        <v>94</v>
      </c>
      <c r="D19" t="s">
        <v>95</v>
      </c>
      <c r="E19" t="s">
        <v>34</v>
      </c>
      <c r="F19">
        <v>2020</v>
      </c>
      <c r="G19" t="s">
        <v>35</v>
      </c>
      <c r="H19" t="s">
        <v>36</v>
      </c>
      <c r="I19" t="s">
        <v>37</v>
      </c>
      <c r="J19" t="s">
        <v>38</v>
      </c>
      <c r="K19" t="s">
        <v>39</v>
      </c>
      <c r="L19" t="s">
        <v>39</v>
      </c>
      <c r="M19" s="1">
        <v>44012</v>
      </c>
      <c r="N19">
        <v>47.182099999999998</v>
      </c>
      <c r="O19">
        <v>-122.71379159999999</v>
      </c>
      <c r="P19" t="s">
        <v>40</v>
      </c>
      <c r="Q19" t="s">
        <v>41</v>
      </c>
      <c r="R19">
        <v>-1.3</v>
      </c>
      <c r="S19" t="s">
        <v>55</v>
      </c>
      <c r="T19">
        <v>2.5</v>
      </c>
      <c r="U19">
        <v>2.5</v>
      </c>
      <c r="V19">
        <v>6.25</v>
      </c>
      <c r="W19">
        <v>5</v>
      </c>
      <c r="X19">
        <v>0.5</v>
      </c>
      <c r="Y19">
        <v>20</v>
      </c>
      <c r="Z19">
        <v>500</v>
      </c>
      <c r="AA19">
        <v>80</v>
      </c>
      <c r="AB19">
        <v>100</v>
      </c>
      <c r="AC19" t="s">
        <v>31</v>
      </c>
      <c r="AD19" t="s">
        <v>96</v>
      </c>
      <c r="AE19" t="s">
        <v>90</v>
      </c>
      <c r="AF19">
        <v>13</v>
      </c>
      <c r="AG19">
        <f t="shared" si="0"/>
        <v>1</v>
      </c>
      <c r="AH19" s="5" t="str">
        <f t="shared" si="1"/>
        <v/>
      </c>
      <c r="AI19">
        <f t="shared" si="2"/>
        <v>1</v>
      </c>
      <c r="AJ19" t="str">
        <f t="shared" si="3"/>
        <v/>
      </c>
    </row>
    <row r="20" spans="1:38" x14ac:dyDescent="0.25">
      <c r="A20">
        <v>19</v>
      </c>
      <c r="B20" t="s">
        <v>31</v>
      </c>
      <c r="C20" t="s">
        <v>97</v>
      </c>
      <c r="D20" t="s">
        <v>98</v>
      </c>
      <c r="E20" t="s">
        <v>34</v>
      </c>
      <c r="F20">
        <v>2021</v>
      </c>
      <c r="G20" t="s">
        <v>44</v>
      </c>
      <c r="H20" t="s">
        <v>44</v>
      </c>
      <c r="I20" t="s">
        <v>44</v>
      </c>
      <c r="J20" t="s">
        <v>44</v>
      </c>
      <c r="K20" t="s">
        <v>39</v>
      </c>
      <c r="L20" t="s">
        <v>39</v>
      </c>
      <c r="M20" s="1">
        <v>44369</v>
      </c>
      <c r="N20" t="s">
        <v>44</v>
      </c>
      <c r="O20" t="s">
        <v>44</v>
      </c>
      <c r="P20" t="s">
        <v>40</v>
      </c>
      <c r="Q20" t="s">
        <v>41</v>
      </c>
      <c r="R20">
        <v>-1.5</v>
      </c>
      <c r="S20" t="s">
        <v>55</v>
      </c>
      <c r="T20">
        <v>3.5</v>
      </c>
      <c r="U20">
        <v>0.5</v>
      </c>
      <c r="V20">
        <v>1.75</v>
      </c>
      <c r="W20">
        <v>2.25</v>
      </c>
      <c r="X20">
        <v>0.22500000000000001</v>
      </c>
      <c r="Y20">
        <v>9</v>
      </c>
      <c r="Z20">
        <v>135</v>
      </c>
      <c r="AA20">
        <v>77.142857142857096</v>
      </c>
      <c r="AB20">
        <v>60</v>
      </c>
      <c r="AC20" t="s">
        <v>99</v>
      </c>
      <c r="AD20" t="s">
        <v>44</v>
      </c>
      <c r="AE20" t="s">
        <v>100</v>
      </c>
      <c r="AF20">
        <v>14</v>
      </c>
      <c r="AG20">
        <f t="shared" si="0"/>
        <v>1</v>
      </c>
      <c r="AH20" s="5" t="str">
        <f t="shared" si="1"/>
        <v/>
      </c>
      <c r="AI20">
        <f t="shared" si="2"/>
        <v>1</v>
      </c>
      <c r="AJ20" t="str">
        <f t="shared" si="3"/>
        <v/>
      </c>
    </row>
    <row r="21" spans="1:38" x14ac:dyDescent="0.25">
      <c r="A21">
        <v>20</v>
      </c>
      <c r="B21" t="s">
        <v>31</v>
      </c>
      <c r="C21" t="s">
        <v>101</v>
      </c>
      <c r="D21" t="s">
        <v>102</v>
      </c>
      <c r="E21" t="s">
        <v>34</v>
      </c>
      <c r="F21">
        <v>2021</v>
      </c>
      <c r="G21" t="s">
        <v>44</v>
      </c>
      <c r="H21" t="s">
        <v>44</v>
      </c>
      <c r="I21" t="s">
        <v>44</v>
      </c>
      <c r="J21" t="s">
        <v>44</v>
      </c>
      <c r="K21" t="s">
        <v>39</v>
      </c>
      <c r="L21" t="s">
        <v>39</v>
      </c>
      <c r="M21" s="1">
        <v>44372</v>
      </c>
      <c r="N21" t="s">
        <v>44</v>
      </c>
      <c r="O21" t="s">
        <v>44</v>
      </c>
      <c r="P21" t="s">
        <v>40</v>
      </c>
      <c r="Q21" t="s">
        <v>41</v>
      </c>
      <c r="R21">
        <v>-1.5</v>
      </c>
      <c r="S21" t="s">
        <v>55</v>
      </c>
      <c r="T21">
        <v>3.5</v>
      </c>
      <c r="U21">
        <v>0.5</v>
      </c>
      <c r="V21">
        <v>1.75</v>
      </c>
      <c r="W21">
        <v>2.25</v>
      </c>
      <c r="X21">
        <v>0.22500000000000001</v>
      </c>
      <c r="Y21">
        <v>9</v>
      </c>
      <c r="Z21">
        <v>135</v>
      </c>
      <c r="AA21">
        <v>77.142857142857096</v>
      </c>
      <c r="AB21">
        <v>60</v>
      </c>
      <c r="AC21" t="s">
        <v>99</v>
      </c>
      <c r="AD21" t="s">
        <v>44</v>
      </c>
      <c r="AE21" t="s">
        <v>100</v>
      </c>
      <c r="AF21">
        <v>15</v>
      </c>
      <c r="AG21">
        <f t="shared" si="0"/>
        <v>1</v>
      </c>
      <c r="AH21" s="5" t="str">
        <f t="shared" si="1"/>
        <v/>
      </c>
      <c r="AI21">
        <f t="shared" si="2"/>
        <v>1</v>
      </c>
      <c r="AJ21" t="str">
        <f t="shared" si="3"/>
        <v/>
      </c>
    </row>
    <row r="22" spans="1:38" x14ac:dyDescent="0.25">
      <c r="A22">
        <v>21</v>
      </c>
      <c r="B22" t="s">
        <v>31</v>
      </c>
      <c r="C22" t="s">
        <v>103</v>
      </c>
      <c r="D22" t="s">
        <v>104</v>
      </c>
      <c r="E22" t="s">
        <v>34</v>
      </c>
      <c r="F22">
        <v>2021</v>
      </c>
      <c r="G22" t="s">
        <v>44</v>
      </c>
      <c r="H22" t="s">
        <v>44</v>
      </c>
      <c r="I22" t="s">
        <v>44</v>
      </c>
      <c r="J22" t="s">
        <v>44</v>
      </c>
      <c r="K22" t="s">
        <v>39</v>
      </c>
      <c r="L22" t="s">
        <v>39</v>
      </c>
      <c r="M22" s="1">
        <v>44372</v>
      </c>
      <c r="N22" t="s">
        <v>44</v>
      </c>
      <c r="O22" t="s">
        <v>44</v>
      </c>
      <c r="P22" t="s">
        <v>40</v>
      </c>
      <c r="Q22" t="s">
        <v>41</v>
      </c>
      <c r="R22">
        <v>-1.5</v>
      </c>
      <c r="S22" t="s">
        <v>55</v>
      </c>
      <c r="T22">
        <v>3.5</v>
      </c>
      <c r="U22">
        <v>0.5</v>
      </c>
      <c r="V22">
        <v>1.75</v>
      </c>
      <c r="W22">
        <v>2.25</v>
      </c>
      <c r="X22">
        <v>0.22500000000000001</v>
      </c>
      <c r="Y22">
        <v>9</v>
      </c>
      <c r="Z22">
        <v>135</v>
      </c>
      <c r="AA22">
        <v>77.142857142857096</v>
      </c>
      <c r="AB22">
        <v>60</v>
      </c>
      <c r="AC22" t="s">
        <v>99</v>
      </c>
      <c r="AD22" t="s">
        <v>44</v>
      </c>
      <c r="AE22" t="s">
        <v>100</v>
      </c>
      <c r="AF22">
        <v>16</v>
      </c>
      <c r="AG22">
        <f t="shared" si="0"/>
        <v>1</v>
      </c>
      <c r="AH22" s="5" t="str">
        <f t="shared" si="1"/>
        <v/>
      </c>
      <c r="AI22">
        <f t="shared" si="2"/>
        <v>1</v>
      </c>
      <c r="AJ22" t="str">
        <f t="shared" si="3"/>
        <v/>
      </c>
    </row>
    <row r="23" spans="1:38" x14ac:dyDescent="0.25">
      <c r="A23">
        <v>22</v>
      </c>
      <c r="B23" t="s">
        <v>31</v>
      </c>
      <c r="C23" t="s">
        <v>105</v>
      </c>
      <c r="D23" t="s">
        <v>106</v>
      </c>
      <c r="E23" t="s">
        <v>34</v>
      </c>
      <c r="F23">
        <v>2023</v>
      </c>
      <c r="G23" t="s">
        <v>44</v>
      </c>
      <c r="H23" t="s">
        <v>36</v>
      </c>
      <c r="I23" t="s">
        <v>107</v>
      </c>
      <c r="J23" t="s">
        <v>38</v>
      </c>
      <c r="K23" t="s">
        <v>39</v>
      </c>
      <c r="L23" t="s">
        <v>39</v>
      </c>
      <c r="M23" s="1">
        <v>45082</v>
      </c>
      <c r="N23">
        <v>47.141539999999999</v>
      </c>
      <c r="O23">
        <v>-122.73026</v>
      </c>
      <c r="P23" t="s">
        <v>40</v>
      </c>
      <c r="Q23" t="s">
        <v>41</v>
      </c>
      <c r="R23">
        <v>-1.5</v>
      </c>
      <c r="S23" t="s">
        <v>55</v>
      </c>
      <c r="T23">
        <v>1.5</v>
      </c>
      <c r="U23">
        <v>0.5</v>
      </c>
      <c r="V23">
        <v>0.75</v>
      </c>
      <c r="W23">
        <v>2.25</v>
      </c>
      <c r="X23">
        <v>0.22500000000000001</v>
      </c>
      <c r="Y23">
        <v>9</v>
      </c>
      <c r="Z23">
        <v>150</v>
      </c>
      <c r="AA23">
        <v>200</v>
      </c>
      <c r="AB23">
        <v>66.6666666666667</v>
      </c>
      <c r="AC23" t="s">
        <v>99</v>
      </c>
      <c r="AD23" t="s">
        <v>44</v>
      </c>
      <c r="AE23" t="s">
        <v>100</v>
      </c>
      <c r="AF23">
        <v>17</v>
      </c>
      <c r="AG23">
        <f t="shared" si="0"/>
        <v>1</v>
      </c>
      <c r="AH23" s="5" t="str">
        <f t="shared" si="1"/>
        <v/>
      </c>
      <c r="AI23">
        <f t="shared" si="2"/>
        <v>1</v>
      </c>
      <c r="AJ23" t="str">
        <f t="shared" si="3"/>
        <v/>
      </c>
    </row>
    <row r="24" spans="1:38" x14ac:dyDescent="0.25">
      <c r="A24">
        <v>23</v>
      </c>
      <c r="B24" t="s">
        <v>108</v>
      </c>
      <c r="C24" t="s">
        <v>109</v>
      </c>
      <c r="D24" t="s">
        <v>110</v>
      </c>
      <c r="E24" t="s">
        <v>34</v>
      </c>
      <c r="F24">
        <v>2020</v>
      </c>
      <c r="G24" t="s">
        <v>111</v>
      </c>
      <c r="H24" t="s">
        <v>63</v>
      </c>
      <c r="I24" t="s">
        <v>108</v>
      </c>
      <c r="J24" t="s">
        <v>112</v>
      </c>
      <c r="K24" t="s">
        <v>39</v>
      </c>
      <c r="L24" t="s">
        <v>39</v>
      </c>
      <c r="M24" s="1">
        <v>44045</v>
      </c>
      <c r="N24">
        <v>48.578159999999997</v>
      </c>
      <c r="O24">
        <v>-122.94099</v>
      </c>
      <c r="P24" t="s">
        <v>40</v>
      </c>
      <c r="Q24" t="s">
        <v>41</v>
      </c>
      <c r="R24">
        <v>-1.7</v>
      </c>
      <c r="S24" t="s">
        <v>55</v>
      </c>
      <c r="T24">
        <v>14</v>
      </c>
      <c r="U24">
        <v>1</v>
      </c>
      <c r="V24">
        <v>14</v>
      </c>
      <c r="W24">
        <v>4</v>
      </c>
      <c r="X24">
        <v>0.4</v>
      </c>
      <c r="Y24">
        <v>16</v>
      </c>
      <c r="Z24">
        <v>320</v>
      </c>
      <c r="AA24">
        <v>22.8571428571429</v>
      </c>
      <c r="AB24">
        <v>80</v>
      </c>
      <c r="AC24" t="s">
        <v>113</v>
      </c>
      <c r="AD24" t="s">
        <v>114</v>
      </c>
      <c r="AE24" t="s">
        <v>115</v>
      </c>
      <c r="AF24">
        <v>18</v>
      </c>
      <c r="AG24">
        <f t="shared" si="0"/>
        <v>1</v>
      </c>
      <c r="AH24" s="5" t="str">
        <f t="shared" si="1"/>
        <v/>
      </c>
      <c r="AI24">
        <f t="shared" si="2"/>
        <v>5</v>
      </c>
      <c r="AJ24" s="7" t="str">
        <f t="shared" si="3"/>
        <v>BB_test_1</v>
      </c>
      <c r="AK24" t="s">
        <v>409</v>
      </c>
      <c r="AL24" t="s">
        <v>712</v>
      </c>
    </row>
    <row r="25" spans="1:38" x14ac:dyDescent="0.25">
      <c r="A25">
        <v>24</v>
      </c>
      <c r="B25" t="s">
        <v>108</v>
      </c>
      <c r="C25" t="s">
        <v>109</v>
      </c>
      <c r="D25" t="s">
        <v>110</v>
      </c>
      <c r="E25" t="s">
        <v>34</v>
      </c>
      <c r="F25">
        <v>2020</v>
      </c>
      <c r="G25" t="s">
        <v>111</v>
      </c>
      <c r="H25" t="s">
        <v>63</v>
      </c>
      <c r="I25" t="s">
        <v>108</v>
      </c>
      <c r="J25" t="s">
        <v>112</v>
      </c>
      <c r="K25" t="s">
        <v>39</v>
      </c>
      <c r="L25" t="s">
        <v>39</v>
      </c>
      <c r="M25" s="1">
        <v>44045</v>
      </c>
      <c r="N25">
        <v>48.578159999999997</v>
      </c>
      <c r="O25">
        <v>-122.94099</v>
      </c>
      <c r="P25" t="s">
        <v>40</v>
      </c>
      <c r="Q25" t="s">
        <v>41</v>
      </c>
      <c r="R25">
        <v>-1.7</v>
      </c>
      <c r="S25" t="s">
        <v>55</v>
      </c>
      <c r="T25">
        <v>14</v>
      </c>
      <c r="U25">
        <v>1</v>
      </c>
      <c r="V25">
        <v>14</v>
      </c>
      <c r="W25">
        <v>0.75</v>
      </c>
      <c r="X25">
        <v>7.4999999999999997E-2</v>
      </c>
      <c r="Y25">
        <v>3</v>
      </c>
      <c r="Z25">
        <v>60</v>
      </c>
      <c r="AA25">
        <v>4.28571428571429</v>
      </c>
      <c r="AB25">
        <v>80</v>
      </c>
      <c r="AC25" t="s">
        <v>116</v>
      </c>
      <c r="AD25" t="s">
        <v>114</v>
      </c>
      <c r="AE25" t="s">
        <v>115</v>
      </c>
      <c r="AF25">
        <v>19</v>
      </c>
      <c r="AG25">
        <f t="shared" si="0"/>
        <v>1</v>
      </c>
      <c r="AH25" s="5" t="str">
        <f t="shared" si="1"/>
        <v/>
      </c>
      <c r="AI25">
        <f t="shared" si="2"/>
        <v>5</v>
      </c>
      <c r="AJ25" s="7" t="str">
        <f t="shared" si="3"/>
        <v>BB_test_1</v>
      </c>
      <c r="AK25" t="s">
        <v>409</v>
      </c>
    </row>
    <row r="26" spans="1:38" x14ac:dyDescent="0.25">
      <c r="A26">
        <v>25</v>
      </c>
      <c r="B26" t="s">
        <v>108</v>
      </c>
      <c r="C26" t="s">
        <v>109</v>
      </c>
      <c r="D26" t="s">
        <v>110</v>
      </c>
      <c r="E26" t="s">
        <v>34</v>
      </c>
      <c r="F26">
        <v>2020</v>
      </c>
      <c r="G26" t="s">
        <v>111</v>
      </c>
      <c r="H26" t="s">
        <v>63</v>
      </c>
      <c r="I26" t="s">
        <v>108</v>
      </c>
      <c r="J26" t="s">
        <v>112</v>
      </c>
      <c r="K26" t="s">
        <v>39</v>
      </c>
      <c r="L26" t="s">
        <v>39</v>
      </c>
      <c r="M26" s="1">
        <v>44045</v>
      </c>
      <c r="N26">
        <v>48.578159999999997</v>
      </c>
      <c r="O26">
        <v>-122.94099</v>
      </c>
      <c r="P26" t="s">
        <v>40</v>
      </c>
      <c r="Q26" t="s">
        <v>41</v>
      </c>
      <c r="R26">
        <v>-1.7</v>
      </c>
      <c r="S26" t="s">
        <v>55</v>
      </c>
      <c r="T26">
        <v>14</v>
      </c>
      <c r="U26">
        <v>1</v>
      </c>
      <c r="V26">
        <v>14</v>
      </c>
      <c r="W26">
        <v>2.25</v>
      </c>
      <c r="X26">
        <v>0.22500000000000001</v>
      </c>
      <c r="Y26">
        <v>9</v>
      </c>
      <c r="Z26">
        <v>135</v>
      </c>
      <c r="AA26">
        <v>9.6428571428571406</v>
      </c>
      <c r="AB26">
        <v>60</v>
      </c>
      <c r="AC26" t="s">
        <v>117</v>
      </c>
      <c r="AD26" t="s">
        <v>118</v>
      </c>
      <c r="AE26" t="s">
        <v>115</v>
      </c>
      <c r="AF26">
        <v>20</v>
      </c>
      <c r="AG26">
        <f t="shared" si="0"/>
        <v>1</v>
      </c>
      <c r="AH26" s="5" t="str">
        <f t="shared" si="1"/>
        <v/>
      </c>
      <c r="AI26">
        <f t="shared" si="2"/>
        <v>5</v>
      </c>
      <c r="AJ26" s="7" t="str">
        <f t="shared" si="3"/>
        <v>BB_test_1</v>
      </c>
      <c r="AK26" t="s">
        <v>409</v>
      </c>
    </row>
    <row r="27" spans="1:38" x14ac:dyDescent="0.25">
      <c r="A27">
        <v>26</v>
      </c>
      <c r="B27" t="s">
        <v>108</v>
      </c>
      <c r="C27" t="s">
        <v>109</v>
      </c>
      <c r="D27" t="s">
        <v>110</v>
      </c>
      <c r="E27" t="s">
        <v>34</v>
      </c>
      <c r="F27">
        <v>2020</v>
      </c>
      <c r="G27" t="s">
        <v>111</v>
      </c>
      <c r="H27" t="s">
        <v>63</v>
      </c>
      <c r="I27" t="s">
        <v>108</v>
      </c>
      <c r="J27" t="s">
        <v>112</v>
      </c>
      <c r="K27" t="s">
        <v>39</v>
      </c>
      <c r="L27" t="s">
        <v>39</v>
      </c>
      <c r="M27" s="1">
        <v>44045</v>
      </c>
      <c r="N27">
        <v>48.578159999999997</v>
      </c>
      <c r="O27">
        <v>-122.94099</v>
      </c>
      <c r="P27" t="s">
        <v>40</v>
      </c>
      <c r="Q27" t="s">
        <v>41</v>
      </c>
      <c r="R27">
        <v>-1.7</v>
      </c>
      <c r="S27" t="s">
        <v>55</v>
      </c>
      <c r="T27">
        <v>14</v>
      </c>
      <c r="U27">
        <v>1</v>
      </c>
      <c r="V27">
        <v>14</v>
      </c>
      <c r="W27">
        <v>3.75</v>
      </c>
      <c r="X27">
        <v>0.375</v>
      </c>
      <c r="Y27">
        <v>15</v>
      </c>
      <c r="Z27">
        <v>210</v>
      </c>
      <c r="AA27">
        <v>15</v>
      </c>
      <c r="AB27">
        <v>56</v>
      </c>
      <c r="AC27" t="s">
        <v>119</v>
      </c>
      <c r="AD27" t="s">
        <v>114</v>
      </c>
      <c r="AE27" t="s">
        <v>115</v>
      </c>
      <c r="AF27">
        <v>21</v>
      </c>
      <c r="AG27">
        <f t="shared" si="0"/>
        <v>1</v>
      </c>
      <c r="AH27" s="5" t="str">
        <f t="shared" si="1"/>
        <v/>
      </c>
      <c r="AI27">
        <f t="shared" si="2"/>
        <v>5</v>
      </c>
      <c r="AJ27" s="7" t="str">
        <f t="shared" si="3"/>
        <v>BB_test_1</v>
      </c>
      <c r="AK27" t="s">
        <v>409</v>
      </c>
    </row>
    <row r="28" spans="1:38" x14ac:dyDescent="0.25">
      <c r="A28">
        <v>27</v>
      </c>
      <c r="B28" t="s">
        <v>108</v>
      </c>
      <c r="C28" t="s">
        <v>109</v>
      </c>
      <c r="D28" t="s">
        <v>110</v>
      </c>
      <c r="E28" t="s">
        <v>34</v>
      </c>
      <c r="F28">
        <v>2020</v>
      </c>
      <c r="G28" t="s">
        <v>111</v>
      </c>
      <c r="H28" t="s">
        <v>63</v>
      </c>
      <c r="I28" t="s">
        <v>108</v>
      </c>
      <c r="J28" t="s">
        <v>112</v>
      </c>
      <c r="K28" t="s">
        <v>39</v>
      </c>
      <c r="L28" t="s">
        <v>39</v>
      </c>
      <c r="M28" s="1">
        <v>44045</v>
      </c>
      <c r="N28">
        <v>48.578159999999997</v>
      </c>
      <c r="O28">
        <v>-122.94099</v>
      </c>
      <c r="P28" t="s">
        <v>40</v>
      </c>
      <c r="Q28" t="s">
        <v>41</v>
      </c>
      <c r="R28">
        <v>-1.7</v>
      </c>
      <c r="S28" t="s">
        <v>55</v>
      </c>
      <c r="T28">
        <v>14</v>
      </c>
      <c r="U28">
        <v>1</v>
      </c>
      <c r="V28">
        <v>14</v>
      </c>
      <c r="W28">
        <v>1.75</v>
      </c>
      <c r="X28">
        <v>0.17499999999999999</v>
      </c>
      <c r="Y28">
        <v>7</v>
      </c>
      <c r="Z28">
        <v>175</v>
      </c>
      <c r="AA28">
        <v>12.5</v>
      </c>
      <c r="AB28">
        <v>100</v>
      </c>
      <c r="AC28" t="s">
        <v>120</v>
      </c>
      <c r="AD28" t="s">
        <v>114</v>
      </c>
      <c r="AE28" t="s">
        <v>115</v>
      </c>
      <c r="AF28">
        <v>22</v>
      </c>
      <c r="AG28">
        <f t="shared" si="0"/>
        <v>1</v>
      </c>
      <c r="AH28" s="5" t="str">
        <f t="shared" si="1"/>
        <v/>
      </c>
      <c r="AI28">
        <f t="shared" si="2"/>
        <v>5</v>
      </c>
      <c r="AJ28" s="7" t="str">
        <f t="shared" si="3"/>
        <v>BB_test_1</v>
      </c>
      <c r="AK28" t="s">
        <v>409</v>
      </c>
    </row>
    <row r="29" spans="1:38" x14ac:dyDescent="0.25">
      <c r="A29">
        <v>28</v>
      </c>
      <c r="B29" t="s">
        <v>121</v>
      </c>
      <c r="C29" t="s">
        <v>122</v>
      </c>
      <c r="D29" t="s">
        <v>123</v>
      </c>
      <c r="E29" t="s">
        <v>34</v>
      </c>
      <c r="F29">
        <v>2015</v>
      </c>
      <c r="G29" t="s">
        <v>44</v>
      </c>
      <c r="H29" t="s">
        <v>36</v>
      </c>
      <c r="I29" t="s">
        <v>124</v>
      </c>
      <c r="J29" t="s">
        <v>38</v>
      </c>
      <c r="K29" t="s">
        <v>39</v>
      </c>
      <c r="L29" t="s">
        <v>39</v>
      </c>
      <c r="M29" s="1">
        <v>42053</v>
      </c>
      <c r="N29">
        <v>47.606483333333301</v>
      </c>
      <c r="O29">
        <v>-122.699183333333</v>
      </c>
      <c r="P29" t="s">
        <v>40</v>
      </c>
      <c r="Q29" t="s">
        <v>41</v>
      </c>
      <c r="R29">
        <v>-0.85343999999999998</v>
      </c>
      <c r="S29" t="s">
        <v>42</v>
      </c>
      <c r="T29">
        <v>5</v>
      </c>
      <c r="U29">
        <v>5</v>
      </c>
      <c r="V29">
        <v>25</v>
      </c>
      <c r="W29">
        <v>25</v>
      </c>
      <c r="X29">
        <v>0.625</v>
      </c>
      <c r="Y29">
        <v>125</v>
      </c>
      <c r="Z29">
        <v>500</v>
      </c>
      <c r="AA29">
        <v>20</v>
      </c>
      <c r="AB29">
        <v>20</v>
      </c>
      <c r="AC29" t="s">
        <v>125</v>
      </c>
      <c r="AD29" t="s">
        <v>44</v>
      </c>
      <c r="AE29" t="s">
        <v>51</v>
      </c>
      <c r="AF29">
        <v>23</v>
      </c>
      <c r="AG29">
        <f t="shared" si="0"/>
        <v>1</v>
      </c>
      <c r="AH29" s="5" t="str">
        <f t="shared" si="1"/>
        <v/>
      </c>
      <c r="AI29">
        <f t="shared" si="2"/>
        <v>1</v>
      </c>
      <c r="AJ29" t="str">
        <f t="shared" si="3"/>
        <v/>
      </c>
    </row>
    <row r="30" spans="1:38" x14ac:dyDescent="0.25">
      <c r="A30">
        <v>29</v>
      </c>
      <c r="B30" t="s">
        <v>126</v>
      </c>
      <c r="C30" t="s">
        <v>127</v>
      </c>
      <c r="D30" t="s">
        <v>128</v>
      </c>
      <c r="E30" t="s">
        <v>34</v>
      </c>
      <c r="F30">
        <v>2017</v>
      </c>
      <c r="G30" t="s">
        <v>44</v>
      </c>
      <c r="H30" t="s">
        <v>36</v>
      </c>
      <c r="I30" t="s">
        <v>126</v>
      </c>
      <c r="J30" t="s">
        <v>38</v>
      </c>
      <c r="K30" t="s">
        <v>39</v>
      </c>
      <c r="L30" t="s">
        <v>39</v>
      </c>
      <c r="M30" s="1">
        <v>42978</v>
      </c>
      <c r="N30">
        <v>47.276260000000001</v>
      </c>
      <c r="O30">
        <v>-122.4636385</v>
      </c>
      <c r="P30" t="s">
        <v>40</v>
      </c>
      <c r="Q30" t="s">
        <v>41</v>
      </c>
      <c r="R30">
        <v>-1.524</v>
      </c>
      <c r="S30" t="s">
        <v>55</v>
      </c>
      <c r="T30">
        <v>2.5</v>
      </c>
      <c r="U30">
        <v>2.5</v>
      </c>
      <c r="V30">
        <v>6.25</v>
      </c>
      <c r="W30">
        <v>5</v>
      </c>
      <c r="X30">
        <v>0.5</v>
      </c>
      <c r="Y30">
        <v>20</v>
      </c>
      <c r="Z30">
        <v>500</v>
      </c>
      <c r="AA30">
        <v>80</v>
      </c>
      <c r="AB30">
        <v>100</v>
      </c>
      <c r="AC30" t="s">
        <v>125</v>
      </c>
      <c r="AD30" t="s">
        <v>44</v>
      </c>
      <c r="AE30" t="s">
        <v>129</v>
      </c>
      <c r="AF30">
        <v>24</v>
      </c>
      <c r="AG30">
        <f t="shared" si="0"/>
        <v>1</v>
      </c>
      <c r="AH30" s="5" t="str">
        <f t="shared" si="1"/>
        <v/>
      </c>
      <c r="AI30">
        <f t="shared" si="2"/>
        <v>1</v>
      </c>
      <c r="AJ30" t="str">
        <f t="shared" si="3"/>
        <v/>
      </c>
    </row>
    <row r="31" spans="1:38" x14ac:dyDescent="0.25">
      <c r="A31">
        <v>30</v>
      </c>
      <c r="B31" t="s">
        <v>126</v>
      </c>
      <c r="C31" t="s">
        <v>130</v>
      </c>
      <c r="D31" t="s">
        <v>131</v>
      </c>
      <c r="E31" t="s">
        <v>34</v>
      </c>
      <c r="F31">
        <v>2017</v>
      </c>
      <c r="G31" t="s">
        <v>44</v>
      </c>
      <c r="H31" t="s">
        <v>36</v>
      </c>
      <c r="I31" t="s">
        <v>126</v>
      </c>
      <c r="J31" t="s">
        <v>38</v>
      </c>
      <c r="K31" t="s">
        <v>39</v>
      </c>
      <c r="L31" t="s">
        <v>39</v>
      </c>
      <c r="M31" s="1">
        <v>42978</v>
      </c>
      <c r="N31">
        <v>47.276316666666702</v>
      </c>
      <c r="O31">
        <v>-122.463733333333</v>
      </c>
      <c r="P31" t="s">
        <v>40</v>
      </c>
      <c r="Q31" t="s">
        <v>41</v>
      </c>
      <c r="R31">
        <v>-2.4384000000000001</v>
      </c>
      <c r="S31" t="s">
        <v>55</v>
      </c>
      <c r="T31">
        <v>2.5</v>
      </c>
      <c r="U31">
        <v>2.5</v>
      </c>
      <c r="V31">
        <v>6.25</v>
      </c>
      <c r="W31">
        <v>5</v>
      </c>
      <c r="X31">
        <v>0.5</v>
      </c>
      <c r="Y31">
        <v>20</v>
      </c>
      <c r="Z31">
        <v>500</v>
      </c>
      <c r="AA31">
        <v>80</v>
      </c>
      <c r="AB31">
        <v>100</v>
      </c>
      <c r="AC31" t="s">
        <v>125</v>
      </c>
      <c r="AD31" t="s">
        <v>44</v>
      </c>
      <c r="AE31" t="s">
        <v>129</v>
      </c>
      <c r="AF31">
        <v>25</v>
      </c>
      <c r="AG31">
        <f t="shared" si="0"/>
        <v>1</v>
      </c>
      <c r="AH31" s="5" t="str">
        <f t="shared" si="1"/>
        <v/>
      </c>
      <c r="AI31">
        <f t="shared" si="2"/>
        <v>1</v>
      </c>
      <c r="AJ31" t="str">
        <f t="shared" si="3"/>
        <v/>
      </c>
    </row>
    <row r="32" spans="1:38" x14ac:dyDescent="0.25">
      <c r="A32">
        <v>31</v>
      </c>
      <c r="B32" t="s">
        <v>126</v>
      </c>
      <c r="C32" t="s">
        <v>132</v>
      </c>
      <c r="D32" t="s">
        <v>133</v>
      </c>
      <c r="E32" t="s">
        <v>34</v>
      </c>
      <c r="F32">
        <v>2018</v>
      </c>
      <c r="G32" t="s">
        <v>44</v>
      </c>
      <c r="H32" t="s">
        <v>63</v>
      </c>
      <c r="I32" t="s">
        <v>126</v>
      </c>
      <c r="J32" t="s">
        <v>38</v>
      </c>
      <c r="K32" t="s">
        <v>77</v>
      </c>
      <c r="L32" t="s">
        <v>77</v>
      </c>
      <c r="M32" s="1">
        <v>43277</v>
      </c>
      <c r="N32">
        <v>47.276299999999999</v>
      </c>
      <c r="O32">
        <v>-122.4636</v>
      </c>
      <c r="P32" t="s">
        <v>40</v>
      </c>
      <c r="Q32" t="s">
        <v>41</v>
      </c>
      <c r="R32">
        <v>-2.4384000000000001</v>
      </c>
      <c r="S32" t="s">
        <v>55</v>
      </c>
      <c r="T32">
        <v>19</v>
      </c>
      <c r="U32">
        <v>10</v>
      </c>
      <c r="V32">
        <v>190</v>
      </c>
      <c r="W32">
        <v>108.25</v>
      </c>
      <c r="X32">
        <v>10.824999999999999</v>
      </c>
      <c r="Y32">
        <v>433</v>
      </c>
      <c r="Z32">
        <v>10825</v>
      </c>
      <c r="AA32">
        <v>56.973684210526301</v>
      </c>
      <c r="AB32">
        <v>100</v>
      </c>
      <c r="AC32" t="s">
        <v>113</v>
      </c>
      <c r="AD32" t="s">
        <v>134</v>
      </c>
      <c r="AE32" t="s">
        <v>129</v>
      </c>
      <c r="AF32">
        <v>26</v>
      </c>
      <c r="AG32">
        <f t="shared" si="0"/>
        <v>2</v>
      </c>
      <c r="AH32" s="5">
        <f t="shared" si="1"/>
        <v>26</v>
      </c>
      <c r="AI32">
        <f t="shared" si="2"/>
        <v>2</v>
      </c>
      <c r="AJ32" t="str">
        <f t="shared" si="3"/>
        <v>COM_L1</v>
      </c>
      <c r="AK32" t="s">
        <v>718</v>
      </c>
    </row>
    <row r="33" spans="1:37" x14ac:dyDescent="0.25">
      <c r="A33">
        <v>32</v>
      </c>
      <c r="B33" t="s">
        <v>126</v>
      </c>
      <c r="C33" t="s">
        <v>132</v>
      </c>
      <c r="D33" t="s">
        <v>133</v>
      </c>
      <c r="E33" t="s">
        <v>34</v>
      </c>
      <c r="F33">
        <v>2018</v>
      </c>
      <c r="G33" t="s">
        <v>44</v>
      </c>
      <c r="H33" t="s">
        <v>63</v>
      </c>
      <c r="I33" t="s">
        <v>126</v>
      </c>
      <c r="J33" t="s">
        <v>38</v>
      </c>
      <c r="K33" t="s">
        <v>77</v>
      </c>
      <c r="L33" t="s">
        <v>69</v>
      </c>
      <c r="M33" s="1">
        <v>43277</v>
      </c>
      <c r="N33">
        <v>47.276319999999998</v>
      </c>
      <c r="O33">
        <v>-122.46381</v>
      </c>
      <c r="P33" t="s">
        <v>40</v>
      </c>
      <c r="Q33" t="s">
        <v>41</v>
      </c>
      <c r="R33" t="s">
        <v>44</v>
      </c>
      <c r="S33" t="s">
        <v>44</v>
      </c>
      <c r="T33" t="s">
        <v>44</v>
      </c>
      <c r="U33" t="s">
        <v>44</v>
      </c>
      <c r="V33" t="s">
        <v>44</v>
      </c>
      <c r="W33" t="s">
        <v>44</v>
      </c>
      <c r="X33" t="s">
        <v>44</v>
      </c>
      <c r="Y33" t="s">
        <v>44</v>
      </c>
      <c r="Z33" t="s">
        <v>44</v>
      </c>
      <c r="AA33" t="s">
        <v>44</v>
      </c>
      <c r="AB33" t="s">
        <v>44</v>
      </c>
      <c r="AC33" t="s">
        <v>44</v>
      </c>
      <c r="AD33" t="s">
        <v>44</v>
      </c>
      <c r="AE33" t="s">
        <v>129</v>
      </c>
      <c r="AF33">
        <v>26</v>
      </c>
      <c r="AG33">
        <f t="shared" si="0"/>
        <v>2</v>
      </c>
      <c r="AH33" s="5">
        <f t="shared" si="1"/>
        <v>26</v>
      </c>
      <c r="AI33">
        <f t="shared" si="2"/>
        <v>2</v>
      </c>
      <c r="AJ33" t="str">
        <f t="shared" si="3"/>
        <v>COM_L1</v>
      </c>
      <c r="AK33" t="s">
        <v>718</v>
      </c>
    </row>
    <row r="34" spans="1:37" x14ac:dyDescent="0.25">
      <c r="A34">
        <v>33</v>
      </c>
      <c r="B34" t="s">
        <v>126</v>
      </c>
      <c r="C34" t="s">
        <v>135</v>
      </c>
      <c r="D34" t="s">
        <v>136</v>
      </c>
      <c r="E34" t="s">
        <v>34</v>
      </c>
      <c r="F34">
        <v>2019</v>
      </c>
      <c r="G34" t="s">
        <v>44</v>
      </c>
      <c r="H34" t="s">
        <v>63</v>
      </c>
      <c r="I34" t="s">
        <v>126</v>
      </c>
      <c r="J34" t="s">
        <v>38</v>
      </c>
      <c r="K34" t="s">
        <v>77</v>
      </c>
      <c r="L34" t="s">
        <v>77</v>
      </c>
      <c r="M34" s="1">
        <v>43625</v>
      </c>
      <c r="N34">
        <v>47.276290000000003</v>
      </c>
      <c r="O34">
        <v>-122.46335999999999</v>
      </c>
      <c r="P34" t="s">
        <v>40</v>
      </c>
      <c r="Q34" t="s">
        <v>41</v>
      </c>
      <c r="R34">
        <v>-2.4</v>
      </c>
      <c r="S34" t="s">
        <v>55</v>
      </c>
      <c r="T34">
        <v>27</v>
      </c>
      <c r="U34">
        <v>10</v>
      </c>
      <c r="V34">
        <v>270</v>
      </c>
      <c r="W34">
        <v>164</v>
      </c>
      <c r="X34">
        <v>16.399999999999999</v>
      </c>
      <c r="Y34">
        <v>656</v>
      </c>
      <c r="Z34">
        <v>16400</v>
      </c>
      <c r="AA34">
        <v>60.740740740740698</v>
      </c>
      <c r="AB34">
        <v>100</v>
      </c>
      <c r="AC34" t="s">
        <v>113</v>
      </c>
      <c r="AD34" t="s">
        <v>137</v>
      </c>
      <c r="AE34" t="s">
        <v>90</v>
      </c>
      <c r="AF34">
        <v>27</v>
      </c>
      <c r="AG34">
        <f t="shared" si="0"/>
        <v>2</v>
      </c>
      <c r="AH34" s="5">
        <f t="shared" si="1"/>
        <v>27</v>
      </c>
      <c r="AI34">
        <f t="shared" si="2"/>
        <v>2</v>
      </c>
      <c r="AJ34" t="str">
        <f t="shared" si="3"/>
        <v>COM_L2</v>
      </c>
      <c r="AK34" t="s">
        <v>718</v>
      </c>
    </row>
    <row r="35" spans="1:37" x14ac:dyDescent="0.25">
      <c r="A35">
        <v>34</v>
      </c>
      <c r="B35" t="s">
        <v>126</v>
      </c>
      <c r="C35" t="s">
        <v>135</v>
      </c>
      <c r="D35" t="s">
        <v>136</v>
      </c>
      <c r="E35" t="s">
        <v>34</v>
      </c>
      <c r="F35">
        <v>2019</v>
      </c>
      <c r="G35" t="s">
        <v>44</v>
      </c>
      <c r="H35" t="s">
        <v>63</v>
      </c>
      <c r="I35" t="s">
        <v>126</v>
      </c>
      <c r="J35" t="s">
        <v>38</v>
      </c>
      <c r="K35" t="s">
        <v>77</v>
      </c>
      <c r="L35" t="s">
        <v>69</v>
      </c>
      <c r="M35" s="1">
        <v>43625</v>
      </c>
      <c r="N35">
        <v>47.276294999999998</v>
      </c>
      <c r="O35">
        <v>-122.463595</v>
      </c>
      <c r="P35" t="s">
        <v>40</v>
      </c>
      <c r="Q35" t="s">
        <v>41</v>
      </c>
      <c r="R35">
        <v>-2.6</v>
      </c>
      <c r="S35" t="s">
        <v>44</v>
      </c>
      <c r="T35" t="s">
        <v>44</v>
      </c>
      <c r="U35" t="s">
        <v>44</v>
      </c>
      <c r="V35" t="s">
        <v>44</v>
      </c>
      <c r="W35" t="s">
        <v>44</v>
      </c>
      <c r="X35" t="s">
        <v>44</v>
      </c>
      <c r="Y35" t="s">
        <v>44</v>
      </c>
      <c r="Z35" t="s">
        <v>44</v>
      </c>
      <c r="AA35" t="s">
        <v>44</v>
      </c>
      <c r="AB35" t="s">
        <v>44</v>
      </c>
      <c r="AC35" t="s">
        <v>44</v>
      </c>
      <c r="AD35" t="s">
        <v>44</v>
      </c>
      <c r="AE35" t="s">
        <v>90</v>
      </c>
      <c r="AF35">
        <v>27</v>
      </c>
      <c r="AG35">
        <f t="shared" si="0"/>
        <v>2</v>
      </c>
      <c r="AH35" s="5">
        <f t="shared" si="1"/>
        <v>27</v>
      </c>
      <c r="AI35">
        <f t="shared" si="2"/>
        <v>2</v>
      </c>
      <c r="AJ35" t="str">
        <f t="shared" si="3"/>
        <v>COM_L2</v>
      </c>
      <c r="AK35" t="s">
        <v>718</v>
      </c>
    </row>
    <row r="36" spans="1:37" x14ac:dyDescent="0.25">
      <c r="A36">
        <v>35</v>
      </c>
      <c r="B36" t="s">
        <v>138</v>
      </c>
      <c r="C36" t="s">
        <v>139</v>
      </c>
      <c r="D36" t="s">
        <v>140</v>
      </c>
      <c r="E36" t="s">
        <v>141</v>
      </c>
      <c r="F36">
        <v>2015</v>
      </c>
      <c r="G36" t="s">
        <v>35</v>
      </c>
      <c r="H36" t="s">
        <v>36</v>
      </c>
      <c r="I36" t="s">
        <v>142</v>
      </c>
      <c r="J36" t="s">
        <v>38</v>
      </c>
      <c r="K36" t="s">
        <v>39</v>
      </c>
      <c r="L36" t="s">
        <v>39</v>
      </c>
      <c r="M36" s="1">
        <v>42061</v>
      </c>
      <c r="N36">
        <v>47.2549833333333</v>
      </c>
      <c r="O36">
        <v>-122.73711666666701</v>
      </c>
      <c r="P36" t="s">
        <v>40</v>
      </c>
      <c r="Q36" t="s">
        <v>41</v>
      </c>
      <c r="R36">
        <v>-2.3469600000000002</v>
      </c>
      <c r="S36" t="s">
        <v>42</v>
      </c>
      <c r="T36">
        <v>5</v>
      </c>
      <c r="U36">
        <v>5</v>
      </c>
      <c r="V36">
        <v>25</v>
      </c>
      <c r="W36">
        <v>25</v>
      </c>
      <c r="X36">
        <v>0.625</v>
      </c>
      <c r="Y36">
        <v>125</v>
      </c>
      <c r="Z36">
        <v>500</v>
      </c>
      <c r="AA36">
        <v>20</v>
      </c>
      <c r="AB36">
        <v>20</v>
      </c>
      <c r="AC36" t="s">
        <v>50</v>
      </c>
      <c r="AD36" t="s">
        <v>143</v>
      </c>
      <c r="AE36" t="s">
        <v>51</v>
      </c>
      <c r="AF36">
        <v>28</v>
      </c>
      <c r="AG36">
        <f t="shared" si="0"/>
        <v>1</v>
      </c>
      <c r="AH36" s="5" t="str">
        <f t="shared" si="1"/>
        <v/>
      </c>
      <c r="AI36">
        <f t="shared" si="2"/>
        <v>2</v>
      </c>
      <c r="AJ36" s="7" t="str">
        <f t="shared" si="3"/>
        <v>DEL_1</v>
      </c>
      <c r="AK36" t="s">
        <v>141</v>
      </c>
    </row>
    <row r="37" spans="1:37" x14ac:dyDescent="0.25">
      <c r="A37">
        <v>36</v>
      </c>
      <c r="B37" t="s">
        <v>138</v>
      </c>
      <c r="C37" t="s">
        <v>144</v>
      </c>
      <c r="D37" t="s">
        <v>145</v>
      </c>
      <c r="E37" t="s">
        <v>34</v>
      </c>
      <c r="F37">
        <v>2016</v>
      </c>
      <c r="G37" t="s">
        <v>35</v>
      </c>
      <c r="H37" t="s">
        <v>63</v>
      </c>
      <c r="I37" t="s">
        <v>142</v>
      </c>
      <c r="J37" t="s">
        <v>38</v>
      </c>
      <c r="K37" t="s">
        <v>39</v>
      </c>
      <c r="L37" t="s">
        <v>39</v>
      </c>
      <c r="M37" s="1">
        <v>42481</v>
      </c>
      <c r="N37">
        <v>47.258040352777797</v>
      </c>
      <c r="O37">
        <v>-122.739271322222</v>
      </c>
      <c r="P37" t="s">
        <v>40</v>
      </c>
      <c r="Q37" t="s">
        <v>41</v>
      </c>
      <c r="R37">
        <v>-2</v>
      </c>
      <c r="S37" t="s">
        <v>146</v>
      </c>
      <c r="T37">
        <v>25</v>
      </c>
      <c r="U37">
        <v>5</v>
      </c>
      <c r="V37">
        <v>125</v>
      </c>
      <c r="W37">
        <v>75</v>
      </c>
      <c r="X37">
        <v>9.75</v>
      </c>
      <c r="Y37">
        <v>156</v>
      </c>
      <c r="Z37">
        <v>780</v>
      </c>
      <c r="AA37">
        <v>6.24</v>
      </c>
      <c r="AB37">
        <v>10.4</v>
      </c>
      <c r="AC37" t="s">
        <v>147</v>
      </c>
      <c r="AD37" t="s">
        <v>148</v>
      </c>
      <c r="AE37" t="s">
        <v>67</v>
      </c>
      <c r="AF37">
        <v>29</v>
      </c>
      <c r="AG37">
        <f t="shared" si="0"/>
        <v>2</v>
      </c>
      <c r="AH37" s="5">
        <f t="shared" si="1"/>
        <v>29</v>
      </c>
      <c r="AI37">
        <f t="shared" si="2"/>
        <v>2</v>
      </c>
      <c r="AJ37" t="str">
        <f t="shared" si="3"/>
        <v>DEL_L1</v>
      </c>
      <c r="AK37" t="s">
        <v>718</v>
      </c>
    </row>
    <row r="38" spans="1:37" x14ac:dyDescent="0.25">
      <c r="A38">
        <v>37</v>
      </c>
      <c r="B38" t="s">
        <v>138</v>
      </c>
      <c r="C38" t="s">
        <v>149</v>
      </c>
      <c r="D38" t="s">
        <v>145</v>
      </c>
      <c r="E38" t="s">
        <v>34</v>
      </c>
      <c r="F38">
        <v>2016</v>
      </c>
      <c r="G38" t="s">
        <v>35</v>
      </c>
      <c r="H38" t="s">
        <v>63</v>
      </c>
      <c r="I38" t="s">
        <v>142</v>
      </c>
      <c r="J38" t="s">
        <v>38</v>
      </c>
      <c r="K38" t="s">
        <v>39</v>
      </c>
      <c r="L38" t="s">
        <v>69</v>
      </c>
      <c r="M38" s="1">
        <v>42481</v>
      </c>
      <c r="N38">
        <v>47.258279688888898</v>
      </c>
      <c r="O38">
        <v>-122.7380948</v>
      </c>
      <c r="P38" t="s">
        <v>40</v>
      </c>
      <c r="Q38" t="s">
        <v>41</v>
      </c>
      <c r="R38">
        <v>-2</v>
      </c>
      <c r="S38" t="s">
        <v>146</v>
      </c>
      <c r="T38" t="s">
        <v>44</v>
      </c>
      <c r="U38" t="s">
        <v>44</v>
      </c>
      <c r="V38" t="s">
        <v>44</v>
      </c>
      <c r="W38" t="s">
        <v>44</v>
      </c>
      <c r="X38" t="s">
        <v>44</v>
      </c>
      <c r="Y38" t="s">
        <v>44</v>
      </c>
      <c r="Z38" t="s">
        <v>44</v>
      </c>
      <c r="AA38" t="s">
        <v>44</v>
      </c>
      <c r="AB38" t="s">
        <v>44</v>
      </c>
      <c r="AC38" t="s">
        <v>44</v>
      </c>
      <c r="AD38" t="s">
        <v>44</v>
      </c>
      <c r="AE38" t="s">
        <v>67</v>
      </c>
      <c r="AF38">
        <v>29</v>
      </c>
      <c r="AG38">
        <f t="shared" si="0"/>
        <v>2</v>
      </c>
      <c r="AH38" s="5">
        <f t="shared" si="1"/>
        <v>29</v>
      </c>
      <c r="AI38">
        <f t="shared" si="2"/>
        <v>2</v>
      </c>
      <c r="AJ38" t="str">
        <f t="shared" si="3"/>
        <v>DEL_L1</v>
      </c>
      <c r="AK38" t="s">
        <v>718</v>
      </c>
    </row>
    <row r="39" spans="1:37" x14ac:dyDescent="0.25">
      <c r="A39">
        <v>38</v>
      </c>
      <c r="B39" t="s">
        <v>138</v>
      </c>
      <c r="C39" t="s">
        <v>150</v>
      </c>
      <c r="D39" t="s">
        <v>151</v>
      </c>
      <c r="E39" t="s">
        <v>34</v>
      </c>
      <c r="F39">
        <v>2016</v>
      </c>
      <c r="G39" t="s">
        <v>35</v>
      </c>
      <c r="H39" t="s">
        <v>76</v>
      </c>
      <c r="I39" t="s">
        <v>142</v>
      </c>
      <c r="J39" t="s">
        <v>38</v>
      </c>
      <c r="K39" t="s">
        <v>77</v>
      </c>
      <c r="L39" t="s">
        <v>77</v>
      </c>
      <c r="M39" s="1">
        <v>42535</v>
      </c>
      <c r="N39">
        <v>47.257533000000002</v>
      </c>
      <c r="O39">
        <v>-122.738203833333</v>
      </c>
      <c r="P39" t="s">
        <v>40</v>
      </c>
      <c r="Q39" t="s">
        <v>41</v>
      </c>
      <c r="R39">
        <v>-2</v>
      </c>
      <c r="S39" t="s">
        <v>146</v>
      </c>
      <c r="T39">
        <v>35</v>
      </c>
      <c r="U39">
        <v>6</v>
      </c>
      <c r="V39">
        <v>210</v>
      </c>
      <c r="W39">
        <v>50.4</v>
      </c>
      <c r="X39">
        <v>78.75</v>
      </c>
      <c r="Y39">
        <v>1260</v>
      </c>
      <c r="Z39">
        <v>20850</v>
      </c>
      <c r="AA39">
        <v>99.285714285714306</v>
      </c>
      <c r="AB39">
        <v>413.69047619047598</v>
      </c>
      <c r="AC39" t="s">
        <v>147</v>
      </c>
      <c r="AD39" t="s">
        <v>44</v>
      </c>
      <c r="AE39" t="s">
        <v>67</v>
      </c>
      <c r="AF39">
        <v>30</v>
      </c>
      <c r="AG39">
        <f t="shared" si="0"/>
        <v>4</v>
      </c>
      <c r="AH39" s="5">
        <f t="shared" si="1"/>
        <v>30</v>
      </c>
      <c r="AI39">
        <f t="shared" si="2"/>
        <v>4</v>
      </c>
      <c r="AJ39" t="str">
        <f t="shared" si="3"/>
        <v>DEL_P1</v>
      </c>
      <c r="AK39" t="s">
        <v>718</v>
      </c>
    </row>
    <row r="40" spans="1:37" x14ac:dyDescent="0.25">
      <c r="A40">
        <v>39</v>
      </c>
      <c r="B40" t="s">
        <v>138</v>
      </c>
      <c r="C40" t="s">
        <v>152</v>
      </c>
      <c r="D40" t="s">
        <v>151</v>
      </c>
      <c r="E40" t="s">
        <v>34</v>
      </c>
      <c r="F40">
        <v>2016</v>
      </c>
      <c r="G40" t="s">
        <v>35</v>
      </c>
      <c r="H40" t="s">
        <v>76</v>
      </c>
      <c r="I40" t="s">
        <v>142</v>
      </c>
      <c r="J40" t="s">
        <v>38</v>
      </c>
      <c r="K40" t="s">
        <v>77</v>
      </c>
      <c r="L40" t="s">
        <v>69</v>
      </c>
      <c r="M40" s="1">
        <v>42535</v>
      </c>
      <c r="N40">
        <v>47.257536833333297</v>
      </c>
      <c r="O40">
        <v>-122.73813800000001</v>
      </c>
      <c r="P40" t="s">
        <v>40</v>
      </c>
      <c r="Q40" t="s">
        <v>41</v>
      </c>
      <c r="R40" t="s">
        <v>44</v>
      </c>
      <c r="S40" t="s">
        <v>44</v>
      </c>
      <c r="T40" t="s">
        <v>44</v>
      </c>
      <c r="U40" t="s">
        <v>44</v>
      </c>
      <c r="V40" t="s">
        <v>44</v>
      </c>
      <c r="W40" t="s">
        <v>44</v>
      </c>
      <c r="X40" t="s">
        <v>44</v>
      </c>
      <c r="Y40" t="s">
        <v>44</v>
      </c>
      <c r="Z40" t="s">
        <v>44</v>
      </c>
      <c r="AA40" t="s">
        <v>44</v>
      </c>
      <c r="AB40" t="s">
        <v>44</v>
      </c>
      <c r="AC40" t="s">
        <v>44</v>
      </c>
      <c r="AD40" t="s">
        <v>44</v>
      </c>
      <c r="AE40" t="s">
        <v>67</v>
      </c>
      <c r="AF40">
        <v>30</v>
      </c>
      <c r="AG40">
        <f t="shared" si="0"/>
        <v>4</v>
      </c>
      <c r="AH40" s="5">
        <f t="shared" si="1"/>
        <v>30</v>
      </c>
      <c r="AI40">
        <f t="shared" si="2"/>
        <v>4</v>
      </c>
      <c r="AJ40" t="str">
        <f t="shared" si="3"/>
        <v>DEL_P1</v>
      </c>
      <c r="AK40" t="s">
        <v>718</v>
      </c>
    </row>
    <row r="41" spans="1:37" x14ac:dyDescent="0.25">
      <c r="A41">
        <v>40</v>
      </c>
      <c r="B41" t="s">
        <v>138</v>
      </c>
      <c r="C41" t="s">
        <v>153</v>
      </c>
      <c r="D41" t="s">
        <v>151</v>
      </c>
      <c r="E41" t="s">
        <v>34</v>
      </c>
      <c r="F41">
        <v>2016</v>
      </c>
      <c r="G41" t="s">
        <v>35</v>
      </c>
      <c r="H41" t="s">
        <v>76</v>
      </c>
      <c r="I41" t="s">
        <v>142</v>
      </c>
      <c r="J41" t="s">
        <v>38</v>
      </c>
      <c r="K41" t="s">
        <v>77</v>
      </c>
      <c r="L41" t="s">
        <v>69</v>
      </c>
      <c r="M41" s="1">
        <v>42535</v>
      </c>
      <c r="N41">
        <v>47.257841833333302</v>
      </c>
      <c r="O41">
        <v>-122.73817200000001</v>
      </c>
      <c r="P41" t="s">
        <v>40</v>
      </c>
      <c r="Q41" t="s">
        <v>41</v>
      </c>
      <c r="R41" t="s">
        <v>44</v>
      </c>
      <c r="S41" t="s">
        <v>44</v>
      </c>
      <c r="T41" t="s">
        <v>44</v>
      </c>
      <c r="U41" t="s">
        <v>44</v>
      </c>
      <c r="V41" t="s">
        <v>44</v>
      </c>
      <c r="W41" t="s">
        <v>44</v>
      </c>
      <c r="X41" t="s">
        <v>44</v>
      </c>
      <c r="Y41" t="s">
        <v>44</v>
      </c>
      <c r="Z41" t="s">
        <v>44</v>
      </c>
      <c r="AA41" t="s">
        <v>44</v>
      </c>
      <c r="AB41" t="s">
        <v>44</v>
      </c>
      <c r="AC41" t="s">
        <v>44</v>
      </c>
      <c r="AD41" t="s">
        <v>44</v>
      </c>
      <c r="AE41" t="s">
        <v>67</v>
      </c>
      <c r="AF41">
        <v>30</v>
      </c>
      <c r="AG41">
        <f t="shared" si="0"/>
        <v>4</v>
      </c>
      <c r="AH41" s="5">
        <f t="shared" si="1"/>
        <v>30</v>
      </c>
      <c r="AI41">
        <f t="shared" si="2"/>
        <v>4</v>
      </c>
      <c r="AJ41" t="str">
        <f t="shared" si="3"/>
        <v>DEL_P1</v>
      </c>
      <c r="AK41" t="s">
        <v>718</v>
      </c>
    </row>
    <row r="42" spans="1:37" x14ac:dyDescent="0.25">
      <c r="A42">
        <v>41</v>
      </c>
      <c r="B42" t="s">
        <v>138</v>
      </c>
      <c r="C42" t="s">
        <v>154</v>
      </c>
      <c r="D42" t="s">
        <v>151</v>
      </c>
      <c r="E42" t="s">
        <v>34</v>
      </c>
      <c r="F42">
        <v>2016</v>
      </c>
      <c r="G42" t="s">
        <v>35</v>
      </c>
      <c r="H42" t="s">
        <v>76</v>
      </c>
      <c r="I42" t="s">
        <v>142</v>
      </c>
      <c r="J42" t="s">
        <v>38</v>
      </c>
      <c r="K42" t="s">
        <v>77</v>
      </c>
      <c r="L42" t="s">
        <v>69</v>
      </c>
      <c r="M42" s="1">
        <v>42535</v>
      </c>
      <c r="N42">
        <v>47.257838833333302</v>
      </c>
      <c r="O42">
        <v>-122.738237833333</v>
      </c>
      <c r="P42" t="s">
        <v>40</v>
      </c>
      <c r="Q42" t="s">
        <v>41</v>
      </c>
      <c r="R42" t="s">
        <v>44</v>
      </c>
      <c r="S42" t="s">
        <v>44</v>
      </c>
      <c r="T42" t="s">
        <v>44</v>
      </c>
      <c r="U42" t="s">
        <v>44</v>
      </c>
      <c r="V42" t="s">
        <v>44</v>
      </c>
      <c r="W42" t="s">
        <v>44</v>
      </c>
      <c r="X42" t="s">
        <v>44</v>
      </c>
      <c r="Y42" t="s">
        <v>44</v>
      </c>
      <c r="Z42" t="s">
        <v>44</v>
      </c>
      <c r="AA42" t="s">
        <v>44</v>
      </c>
      <c r="AB42" t="s">
        <v>44</v>
      </c>
      <c r="AC42" t="s">
        <v>44</v>
      </c>
      <c r="AD42" t="s">
        <v>44</v>
      </c>
      <c r="AE42" t="s">
        <v>67</v>
      </c>
      <c r="AF42">
        <v>30</v>
      </c>
      <c r="AG42">
        <f t="shared" si="0"/>
        <v>4</v>
      </c>
      <c r="AH42" s="5">
        <f t="shared" si="1"/>
        <v>30</v>
      </c>
      <c r="AI42">
        <f t="shared" si="2"/>
        <v>4</v>
      </c>
      <c r="AJ42" t="str">
        <f t="shared" si="3"/>
        <v>DEL_P1</v>
      </c>
      <c r="AK42" t="s">
        <v>718</v>
      </c>
    </row>
    <row r="43" spans="1:37" x14ac:dyDescent="0.25">
      <c r="A43">
        <v>42</v>
      </c>
      <c r="B43" t="s">
        <v>138</v>
      </c>
      <c r="C43" t="s">
        <v>155</v>
      </c>
      <c r="D43" t="s">
        <v>156</v>
      </c>
      <c r="E43" t="s">
        <v>141</v>
      </c>
      <c r="F43">
        <v>2017</v>
      </c>
      <c r="G43" t="s">
        <v>35</v>
      </c>
      <c r="H43" t="s">
        <v>36</v>
      </c>
      <c r="I43" t="s">
        <v>142</v>
      </c>
      <c r="J43" t="s">
        <v>38</v>
      </c>
      <c r="K43" t="s">
        <v>39</v>
      </c>
      <c r="L43" t="s">
        <v>39</v>
      </c>
      <c r="M43" s="1">
        <v>42933</v>
      </c>
      <c r="N43">
        <v>47.249850000000002</v>
      </c>
      <c r="O43">
        <v>-122.72317</v>
      </c>
      <c r="P43" t="s">
        <v>40</v>
      </c>
      <c r="Q43" t="s">
        <v>41</v>
      </c>
      <c r="R43">
        <v>-1.6</v>
      </c>
      <c r="S43" t="s">
        <v>64</v>
      </c>
      <c r="T43">
        <v>10</v>
      </c>
      <c r="U43">
        <v>1</v>
      </c>
      <c r="V43">
        <v>10</v>
      </c>
      <c r="W43">
        <v>6</v>
      </c>
      <c r="X43">
        <v>1.67</v>
      </c>
      <c r="Y43">
        <v>167</v>
      </c>
      <c r="Z43">
        <v>1172</v>
      </c>
      <c r="AA43">
        <v>117.2</v>
      </c>
      <c r="AB43">
        <v>195.333333333333</v>
      </c>
      <c r="AC43" t="s">
        <v>147</v>
      </c>
      <c r="AD43" t="s">
        <v>157</v>
      </c>
      <c r="AE43" t="s">
        <v>67</v>
      </c>
      <c r="AF43">
        <v>31</v>
      </c>
      <c r="AG43">
        <f t="shared" si="0"/>
        <v>1</v>
      </c>
      <c r="AH43" s="5" t="str">
        <f t="shared" si="1"/>
        <v/>
      </c>
      <c r="AI43">
        <f t="shared" si="2"/>
        <v>2</v>
      </c>
      <c r="AJ43" s="7" t="str">
        <f t="shared" si="3"/>
        <v>DEL_3</v>
      </c>
      <c r="AK43" t="s">
        <v>141</v>
      </c>
    </row>
    <row r="44" spans="1:37" x14ac:dyDescent="0.25">
      <c r="A44">
        <v>43</v>
      </c>
      <c r="B44" t="s">
        <v>138</v>
      </c>
      <c r="C44" t="s">
        <v>158</v>
      </c>
      <c r="D44" t="s">
        <v>159</v>
      </c>
      <c r="E44" t="s">
        <v>34</v>
      </c>
      <c r="F44">
        <v>2017</v>
      </c>
      <c r="G44" t="s">
        <v>35</v>
      </c>
      <c r="H44" t="s">
        <v>36</v>
      </c>
      <c r="I44" t="s">
        <v>142</v>
      </c>
      <c r="J44" t="s">
        <v>38</v>
      </c>
      <c r="K44" t="s">
        <v>39</v>
      </c>
      <c r="L44" t="s">
        <v>39</v>
      </c>
      <c r="M44" s="1">
        <v>42933</v>
      </c>
      <c r="N44">
        <v>47.249630000000003</v>
      </c>
      <c r="O44">
        <v>-122.72338000000001</v>
      </c>
      <c r="P44" t="s">
        <v>40</v>
      </c>
      <c r="Q44" t="s">
        <v>41</v>
      </c>
      <c r="R44">
        <v>-1.6</v>
      </c>
      <c r="S44" t="s">
        <v>64</v>
      </c>
      <c r="T44">
        <v>10</v>
      </c>
      <c r="U44">
        <v>1</v>
      </c>
      <c r="V44">
        <v>10</v>
      </c>
      <c r="W44">
        <v>6</v>
      </c>
      <c r="X44">
        <v>1.45</v>
      </c>
      <c r="Y44">
        <v>145</v>
      </c>
      <c r="Z44">
        <v>1015</v>
      </c>
      <c r="AA44">
        <v>101.5</v>
      </c>
      <c r="AB44">
        <v>169.166666666667</v>
      </c>
      <c r="AC44" t="s">
        <v>147</v>
      </c>
      <c r="AD44" t="s">
        <v>160</v>
      </c>
      <c r="AE44" t="s">
        <v>67</v>
      </c>
      <c r="AF44">
        <v>32</v>
      </c>
      <c r="AG44">
        <f t="shared" si="0"/>
        <v>1</v>
      </c>
      <c r="AH44" s="5" t="str">
        <f t="shared" si="1"/>
        <v/>
      </c>
      <c r="AI44">
        <f t="shared" si="2"/>
        <v>1</v>
      </c>
      <c r="AJ44" t="str">
        <f t="shared" si="3"/>
        <v/>
      </c>
    </row>
    <row r="45" spans="1:37" x14ac:dyDescent="0.25">
      <c r="A45">
        <v>44</v>
      </c>
      <c r="B45" t="s">
        <v>138</v>
      </c>
      <c r="C45" t="s">
        <v>161</v>
      </c>
      <c r="D45" t="s">
        <v>140</v>
      </c>
      <c r="E45" t="s">
        <v>162</v>
      </c>
      <c r="F45">
        <v>2018</v>
      </c>
      <c r="G45" t="s">
        <v>35</v>
      </c>
      <c r="H45" t="s">
        <v>36</v>
      </c>
      <c r="I45" t="s">
        <v>142</v>
      </c>
      <c r="J45" t="s">
        <v>38</v>
      </c>
      <c r="K45" t="s">
        <v>39</v>
      </c>
      <c r="L45" t="s">
        <v>39</v>
      </c>
      <c r="M45" s="1">
        <v>43279</v>
      </c>
      <c r="N45">
        <v>47.2549833333333</v>
      </c>
      <c r="O45">
        <v>-122.73711666666701</v>
      </c>
      <c r="P45" t="s">
        <v>40</v>
      </c>
      <c r="Q45" t="s">
        <v>41</v>
      </c>
      <c r="R45">
        <v>-2.3469600000000002</v>
      </c>
      <c r="S45" t="s">
        <v>55</v>
      </c>
      <c r="T45">
        <v>5</v>
      </c>
      <c r="U45">
        <v>0.5</v>
      </c>
      <c r="V45">
        <v>2.5</v>
      </c>
      <c r="W45">
        <v>2.75</v>
      </c>
      <c r="X45">
        <v>0.27500000000000002</v>
      </c>
      <c r="Y45">
        <v>11</v>
      </c>
      <c r="Z45">
        <v>275</v>
      </c>
      <c r="AA45">
        <v>110</v>
      </c>
      <c r="AB45">
        <v>100</v>
      </c>
      <c r="AC45" t="s">
        <v>99</v>
      </c>
      <c r="AD45" t="s">
        <v>163</v>
      </c>
      <c r="AE45" t="s">
        <v>164</v>
      </c>
      <c r="AF45">
        <v>33</v>
      </c>
      <c r="AG45">
        <f t="shared" si="0"/>
        <v>1</v>
      </c>
      <c r="AH45" s="5" t="str">
        <f t="shared" si="1"/>
        <v/>
      </c>
      <c r="AI45">
        <f t="shared" si="2"/>
        <v>2</v>
      </c>
      <c r="AJ45" s="7" t="str">
        <f t="shared" si="3"/>
        <v>DEL_1</v>
      </c>
      <c r="AK45" t="s">
        <v>162</v>
      </c>
    </row>
    <row r="46" spans="1:37" x14ac:dyDescent="0.25">
      <c r="A46">
        <v>45</v>
      </c>
      <c r="B46" t="s">
        <v>138</v>
      </c>
      <c r="C46" t="s">
        <v>165</v>
      </c>
      <c r="D46" t="s">
        <v>156</v>
      </c>
      <c r="E46" t="s">
        <v>162</v>
      </c>
      <c r="F46">
        <v>2018</v>
      </c>
      <c r="G46" t="s">
        <v>35</v>
      </c>
      <c r="H46" t="s">
        <v>36</v>
      </c>
      <c r="I46" t="s">
        <v>142</v>
      </c>
      <c r="J46" t="s">
        <v>38</v>
      </c>
      <c r="K46" t="s">
        <v>39</v>
      </c>
      <c r="L46" t="s">
        <v>39</v>
      </c>
      <c r="M46" s="1">
        <v>43279</v>
      </c>
      <c r="N46">
        <v>47.249850000000002</v>
      </c>
      <c r="O46">
        <v>-122.72317</v>
      </c>
      <c r="P46" t="s">
        <v>40</v>
      </c>
      <c r="Q46" t="s">
        <v>41</v>
      </c>
      <c r="R46">
        <v>-1.6</v>
      </c>
      <c r="S46" t="s">
        <v>55</v>
      </c>
      <c r="T46">
        <v>5</v>
      </c>
      <c r="U46">
        <v>0.5</v>
      </c>
      <c r="V46">
        <v>2.5</v>
      </c>
      <c r="W46">
        <v>2.25</v>
      </c>
      <c r="X46">
        <v>0.22500000000000001</v>
      </c>
      <c r="Y46">
        <v>9</v>
      </c>
      <c r="Z46">
        <v>225</v>
      </c>
      <c r="AA46">
        <v>90</v>
      </c>
      <c r="AB46">
        <v>100</v>
      </c>
      <c r="AC46" t="s">
        <v>99</v>
      </c>
      <c r="AD46" t="s">
        <v>166</v>
      </c>
      <c r="AE46" t="s">
        <v>164</v>
      </c>
      <c r="AF46">
        <v>34</v>
      </c>
      <c r="AG46">
        <f t="shared" si="0"/>
        <v>1</v>
      </c>
      <c r="AH46" s="5" t="str">
        <f t="shared" si="1"/>
        <v/>
      </c>
      <c r="AI46">
        <f t="shared" si="2"/>
        <v>2</v>
      </c>
      <c r="AJ46" s="7" t="str">
        <f t="shared" si="3"/>
        <v>DEL_3</v>
      </c>
      <c r="AK46" t="s">
        <v>162</v>
      </c>
    </row>
    <row r="47" spans="1:37" x14ac:dyDescent="0.25">
      <c r="A47">
        <v>46</v>
      </c>
      <c r="B47" t="s">
        <v>138</v>
      </c>
      <c r="C47" t="s">
        <v>167</v>
      </c>
      <c r="D47" t="s">
        <v>168</v>
      </c>
      <c r="E47" t="s">
        <v>34</v>
      </c>
      <c r="F47">
        <v>2020</v>
      </c>
      <c r="G47" t="s">
        <v>35</v>
      </c>
      <c r="H47" t="s">
        <v>36</v>
      </c>
      <c r="I47" t="s">
        <v>142</v>
      </c>
      <c r="J47" t="s">
        <v>38</v>
      </c>
      <c r="K47" t="s">
        <v>39</v>
      </c>
      <c r="L47" t="s">
        <v>39</v>
      </c>
      <c r="M47" s="1">
        <v>44013</v>
      </c>
      <c r="N47">
        <v>47.249993000000003</v>
      </c>
      <c r="O47">
        <v>-122.7228933</v>
      </c>
      <c r="P47" t="s">
        <v>40</v>
      </c>
      <c r="Q47" t="s">
        <v>41</v>
      </c>
      <c r="R47">
        <v>-1.2</v>
      </c>
      <c r="S47" t="s">
        <v>55</v>
      </c>
      <c r="T47">
        <v>2.5</v>
      </c>
      <c r="U47">
        <v>2.5</v>
      </c>
      <c r="V47">
        <v>6.25</v>
      </c>
      <c r="W47">
        <v>6.25</v>
      </c>
      <c r="X47">
        <v>0.625</v>
      </c>
      <c r="Y47">
        <v>25</v>
      </c>
      <c r="Z47">
        <v>625</v>
      </c>
      <c r="AA47">
        <v>100</v>
      </c>
      <c r="AB47">
        <v>100</v>
      </c>
      <c r="AC47" t="s">
        <v>31</v>
      </c>
      <c r="AD47" t="s">
        <v>169</v>
      </c>
      <c r="AE47" t="s">
        <v>90</v>
      </c>
      <c r="AF47">
        <v>35</v>
      </c>
      <c r="AG47">
        <f t="shared" si="0"/>
        <v>1</v>
      </c>
      <c r="AH47" s="5" t="str">
        <f t="shared" si="1"/>
        <v/>
      </c>
      <c r="AI47">
        <f t="shared" si="2"/>
        <v>1</v>
      </c>
      <c r="AJ47" t="str">
        <f t="shared" si="3"/>
        <v/>
      </c>
    </row>
    <row r="48" spans="1:37" x14ac:dyDescent="0.25">
      <c r="A48">
        <v>47</v>
      </c>
      <c r="B48" t="s">
        <v>138</v>
      </c>
      <c r="C48" t="s">
        <v>170</v>
      </c>
      <c r="D48" t="s">
        <v>171</v>
      </c>
      <c r="E48" t="s">
        <v>34</v>
      </c>
      <c r="F48">
        <v>2020</v>
      </c>
      <c r="G48" t="s">
        <v>35</v>
      </c>
      <c r="H48" t="s">
        <v>36</v>
      </c>
      <c r="I48" t="s">
        <v>142</v>
      </c>
      <c r="J48" t="s">
        <v>38</v>
      </c>
      <c r="K48" t="s">
        <v>39</v>
      </c>
      <c r="L48" t="s">
        <v>39</v>
      </c>
      <c r="M48" s="1">
        <v>44013</v>
      </c>
      <c r="N48">
        <v>47.252598300000002</v>
      </c>
      <c r="O48">
        <v>-122.73546829999999</v>
      </c>
      <c r="P48" t="s">
        <v>40</v>
      </c>
      <c r="Q48" t="s">
        <v>41</v>
      </c>
      <c r="R48">
        <v>-1.6</v>
      </c>
      <c r="S48" t="s">
        <v>55</v>
      </c>
      <c r="T48">
        <v>3</v>
      </c>
      <c r="U48">
        <v>2.5</v>
      </c>
      <c r="V48">
        <v>7.5</v>
      </c>
      <c r="W48">
        <v>6.75</v>
      </c>
      <c r="X48">
        <v>0.67500000000000004</v>
      </c>
      <c r="Y48">
        <v>27</v>
      </c>
      <c r="Z48">
        <v>692</v>
      </c>
      <c r="AA48">
        <v>92.266666666666694</v>
      </c>
      <c r="AB48">
        <v>102.518518518519</v>
      </c>
      <c r="AC48" t="s">
        <v>31</v>
      </c>
      <c r="AD48" t="s">
        <v>172</v>
      </c>
      <c r="AE48" t="s">
        <v>90</v>
      </c>
      <c r="AF48">
        <v>36</v>
      </c>
      <c r="AG48">
        <f t="shared" si="0"/>
        <v>1</v>
      </c>
      <c r="AH48" s="5" t="str">
        <f t="shared" si="1"/>
        <v/>
      </c>
      <c r="AI48">
        <f t="shared" si="2"/>
        <v>1</v>
      </c>
      <c r="AJ48" t="str">
        <f t="shared" si="3"/>
        <v/>
      </c>
    </row>
    <row r="49" spans="1:38" x14ac:dyDescent="0.25">
      <c r="A49">
        <v>48</v>
      </c>
      <c r="B49" t="s">
        <v>138</v>
      </c>
      <c r="C49" t="s">
        <v>173</v>
      </c>
      <c r="D49" t="s">
        <v>174</v>
      </c>
      <c r="E49" t="s">
        <v>34</v>
      </c>
      <c r="F49">
        <v>2021</v>
      </c>
      <c r="G49" t="s">
        <v>35</v>
      </c>
      <c r="H49" t="s">
        <v>36</v>
      </c>
      <c r="I49" t="s">
        <v>142</v>
      </c>
      <c r="J49" t="s">
        <v>38</v>
      </c>
      <c r="K49" t="s">
        <v>77</v>
      </c>
      <c r="L49" t="s">
        <v>77</v>
      </c>
      <c r="M49" s="1">
        <v>44350</v>
      </c>
      <c r="N49">
        <v>47.252598300000002</v>
      </c>
      <c r="O49">
        <v>-122.73546829999999</v>
      </c>
      <c r="P49" t="s">
        <v>40</v>
      </c>
      <c r="Q49" t="s">
        <v>41</v>
      </c>
      <c r="R49">
        <v>-1.3</v>
      </c>
      <c r="S49" t="s">
        <v>55</v>
      </c>
      <c r="T49">
        <v>50</v>
      </c>
      <c r="U49">
        <v>5</v>
      </c>
      <c r="V49">
        <v>250</v>
      </c>
      <c r="W49">
        <v>149.25</v>
      </c>
      <c r="X49">
        <v>14.925000000000001</v>
      </c>
      <c r="Y49">
        <v>597</v>
      </c>
      <c r="Z49">
        <v>12305</v>
      </c>
      <c r="AA49">
        <v>49.22</v>
      </c>
      <c r="AB49">
        <v>82.445561139028499</v>
      </c>
      <c r="AC49" t="s">
        <v>175</v>
      </c>
      <c r="AD49" t="s">
        <v>44</v>
      </c>
      <c r="AE49" t="s">
        <v>90</v>
      </c>
      <c r="AF49">
        <v>37</v>
      </c>
      <c r="AG49">
        <f t="shared" si="0"/>
        <v>1</v>
      </c>
      <c r="AH49" s="5" t="str">
        <f t="shared" si="1"/>
        <v/>
      </c>
      <c r="AI49">
        <f t="shared" si="2"/>
        <v>1</v>
      </c>
      <c r="AJ49" t="str">
        <f t="shared" si="3"/>
        <v/>
      </c>
    </row>
    <row r="50" spans="1:38" x14ac:dyDescent="0.25">
      <c r="A50">
        <v>49</v>
      </c>
      <c r="B50" t="s">
        <v>138</v>
      </c>
      <c r="C50" t="s">
        <v>176</v>
      </c>
      <c r="D50" t="s">
        <v>177</v>
      </c>
      <c r="E50" t="s">
        <v>34</v>
      </c>
      <c r="F50">
        <v>2021</v>
      </c>
      <c r="G50" t="s">
        <v>44</v>
      </c>
      <c r="H50" t="s">
        <v>44</v>
      </c>
      <c r="I50" t="s">
        <v>44</v>
      </c>
      <c r="J50" t="s">
        <v>44</v>
      </c>
      <c r="K50" t="s">
        <v>39</v>
      </c>
      <c r="L50" t="s">
        <v>39</v>
      </c>
      <c r="M50" s="1">
        <v>44370</v>
      </c>
      <c r="N50" t="s">
        <v>44</v>
      </c>
      <c r="O50" t="s">
        <v>44</v>
      </c>
      <c r="P50" t="s">
        <v>40</v>
      </c>
      <c r="Q50" t="s">
        <v>41</v>
      </c>
      <c r="R50">
        <v>-1.524</v>
      </c>
      <c r="S50" t="s">
        <v>55</v>
      </c>
      <c r="T50">
        <v>1.5</v>
      </c>
      <c r="U50">
        <v>1</v>
      </c>
      <c r="V50">
        <v>1.5</v>
      </c>
      <c r="W50">
        <v>4.5</v>
      </c>
      <c r="X50">
        <v>0.45</v>
      </c>
      <c r="Y50">
        <v>18</v>
      </c>
      <c r="Z50">
        <v>270</v>
      </c>
      <c r="AA50">
        <v>180</v>
      </c>
      <c r="AB50">
        <v>60</v>
      </c>
      <c r="AC50" t="s">
        <v>99</v>
      </c>
      <c r="AD50" t="s">
        <v>44</v>
      </c>
      <c r="AE50" t="s">
        <v>164</v>
      </c>
      <c r="AF50">
        <v>38</v>
      </c>
      <c r="AG50">
        <f t="shared" si="0"/>
        <v>1</v>
      </c>
      <c r="AH50" s="5" t="str">
        <f t="shared" si="1"/>
        <v/>
      </c>
      <c r="AI50">
        <f t="shared" si="2"/>
        <v>1</v>
      </c>
      <c r="AJ50" t="str">
        <f t="shared" si="3"/>
        <v/>
      </c>
    </row>
    <row r="51" spans="1:38" x14ac:dyDescent="0.25">
      <c r="A51">
        <v>50</v>
      </c>
      <c r="B51" t="s">
        <v>138</v>
      </c>
      <c r="C51" t="s">
        <v>178</v>
      </c>
      <c r="D51" t="s">
        <v>179</v>
      </c>
      <c r="E51" t="s">
        <v>34</v>
      </c>
      <c r="F51">
        <v>2021</v>
      </c>
      <c r="G51" t="s">
        <v>44</v>
      </c>
      <c r="H51" t="s">
        <v>44</v>
      </c>
      <c r="I51" t="s">
        <v>44</v>
      </c>
      <c r="J51" t="s">
        <v>44</v>
      </c>
      <c r="K51" t="s">
        <v>39</v>
      </c>
      <c r="L51" t="s">
        <v>39</v>
      </c>
      <c r="M51" s="1">
        <v>44370</v>
      </c>
      <c r="N51" t="s">
        <v>44</v>
      </c>
      <c r="O51" t="s">
        <v>44</v>
      </c>
      <c r="P51" t="s">
        <v>40</v>
      </c>
      <c r="Q51" t="s">
        <v>41</v>
      </c>
      <c r="R51">
        <v>-1.524</v>
      </c>
      <c r="S51" t="s">
        <v>55</v>
      </c>
      <c r="T51">
        <v>1</v>
      </c>
      <c r="U51">
        <v>1</v>
      </c>
      <c r="V51">
        <v>1</v>
      </c>
      <c r="W51">
        <v>3</v>
      </c>
      <c r="X51">
        <v>0.3</v>
      </c>
      <c r="Y51">
        <v>12</v>
      </c>
      <c r="Z51">
        <v>180</v>
      </c>
      <c r="AA51">
        <v>180</v>
      </c>
      <c r="AB51">
        <v>60</v>
      </c>
      <c r="AC51" t="s">
        <v>99</v>
      </c>
      <c r="AD51" t="s">
        <v>44</v>
      </c>
      <c r="AE51" t="s">
        <v>164</v>
      </c>
      <c r="AF51">
        <v>39</v>
      </c>
      <c r="AG51">
        <f t="shared" si="0"/>
        <v>1</v>
      </c>
      <c r="AH51" s="5" t="str">
        <f t="shared" si="1"/>
        <v/>
      </c>
      <c r="AI51">
        <f t="shared" si="2"/>
        <v>1</v>
      </c>
      <c r="AJ51" t="str">
        <f t="shared" si="3"/>
        <v/>
      </c>
    </row>
    <row r="52" spans="1:38" x14ac:dyDescent="0.25">
      <c r="A52">
        <v>51</v>
      </c>
      <c r="B52" t="s">
        <v>113</v>
      </c>
      <c r="C52" t="s">
        <v>180</v>
      </c>
      <c r="D52" t="s">
        <v>181</v>
      </c>
      <c r="E52" t="s">
        <v>34</v>
      </c>
      <c r="F52">
        <v>2020</v>
      </c>
      <c r="G52" t="s">
        <v>111</v>
      </c>
      <c r="H52" t="s">
        <v>36</v>
      </c>
      <c r="I52" t="s">
        <v>182</v>
      </c>
      <c r="J52" t="s">
        <v>38</v>
      </c>
      <c r="K52" t="s">
        <v>39</v>
      </c>
      <c r="L52" t="s">
        <v>39</v>
      </c>
      <c r="M52" s="1">
        <v>44018</v>
      </c>
      <c r="N52">
        <v>47.329329999999999</v>
      </c>
      <c r="O52">
        <v>-122.38615</v>
      </c>
      <c r="P52" t="s">
        <v>40</v>
      </c>
      <c r="Q52" t="s">
        <v>41</v>
      </c>
      <c r="R52">
        <v>-1.6</v>
      </c>
      <c r="S52" t="s">
        <v>55</v>
      </c>
      <c r="T52">
        <v>3.5</v>
      </c>
      <c r="U52">
        <v>3.5</v>
      </c>
      <c r="V52">
        <v>12.25</v>
      </c>
      <c r="W52">
        <v>1.5</v>
      </c>
      <c r="X52">
        <v>0.45</v>
      </c>
      <c r="Y52">
        <v>18</v>
      </c>
      <c r="Z52">
        <v>300</v>
      </c>
      <c r="AA52">
        <v>24.4897959183673</v>
      </c>
      <c r="AB52">
        <v>200</v>
      </c>
      <c r="AC52" t="s">
        <v>113</v>
      </c>
      <c r="AD52" t="s">
        <v>183</v>
      </c>
      <c r="AE52" t="s">
        <v>184</v>
      </c>
      <c r="AF52">
        <v>40</v>
      </c>
      <c r="AG52">
        <f t="shared" si="0"/>
        <v>1</v>
      </c>
      <c r="AH52" s="5" t="str">
        <f t="shared" si="1"/>
        <v/>
      </c>
      <c r="AI52">
        <f t="shared" si="2"/>
        <v>1</v>
      </c>
      <c r="AJ52" t="str">
        <f t="shared" si="3"/>
        <v/>
      </c>
    </row>
    <row r="53" spans="1:38" x14ac:dyDescent="0.25">
      <c r="A53">
        <v>52</v>
      </c>
      <c r="B53" t="s">
        <v>113</v>
      </c>
      <c r="C53" t="s">
        <v>185</v>
      </c>
      <c r="D53" t="s">
        <v>186</v>
      </c>
      <c r="E53" t="s">
        <v>34</v>
      </c>
      <c r="F53">
        <v>2021</v>
      </c>
      <c r="G53" t="s">
        <v>111</v>
      </c>
      <c r="H53" t="s">
        <v>36</v>
      </c>
      <c r="I53" t="s">
        <v>182</v>
      </c>
      <c r="J53" t="s">
        <v>38</v>
      </c>
      <c r="K53" t="s">
        <v>39</v>
      </c>
      <c r="L53" t="s">
        <v>39</v>
      </c>
      <c r="M53" s="1">
        <v>44314</v>
      </c>
      <c r="N53">
        <v>47.329329999999999</v>
      </c>
      <c r="O53">
        <v>-122.38615</v>
      </c>
      <c r="P53" t="s">
        <v>40</v>
      </c>
      <c r="Q53" t="s">
        <v>41</v>
      </c>
      <c r="R53">
        <v>-1.6</v>
      </c>
      <c r="S53" t="s">
        <v>55</v>
      </c>
      <c r="T53">
        <v>3.5</v>
      </c>
      <c r="U53">
        <v>3.5</v>
      </c>
      <c r="V53">
        <v>12.25</v>
      </c>
      <c r="W53">
        <v>1</v>
      </c>
      <c r="X53">
        <v>0.3</v>
      </c>
      <c r="Y53">
        <v>12</v>
      </c>
      <c r="Z53">
        <v>300</v>
      </c>
      <c r="AA53">
        <v>24.4897959183673</v>
      </c>
      <c r="AB53">
        <v>300</v>
      </c>
      <c r="AC53" t="s">
        <v>113</v>
      </c>
      <c r="AD53" t="s">
        <v>187</v>
      </c>
      <c r="AE53" t="s">
        <v>184</v>
      </c>
      <c r="AF53">
        <v>41</v>
      </c>
      <c r="AG53">
        <f t="shared" si="0"/>
        <v>1</v>
      </c>
      <c r="AH53" s="5" t="str">
        <f t="shared" si="1"/>
        <v/>
      </c>
      <c r="AI53">
        <f t="shared" si="2"/>
        <v>4</v>
      </c>
      <c r="AJ53" s="7" t="str">
        <f t="shared" si="3"/>
        <v>DB_test_2</v>
      </c>
      <c r="AK53" t="s">
        <v>141</v>
      </c>
      <c r="AL53" t="s">
        <v>713</v>
      </c>
    </row>
    <row r="54" spans="1:38" x14ac:dyDescent="0.25">
      <c r="A54">
        <v>53</v>
      </c>
      <c r="B54" t="s">
        <v>113</v>
      </c>
      <c r="C54" t="s">
        <v>185</v>
      </c>
      <c r="D54" t="s">
        <v>186</v>
      </c>
      <c r="E54" t="s">
        <v>34</v>
      </c>
      <c r="F54">
        <v>2021</v>
      </c>
      <c r="G54" t="s">
        <v>111</v>
      </c>
      <c r="H54" t="s">
        <v>36</v>
      </c>
      <c r="I54" t="s">
        <v>182</v>
      </c>
      <c r="J54" t="s">
        <v>38</v>
      </c>
      <c r="K54" t="s">
        <v>39</v>
      </c>
      <c r="L54" t="s">
        <v>39</v>
      </c>
      <c r="M54" s="1">
        <v>44329</v>
      </c>
      <c r="N54">
        <v>47.329329999999999</v>
      </c>
      <c r="O54">
        <v>-122.38615</v>
      </c>
      <c r="P54" t="s">
        <v>40</v>
      </c>
      <c r="Q54" t="s">
        <v>41</v>
      </c>
      <c r="R54">
        <v>-1.6</v>
      </c>
      <c r="S54" t="s">
        <v>55</v>
      </c>
      <c r="T54">
        <v>3.5</v>
      </c>
      <c r="U54">
        <v>0.5</v>
      </c>
      <c r="V54">
        <v>1.75</v>
      </c>
      <c r="W54">
        <v>0.75</v>
      </c>
      <c r="X54">
        <v>0.22500000000000001</v>
      </c>
      <c r="Y54">
        <v>9</v>
      </c>
      <c r="Z54">
        <v>180</v>
      </c>
      <c r="AA54">
        <v>102.857142857143</v>
      </c>
      <c r="AB54">
        <v>240</v>
      </c>
      <c r="AC54" t="s">
        <v>99</v>
      </c>
      <c r="AD54" t="s">
        <v>188</v>
      </c>
      <c r="AE54" t="s">
        <v>184</v>
      </c>
      <c r="AF54">
        <v>42</v>
      </c>
      <c r="AG54">
        <f t="shared" si="0"/>
        <v>1</v>
      </c>
      <c r="AH54" s="5" t="str">
        <f t="shared" si="1"/>
        <v/>
      </c>
      <c r="AI54">
        <f t="shared" si="2"/>
        <v>4</v>
      </c>
      <c r="AJ54" s="7" t="str">
        <f t="shared" si="3"/>
        <v>DB_test_2</v>
      </c>
      <c r="AK54" t="s">
        <v>162</v>
      </c>
    </row>
    <row r="55" spans="1:38" x14ac:dyDescent="0.25">
      <c r="A55">
        <v>54</v>
      </c>
      <c r="B55" t="s">
        <v>113</v>
      </c>
      <c r="C55" t="s">
        <v>185</v>
      </c>
      <c r="D55" t="s">
        <v>186</v>
      </c>
      <c r="E55" t="s">
        <v>34</v>
      </c>
      <c r="F55">
        <v>2021</v>
      </c>
      <c r="G55" t="s">
        <v>111</v>
      </c>
      <c r="H55" t="s">
        <v>36</v>
      </c>
      <c r="I55" t="s">
        <v>182</v>
      </c>
      <c r="J55" t="s">
        <v>38</v>
      </c>
      <c r="K55" t="s">
        <v>39</v>
      </c>
      <c r="L55" t="s">
        <v>39</v>
      </c>
      <c r="M55" s="1">
        <v>44342</v>
      </c>
      <c r="N55">
        <v>47.329329999999999</v>
      </c>
      <c r="O55">
        <v>-122.38615</v>
      </c>
      <c r="P55" t="s">
        <v>40</v>
      </c>
      <c r="Q55" t="s">
        <v>41</v>
      </c>
      <c r="R55">
        <v>-1.6</v>
      </c>
      <c r="S55" t="s">
        <v>55</v>
      </c>
      <c r="T55">
        <v>3.5</v>
      </c>
      <c r="U55">
        <v>0.5</v>
      </c>
      <c r="V55">
        <v>1.75</v>
      </c>
      <c r="W55">
        <v>0.75</v>
      </c>
      <c r="X55">
        <v>0.22500000000000001</v>
      </c>
      <c r="Y55">
        <v>9</v>
      </c>
      <c r="Z55">
        <v>180</v>
      </c>
      <c r="AA55">
        <v>102.857142857143</v>
      </c>
      <c r="AB55">
        <v>240</v>
      </c>
      <c r="AC55" t="s">
        <v>99</v>
      </c>
      <c r="AD55" t="s">
        <v>189</v>
      </c>
      <c r="AE55" t="s">
        <v>184</v>
      </c>
      <c r="AF55">
        <v>43</v>
      </c>
      <c r="AG55">
        <f t="shared" si="0"/>
        <v>1</v>
      </c>
      <c r="AH55" s="5" t="str">
        <f t="shared" si="1"/>
        <v/>
      </c>
      <c r="AI55">
        <f t="shared" si="2"/>
        <v>4</v>
      </c>
      <c r="AJ55" s="7" t="str">
        <f t="shared" si="3"/>
        <v>DB_test_2</v>
      </c>
      <c r="AK55" t="s">
        <v>162</v>
      </c>
    </row>
    <row r="56" spans="1:38" x14ac:dyDescent="0.25">
      <c r="A56">
        <v>55</v>
      </c>
      <c r="B56" t="s">
        <v>113</v>
      </c>
      <c r="C56" t="s">
        <v>185</v>
      </c>
      <c r="D56" t="s">
        <v>186</v>
      </c>
      <c r="E56" t="s">
        <v>34</v>
      </c>
      <c r="F56">
        <v>2021</v>
      </c>
      <c r="G56" t="s">
        <v>111</v>
      </c>
      <c r="H56" t="s">
        <v>36</v>
      </c>
      <c r="I56" t="s">
        <v>182</v>
      </c>
      <c r="J56" t="s">
        <v>38</v>
      </c>
      <c r="K56" t="s">
        <v>39</v>
      </c>
      <c r="L56" t="s">
        <v>39</v>
      </c>
      <c r="M56" s="1">
        <v>44373</v>
      </c>
      <c r="N56">
        <v>47.329329999999999</v>
      </c>
      <c r="O56">
        <v>-122.38615</v>
      </c>
      <c r="P56" t="s">
        <v>40</v>
      </c>
      <c r="Q56" t="s">
        <v>41</v>
      </c>
      <c r="R56">
        <v>-1.6</v>
      </c>
      <c r="S56" t="s">
        <v>55</v>
      </c>
      <c r="T56">
        <v>3.5</v>
      </c>
      <c r="U56">
        <v>2</v>
      </c>
      <c r="V56">
        <v>7</v>
      </c>
      <c r="W56">
        <v>1.5</v>
      </c>
      <c r="X56">
        <v>0.45</v>
      </c>
      <c r="Y56">
        <v>18</v>
      </c>
      <c r="Z56">
        <v>270</v>
      </c>
      <c r="AA56">
        <v>38.571428571428598</v>
      </c>
      <c r="AB56">
        <v>180</v>
      </c>
      <c r="AC56" t="s">
        <v>99</v>
      </c>
      <c r="AD56" t="s">
        <v>190</v>
      </c>
      <c r="AE56" t="s">
        <v>184</v>
      </c>
      <c r="AF56">
        <v>44</v>
      </c>
      <c r="AG56">
        <f t="shared" si="0"/>
        <v>1</v>
      </c>
      <c r="AH56" s="5" t="str">
        <f t="shared" si="1"/>
        <v/>
      </c>
      <c r="AI56">
        <f t="shared" si="2"/>
        <v>4</v>
      </c>
      <c r="AJ56" s="7" t="str">
        <f t="shared" si="3"/>
        <v>DB_test_2</v>
      </c>
      <c r="AK56" t="s">
        <v>162</v>
      </c>
    </row>
    <row r="57" spans="1:38" x14ac:dyDescent="0.25">
      <c r="A57">
        <v>56</v>
      </c>
      <c r="B57" t="s">
        <v>113</v>
      </c>
      <c r="C57" t="s">
        <v>191</v>
      </c>
      <c r="D57" t="s">
        <v>192</v>
      </c>
      <c r="E57" t="s">
        <v>34</v>
      </c>
      <c r="F57">
        <v>2022</v>
      </c>
      <c r="G57" t="s">
        <v>111</v>
      </c>
      <c r="H57" t="s">
        <v>36</v>
      </c>
      <c r="I57" t="s">
        <v>182</v>
      </c>
      <c r="J57" t="s">
        <v>38</v>
      </c>
      <c r="K57" t="s">
        <v>39</v>
      </c>
      <c r="L57" t="s">
        <v>39</v>
      </c>
      <c r="M57" s="1">
        <v>44728</v>
      </c>
      <c r="N57">
        <v>47.329329999999999</v>
      </c>
      <c r="O57">
        <v>-122.38615</v>
      </c>
      <c r="P57" t="s">
        <v>40</v>
      </c>
      <c r="Q57" t="s">
        <v>41</v>
      </c>
      <c r="R57">
        <v>-1.6</v>
      </c>
      <c r="S57" t="s">
        <v>55</v>
      </c>
      <c r="T57">
        <v>10</v>
      </c>
      <c r="U57">
        <v>1</v>
      </c>
      <c r="V57">
        <v>10</v>
      </c>
      <c r="W57">
        <v>5</v>
      </c>
      <c r="X57">
        <v>1.5</v>
      </c>
      <c r="Y57">
        <v>60</v>
      </c>
      <c r="Z57">
        <v>720</v>
      </c>
      <c r="AA57">
        <v>72</v>
      </c>
      <c r="AB57">
        <v>144</v>
      </c>
      <c r="AC57" t="s">
        <v>99</v>
      </c>
      <c r="AD57" t="s">
        <v>193</v>
      </c>
      <c r="AE57" t="s">
        <v>184</v>
      </c>
      <c r="AF57">
        <v>45</v>
      </c>
      <c r="AG57">
        <f t="shared" si="0"/>
        <v>1</v>
      </c>
      <c r="AH57" s="5" t="str">
        <f t="shared" si="1"/>
        <v/>
      </c>
      <c r="AI57">
        <f t="shared" si="2"/>
        <v>1</v>
      </c>
      <c r="AJ57" t="str">
        <f t="shared" si="3"/>
        <v/>
      </c>
    </row>
    <row r="58" spans="1:38" x14ac:dyDescent="0.25">
      <c r="A58">
        <v>57</v>
      </c>
      <c r="B58" t="s">
        <v>113</v>
      </c>
      <c r="C58" t="s">
        <v>194</v>
      </c>
      <c r="D58" t="s">
        <v>195</v>
      </c>
      <c r="E58" t="s">
        <v>34</v>
      </c>
      <c r="F58">
        <v>2022</v>
      </c>
      <c r="G58" t="s">
        <v>111</v>
      </c>
      <c r="H58" t="s">
        <v>36</v>
      </c>
      <c r="I58" t="s">
        <v>182</v>
      </c>
      <c r="J58" t="s">
        <v>38</v>
      </c>
      <c r="K58" t="s">
        <v>39</v>
      </c>
      <c r="L58" t="s">
        <v>39</v>
      </c>
      <c r="M58" s="1">
        <v>44700</v>
      </c>
      <c r="N58">
        <v>47.329329999999999</v>
      </c>
      <c r="O58">
        <v>-122.38615</v>
      </c>
      <c r="P58" t="s">
        <v>40</v>
      </c>
      <c r="Q58" t="s">
        <v>41</v>
      </c>
      <c r="R58">
        <v>-1.6</v>
      </c>
      <c r="S58" t="s">
        <v>55</v>
      </c>
      <c r="T58">
        <v>3</v>
      </c>
      <c r="U58">
        <v>0.5</v>
      </c>
      <c r="V58">
        <v>1.5</v>
      </c>
      <c r="W58">
        <v>5</v>
      </c>
      <c r="X58">
        <v>0.5</v>
      </c>
      <c r="Y58">
        <v>20</v>
      </c>
      <c r="Z58">
        <v>400</v>
      </c>
      <c r="AA58">
        <v>266.66666666666703</v>
      </c>
      <c r="AB58">
        <v>80</v>
      </c>
      <c r="AC58" t="s">
        <v>99</v>
      </c>
      <c r="AD58" t="s">
        <v>196</v>
      </c>
      <c r="AE58" t="s">
        <v>184</v>
      </c>
      <c r="AF58">
        <v>46</v>
      </c>
      <c r="AG58">
        <f t="shared" si="0"/>
        <v>1</v>
      </c>
      <c r="AH58" s="5" t="str">
        <f t="shared" si="1"/>
        <v/>
      </c>
      <c r="AI58">
        <f t="shared" si="2"/>
        <v>1</v>
      </c>
      <c r="AJ58" t="str">
        <f t="shared" si="3"/>
        <v/>
      </c>
    </row>
    <row r="59" spans="1:38" x14ac:dyDescent="0.25">
      <c r="A59">
        <v>58</v>
      </c>
      <c r="B59" t="s">
        <v>197</v>
      </c>
      <c r="C59" t="s">
        <v>198</v>
      </c>
      <c r="D59" t="s">
        <v>199</v>
      </c>
      <c r="E59" t="s">
        <v>34</v>
      </c>
      <c r="F59">
        <v>2015</v>
      </c>
      <c r="G59" t="s">
        <v>44</v>
      </c>
      <c r="H59" t="s">
        <v>36</v>
      </c>
      <c r="I59" t="s">
        <v>197</v>
      </c>
      <c r="J59" t="s">
        <v>200</v>
      </c>
      <c r="K59" t="s">
        <v>39</v>
      </c>
      <c r="L59" t="s">
        <v>39</v>
      </c>
      <c r="M59" s="1">
        <v>42075</v>
      </c>
      <c r="N59">
        <v>47.0974</v>
      </c>
      <c r="O59">
        <v>-122.95525000000001</v>
      </c>
      <c r="P59" t="s">
        <v>40</v>
      </c>
      <c r="Q59" t="s">
        <v>41</v>
      </c>
      <c r="R59">
        <v>-1.0668</v>
      </c>
      <c r="S59" t="s">
        <v>42</v>
      </c>
      <c r="T59">
        <v>5</v>
      </c>
      <c r="U59">
        <v>5</v>
      </c>
      <c r="V59">
        <v>25</v>
      </c>
      <c r="W59">
        <v>25</v>
      </c>
      <c r="X59">
        <v>0.625</v>
      </c>
      <c r="Y59">
        <v>125</v>
      </c>
      <c r="Z59">
        <v>500</v>
      </c>
      <c r="AA59">
        <v>20</v>
      </c>
      <c r="AB59">
        <v>20</v>
      </c>
      <c r="AC59" t="s">
        <v>201</v>
      </c>
      <c r="AD59" t="s">
        <v>202</v>
      </c>
      <c r="AE59" t="s">
        <v>51</v>
      </c>
      <c r="AF59">
        <v>47</v>
      </c>
      <c r="AG59">
        <f t="shared" si="0"/>
        <v>1</v>
      </c>
      <c r="AH59" s="5" t="str">
        <f t="shared" si="1"/>
        <v/>
      </c>
      <c r="AI59">
        <f t="shared" si="2"/>
        <v>1</v>
      </c>
      <c r="AJ59" t="str">
        <f t="shared" si="3"/>
        <v/>
      </c>
    </row>
    <row r="60" spans="1:38" x14ac:dyDescent="0.25">
      <c r="A60">
        <v>59</v>
      </c>
      <c r="B60" t="s">
        <v>197</v>
      </c>
      <c r="C60" t="s">
        <v>203</v>
      </c>
      <c r="D60" t="s">
        <v>204</v>
      </c>
      <c r="E60" t="s">
        <v>34</v>
      </c>
      <c r="F60">
        <v>2015</v>
      </c>
      <c r="G60" t="s">
        <v>44</v>
      </c>
      <c r="H60" t="s">
        <v>36</v>
      </c>
      <c r="I60" t="s">
        <v>197</v>
      </c>
      <c r="J60" t="s">
        <v>200</v>
      </c>
      <c r="K60" t="s">
        <v>39</v>
      </c>
      <c r="L60" t="s">
        <v>39</v>
      </c>
      <c r="M60" s="1">
        <v>42075</v>
      </c>
      <c r="N60">
        <v>47.097516666666699</v>
      </c>
      <c r="O60">
        <v>-122.95535</v>
      </c>
      <c r="P60" t="s">
        <v>40</v>
      </c>
      <c r="Q60" t="s">
        <v>41</v>
      </c>
      <c r="R60">
        <v>-2.1335999999999999</v>
      </c>
      <c r="S60" t="s">
        <v>42</v>
      </c>
      <c r="T60">
        <v>5</v>
      </c>
      <c r="U60">
        <v>5</v>
      </c>
      <c r="V60">
        <v>25</v>
      </c>
      <c r="W60">
        <v>25</v>
      </c>
      <c r="X60">
        <v>0.625</v>
      </c>
      <c r="Y60">
        <v>125</v>
      </c>
      <c r="Z60">
        <v>500</v>
      </c>
      <c r="AA60">
        <v>20</v>
      </c>
      <c r="AB60">
        <v>20</v>
      </c>
      <c r="AC60" t="s">
        <v>201</v>
      </c>
      <c r="AD60" t="s">
        <v>205</v>
      </c>
      <c r="AE60" t="s">
        <v>51</v>
      </c>
      <c r="AF60">
        <v>48</v>
      </c>
      <c r="AG60">
        <f t="shared" si="0"/>
        <v>1</v>
      </c>
      <c r="AH60" s="5" t="str">
        <f t="shared" si="1"/>
        <v/>
      </c>
      <c r="AI60">
        <f t="shared" si="2"/>
        <v>1</v>
      </c>
      <c r="AJ60" t="str">
        <f t="shared" si="3"/>
        <v/>
      </c>
    </row>
    <row r="61" spans="1:38" x14ac:dyDescent="0.25">
      <c r="A61">
        <v>60</v>
      </c>
      <c r="B61" t="s">
        <v>197</v>
      </c>
      <c r="C61" t="s">
        <v>206</v>
      </c>
      <c r="D61" t="s">
        <v>207</v>
      </c>
      <c r="E61" t="s">
        <v>34</v>
      </c>
      <c r="F61">
        <v>2020</v>
      </c>
      <c r="G61" t="s">
        <v>44</v>
      </c>
      <c r="H61" t="s">
        <v>36</v>
      </c>
      <c r="I61" t="s">
        <v>197</v>
      </c>
      <c r="J61" t="s">
        <v>200</v>
      </c>
      <c r="K61" t="s">
        <v>39</v>
      </c>
      <c r="L61" t="s">
        <v>39</v>
      </c>
      <c r="M61" s="1">
        <v>44013</v>
      </c>
      <c r="N61">
        <v>47.121210165999997</v>
      </c>
      <c r="O61">
        <v>-122.9437588</v>
      </c>
      <c r="P61" t="s">
        <v>40</v>
      </c>
      <c r="Q61" t="s">
        <v>41</v>
      </c>
      <c r="R61">
        <v>-1.6</v>
      </c>
      <c r="S61" t="s">
        <v>55</v>
      </c>
      <c r="T61">
        <v>3</v>
      </c>
      <c r="U61">
        <v>2.5</v>
      </c>
      <c r="V61">
        <v>7.5</v>
      </c>
      <c r="W61">
        <v>6.25</v>
      </c>
      <c r="X61">
        <v>0.625</v>
      </c>
      <c r="Y61">
        <v>25</v>
      </c>
      <c r="Z61">
        <v>625</v>
      </c>
      <c r="AA61">
        <v>83.3333333333333</v>
      </c>
      <c r="AB61">
        <v>100</v>
      </c>
      <c r="AC61" t="s">
        <v>31</v>
      </c>
      <c r="AD61" t="s">
        <v>208</v>
      </c>
      <c r="AE61" t="s">
        <v>90</v>
      </c>
      <c r="AF61">
        <v>49</v>
      </c>
      <c r="AG61">
        <f t="shared" si="0"/>
        <v>1</v>
      </c>
      <c r="AH61" s="5" t="str">
        <f t="shared" si="1"/>
        <v/>
      </c>
      <c r="AI61">
        <f t="shared" si="2"/>
        <v>1</v>
      </c>
      <c r="AJ61" t="str">
        <f t="shared" si="3"/>
        <v/>
      </c>
    </row>
    <row r="62" spans="1:38" x14ac:dyDescent="0.25">
      <c r="A62">
        <v>61</v>
      </c>
      <c r="B62" t="s">
        <v>209</v>
      </c>
      <c r="C62" t="s">
        <v>210</v>
      </c>
      <c r="D62" t="s">
        <v>211</v>
      </c>
      <c r="E62" t="s">
        <v>34</v>
      </c>
      <c r="F62">
        <v>2016</v>
      </c>
      <c r="G62" t="s">
        <v>44</v>
      </c>
      <c r="H62" t="s">
        <v>36</v>
      </c>
      <c r="I62" t="s">
        <v>209</v>
      </c>
      <c r="J62" t="s">
        <v>112</v>
      </c>
      <c r="K62" t="s">
        <v>39</v>
      </c>
      <c r="L62" t="s">
        <v>39</v>
      </c>
      <c r="M62" s="1">
        <v>42593</v>
      </c>
      <c r="N62">
        <v>48.137500000000003</v>
      </c>
      <c r="O62">
        <v>-123.587</v>
      </c>
      <c r="P62" t="s">
        <v>40</v>
      </c>
      <c r="Q62" t="s">
        <v>41</v>
      </c>
      <c r="R62">
        <v>-4.7</v>
      </c>
      <c r="S62" t="s">
        <v>55</v>
      </c>
      <c r="T62">
        <v>2</v>
      </c>
      <c r="U62">
        <v>2</v>
      </c>
      <c r="V62">
        <v>4</v>
      </c>
      <c r="W62">
        <v>5</v>
      </c>
      <c r="X62">
        <v>0.5</v>
      </c>
      <c r="Y62">
        <v>20</v>
      </c>
      <c r="Z62">
        <v>500</v>
      </c>
      <c r="AA62">
        <v>125</v>
      </c>
      <c r="AB62">
        <v>100</v>
      </c>
      <c r="AC62" t="s">
        <v>212</v>
      </c>
      <c r="AD62" t="s">
        <v>44</v>
      </c>
      <c r="AE62" t="s">
        <v>57</v>
      </c>
      <c r="AF62">
        <v>50</v>
      </c>
      <c r="AG62">
        <f t="shared" si="0"/>
        <v>1</v>
      </c>
      <c r="AH62" s="5" t="str">
        <f t="shared" si="1"/>
        <v/>
      </c>
      <c r="AI62">
        <f t="shared" si="2"/>
        <v>1</v>
      </c>
      <c r="AJ62" t="str">
        <f t="shared" si="3"/>
        <v/>
      </c>
    </row>
    <row r="63" spans="1:38" x14ac:dyDescent="0.25">
      <c r="A63">
        <v>62</v>
      </c>
      <c r="B63" t="s">
        <v>209</v>
      </c>
      <c r="C63" t="s">
        <v>213</v>
      </c>
      <c r="D63" t="s">
        <v>214</v>
      </c>
      <c r="E63" t="s">
        <v>34</v>
      </c>
      <c r="F63">
        <v>2016</v>
      </c>
      <c r="G63" t="s">
        <v>44</v>
      </c>
      <c r="H63" t="s">
        <v>36</v>
      </c>
      <c r="I63" t="s">
        <v>209</v>
      </c>
      <c r="J63" t="s">
        <v>112</v>
      </c>
      <c r="K63" t="s">
        <v>39</v>
      </c>
      <c r="L63" t="s">
        <v>39</v>
      </c>
      <c r="M63" s="1">
        <v>42593</v>
      </c>
      <c r="N63">
        <v>48.1372</v>
      </c>
      <c r="O63">
        <v>-123.5869</v>
      </c>
      <c r="P63" t="s">
        <v>40</v>
      </c>
      <c r="Q63" t="s">
        <v>41</v>
      </c>
      <c r="R63">
        <v>-3.9</v>
      </c>
      <c r="S63" t="s">
        <v>55</v>
      </c>
      <c r="T63">
        <v>2</v>
      </c>
      <c r="U63">
        <v>2</v>
      </c>
      <c r="V63">
        <v>4</v>
      </c>
      <c r="W63">
        <v>5.5</v>
      </c>
      <c r="X63">
        <v>0.55000000000000004</v>
      </c>
      <c r="Y63">
        <v>22</v>
      </c>
      <c r="Z63">
        <v>550</v>
      </c>
      <c r="AA63">
        <v>137.5</v>
      </c>
      <c r="AB63">
        <v>100</v>
      </c>
      <c r="AC63" t="s">
        <v>212</v>
      </c>
      <c r="AD63" t="s">
        <v>44</v>
      </c>
      <c r="AE63" t="s">
        <v>57</v>
      </c>
      <c r="AF63">
        <v>51</v>
      </c>
      <c r="AG63">
        <f t="shared" si="0"/>
        <v>1</v>
      </c>
      <c r="AH63" s="5" t="str">
        <f t="shared" si="1"/>
        <v/>
      </c>
      <c r="AI63">
        <f t="shared" si="2"/>
        <v>1</v>
      </c>
      <c r="AJ63" t="str">
        <f t="shared" si="3"/>
        <v/>
      </c>
    </row>
    <row r="64" spans="1:38" x14ac:dyDescent="0.25">
      <c r="A64">
        <v>63</v>
      </c>
      <c r="B64" t="s">
        <v>215</v>
      </c>
      <c r="C64" t="s">
        <v>216</v>
      </c>
      <c r="D64" t="s">
        <v>217</v>
      </c>
      <c r="E64" t="s">
        <v>34</v>
      </c>
      <c r="F64">
        <v>2017</v>
      </c>
      <c r="G64" t="s">
        <v>35</v>
      </c>
      <c r="H64" t="s">
        <v>36</v>
      </c>
      <c r="I64" t="s">
        <v>107</v>
      </c>
      <c r="J64" t="s">
        <v>38</v>
      </c>
      <c r="K64" t="s">
        <v>39</v>
      </c>
      <c r="L64" t="s">
        <v>39</v>
      </c>
      <c r="M64" s="1">
        <v>42935</v>
      </c>
      <c r="N64">
        <v>47.237259999999999</v>
      </c>
      <c r="O64">
        <v>-122.86145</v>
      </c>
      <c r="P64" t="s">
        <v>40</v>
      </c>
      <c r="Q64" t="s">
        <v>41</v>
      </c>
      <c r="R64">
        <v>-1.95</v>
      </c>
      <c r="S64" t="s">
        <v>55</v>
      </c>
      <c r="T64">
        <v>1</v>
      </c>
      <c r="U64">
        <v>1</v>
      </c>
      <c r="V64">
        <v>1</v>
      </c>
      <c r="W64">
        <v>1.25</v>
      </c>
      <c r="X64">
        <v>0.125</v>
      </c>
      <c r="Y64">
        <v>5</v>
      </c>
      <c r="Z64">
        <v>250</v>
      </c>
      <c r="AA64">
        <v>250</v>
      </c>
      <c r="AB64">
        <v>200</v>
      </c>
      <c r="AC64" t="s">
        <v>65</v>
      </c>
      <c r="AD64" t="s">
        <v>44</v>
      </c>
      <c r="AE64" t="s">
        <v>164</v>
      </c>
      <c r="AF64">
        <v>52</v>
      </c>
      <c r="AG64">
        <f t="shared" si="0"/>
        <v>1</v>
      </c>
      <c r="AH64" s="5" t="str">
        <f t="shared" si="1"/>
        <v/>
      </c>
      <c r="AI64">
        <f t="shared" si="2"/>
        <v>1</v>
      </c>
      <c r="AJ64" t="str">
        <f t="shared" si="3"/>
        <v/>
      </c>
    </row>
    <row r="65" spans="1:38" x14ac:dyDescent="0.25">
      <c r="A65">
        <v>64</v>
      </c>
      <c r="B65" t="s">
        <v>215</v>
      </c>
      <c r="C65" t="s">
        <v>218</v>
      </c>
      <c r="D65" t="s">
        <v>219</v>
      </c>
      <c r="E65" t="s">
        <v>141</v>
      </c>
      <c r="F65">
        <v>2017</v>
      </c>
      <c r="G65" t="s">
        <v>35</v>
      </c>
      <c r="H65" t="s">
        <v>63</v>
      </c>
      <c r="I65" t="s">
        <v>107</v>
      </c>
      <c r="J65" t="s">
        <v>38</v>
      </c>
      <c r="K65" t="s">
        <v>39</v>
      </c>
      <c r="L65" t="s">
        <v>39</v>
      </c>
      <c r="M65" s="1">
        <v>42935</v>
      </c>
      <c r="N65">
        <v>47.237250000000003</v>
      </c>
      <c r="O65">
        <v>-122.86138</v>
      </c>
      <c r="P65" t="s">
        <v>40</v>
      </c>
      <c r="Q65" t="s">
        <v>41</v>
      </c>
      <c r="R65">
        <v>-1.95</v>
      </c>
      <c r="S65" t="s">
        <v>64</v>
      </c>
      <c r="T65">
        <v>10</v>
      </c>
      <c r="U65">
        <v>1</v>
      </c>
      <c r="V65">
        <v>10</v>
      </c>
      <c r="W65">
        <v>6</v>
      </c>
      <c r="X65">
        <v>1.06</v>
      </c>
      <c r="Y65">
        <v>106</v>
      </c>
      <c r="Z65">
        <v>1056</v>
      </c>
      <c r="AA65">
        <v>105.6</v>
      </c>
      <c r="AB65">
        <v>176</v>
      </c>
      <c r="AC65" t="s">
        <v>65</v>
      </c>
      <c r="AD65" t="s">
        <v>220</v>
      </c>
      <c r="AE65" t="s">
        <v>67</v>
      </c>
      <c r="AF65">
        <v>53</v>
      </c>
      <c r="AG65">
        <f t="shared" si="0"/>
        <v>2</v>
      </c>
      <c r="AH65" s="5">
        <f t="shared" si="1"/>
        <v>53</v>
      </c>
      <c r="AI65">
        <f t="shared" si="2"/>
        <v>4</v>
      </c>
      <c r="AJ65" t="str">
        <f t="shared" si="3"/>
        <v>FDG_L1</v>
      </c>
      <c r="AK65" t="s">
        <v>718</v>
      </c>
    </row>
    <row r="66" spans="1:38" x14ac:dyDescent="0.25">
      <c r="A66">
        <v>65</v>
      </c>
      <c r="B66" t="s">
        <v>215</v>
      </c>
      <c r="C66" t="s">
        <v>221</v>
      </c>
      <c r="D66" t="s">
        <v>219</v>
      </c>
      <c r="E66" t="s">
        <v>141</v>
      </c>
      <c r="F66">
        <v>2017</v>
      </c>
      <c r="G66" t="s">
        <v>35</v>
      </c>
      <c r="H66" t="s">
        <v>63</v>
      </c>
      <c r="I66" t="s">
        <v>107</v>
      </c>
      <c r="J66" t="s">
        <v>38</v>
      </c>
      <c r="K66" t="s">
        <v>39</v>
      </c>
      <c r="L66" t="s">
        <v>69</v>
      </c>
      <c r="M66" s="1">
        <v>42935</v>
      </c>
      <c r="N66">
        <v>47.237259999999999</v>
      </c>
      <c r="O66">
        <v>-122.86145</v>
      </c>
      <c r="P66" t="s">
        <v>40</v>
      </c>
      <c r="Q66" t="s">
        <v>41</v>
      </c>
      <c r="R66" t="s">
        <v>44</v>
      </c>
      <c r="S66" t="s">
        <v>44</v>
      </c>
      <c r="T66" t="s">
        <v>44</v>
      </c>
      <c r="U66" t="s">
        <v>44</v>
      </c>
      <c r="V66" t="s">
        <v>44</v>
      </c>
      <c r="W66" t="s">
        <v>44</v>
      </c>
      <c r="X66" t="s">
        <v>44</v>
      </c>
      <c r="Y66" t="s">
        <v>44</v>
      </c>
      <c r="Z66" t="s">
        <v>44</v>
      </c>
      <c r="AA66" t="s">
        <v>44</v>
      </c>
      <c r="AB66" t="s">
        <v>44</v>
      </c>
      <c r="AC66" t="s">
        <v>44</v>
      </c>
      <c r="AD66" t="s">
        <v>44</v>
      </c>
      <c r="AE66" t="s">
        <v>67</v>
      </c>
      <c r="AF66">
        <v>53</v>
      </c>
      <c r="AG66">
        <f t="shared" si="0"/>
        <v>2</v>
      </c>
      <c r="AH66" s="5">
        <f t="shared" si="1"/>
        <v>53</v>
      </c>
      <c r="AI66">
        <f t="shared" si="2"/>
        <v>4</v>
      </c>
      <c r="AJ66" t="str">
        <f t="shared" si="3"/>
        <v>FDG_L1</v>
      </c>
      <c r="AK66" t="s">
        <v>718</v>
      </c>
    </row>
    <row r="67" spans="1:38" x14ac:dyDescent="0.25">
      <c r="A67">
        <v>66</v>
      </c>
      <c r="B67" t="s">
        <v>215</v>
      </c>
      <c r="C67" t="s">
        <v>222</v>
      </c>
      <c r="D67" t="s">
        <v>223</v>
      </c>
      <c r="E67" t="s">
        <v>141</v>
      </c>
      <c r="F67">
        <v>2017</v>
      </c>
      <c r="G67" t="s">
        <v>35</v>
      </c>
      <c r="H67" t="s">
        <v>63</v>
      </c>
      <c r="I67" t="s">
        <v>107</v>
      </c>
      <c r="J67" t="s">
        <v>38</v>
      </c>
      <c r="K67" t="s">
        <v>39</v>
      </c>
      <c r="L67" t="s">
        <v>39</v>
      </c>
      <c r="M67" s="1">
        <v>42935</v>
      </c>
      <c r="N67">
        <v>47.237659999999998</v>
      </c>
      <c r="O67">
        <v>-122.86239999999999</v>
      </c>
      <c r="P67" t="s">
        <v>40</v>
      </c>
      <c r="Q67" t="s">
        <v>41</v>
      </c>
      <c r="R67">
        <v>-1.95</v>
      </c>
      <c r="S67" t="s">
        <v>64</v>
      </c>
      <c r="T67">
        <v>10</v>
      </c>
      <c r="U67">
        <v>1</v>
      </c>
      <c r="V67">
        <v>10</v>
      </c>
      <c r="W67">
        <v>6</v>
      </c>
      <c r="X67">
        <v>1.1599999999999999</v>
      </c>
      <c r="Y67">
        <v>116</v>
      </c>
      <c r="Z67">
        <v>1160</v>
      </c>
      <c r="AA67">
        <v>116</v>
      </c>
      <c r="AB67">
        <v>193.333333333333</v>
      </c>
      <c r="AC67" t="s">
        <v>65</v>
      </c>
      <c r="AD67" t="s">
        <v>224</v>
      </c>
      <c r="AE67" t="s">
        <v>67</v>
      </c>
      <c r="AF67">
        <v>54</v>
      </c>
      <c r="AG67">
        <f t="shared" ref="AG67:AG130" si="4">COUNTIF(AF:AF,AF67)</f>
        <v>2</v>
      </c>
      <c r="AH67" s="5">
        <f t="shared" ref="AH67:AH130" si="5">IF(AG67&gt;1,AF67,"")</f>
        <v>54</v>
      </c>
      <c r="AI67">
        <f t="shared" ref="AI67:AI130" si="6">COUNTIF(D:D,D67)</f>
        <v>4</v>
      </c>
      <c r="AJ67" t="str">
        <f t="shared" ref="AJ67:AJ130" si="7">IF(AI67&gt;1,D67,"")</f>
        <v>FDG_L2</v>
      </c>
      <c r="AK67" t="s">
        <v>718</v>
      </c>
    </row>
    <row r="68" spans="1:38" x14ac:dyDescent="0.25">
      <c r="A68">
        <v>67</v>
      </c>
      <c r="B68" t="s">
        <v>215</v>
      </c>
      <c r="C68" t="s">
        <v>225</v>
      </c>
      <c r="D68" t="s">
        <v>223</v>
      </c>
      <c r="E68" t="s">
        <v>141</v>
      </c>
      <c r="F68">
        <v>2017</v>
      </c>
      <c r="G68" t="s">
        <v>35</v>
      </c>
      <c r="H68" t="s">
        <v>63</v>
      </c>
      <c r="I68" t="s">
        <v>107</v>
      </c>
      <c r="J68" t="s">
        <v>38</v>
      </c>
      <c r="K68" t="s">
        <v>39</v>
      </c>
      <c r="L68" t="s">
        <v>69</v>
      </c>
      <c r="M68" s="1">
        <v>42935</v>
      </c>
      <c r="N68">
        <v>47.237740000000002</v>
      </c>
      <c r="O68">
        <v>-122.86269</v>
      </c>
      <c r="P68" t="s">
        <v>40</v>
      </c>
      <c r="Q68" t="s">
        <v>41</v>
      </c>
      <c r="R68" t="s">
        <v>44</v>
      </c>
      <c r="S68" t="s">
        <v>44</v>
      </c>
      <c r="T68" t="s">
        <v>44</v>
      </c>
      <c r="U68" t="s">
        <v>44</v>
      </c>
      <c r="V68" t="s">
        <v>44</v>
      </c>
      <c r="W68" t="s">
        <v>44</v>
      </c>
      <c r="X68" t="s">
        <v>44</v>
      </c>
      <c r="Y68" t="s">
        <v>44</v>
      </c>
      <c r="Z68" t="s">
        <v>44</v>
      </c>
      <c r="AA68" t="s">
        <v>44</v>
      </c>
      <c r="AB68" t="s">
        <v>44</v>
      </c>
      <c r="AC68" t="s">
        <v>44</v>
      </c>
      <c r="AD68" t="s">
        <v>44</v>
      </c>
      <c r="AE68" t="s">
        <v>67</v>
      </c>
      <c r="AF68">
        <v>54</v>
      </c>
      <c r="AG68">
        <f t="shared" si="4"/>
        <v>2</v>
      </c>
      <c r="AH68" s="5">
        <f t="shared" si="5"/>
        <v>54</v>
      </c>
      <c r="AI68">
        <f t="shared" si="6"/>
        <v>4</v>
      </c>
      <c r="AJ68" t="str">
        <f t="shared" si="7"/>
        <v>FDG_L2</v>
      </c>
      <c r="AK68" t="s">
        <v>718</v>
      </c>
    </row>
    <row r="69" spans="1:38" x14ac:dyDescent="0.25">
      <c r="A69">
        <v>68</v>
      </c>
      <c r="B69" t="s">
        <v>215</v>
      </c>
      <c r="C69" t="s">
        <v>226</v>
      </c>
      <c r="D69" t="s">
        <v>219</v>
      </c>
      <c r="E69" t="s">
        <v>162</v>
      </c>
      <c r="F69">
        <v>2018</v>
      </c>
      <c r="G69" t="s">
        <v>35</v>
      </c>
      <c r="H69" t="s">
        <v>63</v>
      </c>
      <c r="I69" t="s">
        <v>107</v>
      </c>
      <c r="J69" t="s">
        <v>38</v>
      </c>
      <c r="K69" t="s">
        <v>39</v>
      </c>
      <c r="L69" t="s">
        <v>39</v>
      </c>
      <c r="M69" s="1">
        <v>43263</v>
      </c>
      <c r="N69">
        <v>47.237250000000003</v>
      </c>
      <c r="O69">
        <v>-122.86138</v>
      </c>
      <c r="P69" t="s">
        <v>40</v>
      </c>
      <c r="Q69" t="s">
        <v>41</v>
      </c>
      <c r="R69">
        <v>-1.95</v>
      </c>
      <c r="S69" t="s">
        <v>55</v>
      </c>
      <c r="T69">
        <v>10</v>
      </c>
      <c r="U69">
        <v>0.5</v>
      </c>
      <c r="V69">
        <v>5</v>
      </c>
      <c r="W69">
        <v>2.25</v>
      </c>
      <c r="X69">
        <v>0.22500000000000001</v>
      </c>
      <c r="Y69">
        <v>9</v>
      </c>
      <c r="Z69">
        <v>225</v>
      </c>
      <c r="AA69">
        <v>45</v>
      </c>
      <c r="AB69">
        <v>100</v>
      </c>
      <c r="AC69" t="s">
        <v>99</v>
      </c>
      <c r="AD69" t="s">
        <v>227</v>
      </c>
      <c r="AE69" t="s">
        <v>164</v>
      </c>
      <c r="AF69">
        <v>55</v>
      </c>
      <c r="AG69">
        <f t="shared" si="4"/>
        <v>2</v>
      </c>
      <c r="AH69" s="5">
        <f t="shared" si="5"/>
        <v>55</v>
      </c>
      <c r="AI69">
        <f t="shared" si="6"/>
        <v>4</v>
      </c>
      <c r="AJ69" t="str">
        <f t="shared" si="7"/>
        <v>FDG_L1</v>
      </c>
      <c r="AK69" t="s">
        <v>718</v>
      </c>
    </row>
    <row r="70" spans="1:38" x14ac:dyDescent="0.25">
      <c r="A70">
        <v>69</v>
      </c>
      <c r="B70" t="s">
        <v>215</v>
      </c>
      <c r="C70" t="s">
        <v>228</v>
      </c>
      <c r="D70" t="s">
        <v>219</v>
      </c>
      <c r="E70" t="s">
        <v>162</v>
      </c>
      <c r="F70">
        <v>2018</v>
      </c>
      <c r="G70" t="s">
        <v>35</v>
      </c>
      <c r="H70" t="s">
        <v>63</v>
      </c>
      <c r="I70" t="s">
        <v>107</v>
      </c>
      <c r="J70" t="s">
        <v>38</v>
      </c>
      <c r="K70" t="s">
        <v>39</v>
      </c>
      <c r="L70" t="s">
        <v>69</v>
      </c>
      <c r="M70" s="1">
        <v>43263</v>
      </c>
      <c r="N70">
        <v>47.237259999999999</v>
      </c>
      <c r="O70">
        <v>-122.86145</v>
      </c>
      <c r="P70" t="s">
        <v>40</v>
      </c>
      <c r="Q70" t="s">
        <v>41</v>
      </c>
      <c r="R70" t="s">
        <v>44</v>
      </c>
      <c r="S70" t="s">
        <v>44</v>
      </c>
      <c r="T70" t="s">
        <v>44</v>
      </c>
      <c r="U70" t="s">
        <v>44</v>
      </c>
      <c r="V70" t="s">
        <v>44</v>
      </c>
      <c r="W70" t="s">
        <v>44</v>
      </c>
      <c r="X70" t="s">
        <v>44</v>
      </c>
      <c r="Y70" t="s">
        <v>44</v>
      </c>
      <c r="Z70" t="s">
        <v>44</v>
      </c>
      <c r="AA70" t="s">
        <v>44</v>
      </c>
      <c r="AB70" t="s">
        <v>44</v>
      </c>
      <c r="AC70" t="s">
        <v>44</v>
      </c>
      <c r="AD70" t="s">
        <v>44</v>
      </c>
      <c r="AE70" t="s">
        <v>164</v>
      </c>
      <c r="AF70">
        <v>55</v>
      </c>
      <c r="AG70">
        <f t="shared" si="4"/>
        <v>2</v>
      </c>
      <c r="AH70" s="5">
        <f t="shared" si="5"/>
        <v>55</v>
      </c>
      <c r="AI70">
        <f t="shared" si="6"/>
        <v>4</v>
      </c>
      <c r="AJ70" t="str">
        <f t="shared" si="7"/>
        <v>FDG_L1</v>
      </c>
      <c r="AK70" t="s">
        <v>718</v>
      </c>
    </row>
    <row r="71" spans="1:38" x14ac:dyDescent="0.25">
      <c r="A71">
        <v>70</v>
      </c>
      <c r="B71" t="s">
        <v>215</v>
      </c>
      <c r="C71" t="s">
        <v>229</v>
      </c>
      <c r="D71" t="s">
        <v>223</v>
      </c>
      <c r="E71" t="s">
        <v>162</v>
      </c>
      <c r="F71">
        <v>2018</v>
      </c>
      <c r="G71" t="s">
        <v>35</v>
      </c>
      <c r="H71" t="s">
        <v>63</v>
      </c>
      <c r="I71" t="s">
        <v>107</v>
      </c>
      <c r="J71" t="s">
        <v>38</v>
      </c>
      <c r="K71" t="s">
        <v>39</v>
      </c>
      <c r="L71" t="s">
        <v>39</v>
      </c>
      <c r="M71" s="1">
        <v>43263</v>
      </c>
      <c r="N71">
        <v>47.237659999999998</v>
      </c>
      <c r="O71">
        <v>-122.86239999999999</v>
      </c>
      <c r="P71" t="s">
        <v>40</v>
      </c>
      <c r="Q71" t="s">
        <v>41</v>
      </c>
      <c r="R71">
        <v>-1.95</v>
      </c>
      <c r="S71" t="s">
        <v>55</v>
      </c>
      <c r="T71">
        <v>10</v>
      </c>
      <c r="U71">
        <v>0.5</v>
      </c>
      <c r="V71">
        <v>5</v>
      </c>
      <c r="W71">
        <v>2.25</v>
      </c>
      <c r="X71">
        <v>0.22500000000000001</v>
      </c>
      <c r="Y71">
        <v>9</v>
      </c>
      <c r="Z71">
        <v>225</v>
      </c>
      <c r="AA71">
        <v>45</v>
      </c>
      <c r="AB71">
        <v>100</v>
      </c>
      <c r="AC71" t="s">
        <v>99</v>
      </c>
      <c r="AD71" t="s">
        <v>227</v>
      </c>
      <c r="AE71" t="s">
        <v>164</v>
      </c>
      <c r="AF71">
        <v>56</v>
      </c>
      <c r="AG71">
        <f t="shared" si="4"/>
        <v>2</v>
      </c>
      <c r="AH71" s="5">
        <f t="shared" si="5"/>
        <v>56</v>
      </c>
      <c r="AI71">
        <f t="shared" si="6"/>
        <v>4</v>
      </c>
      <c r="AJ71" t="str">
        <f t="shared" si="7"/>
        <v>FDG_L2</v>
      </c>
      <c r="AK71" t="s">
        <v>718</v>
      </c>
    </row>
    <row r="72" spans="1:38" x14ac:dyDescent="0.25">
      <c r="A72">
        <v>71</v>
      </c>
      <c r="B72" t="s">
        <v>215</v>
      </c>
      <c r="C72" t="s">
        <v>230</v>
      </c>
      <c r="D72" t="s">
        <v>223</v>
      </c>
      <c r="E72" t="s">
        <v>162</v>
      </c>
      <c r="F72">
        <v>2018</v>
      </c>
      <c r="G72" t="s">
        <v>35</v>
      </c>
      <c r="H72" t="s">
        <v>63</v>
      </c>
      <c r="I72" t="s">
        <v>107</v>
      </c>
      <c r="J72" t="s">
        <v>38</v>
      </c>
      <c r="K72" t="s">
        <v>39</v>
      </c>
      <c r="L72" t="s">
        <v>69</v>
      </c>
      <c r="M72" s="1">
        <v>43263</v>
      </c>
      <c r="N72">
        <v>47.237740000000002</v>
      </c>
      <c r="O72">
        <v>-122.86269</v>
      </c>
      <c r="P72" t="s">
        <v>40</v>
      </c>
      <c r="Q72" t="s">
        <v>41</v>
      </c>
      <c r="R72" t="s">
        <v>44</v>
      </c>
      <c r="S72" t="s">
        <v>44</v>
      </c>
      <c r="T72" t="s">
        <v>44</v>
      </c>
      <c r="U72" t="s">
        <v>44</v>
      </c>
      <c r="V72" t="s">
        <v>44</v>
      </c>
      <c r="W72" t="s">
        <v>44</v>
      </c>
      <c r="X72" t="s">
        <v>44</v>
      </c>
      <c r="Y72" t="s">
        <v>44</v>
      </c>
      <c r="Z72" t="s">
        <v>44</v>
      </c>
      <c r="AA72" t="s">
        <v>44</v>
      </c>
      <c r="AB72" t="s">
        <v>44</v>
      </c>
      <c r="AC72" t="s">
        <v>44</v>
      </c>
      <c r="AD72" t="s">
        <v>44</v>
      </c>
      <c r="AE72" t="s">
        <v>164</v>
      </c>
      <c r="AF72">
        <v>56</v>
      </c>
      <c r="AG72">
        <f t="shared" si="4"/>
        <v>2</v>
      </c>
      <c r="AH72" s="5">
        <f t="shared" si="5"/>
        <v>56</v>
      </c>
      <c r="AI72">
        <f t="shared" si="6"/>
        <v>4</v>
      </c>
      <c r="AJ72" t="str">
        <f t="shared" si="7"/>
        <v>FDG_L2</v>
      </c>
      <c r="AK72" t="s">
        <v>718</v>
      </c>
    </row>
    <row r="73" spans="1:38" x14ac:dyDescent="0.25">
      <c r="A73">
        <v>72</v>
      </c>
      <c r="B73" t="s">
        <v>231</v>
      </c>
      <c r="C73" t="s">
        <v>232</v>
      </c>
      <c r="D73" t="s">
        <v>233</v>
      </c>
      <c r="E73" t="s">
        <v>34</v>
      </c>
      <c r="F73">
        <v>2015</v>
      </c>
      <c r="G73" t="s">
        <v>44</v>
      </c>
      <c r="H73" t="s">
        <v>36</v>
      </c>
      <c r="I73" t="s">
        <v>234</v>
      </c>
      <c r="J73" t="s">
        <v>200</v>
      </c>
      <c r="K73" t="s">
        <v>39</v>
      </c>
      <c r="L73" t="s">
        <v>39</v>
      </c>
      <c r="M73" s="1">
        <v>42075</v>
      </c>
      <c r="N73">
        <v>47.251947999999999</v>
      </c>
      <c r="O73">
        <v>-122.92783300000001</v>
      </c>
      <c r="P73" t="s">
        <v>40</v>
      </c>
      <c r="Q73" t="s">
        <v>41</v>
      </c>
      <c r="R73">
        <v>-1.2</v>
      </c>
      <c r="S73" t="s">
        <v>42</v>
      </c>
      <c r="T73">
        <v>5</v>
      </c>
      <c r="U73">
        <v>5</v>
      </c>
      <c r="V73">
        <v>25</v>
      </c>
      <c r="W73">
        <v>25</v>
      </c>
      <c r="X73">
        <v>0.625</v>
      </c>
      <c r="Y73">
        <v>125</v>
      </c>
      <c r="Z73">
        <v>500</v>
      </c>
      <c r="AA73">
        <v>20</v>
      </c>
      <c r="AB73">
        <v>20</v>
      </c>
      <c r="AC73" t="s">
        <v>201</v>
      </c>
      <c r="AD73" t="s">
        <v>235</v>
      </c>
      <c r="AE73" t="s">
        <v>51</v>
      </c>
      <c r="AF73">
        <v>57</v>
      </c>
      <c r="AG73">
        <f t="shared" si="4"/>
        <v>1</v>
      </c>
      <c r="AH73" s="5" t="str">
        <f t="shared" si="5"/>
        <v/>
      </c>
      <c r="AI73">
        <f t="shared" si="6"/>
        <v>1</v>
      </c>
      <c r="AJ73" t="str">
        <f t="shared" si="7"/>
        <v/>
      </c>
    </row>
    <row r="74" spans="1:38" x14ac:dyDescent="0.25">
      <c r="A74">
        <v>73</v>
      </c>
      <c r="B74" t="s">
        <v>231</v>
      </c>
      <c r="C74" t="s">
        <v>236</v>
      </c>
      <c r="D74" t="s">
        <v>237</v>
      </c>
      <c r="E74" t="s">
        <v>34</v>
      </c>
      <c r="F74">
        <v>2016</v>
      </c>
      <c r="G74" t="s">
        <v>44</v>
      </c>
      <c r="H74" t="s">
        <v>36</v>
      </c>
      <c r="I74" t="s">
        <v>234</v>
      </c>
      <c r="J74" t="s">
        <v>200</v>
      </c>
      <c r="K74" t="s">
        <v>39</v>
      </c>
      <c r="L74" t="s">
        <v>39</v>
      </c>
      <c r="M74" s="1">
        <v>42572</v>
      </c>
      <c r="N74">
        <v>47.251947999999999</v>
      </c>
      <c r="O74">
        <v>-122.92783300000001</v>
      </c>
      <c r="P74" t="s">
        <v>238</v>
      </c>
      <c r="Q74" t="s">
        <v>41</v>
      </c>
      <c r="R74">
        <v>-0.2</v>
      </c>
      <c r="S74" t="s">
        <v>55</v>
      </c>
      <c r="T74">
        <v>0.25</v>
      </c>
      <c r="U74">
        <v>9</v>
      </c>
      <c r="V74">
        <v>2.25</v>
      </c>
      <c r="W74">
        <v>12.5625</v>
      </c>
      <c r="X74">
        <v>1.2562500000000001</v>
      </c>
      <c r="Y74">
        <v>50.25</v>
      </c>
      <c r="Z74">
        <v>201</v>
      </c>
      <c r="AA74">
        <v>89.3333333333333</v>
      </c>
      <c r="AB74">
        <v>16</v>
      </c>
      <c r="AC74" t="s">
        <v>99</v>
      </c>
      <c r="AD74" t="s">
        <v>239</v>
      </c>
      <c r="AE74" t="s">
        <v>164</v>
      </c>
      <c r="AF74">
        <v>58</v>
      </c>
      <c r="AG74">
        <f t="shared" si="4"/>
        <v>1</v>
      </c>
      <c r="AH74" s="5" t="str">
        <f t="shared" si="5"/>
        <v/>
      </c>
      <c r="AI74">
        <f t="shared" si="6"/>
        <v>1</v>
      </c>
      <c r="AJ74" t="str">
        <f t="shared" si="7"/>
        <v/>
      </c>
    </row>
    <row r="75" spans="1:38" x14ac:dyDescent="0.25">
      <c r="A75">
        <v>74</v>
      </c>
      <c r="B75" t="s">
        <v>240</v>
      </c>
      <c r="C75" t="s">
        <v>241</v>
      </c>
      <c r="D75" t="s">
        <v>242</v>
      </c>
      <c r="E75" t="s">
        <v>34</v>
      </c>
      <c r="F75">
        <v>2017</v>
      </c>
      <c r="G75" t="s">
        <v>44</v>
      </c>
      <c r="H75" t="s">
        <v>36</v>
      </c>
      <c r="I75" t="s">
        <v>107</v>
      </c>
      <c r="J75" t="s">
        <v>38</v>
      </c>
      <c r="K75" t="s">
        <v>39</v>
      </c>
      <c r="L75" t="s">
        <v>39</v>
      </c>
      <c r="M75" s="1">
        <v>42893</v>
      </c>
      <c r="N75">
        <v>47.294034213000003</v>
      </c>
      <c r="O75">
        <v>-122.85419904600001</v>
      </c>
      <c r="P75" t="s">
        <v>40</v>
      </c>
      <c r="Q75" t="s">
        <v>41</v>
      </c>
      <c r="R75">
        <v>-0.9</v>
      </c>
      <c r="S75" t="s">
        <v>55</v>
      </c>
      <c r="T75">
        <v>3</v>
      </c>
      <c r="U75">
        <v>2</v>
      </c>
      <c r="V75">
        <v>6</v>
      </c>
      <c r="W75">
        <v>5</v>
      </c>
      <c r="X75">
        <v>0.5</v>
      </c>
      <c r="Y75">
        <v>20</v>
      </c>
      <c r="Z75">
        <v>1000</v>
      </c>
      <c r="AA75">
        <v>166.666666666667</v>
      </c>
      <c r="AB75">
        <v>200</v>
      </c>
      <c r="AC75" t="s">
        <v>201</v>
      </c>
      <c r="AD75" t="s">
        <v>243</v>
      </c>
      <c r="AE75" t="s">
        <v>129</v>
      </c>
      <c r="AF75">
        <v>59</v>
      </c>
      <c r="AG75">
        <f t="shared" si="4"/>
        <v>1</v>
      </c>
      <c r="AH75" s="5" t="str">
        <f t="shared" si="5"/>
        <v/>
      </c>
      <c r="AI75">
        <f t="shared" si="6"/>
        <v>1</v>
      </c>
      <c r="AJ75" t="str">
        <f t="shared" si="7"/>
        <v/>
      </c>
    </row>
    <row r="76" spans="1:38" x14ac:dyDescent="0.25">
      <c r="A76">
        <v>75</v>
      </c>
      <c r="B76" t="s">
        <v>240</v>
      </c>
      <c r="C76" t="s">
        <v>244</v>
      </c>
      <c r="D76" t="s">
        <v>245</v>
      </c>
      <c r="E76" t="s">
        <v>34</v>
      </c>
      <c r="F76">
        <v>2017</v>
      </c>
      <c r="G76" t="s">
        <v>44</v>
      </c>
      <c r="H76" t="s">
        <v>36</v>
      </c>
      <c r="I76" t="s">
        <v>107</v>
      </c>
      <c r="J76" t="s">
        <v>38</v>
      </c>
      <c r="K76" t="s">
        <v>39</v>
      </c>
      <c r="L76" t="s">
        <v>39</v>
      </c>
      <c r="M76" s="1">
        <v>42893</v>
      </c>
      <c r="N76">
        <v>47.293667186999997</v>
      </c>
      <c r="O76">
        <v>-122.85460205699999</v>
      </c>
      <c r="P76" t="s">
        <v>40</v>
      </c>
      <c r="Q76" t="s">
        <v>41</v>
      </c>
      <c r="R76">
        <v>-1</v>
      </c>
      <c r="S76" t="s">
        <v>55</v>
      </c>
      <c r="T76">
        <v>3</v>
      </c>
      <c r="U76">
        <v>2</v>
      </c>
      <c r="V76">
        <v>6</v>
      </c>
      <c r="W76">
        <v>5</v>
      </c>
      <c r="X76">
        <v>0.5</v>
      </c>
      <c r="Y76">
        <v>20</v>
      </c>
      <c r="Z76">
        <v>1000</v>
      </c>
      <c r="AA76">
        <v>166.666666666667</v>
      </c>
      <c r="AB76">
        <v>200</v>
      </c>
      <c r="AC76" t="s">
        <v>201</v>
      </c>
      <c r="AD76" t="s">
        <v>243</v>
      </c>
      <c r="AE76" t="s">
        <v>129</v>
      </c>
      <c r="AF76">
        <v>60</v>
      </c>
      <c r="AG76">
        <f t="shared" si="4"/>
        <v>1</v>
      </c>
      <c r="AH76" s="5" t="str">
        <f t="shared" si="5"/>
        <v/>
      </c>
      <c r="AI76">
        <f t="shared" si="6"/>
        <v>1</v>
      </c>
      <c r="AJ76" t="str">
        <f t="shared" si="7"/>
        <v/>
      </c>
    </row>
    <row r="77" spans="1:38" x14ac:dyDescent="0.25">
      <c r="A77">
        <v>76</v>
      </c>
      <c r="B77" t="s">
        <v>240</v>
      </c>
      <c r="C77" t="s">
        <v>246</v>
      </c>
      <c r="D77" t="s">
        <v>247</v>
      </c>
      <c r="E77" t="s">
        <v>34</v>
      </c>
      <c r="F77">
        <v>2017</v>
      </c>
      <c r="G77" t="s">
        <v>44</v>
      </c>
      <c r="H77" t="s">
        <v>36</v>
      </c>
      <c r="I77" t="s">
        <v>107</v>
      </c>
      <c r="J77" t="s">
        <v>38</v>
      </c>
      <c r="K77" t="s">
        <v>39</v>
      </c>
      <c r="L77" t="s">
        <v>39</v>
      </c>
      <c r="M77" s="1">
        <v>42893</v>
      </c>
      <c r="N77">
        <v>47.291899999999998</v>
      </c>
      <c r="O77">
        <v>-122.855233333333</v>
      </c>
      <c r="P77" t="s">
        <v>40</v>
      </c>
      <c r="Q77" t="s">
        <v>41</v>
      </c>
      <c r="R77">
        <v>-2.9778959999999999</v>
      </c>
      <c r="S77" t="s">
        <v>42</v>
      </c>
      <c r="T77">
        <v>2.5</v>
      </c>
      <c r="U77">
        <v>2</v>
      </c>
      <c r="V77">
        <v>5</v>
      </c>
      <c r="W77">
        <v>5</v>
      </c>
      <c r="X77">
        <v>0.5</v>
      </c>
      <c r="Y77">
        <v>100</v>
      </c>
      <c r="Z77">
        <v>800</v>
      </c>
      <c r="AA77">
        <v>160</v>
      </c>
      <c r="AB77">
        <v>160</v>
      </c>
      <c r="AC77" t="s">
        <v>201</v>
      </c>
      <c r="AD77" t="s">
        <v>248</v>
      </c>
      <c r="AE77" t="s">
        <v>129</v>
      </c>
      <c r="AF77">
        <v>61</v>
      </c>
      <c r="AG77">
        <f t="shared" si="4"/>
        <v>1</v>
      </c>
      <c r="AH77" s="5" t="str">
        <f t="shared" si="5"/>
        <v/>
      </c>
      <c r="AI77">
        <f t="shared" si="6"/>
        <v>2</v>
      </c>
      <c r="AJ77" s="7" t="str">
        <f t="shared" si="7"/>
        <v>HAR_4</v>
      </c>
      <c r="AK77" t="s">
        <v>409</v>
      </c>
      <c r="AL77" t="s">
        <v>714</v>
      </c>
    </row>
    <row r="78" spans="1:38" x14ac:dyDescent="0.25">
      <c r="A78">
        <v>77</v>
      </c>
      <c r="B78" t="s">
        <v>240</v>
      </c>
      <c r="C78" t="s">
        <v>249</v>
      </c>
      <c r="D78" t="s">
        <v>247</v>
      </c>
      <c r="E78" t="s">
        <v>34</v>
      </c>
      <c r="F78">
        <v>2017</v>
      </c>
      <c r="G78" t="s">
        <v>44</v>
      </c>
      <c r="H78" t="s">
        <v>36</v>
      </c>
      <c r="I78" t="s">
        <v>107</v>
      </c>
      <c r="J78" t="s">
        <v>38</v>
      </c>
      <c r="K78" t="s">
        <v>39</v>
      </c>
      <c r="L78" t="s">
        <v>39</v>
      </c>
      <c r="M78" s="1">
        <v>42893</v>
      </c>
      <c r="N78">
        <v>47.291899999999998</v>
      </c>
      <c r="O78">
        <v>-122.855233333333</v>
      </c>
      <c r="P78" t="s">
        <v>40</v>
      </c>
      <c r="Q78" t="s">
        <v>41</v>
      </c>
      <c r="R78">
        <v>-2.9778959999999999</v>
      </c>
      <c r="S78" t="s">
        <v>55</v>
      </c>
      <c r="T78">
        <v>3</v>
      </c>
      <c r="U78">
        <v>2</v>
      </c>
      <c r="V78">
        <v>6</v>
      </c>
      <c r="W78">
        <v>5</v>
      </c>
      <c r="X78">
        <v>0.5</v>
      </c>
      <c r="Y78">
        <v>20</v>
      </c>
      <c r="Z78">
        <v>1000</v>
      </c>
      <c r="AA78">
        <v>166.666666666667</v>
      </c>
      <c r="AB78">
        <v>200</v>
      </c>
      <c r="AC78" t="s">
        <v>201</v>
      </c>
      <c r="AD78" t="s">
        <v>248</v>
      </c>
      <c r="AE78" t="s">
        <v>129</v>
      </c>
      <c r="AF78">
        <v>62</v>
      </c>
      <c r="AG78">
        <f t="shared" si="4"/>
        <v>1</v>
      </c>
      <c r="AH78" s="5" t="str">
        <f t="shared" si="5"/>
        <v/>
      </c>
      <c r="AI78">
        <f t="shared" si="6"/>
        <v>2</v>
      </c>
      <c r="AJ78" s="7" t="str">
        <f t="shared" si="7"/>
        <v>HAR_4</v>
      </c>
      <c r="AK78" t="s">
        <v>409</v>
      </c>
    </row>
    <row r="79" spans="1:38" x14ac:dyDescent="0.25">
      <c r="A79">
        <v>78</v>
      </c>
      <c r="B79" t="s">
        <v>240</v>
      </c>
      <c r="C79" t="s">
        <v>250</v>
      </c>
      <c r="D79" t="s">
        <v>251</v>
      </c>
      <c r="E79" t="s">
        <v>34</v>
      </c>
      <c r="F79">
        <v>2017</v>
      </c>
      <c r="G79" t="s">
        <v>44</v>
      </c>
      <c r="H79" t="s">
        <v>36</v>
      </c>
      <c r="I79" t="s">
        <v>107</v>
      </c>
      <c r="J79" t="s">
        <v>38</v>
      </c>
      <c r="K79" t="s">
        <v>39</v>
      </c>
      <c r="L79" t="s">
        <v>39</v>
      </c>
      <c r="M79" s="1">
        <v>42893</v>
      </c>
      <c r="N79">
        <v>47.2955166666667</v>
      </c>
      <c r="O79">
        <v>-122.8494</v>
      </c>
      <c r="P79" t="s">
        <v>40</v>
      </c>
      <c r="Q79" t="s">
        <v>41</v>
      </c>
      <c r="R79">
        <v>-2.80416</v>
      </c>
      <c r="S79" t="s">
        <v>55</v>
      </c>
      <c r="T79">
        <v>3</v>
      </c>
      <c r="U79">
        <v>2</v>
      </c>
      <c r="V79">
        <v>6</v>
      </c>
      <c r="W79">
        <v>5</v>
      </c>
      <c r="X79">
        <v>0.5</v>
      </c>
      <c r="Y79">
        <v>20</v>
      </c>
      <c r="Z79">
        <v>1000</v>
      </c>
      <c r="AA79">
        <v>166.666666666667</v>
      </c>
      <c r="AB79">
        <v>200</v>
      </c>
      <c r="AC79" t="s">
        <v>201</v>
      </c>
      <c r="AD79" t="s">
        <v>44</v>
      </c>
      <c r="AE79" t="s">
        <v>129</v>
      </c>
      <c r="AF79">
        <v>63</v>
      </c>
      <c r="AG79">
        <f t="shared" si="4"/>
        <v>1</v>
      </c>
      <c r="AH79" s="5" t="str">
        <f t="shared" si="5"/>
        <v/>
      </c>
      <c r="AI79">
        <f t="shared" si="6"/>
        <v>1</v>
      </c>
      <c r="AJ79" t="str">
        <f t="shared" si="7"/>
        <v/>
      </c>
    </row>
    <row r="80" spans="1:38" x14ac:dyDescent="0.25">
      <c r="A80">
        <v>79</v>
      </c>
      <c r="B80" t="s">
        <v>240</v>
      </c>
      <c r="C80" t="s">
        <v>252</v>
      </c>
      <c r="D80" t="s">
        <v>253</v>
      </c>
      <c r="E80" t="s">
        <v>34</v>
      </c>
      <c r="F80">
        <v>2018</v>
      </c>
      <c r="G80" t="s">
        <v>44</v>
      </c>
      <c r="H80" t="s">
        <v>63</v>
      </c>
      <c r="I80" t="s">
        <v>107</v>
      </c>
      <c r="J80" t="s">
        <v>38</v>
      </c>
      <c r="K80" t="s">
        <v>77</v>
      </c>
      <c r="L80" t="s">
        <v>77</v>
      </c>
      <c r="M80" s="1">
        <v>43235</v>
      </c>
      <c r="N80">
        <v>47.293819999999997</v>
      </c>
      <c r="O80">
        <v>-122.85419</v>
      </c>
      <c r="P80" t="s">
        <v>40</v>
      </c>
      <c r="Q80" t="s">
        <v>41</v>
      </c>
      <c r="R80">
        <v>-1.524</v>
      </c>
      <c r="S80" t="s">
        <v>55</v>
      </c>
      <c r="T80">
        <v>42</v>
      </c>
      <c r="U80">
        <v>5</v>
      </c>
      <c r="V80">
        <v>210</v>
      </c>
      <c r="W80">
        <v>138</v>
      </c>
      <c r="X80">
        <v>13.8</v>
      </c>
      <c r="Y80">
        <v>552</v>
      </c>
      <c r="Z80">
        <v>13800</v>
      </c>
      <c r="AA80">
        <v>65.714285714285694</v>
      </c>
      <c r="AB80">
        <v>100</v>
      </c>
      <c r="AC80" t="s">
        <v>254</v>
      </c>
      <c r="AD80" t="s">
        <v>255</v>
      </c>
      <c r="AE80" t="s">
        <v>129</v>
      </c>
      <c r="AF80">
        <v>64</v>
      </c>
      <c r="AG80">
        <f t="shared" si="4"/>
        <v>2</v>
      </c>
      <c r="AH80" s="5">
        <f t="shared" si="5"/>
        <v>64</v>
      </c>
      <c r="AI80">
        <f t="shared" si="6"/>
        <v>2</v>
      </c>
      <c r="AJ80" t="str">
        <f t="shared" si="7"/>
        <v>HAR_deep_L1</v>
      </c>
      <c r="AK80" t="s">
        <v>718</v>
      </c>
    </row>
    <row r="81" spans="1:38" x14ac:dyDescent="0.25">
      <c r="A81">
        <v>80</v>
      </c>
      <c r="B81" t="s">
        <v>240</v>
      </c>
      <c r="C81" t="s">
        <v>252</v>
      </c>
      <c r="D81" t="s">
        <v>253</v>
      </c>
      <c r="E81" t="s">
        <v>34</v>
      </c>
      <c r="F81">
        <v>2018</v>
      </c>
      <c r="G81" t="s">
        <v>44</v>
      </c>
      <c r="H81" t="s">
        <v>63</v>
      </c>
      <c r="I81" t="s">
        <v>107</v>
      </c>
      <c r="J81" t="s">
        <v>38</v>
      </c>
      <c r="K81" t="s">
        <v>77</v>
      </c>
      <c r="L81" t="s">
        <v>69</v>
      </c>
      <c r="M81" s="1">
        <v>43235</v>
      </c>
      <c r="N81">
        <v>47.294110000000003</v>
      </c>
      <c r="O81">
        <v>-122.85389000000001</v>
      </c>
      <c r="P81" t="s">
        <v>40</v>
      </c>
      <c r="Q81" t="s">
        <v>41</v>
      </c>
      <c r="R81" t="s">
        <v>44</v>
      </c>
      <c r="S81" t="s">
        <v>44</v>
      </c>
      <c r="T81" t="s">
        <v>44</v>
      </c>
      <c r="U81" t="s">
        <v>44</v>
      </c>
      <c r="V81" t="s">
        <v>44</v>
      </c>
      <c r="W81" t="s">
        <v>44</v>
      </c>
      <c r="X81" t="s">
        <v>44</v>
      </c>
      <c r="Y81" t="s">
        <v>44</v>
      </c>
      <c r="Z81" t="s">
        <v>44</v>
      </c>
      <c r="AA81" t="s">
        <v>44</v>
      </c>
      <c r="AB81" t="s">
        <v>44</v>
      </c>
      <c r="AC81" t="s">
        <v>44</v>
      </c>
      <c r="AD81" t="s">
        <v>44</v>
      </c>
      <c r="AE81" t="s">
        <v>129</v>
      </c>
      <c r="AF81">
        <v>64</v>
      </c>
      <c r="AG81">
        <f t="shared" si="4"/>
        <v>2</v>
      </c>
      <c r="AH81" s="5">
        <f t="shared" si="5"/>
        <v>64</v>
      </c>
      <c r="AI81">
        <f t="shared" si="6"/>
        <v>2</v>
      </c>
      <c r="AJ81" t="str">
        <f t="shared" si="7"/>
        <v>HAR_deep_L1</v>
      </c>
      <c r="AK81" t="s">
        <v>718</v>
      </c>
    </row>
    <row r="82" spans="1:38" x14ac:dyDescent="0.25">
      <c r="A82">
        <v>81</v>
      </c>
      <c r="B82" t="s">
        <v>240</v>
      </c>
      <c r="C82" t="s">
        <v>256</v>
      </c>
      <c r="D82" t="s">
        <v>257</v>
      </c>
      <c r="E82" t="s">
        <v>34</v>
      </c>
      <c r="F82">
        <v>2018</v>
      </c>
      <c r="G82" t="s">
        <v>44</v>
      </c>
      <c r="H82" t="s">
        <v>63</v>
      </c>
      <c r="I82" t="s">
        <v>107</v>
      </c>
      <c r="J82" t="s">
        <v>38</v>
      </c>
      <c r="K82" t="s">
        <v>77</v>
      </c>
      <c r="L82" t="s">
        <v>77</v>
      </c>
      <c r="M82" s="1">
        <v>43265</v>
      </c>
      <c r="N82">
        <v>47.293693353000002</v>
      </c>
      <c r="O82">
        <v>-122.854603497</v>
      </c>
      <c r="P82" t="s">
        <v>40</v>
      </c>
      <c r="Q82" t="s">
        <v>41</v>
      </c>
      <c r="R82">
        <v>-1</v>
      </c>
      <c r="S82" t="s">
        <v>55</v>
      </c>
      <c r="T82">
        <v>31</v>
      </c>
      <c r="U82">
        <v>5</v>
      </c>
      <c r="V82">
        <v>155</v>
      </c>
      <c r="W82">
        <v>97</v>
      </c>
      <c r="X82">
        <v>9.6999999999999993</v>
      </c>
      <c r="Y82">
        <v>388</v>
      </c>
      <c r="Z82">
        <v>9688</v>
      </c>
      <c r="AA82">
        <v>62.503225806451603</v>
      </c>
      <c r="AB82">
        <v>99.876288659793801</v>
      </c>
      <c r="AC82" t="s">
        <v>201</v>
      </c>
      <c r="AD82" t="s">
        <v>258</v>
      </c>
      <c r="AE82" t="s">
        <v>57</v>
      </c>
      <c r="AF82">
        <v>65</v>
      </c>
      <c r="AG82">
        <f t="shared" si="4"/>
        <v>2</v>
      </c>
      <c r="AH82" s="5">
        <f t="shared" si="5"/>
        <v>65</v>
      </c>
      <c r="AI82">
        <f t="shared" si="6"/>
        <v>2</v>
      </c>
      <c r="AJ82" t="str">
        <f t="shared" si="7"/>
        <v>HAR_shallow_L1</v>
      </c>
      <c r="AK82" t="s">
        <v>718</v>
      </c>
    </row>
    <row r="83" spans="1:38" x14ac:dyDescent="0.25">
      <c r="A83">
        <v>82</v>
      </c>
      <c r="B83" t="s">
        <v>240</v>
      </c>
      <c r="C83" t="s">
        <v>256</v>
      </c>
      <c r="D83" t="s">
        <v>257</v>
      </c>
      <c r="E83" t="s">
        <v>34</v>
      </c>
      <c r="F83">
        <v>2018</v>
      </c>
      <c r="G83" t="s">
        <v>44</v>
      </c>
      <c r="H83" t="s">
        <v>63</v>
      </c>
      <c r="I83" t="s">
        <v>107</v>
      </c>
      <c r="J83" t="s">
        <v>38</v>
      </c>
      <c r="K83" t="s">
        <v>77</v>
      </c>
      <c r="L83" t="s">
        <v>69</v>
      </c>
      <c r="M83" s="1">
        <v>43265</v>
      </c>
      <c r="N83">
        <v>47.293960576000003</v>
      </c>
      <c r="O83">
        <v>-122.854260041</v>
      </c>
      <c r="P83" t="s">
        <v>40</v>
      </c>
      <c r="Q83" t="s">
        <v>41</v>
      </c>
      <c r="R83">
        <v>-0.9</v>
      </c>
      <c r="S83" t="s">
        <v>44</v>
      </c>
      <c r="T83" t="s">
        <v>44</v>
      </c>
      <c r="U83" t="s">
        <v>44</v>
      </c>
      <c r="V83" t="s">
        <v>44</v>
      </c>
      <c r="W83" t="s">
        <v>44</v>
      </c>
      <c r="X83" t="s">
        <v>44</v>
      </c>
      <c r="Y83" t="s">
        <v>44</v>
      </c>
      <c r="Z83" t="s">
        <v>44</v>
      </c>
      <c r="AA83" t="s">
        <v>44</v>
      </c>
      <c r="AB83" t="s">
        <v>44</v>
      </c>
      <c r="AC83" t="s">
        <v>44</v>
      </c>
      <c r="AD83" t="s">
        <v>259</v>
      </c>
      <c r="AE83" t="s">
        <v>57</v>
      </c>
      <c r="AF83">
        <v>65</v>
      </c>
      <c r="AG83">
        <f t="shared" si="4"/>
        <v>2</v>
      </c>
      <c r="AH83" s="5">
        <f t="shared" si="5"/>
        <v>65</v>
      </c>
      <c r="AI83">
        <f t="shared" si="6"/>
        <v>2</v>
      </c>
      <c r="AJ83" t="str">
        <f t="shared" si="7"/>
        <v>HAR_shallow_L1</v>
      </c>
      <c r="AK83" t="s">
        <v>718</v>
      </c>
    </row>
    <row r="84" spans="1:38" x14ac:dyDescent="0.25">
      <c r="A84">
        <v>83</v>
      </c>
      <c r="B84" t="s">
        <v>240</v>
      </c>
      <c r="C84" t="s">
        <v>260</v>
      </c>
      <c r="D84" t="s">
        <v>261</v>
      </c>
      <c r="E84" t="s">
        <v>34</v>
      </c>
      <c r="F84">
        <v>2019</v>
      </c>
      <c r="G84" t="s">
        <v>44</v>
      </c>
      <c r="H84" t="s">
        <v>63</v>
      </c>
      <c r="I84" t="s">
        <v>107</v>
      </c>
      <c r="J84" t="s">
        <v>38</v>
      </c>
      <c r="K84" t="s">
        <v>77</v>
      </c>
      <c r="L84" t="s">
        <v>77</v>
      </c>
      <c r="M84" s="1">
        <v>43599</v>
      </c>
      <c r="N84">
        <v>47.294047956</v>
      </c>
      <c r="O84">
        <v>-122.854168074</v>
      </c>
      <c r="P84" t="s">
        <v>40</v>
      </c>
      <c r="Q84" t="s">
        <v>41</v>
      </c>
      <c r="R84">
        <v>-0.9</v>
      </c>
      <c r="S84" t="s">
        <v>55</v>
      </c>
      <c r="T84">
        <v>39</v>
      </c>
      <c r="U84">
        <v>6</v>
      </c>
      <c r="V84">
        <v>234</v>
      </c>
      <c r="W84">
        <v>136.75</v>
      </c>
      <c r="X84">
        <v>13.675000000000001</v>
      </c>
      <c r="Y84">
        <v>547</v>
      </c>
      <c r="Z84">
        <v>13320</v>
      </c>
      <c r="AA84">
        <v>56.923076923076898</v>
      </c>
      <c r="AB84">
        <v>97.404021937842799</v>
      </c>
      <c r="AC84" t="s">
        <v>262</v>
      </c>
      <c r="AD84" t="s">
        <v>263</v>
      </c>
      <c r="AE84" t="s">
        <v>129</v>
      </c>
      <c r="AF84">
        <v>66</v>
      </c>
      <c r="AG84">
        <f t="shared" si="4"/>
        <v>2</v>
      </c>
      <c r="AH84" s="5">
        <f t="shared" si="5"/>
        <v>66</v>
      </c>
      <c r="AI84">
        <f t="shared" si="6"/>
        <v>2</v>
      </c>
      <c r="AJ84" t="str">
        <f t="shared" si="7"/>
        <v>HAR_shallow_L2</v>
      </c>
      <c r="AK84" t="s">
        <v>718</v>
      </c>
    </row>
    <row r="85" spans="1:38" x14ac:dyDescent="0.25">
      <c r="A85">
        <v>84</v>
      </c>
      <c r="B85" t="s">
        <v>240</v>
      </c>
      <c r="C85" t="s">
        <v>260</v>
      </c>
      <c r="D85" t="s">
        <v>261</v>
      </c>
      <c r="E85" t="s">
        <v>34</v>
      </c>
      <c r="F85">
        <v>2019</v>
      </c>
      <c r="G85" t="s">
        <v>44</v>
      </c>
      <c r="H85" t="s">
        <v>63</v>
      </c>
      <c r="I85" t="s">
        <v>107</v>
      </c>
      <c r="J85" t="s">
        <v>38</v>
      </c>
      <c r="K85" t="s">
        <v>77</v>
      </c>
      <c r="L85" t="s">
        <v>69</v>
      </c>
      <c r="M85" s="1">
        <v>43599</v>
      </c>
      <c r="N85">
        <v>47.294176696000001</v>
      </c>
      <c r="O85">
        <v>-122.85368944299999</v>
      </c>
      <c r="P85" t="s">
        <v>40</v>
      </c>
      <c r="Q85" t="s">
        <v>41</v>
      </c>
      <c r="R85">
        <v>-1.2</v>
      </c>
      <c r="S85" t="s">
        <v>44</v>
      </c>
      <c r="T85" t="s">
        <v>44</v>
      </c>
      <c r="U85" t="s">
        <v>44</v>
      </c>
      <c r="V85" t="s">
        <v>44</v>
      </c>
      <c r="W85" t="s">
        <v>44</v>
      </c>
      <c r="X85" t="s">
        <v>44</v>
      </c>
      <c r="Y85" t="s">
        <v>44</v>
      </c>
      <c r="Z85" t="s">
        <v>44</v>
      </c>
      <c r="AA85" t="s">
        <v>44</v>
      </c>
      <c r="AB85" t="s">
        <v>44</v>
      </c>
      <c r="AC85" t="s">
        <v>44</v>
      </c>
      <c r="AD85" t="s">
        <v>264</v>
      </c>
      <c r="AE85" t="s">
        <v>129</v>
      </c>
      <c r="AF85">
        <v>66</v>
      </c>
      <c r="AG85">
        <f t="shared" si="4"/>
        <v>2</v>
      </c>
      <c r="AH85" s="5">
        <f t="shared" si="5"/>
        <v>66</v>
      </c>
      <c r="AI85">
        <f t="shared" si="6"/>
        <v>2</v>
      </c>
      <c r="AJ85" t="str">
        <f t="shared" si="7"/>
        <v>HAR_shallow_L2</v>
      </c>
      <c r="AK85" t="s">
        <v>718</v>
      </c>
    </row>
    <row r="86" spans="1:38" x14ac:dyDescent="0.25">
      <c r="A86">
        <v>85</v>
      </c>
      <c r="B86" t="s">
        <v>240</v>
      </c>
      <c r="C86" t="s">
        <v>265</v>
      </c>
      <c r="D86" t="s">
        <v>266</v>
      </c>
      <c r="E86" t="s">
        <v>34</v>
      </c>
      <c r="F86">
        <v>2020</v>
      </c>
      <c r="G86" t="s">
        <v>44</v>
      </c>
      <c r="H86" t="s">
        <v>63</v>
      </c>
      <c r="I86" t="s">
        <v>107</v>
      </c>
      <c r="J86" t="s">
        <v>38</v>
      </c>
      <c r="K86" t="s">
        <v>77</v>
      </c>
      <c r="L86" t="s">
        <v>77</v>
      </c>
      <c r="M86" s="1">
        <v>43983</v>
      </c>
      <c r="N86">
        <v>47.293015107999999</v>
      </c>
      <c r="O86">
        <v>-122.855246839</v>
      </c>
      <c r="P86" t="s">
        <v>40</v>
      </c>
      <c r="Q86" t="s">
        <v>41</v>
      </c>
      <c r="R86">
        <v>-0.9</v>
      </c>
      <c r="S86" t="s">
        <v>55</v>
      </c>
      <c r="T86">
        <v>32</v>
      </c>
      <c r="U86">
        <v>6</v>
      </c>
      <c r="V86">
        <v>192</v>
      </c>
      <c r="W86">
        <v>118.5</v>
      </c>
      <c r="X86">
        <v>11.85</v>
      </c>
      <c r="Y86">
        <v>474</v>
      </c>
      <c r="Z86">
        <v>11390</v>
      </c>
      <c r="AA86">
        <v>59.3229166666667</v>
      </c>
      <c r="AB86">
        <v>96.118143459915601</v>
      </c>
      <c r="AC86" t="s">
        <v>262</v>
      </c>
      <c r="AD86" t="s">
        <v>267</v>
      </c>
      <c r="AE86" t="s">
        <v>129</v>
      </c>
      <c r="AF86">
        <v>67</v>
      </c>
      <c r="AG86">
        <f t="shared" si="4"/>
        <v>2</v>
      </c>
      <c r="AH86" s="5">
        <f t="shared" si="5"/>
        <v>67</v>
      </c>
      <c r="AI86">
        <f t="shared" si="6"/>
        <v>2</v>
      </c>
      <c r="AJ86" t="str">
        <f t="shared" si="7"/>
        <v>HAR_shallow_L3</v>
      </c>
      <c r="AK86" t="s">
        <v>718</v>
      </c>
    </row>
    <row r="87" spans="1:38" x14ac:dyDescent="0.25">
      <c r="A87">
        <v>86</v>
      </c>
      <c r="B87" t="s">
        <v>240</v>
      </c>
      <c r="C87" t="s">
        <v>265</v>
      </c>
      <c r="D87" t="s">
        <v>266</v>
      </c>
      <c r="E87" t="s">
        <v>34</v>
      </c>
      <c r="F87">
        <v>2020</v>
      </c>
      <c r="G87" t="s">
        <v>44</v>
      </c>
      <c r="H87" t="s">
        <v>63</v>
      </c>
      <c r="I87" t="s">
        <v>107</v>
      </c>
      <c r="J87" t="s">
        <v>38</v>
      </c>
      <c r="K87" t="s">
        <v>77</v>
      </c>
      <c r="L87" t="s">
        <v>69</v>
      </c>
      <c r="M87" s="1">
        <v>43983</v>
      </c>
      <c r="N87">
        <v>47.293316236000003</v>
      </c>
      <c r="O87">
        <v>-122.854970201</v>
      </c>
      <c r="P87" t="s">
        <v>40</v>
      </c>
      <c r="Q87" t="s">
        <v>41</v>
      </c>
      <c r="R87">
        <v>-1</v>
      </c>
      <c r="S87" t="s">
        <v>44</v>
      </c>
      <c r="T87" t="s">
        <v>44</v>
      </c>
      <c r="U87" t="s">
        <v>44</v>
      </c>
      <c r="V87" t="s">
        <v>44</v>
      </c>
      <c r="W87" t="s">
        <v>44</v>
      </c>
      <c r="X87" t="s">
        <v>44</v>
      </c>
      <c r="Y87" t="s">
        <v>44</v>
      </c>
      <c r="Z87" t="s">
        <v>44</v>
      </c>
      <c r="AA87" t="s">
        <v>44</v>
      </c>
      <c r="AB87" t="s">
        <v>44</v>
      </c>
      <c r="AC87" t="s">
        <v>44</v>
      </c>
      <c r="AD87" t="s">
        <v>268</v>
      </c>
      <c r="AE87" t="s">
        <v>129</v>
      </c>
      <c r="AF87">
        <v>67</v>
      </c>
      <c r="AG87">
        <f t="shared" si="4"/>
        <v>2</v>
      </c>
      <c r="AH87" s="5">
        <f t="shared" si="5"/>
        <v>67</v>
      </c>
      <c r="AI87">
        <f t="shared" si="6"/>
        <v>2</v>
      </c>
      <c r="AJ87" t="str">
        <f t="shared" si="7"/>
        <v>HAR_shallow_L3</v>
      </c>
      <c r="AK87" t="s">
        <v>718</v>
      </c>
    </row>
    <row r="88" spans="1:38" x14ac:dyDescent="0.25">
      <c r="A88">
        <v>87</v>
      </c>
      <c r="B88" t="s">
        <v>240</v>
      </c>
      <c r="C88" t="s">
        <v>269</v>
      </c>
      <c r="D88" t="s">
        <v>270</v>
      </c>
      <c r="E88" t="s">
        <v>34</v>
      </c>
      <c r="F88">
        <v>2020</v>
      </c>
      <c r="G88" t="s">
        <v>44</v>
      </c>
      <c r="H88" t="s">
        <v>36</v>
      </c>
      <c r="I88" t="s">
        <v>107</v>
      </c>
      <c r="J88" t="s">
        <v>38</v>
      </c>
      <c r="K88" t="s">
        <v>39</v>
      </c>
      <c r="L88" t="s">
        <v>39</v>
      </c>
      <c r="M88" s="1">
        <v>44011</v>
      </c>
      <c r="N88">
        <v>47.295769999999997</v>
      </c>
      <c r="O88">
        <v>-122.84945999999999</v>
      </c>
      <c r="P88" t="s">
        <v>40</v>
      </c>
      <c r="Q88" t="s">
        <v>41</v>
      </c>
      <c r="R88">
        <v>-1.2</v>
      </c>
      <c r="S88" t="s">
        <v>55</v>
      </c>
      <c r="T88">
        <v>2.5</v>
      </c>
      <c r="U88">
        <v>2.5</v>
      </c>
      <c r="V88">
        <v>6.25</v>
      </c>
      <c r="W88">
        <v>5</v>
      </c>
      <c r="X88">
        <v>0.5</v>
      </c>
      <c r="Y88">
        <v>20</v>
      </c>
      <c r="Z88">
        <v>500</v>
      </c>
      <c r="AA88">
        <v>80</v>
      </c>
      <c r="AB88">
        <v>100</v>
      </c>
      <c r="AC88" t="s">
        <v>65</v>
      </c>
      <c r="AD88" t="s">
        <v>271</v>
      </c>
      <c r="AE88" t="s">
        <v>90</v>
      </c>
      <c r="AF88">
        <v>68</v>
      </c>
      <c r="AG88">
        <f t="shared" si="4"/>
        <v>1</v>
      </c>
      <c r="AH88" s="5" t="str">
        <f t="shared" si="5"/>
        <v/>
      </c>
      <c r="AI88">
        <f t="shared" si="6"/>
        <v>1</v>
      </c>
      <c r="AJ88" t="str">
        <f t="shared" si="7"/>
        <v/>
      </c>
    </row>
    <row r="89" spans="1:38" x14ac:dyDescent="0.25">
      <c r="A89">
        <v>88</v>
      </c>
      <c r="B89" t="s">
        <v>240</v>
      </c>
      <c r="C89" t="s">
        <v>272</v>
      </c>
      <c r="D89" t="s">
        <v>273</v>
      </c>
      <c r="E89" t="s">
        <v>34</v>
      </c>
      <c r="F89">
        <v>2020</v>
      </c>
      <c r="G89" t="s">
        <v>44</v>
      </c>
      <c r="H89" t="s">
        <v>36</v>
      </c>
      <c r="I89" t="s">
        <v>107</v>
      </c>
      <c r="J89" t="s">
        <v>38</v>
      </c>
      <c r="K89" t="s">
        <v>39</v>
      </c>
      <c r="L89" t="s">
        <v>39</v>
      </c>
      <c r="M89" s="1">
        <v>44011</v>
      </c>
      <c r="N89">
        <v>47.292029999999997</v>
      </c>
      <c r="O89">
        <v>-122.8555666</v>
      </c>
      <c r="P89" t="s">
        <v>40</v>
      </c>
      <c r="Q89" t="s">
        <v>41</v>
      </c>
      <c r="R89">
        <v>-1.1000000000000001</v>
      </c>
      <c r="S89" t="s">
        <v>55</v>
      </c>
      <c r="T89">
        <v>2.5</v>
      </c>
      <c r="U89">
        <v>2.5</v>
      </c>
      <c r="V89">
        <v>6.25</v>
      </c>
      <c r="W89">
        <v>5</v>
      </c>
      <c r="X89">
        <v>0.5</v>
      </c>
      <c r="Y89">
        <v>20</v>
      </c>
      <c r="Z89">
        <v>500</v>
      </c>
      <c r="AA89">
        <v>80</v>
      </c>
      <c r="AB89">
        <v>100</v>
      </c>
      <c r="AC89" t="s">
        <v>65</v>
      </c>
      <c r="AD89" t="s">
        <v>274</v>
      </c>
      <c r="AE89" t="s">
        <v>90</v>
      </c>
      <c r="AF89">
        <v>69</v>
      </c>
      <c r="AG89">
        <f t="shared" si="4"/>
        <v>1</v>
      </c>
      <c r="AH89" s="5" t="str">
        <f t="shared" si="5"/>
        <v/>
      </c>
      <c r="AI89">
        <f t="shared" si="6"/>
        <v>1</v>
      </c>
      <c r="AJ89" t="str">
        <f t="shared" si="7"/>
        <v/>
      </c>
    </row>
    <row r="90" spans="1:38" x14ac:dyDescent="0.25">
      <c r="A90">
        <v>89</v>
      </c>
      <c r="B90" t="s">
        <v>275</v>
      </c>
      <c r="C90" t="s">
        <v>276</v>
      </c>
      <c r="D90" t="s">
        <v>277</v>
      </c>
      <c r="E90" t="s">
        <v>34</v>
      </c>
      <c r="F90">
        <v>2015</v>
      </c>
      <c r="G90" t="s">
        <v>44</v>
      </c>
      <c r="H90" t="s">
        <v>36</v>
      </c>
      <c r="I90" t="s">
        <v>107</v>
      </c>
      <c r="J90" t="s">
        <v>38</v>
      </c>
      <c r="K90" t="s">
        <v>39</v>
      </c>
      <c r="L90" t="s">
        <v>39</v>
      </c>
      <c r="M90" s="1">
        <v>42075</v>
      </c>
      <c r="N90">
        <v>47.279499000000001</v>
      </c>
      <c r="O90">
        <v>-122.809296</v>
      </c>
      <c r="P90" t="s">
        <v>40</v>
      </c>
      <c r="Q90" t="s">
        <v>41</v>
      </c>
      <c r="R90">
        <v>-1.2</v>
      </c>
      <c r="S90" t="s">
        <v>42</v>
      </c>
      <c r="T90">
        <v>5</v>
      </c>
      <c r="U90">
        <v>5</v>
      </c>
      <c r="V90">
        <v>25</v>
      </c>
      <c r="W90">
        <v>25</v>
      </c>
      <c r="X90">
        <v>0.625</v>
      </c>
      <c r="Y90">
        <v>125</v>
      </c>
      <c r="Z90">
        <v>500</v>
      </c>
      <c r="AA90">
        <v>20</v>
      </c>
      <c r="AB90">
        <v>20</v>
      </c>
      <c r="AC90" t="s">
        <v>201</v>
      </c>
      <c r="AD90" t="s">
        <v>278</v>
      </c>
      <c r="AE90" t="s">
        <v>51</v>
      </c>
      <c r="AF90">
        <v>70</v>
      </c>
      <c r="AG90">
        <f t="shared" si="4"/>
        <v>1</v>
      </c>
      <c r="AH90" s="5" t="str">
        <f t="shared" si="5"/>
        <v/>
      </c>
      <c r="AI90">
        <f t="shared" si="6"/>
        <v>1</v>
      </c>
      <c r="AJ90" t="str">
        <f t="shared" si="7"/>
        <v/>
      </c>
    </row>
    <row r="91" spans="1:38" x14ac:dyDescent="0.25">
      <c r="A91">
        <v>90</v>
      </c>
      <c r="B91" t="s">
        <v>279</v>
      </c>
      <c r="C91" t="s">
        <v>280</v>
      </c>
      <c r="D91" t="s">
        <v>281</v>
      </c>
      <c r="E91" t="s">
        <v>34</v>
      </c>
      <c r="F91">
        <v>2015</v>
      </c>
      <c r="G91" t="s">
        <v>44</v>
      </c>
      <c r="H91" t="s">
        <v>36</v>
      </c>
      <c r="I91" t="s">
        <v>197</v>
      </c>
      <c r="J91" t="s">
        <v>200</v>
      </c>
      <c r="K91" t="s">
        <v>39</v>
      </c>
      <c r="L91" t="s">
        <v>39</v>
      </c>
      <c r="M91" s="1">
        <v>42142</v>
      </c>
      <c r="N91">
        <v>47.151866666666699</v>
      </c>
      <c r="O91">
        <v>-122.92978333333301</v>
      </c>
      <c r="P91" t="s">
        <v>40</v>
      </c>
      <c r="Q91" t="s">
        <v>41</v>
      </c>
      <c r="R91">
        <v>-1.0668</v>
      </c>
      <c r="S91" t="s">
        <v>42</v>
      </c>
      <c r="T91">
        <v>5</v>
      </c>
      <c r="U91">
        <v>5</v>
      </c>
      <c r="V91">
        <v>25</v>
      </c>
      <c r="W91">
        <v>25</v>
      </c>
      <c r="X91">
        <v>0.625</v>
      </c>
      <c r="Y91">
        <v>125</v>
      </c>
      <c r="Z91">
        <v>500</v>
      </c>
      <c r="AA91">
        <v>20</v>
      </c>
      <c r="AB91">
        <v>20</v>
      </c>
      <c r="AC91" t="s">
        <v>43</v>
      </c>
      <c r="AD91" t="s">
        <v>282</v>
      </c>
      <c r="AE91" t="s">
        <v>51</v>
      </c>
      <c r="AF91">
        <v>71</v>
      </c>
      <c r="AG91">
        <f t="shared" si="4"/>
        <v>1</v>
      </c>
      <c r="AH91" s="5" t="str">
        <f t="shared" si="5"/>
        <v/>
      </c>
      <c r="AI91">
        <f t="shared" si="6"/>
        <v>1</v>
      </c>
      <c r="AJ91" t="str">
        <f t="shared" si="7"/>
        <v/>
      </c>
    </row>
    <row r="92" spans="1:38" x14ac:dyDescent="0.25">
      <c r="A92">
        <v>91</v>
      </c>
      <c r="B92" t="s">
        <v>279</v>
      </c>
      <c r="C92" t="s">
        <v>283</v>
      </c>
      <c r="D92" t="s">
        <v>284</v>
      </c>
      <c r="E92" t="s">
        <v>34</v>
      </c>
      <c r="F92">
        <v>2015</v>
      </c>
      <c r="G92" t="s">
        <v>44</v>
      </c>
      <c r="H92" t="s">
        <v>36</v>
      </c>
      <c r="I92" t="s">
        <v>197</v>
      </c>
      <c r="J92" t="s">
        <v>200</v>
      </c>
      <c r="K92" t="s">
        <v>39</v>
      </c>
      <c r="L92" t="s">
        <v>39</v>
      </c>
      <c r="M92" s="1">
        <v>42142</v>
      </c>
      <c r="N92">
        <v>47.155000000000001</v>
      </c>
      <c r="O92">
        <v>-122.926183333333</v>
      </c>
      <c r="P92" t="s">
        <v>40</v>
      </c>
      <c r="Q92" t="s">
        <v>41</v>
      </c>
      <c r="R92">
        <v>-1.3715999999999999</v>
      </c>
      <c r="S92" t="s">
        <v>42</v>
      </c>
      <c r="T92">
        <v>5</v>
      </c>
      <c r="U92">
        <v>5</v>
      </c>
      <c r="V92">
        <v>25</v>
      </c>
      <c r="W92">
        <v>25</v>
      </c>
      <c r="X92">
        <v>0.625</v>
      </c>
      <c r="Y92">
        <v>125</v>
      </c>
      <c r="Z92">
        <v>500</v>
      </c>
      <c r="AA92">
        <v>20</v>
      </c>
      <c r="AB92">
        <v>20</v>
      </c>
      <c r="AC92" t="s">
        <v>43</v>
      </c>
      <c r="AD92" t="s">
        <v>285</v>
      </c>
      <c r="AE92" t="s">
        <v>51</v>
      </c>
      <c r="AF92">
        <v>72</v>
      </c>
      <c r="AG92">
        <f t="shared" si="4"/>
        <v>1</v>
      </c>
      <c r="AH92" s="5" t="str">
        <f t="shared" si="5"/>
        <v/>
      </c>
      <c r="AI92">
        <f t="shared" si="6"/>
        <v>2</v>
      </c>
      <c r="AJ92" s="7" t="str">
        <f t="shared" si="7"/>
        <v>HPT_north_2</v>
      </c>
      <c r="AK92" t="s">
        <v>141</v>
      </c>
    </row>
    <row r="93" spans="1:38" x14ac:dyDescent="0.25">
      <c r="A93">
        <v>92</v>
      </c>
      <c r="B93" t="s">
        <v>279</v>
      </c>
      <c r="C93" t="s">
        <v>286</v>
      </c>
      <c r="D93" t="s">
        <v>287</v>
      </c>
      <c r="E93" t="s">
        <v>34</v>
      </c>
      <c r="F93">
        <v>2020</v>
      </c>
      <c r="G93" t="s">
        <v>44</v>
      </c>
      <c r="H93" t="s">
        <v>36</v>
      </c>
      <c r="I93" t="s">
        <v>197</v>
      </c>
      <c r="J93" t="s">
        <v>200</v>
      </c>
      <c r="K93" t="s">
        <v>39</v>
      </c>
      <c r="L93" t="s">
        <v>39</v>
      </c>
      <c r="M93" s="1">
        <v>44011</v>
      </c>
      <c r="N93">
        <v>47.151893000000001</v>
      </c>
      <c r="O93">
        <v>-122.92966</v>
      </c>
      <c r="P93" t="s">
        <v>40</v>
      </c>
      <c r="Q93" t="s">
        <v>41</v>
      </c>
      <c r="R93">
        <v>-1.5</v>
      </c>
      <c r="S93" t="s">
        <v>55</v>
      </c>
      <c r="T93">
        <v>2.5</v>
      </c>
      <c r="U93">
        <v>2.5</v>
      </c>
      <c r="V93">
        <v>6.25</v>
      </c>
      <c r="W93">
        <v>5</v>
      </c>
      <c r="X93">
        <v>0.5</v>
      </c>
      <c r="Y93">
        <v>20</v>
      </c>
      <c r="Z93">
        <v>500</v>
      </c>
      <c r="AA93">
        <v>80</v>
      </c>
      <c r="AB93">
        <v>100</v>
      </c>
      <c r="AC93" t="s">
        <v>65</v>
      </c>
      <c r="AD93" t="s">
        <v>288</v>
      </c>
      <c r="AE93" t="s">
        <v>90</v>
      </c>
      <c r="AF93">
        <v>73</v>
      </c>
      <c r="AG93">
        <f t="shared" si="4"/>
        <v>1</v>
      </c>
      <c r="AH93" s="5" t="str">
        <f t="shared" si="5"/>
        <v/>
      </c>
      <c r="AI93">
        <f t="shared" si="6"/>
        <v>1</v>
      </c>
      <c r="AJ93" t="str">
        <f t="shared" si="7"/>
        <v/>
      </c>
    </row>
    <row r="94" spans="1:38" x14ac:dyDescent="0.25">
      <c r="A94">
        <v>93</v>
      </c>
      <c r="B94" t="s">
        <v>279</v>
      </c>
      <c r="C94" t="s">
        <v>289</v>
      </c>
      <c r="D94" t="s">
        <v>284</v>
      </c>
      <c r="E94" t="s">
        <v>34</v>
      </c>
      <c r="F94">
        <v>2020</v>
      </c>
      <c r="G94" t="s">
        <v>44</v>
      </c>
      <c r="H94" t="s">
        <v>36</v>
      </c>
      <c r="I94" t="s">
        <v>197</v>
      </c>
      <c r="J94" t="s">
        <v>200</v>
      </c>
      <c r="K94" t="s">
        <v>39</v>
      </c>
      <c r="L94" t="s">
        <v>39</v>
      </c>
      <c r="M94" s="1">
        <v>44011</v>
      </c>
      <c r="N94">
        <v>47.154924999999999</v>
      </c>
      <c r="O94">
        <v>-122.9261166</v>
      </c>
      <c r="P94" t="s">
        <v>40</v>
      </c>
      <c r="Q94" t="s">
        <v>41</v>
      </c>
      <c r="R94">
        <v>-1.5</v>
      </c>
      <c r="S94" t="s">
        <v>55</v>
      </c>
      <c r="T94">
        <v>3</v>
      </c>
      <c r="U94">
        <v>2.5</v>
      </c>
      <c r="V94">
        <v>7.5</v>
      </c>
      <c r="W94">
        <v>6</v>
      </c>
      <c r="X94">
        <v>0.6</v>
      </c>
      <c r="Y94">
        <v>24</v>
      </c>
      <c r="Z94">
        <v>600</v>
      </c>
      <c r="AA94">
        <v>80</v>
      </c>
      <c r="AB94">
        <v>100</v>
      </c>
      <c r="AC94" t="s">
        <v>65</v>
      </c>
      <c r="AD94" t="s">
        <v>290</v>
      </c>
      <c r="AE94" t="s">
        <v>90</v>
      </c>
      <c r="AF94">
        <v>74</v>
      </c>
      <c r="AG94">
        <f t="shared" si="4"/>
        <v>1</v>
      </c>
      <c r="AH94" s="5" t="str">
        <f t="shared" si="5"/>
        <v/>
      </c>
      <c r="AI94">
        <f t="shared" si="6"/>
        <v>2</v>
      </c>
      <c r="AJ94" s="7" t="str">
        <f t="shared" si="7"/>
        <v>HPT_north_2</v>
      </c>
      <c r="AK94" t="s">
        <v>162</v>
      </c>
      <c r="AL94" t="s">
        <v>715</v>
      </c>
    </row>
    <row r="95" spans="1:38" x14ac:dyDescent="0.25">
      <c r="A95">
        <v>94</v>
      </c>
      <c r="B95" t="s">
        <v>291</v>
      </c>
      <c r="C95" t="s">
        <v>292</v>
      </c>
      <c r="D95" t="s">
        <v>293</v>
      </c>
      <c r="E95" t="s">
        <v>34</v>
      </c>
      <c r="F95">
        <v>2013</v>
      </c>
      <c r="G95" t="s">
        <v>44</v>
      </c>
      <c r="H95" t="s">
        <v>36</v>
      </c>
      <c r="I95" t="s">
        <v>107</v>
      </c>
      <c r="J95" t="s">
        <v>38</v>
      </c>
      <c r="K95" t="s">
        <v>39</v>
      </c>
      <c r="L95" t="s">
        <v>39</v>
      </c>
      <c r="M95" s="1">
        <v>41430</v>
      </c>
      <c r="N95">
        <v>47.222283333333301</v>
      </c>
      <c r="O95">
        <v>-122.80965</v>
      </c>
      <c r="P95" t="s">
        <v>40</v>
      </c>
      <c r="Q95" t="s">
        <v>41</v>
      </c>
      <c r="R95">
        <v>-0.91439999999999999</v>
      </c>
      <c r="S95" t="s">
        <v>42</v>
      </c>
      <c r="T95">
        <v>6</v>
      </c>
      <c r="U95">
        <v>6</v>
      </c>
      <c r="V95">
        <v>36</v>
      </c>
      <c r="W95">
        <v>36</v>
      </c>
      <c r="X95">
        <v>0.89</v>
      </c>
      <c r="Y95">
        <v>178</v>
      </c>
      <c r="Z95">
        <v>712</v>
      </c>
      <c r="AA95">
        <v>19.7777777777778</v>
      </c>
      <c r="AB95">
        <v>19.7777777777778</v>
      </c>
      <c r="AC95" t="s">
        <v>294</v>
      </c>
      <c r="AD95" t="s">
        <v>295</v>
      </c>
      <c r="AE95" t="s">
        <v>45</v>
      </c>
      <c r="AF95">
        <v>75</v>
      </c>
      <c r="AG95">
        <f t="shared" si="4"/>
        <v>1</v>
      </c>
      <c r="AH95" s="5" t="str">
        <f t="shared" si="5"/>
        <v/>
      </c>
      <c r="AI95">
        <f t="shared" si="6"/>
        <v>1</v>
      </c>
      <c r="AJ95" t="str">
        <f t="shared" si="7"/>
        <v/>
      </c>
    </row>
    <row r="96" spans="1:38" x14ac:dyDescent="0.25">
      <c r="A96">
        <v>95</v>
      </c>
      <c r="B96" t="s">
        <v>291</v>
      </c>
      <c r="C96" t="s">
        <v>296</v>
      </c>
      <c r="D96" t="s">
        <v>297</v>
      </c>
      <c r="E96" t="s">
        <v>34</v>
      </c>
      <c r="F96">
        <v>2013</v>
      </c>
      <c r="G96" t="s">
        <v>44</v>
      </c>
      <c r="H96" t="s">
        <v>36</v>
      </c>
      <c r="I96" t="s">
        <v>107</v>
      </c>
      <c r="J96" t="s">
        <v>38</v>
      </c>
      <c r="K96" t="s">
        <v>39</v>
      </c>
      <c r="L96" t="s">
        <v>39</v>
      </c>
      <c r="M96" s="1">
        <v>41430</v>
      </c>
      <c r="N96">
        <v>47.222016666666697</v>
      </c>
      <c r="O96">
        <v>-122.810083333333</v>
      </c>
      <c r="P96" t="s">
        <v>40</v>
      </c>
      <c r="Q96" t="s">
        <v>41</v>
      </c>
      <c r="R96">
        <v>-1.524</v>
      </c>
      <c r="S96" t="s">
        <v>42</v>
      </c>
      <c r="T96">
        <v>6</v>
      </c>
      <c r="U96">
        <v>6</v>
      </c>
      <c r="V96">
        <v>36</v>
      </c>
      <c r="W96">
        <v>36</v>
      </c>
      <c r="X96">
        <v>0.89</v>
      </c>
      <c r="Y96">
        <v>178</v>
      </c>
      <c r="Z96">
        <v>712</v>
      </c>
      <c r="AA96">
        <v>19.7777777777778</v>
      </c>
      <c r="AB96">
        <v>19.7777777777778</v>
      </c>
      <c r="AC96" t="s">
        <v>294</v>
      </c>
      <c r="AD96" t="s">
        <v>298</v>
      </c>
      <c r="AE96" t="s">
        <v>45</v>
      </c>
      <c r="AF96">
        <v>76</v>
      </c>
      <c r="AG96">
        <f t="shared" si="4"/>
        <v>1</v>
      </c>
      <c r="AH96" s="5" t="str">
        <f t="shared" si="5"/>
        <v/>
      </c>
      <c r="AI96">
        <f t="shared" si="6"/>
        <v>1</v>
      </c>
      <c r="AJ96" t="str">
        <f t="shared" si="7"/>
        <v/>
      </c>
    </row>
    <row r="97" spans="1:37" x14ac:dyDescent="0.25">
      <c r="A97">
        <v>96</v>
      </c>
      <c r="B97" t="s">
        <v>291</v>
      </c>
      <c r="C97" t="s">
        <v>299</v>
      </c>
      <c r="D97" t="s">
        <v>300</v>
      </c>
      <c r="E97" t="s">
        <v>34</v>
      </c>
      <c r="F97">
        <v>2015</v>
      </c>
      <c r="G97" t="s">
        <v>44</v>
      </c>
      <c r="H97" t="s">
        <v>76</v>
      </c>
      <c r="I97" t="s">
        <v>107</v>
      </c>
      <c r="J97" t="s">
        <v>38</v>
      </c>
      <c r="K97" t="s">
        <v>77</v>
      </c>
      <c r="L97" t="s">
        <v>77</v>
      </c>
      <c r="M97" s="1">
        <v>42141</v>
      </c>
      <c r="N97">
        <v>47.222349999999999</v>
      </c>
      <c r="O97">
        <v>-122.8105</v>
      </c>
      <c r="P97" t="s">
        <v>40</v>
      </c>
      <c r="Q97" t="s">
        <v>41</v>
      </c>
      <c r="R97" t="s">
        <v>44</v>
      </c>
      <c r="S97" t="s">
        <v>42</v>
      </c>
      <c r="T97">
        <v>50</v>
      </c>
      <c r="U97">
        <v>40</v>
      </c>
      <c r="V97">
        <v>2000</v>
      </c>
      <c r="W97">
        <v>126.25</v>
      </c>
      <c r="X97">
        <v>12.75</v>
      </c>
      <c r="Y97">
        <v>2550</v>
      </c>
      <c r="Z97">
        <v>10200</v>
      </c>
      <c r="AA97">
        <v>5.0999999999999996</v>
      </c>
      <c r="AB97">
        <v>80.792079207920807</v>
      </c>
      <c r="AC97" t="s">
        <v>301</v>
      </c>
      <c r="AD97" t="s">
        <v>302</v>
      </c>
      <c r="AE97" t="s">
        <v>51</v>
      </c>
      <c r="AF97">
        <v>77</v>
      </c>
      <c r="AG97">
        <f t="shared" si="4"/>
        <v>4</v>
      </c>
      <c r="AH97" s="5">
        <f t="shared" si="5"/>
        <v>77</v>
      </c>
      <c r="AI97">
        <f t="shared" si="6"/>
        <v>4</v>
      </c>
      <c r="AJ97" t="str">
        <f t="shared" si="7"/>
        <v>JSP_mid_south_P1</v>
      </c>
      <c r="AK97" t="s">
        <v>718</v>
      </c>
    </row>
    <row r="98" spans="1:37" x14ac:dyDescent="0.25">
      <c r="A98">
        <v>97</v>
      </c>
      <c r="B98" t="s">
        <v>291</v>
      </c>
      <c r="C98" t="s">
        <v>303</v>
      </c>
      <c r="D98" t="s">
        <v>300</v>
      </c>
      <c r="E98" t="s">
        <v>34</v>
      </c>
      <c r="F98">
        <v>2015</v>
      </c>
      <c r="G98" t="s">
        <v>44</v>
      </c>
      <c r="H98" t="s">
        <v>76</v>
      </c>
      <c r="I98" t="s">
        <v>107</v>
      </c>
      <c r="J98" t="s">
        <v>38</v>
      </c>
      <c r="K98" t="s">
        <v>77</v>
      </c>
      <c r="L98" t="s">
        <v>69</v>
      </c>
      <c r="M98" s="1">
        <v>42141</v>
      </c>
      <c r="N98">
        <v>47.222516666666699</v>
      </c>
      <c r="O98">
        <v>-122.810033333333</v>
      </c>
      <c r="P98" t="s">
        <v>40</v>
      </c>
      <c r="Q98" t="s">
        <v>41</v>
      </c>
      <c r="R98" t="s">
        <v>44</v>
      </c>
      <c r="S98" t="s">
        <v>42</v>
      </c>
      <c r="T98" t="s">
        <v>44</v>
      </c>
      <c r="U98" t="s">
        <v>44</v>
      </c>
      <c r="V98" t="s">
        <v>44</v>
      </c>
      <c r="W98" t="s">
        <v>44</v>
      </c>
      <c r="X98" t="s">
        <v>44</v>
      </c>
      <c r="Y98" t="s">
        <v>44</v>
      </c>
      <c r="Z98" t="s">
        <v>44</v>
      </c>
      <c r="AA98" t="s">
        <v>44</v>
      </c>
      <c r="AB98" t="s">
        <v>44</v>
      </c>
      <c r="AC98" t="s">
        <v>44</v>
      </c>
      <c r="AD98" t="s">
        <v>304</v>
      </c>
      <c r="AE98" t="s">
        <v>51</v>
      </c>
      <c r="AF98">
        <v>77</v>
      </c>
      <c r="AG98">
        <f t="shared" si="4"/>
        <v>4</v>
      </c>
      <c r="AH98" s="5">
        <f t="shared" si="5"/>
        <v>77</v>
      </c>
      <c r="AI98">
        <f t="shared" si="6"/>
        <v>4</v>
      </c>
      <c r="AJ98" t="str">
        <f t="shared" si="7"/>
        <v>JSP_mid_south_P1</v>
      </c>
      <c r="AK98" t="s">
        <v>718</v>
      </c>
    </row>
    <row r="99" spans="1:37" x14ac:dyDescent="0.25">
      <c r="A99">
        <v>98</v>
      </c>
      <c r="B99" t="s">
        <v>291</v>
      </c>
      <c r="C99" t="s">
        <v>305</v>
      </c>
      <c r="D99" t="s">
        <v>300</v>
      </c>
      <c r="E99" t="s">
        <v>34</v>
      </c>
      <c r="F99">
        <v>2015</v>
      </c>
      <c r="G99" t="s">
        <v>44</v>
      </c>
      <c r="H99" t="s">
        <v>76</v>
      </c>
      <c r="I99" t="s">
        <v>107</v>
      </c>
      <c r="J99" t="s">
        <v>38</v>
      </c>
      <c r="K99" t="s">
        <v>77</v>
      </c>
      <c r="L99" t="s">
        <v>69</v>
      </c>
      <c r="M99" s="1">
        <v>42141</v>
      </c>
      <c r="N99">
        <v>47.222149999999999</v>
      </c>
      <c r="O99">
        <v>-122.809666666667</v>
      </c>
      <c r="P99" t="s">
        <v>40</v>
      </c>
      <c r="Q99" t="s">
        <v>41</v>
      </c>
      <c r="R99">
        <v>-0.91439999999999999</v>
      </c>
      <c r="S99" t="s">
        <v>42</v>
      </c>
      <c r="T99" t="s">
        <v>44</v>
      </c>
      <c r="U99" t="s">
        <v>44</v>
      </c>
      <c r="V99" t="s">
        <v>44</v>
      </c>
      <c r="W99" t="s">
        <v>44</v>
      </c>
      <c r="X99" t="s">
        <v>44</v>
      </c>
      <c r="Y99" t="s">
        <v>44</v>
      </c>
      <c r="Z99" t="s">
        <v>44</v>
      </c>
      <c r="AA99" t="s">
        <v>44</v>
      </c>
      <c r="AB99" t="s">
        <v>44</v>
      </c>
      <c r="AC99" t="s">
        <v>44</v>
      </c>
      <c r="AD99" t="s">
        <v>306</v>
      </c>
      <c r="AE99" t="s">
        <v>51</v>
      </c>
      <c r="AF99">
        <v>77</v>
      </c>
      <c r="AG99">
        <f t="shared" si="4"/>
        <v>4</v>
      </c>
      <c r="AH99" s="5">
        <f t="shared" si="5"/>
        <v>77</v>
      </c>
      <c r="AI99">
        <f t="shared" si="6"/>
        <v>4</v>
      </c>
      <c r="AJ99" t="str">
        <f t="shared" si="7"/>
        <v>JSP_mid_south_P1</v>
      </c>
      <c r="AK99" t="s">
        <v>718</v>
      </c>
    </row>
    <row r="100" spans="1:37" x14ac:dyDescent="0.25">
      <c r="A100">
        <v>99</v>
      </c>
      <c r="B100" t="s">
        <v>291</v>
      </c>
      <c r="C100" t="s">
        <v>307</v>
      </c>
      <c r="D100" t="s">
        <v>300</v>
      </c>
      <c r="E100" t="s">
        <v>34</v>
      </c>
      <c r="F100">
        <v>2015</v>
      </c>
      <c r="G100" t="s">
        <v>44</v>
      </c>
      <c r="H100" t="s">
        <v>76</v>
      </c>
      <c r="I100" t="s">
        <v>107</v>
      </c>
      <c r="J100" t="s">
        <v>38</v>
      </c>
      <c r="K100" t="s">
        <v>77</v>
      </c>
      <c r="L100" t="s">
        <v>69</v>
      </c>
      <c r="M100" s="1">
        <v>42141</v>
      </c>
      <c r="N100">
        <v>47.222000000000001</v>
      </c>
      <c r="O100">
        <v>-122.810083333333</v>
      </c>
      <c r="P100" t="s">
        <v>40</v>
      </c>
      <c r="Q100" t="s">
        <v>41</v>
      </c>
      <c r="R100">
        <v>-1.524</v>
      </c>
      <c r="S100" t="s">
        <v>42</v>
      </c>
      <c r="T100" t="s">
        <v>44</v>
      </c>
      <c r="U100" t="s">
        <v>44</v>
      </c>
      <c r="V100" t="s">
        <v>44</v>
      </c>
      <c r="W100" t="s">
        <v>44</v>
      </c>
      <c r="X100" t="s">
        <v>44</v>
      </c>
      <c r="Y100" t="s">
        <v>44</v>
      </c>
      <c r="Z100" t="s">
        <v>44</v>
      </c>
      <c r="AA100" t="s">
        <v>44</v>
      </c>
      <c r="AB100" t="s">
        <v>44</v>
      </c>
      <c r="AC100" t="s">
        <v>44</v>
      </c>
      <c r="AD100" t="s">
        <v>308</v>
      </c>
      <c r="AE100" t="s">
        <v>51</v>
      </c>
      <c r="AF100">
        <v>77</v>
      </c>
      <c r="AG100">
        <f t="shared" si="4"/>
        <v>4</v>
      </c>
      <c r="AH100" s="5">
        <f t="shared" si="5"/>
        <v>77</v>
      </c>
      <c r="AI100">
        <f t="shared" si="6"/>
        <v>4</v>
      </c>
      <c r="AJ100" t="str">
        <f t="shared" si="7"/>
        <v>JSP_mid_south_P1</v>
      </c>
      <c r="AK100" t="s">
        <v>718</v>
      </c>
    </row>
    <row r="101" spans="1:37" x14ac:dyDescent="0.25">
      <c r="A101">
        <v>100</v>
      </c>
      <c r="B101" t="s">
        <v>291</v>
      </c>
      <c r="C101" t="s">
        <v>309</v>
      </c>
      <c r="D101" t="s">
        <v>310</v>
      </c>
      <c r="E101" t="s">
        <v>34</v>
      </c>
      <c r="F101">
        <v>2015</v>
      </c>
      <c r="G101" t="s">
        <v>44</v>
      </c>
      <c r="H101" t="s">
        <v>76</v>
      </c>
      <c r="I101" t="s">
        <v>107</v>
      </c>
      <c r="J101" t="s">
        <v>38</v>
      </c>
      <c r="K101" t="s">
        <v>77</v>
      </c>
      <c r="L101" t="s">
        <v>77</v>
      </c>
      <c r="M101" s="1">
        <v>42162</v>
      </c>
      <c r="N101">
        <v>47.223383333333302</v>
      </c>
      <c r="O101">
        <v>-122.810666666667</v>
      </c>
      <c r="P101" t="s">
        <v>40</v>
      </c>
      <c r="Q101" t="s">
        <v>41</v>
      </c>
      <c r="R101">
        <v>-1.28016</v>
      </c>
      <c r="S101" t="s">
        <v>42</v>
      </c>
      <c r="T101">
        <v>60</v>
      </c>
      <c r="U101">
        <v>40</v>
      </c>
      <c r="V101">
        <v>2400</v>
      </c>
      <c r="W101">
        <v>151.25</v>
      </c>
      <c r="X101">
        <v>15</v>
      </c>
      <c r="Y101">
        <v>3000</v>
      </c>
      <c r="Z101">
        <v>12000</v>
      </c>
      <c r="AA101">
        <v>5</v>
      </c>
      <c r="AB101">
        <v>79.338842975206603</v>
      </c>
      <c r="AC101" t="s">
        <v>301</v>
      </c>
      <c r="AD101" t="s">
        <v>311</v>
      </c>
      <c r="AE101" t="s">
        <v>51</v>
      </c>
      <c r="AF101">
        <v>78</v>
      </c>
      <c r="AG101">
        <f t="shared" si="4"/>
        <v>4</v>
      </c>
      <c r="AH101" s="5">
        <f t="shared" si="5"/>
        <v>78</v>
      </c>
      <c r="AI101">
        <f t="shared" si="6"/>
        <v>4</v>
      </c>
      <c r="AJ101" t="str">
        <f t="shared" si="7"/>
        <v>JSP_mid_north_P1</v>
      </c>
      <c r="AK101" t="s">
        <v>718</v>
      </c>
    </row>
    <row r="102" spans="1:37" x14ac:dyDescent="0.25">
      <c r="A102">
        <v>101</v>
      </c>
      <c r="B102" t="s">
        <v>291</v>
      </c>
      <c r="C102" t="s">
        <v>312</v>
      </c>
      <c r="D102" t="s">
        <v>310</v>
      </c>
      <c r="E102" t="s">
        <v>34</v>
      </c>
      <c r="F102">
        <v>2015</v>
      </c>
      <c r="G102" t="s">
        <v>44</v>
      </c>
      <c r="H102" t="s">
        <v>76</v>
      </c>
      <c r="I102" t="s">
        <v>107</v>
      </c>
      <c r="J102" t="s">
        <v>38</v>
      </c>
      <c r="K102" t="s">
        <v>77</v>
      </c>
      <c r="L102" t="s">
        <v>69</v>
      </c>
      <c r="M102" s="1">
        <v>42162</v>
      </c>
      <c r="N102">
        <v>47.223383333333302</v>
      </c>
      <c r="O102">
        <v>-122.81014999999999</v>
      </c>
      <c r="P102" t="s">
        <v>40</v>
      </c>
      <c r="Q102" t="s">
        <v>41</v>
      </c>
      <c r="R102">
        <v>-0.51815999999999995</v>
      </c>
      <c r="S102" t="s">
        <v>42</v>
      </c>
      <c r="T102" t="s">
        <v>44</v>
      </c>
      <c r="U102" t="s">
        <v>44</v>
      </c>
      <c r="V102" t="s">
        <v>44</v>
      </c>
      <c r="W102" t="s">
        <v>44</v>
      </c>
      <c r="X102" t="s">
        <v>44</v>
      </c>
      <c r="Y102" t="s">
        <v>44</v>
      </c>
      <c r="Z102" t="s">
        <v>44</v>
      </c>
      <c r="AA102" t="s">
        <v>44</v>
      </c>
      <c r="AB102" t="s">
        <v>44</v>
      </c>
      <c r="AC102" t="s">
        <v>44</v>
      </c>
      <c r="AD102" t="s">
        <v>313</v>
      </c>
      <c r="AE102" t="s">
        <v>51</v>
      </c>
      <c r="AF102">
        <v>78</v>
      </c>
      <c r="AG102">
        <f t="shared" si="4"/>
        <v>4</v>
      </c>
      <c r="AH102" s="5">
        <f t="shared" si="5"/>
        <v>78</v>
      </c>
      <c r="AI102">
        <f t="shared" si="6"/>
        <v>4</v>
      </c>
      <c r="AJ102" t="str">
        <f t="shared" si="7"/>
        <v>JSP_mid_north_P1</v>
      </c>
      <c r="AK102" t="s">
        <v>718</v>
      </c>
    </row>
    <row r="103" spans="1:37" x14ac:dyDescent="0.25">
      <c r="A103">
        <v>102</v>
      </c>
      <c r="B103" t="s">
        <v>291</v>
      </c>
      <c r="C103" t="s">
        <v>314</v>
      </c>
      <c r="D103" t="s">
        <v>310</v>
      </c>
      <c r="E103" t="s">
        <v>34</v>
      </c>
      <c r="F103">
        <v>2015</v>
      </c>
      <c r="G103" t="s">
        <v>44</v>
      </c>
      <c r="H103" t="s">
        <v>76</v>
      </c>
      <c r="I103" t="s">
        <v>107</v>
      </c>
      <c r="J103" t="s">
        <v>38</v>
      </c>
      <c r="K103" t="s">
        <v>77</v>
      </c>
      <c r="L103" t="s">
        <v>69</v>
      </c>
      <c r="M103" s="1">
        <v>42162</v>
      </c>
      <c r="N103">
        <v>47.222833333333298</v>
      </c>
      <c r="O103">
        <v>-122.81014999999999</v>
      </c>
      <c r="P103" t="s">
        <v>40</v>
      </c>
      <c r="Q103" t="s">
        <v>41</v>
      </c>
      <c r="R103">
        <v>-0.97536</v>
      </c>
      <c r="S103" t="s">
        <v>42</v>
      </c>
      <c r="T103" t="s">
        <v>44</v>
      </c>
      <c r="U103" t="s">
        <v>44</v>
      </c>
      <c r="V103" t="s">
        <v>44</v>
      </c>
      <c r="W103" t="s">
        <v>44</v>
      </c>
      <c r="X103" t="s">
        <v>44</v>
      </c>
      <c r="Y103" t="s">
        <v>44</v>
      </c>
      <c r="Z103" t="s">
        <v>44</v>
      </c>
      <c r="AA103" t="s">
        <v>44</v>
      </c>
      <c r="AB103" t="s">
        <v>44</v>
      </c>
      <c r="AC103" t="s">
        <v>44</v>
      </c>
      <c r="AD103" t="s">
        <v>315</v>
      </c>
      <c r="AE103" t="s">
        <v>51</v>
      </c>
      <c r="AF103">
        <v>78</v>
      </c>
      <c r="AG103">
        <f t="shared" si="4"/>
        <v>4</v>
      </c>
      <c r="AH103" s="5">
        <f t="shared" si="5"/>
        <v>78</v>
      </c>
      <c r="AI103">
        <f t="shared" si="6"/>
        <v>4</v>
      </c>
      <c r="AJ103" t="str">
        <f t="shared" si="7"/>
        <v>JSP_mid_north_P1</v>
      </c>
      <c r="AK103" t="s">
        <v>718</v>
      </c>
    </row>
    <row r="104" spans="1:37" x14ac:dyDescent="0.25">
      <c r="A104">
        <v>103</v>
      </c>
      <c r="B104" t="s">
        <v>291</v>
      </c>
      <c r="C104" t="s">
        <v>316</v>
      </c>
      <c r="D104" t="s">
        <v>310</v>
      </c>
      <c r="E104" t="s">
        <v>34</v>
      </c>
      <c r="F104">
        <v>2015</v>
      </c>
      <c r="G104" t="s">
        <v>44</v>
      </c>
      <c r="H104" t="s">
        <v>76</v>
      </c>
      <c r="I104" t="s">
        <v>107</v>
      </c>
      <c r="J104" t="s">
        <v>38</v>
      </c>
      <c r="K104" t="s">
        <v>77</v>
      </c>
      <c r="L104" t="s">
        <v>69</v>
      </c>
      <c r="M104" s="1">
        <v>42162</v>
      </c>
      <c r="N104">
        <v>47.222833333333298</v>
      </c>
      <c r="O104">
        <v>-122.810666666667</v>
      </c>
      <c r="P104" t="s">
        <v>40</v>
      </c>
      <c r="Q104" t="s">
        <v>41</v>
      </c>
      <c r="R104">
        <v>-1.7678400000000001</v>
      </c>
      <c r="S104" t="s">
        <v>42</v>
      </c>
      <c r="T104" t="s">
        <v>44</v>
      </c>
      <c r="U104" t="s">
        <v>44</v>
      </c>
      <c r="V104" t="s">
        <v>44</v>
      </c>
      <c r="W104" t="s">
        <v>44</v>
      </c>
      <c r="X104" t="s">
        <v>44</v>
      </c>
      <c r="Y104" t="s">
        <v>44</v>
      </c>
      <c r="Z104" t="s">
        <v>44</v>
      </c>
      <c r="AA104" t="s">
        <v>44</v>
      </c>
      <c r="AB104" t="s">
        <v>44</v>
      </c>
      <c r="AC104" t="s">
        <v>44</v>
      </c>
      <c r="AD104" t="s">
        <v>317</v>
      </c>
      <c r="AE104" t="s">
        <v>51</v>
      </c>
      <c r="AF104">
        <v>78</v>
      </c>
      <c r="AG104">
        <f t="shared" si="4"/>
        <v>4</v>
      </c>
      <c r="AH104" s="5">
        <f t="shared" si="5"/>
        <v>78</v>
      </c>
      <c r="AI104">
        <f t="shared" si="6"/>
        <v>4</v>
      </c>
      <c r="AJ104" t="str">
        <f t="shared" si="7"/>
        <v>JSP_mid_north_P1</v>
      </c>
      <c r="AK104" t="s">
        <v>718</v>
      </c>
    </row>
    <row r="105" spans="1:37" x14ac:dyDescent="0.25">
      <c r="A105">
        <v>104</v>
      </c>
      <c r="B105" t="s">
        <v>291</v>
      </c>
      <c r="C105" t="s">
        <v>318</v>
      </c>
      <c r="D105" t="s">
        <v>319</v>
      </c>
      <c r="E105" t="s">
        <v>34</v>
      </c>
      <c r="F105">
        <v>2015</v>
      </c>
      <c r="G105" t="s">
        <v>44</v>
      </c>
      <c r="H105" t="s">
        <v>36</v>
      </c>
      <c r="I105" t="s">
        <v>107</v>
      </c>
      <c r="J105" t="s">
        <v>38</v>
      </c>
      <c r="K105" t="s">
        <v>39</v>
      </c>
      <c r="L105" t="s">
        <v>39</v>
      </c>
      <c r="M105" s="1">
        <v>42164</v>
      </c>
      <c r="N105">
        <v>47.210933333333301</v>
      </c>
      <c r="O105">
        <v>-122.806633333333</v>
      </c>
      <c r="P105" t="s">
        <v>40</v>
      </c>
      <c r="Q105" t="s">
        <v>41</v>
      </c>
      <c r="R105">
        <v>-1.3715999999999999</v>
      </c>
      <c r="S105" t="s">
        <v>42</v>
      </c>
      <c r="T105">
        <v>5</v>
      </c>
      <c r="U105">
        <v>5</v>
      </c>
      <c r="V105">
        <v>25</v>
      </c>
      <c r="W105">
        <v>25</v>
      </c>
      <c r="X105">
        <v>0.625</v>
      </c>
      <c r="Y105">
        <v>125</v>
      </c>
      <c r="Z105">
        <v>500</v>
      </c>
      <c r="AA105">
        <v>20</v>
      </c>
      <c r="AB105">
        <v>20</v>
      </c>
      <c r="AC105" t="s">
        <v>301</v>
      </c>
      <c r="AD105" t="s">
        <v>320</v>
      </c>
      <c r="AE105" t="s">
        <v>51</v>
      </c>
      <c r="AF105">
        <v>79</v>
      </c>
      <c r="AG105">
        <f t="shared" si="4"/>
        <v>1</v>
      </c>
      <c r="AH105" s="5" t="str">
        <f t="shared" si="5"/>
        <v/>
      </c>
      <c r="AI105">
        <f t="shared" si="6"/>
        <v>1</v>
      </c>
      <c r="AJ105" t="str">
        <f t="shared" si="7"/>
        <v/>
      </c>
    </row>
    <row r="106" spans="1:37" x14ac:dyDescent="0.25">
      <c r="A106">
        <v>105</v>
      </c>
      <c r="B106" t="s">
        <v>291</v>
      </c>
      <c r="C106" t="s">
        <v>321</v>
      </c>
      <c r="D106" t="s">
        <v>322</v>
      </c>
      <c r="E106" t="s">
        <v>34</v>
      </c>
      <c r="F106">
        <v>2016</v>
      </c>
      <c r="G106" t="s">
        <v>44</v>
      </c>
      <c r="H106" t="s">
        <v>63</v>
      </c>
      <c r="I106" t="s">
        <v>107</v>
      </c>
      <c r="J106" t="s">
        <v>38</v>
      </c>
      <c r="K106" t="s">
        <v>39</v>
      </c>
      <c r="L106" t="s">
        <v>39</v>
      </c>
      <c r="M106" s="1">
        <v>42507</v>
      </c>
      <c r="N106">
        <v>47.225893852777801</v>
      </c>
      <c r="O106">
        <v>-122.813320061111</v>
      </c>
      <c r="P106" t="s">
        <v>40</v>
      </c>
      <c r="Q106" t="s">
        <v>41</v>
      </c>
      <c r="R106">
        <v>-2</v>
      </c>
      <c r="S106" t="s">
        <v>146</v>
      </c>
      <c r="T106">
        <v>25</v>
      </c>
      <c r="U106">
        <v>5</v>
      </c>
      <c r="V106">
        <v>125</v>
      </c>
      <c r="W106">
        <v>75</v>
      </c>
      <c r="X106">
        <v>9.75</v>
      </c>
      <c r="Y106">
        <v>156</v>
      </c>
      <c r="Z106">
        <v>780</v>
      </c>
      <c r="AA106">
        <v>6.24</v>
      </c>
      <c r="AB106">
        <v>10.4</v>
      </c>
      <c r="AC106" t="s">
        <v>65</v>
      </c>
      <c r="AD106" t="s">
        <v>148</v>
      </c>
      <c r="AE106" t="s">
        <v>67</v>
      </c>
      <c r="AF106">
        <v>80</v>
      </c>
      <c r="AG106">
        <f t="shared" si="4"/>
        <v>2</v>
      </c>
      <c r="AH106" s="5">
        <f t="shared" si="5"/>
        <v>80</v>
      </c>
      <c r="AI106">
        <f t="shared" si="6"/>
        <v>2</v>
      </c>
      <c r="AJ106" t="str">
        <f t="shared" si="7"/>
        <v>JSP_north</v>
      </c>
      <c r="AK106" t="s">
        <v>718</v>
      </c>
    </row>
    <row r="107" spans="1:37" x14ac:dyDescent="0.25">
      <c r="A107">
        <v>106</v>
      </c>
      <c r="B107" t="s">
        <v>291</v>
      </c>
      <c r="C107" t="s">
        <v>321</v>
      </c>
      <c r="D107" t="s">
        <v>322</v>
      </c>
      <c r="E107" t="s">
        <v>34</v>
      </c>
      <c r="F107">
        <v>2016</v>
      </c>
      <c r="G107" t="s">
        <v>44</v>
      </c>
      <c r="H107" t="s">
        <v>63</v>
      </c>
      <c r="I107" t="s">
        <v>107</v>
      </c>
      <c r="J107" t="s">
        <v>38</v>
      </c>
      <c r="K107" t="s">
        <v>39</v>
      </c>
      <c r="L107" t="s">
        <v>69</v>
      </c>
      <c r="M107" s="1">
        <v>42507</v>
      </c>
      <c r="N107">
        <v>47.225797075000003</v>
      </c>
      <c r="O107">
        <v>-122.81301273611101</v>
      </c>
      <c r="P107" t="s">
        <v>40</v>
      </c>
      <c r="Q107" t="s">
        <v>41</v>
      </c>
      <c r="R107" t="s">
        <v>44</v>
      </c>
      <c r="S107" t="s">
        <v>44</v>
      </c>
      <c r="T107" t="s">
        <v>44</v>
      </c>
      <c r="U107" t="s">
        <v>44</v>
      </c>
      <c r="V107" t="s">
        <v>44</v>
      </c>
      <c r="W107" t="s">
        <v>44</v>
      </c>
      <c r="X107" t="s">
        <v>44</v>
      </c>
      <c r="Y107" t="s">
        <v>44</v>
      </c>
      <c r="Z107" t="s">
        <v>44</v>
      </c>
      <c r="AA107" t="s">
        <v>44</v>
      </c>
      <c r="AB107" t="s">
        <v>44</v>
      </c>
      <c r="AC107" t="s">
        <v>44</v>
      </c>
      <c r="AD107" t="s">
        <v>44</v>
      </c>
      <c r="AE107" t="s">
        <v>67</v>
      </c>
      <c r="AF107">
        <v>80</v>
      </c>
      <c r="AG107">
        <f t="shared" si="4"/>
        <v>2</v>
      </c>
      <c r="AH107" s="5">
        <f t="shared" si="5"/>
        <v>80</v>
      </c>
      <c r="AI107">
        <f t="shared" si="6"/>
        <v>2</v>
      </c>
      <c r="AJ107" t="str">
        <f t="shared" si="7"/>
        <v>JSP_north</v>
      </c>
      <c r="AK107" t="s">
        <v>718</v>
      </c>
    </row>
    <row r="108" spans="1:37" x14ac:dyDescent="0.25">
      <c r="A108">
        <v>107</v>
      </c>
      <c r="B108" t="s">
        <v>291</v>
      </c>
      <c r="C108" t="s">
        <v>323</v>
      </c>
      <c r="D108" t="s">
        <v>324</v>
      </c>
      <c r="E108" t="s">
        <v>34</v>
      </c>
      <c r="F108">
        <v>2016</v>
      </c>
      <c r="G108" t="s">
        <v>44</v>
      </c>
      <c r="H108" t="s">
        <v>76</v>
      </c>
      <c r="I108" t="s">
        <v>107</v>
      </c>
      <c r="J108" t="s">
        <v>38</v>
      </c>
      <c r="K108" t="s">
        <v>77</v>
      </c>
      <c r="L108" t="s">
        <v>77</v>
      </c>
      <c r="M108" s="1">
        <v>42576</v>
      </c>
      <c r="N108">
        <v>47.221797497222198</v>
      </c>
      <c r="O108">
        <v>-122.80987687222201</v>
      </c>
      <c r="P108" t="s">
        <v>40</v>
      </c>
      <c r="Q108" t="s">
        <v>41</v>
      </c>
      <c r="R108">
        <v>-1.5</v>
      </c>
      <c r="S108" t="s">
        <v>146</v>
      </c>
      <c r="T108">
        <v>20</v>
      </c>
      <c r="U108">
        <v>8</v>
      </c>
      <c r="V108">
        <v>160</v>
      </c>
      <c r="W108">
        <v>60</v>
      </c>
      <c r="X108">
        <v>60</v>
      </c>
      <c r="Y108">
        <v>960</v>
      </c>
      <c r="Z108">
        <v>20260</v>
      </c>
      <c r="AA108">
        <v>126.625</v>
      </c>
      <c r="AB108">
        <v>337.66666666666703</v>
      </c>
      <c r="AC108" t="s">
        <v>65</v>
      </c>
      <c r="AD108" t="s">
        <v>44</v>
      </c>
      <c r="AE108" t="s">
        <v>67</v>
      </c>
      <c r="AF108">
        <v>81</v>
      </c>
      <c r="AG108">
        <f t="shared" si="4"/>
        <v>4</v>
      </c>
      <c r="AH108" s="5">
        <f t="shared" si="5"/>
        <v>81</v>
      </c>
      <c r="AI108">
        <f t="shared" si="6"/>
        <v>4</v>
      </c>
      <c r="AJ108" t="str">
        <f t="shared" si="7"/>
        <v>JSP_south_P1</v>
      </c>
      <c r="AK108" t="s">
        <v>718</v>
      </c>
    </row>
    <row r="109" spans="1:37" x14ac:dyDescent="0.25">
      <c r="A109">
        <v>108</v>
      </c>
      <c r="B109" t="s">
        <v>291</v>
      </c>
      <c r="C109" t="s">
        <v>325</v>
      </c>
      <c r="D109" t="s">
        <v>324</v>
      </c>
      <c r="E109" t="s">
        <v>34</v>
      </c>
      <c r="F109">
        <v>2016</v>
      </c>
      <c r="G109" t="s">
        <v>44</v>
      </c>
      <c r="H109" t="s">
        <v>76</v>
      </c>
      <c r="I109" t="s">
        <v>107</v>
      </c>
      <c r="J109" t="s">
        <v>38</v>
      </c>
      <c r="K109" t="s">
        <v>77</v>
      </c>
      <c r="L109" t="s">
        <v>69</v>
      </c>
      <c r="M109" s="1">
        <v>42576</v>
      </c>
      <c r="N109">
        <v>47.2217420277778</v>
      </c>
      <c r="O109">
        <v>-122.809974541667</v>
      </c>
      <c r="P109" t="s">
        <v>40</v>
      </c>
      <c r="Q109" t="s">
        <v>41</v>
      </c>
      <c r="R109" t="s">
        <v>44</v>
      </c>
      <c r="S109" t="s">
        <v>44</v>
      </c>
      <c r="T109" t="s">
        <v>44</v>
      </c>
      <c r="U109" t="s">
        <v>44</v>
      </c>
      <c r="V109" t="s">
        <v>44</v>
      </c>
      <c r="W109" t="s">
        <v>44</v>
      </c>
      <c r="X109" t="s">
        <v>44</v>
      </c>
      <c r="Y109" t="s">
        <v>44</v>
      </c>
      <c r="Z109" t="s">
        <v>44</v>
      </c>
      <c r="AA109" t="s">
        <v>44</v>
      </c>
      <c r="AB109" t="s">
        <v>44</v>
      </c>
      <c r="AC109" t="s">
        <v>44</v>
      </c>
      <c r="AD109" t="s">
        <v>44</v>
      </c>
      <c r="AE109" t="s">
        <v>67</v>
      </c>
      <c r="AF109">
        <v>81</v>
      </c>
      <c r="AG109">
        <f t="shared" si="4"/>
        <v>4</v>
      </c>
      <c r="AH109" s="5">
        <f t="shared" si="5"/>
        <v>81</v>
      </c>
      <c r="AI109">
        <f t="shared" si="6"/>
        <v>4</v>
      </c>
      <c r="AJ109" t="str">
        <f t="shared" si="7"/>
        <v>JSP_south_P1</v>
      </c>
      <c r="AK109" t="s">
        <v>718</v>
      </c>
    </row>
    <row r="110" spans="1:37" x14ac:dyDescent="0.25">
      <c r="A110">
        <v>109</v>
      </c>
      <c r="B110" t="s">
        <v>291</v>
      </c>
      <c r="C110" t="s">
        <v>326</v>
      </c>
      <c r="D110" t="s">
        <v>324</v>
      </c>
      <c r="E110" t="s">
        <v>34</v>
      </c>
      <c r="F110">
        <v>2016</v>
      </c>
      <c r="G110" t="s">
        <v>44</v>
      </c>
      <c r="H110" t="s">
        <v>76</v>
      </c>
      <c r="I110" t="s">
        <v>107</v>
      </c>
      <c r="J110" t="s">
        <v>38</v>
      </c>
      <c r="K110" t="s">
        <v>77</v>
      </c>
      <c r="L110" t="s">
        <v>69</v>
      </c>
      <c r="M110" s="1">
        <v>42576</v>
      </c>
      <c r="N110">
        <v>47.221992</v>
      </c>
      <c r="O110">
        <v>-122.809929</v>
      </c>
      <c r="P110" t="s">
        <v>40</v>
      </c>
      <c r="Q110" t="s">
        <v>41</v>
      </c>
      <c r="R110" t="s">
        <v>44</v>
      </c>
      <c r="S110" t="s">
        <v>44</v>
      </c>
      <c r="T110" t="s">
        <v>44</v>
      </c>
      <c r="U110" t="s">
        <v>44</v>
      </c>
      <c r="V110" t="s">
        <v>44</v>
      </c>
      <c r="W110" t="s">
        <v>44</v>
      </c>
      <c r="X110" t="s">
        <v>44</v>
      </c>
      <c r="Y110" t="s">
        <v>44</v>
      </c>
      <c r="Z110" t="s">
        <v>44</v>
      </c>
      <c r="AA110" t="s">
        <v>44</v>
      </c>
      <c r="AB110" t="s">
        <v>44</v>
      </c>
      <c r="AC110" t="s">
        <v>44</v>
      </c>
      <c r="AD110" t="s">
        <v>44</v>
      </c>
      <c r="AE110" t="s">
        <v>67</v>
      </c>
      <c r="AF110">
        <v>81</v>
      </c>
      <c r="AG110">
        <f t="shared" si="4"/>
        <v>4</v>
      </c>
      <c r="AH110" s="5">
        <f t="shared" si="5"/>
        <v>81</v>
      </c>
      <c r="AI110">
        <f t="shared" si="6"/>
        <v>4</v>
      </c>
      <c r="AJ110" t="str">
        <f t="shared" si="7"/>
        <v>JSP_south_P1</v>
      </c>
      <c r="AK110" t="s">
        <v>718</v>
      </c>
    </row>
    <row r="111" spans="1:37" x14ac:dyDescent="0.25">
      <c r="A111">
        <v>110</v>
      </c>
      <c r="B111" t="s">
        <v>291</v>
      </c>
      <c r="C111" t="s">
        <v>327</v>
      </c>
      <c r="D111" t="s">
        <v>324</v>
      </c>
      <c r="E111" t="s">
        <v>34</v>
      </c>
      <c r="F111">
        <v>2016</v>
      </c>
      <c r="G111" t="s">
        <v>44</v>
      </c>
      <c r="H111" t="s">
        <v>76</v>
      </c>
      <c r="I111" t="s">
        <v>107</v>
      </c>
      <c r="J111" t="s">
        <v>38</v>
      </c>
      <c r="K111" t="s">
        <v>77</v>
      </c>
      <c r="L111" t="s">
        <v>69</v>
      </c>
      <c r="M111" s="1">
        <v>42576</v>
      </c>
      <c r="N111">
        <v>47.221965447222203</v>
      </c>
      <c r="O111">
        <v>-122.81001890833301</v>
      </c>
      <c r="P111" t="s">
        <v>40</v>
      </c>
      <c r="Q111" t="s">
        <v>41</v>
      </c>
      <c r="R111" t="s">
        <v>44</v>
      </c>
      <c r="S111" t="s">
        <v>44</v>
      </c>
      <c r="T111" t="s">
        <v>44</v>
      </c>
      <c r="U111" t="s">
        <v>44</v>
      </c>
      <c r="V111" t="s">
        <v>44</v>
      </c>
      <c r="W111" t="s">
        <v>44</v>
      </c>
      <c r="X111" t="s">
        <v>44</v>
      </c>
      <c r="Y111" t="s">
        <v>44</v>
      </c>
      <c r="Z111" t="s">
        <v>44</v>
      </c>
      <c r="AA111" t="s">
        <v>44</v>
      </c>
      <c r="AB111" t="s">
        <v>44</v>
      </c>
      <c r="AC111" t="s">
        <v>44</v>
      </c>
      <c r="AD111" t="s">
        <v>44</v>
      </c>
      <c r="AE111" t="s">
        <v>67</v>
      </c>
      <c r="AF111">
        <v>81</v>
      </c>
      <c r="AG111">
        <f t="shared" si="4"/>
        <v>4</v>
      </c>
      <c r="AH111" s="5">
        <f t="shared" si="5"/>
        <v>81</v>
      </c>
      <c r="AI111">
        <f t="shared" si="6"/>
        <v>4</v>
      </c>
      <c r="AJ111" t="str">
        <f t="shared" si="7"/>
        <v>JSP_south_P1</v>
      </c>
      <c r="AK111" t="s">
        <v>718</v>
      </c>
    </row>
    <row r="112" spans="1:37" x14ac:dyDescent="0.25">
      <c r="A112">
        <v>111</v>
      </c>
      <c r="B112" t="s">
        <v>291</v>
      </c>
      <c r="C112" t="s">
        <v>328</v>
      </c>
      <c r="D112" t="s">
        <v>329</v>
      </c>
      <c r="E112" t="s">
        <v>34</v>
      </c>
      <c r="F112">
        <v>2016</v>
      </c>
      <c r="G112" t="s">
        <v>44</v>
      </c>
      <c r="H112" t="s">
        <v>36</v>
      </c>
      <c r="I112" t="s">
        <v>107</v>
      </c>
      <c r="J112" t="s">
        <v>38</v>
      </c>
      <c r="K112" t="s">
        <v>39</v>
      </c>
      <c r="L112" t="s">
        <v>39</v>
      </c>
      <c r="M112" s="1">
        <v>42514</v>
      </c>
      <c r="N112" t="s">
        <v>44</v>
      </c>
      <c r="O112" t="s">
        <v>44</v>
      </c>
      <c r="P112" t="s">
        <v>40</v>
      </c>
      <c r="Q112" t="s">
        <v>41</v>
      </c>
      <c r="R112" t="s">
        <v>44</v>
      </c>
      <c r="S112" t="s">
        <v>55</v>
      </c>
      <c r="T112">
        <v>9</v>
      </c>
      <c r="U112">
        <v>0.25</v>
      </c>
      <c r="V112">
        <v>2.25</v>
      </c>
      <c r="W112">
        <v>0.56000000000000005</v>
      </c>
      <c r="X112">
        <v>0.22500000000000001</v>
      </c>
      <c r="Y112">
        <v>9</v>
      </c>
      <c r="Z112">
        <v>360</v>
      </c>
      <c r="AA112">
        <v>160</v>
      </c>
      <c r="AB112">
        <v>642.857142857143</v>
      </c>
      <c r="AC112" t="s">
        <v>99</v>
      </c>
      <c r="AD112" t="s">
        <v>330</v>
      </c>
      <c r="AE112" t="s">
        <v>164</v>
      </c>
      <c r="AF112">
        <v>82</v>
      </c>
      <c r="AG112">
        <f t="shared" si="4"/>
        <v>1</v>
      </c>
      <c r="AH112" s="5" t="str">
        <f t="shared" si="5"/>
        <v/>
      </c>
      <c r="AI112">
        <f t="shared" si="6"/>
        <v>1</v>
      </c>
      <c r="AJ112" t="str">
        <f t="shared" si="7"/>
        <v/>
      </c>
    </row>
    <row r="113" spans="1:37" x14ac:dyDescent="0.25">
      <c r="A113">
        <v>112</v>
      </c>
      <c r="B113" t="s">
        <v>291</v>
      </c>
      <c r="C113" t="s">
        <v>331</v>
      </c>
      <c r="D113" t="s">
        <v>332</v>
      </c>
      <c r="E113" t="s">
        <v>34</v>
      </c>
      <c r="F113">
        <v>2017</v>
      </c>
      <c r="G113" t="s">
        <v>44</v>
      </c>
      <c r="H113" t="s">
        <v>63</v>
      </c>
      <c r="I113" t="s">
        <v>107</v>
      </c>
      <c r="J113" t="s">
        <v>38</v>
      </c>
      <c r="K113" t="s">
        <v>39</v>
      </c>
      <c r="L113" t="s">
        <v>39</v>
      </c>
      <c r="M113" s="1">
        <v>42859</v>
      </c>
      <c r="N113">
        <v>47.226233333333298</v>
      </c>
      <c r="O113">
        <v>-122.8146</v>
      </c>
      <c r="P113" t="s">
        <v>40</v>
      </c>
      <c r="Q113" t="s">
        <v>41</v>
      </c>
      <c r="R113">
        <v>-1.6</v>
      </c>
      <c r="S113" t="s">
        <v>64</v>
      </c>
      <c r="T113">
        <v>5</v>
      </c>
      <c r="U113">
        <v>5</v>
      </c>
      <c r="V113">
        <v>25</v>
      </c>
      <c r="W113">
        <v>39</v>
      </c>
      <c r="X113">
        <v>1.04</v>
      </c>
      <c r="Y113">
        <v>104</v>
      </c>
      <c r="Z113">
        <v>1042</v>
      </c>
      <c r="AA113">
        <v>41.68</v>
      </c>
      <c r="AB113">
        <v>26.717948717948701</v>
      </c>
      <c r="AC113" t="s">
        <v>65</v>
      </c>
      <c r="AD113" t="s">
        <v>333</v>
      </c>
      <c r="AE113" t="s">
        <v>67</v>
      </c>
      <c r="AF113">
        <v>83</v>
      </c>
      <c r="AG113">
        <f t="shared" si="4"/>
        <v>2</v>
      </c>
      <c r="AH113" s="5">
        <f t="shared" si="5"/>
        <v>83</v>
      </c>
      <c r="AI113">
        <f t="shared" si="6"/>
        <v>2</v>
      </c>
      <c r="AJ113" t="str">
        <f t="shared" si="7"/>
        <v>JSP_north_L1</v>
      </c>
      <c r="AK113" t="s">
        <v>718</v>
      </c>
    </row>
    <row r="114" spans="1:37" x14ac:dyDescent="0.25">
      <c r="A114">
        <v>113</v>
      </c>
      <c r="B114" t="s">
        <v>291</v>
      </c>
      <c r="C114" t="s">
        <v>334</v>
      </c>
      <c r="D114" t="s">
        <v>332</v>
      </c>
      <c r="E114" t="s">
        <v>34</v>
      </c>
      <c r="F114">
        <v>2017</v>
      </c>
      <c r="G114" t="s">
        <v>44</v>
      </c>
      <c r="H114" t="s">
        <v>63</v>
      </c>
      <c r="I114" t="s">
        <v>107</v>
      </c>
      <c r="J114" t="s">
        <v>38</v>
      </c>
      <c r="K114" t="s">
        <v>39</v>
      </c>
      <c r="L114" t="s">
        <v>69</v>
      </c>
      <c r="M114" s="1">
        <v>42859</v>
      </c>
      <c r="N114">
        <v>47.226266666666703</v>
      </c>
      <c r="O114">
        <v>-122.81466666666699</v>
      </c>
      <c r="P114" t="s">
        <v>40</v>
      </c>
      <c r="Q114" t="s">
        <v>41</v>
      </c>
      <c r="R114" t="s">
        <v>44</v>
      </c>
      <c r="S114" t="s">
        <v>44</v>
      </c>
      <c r="T114" t="s">
        <v>44</v>
      </c>
      <c r="U114" t="s">
        <v>44</v>
      </c>
      <c r="V114" t="s">
        <v>44</v>
      </c>
      <c r="W114" t="s">
        <v>44</v>
      </c>
      <c r="X114" t="s">
        <v>44</v>
      </c>
      <c r="Y114" t="s">
        <v>44</v>
      </c>
      <c r="Z114" t="s">
        <v>44</v>
      </c>
      <c r="AA114" t="s">
        <v>44</v>
      </c>
      <c r="AB114" t="s">
        <v>44</v>
      </c>
      <c r="AC114" t="s">
        <v>44</v>
      </c>
      <c r="AD114" t="s">
        <v>44</v>
      </c>
      <c r="AE114" t="s">
        <v>67</v>
      </c>
      <c r="AF114">
        <v>83</v>
      </c>
      <c r="AG114">
        <f t="shared" si="4"/>
        <v>2</v>
      </c>
      <c r="AH114" s="5">
        <f t="shared" si="5"/>
        <v>83</v>
      </c>
      <c r="AI114">
        <f t="shared" si="6"/>
        <v>2</v>
      </c>
      <c r="AJ114" t="str">
        <f t="shared" si="7"/>
        <v>JSP_north_L1</v>
      </c>
      <c r="AK114" t="s">
        <v>718</v>
      </c>
    </row>
    <row r="115" spans="1:37" x14ac:dyDescent="0.25">
      <c r="A115">
        <v>114</v>
      </c>
      <c r="B115" t="s">
        <v>291</v>
      </c>
      <c r="C115" t="s">
        <v>335</v>
      </c>
      <c r="D115" t="s">
        <v>336</v>
      </c>
      <c r="E115" t="s">
        <v>34</v>
      </c>
      <c r="F115">
        <v>2017</v>
      </c>
      <c r="G115" t="s">
        <v>44</v>
      </c>
      <c r="H115" t="s">
        <v>63</v>
      </c>
      <c r="I115" t="s">
        <v>107</v>
      </c>
      <c r="J115" t="s">
        <v>38</v>
      </c>
      <c r="K115" t="s">
        <v>39</v>
      </c>
      <c r="L115" t="s">
        <v>39</v>
      </c>
      <c r="M115" s="1">
        <v>42859</v>
      </c>
      <c r="N115">
        <v>47.226266666666703</v>
      </c>
      <c r="O115">
        <v>-122.814833333333</v>
      </c>
      <c r="P115" t="s">
        <v>40</v>
      </c>
      <c r="Q115" t="s">
        <v>41</v>
      </c>
      <c r="R115">
        <v>-1.6</v>
      </c>
      <c r="S115" t="s">
        <v>64</v>
      </c>
      <c r="T115">
        <v>5</v>
      </c>
      <c r="U115">
        <v>5</v>
      </c>
      <c r="V115">
        <v>25</v>
      </c>
      <c r="W115">
        <v>39</v>
      </c>
      <c r="X115">
        <v>1.05</v>
      </c>
      <c r="Y115">
        <v>105</v>
      </c>
      <c r="Z115">
        <v>1052</v>
      </c>
      <c r="AA115">
        <v>42.08</v>
      </c>
      <c r="AB115">
        <v>26.974358974358999</v>
      </c>
      <c r="AC115" t="s">
        <v>65</v>
      </c>
      <c r="AD115" t="s">
        <v>337</v>
      </c>
      <c r="AE115" t="s">
        <v>67</v>
      </c>
      <c r="AF115">
        <v>84</v>
      </c>
      <c r="AG115">
        <f t="shared" si="4"/>
        <v>2</v>
      </c>
      <c r="AH115" s="5">
        <f t="shared" si="5"/>
        <v>84</v>
      </c>
      <c r="AI115">
        <f t="shared" si="6"/>
        <v>2</v>
      </c>
      <c r="AJ115" t="str">
        <f t="shared" si="7"/>
        <v>JSP_north_L2</v>
      </c>
      <c r="AK115" t="s">
        <v>718</v>
      </c>
    </row>
    <row r="116" spans="1:37" x14ac:dyDescent="0.25">
      <c r="A116">
        <v>115</v>
      </c>
      <c r="B116" t="s">
        <v>291</v>
      </c>
      <c r="C116" t="s">
        <v>338</v>
      </c>
      <c r="D116" t="s">
        <v>336</v>
      </c>
      <c r="E116" t="s">
        <v>34</v>
      </c>
      <c r="F116">
        <v>2017</v>
      </c>
      <c r="G116" t="s">
        <v>44</v>
      </c>
      <c r="H116" t="s">
        <v>63</v>
      </c>
      <c r="I116" t="s">
        <v>107</v>
      </c>
      <c r="J116" t="s">
        <v>38</v>
      </c>
      <c r="K116" t="s">
        <v>39</v>
      </c>
      <c r="L116" t="s">
        <v>69</v>
      </c>
      <c r="M116" s="1">
        <v>42859</v>
      </c>
      <c r="N116">
        <v>47.226316666666698</v>
      </c>
      <c r="O116">
        <v>-122.814966666667</v>
      </c>
      <c r="P116" t="s">
        <v>40</v>
      </c>
      <c r="Q116" t="s">
        <v>41</v>
      </c>
      <c r="R116" t="s">
        <v>44</v>
      </c>
      <c r="S116" t="s">
        <v>44</v>
      </c>
      <c r="T116" t="s">
        <v>44</v>
      </c>
      <c r="U116" t="s">
        <v>44</v>
      </c>
      <c r="V116" t="s">
        <v>44</v>
      </c>
      <c r="W116" t="s">
        <v>44</v>
      </c>
      <c r="X116" t="s">
        <v>44</v>
      </c>
      <c r="Y116" t="s">
        <v>44</v>
      </c>
      <c r="Z116" t="s">
        <v>44</v>
      </c>
      <c r="AA116" t="s">
        <v>44</v>
      </c>
      <c r="AB116" t="s">
        <v>44</v>
      </c>
      <c r="AC116" t="s">
        <v>44</v>
      </c>
      <c r="AD116" t="s">
        <v>44</v>
      </c>
      <c r="AE116" t="s">
        <v>67</v>
      </c>
      <c r="AF116">
        <v>84</v>
      </c>
      <c r="AG116">
        <f t="shared" si="4"/>
        <v>2</v>
      </c>
      <c r="AH116" s="5">
        <f t="shared" si="5"/>
        <v>84</v>
      </c>
      <c r="AI116">
        <f t="shared" si="6"/>
        <v>2</v>
      </c>
      <c r="AJ116" t="str">
        <f t="shared" si="7"/>
        <v>JSP_north_L2</v>
      </c>
      <c r="AK116" t="s">
        <v>718</v>
      </c>
    </row>
    <row r="117" spans="1:37" x14ac:dyDescent="0.25">
      <c r="A117">
        <v>116</v>
      </c>
      <c r="B117" t="s">
        <v>291</v>
      </c>
      <c r="C117" t="s">
        <v>339</v>
      </c>
      <c r="D117" t="s">
        <v>340</v>
      </c>
      <c r="E117" t="s">
        <v>34</v>
      </c>
      <c r="F117">
        <v>2017</v>
      </c>
      <c r="G117" t="s">
        <v>44</v>
      </c>
      <c r="H117" t="s">
        <v>76</v>
      </c>
      <c r="I117" t="s">
        <v>107</v>
      </c>
      <c r="J117" t="s">
        <v>38</v>
      </c>
      <c r="K117" t="s">
        <v>77</v>
      </c>
      <c r="L117" t="s">
        <v>77</v>
      </c>
      <c r="M117" s="1">
        <v>42862</v>
      </c>
      <c r="N117">
        <v>47.221533333333298</v>
      </c>
      <c r="O117">
        <v>-122.809783333333</v>
      </c>
      <c r="P117" t="s">
        <v>238</v>
      </c>
      <c r="Q117" t="s">
        <v>41</v>
      </c>
      <c r="R117">
        <v>-1.6</v>
      </c>
      <c r="S117" t="s">
        <v>64</v>
      </c>
      <c r="T117">
        <v>20</v>
      </c>
      <c r="U117">
        <v>8</v>
      </c>
      <c r="V117">
        <v>160</v>
      </c>
      <c r="W117">
        <v>80</v>
      </c>
      <c r="X117">
        <v>23.67</v>
      </c>
      <c r="Y117">
        <v>2367</v>
      </c>
      <c r="Z117">
        <v>16570</v>
      </c>
      <c r="AA117">
        <v>103.5625</v>
      </c>
      <c r="AB117">
        <v>207.125</v>
      </c>
      <c r="AC117" t="s">
        <v>147</v>
      </c>
      <c r="AD117" t="s">
        <v>341</v>
      </c>
      <c r="AE117" t="s">
        <v>67</v>
      </c>
      <c r="AF117">
        <v>85</v>
      </c>
      <c r="AG117">
        <f t="shared" si="4"/>
        <v>4</v>
      </c>
      <c r="AH117" s="5">
        <f t="shared" si="5"/>
        <v>85</v>
      </c>
      <c r="AI117">
        <f t="shared" si="6"/>
        <v>4</v>
      </c>
      <c r="AJ117" t="str">
        <f t="shared" si="7"/>
        <v>JSP_south_P2</v>
      </c>
      <c r="AK117" t="s">
        <v>718</v>
      </c>
    </row>
    <row r="118" spans="1:37" x14ac:dyDescent="0.25">
      <c r="A118">
        <v>117</v>
      </c>
      <c r="B118" t="s">
        <v>291</v>
      </c>
      <c r="C118" t="s">
        <v>342</v>
      </c>
      <c r="D118" t="s">
        <v>340</v>
      </c>
      <c r="E118" t="s">
        <v>34</v>
      </c>
      <c r="F118">
        <v>2017</v>
      </c>
      <c r="G118" t="s">
        <v>44</v>
      </c>
      <c r="H118" t="s">
        <v>76</v>
      </c>
      <c r="I118" t="s">
        <v>107</v>
      </c>
      <c r="J118" t="s">
        <v>38</v>
      </c>
      <c r="K118" t="s">
        <v>77</v>
      </c>
      <c r="L118" t="s">
        <v>69</v>
      </c>
      <c r="M118" s="1">
        <v>42862</v>
      </c>
      <c r="N118" t="s">
        <v>44</v>
      </c>
      <c r="O118" t="s">
        <v>44</v>
      </c>
      <c r="P118" t="s">
        <v>238</v>
      </c>
      <c r="Q118" t="s">
        <v>41</v>
      </c>
      <c r="R118" t="s">
        <v>44</v>
      </c>
      <c r="S118" t="s">
        <v>44</v>
      </c>
      <c r="T118" t="s">
        <v>44</v>
      </c>
      <c r="U118" t="s">
        <v>44</v>
      </c>
      <c r="V118" t="s">
        <v>44</v>
      </c>
      <c r="W118" t="s">
        <v>44</v>
      </c>
      <c r="X118" t="s">
        <v>44</v>
      </c>
      <c r="Y118" t="s">
        <v>44</v>
      </c>
      <c r="Z118" t="s">
        <v>44</v>
      </c>
      <c r="AA118" t="s">
        <v>44</v>
      </c>
      <c r="AB118" t="s">
        <v>44</v>
      </c>
      <c r="AC118" t="s">
        <v>44</v>
      </c>
      <c r="AD118" t="s">
        <v>343</v>
      </c>
      <c r="AE118" t="s">
        <v>67</v>
      </c>
      <c r="AF118">
        <v>85</v>
      </c>
      <c r="AG118">
        <f t="shared" si="4"/>
        <v>4</v>
      </c>
      <c r="AH118" s="5">
        <f t="shared" si="5"/>
        <v>85</v>
      </c>
      <c r="AI118">
        <f t="shared" si="6"/>
        <v>4</v>
      </c>
      <c r="AJ118" t="str">
        <f t="shared" si="7"/>
        <v>JSP_south_P2</v>
      </c>
      <c r="AK118" t="s">
        <v>718</v>
      </c>
    </row>
    <row r="119" spans="1:37" x14ac:dyDescent="0.25">
      <c r="A119">
        <v>118</v>
      </c>
      <c r="B119" t="s">
        <v>291</v>
      </c>
      <c r="C119" t="s">
        <v>344</v>
      </c>
      <c r="D119" t="s">
        <v>340</v>
      </c>
      <c r="E119" t="s">
        <v>34</v>
      </c>
      <c r="F119">
        <v>2017</v>
      </c>
      <c r="G119" t="s">
        <v>44</v>
      </c>
      <c r="H119" t="s">
        <v>76</v>
      </c>
      <c r="I119" t="s">
        <v>107</v>
      </c>
      <c r="J119" t="s">
        <v>38</v>
      </c>
      <c r="K119" t="s">
        <v>77</v>
      </c>
      <c r="L119" t="s">
        <v>69</v>
      </c>
      <c r="M119" s="1">
        <v>42862</v>
      </c>
      <c r="N119">
        <v>47.221733333333297</v>
      </c>
      <c r="O119">
        <v>-122.80993333333301</v>
      </c>
      <c r="P119" t="s">
        <v>238</v>
      </c>
      <c r="Q119" t="s">
        <v>41</v>
      </c>
      <c r="R119" t="s">
        <v>44</v>
      </c>
      <c r="S119" t="s">
        <v>44</v>
      </c>
      <c r="T119" t="s">
        <v>44</v>
      </c>
      <c r="U119" t="s">
        <v>44</v>
      </c>
      <c r="V119" t="s">
        <v>44</v>
      </c>
      <c r="W119" t="s">
        <v>44</v>
      </c>
      <c r="X119" t="s">
        <v>44</v>
      </c>
      <c r="Y119" t="s">
        <v>44</v>
      </c>
      <c r="Z119" t="s">
        <v>44</v>
      </c>
      <c r="AA119" t="s">
        <v>44</v>
      </c>
      <c r="AB119" t="s">
        <v>44</v>
      </c>
      <c r="AC119" t="s">
        <v>44</v>
      </c>
      <c r="AD119" t="s">
        <v>343</v>
      </c>
      <c r="AE119" t="s">
        <v>67</v>
      </c>
      <c r="AF119">
        <v>85</v>
      </c>
      <c r="AG119">
        <f t="shared" si="4"/>
        <v>4</v>
      </c>
      <c r="AH119" s="5">
        <f t="shared" si="5"/>
        <v>85</v>
      </c>
      <c r="AI119">
        <f t="shared" si="6"/>
        <v>4</v>
      </c>
      <c r="AJ119" t="str">
        <f t="shared" si="7"/>
        <v>JSP_south_P2</v>
      </c>
      <c r="AK119" t="s">
        <v>718</v>
      </c>
    </row>
    <row r="120" spans="1:37" x14ac:dyDescent="0.25">
      <c r="A120">
        <v>119</v>
      </c>
      <c r="B120" t="s">
        <v>291</v>
      </c>
      <c r="C120" t="s">
        <v>345</v>
      </c>
      <c r="D120" t="s">
        <v>340</v>
      </c>
      <c r="E120" t="s">
        <v>34</v>
      </c>
      <c r="F120">
        <v>2017</v>
      </c>
      <c r="G120" t="s">
        <v>44</v>
      </c>
      <c r="H120" t="s">
        <v>76</v>
      </c>
      <c r="I120" t="s">
        <v>107</v>
      </c>
      <c r="J120" t="s">
        <v>38</v>
      </c>
      <c r="K120" t="s">
        <v>77</v>
      </c>
      <c r="L120" t="s">
        <v>69</v>
      </c>
      <c r="M120" s="1">
        <v>42862</v>
      </c>
      <c r="N120" t="s">
        <v>44</v>
      </c>
      <c r="O120" t="s">
        <v>44</v>
      </c>
      <c r="P120" t="s">
        <v>238</v>
      </c>
      <c r="Q120" t="s">
        <v>41</v>
      </c>
      <c r="R120" t="s">
        <v>44</v>
      </c>
      <c r="S120" t="s">
        <v>44</v>
      </c>
      <c r="T120" t="s">
        <v>44</v>
      </c>
      <c r="U120" t="s">
        <v>44</v>
      </c>
      <c r="V120" t="s">
        <v>44</v>
      </c>
      <c r="W120" t="s">
        <v>44</v>
      </c>
      <c r="X120" t="s">
        <v>44</v>
      </c>
      <c r="Y120" t="s">
        <v>44</v>
      </c>
      <c r="Z120" t="s">
        <v>44</v>
      </c>
      <c r="AA120" t="s">
        <v>44</v>
      </c>
      <c r="AB120" t="s">
        <v>44</v>
      </c>
      <c r="AC120" t="s">
        <v>44</v>
      </c>
      <c r="AD120" t="s">
        <v>343</v>
      </c>
      <c r="AE120" t="s">
        <v>67</v>
      </c>
      <c r="AF120">
        <v>85</v>
      </c>
      <c r="AG120">
        <f t="shared" si="4"/>
        <v>4</v>
      </c>
      <c r="AH120" s="5">
        <f t="shared" si="5"/>
        <v>85</v>
      </c>
      <c r="AI120">
        <f t="shared" si="6"/>
        <v>4</v>
      </c>
      <c r="AJ120" t="str">
        <f t="shared" si="7"/>
        <v>JSP_south_P2</v>
      </c>
      <c r="AK120" t="s">
        <v>718</v>
      </c>
    </row>
    <row r="121" spans="1:37" x14ac:dyDescent="0.25">
      <c r="A121">
        <v>120</v>
      </c>
      <c r="B121" t="s">
        <v>291</v>
      </c>
      <c r="C121" t="s">
        <v>346</v>
      </c>
      <c r="D121" t="s">
        <v>347</v>
      </c>
      <c r="E121" t="s">
        <v>34</v>
      </c>
      <c r="F121">
        <v>2017</v>
      </c>
      <c r="G121" t="s">
        <v>44</v>
      </c>
      <c r="H121" t="s">
        <v>76</v>
      </c>
      <c r="I121" t="s">
        <v>107</v>
      </c>
      <c r="J121" t="s">
        <v>38</v>
      </c>
      <c r="K121" t="s">
        <v>77</v>
      </c>
      <c r="L121" t="s">
        <v>77</v>
      </c>
      <c r="M121" s="1">
        <v>42874</v>
      </c>
      <c r="N121">
        <v>47.221559999999997</v>
      </c>
      <c r="O121">
        <v>-122.80979000000001</v>
      </c>
      <c r="P121" t="s">
        <v>40</v>
      </c>
      <c r="Q121" t="s">
        <v>41</v>
      </c>
      <c r="R121">
        <v>-1.6</v>
      </c>
      <c r="S121" t="s">
        <v>64</v>
      </c>
      <c r="T121">
        <v>20</v>
      </c>
      <c r="U121">
        <v>8</v>
      </c>
      <c r="V121">
        <v>160</v>
      </c>
      <c r="W121">
        <v>77.5</v>
      </c>
      <c r="X121">
        <v>29.56</v>
      </c>
      <c r="Y121">
        <v>2956</v>
      </c>
      <c r="Z121">
        <v>24734</v>
      </c>
      <c r="AA121">
        <v>154.58750000000001</v>
      </c>
      <c r="AB121">
        <v>319.148387096774</v>
      </c>
      <c r="AC121" t="s">
        <v>99</v>
      </c>
      <c r="AD121" t="s">
        <v>348</v>
      </c>
      <c r="AE121" t="s">
        <v>67</v>
      </c>
      <c r="AF121">
        <v>86</v>
      </c>
      <c r="AG121">
        <f t="shared" si="4"/>
        <v>4</v>
      </c>
      <c r="AH121" s="5">
        <f t="shared" si="5"/>
        <v>86</v>
      </c>
      <c r="AI121">
        <f t="shared" si="6"/>
        <v>4</v>
      </c>
      <c r="AJ121" t="str">
        <f t="shared" si="7"/>
        <v>JSP_south_P3</v>
      </c>
      <c r="AK121" t="s">
        <v>718</v>
      </c>
    </row>
    <row r="122" spans="1:37" x14ac:dyDescent="0.25">
      <c r="A122">
        <v>121</v>
      </c>
      <c r="B122" t="s">
        <v>291</v>
      </c>
      <c r="C122" t="s">
        <v>349</v>
      </c>
      <c r="D122" t="s">
        <v>347</v>
      </c>
      <c r="E122" t="s">
        <v>34</v>
      </c>
      <c r="F122">
        <v>2017</v>
      </c>
      <c r="G122" t="s">
        <v>44</v>
      </c>
      <c r="H122" t="s">
        <v>76</v>
      </c>
      <c r="I122" t="s">
        <v>107</v>
      </c>
      <c r="J122" t="s">
        <v>38</v>
      </c>
      <c r="K122" t="s">
        <v>77</v>
      </c>
      <c r="L122" t="s">
        <v>69</v>
      </c>
      <c r="M122" s="1">
        <v>42874</v>
      </c>
      <c r="N122" t="s">
        <v>44</v>
      </c>
      <c r="O122" t="s">
        <v>44</v>
      </c>
      <c r="P122" t="s">
        <v>238</v>
      </c>
      <c r="Q122" t="s">
        <v>41</v>
      </c>
      <c r="R122" t="s">
        <v>44</v>
      </c>
      <c r="S122" t="s">
        <v>44</v>
      </c>
      <c r="T122" t="s">
        <v>44</v>
      </c>
      <c r="U122" t="s">
        <v>44</v>
      </c>
      <c r="V122" t="s">
        <v>44</v>
      </c>
      <c r="W122" t="s">
        <v>44</v>
      </c>
      <c r="X122" t="s">
        <v>44</v>
      </c>
      <c r="Y122" t="s">
        <v>44</v>
      </c>
      <c r="Z122" t="s">
        <v>44</v>
      </c>
      <c r="AA122" t="s">
        <v>44</v>
      </c>
      <c r="AB122" t="s">
        <v>44</v>
      </c>
      <c r="AC122" t="s">
        <v>44</v>
      </c>
      <c r="AD122" t="s">
        <v>44</v>
      </c>
      <c r="AE122" t="s">
        <v>67</v>
      </c>
      <c r="AF122">
        <v>86</v>
      </c>
      <c r="AG122">
        <f t="shared" si="4"/>
        <v>4</v>
      </c>
      <c r="AH122" s="5">
        <f t="shared" si="5"/>
        <v>86</v>
      </c>
      <c r="AI122">
        <f t="shared" si="6"/>
        <v>4</v>
      </c>
      <c r="AJ122" t="str">
        <f t="shared" si="7"/>
        <v>JSP_south_P3</v>
      </c>
      <c r="AK122" t="s">
        <v>718</v>
      </c>
    </row>
    <row r="123" spans="1:37" x14ac:dyDescent="0.25">
      <c r="A123">
        <v>122</v>
      </c>
      <c r="B123" t="s">
        <v>291</v>
      </c>
      <c r="C123" t="s">
        <v>350</v>
      </c>
      <c r="D123" t="s">
        <v>347</v>
      </c>
      <c r="E123" t="s">
        <v>34</v>
      </c>
      <c r="F123">
        <v>2017</v>
      </c>
      <c r="G123" t="s">
        <v>44</v>
      </c>
      <c r="H123" t="s">
        <v>76</v>
      </c>
      <c r="I123" t="s">
        <v>107</v>
      </c>
      <c r="J123" t="s">
        <v>38</v>
      </c>
      <c r="K123" t="s">
        <v>77</v>
      </c>
      <c r="L123" t="s">
        <v>69</v>
      </c>
      <c r="M123" s="1">
        <v>42874</v>
      </c>
      <c r="N123">
        <v>47.221760000000003</v>
      </c>
      <c r="O123">
        <v>-122.80991</v>
      </c>
      <c r="P123" t="s">
        <v>238</v>
      </c>
      <c r="Q123" t="s">
        <v>41</v>
      </c>
      <c r="R123" t="s">
        <v>44</v>
      </c>
      <c r="S123" t="s">
        <v>44</v>
      </c>
      <c r="T123" t="s">
        <v>44</v>
      </c>
      <c r="U123" t="s">
        <v>44</v>
      </c>
      <c r="V123" t="s">
        <v>44</v>
      </c>
      <c r="W123" t="s">
        <v>44</v>
      </c>
      <c r="X123" t="s">
        <v>44</v>
      </c>
      <c r="Y123" t="s">
        <v>44</v>
      </c>
      <c r="Z123" t="s">
        <v>44</v>
      </c>
      <c r="AA123" t="s">
        <v>44</v>
      </c>
      <c r="AB123" t="s">
        <v>44</v>
      </c>
      <c r="AC123" t="s">
        <v>44</v>
      </c>
      <c r="AD123" t="s">
        <v>44</v>
      </c>
      <c r="AE123" t="s">
        <v>67</v>
      </c>
      <c r="AF123">
        <v>86</v>
      </c>
      <c r="AG123">
        <f t="shared" si="4"/>
        <v>4</v>
      </c>
      <c r="AH123" s="5">
        <f t="shared" si="5"/>
        <v>86</v>
      </c>
      <c r="AI123">
        <f t="shared" si="6"/>
        <v>4</v>
      </c>
      <c r="AJ123" t="str">
        <f t="shared" si="7"/>
        <v>JSP_south_P3</v>
      </c>
      <c r="AK123" t="s">
        <v>718</v>
      </c>
    </row>
    <row r="124" spans="1:37" x14ac:dyDescent="0.25">
      <c r="A124">
        <v>123</v>
      </c>
      <c r="B124" t="s">
        <v>291</v>
      </c>
      <c r="C124" t="s">
        <v>351</v>
      </c>
      <c r="D124" t="s">
        <v>347</v>
      </c>
      <c r="E124" t="s">
        <v>34</v>
      </c>
      <c r="F124">
        <v>2017</v>
      </c>
      <c r="G124" t="s">
        <v>44</v>
      </c>
      <c r="H124" t="s">
        <v>76</v>
      </c>
      <c r="I124" t="s">
        <v>107</v>
      </c>
      <c r="J124" t="s">
        <v>38</v>
      </c>
      <c r="K124" t="s">
        <v>77</v>
      </c>
      <c r="L124" t="s">
        <v>69</v>
      </c>
      <c r="M124" s="1">
        <v>42874</v>
      </c>
      <c r="N124" t="s">
        <v>44</v>
      </c>
      <c r="O124" t="s">
        <v>44</v>
      </c>
      <c r="P124" t="s">
        <v>238</v>
      </c>
      <c r="Q124" t="s">
        <v>41</v>
      </c>
      <c r="R124" t="s">
        <v>44</v>
      </c>
      <c r="S124" t="s">
        <v>44</v>
      </c>
      <c r="T124" t="s">
        <v>44</v>
      </c>
      <c r="U124" t="s">
        <v>44</v>
      </c>
      <c r="V124" t="s">
        <v>44</v>
      </c>
      <c r="W124" t="s">
        <v>44</v>
      </c>
      <c r="X124" t="s">
        <v>44</v>
      </c>
      <c r="Y124" t="s">
        <v>44</v>
      </c>
      <c r="Z124" t="s">
        <v>44</v>
      </c>
      <c r="AA124" t="s">
        <v>44</v>
      </c>
      <c r="AB124" t="s">
        <v>44</v>
      </c>
      <c r="AC124" t="s">
        <v>44</v>
      </c>
      <c r="AD124" t="s">
        <v>44</v>
      </c>
      <c r="AE124" t="s">
        <v>67</v>
      </c>
      <c r="AF124">
        <v>86</v>
      </c>
      <c r="AG124">
        <f t="shared" si="4"/>
        <v>4</v>
      </c>
      <c r="AH124" s="5">
        <f t="shared" si="5"/>
        <v>86</v>
      </c>
      <c r="AI124">
        <f t="shared" si="6"/>
        <v>4</v>
      </c>
      <c r="AJ124" t="str">
        <f t="shared" si="7"/>
        <v>JSP_south_P3</v>
      </c>
      <c r="AK124" t="s">
        <v>718</v>
      </c>
    </row>
    <row r="125" spans="1:37" x14ac:dyDescent="0.25">
      <c r="A125">
        <v>124</v>
      </c>
      <c r="B125" t="s">
        <v>291</v>
      </c>
      <c r="C125" t="s">
        <v>352</v>
      </c>
      <c r="D125" t="s">
        <v>353</v>
      </c>
      <c r="E125" t="s">
        <v>34</v>
      </c>
      <c r="F125">
        <v>2017</v>
      </c>
      <c r="G125" t="s">
        <v>44</v>
      </c>
      <c r="H125" t="s">
        <v>76</v>
      </c>
      <c r="I125" t="s">
        <v>107</v>
      </c>
      <c r="J125" t="s">
        <v>38</v>
      </c>
      <c r="K125" t="s">
        <v>77</v>
      </c>
      <c r="L125" t="s">
        <v>77</v>
      </c>
      <c r="M125" s="1">
        <v>42877</v>
      </c>
      <c r="N125">
        <v>47.221207525600001</v>
      </c>
      <c r="O125">
        <v>-122.80959413390001</v>
      </c>
      <c r="P125" t="s">
        <v>40</v>
      </c>
      <c r="Q125" t="s">
        <v>41</v>
      </c>
      <c r="R125">
        <v>-1.6</v>
      </c>
      <c r="S125" t="s">
        <v>64</v>
      </c>
      <c r="T125">
        <v>20</v>
      </c>
      <c r="U125">
        <v>8</v>
      </c>
      <c r="V125">
        <v>160</v>
      </c>
      <c r="W125">
        <v>80</v>
      </c>
      <c r="X125">
        <v>26.15</v>
      </c>
      <c r="Y125">
        <v>2615</v>
      </c>
      <c r="Z125">
        <v>26149</v>
      </c>
      <c r="AA125">
        <v>163.43125000000001</v>
      </c>
      <c r="AB125">
        <v>326.86250000000001</v>
      </c>
      <c r="AC125" t="s">
        <v>65</v>
      </c>
      <c r="AD125" t="s">
        <v>354</v>
      </c>
      <c r="AE125" t="s">
        <v>67</v>
      </c>
      <c r="AF125">
        <v>87</v>
      </c>
      <c r="AG125">
        <f t="shared" si="4"/>
        <v>4</v>
      </c>
      <c r="AH125" s="5">
        <f t="shared" si="5"/>
        <v>87</v>
      </c>
      <c r="AI125">
        <f t="shared" si="6"/>
        <v>4</v>
      </c>
      <c r="AJ125" t="str">
        <f t="shared" si="7"/>
        <v>JSP_south_P4</v>
      </c>
      <c r="AK125" t="s">
        <v>718</v>
      </c>
    </row>
    <row r="126" spans="1:37" x14ac:dyDescent="0.25">
      <c r="A126">
        <v>125</v>
      </c>
      <c r="B126" t="s">
        <v>291</v>
      </c>
      <c r="C126" t="s">
        <v>355</v>
      </c>
      <c r="D126" t="s">
        <v>353</v>
      </c>
      <c r="E126" t="s">
        <v>34</v>
      </c>
      <c r="F126">
        <v>2017</v>
      </c>
      <c r="G126" t="s">
        <v>44</v>
      </c>
      <c r="H126" t="s">
        <v>76</v>
      </c>
      <c r="I126" t="s">
        <v>107</v>
      </c>
      <c r="J126" t="s">
        <v>38</v>
      </c>
      <c r="K126" t="s">
        <v>77</v>
      </c>
      <c r="L126" t="s">
        <v>69</v>
      </c>
      <c r="M126" s="1">
        <v>42877</v>
      </c>
      <c r="N126">
        <v>47.221167879200003</v>
      </c>
      <c r="O126">
        <v>-122.8096705768</v>
      </c>
      <c r="P126" t="s">
        <v>238</v>
      </c>
      <c r="Q126" t="s">
        <v>41</v>
      </c>
      <c r="R126" t="s">
        <v>44</v>
      </c>
      <c r="S126" t="s">
        <v>44</v>
      </c>
      <c r="T126" t="s">
        <v>44</v>
      </c>
      <c r="U126" t="s">
        <v>44</v>
      </c>
      <c r="V126" t="s">
        <v>44</v>
      </c>
      <c r="W126" t="s">
        <v>44</v>
      </c>
      <c r="X126" t="s">
        <v>44</v>
      </c>
      <c r="Y126" t="s">
        <v>44</v>
      </c>
      <c r="Z126" t="s">
        <v>44</v>
      </c>
      <c r="AA126" t="s">
        <v>44</v>
      </c>
      <c r="AB126" t="s">
        <v>44</v>
      </c>
      <c r="AC126" t="s">
        <v>44</v>
      </c>
      <c r="AD126" t="s">
        <v>44</v>
      </c>
      <c r="AE126" t="s">
        <v>67</v>
      </c>
      <c r="AF126">
        <v>87</v>
      </c>
      <c r="AG126">
        <f t="shared" si="4"/>
        <v>4</v>
      </c>
      <c r="AH126" s="5">
        <f t="shared" si="5"/>
        <v>87</v>
      </c>
      <c r="AI126">
        <f t="shared" si="6"/>
        <v>4</v>
      </c>
      <c r="AJ126" t="str">
        <f t="shared" si="7"/>
        <v>JSP_south_P4</v>
      </c>
      <c r="AK126" t="s">
        <v>718</v>
      </c>
    </row>
    <row r="127" spans="1:37" x14ac:dyDescent="0.25">
      <c r="A127">
        <v>126</v>
      </c>
      <c r="B127" t="s">
        <v>291</v>
      </c>
      <c r="C127" t="s">
        <v>356</v>
      </c>
      <c r="D127" t="s">
        <v>353</v>
      </c>
      <c r="E127" t="s">
        <v>34</v>
      </c>
      <c r="F127">
        <v>2017</v>
      </c>
      <c r="G127" t="s">
        <v>44</v>
      </c>
      <c r="H127" t="s">
        <v>76</v>
      </c>
      <c r="I127" t="s">
        <v>107</v>
      </c>
      <c r="J127" t="s">
        <v>38</v>
      </c>
      <c r="K127" t="s">
        <v>77</v>
      </c>
      <c r="L127" t="s">
        <v>69</v>
      </c>
      <c r="M127" s="1">
        <v>42877</v>
      </c>
      <c r="N127">
        <v>47.221339999999998</v>
      </c>
      <c r="O127">
        <v>-122.8096</v>
      </c>
      <c r="P127" t="s">
        <v>238</v>
      </c>
      <c r="Q127" t="s">
        <v>41</v>
      </c>
      <c r="R127" t="s">
        <v>44</v>
      </c>
      <c r="S127" t="s">
        <v>44</v>
      </c>
      <c r="T127" t="s">
        <v>44</v>
      </c>
      <c r="U127" t="s">
        <v>44</v>
      </c>
      <c r="V127" t="s">
        <v>44</v>
      </c>
      <c r="W127" t="s">
        <v>44</v>
      </c>
      <c r="X127" t="s">
        <v>44</v>
      </c>
      <c r="Y127" t="s">
        <v>44</v>
      </c>
      <c r="Z127" t="s">
        <v>44</v>
      </c>
      <c r="AA127" t="s">
        <v>44</v>
      </c>
      <c r="AB127" t="s">
        <v>44</v>
      </c>
      <c r="AC127" t="s">
        <v>44</v>
      </c>
      <c r="AD127" t="s">
        <v>44</v>
      </c>
      <c r="AE127" t="s">
        <v>67</v>
      </c>
      <c r="AF127">
        <v>87</v>
      </c>
      <c r="AG127">
        <f t="shared" si="4"/>
        <v>4</v>
      </c>
      <c r="AH127" s="5">
        <f t="shared" si="5"/>
        <v>87</v>
      </c>
      <c r="AI127">
        <f t="shared" si="6"/>
        <v>4</v>
      </c>
      <c r="AJ127" t="str">
        <f t="shared" si="7"/>
        <v>JSP_south_P4</v>
      </c>
      <c r="AK127" t="s">
        <v>718</v>
      </c>
    </row>
    <row r="128" spans="1:37" x14ac:dyDescent="0.25">
      <c r="A128">
        <v>127</v>
      </c>
      <c r="B128" t="s">
        <v>291</v>
      </c>
      <c r="C128" t="s">
        <v>357</v>
      </c>
      <c r="D128" t="s">
        <v>353</v>
      </c>
      <c r="E128" t="s">
        <v>34</v>
      </c>
      <c r="F128">
        <v>2017</v>
      </c>
      <c r="G128" t="s">
        <v>44</v>
      </c>
      <c r="H128" t="s">
        <v>76</v>
      </c>
      <c r="I128" t="s">
        <v>107</v>
      </c>
      <c r="J128" t="s">
        <v>38</v>
      </c>
      <c r="K128" t="s">
        <v>77</v>
      </c>
      <c r="L128" t="s">
        <v>69</v>
      </c>
      <c r="M128" s="1">
        <v>42877</v>
      </c>
      <c r="N128" t="s">
        <v>44</v>
      </c>
      <c r="O128" t="s">
        <v>44</v>
      </c>
      <c r="P128" t="s">
        <v>238</v>
      </c>
      <c r="Q128" t="s">
        <v>41</v>
      </c>
      <c r="R128" t="s">
        <v>44</v>
      </c>
      <c r="S128" t="s">
        <v>44</v>
      </c>
      <c r="T128" t="s">
        <v>44</v>
      </c>
      <c r="U128" t="s">
        <v>44</v>
      </c>
      <c r="V128" t="s">
        <v>44</v>
      </c>
      <c r="W128" t="s">
        <v>44</v>
      </c>
      <c r="X128" t="s">
        <v>44</v>
      </c>
      <c r="Y128" t="s">
        <v>44</v>
      </c>
      <c r="Z128" t="s">
        <v>44</v>
      </c>
      <c r="AA128" t="s">
        <v>44</v>
      </c>
      <c r="AB128" t="s">
        <v>44</v>
      </c>
      <c r="AC128" t="s">
        <v>44</v>
      </c>
      <c r="AD128" t="s">
        <v>44</v>
      </c>
      <c r="AE128" t="s">
        <v>67</v>
      </c>
      <c r="AF128">
        <v>87</v>
      </c>
      <c r="AG128">
        <f t="shared" si="4"/>
        <v>4</v>
      </c>
      <c r="AH128" s="5">
        <f t="shared" si="5"/>
        <v>87</v>
      </c>
      <c r="AI128">
        <f t="shared" si="6"/>
        <v>4</v>
      </c>
      <c r="AJ128" t="str">
        <f t="shared" si="7"/>
        <v>JSP_south_P4</v>
      </c>
      <c r="AK128" t="s">
        <v>718</v>
      </c>
    </row>
    <row r="129" spans="1:37" x14ac:dyDescent="0.25">
      <c r="A129">
        <v>128</v>
      </c>
      <c r="B129" t="s">
        <v>291</v>
      </c>
      <c r="C129" t="s">
        <v>358</v>
      </c>
      <c r="D129" t="s">
        <v>359</v>
      </c>
      <c r="E129" t="s">
        <v>34</v>
      </c>
      <c r="F129">
        <v>2017</v>
      </c>
      <c r="G129" t="s">
        <v>44</v>
      </c>
      <c r="H129" t="s">
        <v>36</v>
      </c>
      <c r="I129" t="s">
        <v>107</v>
      </c>
      <c r="J129" t="s">
        <v>38</v>
      </c>
      <c r="K129" t="s">
        <v>39</v>
      </c>
      <c r="L129" t="s">
        <v>39</v>
      </c>
      <c r="M129" s="1">
        <v>42880</v>
      </c>
      <c r="N129">
        <v>47.222461000000003</v>
      </c>
      <c r="O129">
        <v>-122.810239</v>
      </c>
      <c r="P129" t="s">
        <v>40</v>
      </c>
      <c r="Q129" t="s">
        <v>41</v>
      </c>
      <c r="R129">
        <v>-1.1499999999999999</v>
      </c>
      <c r="S129" t="s">
        <v>42</v>
      </c>
      <c r="T129">
        <v>1</v>
      </c>
      <c r="U129">
        <v>1</v>
      </c>
      <c r="V129">
        <v>1</v>
      </c>
      <c r="W129">
        <v>8.0000000000000002E-3</v>
      </c>
      <c r="X129">
        <v>1.4999999999999999E-2</v>
      </c>
      <c r="Y129">
        <v>3</v>
      </c>
      <c r="Z129">
        <v>12</v>
      </c>
      <c r="AA129">
        <v>12</v>
      </c>
      <c r="AB129">
        <v>1500</v>
      </c>
      <c r="AC129" t="s">
        <v>99</v>
      </c>
      <c r="AD129" t="s">
        <v>360</v>
      </c>
      <c r="AE129" t="s">
        <v>361</v>
      </c>
      <c r="AF129">
        <v>88</v>
      </c>
      <c r="AG129">
        <f t="shared" si="4"/>
        <v>12</v>
      </c>
      <c r="AH129" s="5">
        <f t="shared" si="5"/>
        <v>88</v>
      </c>
      <c r="AI129">
        <f t="shared" si="6"/>
        <v>2</v>
      </c>
      <c r="AJ129" t="str">
        <f t="shared" si="7"/>
        <v>JSP_mid_AG1</v>
      </c>
      <c r="AK129" t="s">
        <v>718</v>
      </c>
    </row>
    <row r="130" spans="1:37" x14ac:dyDescent="0.25">
      <c r="A130">
        <v>129</v>
      </c>
      <c r="B130" t="s">
        <v>291</v>
      </c>
      <c r="C130" t="s">
        <v>362</v>
      </c>
      <c r="D130" t="s">
        <v>363</v>
      </c>
      <c r="E130" t="s">
        <v>34</v>
      </c>
      <c r="F130">
        <v>2017</v>
      </c>
      <c r="G130" t="s">
        <v>44</v>
      </c>
      <c r="H130" t="s">
        <v>36</v>
      </c>
      <c r="I130" t="s">
        <v>107</v>
      </c>
      <c r="J130" t="s">
        <v>38</v>
      </c>
      <c r="K130" t="s">
        <v>39</v>
      </c>
      <c r="L130" t="s">
        <v>69</v>
      </c>
      <c r="M130" s="1">
        <v>42880</v>
      </c>
      <c r="N130">
        <v>47.222489000000003</v>
      </c>
      <c r="O130">
        <v>-122.81026199999999</v>
      </c>
      <c r="P130" t="s">
        <v>40</v>
      </c>
      <c r="Q130" t="s">
        <v>41</v>
      </c>
      <c r="R130" t="s">
        <v>44</v>
      </c>
      <c r="S130" t="s">
        <v>42</v>
      </c>
      <c r="T130">
        <v>1</v>
      </c>
      <c r="U130">
        <v>1</v>
      </c>
      <c r="V130">
        <v>1</v>
      </c>
      <c r="W130">
        <v>8.0000000000000002E-3</v>
      </c>
      <c r="X130">
        <v>1.4999999999999999E-2</v>
      </c>
      <c r="Y130">
        <v>3</v>
      </c>
      <c r="Z130">
        <v>12</v>
      </c>
      <c r="AA130">
        <v>12</v>
      </c>
      <c r="AB130">
        <v>1500</v>
      </c>
      <c r="AC130" t="s">
        <v>99</v>
      </c>
      <c r="AD130" t="s">
        <v>360</v>
      </c>
      <c r="AE130" t="s">
        <v>361</v>
      </c>
      <c r="AF130">
        <v>88</v>
      </c>
      <c r="AG130">
        <f t="shared" si="4"/>
        <v>12</v>
      </c>
      <c r="AH130" s="5">
        <f t="shared" si="5"/>
        <v>88</v>
      </c>
      <c r="AI130">
        <f t="shared" si="6"/>
        <v>2</v>
      </c>
      <c r="AJ130" t="str">
        <f t="shared" si="7"/>
        <v>JSP_mid_BG1</v>
      </c>
      <c r="AK130" t="s">
        <v>718</v>
      </c>
    </row>
    <row r="131" spans="1:37" x14ac:dyDescent="0.25">
      <c r="A131">
        <v>130</v>
      </c>
      <c r="B131" t="s">
        <v>291</v>
      </c>
      <c r="C131" t="s">
        <v>364</v>
      </c>
      <c r="D131" t="s">
        <v>365</v>
      </c>
      <c r="E131" t="s">
        <v>34</v>
      </c>
      <c r="F131">
        <v>2017</v>
      </c>
      <c r="G131" t="s">
        <v>44</v>
      </c>
      <c r="H131" t="s">
        <v>36</v>
      </c>
      <c r="I131" t="s">
        <v>107</v>
      </c>
      <c r="J131" t="s">
        <v>38</v>
      </c>
      <c r="K131" t="s">
        <v>39</v>
      </c>
      <c r="L131" t="s">
        <v>69</v>
      </c>
      <c r="M131" s="1">
        <v>42880</v>
      </c>
      <c r="N131">
        <v>47.222512000000002</v>
      </c>
      <c r="O131">
        <v>-122.810267</v>
      </c>
      <c r="P131" t="s">
        <v>40</v>
      </c>
      <c r="Q131" t="s">
        <v>41</v>
      </c>
      <c r="R131" t="s">
        <v>44</v>
      </c>
      <c r="S131" t="s">
        <v>42</v>
      </c>
      <c r="T131">
        <v>1</v>
      </c>
      <c r="U131">
        <v>1</v>
      </c>
      <c r="V131">
        <v>1</v>
      </c>
      <c r="W131">
        <v>8.0000000000000002E-3</v>
      </c>
      <c r="X131">
        <v>1.4999999999999999E-2</v>
      </c>
      <c r="Y131">
        <v>3</v>
      </c>
      <c r="Z131">
        <v>12</v>
      </c>
      <c r="AA131">
        <v>12</v>
      </c>
      <c r="AB131">
        <v>1500</v>
      </c>
      <c r="AC131" t="s">
        <v>99</v>
      </c>
      <c r="AD131" t="s">
        <v>360</v>
      </c>
      <c r="AE131" t="s">
        <v>361</v>
      </c>
      <c r="AF131">
        <v>88</v>
      </c>
      <c r="AG131">
        <f t="shared" ref="AG131:AG194" si="8">COUNTIF(AF:AF,AF131)</f>
        <v>12</v>
      </c>
      <c r="AH131" s="5">
        <f t="shared" ref="AH131:AH194" si="9">IF(AG131&gt;1,AF131,"")</f>
        <v>88</v>
      </c>
      <c r="AI131">
        <f t="shared" ref="AI131:AI194" si="10">COUNTIF(D:D,D131)</f>
        <v>2</v>
      </c>
      <c r="AJ131" t="str">
        <f t="shared" ref="AJ131:AJ194" si="11">IF(AI131&gt;1,D131,"")</f>
        <v>JSP_mid_C1</v>
      </c>
      <c r="AK131" t="s">
        <v>718</v>
      </c>
    </row>
    <row r="132" spans="1:37" x14ac:dyDescent="0.25">
      <c r="A132">
        <v>131</v>
      </c>
      <c r="B132" t="s">
        <v>291</v>
      </c>
      <c r="C132" t="s">
        <v>366</v>
      </c>
      <c r="D132" t="s">
        <v>367</v>
      </c>
      <c r="E132" t="s">
        <v>34</v>
      </c>
      <c r="F132">
        <v>2017</v>
      </c>
      <c r="G132" t="s">
        <v>44</v>
      </c>
      <c r="H132" t="s">
        <v>36</v>
      </c>
      <c r="I132" t="s">
        <v>107</v>
      </c>
      <c r="J132" t="s">
        <v>38</v>
      </c>
      <c r="K132" t="s">
        <v>39</v>
      </c>
      <c r="L132" t="s">
        <v>69</v>
      </c>
      <c r="M132" s="1">
        <v>42880</v>
      </c>
      <c r="N132">
        <v>47.222541999999997</v>
      </c>
      <c r="O132">
        <v>-122.81027899999999</v>
      </c>
      <c r="P132" t="s">
        <v>40</v>
      </c>
      <c r="Q132" t="s">
        <v>41</v>
      </c>
      <c r="R132" t="s">
        <v>44</v>
      </c>
      <c r="S132" t="s">
        <v>42</v>
      </c>
      <c r="T132">
        <v>1</v>
      </c>
      <c r="U132">
        <v>1</v>
      </c>
      <c r="V132">
        <v>1</v>
      </c>
      <c r="W132">
        <v>8.0000000000000002E-3</v>
      </c>
      <c r="X132">
        <v>1.4999999999999999E-2</v>
      </c>
      <c r="Y132">
        <v>3</v>
      </c>
      <c r="Z132">
        <v>12</v>
      </c>
      <c r="AA132">
        <v>12</v>
      </c>
      <c r="AB132">
        <v>1500</v>
      </c>
      <c r="AC132" t="s">
        <v>99</v>
      </c>
      <c r="AD132" t="s">
        <v>360</v>
      </c>
      <c r="AE132" t="s">
        <v>361</v>
      </c>
      <c r="AF132">
        <v>88</v>
      </c>
      <c r="AG132">
        <f t="shared" si="8"/>
        <v>12</v>
      </c>
      <c r="AH132" s="5">
        <f t="shared" si="9"/>
        <v>88</v>
      </c>
      <c r="AI132">
        <f t="shared" si="10"/>
        <v>2</v>
      </c>
      <c r="AJ132" t="str">
        <f t="shared" si="11"/>
        <v>JSP_mid_AG2</v>
      </c>
      <c r="AK132" t="s">
        <v>718</v>
      </c>
    </row>
    <row r="133" spans="1:37" x14ac:dyDescent="0.25">
      <c r="A133">
        <v>132</v>
      </c>
      <c r="B133" t="s">
        <v>291</v>
      </c>
      <c r="C133" t="s">
        <v>368</v>
      </c>
      <c r="D133" t="s">
        <v>369</v>
      </c>
      <c r="E133" t="s">
        <v>34</v>
      </c>
      <c r="F133">
        <v>2017</v>
      </c>
      <c r="G133" t="s">
        <v>44</v>
      </c>
      <c r="H133" t="s">
        <v>36</v>
      </c>
      <c r="I133" t="s">
        <v>107</v>
      </c>
      <c r="J133" t="s">
        <v>38</v>
      </c>
      <c r="K133" t="s">
        <v>39</v>
      </c>
      <c r="L133" t="s">
        <v>69</v>
      </c>
      <c r="M133" s="1">
        <v>42880</v>
      </c>
      <c r="N133">
        <v>47.222552</v>
      </c>
      <c r="O133">
        <v>-122.810293</v>
      </c>
      <c r="P133" t="s">
        <v>40</v>
      </c>
      <c r="Q133" t="s">
        <v>41</v>
      </c>
      <c r="R133" t="s">
        <v>44</v>
      </c>
      <c r="S133" t="s">
        <v>42</v>
      </c>
      <c r="T133">
        <v>1</v>
      </c>
      <c r="U133">
        <v>1</v>
      </c>
      <c r="V133">
        <v>1</v>
      </c>
      <c r="W133">
        <v>8.0000000000000002E-3</v>
      </c>
      <c r="X133">
        <v>1.4999999999999999E-2</v>
      </c>
      <c r="Y133">
        <v>3</v>
      </c>
      <c r="Z133">
        <v>12</v>
      </c>
      <c r="AA133">
        <v>12</v>
      </c>
      <c r="AB133">
        <v>1500</v>
      </c>
      <c r="AC133" t="s">
        <v>99</v>
      </c>
      <c r="AD133" t="s">
        <v>360</v>
      </c>
      <c r="AE133" t="s">
        <v>361</v>
      </c>
      <c r="AF133">
        <v>88</v>
      </c>
      <c r="AG133">
        <f t="shared" si="8"/>
        <v>12</v>
      </c>
      <c r="AH133" s="5">
        <f t="shared" si="9"/>
        <v>88</v>
      </c>
      <c r="AI133">
        <f t="shared" si="10"/>
        <v>2</v>
      </c>
      <c r="AJ133" t="str">
        <f t="shared" si="11"/>
        <v>JSP_mid_C2</v>
      </c>
      <c r="AK133" t="s">
        <v>718</v>
      </c>
    </row>
    <row r="134" spans="1:37" x14ac:dyDescent="0.25">
      <c r="A134">
        <v>133</v>
      </c>
      <c r="B134" t="s">
        <v>291</v>
      </c>
      <c r="C134" t="s">
        <v>370</v>
      </c>
      <c r="D134" t="s">
        <v>371</v>
      </c>
      <c r="E134" t="s">
        <v>34</v>
      </c>
      <c r="F134">
        <v>2017</v>
      </c>
      <c r="G134" t="s">
        <v>44</v>
      </c>
      <c r="H134" t="s">
        <v>36</v>
      </c>
      <c r="I134" t="s">
        <v>107</v>
      </c>
      <c r="J134" t="s">
        <v>38</v>
      </c>
      <c r="K134" t="s">
        <v>39</v>
      </c>
      <c r="L134" t="s">
        <v>69</v>
      </c>
      <c r="M134" s="1">
        <v>42880</v>
      </c>
      <c r="N134">
        <v>47.222596000000003</v>
      </c>
      <c r="O134">
        <v>-122.810309</v>
      </c>
      <c r="P134" t="s">
        <v>40</v>
      </c>
      <c r="Q134" t="s">
        <v>41</v>
      </c>
      <c r="R134" t="s">
        <v>44</v>
      </c>
      <c r="S134" t="s">
        <v>42</v>
      </c>
      <c r="T134">
        <v>1</v>
      </c>
      <c r="U134">
        <v>1</v>
      </c>
      <c r="V134">
        <v>1</v>
      </c>
      <c r="W134">
        <v>8.0000000000000002E-3</v>
      </c>
      <c r="X134">
        <v>1.4999999999999999E-2</v>
      </c>
      <c r="Y134">
        <v>3</v>
      </c>
      <c r="Z134">
        <v>12</v>
      </c>
      <c r="AA134">
        <v>12</v>
      </c>
      <c r="AB134">
        <v>1500</v>
      </c>
      <c r="AC134" t="s">
        <v>99</v>
      </c>
      <c r="AD134" t="s">
        <v>360</v>
      </c>
      <c r="AE134" t="s">
        <v>361</v>
      </c>
      <c r="AF134">
        <v>88</v>
      </c>
      <c r="AG134">
        <f t="shared" si="8"/>
        <v>12</v>
      </c>
      <c r="AH134" s="5">
        <f t="shared" si="9"/>
        <v>88</v>
      </c>
      <c r="AI134">
        <f t="shared" si="10"/>
        <v>2</v>
      </c>
      <c r="AJ134" t="str">
        <f t="shared" si="11"/>
        <v>JSP_mid_BG2</v>
      </c>
      <c r="AK134" t="s">
        <v>718</v>
      </c>
    </row>
    <row r="135" spans="1:37" x14ac:dyDescent="0.25">
      <c r="A135">
        <v>134</v>
      </c>
      <c r="B135" t="s">
        <v>291</v>
      </c>
      <c r="C135" t="s">
        <v>372</v>
      </c>
      <c r="D135" t="s">
        <v>373</v>
      </c>
      <c r="E135" t="s">
        <v>34</v>
      </c>
      <c r="F135">
        <v>2017</v>
      </c>
      <c r="G135" t="s">
        <v>44</v>
      </c>
      <c r="H135" t="s">
        <v>36</v>
      </c>
      <c r="I135" t="s">
        <v>107</v>
      </c>
      <c r="J135" t="s">
        <v>38</v>
      </c>
      <c r="K135" t="s">
        <v>39</v>
      </c>
      <c r="L135" t="s">
        <v>69</v>
      </c>
      <c r="M135" s="1">
        <v>42880</v>
      </c>
      <c r="N135">
        <v>47.222611999999998</v>
      </c>
      <c r="O135">
        <v>-122.810312</v>
      </c>
      <c r="P135" t="s">
        <v>40</v>
      </c>
      <c r="Q135" t="s">
        <v>41</v>
      </c>
      <c r="R135" t="s">
        <v>44</v>
      </c>
      <c r="S135" t="s">
        <v>42</v>
      </c>
      <c r="T135">
        <v>1</v>
      </c>
      <c r="U135">
        <v>1</v>
      </c>
      <c r="V135">
        <v>1</v>
      </c>
      <c r="W135">
        <v>8.0000000000000002E-3</v>
      </c>
      <c r="X135">
        <v>1.4999999999999999E-2</v>
      </c>
      <c r="Y135">
        <v>3</v>
      </c>
      <c r="Z135">
        <v>12</v>
      </c>
      <c r="AA135">
        <v>12</v>
      </c>
      <c r="AB135">
        <v>1500</v>
      </c>
      <c r="AC135" t="s">
        <v>99</v>
      </c>
      <c r="AD135" t="s">
        <v>360</v>
      </c>
      <c r="AE135" t="s">
        <v>361</v>
      </c>
      <c r="AF135">
        <v>88</v>
      </c>
      <c r="AG135">
        <f t="shared" si="8"/>
        <v>12</v>
      </c>
      <c r="AH135" s="5">
        <f t="shared" si="9"/>
        <v>88</v>
      </c>
      <c r="AI135">
        <f t="shared" si="10"/>
        <v>2</v>
      </c>
      <c r="AJ135" t="str">
        <f t="shared" si="11"/>
        <v>JSP_mid_C3</v>
      </c>
      <c r="AK135" t="s">
        <v>718</v>
      </c>
    </row>
    <row r="136" spans="1:37" x14ac:dyDescent="0.25">
      <c r="A136">
        <v>135</v>
      </c>
      <c r="B136" t="s">
        <v>291</v>
      </c>
      <c r="C136" t="s">
        <v>374</v>
      </c>
      <c r="D136" t="s">
        <v>375</v>
      </c>
      <c r="E136" t="s">
        <v>34</v>
      </c>
      <c r="F136">
        <v>2017</v>
      </c>
      <c r="G136" t="s">
        <v>44</v>
      </c>
      <c r="H136" t="s">
        <v>36</v>
      </c>
      <c r="I136" t="s">
        <v>107</v>
      </c>
      <c r="J136" t="s">
        <v>38</v>
      </c>
      <c r="K136" t="s">
        <v>39</v>
      </c>
      <c r="L136" t="s">
        <v>69</v>
      </c>
      <c r="M136" s="1">
        <v>42880</v>
      </c>
      <c r="N136">
        <v>47.222638000000003</v>
      </c>
      <c r="O136">
        <v>-122.810339</v>
      </c>
      <c r="P136" t="s">
        <v>40</v>
      </c>
      <c r="Q136" t="s">
        <v>41</v>
      </c>
      <c r="R136" t="s">
        <v>44</v>
      </c>
      <c r="S136" t="s">
        <v>42</v>
      </c>
      <c r="T136">
        <v>1</v>
      </c>
      <c r="U136">
        <v>1</v>
      </c>
      <c r="V136">
        <v>1</v>
      </c>
      <c r="W136">
        <v>8.0000000000000002E-3</v>
      </c>
      <c r="X136">
        <v>1.4999999999999999E-2</v>
      </c>
      <c r="Y136">
        <v>3</v>
      </c>
      <c r="Z136">
        <v>12</v>
      </c>
      <c r="AA136">
        <v>12</v>
      </c>
      <c r="AB136">
        <v>1500</v>
      </c>
      <c r="AC136" t="s">
        <v>99</v>
      </c>
      <c r="AD136" t="s">
        <v>360</v>
      </c>
      <c r="AE136" t="s">
        <v>361</v>
      </c>
      <c r="AF136">
        <v>88</v>
      </c>
      <c r="AG136">
        <f t="shared" si="8"/>
        <v>12</v>
      </c>
      <c r="AH136" s="5">
        <f t="shared" si="9"/>
        <v>88</v>
      </c>
      <c r="AI136">
        <f t="shared" si="10"/>
        <v>2</v>
      </c>
      <c r="AJ136" t="str">
        <f t="shared" si="11"/>
        <v>JSP_mid_BG3</v>
      </c>
      <c r="AK136" t="s">
        <v>718</v>
      </c>
    </row>
    <row r="137" spans="1:37" x14ac:dyDescent="0.25">
      <c r="A137">
        <v>136</v>
      </c>
      <c r="B137" t="s">
        <v>291</v>
      </c>
      <c r="C137" t="s">
        <v>376</v>
      </c>
      <c r="D137" t="s">
        <v>377</v>
      </c>
      <c r="E137" t="s">
        <v>34</v>
      </c>
      <c r="F137">
        <v>2017</v>
      </c>
      <c r="G137" t="s">
        <v>44</v>
      </c>
      <c r="H137" t="s">
        <v>36</v>
      </c>
      <c r="I137" t="s">
        <v>107</v>
      </c>
      <c r="J137" t="s">
        <v>38</v>
      </c>
      <c r="K137" t="s">
        <v>39</v>
      </c>
      <c r="L137" t="s">
        <v>69</v>
      </c>
      <c r="M137" s="1">
        <v>42880</v>
      </c>
      <c r="N137">
        <v>47.222720000000002</v>
      </c>
      <c r="O137">
        <v>-122.81038599999999</v>
      </c>
      <c r="P137" t="s">
        <v>40</v>
      </c>
      <c r="Q137" t="s">
        <v>41</v>
      </c>
      <c r="R137" t="s">
        <v>44</v>
      </c>
      <c r="S137" t="s">
        <v>42</v>
      </c>
      <c r="T137">
        <v>1</v>
      </c>
      <c r="U137">
        <v>1</v>
      </c>
      <c r="V137">
        <v>1</v>
      </c>
      <c r="W137">
        <v>8.0000000000000002E-3</v>
      </c>
      <c r="X137">
        <v>1.4999999999999999E-2</v>
      </c>
      <c r="Y137">
        <v>3</v>
      </c>
      <c r="Z137">
        <v>12</v>
      </c>
      <c r="AA137">
        <v>12</v>
      </c>
      <c r="AB137">
        <v>1500</v>
      </c>
      <c r="AC137" t="s">
        <v>99</v>
      </c>
      <c r="AD137" t="s">
        <v>360</v>
      </c>
      <c r="AE137" t="s">
        <v>361</v>
      </c>
      <c r="AF137">
        <v>88</v>
      </c>
      <c r="AG137">
        <f t="shared" si="8"/>
        <v>12</v>
      </c>
      <c r="AH137" s="5">
        <f t="shared" si="9"/>
        <v>88</v>
      </c>
      <c r="AI137">
        <f t="shared" si="10"/>
        <v>2</v>
      </c>
      <c r="AJ137" t="str">
        <f t="shared" si="11"/>
        <v>JSP_mid_C4</v>
      </c>
      <c r="AK137" t="s">
        <v>718</v>
      </c>
    </row>
    <row r="138" spans="1:37" x14ac:dyDescent="0.25">
      <c r="A138">
        <v>137</v>
      </c>
      <c r="B138" t="s">
        <v>291</v>
      </c>
      <c r="C138" t="s">
        <v>378</v>
      </c>
      <c r="D138" t="s">
        <v>379</v>
      </c>
      <c r="E138" t="s">
        <v>34</v>
      </c>
      <c r="F138">
        <v>2017</v>
      </c>
      <c r="G138" t="s">
        <v>44</v>
      </c>
      <c r="H138" t="s">
        <v>36</v>
      </c>
      <c r="I138" t="s">
        <v>107</v>
      </c>
      <c r="J138" t="s">
        <v>38</v>
      </c>
      <c r="K138" t="s">
        <v>39</v>
      </c>
      <c r="L138" t="s">
        <v>69</v>
      </c>
      <c r="M138" s="1">
        <v>42880</v>
      </c>
      <c r="N138">
        <v>47.222659</v>
      </c>
      <c r="O138">
        <v>-122.810361</v>
      </c>
      <c r="P138" t="s">
        <v>40</v>
      </c>
      <c r="Q138" t="s">
        <v>41</v>
      </c>
      <c r="R138" t="s">
        <v>44</v>
      </c>
      <c r="S138" t="s">
        <v>42</v>
      </c>
      <c r="T138">
        <v>1</v>
      </c>
      <c r="U138">
        <v>1</v>
      </c>
      <c r="V138">
        <v>1</v>
      </c>
      <c r="W138">
        <v>8.0000000000000002E-3</v>
      </c>
      <c r="X138">
        <v>1.4999999999999999E-2</v>
      </c>
      <c r="Y138">
        <v>3</v>
      </c>
      <c r="Z138">
        <v>12</v>
      </c>
      <c r="AA138">
        <v>12</v>
      </c>
      <c r="AB138">
        <v>1500</v>
      </c>
      <c r="AC138" t="s">
        <v>99</v>
      </c>
      <c r="AD138" t="s">
        <v>360</v>
      </c>
      <c r="AE138" t="s">
        <v>361</v>
      </c>
      <c r="AF138">
        <v>88</v>
      </c>
      <c r="AG138">
        <f t="shared" si="8"/>
        <v>12</v>
      </c>
      <c r="AH138" s="5">
        <f t="shared" si="9"/>
        <v>88</v>
      </c>
      <c r="AI138">
        <f t="shared" si="10"/>
        <v>2</v>
      </c>
      <c r="AJ138" t="str">
        <f t="shared" si="11"/>
        <v>JSP_mid_BG4</v>
      </c>
      <c r="AK138" t="s">
        <v>718</v>
      </c>
    </row>
    <row r="139" spans="1:37" x14ac:dyDescent="0.25">
      <c r="A139">
        <v>138</v>
      </c>
      <c r="B139" t="s">
        <v>291</v>
      </c>
      <c r="C139" t="s">
        <v>380</v>
      </c>
      <c r="D139" t="s">
        <v>381</v>
      </c>
      <c r="E139" t="s">
        <v>34</v>
      </c>
      <c r="F139">
        <v>2017</v>
      </c>
      <c r="G139" t="s">
        <v>44</v>
      </c>
      <c r="H139" t="s">
        <v>36</v>
      </c>
      <c r="I139" t="s">
        <v>107</v>
      </c>
      <c r="J139" t="s">
        <v>38</v>
      </c>
      <c r="K139" t="s">
        <v>39</v>
      </c>
      <c r="L139" t="s">
        <v>69</v>
      </c>
      <c r="M139" s="1">
        <v>42880</v>
      </c>
      <c r="N139">
        <v>47.222687999999998</v>
      </c>
      <c r="O139">
        <v>-122.810372</v>
      </c>
      <c r="P139" t="s">
        <v>40</v>
      </c>
      <c r="Q139" t="s">
        <v>41</v>
      </c>
      <c r="R139" t="s">
        <v>44</v>
      </c>
      <c r="S139" t="s">
        <v>42</v>
      </c>
      <c r="T139">
        <v>1</v>
      </c>
      <c r="U139">
        <v>1</v>
      </c>
      <c r="V139">
        <v>1</v>
      </c>
      <c r="W139">
        <v>8.0000000000000002E-3</v>
      </c>
      <c r="X139">
        <v>1.4999999999999999E-2</v>
      </c>
      <c r="Y139">
        <v>3</v>
      </c>
      <c r="Z139">
        <v>12</v>
      </c>
      <c r="AA139">
        <v>12</v>
      </c>
      <c r="AB139">
        <v>1500</v>
      </c>
      <c r="AC139" t="s">
        <v>99</v>
      </c>
      <c r="AD139" t="s">
        <v>360</v>
      </c>
      <c r="AE139" t="s">
        <v>361</v>
      </c>
      <c r="AF139">
        <v>88</v>
      </c>
      <c r="AG139">
        <f t="shared" si="8"/>
        <v>12</v>
      </c>
      <c r="AH139" s="5">
        <f t="shared" si="9"/>
        <v>88</v>
      </c>
      <c r="AI139">
        <f t="shared" si="10"/>
        <v>2</v>
      </c>
      <c r="AJ139" t="str">
        <f t="shared" si="11"/>
        <v>JSP_mid_AG3</v>
      </c>
      <c r="AK139" t="s">
        <v>718</v>
      </c>
    </row>
    <row r="140" spans="1:37" x14ac:dyDescent="0.25">
      <c r="A140">
        <v>139</v>
      </c>
      <c r="B140" t="s">
        <v>291</v>
      </c>
      <c r="C140" t="s">
        <v>382</v>
      </c>
      <c r="D140" t="s">
        <v>383</v>
      </c>
      <c r="E140" t="s">
        <v>34</v>
      </c>
      <c r="F140">
        <v>2017</v>
      </c>
      <c r="G140" t="s">
        <v>44</v>
      </c>
      <c r="H140" t="s">
        <v>36</v>
      </c>
      <c r="I140" t="s">
        <v>107</v>
      </c>
      <c r="J140" t="s">
        <v>38</v>
      </c>
      <c r="K140" t="s">
        <v>39</v>
      </c>
      <c r="L140" t="s">
        <v>69</v>
      </c>
      <c r="M140" s="1">
        <v>42880</v>
      </c>
      <c r="N140">
        <v>47.222732999999998</v>
      </c>
      <c r="O140">
        <v>-122.8104</v>
      </c>
      <c r="P140" t="s">
        <v>40</v>
      </c>
      <c r="Q140" t="s">
        <v>41</v>
      </c>
      <c r="R140" t="s">
        <v>44</v>
      </c>
      <c r="S140" t="s">
        <v>42</v>
      </c>
      <c r="T140">
        <v>1</v>
      </c>
      <c r="U140">
        <v>1</v>
      </c>
      <c r="V140">
        <v>1</v>
      </c>
      <c r="W140">
        <v>8.0000000000000002E-3</v>
      </c>
      <c r="X140">
        <v>1.4999999999999999E-2</v>
      </c>
      <c r="Y140">
        <v>3</v>
      </c>
      <c r="Z140">
        <v>12</v>
      </c>
      <c r="AA140">
        <v>12</v>
      </c>
      <c r="AB140">
        <v>1500</v>
      </c>
      <c r="AC140" t="s">
        <v>99</v>
      </c>
      <c r="AD140" t="s">
        <v>360</v>
      </c>
      <c r="AE140" t="s">
        <v>361</v>
      </c>
      <c r="AF140">
        <v>88</v>
      </c>
      <c r="AG140">
        <f t="shared" si="8"/>
        <v>12</v>
      </c>
      <c r="AH140" s="5">
        <f t="shared" si="9"/>
        <v>88</v>
      </c>
      <c r="AI140">
        <f t="shared" si="10"/>
        <v>2</v>
      </c>
      <c r="AJ140" t="str">
        <f t="shared" si="11"/>
        <v>JSP_mid_AG4</v>
      </c>
      <c r="AK140" t="s">
        <v>718</v>
      </c>
    </row>
    <row r="141" spans="1:37" x14ac:dyDescent="0.25">
      <c r="A141">
        <v>140</v>
      </c>
      <c r="B141" t="s">
        <v>291</v>
      </c>
      <c r="C141" t="s">
        <v>384</v>
      </c>
      <c r="D141" t="s">
        <v>385</v>
      </c>
      <c r="E141" t="s">
        <v>34</v>
      </c>
      <c r="F141">
        <v>2017</v>
      </c>
      <c r="G141" t="s">
        <v>44</v>
      </c>
      <c r="H141" t="s">
        <v>76</v>
      </c>
      <c r="I141" t="s">
        <v>107</v>
      </c>
      <c r="J141" t="s">
        <v>38</v>
      </c>
      <c r="K141" t="s">
        <v>39</v>
      </c>
      <c r="L141" t="s">
        <v>39</v>
      </c>
      <c r="M141" s="1">
        <v>42881</v>
      </c>
      <c r="N141">
        <v>47.226010000000002</v>
      </c>
      <c r="O141">
        <v>-122.81377000000001</v>
      </c>
      <c r="P141" t="s">
        <v>238</v>
      </c>
      <c r="Q141" t="s">
        <v>41</v>
      </c>
      <c r="R141" t="s">
        <v>44</v>
      </c>
      <c r="S141" t="s">
        <v>146</v>
      </c>
      <c r="T141">
        <v>10</v>
      </c>
      <c r="U141">
        <v>4</v>
      </c>
      <c r="V141">
        <v>40</v>
      </c>
      <c r="W141">
        <v>1.25</v>
      </c>
      <c r="X141">
        <v>0.1875</v>
      </c>
      <c r="Y141">
        <v>3</v>
      </c>
      <c r="Z141">
        <v>90</v>
      </c>
      <c r="AA141">
        <v>2.25</v>
      </c>
      <c r="AB141">
        <v>72</v>
      </c>
      <c r="AC141" t="s">
        <v>99</v>
      </c>
      <c r="AD141" t="s">
        <v>386</v>
      </c>
      <c r="AE141" t="s">
        <v>387</v>
      </c>
      <c r="AF141">
        <v>89</v>
      </c>
      <c r="AG141">
        <f t="shared" si="8"/>
        <v>4</v>
      </c>
      <c r="AH141" s="5">
        <f t="shared" si="9"/>
        <v>89</v>
      </c>
      <c r="AI141">
        <f t="shared" si="10"/>
        <v>4</v>
      </c>
      <c r="AJ141" t="str">
        <f t="shared" si="11"/>
        <v>JSP_north_P1</v>
      </c>
      <c r="AK141" t="s">
        <v>718</v>
      </c>
    </row>
    <row r="142" spans="1:37" x14ac:dyDescent="0.25">
      <c r="A142">
        <v>141</v>
      </c>
      <c r="B142" t="s">
        <v>291</v>
      </c>
      <c r="C142" t="s">
        <v>388</v>
      </c>
      <c r="D142" t="s">
        <v>385</v>
      </c>
      <c r="E142" t="s">
        <v>34</v>
      </c>
      <c r="F142">
        <v>2017</v>
      </c>
      <c r="G142" t="s">
        <v>44</v>
      </c>
      <c r="H142" t="s">
        <v>76</v>
      </c>
      <c r="I142" t="s">
        <v>107</v>
      </c>
      <c r="J142" t="s">
        <v>38</v>
      </c>
      <c r="K142" t="s">
        <v>39</v>
      </c>
      <c r="L142" t="s">
        <v>69</v>
      </c>
      <c r="M142" s="1">
        <v>42881</v>
      </c>
      <c r="N142" t="s">
        <v>44</v>
      </c>
      <c r="O142" t="s">
        <v>44</v>
      </c>
      <c r="P142" t="s">
        <v>238</v>
      </c>
      <c r="Q142" t="s">
        <v>41</v>
      </c>
      <c r="R142" t="s">
        <v>44</v>
      </c>
      <c r="S142" t="s">
        <v>389</v>
      </c>
      <c r="T142">
        <v>10</v>
      </c>
      <c r="U142">
        <v>4</v>
      </c>
      <c r="V142">
        <v>40</v>
      </c>
      <c r="W142">
        <v>1.25</v>
      </c>
      <c r="X142">
        <v>2.2499999999999999E-2</v>
      </c>
      <c r="Y142">
        <v>9</v>
      </c>
      <c r="Z142">
        <v>90</v>
      </c>
      <c r="AA142">
        <v>2.25</v>
      </c>
      <c r="AB142">
        <v>72</v>
      </c>
      <c r="AC142" t="s">
        <v>99</v>
      </c>
      <c r="AD142" t="s">
        <v>44</v>
      </c>
      <c r="AE142" t="s">
        <v>387</v>
      </c>
      <c r="AF142">
        <v>89</v>
      </c>
      <c r="AG142">
        <f t="shared" si="8"/>
        <v>4</v>
      </c>
      <c r="AH142" s="5">
        <f t="shared" si="9"/>
        <v>89</v>
      </c>
      <c r="AI142">
        <f t="shared" si="10"/>
        <v>4</v>
      </c>
      <c r="AJ142" t="str">
        <f t="shared" si="11"/>
        <v>JSP_north_P1</v>
      </c>
      <c r="AK142" t="s">
        <v>718</v>
      </c>
    </row>
    <row r="143" spans="1:37" x14ac:dyDescent="0.25">
      <c r="A143">
        <v>142</v>
      </c>
      <c r="B143" t="s">
        <v>291</v>
      </c>
      <c r="C143" t="s">
        <v>390</v>
      </c>
      <c r="D143" t="s">
        <v>385</v>
      </c>
      <c r="E143" t="s">
        <v>34</v>
      </c>
      <c r="F143">
        <v>2017</v>
      </c>
      <c r="G143" t="s">
        <v>44</v>
      </c>
      <c r="H143" t="s">
        <v>76</v>
      </c>
      <c r="I143" t="s">
        <v>107</v>
      </c>
      <c r="J143" t="s">
        <v>38</v>
      </c>
      <c r="K143" t="s">
        <v>39</v>
      </c>
      <c r="L143" t="s">
        <v>69</v>
      </c>
      <c r="M143" s="1">
        <v>42881</v>
      </c>
      <c r="N143">
        <v>47.225969999999997</v>
      </c>
      <c r="O143">
        <v>-122.81366</v>
      </c>
      <c r="P143" t="s">
        <v>238</v>
      </c>
      <c r="Q143" t="s">
        <v>41</v>
      </c>
      <c r="R143" t="s">
        <v>44</v>
      </c>
      <c r="S143" t="s">
        <v>42</v>
      </c>
      <c r="T143">
        <v>10</v>
      </c>
      <c r="U143">
        <v>4</v>
      </c>
      <c r="V143">
        <v>40</v>
      </c>
      <c r="W143">
        <v>1.25</v>
      </c>
      <c r="X143">
        <v>4.4999999999999998E-2</v>
      </c>
      <c r="Y143">
        <v>9</v>
      </c>
      <c r="Z143">
        <v>90</v>
      </c>
      <c r="AA143">
        <v>2.25</v>
      </c>
      <c r="AB143">
        <v>72</v>
      </c>
      <c r="AC143" t="s">
        <v>99</v>
      </c>
      <c r="AD143" t="s">
        <v>44</v>
      </c>
      <c r="AE143" t="s">
        <v>387</v>
      </c>
      <c r="AF143">
        <v>89</v>
      </c>
      <c r="AG143">
        <f t="shared" si="8"/>
        <v>4</v>
      </c>
      <c r="AH143" s="5">
        <f t="shared" si="9"/>
        <v>89</v>
      </c>
      <c r="AI143">
        <f t="shared" si="10"/>
        <v>4</v>
      </c>
      <c r="AJ143" t="str">
        <f t="shared" si="11"/>
        <v>JSP_north_P1</v>
      </c>
      <c r="AK143" t="s">
        <v>718</v>
      </c>
    </row>
    <row r="144" spans="1:37" x14ac:dyDescent="0.25">
      <c r="A144">
        <v>143</v>
      </c>
      <c r="B144" t="s">
        <v>291</v>
      </c>
      <c r="C144" t="s">
        <v>391</v>
      </c>
      <c r="D144" t="s">
        <v>385</v>
      </c>
      <c r="E144" t="s">
        <v>34</v>
      </c>
      <c r="F144">
        <v>2017</v>
      </c>
      <c r="G144" t="s">
        <v>44</v>
      </c>
      <c r="H144" t="s">
        <v>76</v>
      </c>
      <c r="I144" t="s">
        <v>107</v>
      </c>
      <c r="J144" t="s">
        <v>38</v>
      </c>
      <c r="K144" t="s">
        <v>39</v>
      </c>
      <c r="L144" t="s">
        <v>69</v>
      </c>
      <c r="M144" s="1">
        <v>42881</v>
      </c>
      <c r="N144" t="s">
        <v>44</v>
      </c>
      <c r="O144" t="s">
        <v>44</v>
      </c>
      <c r="P144" t="s">
        <v>238</v>
      </c>
      <c r="Q144" t="s">
        <v>41</v>
      </c>
      <c r="R144" t="s">
        <v>44</v>
      </c>
      <c r="S144" t="s">
        <v>55</v>
      </c>
      <c r="T144">
        <v>10</v>
      </c>
      <c r="U144">
        <v>4</v>
      </c>
      <c r="V144">
        <v>40</v>
      </c>
      <c r="W144">
        <v>1.25</v>
      </c>
      <c r="X144">
        <v>7.4999999999999997E-2</v>
      </c>
      <c r="Y144">
        <v>3</v>
      </c>
      <c r="Z144">
        <v>90</v>
      </c>
      <c r="AA144">
        <v>2.25</v>
      </c>
      <c r="AB144">
        <v>72</v>
      </c>
      <c r="AC144" t="s">
        <v>99</v>
      </c>
      <c r="AD144" t="s">
        <v>44</v>
      </c>
      <c r="AE144" t="s">
        <v>387</v>
      </c>
      <c r="AF144">
        <v>89</v>
      </c>
      <c r="AG144">
        <f t="shared" si="8"/>
        <v>4</v>
      </c>
      <c r="AH144" s="5">
        <f t="shared" si="9"/>
        <v>89</v>
      </c>
      <c r="AI144">
        <f t="shared" si="10"/>
        <v>4</v>
      </c>
      <c r="AJ144" t="str">
        <f t="shared" si="11"/>
        <v>JSP_north_P1</v>
      </c>
      <c r="AK144" t="s">
        <v>718</v>
      </c>
    </row>
    <row r="145" spans="1:39" x14ac:dyDescent="0.25">
      <c r="A145">
        <v>144</v>
      </c>
      <c r="B145" t="s">
        <v>291</v>
      </c>
      <c r="C145" t="s">
        <v>392</v>
      </c>
      <c r="D145" t="s">
        <v>393</v>
      </c>
      <c r="E145" t="s">
        <v>34</v>
      </c>
      <c r="F145">
        <v>2017</v>
      </c>
      <c r="G145" t="s">
        <v>44</v>
      </c>
      <c r="H145" t="s">
        <v>76</v>
      </c>
      <c r="I145" t="s">
        <v>107</v>
      </c>
      <c r="J145" t="s">
        <v>38</v>
      </c>
      <c r="K145" t="s">
        <v>39</v>
      </c>
      <c r="L145" t="s">
        <v>39</v>
      </c>
      <c r="M145" s="1">
        <v>42881</v>
      </c>
      <c r="N145">
        <v>47.222769999999997</v>
      </c>
      <c r="O145">
        <v>-122.81052</v>
      </c>
      <c r="P145" t="s">
        <v>238</v>
      </c>
      <c r="Q145" t="s">
        <v>41</v>
      </c>
      <c r="R145" t="s">
        <v>44</v>
      </c>
      <c r="S145" t="s">
        <v>146</v>
      </c>
      <c r="T145">
        <v>10</v>
      </c>
      <c r="U145">
        <v>4</v>
      </c>
      <c r="V145">
        <v>40</v>
      </c>
      <c r="W145">
        <v>1.25</v>
      </c>
      <c r="X145">
        <v>0.1875</v>
      </c>
      <c r="Y145">
        <v>3</v>
      </c>
      <c r="Z145">
        <v>90</v>
      </c>
      <c r="AA145">
        <v>2.25</v>
      </c>
      <c r="AB145">
        <v>72</v>
      </c>
      <c r="AC145" t="s">
        <v>99</v>
      </c>
      <c r="AD145" t="s">
        <v>386</v>
      </c>
      <c r="AE145" t="s">
        <v>387</v>
      </c>
      <c r="AF145">
        <v>90</v>
      </c>
      <c r="AG145">
        <f t="shared" si="8"/>
        <v>4</v>
      </c>
      <c r="AH145" s="5">
        <f t="shared" si="9"/>
        <v>90</v>
      </c>
      <c r="AI145">
        <f t="shared" si="10"/>
        <v>4</v>
      </c>
      <c r="AJ145" t="str">
        <f t="shared" si="11"/>
        <v>JSP_mid_P1</v>
      </c>
      <c r="AK145" t="s">
        <v>718</v>
      </c>
    </row>
    <row r="146" spans="1:39" x14ac:dyDescent="0.25">
      <c r="A146">
        <v>145</v>
      </c>
      <c r="B146" t="s">
        <v>291</v>
      </c>
      <c r="C146" t="s">
        <v>394</v>
      </c>
      <c r="D146" t="s">
        <v>393</v>
      </c>
      <c r="E146" t="s">
        <v>34</v>
      </c>
      <c r="F146">
        <v>2017</v>
      </c>
      <c r="G146" t="s">
        <v>44</v>
      </c>
      <c r="H146" t="s">
        <v>76</v>
      </c>
      <c r="I146" t="s">
        <v>107</v>
      </c>
      <c r="J146" t="s">
        <v>38</v>
      </c>
      <c r="K146" t="s">
        <v>39</v>
      </c>
      <c r="L146" t="s">
        <v>69</v>
      </c>
      <c r="M146" s="1">
        <v>42881</v>
      </c>
      <c r="N146" t="s">
        <v>44</v>
      </c>
      <c r="O146" t="s">
        <v>44</v>
      </c>
      <c r="P146" t="s">
        <v>238</v>
      </c>
      <c r="Q146" t="s">
        <v>41</v>
      </c>
      <c r="R146" t="s">
        <v>44</v>
      </c>
      <c r="S146" t="s">
        <v>389</v>
      </c>
      <c r="T146">
        <v>10</v>
      </c>
      <c r="U146">
        <v>4</v>
      </c>
      <c r="V146">
        <v>40</v>
      </c>
      <c r="W146">
        <v>1.25</v>
      </c>
      <c r="X146">
        <v>2.2499999999999999E-2</v>
      </c>
      <c r="Y146">
        <v>9</v>
      </c>
      <c r="Z146">
        <v>90</v>
      </c>
      <c r="AA146">
        <v>2.25</v>
      </c>
      <c r="AB146">
        <v>72</v>
      </c>
      <c r="AC146" t="s">
        <v>99</v>
      </c>
      <c r="AD146" t="s">
        <v>44</v>
      </c>
      <c r="AE146" t="s">
        <v>387</v>
      </c>
      <c r="AF146">
        <v>90</v>
      </c>
      <c r="AG146">
        <f t="shared" si="8"/>
        <v>4</v>
      </c>
      <c r="AH146" s="5">
        <f t="shared" si="9"/>
        <v>90</v>
      </c>
      <c r="AI146">
        <f t="shared" si="10"/>
        <v>4</v>
      </c>
      <c r="AJ146" t="str">
        <f t="shared" si="11"/>
        <v>JSP_mid_P1</v>
      </c>
      <c r="AK146" t="s">
        <v>718</v>
      </c>
    </row>
    <row r="147" spans="1:39" x14ac:dyDescent="0.25">
      <c r="A147">
        <v>146</v>
      </c>
      <c r="B147" t="s">
        <v>291</v>
      </c>
      <c r="C147" t="s">
        <v>395</v>
      </c>
      <c r="D147" t="s">
        <v>393</v>
      </c>
      <c r="E147" t="s">
        <v>34</v>
      </c>
      <c r="F147">
        <v>2017</v>
      </c>
      <c r="G147" t="s">
        <v>44</v>
      </c>
      <c r="H147" t="s">
        <v>76</v>
      </c>
      <c r="I147" t="s">
        <v>107</v>
      </c>
      <c r="J147" t="s">
        <v>38</v>
      </c>
      <c r="K147" t="s">
        <v>39</v>
      </c>
      <c r="L147" t="s">
        <v>69</v>
      </c>
      <c r="M147" s="1">
        <v>42881</v>
      </c>
      <c r="N147">
        <v>47.222839999999998</v>
      </c>
      <c r="O147">
        <v>-122.81056</v>
      </c>
      <c r="P147" t="s">
        <v>238</v>
      </c>
      <c r="Q147" t="s">
        <v>41</v>
      </c>
      <c r="R147" t="s">
        <v>44</v>
      </c>
      <c r="S147" t="s">
        <v>42</v>
      </c>
      <c r="T147">
        <v>10</v>
      </c>
      <c r="U147">
        <v>4</v>
      </c>
      <c r="V147">
        <v>40</v>
      </c>
      <c r="W147">
        <v>1.25</v>
      </c>
      <c r="X147">
        <v>4.4999999999999998E-2</v>
      </c>
      <c r="Y147">
        <v>9</v>
      </c>
      <c r="Z147">
        <v>90</v>
      </c>
      <c r="AA147">
        <v>2.25</v>
      </c>
      <c r="AB147">
        <v>72</v>
      </c>
      <c r="AC147" t="s">
        <v>99</v>
      </c>
      <c r="AD147" t="s">
        <v>44</v>
      </c>
      <c r="AE147" t="s">
        <v>387</v>
      </c>
      <c r="AF147">
        <v>90</v>
      </c>
      <c r="AG147">
        <f t="shared" si="8"/>
        <v>4</v>
      </c>
      <c r="AH147" s="5">
        <f t="shared" si="9"/>
        <v>90</v>
      </c>
      <c r="AI147">
        <f t="shared" si="10"/>
        <v>4</v>
      </c>
      <c r="AJ147" t="str">
        <f t="shared" si="11"/>
        <v>JSP_mid_P1</v>
      </c>
      <c r="AK147" t="s">
        <v>718</v>
      </c>
    </row>
    <row r="148" spans="1:39" x14ac:dyDescent="0.25">
      <c r="A148">
        <v>147</v>
      </c>
      <c r="B148" t="s">
        <v>291</v>
      </c>
      <c r="C148" t="s">
        <v>396</v>
      </c>
      <c r="D148" t="s">
        <v>393</v>
      </c>
      <c r="E148" t="s">
        <v>34</v>
      </c>
      <c r="F148">
        <v>2017</v>
      </c>
      <c r="G148" t="s">
        <v>44</v>
      </c>
      <c r="H148" t="s">
        <v>76</v>
      </c>
      <c r="I148" t="s">
        <v>107</v>
      </c>
      <c r="J148" t="s">
        <v>38</v>
      </c>
      <c r="K148" t="s">
        <v>39</v>
      </c>
      <c r="L148" t="s">
        <v>69</v>
      </c>
      <c r="M148" s="1">
        <v>42881</v>
      </c>
      <c r="N148" t="s">
        <v>44</v>
      </c>
      <c r="O148" t="s">
        <v>44</v>
      </c>
      <c r="P148" t="s">
        <v>238</v>
      </c>
      <c r="Q148" t="s">
        <v>41</v>
      </c>
      <c r="R148" t="s">
        <v>44</v>
      </c>
      <c r="S148" t="s">
        <v>55</v>
      </c>
      <c r="T148">
        <v>10</v>
      </c>
      <c r="U148">
        <v>4</v>
      </c>
      <c r="V148">
        <v>40</v>
      </c>
      <c r="W148">
        <v>1.25</v>
      </c>
      <c r="X148">
        <v>7.4999999999999997E-2</v>
      </c>
      <c r="Y148">
        <v>3</v>
      </c>
      <c r="Z148">
        <v>90</v>
      </c>
      <c r="AA148">
        <v>2.25</v>
      </c>
      <c r="AB148">
        <v>72</v>
      </c>
      <c r="AC148" t="s">
        <v>99</v>
      </c>
      <c r="AD148" t="s">
        <v>44</v>
      </c>
      <c r="AE148" t="s">
        <v>387</v>
      </c>
      <c r="AF148">
        <v>90</v>
      </c>
      <c r="AG148">
        <f t="shared" si="8"/>
        <v>4</v>
      </c>
      <c r="AH148" s="5">
        <f t="shared" si="9"/>
        <v>90</v>
      </c>
      <c r="AI148">
        <f t="shared" si="10"/>
        <v>4</v>
      </c>
      <c r="AJ148" t="str">
        <f t="shared" si="11"/>
        <v>JSP_mid_P1</v>
      </c>
      <c r="AK148" t="s">
        <v>718</v>
      </c>
    </row>
    <row r="149" spans="1:39" x14ac:dyDescent="0.25">
      <c r="A149">
        <v>148</v>
      </c>
      <c r="B149" t="s">
        <v>291</v>
      </c>
      <c r="C149" t="s">
        <v>397</v>
      </c>
      <c r="D149" t="s">
        <v>398</v>
      </c>
      <c r="E149" t="s">
        <v>34</v>
      </c>
      <c r="F149">
        <v>2017</v>
      </c>
      <c r="G149" t="s">
        <v>44</v>
      </c>
      <c r="H149" t="s">
        <v>76</v>
      </c>
      <c r="I149" t="s">
        <v>107</v>
      </c>
      <c r="J149" t="s">
        <v>38</v>
      </c>
      <c r="K149" t="s">
        <v>39</v>
      </c>
      <c r="L149" t="s">
        <v>39</v>
      </c>
      <c r="M149" s="1">
        <v>42881</v>
      </c>
      <c r="N149">
        <v>47.221080000000001</v>
      </c>
      <c r="O149">
        <v>-122.80929</v>
      </c>
      <c r="P149" t="s">
        <v>40</v>
      </c>
      <c r="Q149" t="s">
        <v>41</v>
      </c>
      <c r="R149" t="s">
        <v>44</v>
      </c>
      <c r="S149" t="s">
        <v>146</v>
      </c>
      <c r="T149">
        <v>10</v>
      </c>
      <c r="U149">
        <v>4</v>
      </c>
      <c r="V149">
        <v>40</v>
      </c>
      <c r="W149">
        <v>1.25</v>
      </c>
      <c r="X149">
        <v>0.1875</v>
      </c>
      <c r="Y149">
        <v>3</v>
      </c>
      <c r="Z149">
        <v>90</v>
      </c>
      <c r="AA149">
        <v>2.25</v>
      </c>
      <c r="AB149">
        <v>72</v>
      </c>
      <c r="AC149" t="s">
        <v>99</v>
      </c>
      <c r="AD149" t="s">
        <v>386</v>
      </c>
      <c r="AE149" t="s">
        <v>387</v>
      </c>
      <c r="AF149">
        <v>91</v>
      </c>
      <c r="AG149">
        <f t="shared" si="8"/>
        <v>4</v>
      </c>
      <c r="AH149" s="5">
        <f t="shared" si="9"/>
        <v>91</v>
      </c>
      <c r="AI149">
        <f t="shared" si="10"/>
        <v>4</v>
      </c>
      <c r="AJ149" t="str">
        <f t="shared" si="11"/>
        <v>JSP_south_P5</v>
      </c>
      <c r="AK149" t="s">
        <v>718</v>
      </c>
    </row>
    <row r="150" spans="1:39" x14ac:dyDescent="0.25">
      <c r="A150">
        <v>149</v>
      </c>
      <c r="B150" t="s">
        <v>291</v>
      </c>
      <c r="C150" t="s">
        <v>399</v>
      </c>
      <c r="D150" t="s">
        <v>398</v>
      </c>
      <c r="E150" t="s">
        <v>34</v>
      </c>
      <c r="F150">
        <v>2017</v>
      </c>
      <c r="G150" t="s">
        <v>44</v>
      </c>
      <c r="H150" t="s">
        <v>76</v>
      </c>
      <c r="I150" t="s">
        <v>107</v>
      </c>
      <c r="J150" t="s">
        <v>38</v>
      </c>
      <c r="K150" t="s">
        <v>39</v>
      </c>
      <c r="L150" t="s">
        <v>69</v>
      </c>
      <c r="M150" s="1">
        <v>42881</v>
      </c>
      <c r="N150">
        <v>47.221069999999997</v>
      </c>
      <c r="O150">
        <v>-122.80933</v>
      </c>
      <c r="P150" t="s">
        <v>40</v>
      </c>
      <c r="Q150" t="s">
        <v>41</v>
      </c>
      <c r="R150" t="s">
        <v>44</v>
      </c>
      <c r="S150" t="s">
        <v>389</v>
      </c>
      <c r="T150">
        <v>10</v>
      </c>
      <c r="U150">
        <v>4</v>
      </c>
      <c r="V150">
        <v>40</v>
      </c>
      <c r="W150">
        <v>1.25</v>
      </c>
      <c r="X150">
        <v>2.2499999999999999E-2</v>
      </c>
      <c r="Y150">
        <v>9</v>
      </c>
      <c r="Z150">
        <v>90</v>
      </c>
      <c r="AA150">
        <v>2.25</v>
      </c>
      <c r="AB150">
        <v>72</v>
      </c>
      <c r="AC150" t="s">
        <v>99</v>
      </c>
      <c r="AD150" t="s">
        <v>44</v>
      </c>
      <c r="AE150" t="s">
        <v>387</v>
      </c>
      <c r="AF150">
        <v>91</v>
      </c>
      <c r="AG150">
        <f t="shared" si="8"/>
        <v>4</v>
      </c>
      <c r="AH150" s="5">
        <f t="shared" si="9"/>
        <v>91</v>
      </c>
      <c r="AI150">
        <f t="shared" si="10"/>
        <v>4</v>
      </c>
      <c r="AJ150" t="str">
        <f t="shared" si="11"/>
        <v>JSP_south_P5</v>
      </c>
      <c r="AK150" t="s">
        <v>718</v>
      </c>
    </row>
    <row r="151" spans="1:39" x14ac:dyDescent="0.25">
      <c r="A151">
        <v>150</v>
      </c>
      <c r="B151" t="s">
        <v>291</v>
      </c>
      <c r="C151" t="s">
        <v>400</v>
      </c>
      <c r="D151" t="s">
        <v>398</v>
      </c>
      <c r="E151" t="s">
        <v>34</v>
      </c>
      <c r="F151">
        <v>2017</v>
      </c>
      <c r="G151" t="s">
        <v>44</v>
      </c>
      <c r="H151" t="s">
        <v>76</v>
      </c>
      <c r="I151" t="s">
        <v>107</v>
      </c>
      <c r="J151" t="s">
        <v>38</v>
      </c>
      <c r="K151" t="s">
        <v>39</v>
      </c>
      <c r="L151" t="s">
        <v>69</v>
      </c>
      <c r="M151" s="1">
        <v>42881</v>
      </c>
      <c r="N151">
        <v>47.221179999999997</v>
      </c>
      <c r="O151">
        <v>-122.80933</v>
      </c>
      <c r="P151" t="s">
        <v>40</v>
      </c>
      <c r="Q151" t="s">
        <v>41</v>
      </c>
      <c r="R151" t="s">
        <v>44</v>
      </c>
      <c r="S151" t="s">
        <v>42</v>
      </c>
      <c r="T151">
        <v>10</v>
      </c>
      <c r="U151">
        <v>4</v>
      </c>
      <c r="V151">
        <v>40</v>
      </c>
      <c r="W151">
        <v>1.25</v>
      </c>
      <c r="X151">
        <v>4.4999999999999998E-2</v>
      </c>
      <c r="Y151">
        <v>9</v>
      </c>
      <c r="Z151">
        <v>90</v>
      </c>
      <c r="AA151">
        <v>2.25</v>
      </c>
      <c r="AB151">
        <v>72</v>
      </c>
      <c r="AC151" t="s">
        <v>99</v>
      </c>
      <c r="AD151" t="s">
        <v>44</v>
      </c>
      <c r="AE151" t="s">
        <v>387</v>
      </c>
      <c r="AF151">
        <v>91</v>
      </c>
      <c r="AG151">
        <f t="shared" si="8"/>
        <v>4</v>
      </c>
      <c r="AH151" s="5">
        <f t="shared" si="9"/>
        <v>91</v>
      </c>
      <c r="AI151">
        <f t="shared" si="10"/>
        <v>4</v>
      </c>
      <c r="AJ151" t="str">
        <f t="shared" si="11"/>
        <v>JSP_south_P5</v>
      </c>
      <c r="AK151" t="s">
        <v>718</v>
      </c>
    </row>
    <row r="152" spans="1:39" x14ac:dyDescent="0.25">
      <c r="A152">
        <v>151</v>
      </c>
      <c r="B152" t="s">
        <v>291</v>
      </c>
      <c r="C152" t="s">
        <v>401</v>
      </c>
      <c r="D152" t="s">
        <v>398</v>
      </c>
      <c r="E152" t="s">
        <v>34</v>
      </c>
      <c r="F152">
        <v>2017</v>
      </c>
      <c r="G152" t="s">
        <v>44</v>
      </c>
      <c r="H152" t="s">
        <v>76</v>
      </c>
      <c r="I152" t="s">
        <v>107</v>
      </c>
      <c r="J152" t="s">
        <v>38</v>
      </c>
      <c r="K152" t="s">
        <v>39</v>
      </c>
      <c r="L152" t="s">
        <v>69</v>
      </c>
      <c r="M152" s="1">
        <v>42881</v>
      </c>
      <c r="N152">
        <v>47.221110000000003</v>
      </c>
      <c r="O152">
        <v>-122.80936</v>
      </c>
      <c r="P152" t="s">
        <v>40</v>
      </c>
      <c r="Q152" t="s">
        <v>41</v>
      </c>
      <c r="R152" t="s">
        <v>44</v>
      </c>
      <c r="S152" t="s">
        <v>55</v>
      </c>
      <c r="T152">
        <v>10</v>
      </c>
      <c r="U152">
        <v>4</v>
      </c>
      <c r="V152">
        <v>40</v>
      </c>
      <c r="W152">
        <v>1.25</v>
      </c>
      <c r="X152">
        <v>7.4999999999999997E-2</v>
      </c>
      <c r="Y152">
        <v>3</v>
      </c>
      <c r="Z152">
        <v>90</v>
      </c>
      <c r="AA152">
        <v>2.25</v>
      </c>
      <c r="AB152">
        <v>72</v>
      </c>
      <c r="AC152" t="s">
        <v>99</v>
      </c>
      <c r="AD152" t="s">
        <v>44</v>
      </c>
      <c r="AE152" t="s">
        <v>387</v>
      </c>
      <c r="AF152">
        <v>91</v>
      </c>
      <c r="AG152">
        <f t="shared" si="8"/>
        <v>4</v>
      </c>
      <c r="AH152" s="5">
        <f t="shared" si="9"/>
        <v>91</v>
      </c>
      <c r="AI152">
        <f t="shared" si="10"/>
        <v>4</v>
      </c>
      <c r="AJ152" t="str">
        <f t="shared" si="11"/>
        <v>JSP_south_P5</v>
      </c>
      <c r="AK152" t="s">
        <v>718</v>
      </c>
    </row>
    <row r="153" spans="1:39" x14ac:dyDescent="0.25">
      <c r="A153">
        <v>152</v>
      </c>
      <c r="B153" t="s">
        <v>291</v>
      </c>
      <c r="C153" t="s">
        <v>402</v>
      </c>
      <c r="D153" t="s">
        <v>403</v>
      </c>
      <c r="E153" t="s">
        <v>34</v>
      </c>
      <c r="F153">
        <v>2017</v>
      </c>
      <c r="G153" t="s">
        <v>44</v>
      </c>
      <c r="H153" t="s">
        <v>36</v>
      </c>
      <c r="I153" t="s">
        <v>107</v>
      </c>
      <c r="J153" t="s">
        <v>38</v>
      </c>
      <c r="K153" t="s">
        <v>39</v>
      </c>
      <c r="L153" t="s">
        <v>39</v>
      </c>
      <c r="M153" s="1">
        <v>42883</v>
      </c>
      <c r="N153" t="s">
        <v>44</v>
      </c>
      <c r="O153" t="s">
        <v>44</v>
      </c>
      <c r="P153" t="s">
        <v>238</v>
      </c>
      <c r="Q153" t="s">
        <v>41</v>
      </c>
      <c r="R153" t="s">
        <v>44</v>
      </c>
      <c r="S153" t="s">
        <v>55</v>
      </c>
      <c r="T153">
        <v>4</v>
      </c>
      <c r="U153">
        <v>0.25</v>
      </c>
      <c r="V153">
        <v>1</v>
      </c>
      <c r="W153">
        <v>1</v>
      </c>
      <c r="X153">
        <v>0.1</v>
      </c>
      <c r="Y153">
        <v>4</v>
      </c>
      <c r="Z153">
        <v>80</v>
      </c>
      <c r="AA153">
        <v>80</v>
      </c>
      <c r="AB153">
        <v>80</v>
      </c>
      <c r="AC153" t="s">
        <v>99</v>
      </c>
      <c r="AD153" t="s">
        <v>404</v>
      </c>
      <c r="AE153" t="s">
        <v>164</v>
      </c>
      <c r="AF153">
        <v>92</v>
      </c>
      <c r="AG153">
        <f t="shared" si="8"/>
        <v>1</v>
      </c>
      <c r="AH153" s="5" t="str">
        <f t="shared" si="9"/>
        <v/>
      </c>
      <c r="AI153">
        <f t="shared" si="10"/>
        <v>5</v>
      </c>
      <c r="AJ153" s="7" t="str">
        <f t="shared" si="11"/>
        <v>JSP_mid_south_2</v>
      </c>
      <c r="AK153" t="s">
        <v>409</v>
      </c>
      <c r="AL153" t="s">
        <v>141</v>
      </c>
      <c r="AM153" t="s">
        <v>716</v>
      </c>
    </row>
    <row r="154" spans="1:39" x14ac:dyDescent="0.25">
      <c r="A154">
        <v>153</v>
      </c>
      <c r="B154" t="s">
        <v>291</v>
      </c>
      <c r="C154" t="s">
        <v>402</v>
      </c>
      <c r="D154" t="s">
        <v>403</v>
      </c>
      <c r="E154" t="s">
        <v>34</v>
      </c>
      <c r="F154">
        <v>2017</v>
      </c>
      <c r="G154" t="s">
        <v>44</v>
      </c>
      <c r="H154" t="s">
        <v>36</v>
      </c>
      <c r="I154" t="s">
        <v>107</v>
      </c>
      <c r="J154" t="s">
        <v>38</v>
      </c>
      <c r="K154" t="s">
        <v>39</v>
      </c>
      <c r="L154" t="s">
        <v>39</v>
      </c>
      <c r="M154" s="1">
        <v>42883</v>
      </c>
      <c r="N154" t="s">
        <v>44</v>
      </c>
      <c r="O154" t="s">
        <v>44</v>
      </c>
      <c r="P154" t="s">
        <v>238</v>
      </c>
      <c r="Q154" t="s">
        <v>41</v>
      </c>
      <c r="R154" t="s">
        <v>44</v>
      </c>
      <c r="S154" t="s">
        <v>55</v>
      </c>
      <c r="T154">
        <v>4</v>
      </c>
      <c r="U154">
        <v>0.25</v>
      </c>
      <c r="V154">
        <v>1</v>
      </c>
      <c r="W154">
        <v>1</v>
      </c>
      <c r="X154">
        <v>0.1</v>
      </c>
      <c r="Y154">
        <v>4</v>
      </c>
      <c r="Z154">
        <v>100</v>
      </c>
      <c r="AA154">
        <v>100</v>
      </c>
      <c r="AB154">
        <v>100</v>
      </c>
      <c r="AC154" t="s">
        <v>99</v>
      </c>
      <c r="AD154" t="s">
        <v>405</v>
      </c>
      <c r="AE154" t="s">
        <v>164</v>
      </c>
      <c r="AF154">
        <v>93</v>
      </c>
      <c r="AG154">
        <f t="shared" si="8"/>
        <v>1</v>
      </c>
      <c r="AH154" s="5" t="str">
        <f t="shared" si="9"/>
        <v/>
      </c>
      <c r="AI154">
        <f t="shared" si="10"/>
        <v>5</v>
      </c>
      <c r="AJ154" s="7" t="str">
        <f t="shared" si="11"/>
        <v>JSP_mid_south_2</v>
      </c>
      <c r="AK154" t="s">
        <v>409</v>
      </c>
      <c r="AL154" t="s">
        <v>141</v>
      </c>
    </row>
    <row r="155" spans="1:39" x14ac:dyDescent="0.25">
      <c r="A155">
        <v>154</v>
      </c>
      <c r="B155" t="s">
        <v>291</v>
      </c>
      <c r="C155" t="s">
        <v>402</v>
      </c>
      <c r="D155" t="s">
        <v>403</v>
      </c>
      <c r="E155" t="s">
        <v>34</v>
      </c>
      <c r="F155">
        <v>2017</v>
      </c>
      <c r="G155" t="s">
        <v>44</v>
      </c>
      <c r="H155" t="s">
        <v>36</v>
      </c>
      <c r="I155" t="s">
        <v>107</v>
      </c>
      <c r="J155" t="s">
        <v>38</v>
      </c>
      <c r="K155" t="s">
        <v>39</v>
      </c>
      <c r="L155" t="s">
        <v>39</v>
      </c>
      <c r="M155" s="1">
        <v>42883</v>
      </c>
      <c r="N155" t="s">
        <v>44</v>
      </c>
      <c r="O155" t="s">
        <v>44</v>
      </c>
      <c r="P155" t="s">
        <v>238</v>
      </c>
      <c r="Q155" t="s">
        <v>41</v>
      </c>
      <c r="R155" t="s">
        <v>44</v>
      </c>
      <c r="S155" t="s">
        <v>55</v>
      </c>
      <c r="T155">
        <v>2</v>
      </c>
      <c r="U155">
        <v>0.25</v>
      </c>
      <c r="V155">
        <v>0.5</v>
      </c>
      <c r="W155">
        <v>0.5</v>
      </c>
      <c r="X155">
        <v>0.05</v>
      </c>
      <c r="Y155">
        <v>2</v>
      </c>
      <c r="Z155">
        <v>50</v>
      </c>
      <c r="AA155">
        <v>100</v>
      </c>
      <c r="AB155">
        <v>100</v>
      </c>
      <c r="AC155" t="s">
        <v>99</v>
      </c>
      <c r="AD155" t="s">
        <v>406</v>
      </c>
      <c r="AE155" t="s">
        <v>164</v>
      </c>
      <c r="AF155">
        <v>94</v>
      </c>
      <c r="AG155">
        <f t="shared" si="8"/>
        <v>1</v>
      </c>
      <c r="AH155" s="5" t="str">
        <f t="shared" si="9"/>
        <v/>
      </c>
      <c r="AI155">
        <f t="shared" si="10"/>
        <v>5</v>
      </c>
      <c r="AJ155" s="7" t="str">
        <f t="shared" si="11"/>
        <v>JSP_mid_south_2</v>
      </c>
      <c r="AK155" t="s">
        <v>409</v>
      </c>
      <c r="AL155" t="s">
        <v>141</v>
      </c>
    </row>
    <row r="156" spans="1:39" x14ac:dyDescent="0.25">
      <c r="A156">
        <v>155</v>
      </c>
      <c r="B156" t="s">
        <v>291</v>
      </c>
      <c r="C156" t="s">
        <v>402</v>
      </c>
      <c r="D156" t="s">
        <v>403</v>
      </c>
      <c r="E156" t="s">
        <v>34</v>
      </c>
      <c r="F156">
        <v>2017</v>
      </c>
      <c r="G156" t="s">
        <v>44</v>
      </c>
      <c r="H156" t="s">
        <v>36</v>
      </c>
      <c r="I156" t="s">
        <v>107</v>
      </c>
      <c r="J156" t="s">
        <v>38</v>
      </c>
      <c r="K156" t="s">
        <v>39</v>
      </c>
      <c r="L156" t="s">
        <v>39</v>
      </c>
      <c r="M156" s="1">
        <v>42883</v>
      </c>
      <c r="N156" t="s">
        <v>44</v>
      </c>
      <c r="O156" t="s">
        <v>44</v>
      </c>
      <c r="P156" t="s">
        <v>238</v>
      </c>
      <c r="Q156" t="s">
        <v>41</v>
      </c>
      <c r="R156" t="s">
        <v>44</v>
      </c>
      <c r="S156" t="s">
        <v>146</v>
      </c>
      <c r="T156">
        <v>2</v>
      </c>
      <c r="U156">
        <v>0.25</v>
      </c>
      <c r="V156">
        <v>0.5</v>
      </c>
      <c r="W156">
        <v>0.5</v>
      </c>
      <c r="X156">
        <v>0.125</v>
      </c>
      <c r="Y156">
        <v>2</v>
      </c>
      <c r="Z156">
        <v>50</v>
      </c>
      <c r="AA156">
        <v>100</v>
      </c>
      <c r="AB156">
        <v>100</v>
      </c>
      <c r="AC156" t="s">
        <v>99</v>
      </c>
      <c r="AD156" t="s">
        <v>407</v>
      </c>
      <c r="AE156" t="s">
        <v>164</v>
      </c>
      <c r="AF156">
        <v>95</v>
      </c>
      <c r="AG156">
        <f t="shared" si="8"/>
        <v>1</v>
      </c>
      <c r="AH156" s="5" t="str">
        <f t="shared" si="9"/>
        <v/>
      </c>
      <c r="AI156">
        <f t="shared" si="10"/>
        <v>5</v>
      </c>
      <c r="AJ156" s="7" t="str">
        <f t="shared" si="11"/>
        <v>JSP_mid_south_2</v>
      </c>
      <c r="AK156" t="s">
        <v>409</v>
      </c>
      <c r="AL156" t="s">
        <v>141</v>
      </c>
    </row>
    <row r="157" spans="1:39" x14ac:dyDescent="0.25">
      <c r="A157">
        <v>156</v>
      </c>
      <c r="B157" t="s">
        <v>291</v>
      </c>
      <c r="C157" t="s">
        <v>408</v>
      </c>
      <c r="D157" t="s">
        <v>359</v>
      </c>
      <c r="E157" t="s">
        <v>409</v>
      </c>
      <c r="F157">
        <v>2017</v>
      </c>
      <c r="G157" t="s">
        <v>44</v>
      </c>
      <c r="H157" t="s">
        <v>36</v>
      </c>
      <c r="I157" t="s">
        <v>107</v>
      </c>
      <c r="J157" t="s">
        <v>38</v>
      </c>
      <c r="K157" t="s">
        <v>39</v>
      </c>
      <c r="L157" t="s">
        <v>39</v>
      </c>
      <c r="M157" s="1">
        <v>42854</v>
      </c>
      <c r="N157">
        <v>47.222461000000003</v>
      </c>
      <c r="O157">
        <v>-122.810239</v>
      </c>
      <c r="P157" t="s">
        <v>40</v>
      </c>
      <c r="Q157" t="s">
        <v>41</v>
      </c>
      <c r="R157">
        <v>-1.1000000000000001</v>
      </c>
      <c r="S157" t="s">
        <v>42</v>
      </c>
      <c r="T157">
        <v>1</v>
      </c>
      <c r="U157">
        <v>1</v>
      </c>
      <c r="V157">
        <v>1</v>
      </c>
      <c r="W157">
        <v>8.0000000000000002E-3</v>
      </c>
      <c r="X157">
        <v>1.4999999999999999E-2</v>
      </c>
      <c r="Y157">
        <v>3</v>
      </c>
      <c r="Z157">
        <v>12</v>
      </c>
      <c r="AA157">
        <v>12</v>
      </c>
      <c r="AB157">
        <v>1500</v>
      </c>
      <c r="AC157" t="s">
        <v>113</v>
      </c>
      <c r="AD157" t="s">
        <v>410</v>
      </c>
      <c r="AE157" t="s">
        <v>164</v>
      </c>
      <c r="AF157">
        <v>96</v>
      </c>
      <c r="AG157">
        <f t="shared" si="8"/>
        <v>12</v>
      </c>
      <c r="AH157" s="5">
        <f t="shared" si="9"/>
        <v>96</v>
      </c>
      <c r="AI157">
        <f t="shared" si="10"/>
        <v>2</v>
      </c>
      <c r="AJ157" t="str">
        <f t="shared" si="11"/>
        <v>JSP_mid_AG1</v>
      </c>
      <c r="AK157" t="s">
        <v>718</v>
      </c>
    </row>
    <row r="158" spans="1:39" x14ac:dyDescent="0.25">
      <c r="A158">
        <v>157</v>
      </c>
      <c r="B158" t="s">
        <v>291</v>
      </c>
      <c r="C158" t="s">
        <v>411</v>
      </c>
      <c r="D158" t="s">
        <v>363</v>
      </c>
      <c r="E158" t="s">
        <v>409</v>
      </c>
      <c r="F158">
        <v>2017</v>
      </c>
      <c r="G158" t="s">
        <v>44</v>
      </c>
      <c r="H158" t="s">
        <v>36</v>
      </c>
      <c r="I158" t="s">
        <v>107</v>
      </c>
      <c r="J158" t="s">
        <v>38</v>
      </c>
      <c r="K158" t="s">
        <v>39</v>
      </c>
      <c r="L158" t="s">
        <v>69</v>
      </c>
      <c r="M158" s="1">
        <v>42854</v>
      </c>
      <c r="N158">
        <v>47.222489000000003</v>
      </c>
      <c r="O158">
        <v>-122.81026199999999</v>
      </c>
      <c r="P158" t="s">
        <v>40</v>
      </c>
      <c r="Q158" t="s">
        <v>41</v>
      </c>
      <c r="R158" t="s">
        <v>44</v>
      </c>
      <c r="S158" t="s">
        <v>42</v>
      </c>
      <c r="T158">
        <v>1</v>
      </c>
      <c r="U158">
        <v>1</v>
      </c>
      <c r="V158">
        <v>1</v>
      </c>
      <c r="W158">
        <v>8.0000000000000002E-3</v>
      </c>
      <c r="X158">
        <v>1.4999999999999999E-2</v>
      </c>
      <c r="Y158">
        <v>3</v>
      </c>
      <c r="Z158">
        <v>12</v>
      </c>
      <c r="AA158">
        <v>12</v>
      </c>
      <c r="AB158">
        <v>1500</v>
      </c>
      <c r="AC158" t="s">
        <v>113</v>
      </c>
      <c r="AD158" t="s">
        <v>410</v>
      </c>
      <c r="AE158" t="s">
        <v>164</v>
      </c>
      <c r="AF158">
        <v>96</v>
      </c>
      <c r="AG158">
        <f t="shared" si="8"/>
        <v>12</v>
      </c>
      <c r="AH158" s="5">
        <f t="shared" si="9"/>
        <v>96</v>
      </c>
      <c r="AI158">
        <f t="shared" si="10"/>
        <v>2</v>
      </c>
      <c r="AJ158" t="str">
        <f t="shared" si="11"/>
        <v>JSP_mid_BG1</v>
      </c>
      <c r="AK158" t="s">
        <v>718</v>
      </c>
    </row>
    <row r="159" spans="1:39" x14ac:dyDescent="0.25">
      <c r="A159">
        <v>158</v>
      </c>
      <c r="B159" t="s">
        <v>291</v>
      </c>
      <c r="C159" t="s">
        <v>412</v>
      </c>
      <c r="D159" t="s">
        <v>365</v>
      </c>
      <c r="E159" t="s">
        <v>409</v>
      </c>
      <c r="F159">
        <v>2017</v>
      </c>
      <c r="G159" t="s">
        <v>44</v>
      </c>
      <c r="H159" t="s">
        <v>36</v>
      </c>
      <c r="I159" t="s">
        <v>107</v>
      </c>
      <c r="J159" t="s">
        <v>38</v>
      </c>
      <c r="K159" t="s">
        <v>39</v>
      </c>
      <c r="L159" t="s">
        <v>69</v>
      </c>
      <c r="M159" s="1">
        <v>42854</v>
      </c>
      <c r="N159">
        <v>47.222512000000002</v>
      </c>
      <c r="O159">
        <v>-122.810267</v>
      </c>
      <c r="P159" t="s">
        <v>40</v>
      </c>
      <c r="Q159" t="s">
        <v>41</v>
      </c>
      <c r="R159" t="s">
        <v>44</v>
      </c>
      <c r="S159" t="s">
        <v>42</v>
      </c>
      <c r="T159">
        <v>1</v>
      </c>
      <c r="U159">
        <v>1</v>
      </c>
      <c r="V159">
        <v>1</v>
      </c>
      <c r="W159">
        <v>8.0000000000000002E-3</v>
      </c>
      <c r="X159">
        <v>1.4999999999999999E-2</v>
      </c>
      <c r="Y159">
        <v>3</v>
      </c>
      <c r="Z159">
        <v>12</v>
      </c>
      <c r="AA159">
        <v>12</v>
      </c>
      <c r="AB159">
        <v>1500</v>
      </c>
      <c r="AC159" t="s">
        <v>113</v>
      </c>
      <c r="AD159" t="s">
        <v>410</v>
      </c>
      <c r="AE159" t="s">
        <v>164</v>
      </c>
      <c r="AF159">
        <v>96</v>
      </c>
      <c r="AG159">
        <f t="shared" si="8"/>
        <v>12</v>
      </c>
      <c r="AH159" s="5">
        <f t="shared" si="9"/>
        <v>96</v>
      </c>
      <c r="AI159">
        <f t="shared" si="10"/>
        <v>2</v>
      </c>
      <c r="AJ159" t="str">
        <f t="shared" si="11"/>
        <v>JSP_mid_C1</v>
      </c>
      <c r="AK159" t="s">
        <v>718</v>
      </c>
    </row>
    <row r="160" spans="1:39" x14ac:dyDescent="0.25">
      <c r="A160">
        <v>159</v>
      </c>
      <c r="B160" t="s">
        <v>291</v>
      </c>
      <c r="C160" t="s">
        <v>413</v>
      </c>
      <c r="D160" t="s">
        <v>367</v>
      </c>
      <c r="E160" t="s">
        <v>409</v>
      </c>
      <c r="F160">
        <v>2017</v>
      </c>
      <c r="G160" t="s">
        <v>44</v>
      </c>
      <c r="H160" t="s">
        <v>36</v>
      </c>
      <c r="I160" t="s">
        <v>107</v>
      </c>
      <c r="J160" t="s">
        <v>38</v>
      </c>
      <c r="K160" t="s">
        <v>39</v>
      </c>
      <c r="L160" t="s">
        <v>69</v>
      </c>
      <c r="M160" s="1">
        <v>42854</v>
      </c>
      <c r="N160">
        <v>47.222541999999997</v>
      </c>
      <c r="O160">
        <v>-122.81027899999999</v>
      </c>
      <c r="P160" t="s">
        <v>40</v>
      </c>
      <c r="Q160" t="s">
        <v>41</v>
      </c>
      <c r="R160" t="s">
        <v>44</v>
      </c>
      <c r="S160" t="s">
        <v>42</v>
      </c>
      <c r="T160">
        <v>1</v>
      </c>
      <c r="U160">
        <v>1</v>
      </c>
      <c r="V160">
        <v>1</v>
      </c>
      <c r="W160">
        <v>8.0000000000000002E-3</v>
      </c>
      <c r="X160">
        <v>1.4999999999999999E-2</v>
      </c>
      <c r="Y160">
        <v>3</v>
      </c>
      <c r="Z160">
        <v>12</v>
      </c>
      <c r="AA160">
        <v>12</v>
      </c>
      <c r="AB160">
        <v>1500</v>
      </c>
      <c r="AC160" t="s">
        <v>113</v>
      </c>
      <c r="AD160" t="s">
        <v>410</v>
      </c>
      <c r="AE160" t="s">
        <v>164</v>
      </c>
      <c r="AF160">
        <v>96</v>
      </c>
      <c r="AG160">
        <f t="shared" si="8"/>
        <v>12</v>
      </c>
      <c r="AH160" s="5">
        <f t="shared" si="9"/>
        <v>96</v>
      </c>
      <c r="AI160">
        <f t="shared" si="10"/>
        <v>2</v>
      </c>
      <c r="AJ160" t="str">
        <f t="shared" si="11"/>
        <v>JSP_mid_AG2</v>
      </c>
      <c r="AK160" t="s">
        <v>718</v>
      </c>
    </row>
    <row r="161" spans="1:38" x14ac:dyDescent="0.25">
      <c r="A161">
        <v>160</v>
      </c>
      <c r="B161" t="s">
        <v>291</v>
      </c>
      <c r="C161" t="s">
        <v>414</v>
      </c>
      <c r="D161" t="s">
        <v>369</v>
      </c>
      <c r="E161" t="s">
        <v>409</v>
      </c>
      <c r="F161">
        <v>2017</v>
      </c>
      <c r="G161" t="s">
        <v>44</v>
      </c>
      <c r="H161" t="s">
        <v>36</v>
      </c>
      <c r="I161" t="s">
        <v>107</v>
      </c>
      <c r="J161" t="s">
        <v>38</v>
      </c>
      <c r="K161" t="s">
        <v>39</v>
      </c>
      <c r="L161" t="s">
        <v>69</v>
      </c>
      <c r="M161" s="1">
        <v>42854</v>
      </c>
      <c r="N161">
        <v>47.222552</v>
      </c>
      <c r="O161">
        <v>-122.810293</v>
      </c>
      <c r="P161" t="s">
        <v>40</v>
      </c>
      <c r="Q161" t="s">
        <v>41</v>
      </c>
      <c r="R161" t="s">
        <v>44</v>
      </c>
      <c r="S161" t="s">
        <v>42</v>
      </c>
      <c r="T161">
        <v>1</v>
      </c>
      <c r="U161">
        <v>1</v>
      </c>
      <c r="V161">
        <v>1</v>
      </c>
      <c r="W161">
        <v>8.0000000000000002E-3</v>
      </c>
      <c r="X161">
        <v>1.4999999999999999E-2</v>
      </c>
      <c r="Y161">
        <v>3</v>
      </c>
      <c r="Z161">
        <v>12</v>
      </c>
      <c r="AA161">
        <v>12</v>
      </c>
      <c r="AB161">
        <v>1500</v>
      </c>
      <c r="AC161" t="s">
        <v>113</v>
      </c>
      <c r="AD161" t="s">
        <v>410</v>
      </c>
      <c r="AE161" t="s">
        <v>164</v>
      </c>
      <c r="AF161">
        <v>96</v>
      </c>
      <c r="AG161">
        <f t="shared" si="8"/>
        <v>12</v>
      </c>
      <c r="AH161" s="5">
        <f t="shared" si="9"/>
        <v>96</v>
      </c>
      <c r="AI161">
        <f t="shared" si="10"/>
        <v>2</v>
      </c>
      <c r="AJ161" t="str">
        <f t="shared" si="11"/>
        <v>JSP_mid_C2</v>
      </c>
      <c r="AK161" t="s">
        <v>718</v>
      </c>
    </row>
    <row r="162" spans="1:38" x14ac:dyDescent="0.25">
      <c r="A162">
        <v>161</v>
      </c>
      <c r="B162" t="s">
        <v>291</v>
      </c>
      <c r="C162" t="s">
        <v>415</v>
      </c>
      <c r="D162" t="s">
        <v>371</v>
      </c>
      <c r="E162" t="s">
        <v>409</v>
      </c>
      <c r="F162">
        <v>2017</v>
      </c>
      <c r="G162" t="s">
        <v>44</v>
      </c>
      <c r="H162" t="s">
        <v>36</v>
      </c>
      <c r="I162" t="s">
        <v>107</v>
      </c>
      <c r="J162" t="s">
        <v>38</v>
      </c>
      <c r="K162" t="s">
        <v>39</v>
      </c>
      <c r="L162" t="s">
        <v>69</v>
      </c>
      <c r="M162" s="1">
        <v>42854</v>
      </c>
      <c r="N162">
        <v>47.222596000000003</v>
      </c>
      <c r="O162">
        <v>-122.810309</v>
      </c>
      <c r="P162" t="s">
        <v>40</v>
      </c>
      <c r="Q162" t="s">
        <v>41</v>
      </c>
      <c r="R162" t="s">
        <v>44</v>
      </c>
      <c r="S162" t="s">
        <v>42</v>
      </c>
      <c r="T162">
        <v>1</v>
      </c>
      <c r="U162">
        <v>1</v>
      </c>
      <c r="V162">
        <v>1</v>
      </c>
      <c r="W162">
        <v>8.0000000000000002E-3</v>
      </c>
      <c r="X162">
        <v>1.4999999999999999E-2</v>
      </c>
      <c r="Y162">
        <v>3</v>
      </c>
      <c r="Z162">
        <v>12</v>
      </c>
      <c r="AA162">
        <v>12</v>
      </c>
      <c r="AB162">
        <v>1500</v>
      </c>
      <c r="AC162" t="s">
        <v>113</v>
      </c>
      <c r="AD162" t="s">
        <v>410</v>
      </c>
      <c r="AE162" t="s">
        <v>164</v>
      </c>
      <c r="AF162">
        <v>96</v>
      </c>
      <c r="AG162">
        <f t="shared" si="8"/>
        <v>12</v>
      </c>
      <c r="AH162" s="5">
        <f t="shared" si="9"/>
        <v>96</v>
      </c>
      <c r="AI162">
        <f t="shared" si="10"/>
        <v>2</v>
      </c>
      <c r="AJ162" t="str">
        <f t="shared" si="11"/>
        <v>JSP_mid_BG2</v>
      </c>
      <c r="AK162" t="s">
        <v>718</v>
      </c>
    </row>
    <row r="163" spans="1:38" x14ac:dyDescent="0.25">
      <c r="A163">
        <v>162</v>
      </c>
      <c r="B163" t="s">
        <v>291</v>
      </c>
      <c r="C163" t="s">
        <v>416</v>
      </c>
      <c r="D163" t="s">
        <v>373</v>
      </c>
      <c r="E163" t="s">
        <v>409</v>
      </c>
      <c r="F163">
        <v>2017</v>
      </c>
      <c r="G163" t="s">
        <v>44</v>
      </c>
      <c r="H163" t="s">
        <v>36</v>
      </c>
      <c r="I163" t="s">
        <v>107</v>
      </c>
      <c r="J163" t="s">
        <v>38</v>
      </c>
      <c r="K163" t="s">
        <v>39</v>
      </c>
      <c r="L163" t="s">
        <v>69</v>
      </c>
      <c r="M163" s="1">
        <v>42854</v>
      </c>
      <c r="N163">
        <v>47.222611999999998</v>
      </c>
      <c r="O163">
        <v>-122.810312</v>
      </c>
      <c r="P163" t="s">
        <v>40</v>
      </c>
      <c r="Q163" t="s">
        <v>41</v>
      </c>
      <c r="R163" t="s">
        <v>44</v>
      </c>
      <c r="S163" t="s">
        <v>42</v>
      </c>
      <c r="T163">
        <v>1</v>
      </c>
      <c r="U163">
        <v>1</v>
      </c>
      <c r="V163">
        <v>1</v>
      </c>
      <c r="W163">
        <v>8.0000000000000002E-3</v>
      </c>
      <c r="X163">
        <v>1.4999999999999999E-2</v>
      </c>
      <c r="Y163">
        <v>3</v>
      </c>
      <c r="Z163">
        <v>12</v>
      </c>
      <c r="AA163">
        <v>12</v>
      </c>
      <c r="AB163">
        <v>1500</v>
      </c>
      <c r="AC163" t="s">
        <v>113</v>
      </c>
      <c r="AD163" t="s">
        <v>410</v>
      </c>
      <c r="AE163" t="s">
        <v>164</v>
      </c>
      <c r="AF163">
        <v>96</v>
      </c>
      <c r="AG163">
        <f t="shared" si="8"/>
        <v>12</v>
      </c>
      <c r="AH163" s="5">
        <f t="shared" si="9"/>
        <v>96</v>
      </c>
      <c r="AI163">
        <f t="shared" si="10"/>
        <v>2</v>
      </c>
      <c r="AJ163" t="str">
        <f t="shared" si="11"/>
        <v>JSP_mid_C3</v>
      </c>
      <c r="AK163" t="s">
        <v>718</v>
      </c>
    </row>
    <row r="164" spans="1:38" x14ac:dyDescent="0.25">
      <c r="A164">
        <v>163</v>
      </c>
      <c r="B164" t="s">
        <v>291</v>
      </c>
      <c r="C164" t="s">
        <v>417</v>
      </c>
      <c r="D164" t="s">
        <v>375</v>
      </c>
      <c r="E164" t="s">
        <v>409</v>
      </c>
      <c r="F164">
        <v>2017</v>
      </c>
      <c r="G164" t="s">
        <v>44</v>
      </c>
      <c r="H164" t="s">
        <v>36</v>
      </c>
      <c r="I164" t="s">
        <v>107</v>
      </c>
      <c r="J164" t="s">
        <v>38</v>
      </c>
      <c r="K164" t="s">
        <v>39</v>
      </c>
      <c r="L164" t="s">
        <v>69</v>
      </c>
      <c r="M164" s="1">
        <v>42854</v>
      </c>
      <c r="N164">
        <v>47.222638000000003</v>
      </c>
      <c r="O164">
        <v>-122.810339</v>
      </c>
      <c r="P164" t="s">
        <v>40</v>
      </c>
      <c r="Q164" t="s">
        <v>41</v>
      </c>
      <c r="R164" t="s">
        <v>44</v>
      </c>
      <c r="S164" t="s">
        <v>42</v>
      </c>
      <c r="T164">
        <v>1</v>
      </c>
      <c r="U164">
        <v>1</v>
      </c>
      <c r="V164">
        <v>1</v>
      </c>
      <c r="W164">
        <v>8.0000000000000002E-3</v>
      </c>
      <c r="X164">
        <v>1.4999999999999999E-2</v>
      </c>
      <c r="Y164">
        <v>3</v>
      </c>
      <c r="Z164">
        <v>12</v>
      </c>
      <c r="AA164">
        <v>12</v>
      </c>
      <c r="AB164">
        <v>1500</v>
      </c>
      <c r="AC164" t="s">
        <v>113</v>
      </c>
      <c r="AD164" t="s">
        <v>410</v>
      </c>
      <c r="AE164" t="s">
        <v>164</v>
      </c>
      <c r="AF164">
        <v>96</v>
      </c>
      <c r="AG164">
        <f t="shared" si="8"/>
        <v>12</v>
      </c>
      <c r="AH164" s="5">
        <f t="shared" si="9"/>
        <v>96</v>
      </c>
      <c r="AI164">
        <f t="shared" si="10"/>
        <v>2</v>
      </c>
      <c r="AJ164" t="str">
        <f t="shared" si="11"/>
        <v>JSP_mid_BG3</v>
      </c>
      <c r="AK164" t="s">
        <v>718</v>
      </c>
    </row>
    <row r="165" spans="1:38" x14ac:dyDescent="0.25">
      <c r="A165">
        <v>164</v>
      </c>
      <c r="B165" t="s">
        <v>291</v>
      </c>
      <c r="C165" t="s">
        <v>418</v>
      </c>
      <c r="D165" t="s">
        <v>377</v>
      </c>
      <c r="E165" t="s">
        <v>409</v>
      </c>
      <c r="F165">
        <v>2017</v>
      </c>
      <c r="G165" t="s">
        <v>44</v>
      </c>
      <c r="H165" t="s">
        <v>36</v>
      </c>
      <c r="I165" t="s">
        <v>107</v>
      </c>
      <c r="J165" t="s">
        <v>38</v>
      </c>
      <c r="K165" t="s">
        <v>39</v>
      </c>
      <c r="L165" t="s">
        <v>69</v>
      </c>
      <c r="M165" s="1">
        <v>42854</v>
      </c>
      <c r="N165">
        <v>47.222659</v>
      </c>
      <c r="O165">
        <v>-122.810361</v>
      </c>
      <c r="P165" t="s">
        <v>40</v>
      </c>
      <c r="Q165" t="s">
        <v>41</v>
      </c>
      <c r="R165" t="s">
        <v>44</v>
      </c>
      <c r="S165" t="s">
        <v>42</v>
      </c>
      <c r="T165">
        <v>1</v>
      </c>
      <c r="U165">
        <v>1</v>
      </c>
      <c r="V165">
        <v>1</v>
      </c>
      <c r="W165">
        <v>8.0000000000000002E-3</v>
      </c>
      <c r="X165">
        <v>1.4999999999999999E-2</v>
      </c>
      <c r="Y165">
        <v>3</v>
      </c>
      <c r="Z165">
        <v>12</v>
      </c>
      <c r="AA165">
        <v>12</v>
      </c>
      <c r="AB165">
        <v>1500</v>
      </c>
      <c r="AC165" t="s">
        <v>113</v>
      </c>
      <c r="AD165" t="s">
        <v>410</v>
      </c>
      <c r="AE165" t="s">
        <v>164</v>
      </c>
      <c r="AF165">
        <v>96</v>
      </c>
      <c r="AG165">
        <f t="shared" si="8"/>
        <v>12</v>
      </c>
      <c r="AH165" s="5">
        <f t="shared" si="9"/>
        <v>96</v>
      </c>
      <c r="AI165">
        <f t="shared" si="10"/>
        <v>2</v>
      </c>
      <c r="AJ165" t="str">
        <f t="shared" si="11"/>
        <v>JSP_mid_C4</v>
      </c>
      <c r="AK165" t="s">
        <v>718</v>
      </c>
    </row>
    <row r="166" spans="1:38" x14ac:dyDescent="0.25">
      <c r="A166">
        <v>165</v>
      </c>
      <c r="B166" t="s">
        <v>291</v>
      </c>
      <c r="C166" t="s">
        <v>419</v>
      </c>
      <c r="D166" t="s">
        <v>379</v>
      </c>
      <c r="E166" t="s">
        <v>409</v>
      </c>
      <c r="F166">
        <v>2017</v>
      </c>
      <c r="G166" t="s">
        <v>44</v>
      </c>
      <c r="H166" t="s">
        <v>36</v>
      </c>
      <c r="I166" t="s">
        <v>107</v>
      </c>
      <c r="J166" t="s">
        <v>38</v>
      </c>
      <c r="K166" t="s">
        <v>39</v>
      </c>
      <c r="L166" t="s">
        <v>69</v>
      </c>
      <c r="M166" s="1">
        <v>42854</v>
      </c>
      <c r="N166">
        <v>47.222687999999998</v>
      </c>
      <c r="O166">
        <v>-122.810372</v>
      </c>
      <c r="P166" t="s">
        <v>40</v>
      </c>
      <c r="Q166" t="s">
        <v>41</v>
      </c>
      <c r="R166" t="s">
        <v>44</v>
      </c>
      <c r="S166" t="s">
        <v>42</v>
      </c>
      <c r="T166">
        <v>1</v>
      </c>
      <c r="U166">
        <v>1</v>
      </c>
      <c r="V166">
        <v>1</v>
      </c>
      <c r="W166">
        <v>8.0000000000000002E-3</v>
      </c>
      <c r="X166">
        <v>1.4999999999999999E-2</v>
      </c>
      <c r="Y166">
        <v>3</v>
      </c>
      <c r="Z166">
        <v>12</v>
      </c>
      <c r="AA166">
        <v>12</v>
      </c>
      <c r="AB166">
        <v>1500</v>
      </c>
      <c r="AC166" t="s">
        <v>113</v>
      </c>
      <c r="AD166" t="s">
        <v>410</v>
      </c>
      <c r="AE166" t="s">
        <v>164</v>
      </c>
      <c r="AF166">
        <v>96</v>
      </c>
      <c r="AG166">
        <f t="shared" si="8"/>
        <v>12</v>
      </c>
      <c r="AH166" s="5">
        <f t="shared" si="9"/>
        <v>96</v>
      </c>
      <c r="AI166">
        <f t="shared" si="10"/>
        <v>2</v>
      </c>
      <c r="AJ166" t="str">
        <f t="shared" si="11"/>
        <v>JSP_mid_BG4</v>
      </c>
      <c r="AK166" t="s">
        <v>718</v>
      </c>
    </row>
    <row r="167" spans="1:38" x14ac:dyDescent="0.25">
      <c r="A167">
        <v>166</v>
      </c>
      <c r="B167" t="s">
        <v>291</v>
      </c>
      <c r="C167" t="s">
        <v>420</v>
      </c>
      <c r="D167" t="s">
        <v>381</v>
      </c>
      <c r="E167" t="s">
        <v>409</v>
      </c>
      <c r="F167">
        <v>2017</v>
      </c>
      <c r="G167" t="s">
        <v>44</v>
      </c>
      <c r="H167" t="s">
        <v>36</v>
      </c>
      <c r="I167" t="s">
        <v>107</v>
      </c>
      <c r="J167" t="s">
        <v>38</v>
      </c>
      <c r="K167" t="s">
        <v>39</v>
      </c>
      <c r="L167" t="s">
        <v>69</v>
      </c>
      <c r="M167" s="1">
        <v>42854</v>
      </c>
      <c r="N167">
        <v>47.222720000000002</v>
      </c>
      <c r="O167">
        <v>-122.81038599999999</v>
      </c>
      <c r="P167" t="s">
        <v>40</v>
      </c>
      <c r="Q167" t="s">
        <v>41</v>
      </c>
      <c r="R167" t="s">
        <v>44</v>
      </c>
      <c r="S167" t="s">
        <v>42</v>
      </c>
      <c r="T167">
        <v>1</v>
      </c>
      <c r="U167">
        <v>1</v>
      </c>
      <c r="V167">
        <v>1</v>
      </c>
      <c r="W167">
        <v>8.0000000000000002E-3</v>
      </c>
      <c r="X167">
        <v>1.4999999999999999E-2</v>
      </c>
      <c r="Y167">
        <v>3</v>
      </c>
      <c r="Z167">
        <v>12</v>
      </c>
      <c r="AA167">
        <v>12</v>
      </c>
      <c r="AB167">
        <v>1500</v>
      </c>
      <c r="AC167" t="s">
        <v>113</v>
      </c>
      <c r="AD167" t="s">
        <v>410</v>
      </c>
      <c r="AE167" t="s">
        <v>164</v>
      </c>
      <c r="AF167">
        <v>96</v>
      </c>
      <c r="AG167">
        <f t="shared" si="8"/>
        <v>12</v>
      </c>
      <c r="AH167" s="5">
        <f t="shared" si="9"/>
        <v>96</v>
      </c>
      <c r="AI167">
        <f t="shared" si="10"/>
        <v>2</v>
      </c>
      <c r="AJ167" t="str">
        <f t="shared" si="11"/>
        <v>JSP_mid_AG3</v>
      </c>
      <c r="AK167" t="s">
        <v>718</v>
      </c>
    </row>
    <row r="168" spans="1:38" x14ac:dyDescent="0.25">
      <c r="A168">
        <v>167</v>
      </c>
      <c r="B168" t="s">
        <v>291</v>
      </c>
      <c r="C168" t="s">
        <v>421</v>
      </c>
      <c r="D168" t="s">
        <v>383</v>
      </c>
      <c r="E168" t="s">
        <v>409</v>
      </c>
      <c r="F168">
        <v>2017</v>
      </c>
      <c r="G168" t="s">
        <v>44</v>
      </c>
      <c r="H168" t="s">
        <v>36</v>
      </c>
      <c r="I168" t="s">
        <v>107</v>
      </c>
      <c r="J168" t="s">
        <v>38</v>
      </c>
      <c r="K168" t="s">
        <v>39</v>
      </c>
      <c r="L168" t="s">
        <v>69</v>
      </c>
      <c r="M168" s="1">
        <v>42854</v>
      </c>
      <c r="N168">
        <v>47.222732999999998</v>
      </c>
      <c r="O168">
        <v>-122.8104</v>
      </c>
      <c r="P168" t="s">
        <v>40</v>
      </c>
      <c r="Q168" t="s">
        <v>41</v>
      </c>
      <c r="R168" t="s">
        <v>44</v>
      </c>
      <c r="S168" t="s">
        <v>42</v>
      </c>
      <c r="T168">
        <v>1</v>
      </c>
      <c r="U168">
        <v>1</v>
      </c>
      <c r="V168">
        <v>1</v>
      </c>
      <c r="W168">
        <v>8.0000000000000002E-3</v>
      </c>
      <c r="X168">
        <v>1.4999999999999999E-2</v>
      </c>
      <c r="Y168">
        <v>3</v>
      </c>
      <c r="Z168">
        <v>12</v>
      </c>
      <c r="AA168">
        <v>12</v>
      </c>
      <c r="AB168">
        <v>1500</v>
      </c>
      <c r="AC168" t="s">
        <v>113</v>
      </c>
      <c r="AD168" t="s">
        <v>410</v>
      </c>
      <c r="AE168" t="s">
        <v>164</v>
      </c>
      <c r="AF168">
        <v>96</v>
      </c>
      <c r="AG168">
        <f t="shared" si="8"/>
        <v>12</v>
      </c>
      <c r="AH168" s="5">
        <f t="shared" si="9"/>
        <v>96</v>
      </c>
      <c r="AI168">
        <f t="shared" si="10"/>
        <v>2</v>
      </c>
      <c r="AJ168" t="str">
        <f t="shared" si="11"/>
        <v>JSP_mid_AG4</v>
      </c>
      <c r="AK168" t="s">
        <v>718</v>
      </c>
    </row>
    <row r="169" spans="1:38" x14ac:dyDescent="0.25">
      <c r="A169">
        <v>168</v>
      </c>
      <c r="B169" t="s">
        <v>291</v>
      </c>
      <c r="C169" t="s">
        <v>402</v>
      </c>
      <c r="D169" t="s">
        <v>403</v>
      </c>
      <c r="E169" t="s">
        <v>34</v>
      </c>
      <c r="F169">
        <v>2018</v>
      </c>
      <c r="G169" t="s">
        <v>44</v>
      </c>
      <c r="H169" t="s">
        <v>36</v>
      </c>
      <c r="I169" t="s">
        <v>107</v>
      </c>
      <c r="J169" t="s">
        <v>38</v>
      </c>
      <c r="K169" t="s">
        <v>39</v>
      </c>
      <c r="L169" t="s">
        <v>39</v>
      </c>
      <c r="M169" s="1">
        <v>43264</v>
      </c>
      <c r="N169" t="s">
        <v>44</v>
      </c>
      <c r="O169" t="s">
        <v>44</v>
      </c>
      <c r="P169" t="s">
        <v>238</v>
      </c>
      <c r="Q169" t="s">
        <v>41</v>
      </c>
      <c r="R169" t="s">
        <v>44</v>
      </c>
      <c r="S169" t="s">
        <v>55</v>
      </c>
      <c r="T169">
        <v>4</v>
      </c>
      <c r="U169">
        <v>0.25</v>
      </c>
      <c r="V169">
        <v>1</v>
      </c>
      <c r="W169">
        <v>0.25</v>
      </c>
      <c r="X169">
        <v>0.1</v>
      </c>
      <c r="Y169">
        <v>4</v>
      </c>
      <c r="Z169">
        <v>100</v>
      </c>
      <c r="AA169">
        <v>100</v>
      </c>
      <c r="AB169">
        <v>400</v>
      </c>
      <c r="AC169" t="s">
        <v>99</v>
      </c>
      <c r="AD169" t="s">
        <v>422</v>
      </c>
      <c r="AE169" t="s">
        <v>164</v>
      </c>
      <c r="AF169">
        <v>97</v>
      </c>
      <c r="AG169">
        <f t="shared" si="8"/>
        <v>1</v>
      </c>
      <c r="AH169" s="5" t="str">
        <f t="shared" si="9"/>
        <v/>
      </c>
      <c r="AI169">
        <f t="shared" si="10"/>
        <v>5</v>
      </c>
      <c r="AJ169" s="7" t="str">
        <f t="shared" si="11"/>
        <v>JSP_mid_south_2</v>
      </c>
      <c r="AL169" t="s">
        <v>162</v>
      </c>
    </row>
    <row r="170" spans="1:38" x14ac:dyDescent="0.25">
      <c r="A170">
        <v>169</v>
      </c>
      <c r="B170" t="s">
        <v>291</v>
      </c>
      <c r="C170" t="s">
        <v>423</v>
      </c>
      <c r="D170" t="s">
        <v>424</v>
      </c>
      <c r="E170" t="s">
        <v>34</v>
      </c>
      <c r="F170">
        <v>2018</v>
      </c>
      <c r="G170" t="s">
        <v>44</v>
      </c>
      <c r="H170" t="s">
        <v>36</v>
      </c>
      <c r="I170" t="s">
        <v>107</v>
      </c>
      <c r="J170" t="s">
        <v>38</v>
      </c>
      <c r="K170" t="s">
        <v>39</v>
      </c>
      <c r="L170" t="s">
        <v>39</v>
      </c>
      <c r="M170" s="1">
        <v>43264</v>
      </c>
      <c r="N170" t="s">
        <v>44</v>
      </c>
      <c r="O170" t="s">
        <v>44</v>
      </c>
      <c r="P170" t="s">
        <v>238</v>
      </c>
      <c r="Q170" t="s">
        <v>41</v>
      </c>
      <c r="R170" t="s">
        <v>44</v>
      </c>
      <c r="S170" t="s">
        <v>55</v>
      </c>
      <c r="T170">
        <v>3</v>
      </c>
      <c r="U170">
        <v>0.25</v>
      </c>
      <c r="V170">
        <v>0.75</v>
      </c>
      <c r="W170">
        <v>0.25</v>
      </c>
      <c r="X170">
        <v>7.4999999999999997E-2</v>
      </c>
      <c r="Y170">
        <v>3</v>
      </c>
      <c r="Z170">
        <v>75</v>
      </c>
      <c r="AA170">
        <v>100</v>
      </c>
      <c r="AB170">
        <v>300</v>
      </c>
      <c r="AC170" t="s">
        <v>99</v>
      </c>
      <c r="AD170" t="s">
        <v>425</v>
      </c>
      <c r="AE170" t="s">
        <v>164</v>
      </c>
      <c r="AF170">
        <v>98</v>
      </c>
      <c r="AG170">
        <f t="shared" si="8"/>
        <v>1</v>
      </c>
      <c r="AH170" s="5" t="str">
        <f t="shared" si="9"/>
        <v/>
      </c>
      <c r="AI170">
        <f t="shared" si="10"/>
        <v>1</v>
      </c>
      <c r="AJ170" t="str">
        <f t="shared" si="11"/>
        <v/>
      </c>
    </row>
    <row r="171" spans="1:38" x14ac:dyDescent="0.25">
      <c r="A171">
        <v>170</v>
      </c>
      <c r="B171" t="s">
        <v>291</v>
      </c>
      <c r="C171" t="s">
        <v>426</v>
      </c>
      <c r="D171" t="s">
        <v>427</v>
      </c>
      <c r="E171" t="s">
        <v>409</v>
      </c>
      <c r="F171">
        <v>2018</v>
      </c>
      <c r="G171" t="s">
        <v>44</v>
      </c>
      <c r="H171" t="s">
        <v>36</v>
      </c>
      <c r="I171" t="s">
        <v>107</v>
      </c>
      <c r="J171" t="s">
        <v>38</v>
      </c>
      <c r="K171" t="s">
        <v>39</v>
      </c>
      <c r="L171" t="s">
        <v>39</v>
      </c>
      <c r="M171" s="1">
        <v>43295</v>
      </c>
      <c r="N171">
        <v>47.222470000000001</v>
      </c>
      <c r="O171">
        <v>-122.81049</v>
      </c>
      <c r="P171" t="s">
        <v>40</v>
      </c>
      <c r="Q171" t="s">
        <v>41</v>
      </c>
      <c r="R171" t="s">
        <v>44</v>
      </c>
      <c r="S171" t="s">
        <v>55</v>
      </c>
      <c r="T171">
        <v>0.5</v>
      </c>
      <c r="U171">
        <v>0.5</v>
      </c>
      <c r="V171">
        <v>0.25</v>
      </c>
      <c r="W171">
        <v>0.25</v>
      </c>
      <c r="X171">
        <v>7.4999999999999997E-2</v>
      </c>
      <c r="Y171">
        <v>3</v>
      </c>
      <c r="Z171">
        <v>63</v>
      </c>
      <c r="AA171">
        <v>252</v>
      </c>
      <c r="AB171">
        <v>252</v>
      </c>
      <c r="AC171" t="s">
        <v>99</v>
      </c>
      <c r="AD171" t="s">
        <v>428</v>
      </c>
      <c r="AE171" t="s">
        <v>164</v>
      </c>
      <c r="AF171">
        <v>99</v>
      </c>
      <c r="AG171">
        <f t="shared" si="8"/>
        <v>1</v>
      </c>
      <c r="AH171" s="5" t="str">
        <f t="shared" si="9"/>
        <v/>
      </c>
      <c r="AI171">
        <f t="shared" si="10"/>
        <v>2</v>
      </c>
      <c r="AJ171" s="7" t="str">
        <f t="shared" si="11"/>
        <v>JSP_mid_1</v>
      </c>
      <c r="AK171" t="s">
        <v>409</v>
      </c>
    </row>
    <row r="172" spans="1:38" x14ac:dyDescent="0.25">
      <c r="A172">
        <v>171</v>
      </c>
      <c r="B172" t="s">
        <v>291</v>
      </c>
      <c r="C172" t="s">
        <v>429</v>
      </c>
      <c r="D172" t="s">
        <v>427</v>
      </c>
      <c r="E172" t="s">
        <v>409</v>
      </c>
      <c r="F172">
        <v>2018</v>
      </c>
      <c r="G172" t="s">
        <v>44</v>
      </c>
      <c r="H172" t="s">
        <v>36</v>
      </c>
      <c r="I172" t="s">
        <v>107</v>
      </c>
      <c r="J172" t="s">
        <v>38</v>
      </c>
      <c r="K172" t="s">
        <v>39</v>
      </c>
      <c r="L172" t="s">
        <v>39</v>
      </c>
      <c r="M172" s="1">
        <v>43295</v>
      </c>
      <c r="N172">
        <v>47.222470000000001</v>
      </c>
      <c r="O172">
        <v>-122.81049</v>
      </c>
      <c r="P172" t="s">
        <v>40</v>
      </c>
      <c r="Q172" t="s">
        <v>41</v>
      </c>
      <c r="R172" t="s">
        <v>44</v>
      </c>
      <c r="S172" t="s">
        <v>430</v>
      </c>
      <c r="T172">
        <v>0.5</v>
      </c>
      <c r="U172">
        <v>0.5</v>
      </c>
      <c r="V172">
        <v>0.25</v>
      </c>
      <c r="W172">
        <v>0.25</v>
      </c>
      <c r="X172">
        <v>7.0650000000000004E-2</v>
      </c>
      <c r="Y172">
        <v>9</v>
      </c>
      <c r="Z172">
        <v>63</v>
      </c>
      <c r="AA172">
        <v>252</v>
      </c>
      <c r="AB172">
        <v>252</v>
      </c>
      <c r="AC172" t="s">
        <v>99</v>
      </c>
      <c r="AD172" t="s">
        <v>431</v>
      </c>
      <c r="AE172" t="s">
        <v>164</v>
      </c>
      <c r="AF172">
        <v>100</v>
      </c>
      <c r="AG172">
        <f t="shared" si="8"/>
        <v>1</v>
      </c>
      <c r="AH172" s="5" t="str">
        <f t="shared" si="9"/>
        <v/>
      </c>
      <c r="AI172">
        <f t="shared" si="10"/>
        <v>2</v>
      </c>
      <c r="AJ172" s="7" t="str">
        <f t="shared" si="11"/>
        <v>JSP_mid_1</v>
      </c>
      <c r="AK172" t="s">
        <v>409</v>
      </c>
    </row>
    <row r="173" spans="1:38" x14ac:dyDescent="0.25">
      <c r="A173">
        <v>172</v>
      </c>
      <c r="B173" t="s">
        <v>291</v>
      </c>
      <c r="C173" t="s">
        <v>432</v>
      </c>
      <c r="D173" t="s">
        <v>433</v>
      </c>
      <c r="E173" t="s">
        <v>34</v>
      </c>
      <c r="F173">
        <v>2018</v>
      </c>
      <c r="G173" t="s">
        <v>44</v>
      </c>
      <c r="H173" t="s">
        <v>36</v>
      </c>
      <c r="I173" t="s">
        <v>107</v>
      </c>
      <c r="J173" t="s">
        <v>38</v>
      </c>
      <c r="K173" t="s">
        <v>39</v>
      </c>
      <c r="L173" t="s">
        <v>39</v>
      </c>
      <c r="M173" s="1">
        <v>43295</v>
      </c>
      <c r="N173" t="s">
        <v>44</v>
      </c>
      <c r="O173" t="s">
        <v>44</v>
      </c>
      <c r="P173" t="s">
        <v>238</v>
      </c>
      <c r="Q173" t="s">
        <v>41</v>
      </c>
      <c r="R173" t="s">
        <v>44</v>
      </c>
      <c r="S173" t="s">
        <v>430</v>
      </c>
      <c r="T173">
        <v>0.5</v>
      </c>
      <c r="U173">
        <v>0.5</v>
      </c>
      <c r="V173">
        <v>0.25</v>
      </c>
      <c r="W173">
        <v>0.25</v>
      </c>
      <c r="X173">
        <v>7.0650000000000004E-2</v>
      </c>
      <c r="Y173">
        <v>9</v>
      </c>
      <c r="Z173">
        <v>63</v>
      </c>
      <c r="AA173">
        <v>252</v>
      </c>
      <c r="AB173">
        <v>252</v>
      </c>
      <c r="AC173" t="s">
        <v>99</v>
      </c>
      <c r="AD173" t="s">
        <v>431</v>
      </c>
      <c r="AE173" t="s">
        <v>164</v>
      </c>
      <c r="AF173">
        <v>101</v>
      </c>
      <c r="AG173">
        <f t="shared" si="8"/>
        <v>1</v>
      </c>
      <c r="AH173" s="5" t="str">
        <f t="shared" si="9"/>
        <v/>
      </c>
      <c r="AI173">
        <f t="shared" si="10"/>
        <v>2</v>
      </c>
      <c r="AJ173" s="7" t="str">
        <f t="shared" si="11"/>
        <v>JSP_mid_2</v>
      </c>
      <c r="AK173" t="s">
        <v>409</v>
      </c>
      <c r="AL173" t="s">
        <v>716</v>
      </c>
    </row>
    <row r="174" spans="1:38" x14ac:dyDescent="0.25">
      <c r="A174">
        <v>173</v>
      </c>
      <c r="B174" t="s">
        <v>291</v>
      </c>
      <c r="C174" t="s">
        <v>434</v>
      </c>
      <c r="D174" t="s">
        <v>433</v>
      </c>
      <c r="E174" t="s">
        <v>34</v>
      </c>
      <c r="F174">
        <v>2018</v>
      </c>
      <c r="G174" t="s">
        <v>44</v>
      </c>
      <c r="H174" t="s">
        <v>36</v>
      </c>
      <c r="I174" t="s">
        <v>107</v>
      </c>
      <c r="J174" t="s">
        <v>38</v>
      </c>
      <c r="K174" t="s">
        <v>39</v>
      </c>
      <c r="L174" t="s">
        <v>39</v>
      </c>
      <c r="M174" s="1">
        <v>43295</v>
      </c>
      <c r="N174" t="s">
        <v>44</v>
      </c>
      <c r="O174" t="s">
        <v>44</v>
      </c>
      <c r="P174" t="s">
        <v>238</v>
      </c>
      <c r="Q174" t="s">
        <v>41</v>
      </c>
      <c r="R174" t="s">
        <v>44</v>
      </c>
      <c r="S174" t="s">
        <v>55</v>
      </c>
      <c r="T174">
        <v>0.5</v>
      </c>
      <c r="U174">
        <v>0.5</v>
      </c>
      <c r="V174">
        <v>0.25</v>
      </c>
      <c r="W174">
        <v>0.25</v>
      </c>
      <c r="X174">
        <v>7.4999999999999997E-2</v>
      </c>
      <c r="Y174">
        <v>3</v>
      </c>
      <c r="Z174">
        <v>63</v>
      </c>
      <c r="AA174">
        <v>252</v>
      </c>
      <c r="AB174">
        <v>252</v>
      </c>
      <c r="AC174" t="s">
        <v>99</v>
      </c>
      <c r="AD174" t="s">
        <v>435</v>
      </c>
      <c r="AE174" t="s">
        <v>164</v>
      </c>
      <c r="AF174">
        <v>102</v>
      </c>
      <c r="AG174">
        <f t="shared" si="8"/>
        <v>1</v>
      </c>
      <c r="AH174" s="5" t="str">
        <f t="shared" si="9"/>
        <v/>
      </c>
      <c r="AI174">
        <f t="shared" si="10"/>
        <v>2</v>
      </c>
      <c r="AJ174" s="7" t="str">
        <f t="shared" si="11"/>
        <v>JSP_mid_2</v>
      </c>
      <c r="AK174" t="s">
        <v>409</v>
      </c>
      <c r="AL174" t="s">
        <v>716</v>
      </c>
    </row>
    <row r="175" spans="1:38" x14ac:dyDescent="0.25">
      <c r="A175">
        <v>174</v>
      </c>
      <c r="B175" t="s">
        <v>291</v>
      </c>
      <c r="C175" t="s">
        <v>436</v>
      </c>
      <c r="D175" t="s">
        <v>437</v>
      </c>
      <c r="E175" t="s">
        <v>409</v>
      </c>
      <c r="F175">
        <v>2018</v>
      </c>
      <c r="G175" t="s">
        <v>44</v>
      </c>
      <c r="H175" t="s">
        <v>36</v>
      </c>
      <c r="I175" t="s">
        <v>107</v>
      </c>
      <c r="J175" t="s">
        <v>38</v>
      </c>
      <c r="K175" t="s">
        <v>39</v>
      </c>
      <c r="L175" t="s">
        <v>39</v>
      </c>
      <c r="M175" s="1">
        <v>43295</v>
      </c>
      <c r="N175">
        <v>47.222619999999999</v>
      </c>
      <c r="O175">
        <v>-122.81053</v>
      </c>
      <c r="P175" t="s">
        <v>40</v>
      </c>
      <c r="Q175" t="s">
        <v>41</v>
      </c>
      <c r="R175" t="s">
        <v>44</v>
      </c>
      <c r="S175" t="s">
        <v>55</v>
      </c>
      <c r="T175">
        <v>0.5</v>
      </c>
      <c r="U175">
        <v>0.5</v>
      </c>
      <c r="V175">
        <v>0.25</v>
      </c>
      <c r="W175">
        <v>0.25</v>
      </c>
      <c r="X175">
        <v>7.4999999999999997E-2</v>
      </c>
      <c r="Y175">
        <v>3</v>
      </c>
      <c r="Z175">
        <v>63</v>
      </c>
      <c r="AA175">
        <v>252</v>
      </c>
      <c r="AB175">
        <v>252</v>
      </c>
      <c r="AC175" t="s">
        <v>99</v>
      </c>
      <c r="AD175" t="s">
        <v>438</v>
      </c>
      <c r="AE175" t="s">
        <v>164</v>
      </c>
      <c r="AF175">
        <v>103</v>
      </c>
      <c r="AG175">
        <f t="shared" si="8"/>
        <v>1</v>
      </c>
      <c r="AH175" s="5" t="str">
        <f t="shared" si="9"/>
        <v/>
      </c>
      <c r="AI175">
        <f t="shared" si="10"/>
        <v>2</v>
      </c>
      <c r="AJ175" s="7" t="str">
        <f t="shared" si="11"/>
        <v>JSP_mid_3</v>
      </c>
      <c r="AK175" t="s">
        <v>409</v>
      </c>
    </row>
    <row r="176" spans="1:38" x14ac:dyDescent="0.25">
      <c r="A176">
        <v>175</v>
      </c>
      <c r="B176" t="s">
        <v>291</v>
      </c>
      <c r="C176" t="s">
        <v>439</v>
      </c>
      <c r="D176" t="s">
        <v>437</v>
      </c>
      <c r="E176" t="s">
        <v>34</v>
      </c>
      <c r="F176">
        <v>2018</v>
      </c>
      <c r="G176" t="s">
        <v>44</v>
      </c>
      <c r="H176" t="s">
        <v>36</v>
      </c>
      <c r="I176" t="s">
        <v>107</v>
      </c>
      <c r="J176" t="s">
        <v>38</v>
      </c>
      <c r="K176" t="s">
        <v>39</v>
      </c>
      <c r="L176" t="s">
        <v>39</v>
      </c>
      <c r="M176" s="1">
        <v>43295</v>
      </c>
      <c r="N176">
        <v>47.222619999999999</v>
      </c>
      <c r="O176">
        <v>-122.81053</v>
      </c>
      <c r="P176" t="s">
        <v>40</v>
      </c>
      <c r="Q176" t="s">
        <v>41</v>
      </c>
      <c r="R176" t="s">
        <v>44</v>
      </c>
      <c r="S176" t="s">
        <v>430</v>
      </c>
      <c r="T176">
        <v>0.5</v>
      </c>
      <c r="U176">
        <v>0.5</v>
      </c>
      <c r="V176">
        <v>0.25</v>
      </c>
      <c r="W176">
        <v>0.25</v>
      </c>
      <c r="X176">
        <v>7.0650000000000004E-2</v>
      </c>
      <c r="Y176">
        <v>9</v>
      </c>
      <c r="Z176">
        <v>63</v>
      </c>
      <c r="AA176">
        <v>252</v>
      </c>
      <c r="AB176">
        <v>252</v>
      </c>
      <c r="AC176" t="s">
        <v>99</v>
      </c>
      <c r="AD176" t="s">
        <v>440</v>
      </c>
      <c r="AE176" t="s">
        <v>164</v>
      </c>
      <c r="AF176">
        <v>104</v>
      </c>
      <c r="AG176">
        <f t="shared" si="8"/>
        <v>1</v>
      </c>
      <c r="AH176" s="5" t="str">
        <f t="shared" si="9"/>
        <v/>
      </c>
      <c r="AI176">
        <f t="shared" si="10"/>
        <v>2</v>
      </c>
      <c r="AJ176" s="7" t="str">
        <f t="shared" si="11"/>
        <v>JSP_mid_3</v>
      </c>
      <c r="AK176" t="s">
        <v>409</v>
      </c>
    </row>
    <row r="177" spans="1:36" x14ac:dyDescent="0.25">
      <c r="A177">
        <v>176</v>
      </c>
      <c r="B177" t="s">
        <v>291</v>
      </c>
      <c r="C177" t="s">
        <v>441</v>
      </c>
      <c r="D177" t="s">
        <v>442</v>
      </c>
      <c r="E177" t="s">
        <v>34</v>
      </c>
      <c r="F177">
        <v>2020</v>
      </c>
      <c r="G177" t="s">
        <v>44</v>
      </c>
      <c r="H177" t="s">
        <v>36</v>
      </c>
      <c r="I177" t="s">
        <v>107</v>
      </c>
      <c r="J177" t="s">
        <v>38</v>
      </c>
      <c r="K177" t="s">
        <v>39</v>
      </c>
      <c r="L177" t="s">
        <v>39</v>
      </c>
      <c r="M177" s="1">
        <v>44018</v>
      </c>
      <c r="N177">
        <v>47.222589999999997</v>
      </c>
      <c r="O177">
        <v>-122.81049</v>
      </c>
      <c r="P177" t="s">
        <v>40</v>
      </c>
      <c r="Q177" t="s">
        <v>41</v>
      </c>
      <c r="R177">
        <v>-1.3</v>
      </c>
      <c r="S177" t="s">
        <v>55</v>
      </c>
      <c r="T177">
        <v>8</v>
      </c>
      <c r="U177">
        <v>0.5</v>
      </c>
      <c r="V177">
        <v>4</v>
      </c>
      <c r="W177">
        <v>1</v>
      </c>
      <c r="X177">
        <v>0.3</v>
      </c>
      <c r="Y177">
        <v>12</v>
      </c>
      <c r="Z177">
        <v>240</v>
      </c>
      <c r="AA177">
        <v>60</v>
      </c>
      <c r="AB177">
        <v>240</v>
      </c>
      <c r="AC177" t="s">
        <v>113</v>
      </c>
      <c r="AD177" t="s">
        <v>443</v>
      </c>
      <c r="AE177" t="s">
        <v>164</v>
      </c>
      <c r="AF177">
        <v>105</v>
      </c>
      <c r="AG177">
        <f t="shared" si="8"/>
        <v>1</v>
      </c>
      <c r="AH177" s="5" t="str">
        <f t="shared" si="9"/>
        <v/>
      </c>
      <c r="AI177">
        <f t="shared" si="10"/>
        <v>1</v>
      </c>
      <c r="AJ177" t="str">
        <f t="shared" si="11"/>
        <v/>
      </c>
    </row>
    <row r="178" spans="1:36" x14ac:dyDescent="0.25">
      <c r="A178">
        <v>177</v>
      </c>
      <c r="B178" t="s">
        <v>291</v>
      </c>
      <c r="C178" t="s">
        <v>444</v>
      </c>
      <c r="D178" t="s">
        <v>445</v>
      </c>
      <c r="E178" t="s">
        <v>34</v>
      </c>
      <c r="F178">
        <v>2020</v>
      </c>
      <c r="G178" t="s">
        <v>44</v>
      </c>
      <c r="H178" t="s">
        <v>36</v>
      </c>
      <c r="I178" t="s">
        <v>107</v>
      </c>
      <c r="J178" t="s">
        <v>38</v>
      </c>
      <c r="K178" t="s">
        <v>39</v>
      </c>
      <c r="L178" t="s">
        <v>39</v>
      </c>
      <c r="M178" s="1">
        <v>44011</v>
      </c>
      <c r="N178">
        <v>47.207729999999998</v>
      </c>
      <c r="O178">
        <v>-122.80525</v>
      </c>
      <c r="P178" t="s">
        <v>40</v>
      </c>
      <c r="Q178" t="s">
        <v>41</v>
      </c>
      <c r="R178">
        <v>-1.9</v>
      </c>
      <c r="S178" t="s">
        <v>55</v>
      </c>
      <c r="T178">
        <v>2.5</v>
      </c>
      <c r="U178">
        <v>2.5</v>
      </c>
      <c r="V178">
        <v>6.25</v>
      </c>
      <c r="W178">
        <v>5</v>
      </c>
      <c r="X178">
        <v>0.5</v>
      </c>
      <c r="Y178">
        <v>20</v>
      </c>
      <c r="Z178">
        <v>500</v>
      </c>
      <c r="AA178">
        <v>80</v>
      </c>
      <c r="AB178">
        <v>100</v>
      </c>
      <c r="AC178" t="s">
        <v>65</v>
      </c>
      <c r="AD178" t="s">
        <v>446</v>
      </c>
      <c r="AE178" t="s">
        <v>90</v>
      </c>
      <c r="AF178">
        <v>106</v>
      </c>
      <c r="AG178">
        <f t="shared" si="8"/>
        <v>1</v>
      </c>
      <c r="AH178" s="5" t="str">
        <f t="shared" si="9"/>
        <v/>
      </c>
      <c r="AI178">
        <f t="shared" si="10"/>
        <v>1</v>
      </c>
      <c r="AJ178" t="str">
        <f t="shared" si="11"/>
        <v/>
      </c>
    </row>
    <row r="179" spans="1:36" x14ac:dyDescent="0.25">
      <c r="A179">
        <v>178</v>
      </c>
      <c r="B179" t="s">
        <v>291</v>
      </c>
      <c r="C179" t="s">
        <v>447</v>
      </c>
      <c r="D179" t="s">
        <v>448</v>
      </c>
      <c r="E179" t="s">
        <v>34</v>
      </c>
      <c r="F179">
        <v>2021</v>
      </c>
      <c r="G179" t="s">
        <v>44</v>
      </c>
      <c r="H179" t="s">
        <v>36</v>
      </c>
      <c r="I179" t="s">
        <v>107</v>
      </c>
      <c r="J179" t="s">
        <v>38</v>
      </c>
      <c r="K179" t="s">
        <v>39</v>
      </c>
      <c r="L179" t="s">
        <v>39</v>
      </c>
      <c r="M179" s="1">
        <v>44372</v>
      </c>
      <c r="N179" t="s">
        <v>44</v>
      </c>
      <c r="O179" t="s">
        <v>44</v>
      </c>
      <c r="P179" t="s">
        <v>40</v>
      </c>
      <c r="Q179" t="s">
        <v>41</v>
      </c>
      <c r="R179">
        <v>-1.5</v>
      </c>
      <c r="S179" t="s">
        <v>55</v>
      </c>
      <c r="T179">
        <v>3.5</v>
      </c>
      <c r="U179">
        <v>0.5</v>
      </c>
      <c r="V179">
        <v>1.75</v>
      </c>
      <c r="W179">
        <v>2.25</v>
      </c>
      <c r="X179">
        <v>0.22500000000000001</v>
      </c>
      <c r="Y179">
        <v>9</v>
      </c>
      <c r="Z179">
        <v>135</v>
      </c>
      <c r="AA179">
        <v>77.142857142857096</v>
      </c>
      <c r="AB179">
        <v>60</v>
      </c>
      <c r="AC179" t="s">
        <v>99</v>
      </c>
      <c r="AD179" t="s">
        <v>449</v>
      </c>
      <c r="AE179" t="s">
        <v>164</v>
      </c>
      <c r="AF179">
        <v>107</v>
      </c>
      <c r="AG179">
        <f t="shared" si="8"/>
        <v>1</v>
      </c>
      <c r="AH179" s="5" t="str">
        <f t="shared" si="9"/>
        <v/>
      </c>
      <c r="AI179">
        <f t="shared" si="10"/>
        <v>1</v>
      </c>
      <c r="AJ179" t="str">
        <f t="shared" si="11"/>
        <v/>
      </c>
    </row>
    <row r="180" spans="1:36" x14ac:dyDescent="0.25">
      <c r="A180">
        <v>179</v>
      </c>
      <c r="B180" t="s">
        <v>291</v>
      </c>
      <c r="C180" t="s">
        <v>450</v>
      </c>
      <c r="D180" t="s">
        <v>451</v>
      </c>
      <c r="E180" t="s">
        <v>34</v>
      </c>
      <c r="F180">
        <v>2022</v>
      </c>
      <c r="G180" t="s">
        <v>44</v>
      </c>
      <c r="H180" t="s">
        <v>36</v>
      </c>
      <c r="I180" t="s">
        <v>107</v>
      </c>
      <c r="J180" t="s">
        <v>38</v>
      </c>
      <c r="K180" t="s">
        <v>39</v>
      </c>
      <c r="L180" t="s">
        <v>39</v>
      </c>
      <c r="M180" s="1">
        <v>44729</v>
      </c>
      <c r="N180" t="s">
        <v>44</v>
      </c>
      <c r="O180" t="s">
        <v>44</v>
      </c>
      <c r="P180" t="s">
        <v>40</v>
      </c>
      <c r="Q180" t="s">
        <v>41</v>
      </c>
      <c r="R180">
        <v>-1.5</v>
      </c>
      <c r="S180" t="s">
        <v>55</v>
      </c>
      <c r="T180">
        <v>2.5</v>
      </c>
      <c r="U180">
        <v>0.5</v>
      </c>
      <c r="V180">
        <v>1.25</v>
      </c>
      <c r="W180">
        <v>1.75</v>
      </c>
      <c r="X180">
        <v>0.375</v>
      </c>
      <c r="Y180">
        <v>15</v>
      </c>
      <c r="Z180">
        <v>180</v>
      </c>
      <c r="AA180">
        <v>144</v>
      </c>
      <c r="AB180">
        <v>102.857142857143</v>
      </c>
      <c r="AC180" t="s">
        <v>99</v>
      </c>
      <c r="AD180" t="s">
        <v>452</v>
      </c>
      <c r="AE180" t="s">
        <v>164</v>
      </c>
      <c r="AF180">
        <v>108</v>
      </c>
      <c r="AG180">
        <f t="shared" si="8"/>
        <v>1</v>
      </c>
      <c r="AH180" s="5" t="str">
        <f t="shared" si="9"/>
        <v/>
      </c>
      <c r="AI180">
        <f t="shared" si="10"/>
        <v>1</v>
      </c>
      <c r="AJ180" t="str">
        <f t="shared" si="11"/>
        <v/>
      </c>
    </row>
    <row r="181" spans="1:36" x14ac:dyDescent="0.25">
      <c r="A181">
        <v>180</v>
      </c>
      <c r="B181" t="s">
        <v>291</v>
      </c>
      <c r="C181" t="s">
        <v>453</v>
      </c>
      <c r="D181" t="s">
        <v>454</v>
      </c>
      <c r="E181" t="s">
        <v>34</v>
      </c>
      <c r="F181">
        <v>2022</v>
      </c>
      <c r="G181" t="s">
        <v>44</v>
      </c>
      <c r="H181" t="s">
        <v>36</v>
      </c>
      <c r="I181" t="s">
        <v>107</v>
      </c>
      <c r="J181" t="s">
        <v>38</v>
      </c>
      <c r="K181" t="s">
        <v>39</v>
      </c>
      <c r="L181" t="s">
        <v>39</v>
      </c>
      <c r="M181" s="1">
        <v>44729</v>
      </c>
      <c r="N181" t="s">
        <v>44</v>
      </c>
      <c r="O181" t="s">
        <v>44</v>
      </c>
      <c r="P181" t="s">
        <v>40</v>
      </c>
      <c r="Q181" t="s">
        <v>41</v>
      </c>
      <c r="R181">
        <v>-1.5</v>
      </c>
      <c r="S181" t="s">
        <v>55</v>
      </c>
      <c r="T181">
        <v>1</v>
      </c>
      <c r="U181">
        <v>0.5</v>
      </c>
      <c r="V181">
        <v>0.5</v>
      </c>
      <c r="W181">
        <v>0.25</v>
      </c>
      <c r="X181">
        <v>0.15</v>
      </c>
      <c r="Y181">
        <v>6</v>
      </c>
      <c r="Z181">
        <v>48</v>
      </c>
      <c r="AA181">
        <v>96</v>
      </c>
      <c r="AB181">
        <v>192</v>
      </c>
      <c r="AC181" t="s">
        <v>99</v>
      </c>
      <c r="AD181" t="s">
        <v>455</v>
      </c>
      <c r="AE181" t="s">
        <v>164</v>
      </c>
      <c r="AF181">
        <v>109</v>
      </c>
      <c r="AG181">
        <f t="shared" si="8"/>
        <v>1</v>
      </c>
      <c r="AH181" s="5" t="str">
        <f t="shared" si="9"/>
        <v/>
      </c>
      <c r="AI181">
        <f t="shared" si="10"/>
        <v>1</v>
      </c>
      <c r="AJ181" t="str">
        <f t="shared" si="11"/>
        <v/>
      </c>
    </row>
    <row r="182" spans="1:36" x14ac:dyDescent="0.25">
      <c r="A182">
        <v>181</v>
      </c>
      <c r="B182" t="s">
        <v>291</v>
      </c>
      <c r="C182" t="s">
        <v>456</v>
      </c>
      <c r="D182" t="s">
        <v>457</v>
      </c>
      <c r="E182" t="s">
        <v>34</v>
      </c>
      <c r="F182">
        <v>2025</v>
      </c>
      <c r="G182" t="s">
        <v>44</v>
      </c>
      <c r="H182" t="s">
        <v>36</v>
      </c>
      <c r="I182" t="s">
        <v>107</v>
      </c>
      <c r="J182" t="s">
        <v>38</v>
      </c>
      <c r="K182" t="s">
        <v>39</v>
      </c>
      <c r="L182" t="s">
        <v>39</v>
      </c>
      <c r="M182" s="1">
        <v>45848</v>
      </c>
      <c r="N182" t="s">
        <v>44</v>
      </c>
      <c r="O182" t="s">
        <v>44</v>
      </c>
      <c r="P182" t="s">
        <v>40</v>
      </c>
      <c r="Q182" t="s">
        <v>41</v>
      </c>
      <c r="R182">
        <v>-1.5</v>
      </c>
      <c r="S182" t="s">
        <v>55</v>
      </c>
      <c r="T182">
        <v>32</v>
      </c>
      <c r="U182">
        <v>0.5</v>
      </c>
      <c r="V182">
        <v>16</v>
      </c>
      <c r="W182">
        <v>16</v>
      </c>
      <c r="X182">
        <v>0.8</v>
      </c>
      <c r="Y182">
        <v>32</v>
      </c>
      <c r="Z182">
        <v>700</v>
      </c>
      <c r="AA182">
        <v>43.75</v>
      </c>
      <c r="AB182">
        <v>43.75</v>
      </c>
      <c r="AC182" t="s">
        <v>99</v>
      </c>
      <c r="AD182" t="s">
        <v>458</v>
      </c>
      <c r="AE182" t="s">
        <v>164</v>
      </c>
      <c r="AF182">
        <v>110</v>
      </c>
      <c r="AG182">
        <f t="shared" si="8"/>
        <v>1</v>
      </c>
      <c r="AH182" s="5" t="str">
        <f t="shared" si="9"/>
        <v/>
      </c>
      <c r="AI182">
        <f t="shared" si="10"/>
        <v>1</v>
      </c>
      <c r="AJ182" t="str">
        <f t="shared" si="11"/>
        <v/>
      </c>
    </row>
    <row r="183" spans="1:36" x14ac:dyDescent="0.25">
      <c r="A183">
        <v>182</v>
      </c>
      <c r="B183" t="s">
        <v>459</v>
      </c>
      <c r="C183" t="s">
        <v>460</v>
      </c>
      <c r="D183" t="s">
        <v>461</v>
      </c>
      <c r="E183" t="s">
        <v>34</v>
      </c>
      <c r="F183">
        <v>2020</v>
      </c>
      <c r="G183" t="s">
        <v>44</v>
      </c>
      <c r="H183" t="s">
        <v>36</v>
      </c>
      <c r="I183" t="s">
        <v>37</v>
      </c>
      <c r="J183" t="s">
        <v>38</v>
      </c>
      <c r="K183" t="s">
        <v>39</v>
      </c>
      <c r="L183" t="s">
        <v>39</v>
      </c>
      <c r="M183" s="1">
        <v>44012</v>
      </c>
      <c r="N183">
        <v>47.177030000000002</v>
      </c>
      <c r="O183">
        <v>-122.7462833</v>
      </c>
      <c r="P183" t="s">
        <v>40</v>
      </c>
      <c r="Q183" t="s">
        <v>41</v>
      </c>
      <c r="R183">
        <v>-1.7</v>
      </c>
      <c r="S183" t="s">
        <v>55</v>
      </c>
      <c r="T183">
        <v>2.5</v>
      </c>
      <c r="U183">
        <v>2.5</v>
      </c>
      <c r="V183">
        <v>6.25</v>
      </c>
      <c r="W183">
        <v>4.75</v>
      </c>
      <c r="X183">
        <v>0.15</v>
      </c>
      <c r="Y183">
        <v>19</v>
      </c>
      <c r="Z183">
        <v>475</v>
      </c>
      <c r="AA183">
        <v>76</v>
      </c>
      <c r="AB183">
        <v>100</v>
      </c>
      <c r="AC183" t="s">
        <v>31</v>
      </c>
      <c r="AD183" t="s">
        <v>462</v>
      </c>
      <c r="AE183" t="s">
        <v>90</v>
      </c>
      <c r="AF183">
        <v>111</v>
      </c>
      <c r="AG183">
        <f t="shared" si="8"/>
        <v>1</v>
      </c>
      <c r="AH183" s="5" t="str">
        <f t="shared" si="9"/>
        <v/>
      </c>
      <c r="AI183">
        <f t="shared" si="10"/>
        <v>1</v>
      </c>
      <c r="AJ183" t="str">
        <f t="shared" si="11"/>
        <v/>
      </c>
    </row>
    <row r="184" spans="1:36" x14ac:dyDescent="0.25">
      <c r="A184">
        <v>183</v>
      </c>
      <c r="B184" t="s">
        <v>463</v>
      </c>
      <c r="C184" t="s">
        <v>464</v>
      </c>
      <c r="D184" t="s">
        <v>465</v>
      </c>
      <c r="E184" t="s">
        <v>34</v>
      </c>
      <c r="F184">
        <v>2013</v>
      </c>
      <c r="G184" t="s">
        <v>35</v>
      </c>
      <c r="H184" t="s">
        <v>36</v>
      </c>
      <c r="I184" t="s">
        <v>463</v>
      </c>
      <c r="J184" t="s">
        <v>38</v>
      </c>
      <c r="K184" t="s">
        <v>39</v>
      </c>
      <c r="L184" t="s">
        <v>39</v>
      </c>
      <c r="M184" s="1">
        <v>41432</v>
      </c>
      <c r="N184">
        <v>47.703783333333298</v>
      </c>
      <c r="O184">
        <v>-122.60514999999999</v>
      </c>
      <c r="P184" t="s">
        <v>40</v>
      </c>
      <c r="Q184" t="s">
        <v>41</v>
      </c>
      <c r="R184">
        <v>-1.524</v>
      </c>
      <c r="S184" t="s">
        <v>42</v>
      </c>
      <c r="T184">
        <v>6</v>
      </c>
      <c r="U184">
        <v>6</v>
      </c>
      <c r="V184">
        <v>36</v>
      </c>
      <c r="W184">
        <v>36</v>
      </c>
      <c r="X184">
        <v>0.9</v>
      </c>
      <c r="Y184">
        <v>180</v>
      </c>
      <c r="Z184">
        <v>720</v>
      </c>
      <c r="AA184">
        <v>20</v>
      </c>
      <c r="AB184">
        <v>20</v>
      </c>
      <c r="AC184" t="s">
        <v>466</v>
      </c>
      <c r="AD184" t="s">
        <v>44</v>
      </c>
      <c r="AE184" t="s">
        <v>45</v>
      </c>
      <c r="AF184">
        <v>112</v>
      </c>
      <c r="AG184">
        <f t="shared" si="8"/>
        <v>1</v>
      </c>
      <c r="AH184" s="5" t="str">
        <f t="shared" si="9"/>
        <v/>
      </c>
      <c r="AI184">
        <f t="shared" si="10"/>
        <v>1</v>
      </c>
      <c r="AJ184" t="str">
        <f t="shared" si="11"/>
        <v/>
      </c>
    </row>
    <row r="185" spans="1:36" x14ac:dyDescent="0.25">
      <c r="A185">
        <v>184</v>
      </c>
      <c r="B185" t="s">
        <v>463</v>
      </c>
      <c r="C185" t="s">
        <v>467</v>
      </c>
      <c r="D185" t="s">
        <v>468</v>
      </c>
      <c r="E185" t="s">
        <v>34</v>
      </c>
      <c r="F185">
        <v>2013</v>
      </c>
      <c r="G185" t="s">
        <v>35</v>
      </c>
      <c r="H185" t="s">
        <v>36</v>
      </c>
      <c r="I185" t="s">
        <v>463</v>
      </c>
      <c r="J185" t="s">
        <v>38</v>
      </c>
      <c r="K185" t="s">
        <v>39</v>
      </c>
      <c r="L185" t="s">
        <v>39</v>
      </c>
      <c r="M185" s="1">
        <v>41432</v>
      </c>
      <c r="N185">
        <v>47.71</v>
      </c>
      <c r="O185">
        <v>-122.614016666667</v>
      </c>
      <c r="P185" t="s">
        <v>40</v>
      </c>
      <c r="Q185" t="s">
        <v>41</v>
      </c>
      <c r="R185">
        <v>-1.6763999999999999</v>
      </c>
      <c r="S185" t="s">
        <v>42</v>
      </c>
      <c r="T185">
        <v>5</v>
      </c>
      <c r="U185">
        <v>6</v>
      </c>
      <c r="V185">
        <v>30</v>
      </c>
      <c r="W185">
        <v>30</v>
      </c>
      <c r="X185">
        <v>0.75</v>
      </c>
      <c r="Y185">
        <v>150</v>
      </c>
      <c r="Z185">
        <v>600</v>
      </c>
      <c r="AA185">
        <v>20</v>
      </c>
      <c r="AB185">
        <v>20</v>
      </c>
      <c r="AC185" t="s">
        <v>466</v>
      </c>
      <c r="AD185" t="s">
        <v>44</v>
      </c>
      <c r="AE185" t="s">
        <v>45</v>
      </c>
      <c r="AF185">
        <v>113</v>
      </c>
      <c r="AG185">
        <f t="shared" si="8"/>
        <v>1</v>
      </c>
      <c r="AH185" s="5" t="str">
        <f t="shared" si="9"/>
        <v/>
      </c>
      <c r="AI185">
        <f t="shared" si="10"/>
        <v>1</v>
      </c>
      <c r="AJ185" t="str">
        <f t="shared" si="11"/>
        <v/>
      </c>
    </row>
    <row r="186" spans="1:36" x14ac:dyDescent="0.25">
      <c r="A186">
        <v>185</v>
      </c>
      <c r="B186" t="s">
        <v>469</v>
      </c>
      <c r="C186" t="s">
        <v>470</v>
      </c>
      <c r="D186" t="s">
        <v>471</v>
      </c>
      <c r="E186" t="s">
        <v>34</v>
      </c>
      <c r="F186">
        <v>2017</v>
      </c>
      <c r="G186" t="s">
        <v>35</v>
      </c>
      <c r="H186" t="s">
        <v>63</v>
      </c>
      <c r="I186" t="s">
        <v>37</v>
      </c>
      <c r="J186" t="s">
        <v>38</v>
      </c>
      <c r="K186" t="s">
        <v>39</v>
      </c>
      <c r="L186" t="s">
        <v>39</v>
      </c>
      <c r="M186" s="1">
        <v>42859</v>
      </c>
      <c r="N186">
        <v>47.198616700000002</v>
      </c>
      <c r="O186">
        <v>-122.7392667</v>
      </c>
      <c r="P186" t="s">
        <v>40</v>
      </c>
      <c r="Q186" t="s">
        <v>41</v>
      </c>
      <c r="R186">
        <v>-1.6</v>
      </c>
      <c r="S186" t="s">
        <v>64</v>
      </c>
      <c r="T186">
        <v>5</v>
      </c>
      <c r="U186">
        <v>5</v>
      </c>
      <c r="V186">
        <v>25</v>
      </c>
      <c r="W186">
        <v>39</v>
      </c>
      <c r="X186">
        <v>0.99</v>
      </c>
      <c r="Y186">
        <v>99</v>
      </c>
      <c r="Z186">
        <v>998</v>
      </c>
      <c r="AA186">
        <v>39.92</v>
      </c>
      <c r="AB186">
        <v>25.589743589743598</v>
      </c>
      <c r="AC186" t="s">
        <v>65</v>
      </c>
      <c r="AD186" t="s">
        <v>472</v>
      </c>
      <c r="AE186" t="s">
        <v>67</v>
      </c>
      <c r="AF186">
        <v>114</v>
      </c>
      <c r="AG186">
        <f t="shared" si="8"/>
        <v>2</v>
      </c>
      <c r="AH186" s="5">
        <f t="shared" si="9"/>
        <v>114</v>
      </c>
      <c r="AI186">
        <f t="shared" si="10"/>
        <v>2</v>
      </c>
      <c r="AJ186" t="str">
        <f t="shared" si="11"/>
        <v>MCD_south_L1</v>
      </c>
    </row>
    <row r="187" spans="1:36" x14ac:dyDescent="0.25">
      <c r="A187">
        <v>186</v>
      </c>
      <c r="B187" t="s">
        <v>469</v>
      </c>
      <c r="C187" t="s">
        <v>473</v>
      </c>
      <c r="D187" t="s">
        <v>471</v>
      </c>
      <c r="E187" t="s">
        <v>34</v>
      </c>
      <c r="F187">
        <v>2017</v>
      </c>
      <c r="G187" t="s">
        <v>35</v>
      </c>
      <c r="H187" t="s">
        <v>63</v>
      </c>
      <c r="I187" t="s">
        <v>37</v>
      </c>
      <c r="J187" t="s">
        <v>38</v>
      </c>
      <c r="K187" t="s">
        <v>39</v>
      </c>
      <c r="L187" t="s">
        <v>69</v>
      </c>
      <c r="M187" s="1">
        <v>42859</v>
      </c>
      <c r="N187">
        <v>47.198683299999999</v>
      </c>
      <c r="O187">
        <v>-122.7392333</v>
      </c>
      <c r="P187" t="s">
        <v>40</v>
      </c>
      <c r="Q187" t="s">
        <v>41</v>
      </c>
      <c r="R187" t="s">
        <v>44</v>
      </c>
      <c r="S187" t="s">
        <v>44</v>
      </c>
      <c r="T187" t="s">
        <v>44</v>
      </c>
      <c r="U187" t="s">
        <v>44</v>
      </c>
      <c r="V187" t="s">
        <v>44</v>
      </c>
      <c r="W187" t="s">
        <v>44</v>
      </c>
      <c r="X187" t="s">
        <v>44</v>
      </c>
      <c r="Y187" t="s">
        <v>44</v>
      </c>
      <c r="Z187" t="s">
        <v>44</v>
      </c>
      <c r="AA187" t="s">
        <v>44</v>
      </c>
      <c r="AB187" t="s">
        <v>44</v>
      </c>
      <c r="AC187" t="s">
        <v>44</v>
      </c>
      <c r="AD187" t="s">
        <v>44</v>
      </c>
      <c r="AE187" t="s">
        <v>67</v>
      </c>
      <c r="AF187">
        <v>114</v>
      </c>
      <c r="AG187">
        <f t="shared" si="8"/>
        <v>2</v>
      </c>
      <c r="AH187" s="5">
        <f t="shared" si="9"/>
        <v>114</v>
      </c>
      <c r="AI187">
        <f t="shared" si="10"/>
        <v>2</v>
      </c>
      <c r="AJ187" t="str">
        <f t="shared" si="11"/>
        <v>MCD_south_L1</v>
      </c>
    </row>
    <row r="188" spans="1:36" x14ac:dyDescent="0.25">
      <c r="A188">
        <v>187</v>
      </c>
      <c r="B188" t="s">
        <v>469</v>
      </c>
      <c r="C188" t="s">
        <v>474</v>
      </c>
      <c r="D188" t="s">
        <v>475</v>
      </c>
      <c r="E188" t="s">
        <v>34</v>
      </c>
      <c r="F188">
        <v>2017</v>
      </c>
      <c r="G188" t="s">
        <v>35</v>
      </c>
      <c r="H188" t="s">
        <v>63</v>
      </c>
      <c r="I188" t="s">
        <v>37</v>
      </c>
      <c r="J188" t="s">
        <v>38</v>
      </c>
      <c r="K188" t="s">
        <v>39</v>
      </c>
      <c r="L188" t="s">
        <v>39</v>
      </c>
      <c r="M188" s="1">
        <v>42859</v>
      </c>
      <c r="N188">
        <v>47.198983300000002</v>
      </c>
      <c r="O188">
        <v>-122.7391667</v>
      </c>
      <c r="P188" t="s">
        <v>40</v>
      </c>
      <c r="Q188" t="s">
        <v>41</v>
      </c>
      <c r="R188">
        <v>-1.6</v>
      </c>
      <c r="S188" t="s">
        <v>64</v>
      </c>
      <c r="T188">
        <v>5</v>
      </c>
      <c r="U188">
        <v>5</v>
      </c>
      <c r="V188">
        <v>25</v>
      </c>
      <c r="W188">
        <v>39</v>
      </c>
      <c r="X188">
        <v>0.99</v>
      </c>
      <c r="Y188">
        <v>99</v>
      </c>
      <c r="Z188">
        <v>994</v>
      </c>
      <c r="AA188">
        <v>39.76</v>
      </c>
      <c r="AB188">
        <v>25.4871794871795</v>
      </c>
      <c r="AC188" t="s">
        <v>65</v>
      </c>
      <c r="AD188" t="s">
        <v>476</v>
      </c>
      <c r="AE188" t="s">
        <v>67</v>
      </c>
      <c r="AF188">
        <v>115</v>
      </c>
      <c r="AG188">
        <f t="shared" si="8"/>
        <v>2</v>
      </c>
      <c r="AH188" s="5">
        <f t="shared" si="9"/>
        <v>115</v>
      </c>
      <c r="AI188">
        <f t="shared" si="10"/>
        <v>2</v>
      </c>
      <c r="AJ188" t="str">
        <f t="shared" si="11"/>
        <v>MCD_north_L1</v>
      </c>
    </row>
    <row r="189" spans="1:36" x14ac:dyDescent="0.25">
      <c r="A189">
        <v>188</v>
      </c>
      <c r="B189" t="s">
        <v>469</v>
      </c>
      <c r="C189" t="s">
        <v>477</v>
      </c>
      <c r="D189" t="s">
        <v>475</v>
      </c>
      <c r="E189" t="s">
        <v>34</v>
      </c>
      <c r="F189">
        <v>2017</v>
      </c>
      <c r="G189" t="s">
        <v>35</v>
      </c>
      <c r="H189" t="s">
        <v>63</v>
      </c>
      <c r="I189" t="s">
        <v>37</v>
      </c>
      <c r="J189" t="s">
        <v>38</v>
      </c>
      <c r="K189" t="s">
        <v>39</v>
      </c>
      <c r="L189" t="s">
        <v>69</v>
      </c>
      <c r="M189" s="1">
        <v>42859</v>
      </c>
      <c r="N189">
        <v>47.199033300000004</v>
      </c>
      <c r="O189">
        <v>-122.73913330000001</v>
      </c>
      <c r="P189" t="s">
        <v>40</v>
      </c>
      <c r="Q189" t="s">
        <v>41</v>
      </c>
      <c r="R189" t="s">
        <v>44</v>
      </c>
      <c r="S189" t="s">
        <v>44</v>
      </c>
      <c r="T189" t="s">
        <v>44</v>
      </c>
      <c r="U189" t="s">
        <v>44</v>
      </c>
      <c r="V189" t="s">
        <v>44</v>
      </c>
      <c r="W189" t="s">
        <v>44</v>
      </c>
      <c r="X189" t="s">
        <v>44</v>
      </c>
      <c r="Y189" t="s">
        <v>44</v>
      </c>
      <c r="Z189" t="s">
        <v>44</v>
      </c>
      <c r="AA189" t="s">
        <v>44</v>
      </c>
      <c r="AB189" t="s">
        <v>44</v>
      </c>
      <c r="AC189" t="s">
        <v>44</v>
      </c>
      <c r="AD189" t="s">
        <v>44</v>
      </c>
      <c r="AE189" t="s">
        <v>67</v>
      </c>
      <c r="AF189">
        <v>115</v>
      </c>
      <c r="AG189">
        <f t="shared" si="8"/>
        <v>2</v>
      </c>
      <c r="AH189" s="5">
        <f t="shared" si="9"/>
        <v>115</v>
      </c>
      <c r="AI189">
        <f t="shared" si="10"/>
        <v>2</v>
      </c>
      <c r="AJ189" t="str">
        <f t="shared" si="11"/>
        <v>MCD_north_L1</v>
      </c>
    </row>
    <row r="190" spans="1:36" x14ac:dyDescent="0.25">
      <c r="A190">
        <v>189</v>
      </c>
      <c r="B190" t="s">
        <v>469</v>
      </c>
      <c r="C190" t="s">
        <v>478</v>
      </c>
      <c r="D190" t="s">
        <v>479</v>
      </c>
      <c r="E190" t="s">
        <v>34</v>
      </c>
      <c r="F190">
        <v>2020</v>
      </c>
      <c r="G190" t="s">
        <v>35</v>
      </c>
      <c r="H190" t="s">
        <v>36</v>
      </c>
      <c r="I190" t="s">
        <v>37</v>
      </c>
      <c r="J190" t="s">
        <v>38</v>
      </c>
      <c r="K190" t="s">
        <v>39</v>
      </c>
      <c r="L190" t="s">
        <v>39</v>
      </c>
      <c r="M190" s="1">
        <v>44012</v>
      </c>
      <c r="N190">
        <v>47.198129999999999</v>
      </c>
      <c r="O190">
        <v>-122.7396</v>
      </c>
      <c r="P190" t="s">
        <v>40</v>
      </c>
      <c r="Q190" t="s">
        <v>41</v>
      </c>
      <c r="R190">
        <v>-1.7</v>
      </c>
      <c r="S190" t="s">
        <v>55</v>
      </c>
      <c r="T190">
        <v>2.5</v>
      </c>
      <c r="U190">
        <v>2.5</v>
      </c>
      <c r="V190">
        <v>6.25</v>
      </c>
      <c r="W190">
        <v>5</v>
      </c>
      <c r="X190">
        <v>0.15</v>
      </c>
      <c r="Y190">
        <v>20</v>
      </c>
      <c r="Z190">
        <v>500</v>
      </c>
      <c r="AA190">
        <v>80</v>
      </c>
      <c r="AB190">
        <v>100</v>
      </c>
      <c r="AC190" t="s">
        <v>31</v>
      </c>
      <c r="AD190" t="s">
        <v>480</v>
      </c>
      <c r="AE190" t="s">
        <v>90</v>
      </c>
      <c r="AF190">
        <v>116</v>
      </c>
      <c r="AG190">
        <f t="shared" si="8"/>
        <v>1</v>
      </c>
      <c r="AH190" s="5" t="str">
        <f t="shared" si="9"/>
        <v/>
      </c>
      <c r="AI190">
        <f t="shared" si="10"/>
        <v>1</v>
      </c>
      <c r="AJ190" t="str">
        <f t="shared" si="11"/>
        <v/>
      </c>
    </row>
    <row r="191" spans="1:36" x14ac:dyDescent="0.25">
      <c r="A191">
        <v>190</v>
      </c>
      <c r="B191" t="s">
        <v>481</v>
      </c>
      <c r="C191" t="s">
        <v>482</v>
      </c>
      <c r="D191" t="s">
        <v>483</v>
      </c>
      <c r="E191" t="s">
        <v>34</v>
      </c>
      <c r="F191">
        <v>2015</v>
      </c>
      <c r="G191" t="s">
        <v>44</v>
      </c>
      <c r="H191" t="s">
        <v>36</v>
      </c>
      <c r="I191" t="s">
        <v>142</v>
      </c>
      <c r="J191" t="s">
        <v>38</v>
      </c>
      <c r="K191" t="s">
        <v>39</v>
      </c>
      <c r="L191" t="s">
        <v>39</v>
      </c>
      <c r="M191" s="1">
        <v>42061</v>
      </c>
      <c r="N191">
        <v>47.224733333333297</v>
      </c>
      <c r="O191">
        <v>-122.67310000000001</v>
      </c>
      <c r="P191" t="s">
        <v>40</v>
      </c>
      <c r="Q191" t="s">
        <v>41</v>
      </c>
      <c r="R191">
        <v>-0.76200000000000001</v>
      </c>
      <c r="S191" t="s">
        <v>42</v>
      </c>
      <c r="T191">
        <v>5</v>
      </c>
      <c r="U191">
        <v>5</v>
      </c>
      <c r="V191">
        <v>25</v>
      </c>
      <c r="W191">
        <v>25</v>
      </c>
      <c r="X191">
        <v>0.625</v>
      </c>
      <c r="Y191">
        <v>125</v>
      </c>
      <c r="Z191">
        <v>500</v>
      </c>
      <c r="AA191">
        <v>20</v>
      </c>
      <c r="AB191">
        <v>20</v>
      </c>
      <c r="AC191" t="s">
        <v>50</v>
      </c>
      <c r="AD191" t="s">
        <v>44</v>
      </c>
      <c r="AE191" t="s">
        <v>51</v>
      </c>
      <c r="AF191">
        <v>117</v>
      </c>
      <c r="AG191">
        <f t="shared" si="8"/>
        <v>1</v>
      </c>
      <c r="AH191" s="5" t="str">
        <f t="shared" si="9"/>
        <v/>
      </c>
      <c r="AI191">
        <f t="shared" si="10"/>
        <v>1</v>
      </c>
      <c r="AJ191" t="str">
        <f t="shared" si="11"/>
        <v/>
      </c>
    </row>
    <row r="192" spans="1:36" x14ac:dyDescent="0.25">
      <c r="A192">
        <v>191</v>
      </c>
      <c r="B192" t="s">
        <v>481</v>
      </c>
      <c r="C192" t="s">
        <v>484</v>
      </c>
      <c r="D192" t="s">
        <v>485</v>
      </c>
      <c r="E192" t="s">
        <v>34</v>
      </c>
      <c r="F192">
        <v>2016</v>
      </c>
      <c r="G192" t="s">
        <v>44</v>
      </c>
      <c r="H192" t="s">
        <v>36</v>
      </c>
      <c r="I192" t="s">
        <v>142</v>
      </c>
      <c r="J192" t="s">
        <v>38</v>
      </c>
      <c r="K192" t="s">
        <v>39</v>
      </c>
      <c r="L192" t="s">
        <v>39</v>
      </c>
      <c r="M192" s="1">
        <v>42634</v>
      </c>
      <c r="N192">
        <v>47.191533333333297</v>
      </c>
      <c r="O192">
        <v>-122.67189999999999</v>
      </c>
      <c r="P192" t="s">
        <v>40</v>
      </c>
      <c r="Q192" t="s">
        <v>41</v>
      </c>
      <c r="R192">
        <v>-1.5849599999999999</v>
      </c>
      <c r="S192" t="s">
        <v>55</v>
      </c>
      <c r="T192">
        <v>2.5</v>
      </c>
      <c r="U192">
        <v>2.5</v>
      </c>
      <c r="V192">
        <v>6.25</v>
      </c>
      <c r="W192">
        <v>5</v>
      </c>
      <c r="X192">
        <v>0.15</v>
      </c>
      <c r="Y192">
        <v>20</v>
      </c>
      <c r="Z192">
        <v>500</v>
      </c>
      <c r="AA192">
        <v>80</v>
      </c>
      <c r="AB192">
        <v>100</v>
      </c>
      <c r="AC192" t="s">
        <v>56</v>
      </c>
      <c r="AD192" t="s">
        <v>44</v>
      </c>
      <c r="AE192" t="s">
        <v>129</v>
      </c>
      <c r="AF192">
        <v>118</v>
      </c>
      <c r="AG192">
        <f t="shared" si="8"/>
        <v>1</v>
      </c>
      <c r="AH192" s="5" t="str">
        <f t="shared" si="9"/>
        <v/>
      </c>
      <c r="AI192">
        <f t="shared" si="10"/>
        <v>1</v>
      </c>
      <c r="AJ192" t="str">
        <f t="shared" si="11"/>
        <v/>
      </c>
    </row>
    <row r="193" spans="1:37" x14ac:dyDescent="0.25">
      <c r="A193">
        <v>192</v>
      </c>
      <c r="B193" t="s">
        <v>481</v>
      </c>
      <c r="C193" t="s">
        <v>486</v>
      </c>
      <c r="D193" t="s">
        <v>487</v>
      </c>
      <c r="E193" t="s">
        <v>34</v>
      </c>
      <c r="F193">
        <v>2016</v>
      </c>
      <c r="G193" t="s">
        <v>44</v>
      </c>
      <c r="H193" t="s">
        <v>36</v>
      </c>
      <c r="I193" t="s">
        <v>142</v>
      </c>
      <c r="J193" t="s">
        <v>38</v>
      </c>
      <c r="K193" t="s">
        <v>39</v>
      </c>
      <c r="L193" t="s">
        <v>39</v>
      </c>
      <c r="M193" s="1">
        <v>42634</v>
      </c>
      <c r="N193">
        <v>47.191600000000001</v>
      </c>
      <c r="O193">
        <v>-122.671083333333</v>
      </c>
      <c r="P193" t="s">
        <v>40</v>
      </c>
      <c r="Q193" t="s">
        <v>41</v>
      </c>
      <c r="R193">
        <v>-1.7678400000000001</v>
      </c>
      <c r="S193" t="s">
        <v>55</v>
      </c>
      <c r="T193">
        <v>2.5</v>
      </c>
      <c r="U193">
        <v>2.5</v>
      </c>
      <c r="V193">
        <v>6.25</v>
      </c>
      <c r="W193">
        <v>5</v>
      </c>
      <c r="X193">
        <v>0.5</v>
      </c>
      <c r="Y193">
        <v>20</v>
      </c>
      <c r="Z193">
        <v>500</v>
      </c>
      <c r="AA193">
        <v>80</v>
      </c>
      <c r="AB193">
        <v>100</v>
      </c>
      <c r="AC193" t="s">
        <v>56</v>
      </c>
      <c r="AD193" t="s">
        <v>44</v>
      </c>
      <c r="AE193" t="s">
        <v>129</v>
      </c>
      <c r="AF193">
        <v>119</v>
      </c>
      <c r="AG193">
        <f t="shared" si="8"/>
        <v>1</v>
      </c>
      <c r="AH193" s="5" t="str">
        <f t="shared" si="9"/>
        <v/>
      </c>
      <c r="AI193">
        <f t="shared" si="10"/>
        <v>1</v>
      </c>
      <c r="AJ193" t="str">
        <f t="shared" si="11"/>
        <v/>
      </c>
    </row>
    <row r="194" spans="1:37" x14ac:dyDescent="0.25">
      <c r="A194">
        <v>193</v>
      </c>
      <c r="B194" t="s">
        <v>481</v>
      </c>
      <c r="C194" t="s">
        <v>488</v>
      </c>
      <c r="D194" t="s">
        <v>489</v>
      </c>
      <c r="E194" t="s">
        <v>34</v>
      </c>
      <c r="F194">
        <v>2016</v>
      </c>
      <c r="G194" t="s">
        <v>44</v>
      </c>
      <c r="H194" t="s">
        <v>36</v>
      </c>
      <c r="I194" t="s">
        <v>142</v>
      </c>
      <c r="J194" t="s">
        <v>38</v>
      </c>
      <c r="K194" t="s">
        <v>39</v>
      </c>
      <c r="L194" t="s">
        <v>39</v>
      </c>
      <c r="M194" s="1">
        <v>42634</v>
      </c>
      <c r="N194">
        <v>47.192450000000001</v>
      </c>
      <c r="O194">
        <v>-122.66495</v>
      </c>
      <c r="P194" t="s">
        <v>40</v>
      </c>
      <c r="Q194" t="s">
        <v>41</v>
      </c>
      <c r="R194">
        <v>-1.70688</v>
      </c>
      <c r="S194" t="s">
        <v>55</v>
      </c>
      <c r="T194">
        <v>2.5</v>
      </c>
      <c r="U194">
        <v>2.5</v>
      </c>
      <c r="V194">
        <v>6.25</v>
      </c>
      <c r="W194">
        <v>5</v>
      </c>
      <c r="X194">
        <v>0.5</v>
      </c>
      <c r="Y194">
        <v>20</v>
      </c>
      <c r="Z194">
        <v>500</v>
      </c>
      <c r="AA194">
        <v>80</v>
      </c>
      <c r="AB194">
        <v>100</v>
      </c>
      <c r="AC194" t="s">
        <v>56</v>
      </c>
      <c r="AD194" t="s">
        <v>44</v>
      </c>
      <c r="AE194" t="s">
        <v>129</v>
      </c>
      <c r="AF194">
        <v>120</v>
      </c>
      <c r="AG194">
        <f t="shared" si="8"/>
        <v>1</v>
      </c>
      <c r="AH194" s="5" t="str">
        <f t="shared" si="9"/>
        <v/>
      </c>
      <c r="AI194">
        <f t="shared" si="10"/>
        <v>1</v>
      </c>
      <c r="AJ194" t="str">
        <f t="shared" si="11"/>
        <v/>
      </c>
    </row>
    <row r="195" spans="1:37" x14ac:dyDescent="0.25">
      <c r="A195">
        <v>194</v>
      </c>
      <c r="B195" t="s">
        <v>481</v>
      </c>
      <c r="C195" t="s">
        <v>490</v>
      </c>
      <c r="D195" t="s">
        <v>491</v>
      </c>
      <c r="E195" t="s">
        <v>34</v>
      </c>
      <c r="F195">
        <v>2016</v>
      </c>
      <c r="G195" t="s">
        <v>44</v>
      </c>
      <c r="H195" t="s">
        <v>36</v>
      </c>
      <c r="I195" t="s">
        <v>142</v>
      </c>
      <c r="J195" t="s">
        <v>38</v>
      </c>
      <c r="K195" t="s">
        <v>39</v>
      </c>
      <c r="L195" t="s">
        <v>39</v>
      </c>
      <c r="M195" s="1">
        <v>42634</v>
      </c>
      <c r="N195">
        <v>47.218483333333303</v>
      </c>
      <c r="O195">
        <v>-122.667866666667</v>
      </c>
      <c r="P195" t="s">
        <v>40</v>
      </c>
      <c r="Q195" t="s">
        <v>41</v>
      </c>
      <c r="R195">
        <v>-1.8288</v>
      </c>
      <c r="S195" t="s">
        <v>55</v>
      </c>
      <c r="T195">
        <v>2.5</v>
      </c>
      <c r="U195">
        <v>2.5</v>
      </c>
      <c r="V195">
        <v>6.25</v>
      </c>
      <c r="W195">
        <v>5</v>
      </c>
      <c r="X195">
        <v>0.5</v>
      </c>
      <c r="Y195">
        <v>20</v>
      </c>
      <c r="Z195">
        <v>500</v>
      </c>
      <c r="AA195">
        <v>80</v>
      </c>
      <c r="AB195">
        <v>100</v>
      </c>
      <c r="AC195" t="s">
        <v>56</v>
      </c>
      <c r="AD195" t="s">
        <v>44</v>
      </c>
      <c r="AE195" t="s">
        <v>129</v>
      </c>
      <c r="AF195">
        <v>121</v>
      </c>
      <c r="AG195">
        <f t="shared" ref="AG195:AG258" si="12">COUNTIF(AF:AF,AF195)</f>
        <v>1</v>
      </c>
      <c r="AH195" s="5" t="str">
        <f t="shared" ref="AH195:AH258" si="13">IF(AG195&gt;1,AF195,"")</f>
        <v/>
      </c>
      <c r="AI195">
        <f t="shared" ref="AI195:AI258" si="14">COUNTIF(D:D,D195)</f>
        <v>1</v>
      </c>
      <c r="AJ195" t="str">
        <f t="shared" ref="AJ195:AJ258" si="15">IF(AI195&gt;1,D195,"")</f>
        <v/>
      </c>
    </row>
    <row r="196" spans="1:37" x14ac:dyDescent="0.25">
      <c r="A196">
        <v>195</v>
      </c>
      <c r="B196" t="s">
        <v>481</v>
      </c>
      <c r="C196" t="s">
        <v>492</v>
      </c>
      <c r="D196" t="s">
        <v>493</v>
      </c>
      <c r="E196" t="s">
        <v>409</v>
      </c>
      <c r="F196">
        <v>2016</v>
      </c>
      <c r="G196" t="s">
        <v>44</v>
      </c>
      <c r="H196" t="s">
        <v>36</v>
      </c>
      <c r="I196" t="s">
        <v>142</v>
      </c>
      <c r="J196" t="s">
        <v>38</v>
      </c>
      <c r="K196" t="s">
        <v>39</v>
      </c>
      <c r="L196" t="s">
        <v>39</v>
      </c>
      <c r="M196" s="1">
        <v>42634</v>
      </c>
      <c r="N196">
        <v>47.220333333333301</v>
      </c>
      <c r="O196">
        <v>-122.667266666667</v>
      </c>
      <c r="P196" t="s">
        <v>40</v>
      </c>
      <c r="Q196" t="s">
        <v>41</v>
      </c>
      <c r="R196">
        <v>-1.7678400000000001</v>
      </c>
      <c r="S196" t="s">
        <v>55</v>
      </c>
      <c r="T196">
        <v>2.5</v>
      </c>
      <c r="U196">
        <v>2</v>
      </c>
      <c r="V196">
        <v>5</v>
      </c>
      <c r="W196">
        <v>5</v>
      </c>
      <c r="X196">
        <v>0.5</v>
      </c>
      <c r="Y196">
        <v>20</v>
      </c>
      <c r="Z196">
        <v>500</v>
      </c>
      <c r="AA196">
        <v>100</v>
      </c>
      <c r="AB196">
        <v>100</v>
      </c>
      <c r="AC196" t="s">
        <v>56</v>
      </c>
      <c r="AD196" t="s">
        <v>494</v>
      </c>
      <c r="AE196" t="s">
        <v>129</v>
      </c>
      <c r="AF196">
        <v>122</v>
      </c>
      <c r="AG196">
        <f t="shared" si="12"/>
        <v>1</v>
      </c>
      <c r="AH196" s="5" t="str">
        <f t="shared" si="13"/>
        <v/>
      </c>
      <c r="AI196">
        <f t="shared" si="14"/>
        <v>2</v>
      </c>
      <c r="AJ196" s="7" t="str">
        <f t="shared" si="15"/>
        <v>MCN_still_2</v>
      </c>
      <c r="AK196" t="s">
        <v>409</v>
      </c>
    </row>
    <row r="197" spans="1:37" x14ac:dyDescent="0.25">
      <c r="A197">
        <v>196</v>
      </c>
      <c r="B197" t="s">
        <v>481</v>
      </c>
      <c r="C197" t="s">
        <v>495</v>
      </c>
      <c r="D197" t="s">
        <v>493</v>
      </c>
      <c r="E197" t="s">
        <v>409</v>
      </c>
      <c r="F197">
        <v>2016</v>
      </c>
      <c r="G197" t="s">
        <v>44</v>
      </c>
      <c r="H197" t="s">
        <v>36</v>
      </c>
      <c r="I197" t="s">
        <v>142</v>
      </c>
      <c r="J197" t="s">
        <v>38</v>
      </c>
      <c r="K197" t="s">
        <v>39</v>
      </c>
      <c r="L197" t="s">
        <v>39</v>
      </c>
      <c r="M197" s="1">
        <v>42634</v>
      </c>
      <c r="N197">
        <v>47.220333333333301</v>
      </c>
      <c r="O197">
        <v>-122.667266666667</v>
      </c>
      <c r="P197" t="s">
        <v>40</v>
      </c>
      <c r="Q197" t="s">
        <v>41</v>
      </c>
      <c r="R197">
        <v>-1.7678400000000001</v>
      </c>
      <c r="S197" t="s">
        <v>42</v>
      </c>
      <c r="T197">
        <v>2.5</v>
      </c>
      <c r="U197">
        <v>2</v>
      </c>
      <c r="V197">
        <v>5</v>
      </c>
      <c r="W197">
        <v>5</v>
      </c>
      <c r="X197">
        <v>0.625</v>
      </c>
      <c r="Y197">
        <v>125</v>
      </c>
      <c r="Z197">
        <v>500</v>
      </c>
      <c r="AA197">
        <v>100</v>
      </c>
      <c r="AB197">
        <v>100</v>
      </c>
      <c r="AC197" t="s">
        <v>56</v>
      </c>
      <c r="AD197" t="s">
        <v>494</v>
      </c>
      <c r="AE197" t="s">
        <v>129</v>
      </c>
      <c r="AF197">
        <v>123</v>
      </c>
      <c r="AG197">
        <f t="shared" si="12"/>
        <v>1</v>
      </c>
      <c r="AH197" s="5" t="str">
        <f t="shared" si="13"/>
        <v/>
      </c>
      <c r="AI197">
        <f t="shared" si="14"/>
        <v>2</v>
      </c>
      <c r="AJ197" s="7" t="str">
        <f t="shared" si="15"/>
        <v>MCN_still_2</v>
      </c>
      <c r="AK197" t="s">
        <v>409</v>
      </c>
    </row>
    <row r="198" spans="1:37" x14ac:dyDescent="0.25">
      <c r="A198">
        <v>197</v>
      </c>
      <c r="B198" t="s">
        <v>481</v>
      </c>
      <c r="C198" t="s">
        <v>496</v>
      </c>
      <c r="D198" t="s">
        <v>497</v>
      </c>
      <c r="E198" t="s">
        <v>34</v>
      </c>
      <c r="F198">
        <v>2017</v>
      </c>
      <c r="G198" t="s">
        <v>44</v>
      </c>
      <c r="H198" t="s">
        <v>36</v>
      </c>
      <c r="I198" t="s">
        <v>142</v>
      </c>
      <c r="J198" t="s">
        <v>38</v>
      </c>
      <c r="K198" t="s">
        <v>39</v>
      </c>
      <c r="L198" t="s">
        <v>39</v>
      </c>
      <c r="M198" s="1">
        <v>42893</v>
      </c>
      <c r="N198">
        <v>47.232016666666702</v>
      </c>
      <c r="O198">
        <v>-122.69750000000001</v>
      </c>
      <c r="P198" t="s">
        <v>40</v>
      </c>
      <c r="Q198" t="s">
        <v>41</v>
      </c>
      <c r="R198">
        <v>-1.2</v>
      </c>
      <c r="S198" t="s">
        <v>55</v>
      </c>
      <c r="T198">
        <v>2.5</v>
      </c>
      <c r="U198">
        <v>2</v>
      </c>
      <c r="V198">
        <v>5</v>
      </c>
      <c r="W198">
        <v>5</v>
      </c>
      <c r="X198">
        <v>0.5</v>
      </c>
      <c r="Y198">
        <v>20</v>
      </c>
      <c r="Z198">
        <v>500</v>
      </c>
      <c r="AA198">
        <v>100</v>
      </c>
      <c r="AB198">
        <v>100</v>
      </c>
      <c r="AC198" t="s">
        <v>43</v>
      </c>
      <c r="AD198" t="s">
        <v>44</v>
      </c>
      <c r="AE198" t="s">
        <v>129</v>
      </c>
      <c r="AF198">
        <v>124</v>
      </c>
      <c r="AG198">
        <f t="shared" si="12"/>
        <v>1</v>
      </c>
      <c r="AH198" s="5" t="str">
        <f t="shared" si="13"/>
        <v/>
      </c>
      <c r="AI198">
        <f t="shared" si="14"/>
        <v>1</v>
      </c>
      <c r="AJ198" t="str">
        <f t="shared" si="15"/>
        <v/>
      </c>
    </row>
    <row r="199" spans="1:37" x14ac:dyDescent="0.25">
      <c r="A199">
        <v>198</v>
      </c>
      <c r="B199" t="s">
        <v>481</v>
      </c>
      <c r="C199" t="s">
        <v>498</v>
      </c>
      <c r="D199" t="s">
        <v>499</v>
      </c>
      <c r="E199" t="s">
        <v>34</v>
      </c>
      <c r="F199">
        <v>2017</v>
      </c>
      <c r="G199" t="s">
        <v>44</v>
      </c>
      <c r="H199" t="s">
        <v>36</v>
      </c>
      <c r="I199" t="s">
        <v>142</v>
      </c>
      <c r="J199" t="s">
        <v>38</v>
      </c>
      <c r="K199" t="s">
        <v>39</v>
      </c>
      <c r="L199" t="s">
        <v>39</v>
      </c>
      <c r="M199" s="1">
        <v>42893</v>
      </c>
      <c r="N199">
        <v>47.232149999999997</v>
      </c>
      <c r="O199">
        <v>-122.697533333333</v>
      </c>
      <c r="P199" t="s">
        <v>40</v>
      </c>
      <c r="Q199" t="s">
        <v>41</v>
      </c>
      <c r="R199">
        <v>-1.7</v>
      </c>
      <c r="S199" t="s">
        <v>55</v>
      </c>
      <c r="T199">
        <v>2.5</v>
      </c>
      <c r="U199">
        <v>2</v>
      </c>
      <c r="V199">
        <v>5</v>
      </c>
      <c r="W199">
        <v>5</v>
      </c>
      <c r="X199">
        <v>0.5</v>
      </c>
      <c r="Y199">
        <v>20</v>
      </c>
      <c r="Z199">
        <v>500</v>
      </c>
      <c r="AA199">
        <v>100</v>
      </c>
      <c r="AB199">
        <v>100</v>
      </c>
      <c r="AC199" t="s">
        <v>43</v>
      </c>
      <c r="AD199" t="s">
        <v>44</v>
      </c>
      <c r="AE199" t="s">
        <v>129</v>
      </c>
      <c r="AF199">
        <v>125</v>
      </c>
      <c r="AG199">
        <f t="shared" si="12"/>
        <v>1</v>
      </c>
      <c r="AH199" s="5" t="str">
        <f t="shared" si="13"/>
        <v/>
      </c>
      <c r="AI199">
        <f t="shared" si="14"/>
        <v>1</v>
      </c>
      <c r="AJ199" t="str">
        <f t="shared" si="15"/>
        <v/>
      </c>
    </row>
    <row r="200" spans="1:37" x14ac:dyDescent="0.25">
      <c r="A200">
        <v>199</v>
      </c>
      <c r="B200" t="s">
        <v>481</v>
      </c>
      <c r="C200" t="s">
        <v>500</v>
      </c>
      <c r="D200" t="s">
        <v>501</v>
      </c>
      <c r="E200" t="s">
        <v>34</v>
      </c>
      <c r="F200">
        <v>2017</v>
      </c>
      <c r="G200" t="s">
        <v>44</v>
      </c>
      <c r="H200" t="s">
        <v>63</v>
      </c>
      <c r="I200" t="s">
        <v>142</v>
      </c>
      <c r="J200" t="s">
        <v>38</v>
      </c>
      <c r="K200" t="s">
        <v>77</v>
      </c>
      <c r="L200" t="s">
        <v>77</v>
      </c>
      <c r="M200" s="1">
        <v>42922</v>
      </c>
      <c r="N200">
        <v>47.191600000000001</v>
      </c>
      <c r="O200">
        <v>-122.6711</v>
      </c>
      <c r="P200" t="s">
        <v>40</v>
      </c>
      <c r="Q200" t="s">
        <v>41</v>
      </c>
      <c r="R200">
        <v>-2.4</v>
      </c>
      <c r="S200" t="s">
        <v>55</v>
      </c>
      <c r="T200">
        <v>24</v>
      </c>
      <c r="U200">
        <v>5</v>
      </c>
      <c r="V200">
        <v>120</v>
      </c>
      <c r="W200">
        <v>58.25</v>
      </c>
      <c r="X200">
        <v>5.8250000000000002</v>
      </c>
      <c r="Y200">
        <v>233</v>
      </c>
      <c r="Z200">
        <v>5825</v>
      </c>
      <c r="AA200">
        <v>48.5416666666667</v>
      </c>
      <c r="AB200">
        <v>100</v>
      </c>
      <c r="AC200" t="s">
        <v>43</v>
      </c>
      <c r="AD200" t="s">
        <v>44</v>
      </c>
      <c r="AE200" t="s">
        <v>129</v>
      </c>
      <c r="AF200">
        <v>126</v>
      </c>
      <c r="AG200">
        <f t="shared" si="12"/>
        <v>2</v>
      </c>
      <c r="AH200" s="5">
        <f t="shared" si="13"/>
        <v>126</v>
      </c>
      <c r="AI200">
        <f t="shared" si="14"/>
        <v>2</v>
      </c>
      <c r="AJ200" t="str">
        <f t="shared" si="15"/>
        <v>MCN_south_L2</v>
      </c>
    </row>
    <row r="201" spans="1:37" x14ac:dyDescent="0.25">
      <c r="A201">
        <v>200</v>
      </c>
      <c r="B201" t="s">
        <v>481</v>
      </c>
      <c r="C201" t="s">
        <v>500</v>
      </c>
      <c r="D201" t="s">
        <v>501</v>
      </c>
      <c r="E201" t="s">
        <v>34</v>
      </c>
      <c r="F201">
        <v>2017</v>
      </c>
      <c r="G201" t="s">
        <v>44</v>
      </c>
      <c r="H201" t="s">
        <v>63</v>
      </c>
      <c r="I201" t="s">
        <v>142</v>
      </c>
      <c r="J201" t="s">
        <v>38</v>
      </c>
      <c r="K201" t="s">
        <v>77</v>
      </c>
      <c r="L201" t="s">
        <v>69</v>
      </c>
      <c r="M201" s="1">
        <v>42922</v>
      </c>
      <c r="N201">
        <v>47.191659999999999</v>
      </c>
      <c r="O201">
        <v>-122.67077999999999</v>
      </c>
      <c r="P201" t="s">
        <v>40</v>
      </c>
      <c r="Q201" t="s">
        <v>41</v>
      </c>
      <c r="R201" t="s">
        <v>44</v>
      </c>
      <c r="S201" t="s">
        <v>44</v>
      </c>
      <c r="T201" t="s">
        <v>44</v>
      </c>
      <c r="U201" t="s">
        <v>44</v>
      </c>
      <c r="V201" t="s">
        <v>44</v>
      </c>
      <c r="W201" t="s">
        <v>44</v>
      </c>
      <c r="X201" t="s">
        <v>44</v>
      </c>
      <c r="Y201" t="s">
        <v>44</v>
      </c>
      <c r="Z201" t="s">
        <v>44</v>
      </c>
      <c r="AA201" t="s">
        <v>44</v>
      </c>
      <c r="AB201" t="s">
        <v>44</v>
      </c>
      <c r="AC201" t="s">
        <v>44</v>
      </c>
      <c r="AD201" t="s">
        <v>44</v>
      </c>
      <c r="AE201" t="s">
        <v>129</v>
      </c>
      <c r="AF201">
        <v>126</v>
      </c>
      <c r="AG201">
        <f t="shared" si="12"/>
        <v>2</v>
      </c>
      <c r="AH201" s="5">
        <f t="shared" si="13"/>
        <v>126</v>
      </c>
      <c r="AI201">
        <f t="shared" si="14"/>
        <v>2</v>
      </c>
      <c r="AJ201" t="str">
        <f t="shared" si="15"/>
        <v>MCN_south_L2</v>
      </c>
    </row>
    <row r="202" spans="1:37" x14ac:dyDescent="0.25">
      <c r="A202">
        <v>201</v>
      </c>
      <c r="B202" t="s">
        <v>481</v>
      </c>
      <c r="C202" t="s">
        <v>502</v>
      </c>
      <c r="D202" t="s">
        <v>503</v>
      </c>
      <c r="E202" t="s">
        <v>34</v>
      </c>
      <c r="F202">
        <v>2017</v>
      </c>
      <c r="G202" t="s">
        <v>44</v>
      </c>
      <c r="H202" t="s">
        <v>63</v>
      </c>
      <c r="I202" t="s">
        <v>142</v>
      </c>
      <c r="J202" t="s">
        <v>38</v>
      </c>
      <c r="K202" t="s">
        <v>77</v>
      </c>
      <c r="L202" t="s">
        <v>77</v>
      </c>
      <c r="M202" s="1">
        <v>42923</v>
      </c>
      <c r="N202">
        <v>47.192450000000001</v>
      </c>
      <c r="O202">
        <v>-122.66495</v>
      </c>
      <c r="P202" t="s">
        <v>40</v>
      </c>
      <c r="Q202" t="s">
        <v>41</v>
      </c>
      <c r="R202">
        <v>-0.6</v>
      </c>
      <c r="S202" t="s">
        <v>55</v>
      </c>
      <c r="T202">
        <v>8</v>
      </c>
      <c r="U202">
        <v>5</v>
      </c>
      <c r="V202">
        <v>40</v>
      </c>
      <c r="W202">
        <v>20</v>
      </c>
      <c r="X202">
        <v>2</v>
      </c>
      <c r="Y202">
        <v>80</v>
      </c>
      <c r="Z202">
        <v>2000</v>
      </c>
      <c r="AA202">
        <v>50</v>
      </c>
      <c r="AB202">
        <v>100</v>
      </c>
      <c r="AC202" t="s">
        <v>43</v>
      </c>
      <c r="AD202" t="s">
        <v>504</v>
      </c>
      <c r="AE202" t="s">
        <v>129</v>
      </c>
      <c r="AF202">
        <v>127</v>
      </c>
      <c r="AG202">
        <f t="shared" si="12"/>
        <v>2</v>
      </c>
      <c r="AH202" s="5">
        <f t="shared" si="13"/>
        <v>127</v>
      </c>
      <c r="AI202">
        <f t="shared" si="14"/>
        <v>2</v>
      </c>
      <c r="AJ202" t="str">
        <f t="shared" si="15"/>
        <v>MCN_south_L1</v>
      </c>
    </row>
    <row r="203" spans="1:37" x14ac:dyDescent="0.25">
      <c r="A203">
        <v>202</v>
      </c>
      <c r="B203" t="s">
        <v>481</v>
      </c>
      <c r="C203" t="s">
        <v>502</v>
      </c>
      <c r="D203" t="s">
        <v>503</v>
      </c>
      <c r="E203" t="s">
        <v>34</v>
      </c>
      <c r="F203">
        <v>2017</v>
      </c>
      <c r="G203" t="s">
        <v>44</v>
      </c>
      <c r="H203" t="s">
        <v>63</v>
      </c>
      <c r="I203" t="s">
        <v>142</v>
      </c>
      <c r="J203" t="s">
        <v>38</v>
      </c>
      <c r="K203" t="s">
        <v>77</v>
      </c>
      <c r="L203" t="s">
        <v>69</v>
      </c>
      <c r="M203" s="1">
        <v>42923</v>
      </c>
      <c r="N203">
        <v>47.192480000000003</v>
      </c>
      <c r="O203">
        <v>-122.66473999999999</v>
      </c>
      <c r="P203" t="s">
        <v>40</v>
      </c>
      <c r="Q203" t="s">
        <v>41</v>
      </c>
      <c r="R203" t="s">
        <v>44</v>
      </c>
      <c r="S203" t="s">
        <v>44</v>
      </c>
      <c r="T203" t="s">
        <v>44</v>
      </c>
      <c r="U203" t="s">
        <v>44</v>
      </c>
      <c r="V203" t="s">
        <v>44</v>
      </c>
      <c r="W203" t="s">
        <v>44</v>
      </c>
      <c r="X203" t="s">
        <v>44</v>
      </c>
      <c r="Y203" t="s">
        <v>44</v>
      </c>
      <c r="Z203" t="s">
        <v>44</v>
      </c>
      <c r="AA203" t="s">
        <v>44</v>
      </c>
      <c r="AB203" t="s">
        <v>44</v>
      </c>
      <c r="AC203" t="s">
        <v>44</v>
      </c>
      <c r="AD203" t="s">
        <v>44</v>
      </c>
      <c r="AE203" t="s">
        <v>129</v>
      </c>
      <c r="AF203">
        <v>127</v>
      </c>
      <c r="AG203">
        <f t="shared" si="12"/>
        <v>2</v>
      </c>
      <c r="AH203" s="5">
        <f t="shared" si="13"/>
        <v>127</v>
      </c>
      <c r="AI203">
        <f t="shared" si="14"/>
        <v>2</v>
      </c>
      <c r="AJ203" t="str">
        <f t="shared" si="15"/>
        <v>MCN_south_L1</v>
      </c>
    </row>
    <row r="204" spans="1:37" x14ac:dyDescent="0.25">
      <c r="A204">
        <v>203</v>
      </c>
      <c r="B204" t="s">
        <v>481</v>
      </c>
      <c r="C204" t="s">
        <v>505</v>
      </c>
      <c r="D204" t="s">
        <v>506</v>
      </c>
      <c r="E204" t="s">
        <v>34</v>
      </c>
      <c r="F204">
        <v>2017</v>
      </c>
      <c r="G204" t="s">
        <v>44</v>
      </c>
      <c r="H204" t="s">
        <v>63</v>
      </c>
      <c r="I204" t="s">
        <v>142</v>
      </c>
      <c r="J204" t="s">
        <v>38</v>
      </c>
      <c r="K204" t="s">
        <v>77</v>
      </c>
      <c r="L204" t="s">
        <v>77</v>
      </c>
      <c r="M204" s="1">
        <v>42924</v>
      </c>
      <c r="N204">
        <v>47.19153</v>
      </c>
      <c r="O204">
        <v>-122.67189999999999</v>
      </c>
      <c r="P204" t="s">
        <v>40</v>
      </c>
      <c r="Q204" t="s">
        <v>41</v>
      </c>
      <c r="R204">
        <v>-1.6</v>
      </c>
      <c r="S204" t="s">
        <v>55</v>
      </c>
      <c r="T204">
        <v>16</v>
      </c>
      <c r="U204">
        <v>5</v>
      </c>
      <c r="V204">
        <v>80</v>
      </c>
      <c r="W204">
        <v>40</v>
      </c>
      <c r="X204">
        <v>4</v>
      </c>
      <c r="Y204">
        <v>160</v>
      </c>
      <c r="Z204">
        <v>4000</v>
      </c>
      <c r="AA204">
        <v>50</v>
      </c>
      <c r="AB204">
        <v>100</v>
      </c>
      <c r="AC204" t="s">
        <v>43</v>
      </c>
      <c r="AD204" t="s">
        <v>507</v>
      </c>
      <c r="AE204" t="s">
        <v>129</v>
      </c>
      <c r="AF204">
        <v>128</v>
      </c>
      <c r="AG204">
        <f t="shared" si="12"/>
        <v>2</v>
      </c>
      <c r="AH204" s="5">
        <f t="shared" si="13"/>
        <v>128</v>
      </c>
      <c r="AI204">
        <f t="shared" si="14"/>
        <v>2</v>
      </c>
      <c r="AJ204" t="str">
        <f t="shared" si="15"/>
        <v>MCN_south_L3</v>
      </c>
    </row>
    <row r="205" spans="1:37" x14ac:dyDescent="0.25">
      <c r="A205">
        <v>204</v>
      </c>
      <c r="B205" t="s">
        <v>481</v>
      </c>
      <c r="C205" t="s">
        <v>505</v>
      </c>
      <c r="D205" t="s">
        <v>506</v>
      </c>
      <c r="E205" t="s">
        <v>34</v>
      </c>
      <c r="F205">
        <v>2017</v>
      </c>
      <c r="G205" t="s">
        <v>44</v>
      </c>
      <c r="H205" t="s">
        <v>63</v>
      </c>
      <c r="I205" t="s">
        <v>142</v>
      </c>
      <c r="J205" t="s">
        <v>38</v>
      </c>
      <c r="K205" t="s">
        <v>77</v>
      </c>
      <c r="L205" t="s">
        <v>69</v>
      </c>
      <c r="M205" s="1">
        <v>42924</v>
      </c>
      <c r="N205">
        <v>47.191470000000002</v>
      </c>
      <c r="O205">
        <v>-122.67221000000001</v>
      </c>
      <c r="P205" t="s">
        <v>40</v>
      </c>
      <c r="Q205" t="s">
        <v>41</v>
      </c>
      <c r="R205" t="s">
        <v>44</v>
      </c>
      <c r="S205" t="s">
        <v>44</v>
      </c>
      <c r="T205" t="s">
        <v>44</v>
      </c>
      <c r="U205" t="s">
        <v>44</v>
      </c>
      <c r="V205" t="s">
        <v>44</v>
      </c>
      <c r="W205" t="s">
        <v>44</v>
      </c>
      <c r="X205" t="s">
        <v>44</v>
      </c>
      <c r="Y205" t="s">
        <v>44</v>
      </c>
      <c r="Z205" t="s">
        <v>44</v>
      </c>
      <c r="AA205" t="s">
        <v>44</v>
      </c>
      <c r="AB205" t="s">
        <v>44</v>
      </c>
      <c r="AC205" t="s">
        <v>44</v>
      </c>
      <c r="AD205" t="s">
        <v>44</v>
      </c>
      <c r="AE205" t="s">
        <v>129</v>
      </c>
      <c r="AF205">
        <v>128</v>
      </c>
      <c r="AG205">
        <f t="shared" si="12"/>
        <v>2</v>
      </c>
      <c r="AH205" s="5">
        <f t="shared" si="13"/>
        <v>128</v>
      </c>
      <c r="AI205">
        <f t="shared" si="14"/>
        <v>2</v>
      </c>
      <c r="AJ205" t="str">
        <f t="shared" si="15"/>
        <v>MCN_south_L3</v>
      </c>
    </row>
    <row r="206" spans="1:37" x14ac:dyDescent="0.25">
      <c r="A206">
        <v>205</v>
      </c>
      <c r="B206" t="s">
        <v>508</v>
      </c>
      <c r="C206" t="s">
        <v>509</v>
      </c>
      <c r="D206" t="s">
        <v>510</v>
      </c>
      <c r="E206" t="s">
        <v>34</v>
      </c>
      <c r="F206">
        <v>2017</v>
      </c>
      <c r="G206" t="s">
        <v>44</v>
      </c>
      <c r="H206" t="s">
        <v>36</v>
      </c>
      <c r="I206" t="s">
        <v>511</v>
      </c>
      <c r="J206" t="s">
        <v>38</v>
      </c>
      <c r="K206" t="s">
        <v>39</v>
      </c>
      <c r="L206" t="s">
        <v>39</v>
      </c>
      <c r="M206" s="1">
        <v>42978</v>
      </c>
      <c r="N206">
        <v>47.616869999999999</v>
      </c>
      <c r="O206">
        <v>-122.49728</v>
      </c>
      <c r="P206" t="s">
        <v>40</v>
      </c>
      <c r="Q206" t="s">
        <v>41</v>
      </c>
      <c r="R206">
        <v>-2.4</v>
      </c>
      <c r="S206" t="s">
        <v>55</v>
      </c>
      <c r="T206">
        <v>2.5</v>
      </c>
      <c r="U206">
        <v>2.5</v>
      </c>
      <c r="V206">
        <v>6.25</v>
      </c>
      <c r="W206">
        <v>4.5</v>
      </c>
      <c r="X206">
        <v>0.45</v>
      </c>
      <c r="Y206">
        <v>18</v>
      </c>
      <c r="Z206">
        <v>450</v>
      </c>
      <c r="AA206">
        <v>72</v>
      </c>
      <c r="AB206">
        <v>100</v>
      </c>
      <c r="AC206" t="s">
        <v>125</v>
      </c>
      <c r="AD206" t="s">
        <v>512</v>
      </c>
      <c r="AE206" t="s">
        <v>129</v>
      </c>
      <c r="AF206">
        <v>129</v>
      </c>
      <c r="AG206">
        <f t="shared" si="12"/>
        <v>1</v>
      </c>
      <c r="AH206" s="5" t="str">
        <f t="shared" si="13"/>
        <v/>
      </c>
      <c r="AI206">
        <f t="shared" si="14"/>
        <v>1</v>
      </c>
      <c r="AJ206" t="str">
        <f t="shared" si="15"/>
        <v/>
      </c>
    </row>
    <row r="207" spans="1:37" x14ac:dyDescent="0.25">
      <c r="A207">
        <v>206</v>
      </c>
      <c r="B207" t="s">
        <v>508</v>
      </c>
      <c r="C207" t="s">
        <v>513</v>
      </c>
      <c r="D207" t="s">
        <v>514</v>
      </c>
      <c r="E207" t="s">
        <v>34</v>
      </c>
      <c r="F207">
        <v>2017</v>
      </c>
      <c r="G207" t="s">
        <v>44</v>
      </c>
      <c r="H207" t="s">
        <v>36</v>
      </c>
      <c r="I207" t="s">
        <v>511</v>
      </c>
      <c r="J207" t="s">
        <v>38</v>
      </c>
      <c r="K207" t="s">
        <v>39</v>
      </c>
      <c r="L207" t="s">
        <v>39</v>
      </c>
      <c r="M207" s="1">
        <v>42978</v>
      </c>
      <c r="N207">
        <v>47.61683</v>
      </c>
      <c r="O207">
        <v>-122.49723</v>
      </c>
      <c r="P207" t="s">
        <v>40</v>
      </c>
      <c r="Q207" t="s">
        <v>41</v>
      </c>
      <c r="R207">
        <v>-2.4</v>
      </c>
      <c r="S207" t="s">
        <v>55</v>
      </c>
      <c r="T207">
        <v>2.5</v>
      </c>
      <c r="U207">
        <v>2.5</v>
      </c>
      <c r="V207">
        <v>6.25</v>
      </c>
      <c r="W207">
        <v>5</v>
      </c>
      <c r="X207">
        <v>0.5</v>
      </c>
      <c r="Y207">
        <v>20</v>
      </c>
      <c r="Z207">
        <v>500</v>
      </c>
      <c r="AA207">
        <v>80</v>
      </c>
      <c r="AB207">
        <v>100</v>
      </c>
      <c r="AC207" t="s">
        <v>125</v>
      </c>
      <c r="AD207" t="s">
        <v>512</v>
      </c>
      <c r="AE207" t="s">
        <v>129</v>
      </c>
      <c r="AF207">
        <v>130</v>
      </c>
      <c r="AG207">
        <f t="shared" si="12"/>
        <v>1</v>
      </c>
      <c r="AH207" s="5" t="str">
        <f t="shared" si="13"/>
        <v/>
      </c>
      <c r="AI207">
        <f t="shared" si="14"/>
        <v>1</v>
      </c>
      <c r="AJ207" t="str">
        <f t="shared" si="15"/>
        <v/>
      </c>
    </row>
    <row r="208" spans="1:37" x14ac:dyDescent="0.25">
      <c r="A208">
        <v>207</v>
      </c>
      <c r="B208" t="s">
        <v>515</v>
      </c>
      <c r="C208" t="s">
        <v>516</v>
      </c>
      <c r="D208" t="s">
        <v>517</v>
      </c>
      <c r="E208" t="s">
        <v>34</v>
      </c>
      <c r="F208">
        <v>2021</v>
      </c>
      <c r="G208" t="s">
        <v>44</v>
      </c>
      <c r="H208" t="s">
        <v>36</v>
      </c>
      <c r="I208" t="s">
        <v>518</v>
      </c>
      <c r="J208" t="s">
        <v>38</v>
      </c>
      <c r="K208" t="s">
        <v>39</v>
      </c>
      <c r="L208" t="s">
        <v>39</v>
      </c>
      <c r="M208" s="1">
        <v>44344</v>
      </c>
      <c r="N208">
        <v>47.620460000000001</v>
      </c>
      <c r="O208">
        <v>-122.36398</v>
      </c>
      <c r="P208" t="s">
        <v>40</v>
      </c>
      <c r="Q208" t="s">
        <v>41</v>
      </c>
      <c r="R208">
        <v>-1.5</v>
      </c>
      <c r="S208" t="s">
        <v>55</v>
      </c>
      <c r="T208">
        <v>1.5</v>
      </c>
      <c r="U208">
        <v>1</v>
      </c>
      <c r="V208">
        <v>1.5</v>
      </c>
      <c r="W208">
        <v>3.75</v>
      </c>
      <c r="X208">
        <v>0.375</v>
      </c>
      <c r="Y208">
        <v>15</v>
      </c>
      <c r="Z208">
        <v>300</v>
      </c>
      <c r="AA208">
        <v>200</v>
      </c>
      <c r="AB208">
        <v>80</v>
      </c>
      <c r="AC208" t="s">
        <v>99</v>
      </c>
      <c r="AD208" t="s">
        <v>519</v>
      </c>
      <c r="AE208" t="s">
        <v>184</v>
      </c>
      <c r="AF208">
        <v>131</v>
      </c>
      <c r="AG208">
        <f t="shared" si="12"/>
        <v>1</v>
      </c>
      <c r="AH208" s="5" t="str">
        <f t="shared" si="13"/>
        <v/>
      </c>
      <c r="AI208">
        <f t="shared" si="14"/>
        <v>2</v>
      </c>
      <c r="AJ208" s="7" t="str">
        <f t="shared" si="15"/>
        <v>MRE_1</v>
      </c>
      <c r="AK208" t="s">
        <v>409</v>
      </c>
    </row>
    <row r="209" spans="1:37" x14ac:dyDescent="0.25">
      <c r="A209">
        <v>208</v>
      </c>
      <c r="B209" t="s">
        <v>515</v>
      </c>
      <c r="C209" t="s">
        <v>520</v>
      </c>
      <c r="D209" t="s">
        <v>517</v>
      </c>
      <c r="E209" t="s">
        <v>34</v>
      </c>
      <c r="F209">
        <v>2021</v>
      </c>
      <c r="G209" t="s">
        <v>44</v>
      </c>
      <c r="H209" t="s">
        <v>36</v>
      </c>
      <c r="I209" t="s">
        <v>518</v>
      </c>
      <c r="J209" t="s">
        <v>38</v>
      </c>
      <c r="K209" t="s">
        <v>39</v>
      </c>
      <c r="L209" t="s">
        <v>39</v>
      </c>
      <c r="M209" s="1">
        <v>44344</v>
      </c>
      <c r="N209">
        <v>47.620460000000001</v>
      </c>
      <c r="O209">
        <v>-122.36398</v>
      </c>
      <c r="P209" t="s">
        <v>40</v>
      </c>
      <c r="Q209" t="s">
        <v>41</v>
      </c>
      <c r="R209">
        <v>-1.5</v>
      </c>
      <c r="S209" t="s">
        <v>55</v>
      </c>
      <c r="T209">
        <v>1</v>
      </c>
      <c r="U209">
        <v>1</v>
      </c>
      <c r="V209">
        <v>1</v>
      </c>
      <c r="W209">
        <v>3</v>
      </c>
      <c r="X209">
        <v>0.3</v>
      </c>
      <c r="Y209">
        <v>12</v>
      </c>
      <c r="Z209">
        <v>240</v>
      </c>
      <c r="AA209">
        <v>240</v>
      </c>
      <c r="AB209">
        <v>80</v>
      </c>
      <c r="AC209" t="s">
        <v>113</v>
      </c>
      <c r="AD209" t="s">
        <v>521</v>
      </c>
      <c r="AE209" t="s">
        <v>184</v>
      </c>
      <c r="AF209">
        <v>132</v>
      </c>
      <c r="AG209">
        <f t="shared" si="12"/>
        <v>1</v>
      </c>
      <c r="AH209" s="5" t="str">
        <f t="shared" si="13"/>
        <v/>
      </c>
      <c r="AI209">
        <f t="shared" si="14"/>
        <v>2</v>
      </c>
      <c r="AJ209" s="7" t="str">
        <f t="shared" si="15"/>
        <v>MRE_1</v>
      </c>
      <c r="AK209" t="s">
        <v>409</v>
      </c>
    </row>
    <row r="210" spans="1:37" x14ac:dyDescent="0.25">
      <c r="A210">
        <v>209</v>
      </c>
      <c r="B210" t="s">
        <v>515</v>
      </c>
      <c r="C210" t="s">
        <v>522</v>
      </c>
      <c r="D210" t="s">
        <v>523</v>
      </c>
      <c r="E210" t="s">
        <v>34</v>
      </c>
      <c r="F210">
        <v>2022</v>
      </c>
      <c r="G210" t="s">
        <v>44</v>
      </c>
      <c r="H210" t="s">
        <v>36</v>
      </c>
      <c r="I210" t="s">
        <v>518</v>
      </c>
      <c r="J210" t="s">
        <v>38</v>
      </c>
      <c r="K210" t="s">
        <v>39</v>
      </c>
      <c r="L210" t="s">
        <v>39</v>
      </c>
      <c r="M210" s="1">
        <v>44698</v>
      </c>
      <c r="N210">
        <v>47.620460000000001</v>
      </c>
      <c r="O210">
        <v>-122.36398</v>
      </c>
      <c r="P210" t="s">
        <v>40</v>
      </c>
      <c r="Q210" t="s">
        <v>41</v>
      </c>
      <c r="R210">
        <v>-1.5</v>
      </c>
      <c r="S210" t="s">
        <v>55</v>
      </c>
      <c r="T210">
        <v>1</v>
      </c>
      <c r="U210">
        <v>0.5</v>
      </c>
      <c r="V210">
        <v>0.5</v>
      </c>
      <c r="W210">
        <v>1.5</v>
      </c>
      <c r="X210">
        <v>0.15</v>
      </c>
      <c r="Y210">
        <v>6</v>
      </c>
      <c r="Z210">
        <v>120</v>
      </c>
      <c r="AA210">
        <v>240</v>
      </c>
      <c r="AB210">
        <v>80</v>
      </c>
      <c r="AC210" t="s">
        <v>99</v>
      </c>
      <c r="AD210" t="s">
        <v>524</v>
      </c>
      <c r="AE210" t="s">
        <v>184</v>
      </c>
      <c r="AF210">
        <v>133</v>
      </c>
      <c r="AG210">
        <f t="shared" si="12"/>
        <v>1</v>
      </c>
      <c r="AH210" s="5" t="str">
        <f t="shared" si="13"/>
        <v/>
      </c>
      <c r="AI210">
        <f t="shared" si="14"/>
        <v>2</v>
      </c>
      <c r="AJ210" s="7" t="str">
        <f t="shared" si="15"/>
        <v>MRE_2</v>
      </c>
      <c r="AK210" t="s">
        <v>711</v>
      </c>
    </row>
    <row r="211" spans="1:37" x14ac:dyDescent="0.25">
      <c r="A211">
        <v>210</v>
      </c>
      <c r="B211" t="s">
        <v>515</v>
      </c>
      <c r="C211" t="s">
        <v>525</v>
      </c>
      <c r="D211" t="s">
        <v>523</v>
      </c>
      <c r="E211" t="s">
        <v>34</v>
      </c>
      <c r="F211">
        <v>2022</v>
      </c>
      <c r="G211" t="s">
        <v>44</v>
      </c>
      <c r="H211" t="s">
        <v>36</v>
      </c>
      <c r="I211" t="s">
        <v>518</v>
      </c>
      <c r="J211" t="s">
        <v>38</v>
      </c>
      <c r="K211" t="s">
        <v>39</v>
      </c>
      <c r="L211" t="s">
        <v>39</v>
      </c>
      <c r="M211" s="1">
        <v>44698</v>
      </c>
      <c r="N211" t="s">
        <v>44</v>
      </c>
      <c r="O211" t="s">
        <v>44</v>
      </c>
      <c r="P211" t="s">
        <v>40</v>
      </c>
      <c r="Q211" t="s">
        <v>41</v>
      </c>
      <c r="R211">
        <v>-1.6</v>
      </c>
      <c r="S211" t="s">
        <v>55</v>
      </c>
      <c r="T211">
        <v>2.5</v>
      </c>
      <c r="U211">
        <v>1</v>
      </c>
      <c r="V211">
        <v>2.5</v>
      </c>
      <c r="W211">
        <v>7.75</v>
      </c>
      <c r="X211">
        <v>0.77500000000000002</v>
      </c>
      <c r="Y211">
        <v>31</v>
      </c>
      <c r="Z211">
        <v>620</v>
      </c>
      <c r="AA211">
        <v>248</v>
      </c>
      <c r="AB211">
        <v>80</v>
      </c>
      <c r="AC211" t="s">
        <v>99</v>
      </c>
      <c r="AD211" t="s">
        <v>526</v>
      </c>
      <c r="AE211" t="s">
        <v>184</v>
      </c>
      <c r="AF211">
        <v>134</v>
      </c>
      <c r="AG211">
        <f t="shared" si="12"/>
        <v>1</v>
      </c>
      <c r="AH211" s="5" t="str">
        <f t="shared" si="13"/>
        <v/>
      </c>
      <c r="AI211">
        <f t="shared" si="14"/>
        <v>2</v>
      </c>
      <c r="AJ211" s="7" t="str">
        <f t="shared" si="15"/>
        <v>MRE_2</v>
      </c>
      <c r="AK211" t="s">
        <v>711</v>
      </c>
    </row>
    <row r="212" spans="1:37" x14ac:dyDescent="0.25">
      <c r="A212">
        <v>211</v>
      </c>
      <c r="B212" t="s">
        <v>527</v>
      </c>
      <c r="C212" t="s">
        <v>528</v>
      </c>
      <c r="D212" t="s">
        <v>529</v>
      </c>
      <c r="E212" t="s">
        <v>34</v>
      </c>
      <c r="F212">
        <v>2015</v>
      </c>
      <c r="G212" t="s">
        <v>44</v>
      </c>
      <c r="H212" t="s">
        <v>36</v>
      </c>
      <c r="I212" t="s">
        <v>124</v>
      </c>
      <c r="J212" t="s">
        <v>38</v>
      </c>
      <c r="K212" t="s">
        <v>39</v>
      </c>
      <c r="L212" t="s">
        <v>39</v>
      </c>
      <c r="M212" s="1">
        <v>42053</v>
      </c>
      <c r="N212">
        <v>47.592083333333299</v>
      </c>
      <c r="O212">
        <v>-122.679066666667</v>
      </c>
      <c r="P212" t="s">
        <v>40</v>
      </c>
      <c r="Q212" t="s">
        <v>41</v>
      </c>
      <c r="R212">
        <v>-1.4325600000000001</v>
      </c>
      <c r="S212" t="s">
        <v>42</v>
      </c>
      <c r="T212">
        <v>5</v>
      </c>
      <c r="U212">
        <v>5</v>
      </c>
      <c r="V212">
        <v>25</v>
      </c>
      <c r="W212">
        <v>25</v>
      </c>
      <c r="X212">
        <v>0.625</v>
      </c>
      <c r="Y212">
        <v>125</v>
      </c>
      <c r="Z212">
        <v>500</v>
      </c>
      <c r="AA212">
        <v>20</v>
      </c>
      <c r="AB212">
        <v>20</v>
      </c>
      <c r="AC212" t="s">
        <v>125</v>
      </c>
      <c r="AD212" t="s">
        <v>44</v>
      </c>
      <c r="AE212" t="s">
        <v>51</v>
      </c>
      <c r="AF212">
        <v>135</v>
      </c>
      <c r="AG212">
        <f t="shared" si="12"/>
        <v>1</v>
      </c>
      <c r="AH212" s="5" t="str">
        <f t="shared" si="13"/>
        <v/>
      </c>
      <c r="AI212">
        <f t="shared" si="14"/>
        <v>1</v>
      </c>
      <c r="AJ212" t="str">
        <f t="shared" si="15"/>
        <v/>
      </c>
    </row>
    <row r="213" spans="1:37" x14ac:dyDescent="0.25">
      <c r="A213">
        <v>212</v>
      </c>
      <c r="B213" t="s">
        <v>530</v>
      </c>
      <c r="C213" t="s">
        <v>531</v>
      </c>
      <c r="D213" t="s">
        <v>532</v>
      </c>
      <c r="E213" t="s">
        <v>34</v>
      </c>
      <c r="F213">
        <v>2023</v>
      </c>
      <c r="G213" t="s">
        <v>44</v>
      </c>
      <c r="H213" t="s">
        <v>36</v>
      </c>
      <c r="I213" t="s">
        <v>533</v>
      </c>
      <c r="J213" t="s">
        <v>200</v>
      </c>
      <c r="K213" t="s">
        <v>39</v>
      </c>
      <c r="L213" t="s">
        <v>39</v>
      </c>
      <c r="M213" s="1">
        <v>45053</v>
      </c>
      <c r="N213">
        <v>47.163100800000002</v>
      </c>
      <c r="O213">
        <v>-122.828051</v>
      </c>
      <c r="P213" t="s">
        <v>40</v>
      </c>
      <c r="Q213" t="s">
        <v>41</v>
      </c>
      <c r="R213">
        <v>-1</v>
      </c>
      <c r="S213" t="s">
        <v>55</v>
      </c>
      <c r="T213">
        <v>1.5</v>
      </c>
      <c r="U213">
        <v>0.5</v>
      </c>
      <c r="V213">
        <v>0.75</v>
      </c>
      <c r="W213">
        <v>2.75</v>
      </c>
      <c r="X213">
        <v>0.27500000000000002</v>
      </c>
      <c r="Y213">
        <v>11</v>
      </c>
      <c r="Z213">
        <v>150</v>
      </c>
      <c r="AA213">
        <v>200</v>
      </c>
      <c r="AB213">
        <v>54.545454545454497</v>
      </c>
      <c r="AC213" t="s">
        <v>99</v>
      </c>
      <c r="AD213" t="s">
        <v>534</v>
      </c>
      <c r="AE213" t="s">
        <v>100</v>
      </c>
      <c r="AF213">
        <v>136</v>
      </c>
      <c r="AG213">
        <f t="shared" si="12"/>
        <v>1</v>
      </c>
      <c r="AH213" s="5" t="str">
        <f t="shared" si="13"/>
        <v/>
      </c>
      <c r="AI213">
        <f t="shared" si="14"/>
        <v>1</v>
      </c>
      <c r="AJ213" t="str">
        <f t="shared" si="15"/>
        <v/>
      </c>
    </row>
    <row r="214" spans="1:37" x14ac:dyDescent="0.25">
      <c r="A214">
        <v>213</v>
      </c>
      <c r="B214" t="s">
        <v>535</v>
      </c>
      <c r="C214" t="s">
        <v>536</v>
      </c>
      <c r="D214" t="s">
        <v>537</v>
      </c>
      <c r="E214" t="s">
        <v>34</v>
      </c>
      <c r="F214">
        <v>2016</v>
      </c>
      <c r="G214" t="s">
        <v>35</v>
      </c>
      <c r="H214" t="s">
        <v>36</v>
      </c>
      <c r="I214" t="s">
        <v>142</v>
      </c>
      <c r="J214" t="s">
        <v>38</v>
      </c>
      <c r="K214" t="s">
        <v>39</v>
      </c>
      <c r="L214" t="s">
        <v>39</v>
      </c>
      <c r="M214" s="1">
        <v>42510</v>
      </c>
      <c r="N214">
        <v>47.264066961111098</v>
      </c>
      <c r="O214">
        <v>-122.73925913055599</v>
      </c>
      <c r="P214" t="s">
        <v>40</v>
      </c>
      <c r="Q214" t="s">
        <v>41</v>
      </c>
      <c r="R214">
        <v>-2</v>
      </c>
      <c r="S214" t="s">
        <v>146</v>
      </c>
      <c r="T214">
        <v>5</v>
      </c>
      <c r="U214">
        <v>5</v>
      </c>
      <c r="V214">
        <v>25</v>
      </c>
      <c r="W214">
        <v>39</v>
      </c>
      <c r="X214">
        <v>9.75</v>
      </c>
      <c r="Y214">
        <v>156</v>
      </c>
      <c r="Z214">
        <v>780</v>
      </c>
      <c r="AA214">
        <v>31.2</v>
      </c>
      <c r="AB214">
        <v>20</v>
      </c>
      <c r="AC214" t="s">
        <v>65</v>
      </c>
      <c r="AD214" t="s">
        <v>148</v>
      </c>
      <c r="AE214" t="s">
        <v>67</v>
      </c>
      <c r="AF214">
        <v>137</v>
      </c>
      <c r="AG214">
        <f t="shared" si="12"/>
        <v>1</v>
      </c>
      <c r="AH214" s="5" t="str">
        <f t="shared" si="13"/>
        <v/>
      </c>
      <c r="AI214">
        <f t="shared" si="14"/>
        <v>1</v>
      </c>
      <c r="AJ214" t="str">
        <f t="shared" si="15"/>
        <v/>
      </c>
    </row>
    <row r="215" spans="1:37" ht="63" x14ac:dyDescent="0.25">
      <c r="A215">
        <v>214</v>
      </c>
      <c r="B215" t="s">
        <v>538</v>
      </c>
      <c r="C215" t="s">
        <v>539</v>
      </c>
      <c r="D215" t="s">
        <v>540</v>
      </c>
      <c r="E215" t="s">
        <v>34</v>
      </c>
      <c r="F215">
        <v>2014</v>
      </c>
      <c r="G215" s="2" t="s">
        <v>541</v>
      </c>
      <c r="H215" t="s">
        <v>36</v>
      </c>
      <c r="I215" t="s">
        <v>538</v>
      </c>
      <c r="J215" t="s">
        <v>542</v>
      </c>
      <c r="K215" t="s">
        <v>39</v>
      </c>
      <c r="L215" t="s">
        <v>39</v>
      </c>
      <c r="M215" s="1">
        <v>41961</v>
      </c>
      <c r="N215">
        <v>47.820416666666702</v>
      </c>
      <c r="O215">
        <v>-122.572016666667</v>
      </c>
      <c r="P215" t="s">
        <v>40</v>
      </c>
      <c r="Q215" t="s">
        <v>41</v>
      </c>
      <c r="R215">
        <v>-1.8288</v>
      </c>
      <c r="S215" t="s">
        <v>42</v>
      </c>
      <c r="T215">
        <v>5</v>
      </c>
      <c r="U215">
        <v>5</v>
      </c>
      <c r="V215">
        <v>25</v>
      </c>
      <c r="W215">
        <v>25</v>
      </c>
      <c r="X215">
        <v>0.625</v>
      </c>
      <c r="Y215">
        <v>125</v>
      </c>
      <c r="Z215">
        <v>500</v>
      </c>
      <c r="AA215">
        <v>20</v>
      </c>
      <c r="AB215">
        <v>20</v>
      </c>
      <c r="AC215" t="s">
        <v>543</v>
      </c>
      <c r="AD215" t="s">
        <v>44</v>
      </c>
      <c r="AE215" t="s">
        <v>544</v>
      </c>
      <c r="AF215">
        <v>138</v>
      </c>
      <c r="AG215">
        <f t="shared" si="12"/>
        <v>1</v>
      </c>
      <c r="AH215" s="5" t="str">
        <f t="shared" si="13"/>
        <v/>
      </c>
      <c r="AI215">
        <f t="shared" si="14"/>
        <v>1</v>
      </c>
      <c r="AJ215" t="str">
        <f t="shared" si="15"/>
        <v/>
      </c>
    </row>
    <row r="216" spans="1:37" ht="63" x14ac:dyDescent="0.25">
      <c r="A216">
        <v>215</v>
      </c>
      <c r="B216" t="s">
        <v>538</v>
      </c>
      <c r="C216" t="s">
        <v>545</v>
      </c>
      <c r="D216" t="s">
        <v>546</v>
      </c>
      <c r="E216" t="s">
        <v>34</v>
      </c>
      <c r="F216">
        <v>2014</v>
      </c>
      <c r="G216" s="2" t="s">
        <v>541</v>
      </c>
      <c r="H216" t="s">
        <v>36</v>
      </c>
      <c r="I216" t="s">
        <v>538</v>
      </c>
      <c r="J216" t="s">
        <v>542</v>
      </c>
      <c r="K216" t="s">
        <v>39</v>
      </c>
      <c r="L216" t="s">
        <v>39</v>
      </c>
      <c r="M216" s="1">
        <v>41962</v>
      </c>
      <c r="N216">
        <v>47.821100000000001</v>
      </c>
      <c r="O216">
        <v>-122.577966666667</v>
      </c>
      <c r="P216" t="s">
        <v>40</v>
      </c>
      <c r="Q216" t="s">
        <v>41</v>
      </c>
      <c r="R216">
        <v>-1.8288</v>
      </c>
      <c r="S216" t="s">
        <v>42</v>
      </c>
      <c r="T216">
        <v>5</v>
      </c>
      <c r="U216">
        <v>5</v>
      </c>
      <c r="V216">
        <v>25</v>
      </c>
      <c r="W216">
        <v>25</v>
      </c>
      <c r="X216">
        <v>0.625</v>
      </c>
      <c r="Y216">
        <v>125</v>
      </c>
      <c r="Z216">
        <v>500</v>
      </c>
      <c r="AA216">
        <v>20</v>
      </c>
      <c r="AB216">
        <v>20</v>
      </c>
      <c r="AC216" t="s">
        <v>543</v>
      </c>
      <c r="AD216" t="s">
        <v>44</v>
      </c>
      <c r="AE216" t="s">
        <v>544</v>
      </c>
      <c r="AF216">
        <v>139</v>
      </c>
      <c r="AG216">
        <f t="shared" si="12"/>
        <v>1</v>
      </c>
      <c r="AH216" s="5" t="str">
        <f t="shared" si="13"/>
        <v/>
      </c>
      <c r="AI216">
        <f t="shared" si="14"/>
        <v>1</v>
      </c>
      <c r="AJ216" t="str">
        <f t="shared" si="15"/>
        <v/>
      </c>
    </row>
    <row r="217" spans="1:37" ht="63" x14ac:dyDescent="0.25">
      <c r="A217">
        <v>216</v>
      </c>
      <c r="B217" t="s">
        <v>538</v>
      </c>
      <c r="C217" t="s">
        <v>547</v>
      </c>
      <c r="D217" t="s">
        <v>548</v>
      </c>
      <c r="E217" t="s">
        <v>34</v>
      </c>
      <c r="F217">
        <v>2014</v>
      </c>
      <c r="G217" s="2" t="s">
        <v>541</v>
      </c>
      <c r="H217" t="s">
        <v>36</v>
      </c>
      <c r="I217" t="s">
        <v>538</v>
      </c>
      <c r="J217" t="s">
        <v>542</v>
      </c>
      <c r="K217" t="s">
        <v>39</v>
      </c>
      <c r="L217" t="s">
        <v>39</v>
      </c>
      <c r="M217" s="1">
        <v>41962</v>
      </c>
      <c r="N217">
        <v>47.821566666666698</v>
      </c>
      <c r="O217">
        <v>-122.57531666666701</v>
      </c>
      <c r="P217" t="s">
        <v>40</v>
      </c>
      <c r="Q217" t="s">
        <v>41</v>
      </c>
      <c r="R217">
        <v>-2.7431999999999999</v>
      </c>
      <c r="S217" t="s">
        <v>42</v>
      </c>
      <c r="T217">
        <v>5</v>
      </c>
      <c r="U217">
        <v>5</v>
      </c>
      <c r="V217">
        <v>25</v>
      </c>
      <c r="W217">
        <v>25</v>
      </c>
      <c r="X217">
        <v>0.625</v>
      </c>
      <c r="Y217">
        <v>125</v>
      </c>
      <c r="Z217">
        <v>500</v>
      </c>
      <c r="AA217">
        <v>20</v>
      </c>
      <c r="AB217">
        <v>20</v>
      </c>
      <c r="AC217" t="s">
        <v>543</v>
      </c>
      <c r="AD217" t="s">
        <v>44</v>
      </c>
      <c r="AE217" t="s">
        <v>544</v>
      </c>
      <c r="AF217">
        <v>140</v>
      </c>
      <c r="AG217">
        <f t="shared" si="12"/>
        <v>1</v>
      </c>
      <c r="AH217" s="5" t="str">
        <f t="shared" si="13"/>
        <v/>
      </c>
      <c r="AI217">
        <f t="shared" si="14"/>
        <v>1</v>
      </c>
      <c r="AJ217" t="str">
        <f t="shared" si="15"/>
        <v/>
      </c>
    </row>
    <row r="218" spans="1:37" ht="63" x14ac:dyDescent="0.25">
      <c r="A218">
        <v>217</v>
      </c>
      <c r="B218" t="s">
        <v>538</v>
      </c>
      <c r="C218" t="s">
        <v>549</v>
      </c>
      <c r="D218" t="s">
        <v>550</v>
      </c>
      <c r="E218" t="s">
        <v>34</v>
      </c>
      <c r="F218">
        <v>2014</v>
      </c>
      <c r="G218" s="2" t="s">
        <v>541</v>
      </c>
      <c r="H218" t="s">
        <v>36</v>
      </c>
      <c r="I218" t="s">
        <v>538</v>
      </c>
      <c r="J218" t="s">
        <v>542</v>
      </c>
      <c r="K218" t="s">
        <v>39</v>
      </c>
      <c r="L218" t="s">
        <v>39</v>
      </c>
      <c r="M218" s="1">
        <v>41962</v>
      </c>
      <c r="N218">
        <v>47.820300000000003</v>
      </c>
      <c r="O218">
        <v>-122.5757</v>
      </c>
      <c r="P218" t="s">
        <v>40</v>
      </c>
      <c r="Q218" t="s">
        <v>41</v>
      </c>
      <c r="R218">
        <v>-1.2192000000000001</v>
      </c>
      <c r="S218" t="s">
        <v>42</v>
      </c>
      <c r="T218">
        <v>5</v>
      </c>
      <c r="U218">
        <v>5</v>
      </c>
      <c r="V218">
        <v>25</v>
      </c>
      <c r="W218">
        <v>25</v>
      </c>
      <c r="X218">
        <v>0.625</v>
      </c>
      <c r="Y218">
        <v>125</v>
      </c>
      <c r="Z218">
        <v>500</v>
      </c>
      <c r="AA218">
        <v>20</v>
      </c>
      <c r="AB218">
        <v>20</v>
      </c>
      <c r="AC218" t="s">
        <v>543</v>
      </c>
      <c r="AD218" t="s">
        <v>44</v>
      </c>
      <c r="AE218" t="s">
        <v>544</v>
      </c>
      <c r="AF218">
        <v>141</v>
      </c>
      <c r="AG218">
        <f t="shared" si="12"/>
        <v>1</v>
      </c>
      <c r="AH218" s="5" t="str">
        <f t="shared" si="13"/>
        <v/>
      </c>
      <c r="AI218">
        <f t="shared" si="14"/>
        <v>1</v>
      </c>
      <c r="AJ218" t="str">
        <f t="shared" si="15"/>
        <v/>
      </c>
    </row>
    <row r="219" spans="1:37" ht="63" x14ac:dyDescent="0.25">
      <c r="A219">
        <v>218</v>
      </c>
      <c r="B219" t="s">
        <v>538</v>
      </c>
      <c r="C219" t="s">
        <v>551</v>
      </c>
      <c r="D219" t="s">
        <v>552</v>
      </c>
      <c r="E219" t="s">
        <v>34</v>
      </c>
      <c r="F219">
        <v>2014</v>
      </c>
      <c r="G219" s="2" t="s">
        <v>541</v>
      </c>
      <c r="H219" t="s">
        <v>36</v>
      </c>
      <c r="I219" t="s">
        <v>538</v>
      </c>
      <c r="J219" t="s">
        <v>542</v>
      </c>
      <c r="K219" t="s">
        <v>39</v>
      </c>
      <c r="L219" t="s">
        <v>39</v>
      </c>
      <c r="M219" s="1">
        <v>41963</v>
      </c>
      <c r="N219">
        <v>47.823266666666697</v>
      </c>
      <c r="O219">
        <v>-122.5821</v>
      </c>
      <c r="P219" t="s">
        <v>40</v>
      </c>
      <c r="Q219" t="s">
        <v>41</v>
      </c>
      <c r="R219">
        <v>-1.8288</v>
      </c>
      <c r="S219" t="s">
        <v>42</v>
      </c>
      <c r="T219">
        <v>5</v>
      </c>
      <c r="U219">
        <v>5</v>
      </c>
      <c r="V219">
        <v>25</v>
      </c>
      <c r="W219">
        <v>25</v>
      </c>
      <c r="X219">
        <v>0.625</v>
      </c>
      <c r="Y219">
        <v>125</v>
      </c>
      <c r="Z219">
        <v>500</v>
      </c>
      <c r="AA219">
        <v>20</v>
      </c>
      <c r="AB219">
        <v>20</v>
      </c>
      <c r="AC219" t="s">
        <v>543</v>
      </c>
      <c r="AD219" t="s">
        <v>44</v>
      </c>
      <c r="AE219" t="s">
        <v>544</v>
      </c>
      <c r="AF219">
        <v>142</v>
      </c>
      <c r="AG219">
        <f t="shared" si="12"/>
        <v>1</v>
      </c>
      <c r="AH219" s="5" t="str">
        <f t="shared" si="13"/>
        <v/>
      </c>
      <c r="AI219">
        <f t="shared" si="14"/>
        <v>1</v>
      </c>
      <c r="AJ219" t="str">
        <f t="shared" si="15"/>
        <v/>
      </c>
    </row>
    <row r="220" spans="1:37" ht="63" x14ac:dyDescent="0.25">
      <c r="A220">
        <v>219</v>
      </c>
      <c r="B220" t="s">
        <v>538</v>
      </c>
      <c r="C220" t="s">
        <v>553</v>
      </c>
      <c r="D220" t="s">
        <v>554</v>
      </c>
      <c r="E220" t="s">
        <v>34</v>
      </c>
      <c r="F220">
        <v>2014</v>
      </c>
      <c r="G220" s="2" t="s">
        <v>541</v>
      </c>
      <c r="H220" t="s">
        <v>36</v>
      </c>
      <c r="I220" t="s">
        <v>538</v>
      </c>
      <c r="J220" t="s">
        <v>542</v>
      </c>
      <c r="K220" t="s">
        <v>39</v>
      </c>
      <c r="L220" t="s">
        <v>39</v>
      </c>
      <c r="M220" s="1">
        <v>41963</v>
      </c>
      <c r="N220">
        <v>47.821066666666702</v>
      </c>
      <c r="O220">
        <v>-122.567266666667</v>
      </c>
      <c r="P220" t="s">
        <v>40</v>
      </c>
      <c r="Q220" t="s">
        <v>41</v>
      </c>
      <c r="R220">
        <v>-1.8288</v>
      </c>
      <c r="S220" t="s">
        <v>42</v>
      </c>
      <c r="T220">
        <v>5</v>
      </c>
      <c r="U220">
        <v>5</v>
      </c>
      <c r="V220">
        <v>25</v>
      </c>
      <c r="W220">
        <v>25</v>
      </c>
      <c r="X220">
        <v>0.625</v>
      </c>
      <c r="Y220">
        <v>125</v>
      </c>
      <c r="Z220">
        <v>500</v>
      </c>
      <c r="AA220">
        <v>20</v>
      </c>
      <c r="AB220">
        <v>20</v>
      </c>
      <c r="AC220" t="s">
        <v>543</v>
      </c>
      <c r="AD220" t="s">
        <v>44</v>
      </c>
      <c r="AE220" t="s">
        <v>544</v>
      </c>
      <c r="AF220">
        <v>143</v>
      </c>
      <c r="AG220">
        <f t="shared" si="12"/>
        <v>1</v>
      </c>
      <c r="AH220" s="5" t="str">
        <f t="shared" si="13"/>
        <v/>
      </c>
      <c r="AI220">
        <f t="shared" si="14"/>
        <v>1</v>
      </c>
      <c r="AJ220" t="str">
        <f t="shared" si="15"/>
        <v/>
      </c>
    </row>
    <row r="221" spans="1:37" ht="63" x14ac:dyDescent="0.25">
      <c r="A221">
        <v>220</v>
      </c>
      <c r="B221" t="s">
        <v>538</v>
      </c>
      <c r="C221" t="s">
        <v>555</v>
      </c>
      <c r="D221" t="s">
        <v>556</v>
      </c>
      <c r="E221" t="s">
        <v>34</v>
      </c>
      <c r="F221">
        <v>2015</v>
      </c>
      <c r="G221" s="2" t="s">
        <v>541</v>
      </c>
      <c r="H221" t="s">
        <v>76</v>
      </c>
      <c r="I221" t="s">
        <v>538</v>
      </c>
      <c r="J221" t="s">
        <v>542</v>
      </c>
      <c r="K221" t="s">
        <v>77</v>
      </c>
      <c r="L221" t="s">
        <v>77</v>
      </c>
      <c r="M221" s="1">
        <v>42095</v>
      </c>
      <c r="N221">
        <v>47.823466666666697</v>
      </c>
      <c r="O221">
        <v>-122.582033333333</v>
      </c>
      <c r="P221" t="s">
        <v>40</v>
      </c>
      <c r="Q221" t="s">
        <v>41</v>
      </c>
      <c r="R221" t="s">
        <v>44</v>
      </c>
      <c r="S221" t="s">
        <v>42</v>
      </c>
      <c r="T221">
        <v>48</v>
      </c>
      <c r="U221">
        <v>36</v>
      </c>
      <c r="V221">
        <v>1728</v>
      </c>
      <c r="W221">
        <v>240</v>
      </c>
      <c r="X221">
        <v>6</v>
      </c>
      <c r="Y221">
        <v>1200</v>
      </c>
      <c r="Z221">
        <v>4800</v>
      </c>
      <c r="AA221">
        <v>2.7777777777777799</v>
      </c>
      <c r="AB221">
        <v>20</v>
      </c>
      <c r="AC221" t="s">
        <v>543</v>
      </c>
      <c r="AD221" t="s">
        <v>44</v>
      </c>
      <c r="AE221" t="s">
        <v>544</v>
      </c>
      <c r="AF221">
        <v>144</v>
      </c>
      <c r="AG221">
        <f t="shared" si="12"/>
        <v>4</v>
      </c>
      <c r="AH221" s="5">
        <f t="shared" si="13"/>
        <v>144</v>
      </c>
      <c r="AI221">
        <f t="shared" si="14"/>
        <v>4</v>
      </c>
      <c r="AJ221" t="str">
        <f t="shared" si="15"/>
        <v>PTG_P1</v>
      </c>
    </row>
    <row r="222" spans="1:37" ht="63" x14ac:dyDescent="0.25">
      <c r="A222">
        <v>221</v>
      </c>
      <c r="B222" t="s">
        <v>538</v>
      </c>
      <c r="C222" t="s">
        <v>557</v>
      </c>
      <c r="D222" t="s">
        <v>556</v>
      </c>
      <c r="E222" t="s">
        <v>34</v>
      </c>
      <c r="F222">
        <v>2015</v>
      </c>
      <c r="G222" s="2" t="s">
        <v>541</v>
      </c>
      <c r="H222" t="s">
        <v>76</v>
      </c>
      <c r="I222" t="s">
        <v>538</v>
      </c>
      <c r="J222" t="s">
        <v>542</v>
      </c>
      <c r="K222" t="s">
        <v>77</v>
      </c>
      <c r="L222" t="s">
        <v>69</v>
      </c>
      <c r="M222" s="1">
        <v>42095</v>
      </c>
      <c r="N222">
        <v>47.8232</v>
      </c>
      <c r="O222">
        <v>-122.58154999999999</v>
      </c>
      <c r="P222" t="s">
        <v>40</v>
      </c>
      <c r="Q222" t="s">
        <v>41</v>
      </c>
      <c r="R222" t="s">
        <v>44</v>
      </c>
      <c r="S222" t="s">
        <v>42</v>
      </c>
      <c r="T222" t="s">
        <v>44</v>
      </c>
      <c r="U222" t="s">
        <v>44</v>
      </c>
      <c r="V222" t="s">
        <v>44</v>
      </c>
      <c r="W222" t="s">
        <v>44</v>
      </c>
      <c r="X222" t="s">
        <v>44</v>
      </c>
      <c r="Y222" t="s">
        <v>44</v>
      </c>
      <c r="Z222" t="s">
        <v>44</v>
      </c>
      <c r="AA222" t="s">
        <v>44</v>
      </c>
      <c r="AB222" t="s">
        <v>44</v>
      </c>
      <c r="AC222" t="s">
        <v>44</v>
      </c>
      <c r="AD222" t="s">
        <v>44</v>
      </c>
      <c r="AE222" t="s">
        <v>544</v>
      </c>
      <c r="AF222">
        <v>144</v>
      </c>
      <c r="AG222">
        <f t="shared" si="12"/>
        <v>4</v>
      </c>
      <c r="AH222" s="5">
        <f t="shared" si="13"/>
        <v>144</v>
      </c>
      <c r="AI222">
        <f t="shared" si="14"/>
        <v>4</v>
      </c>
      <c r="AJ222" t="str">
        <f t="shared" si="15"/>
        <v>PTG_P1</v>
      </c>
    </row>
    <row r="223" spans="1:37" ht="63" x14ac:dyDescent="0.25">
      <c r="A223">
        <v>222</v>
      </c>
      <c r="B223" t="s">
        <v>538</v>
      </c>
      <c r="C223" t="s">
        <v>558</v>
      </c>
      <c r="D223" t="s">
        <v>556</v>
      </c>
      <c r="E223" t="s">
        <v>34</v>
      </c>
      <c r="F223">
        <v>2015</v>
      </c>
      <c r="G223" s="2" t="s">
        <v>541</v>
      </c>
      <c r="H223" t="s">
        <v>76</v>
      </c>
      <c r="I223" t="s">
        <v>538</v>
      </c>
      <c r="J223" t="s">
        <v>542</v>
      </c>
      <c r="K223" t="s">
        <v>77</v>
      </c>
      <c r="L223" t="s">
        <v>69</v>
      </c>
      <c r="M223" s="1">
        <v>42095</v>
      </c>
      <c r="N223">
        <v>47.823050000000002</v>
      </c>
      <c r="O223">
        <v>-122.581883333333</v>
      </c>
      <c r="P223" t="s">
        <v>40</v>
      </c>
      <c r="Q223" t="s">
        <v>41</v>
      </c>
      <c r="R223" t="s">
        <v>44</v>
      </c>
      <c r="S223" t="s">
        <v>42</v>
      </c>
      <c r="T223" t="s">
        <v>44</v>
      </c>
      <c r="U223" t="s">
        <v>44</v>
      </c>
      <c r="V223" t="s">
        <v>44</v>
      </c>
      <c r="W223" t="s">
        <v>44</v>
      </c>
      <c r="X223" t="s">
        <v>44</v>
      </c>
      <c r="Y223" t="s">
        <v>44</v>
      </c>
      <c r="Z223" t="s">
        <v>44</v>
      </c>
      <c r="AA223" t="s">
        <v>44</v>
      </c>
      <c r="AB223" t="s">
        <v>44</v>
      </c>
      <c r="AC223" t="s">
        <v>44</v>
      </c>
      <c r="AD223" t="s">
        <v>44</v>
      </c>
      <c r="AE223" t="s">
        <v>544</v>
      </c>
      <c r="AF223">
        <v>144</v>
      </c>
      <c r="AG223">
        <f t="shared" si="12"/>
        <v>4</v>
      </c>
      <c r="AH223" s="5">
        <f t="shared" si="13"/>
        <v>144</v>
      </c>
      <c r="AI223">
        <f t="shared" si="14"/>
        <v>4</v>
      </c>
      <c r="AJ223" t="str">
        <f t="shared" si="15"/>
        <v>PTG_P1</v>
      </c>
    </row>
    <row r="224" spans="1:37" ht="63" x14ac:dyDescent="0.25">
      <c r="A224">
        <v>223</v>
      </c>
      <c r="B224" t="s">
        <v>538</v>
      </c>
      <c r="C224" t="s">
        <v>559</v>
      </c>
      <c r="D224" t="s">
        <v>556</v>
      </c>
      <c r="E224" t="s">
        <v>34</v>
      </c>
      <c r="F224">
        <v>2015</v>
      </c>
      <c r="G224" s="2" t="s">
        <v>541</v>
      </c>
      <c r="H224" t="s">
        <v>76</v>
      </c>
      <c r="I224" t="s">
        <v>538</v>
      </c>
      <c r="J224" t="s">
        <v>542</v>
      </c>
      <c r="K224" t="s">
        <v>77</v>
      </c>
      <c r="L224" t="s">
        <v>69</v>
      </c>
      <c r="M224" s="1">
        <v>42095</v>
      </c>
      <c r="N224">
        <v>47.823283333333301</v>
      </c>
      <c r="O224">
        <v>-122.58235000000001</v>
      </c>
      <c r="P224" t="s">
        <v>40</v>
      </c>
      <c r="Q224" t="s">
        <v>41</v>
      </c>
      <c r="R224">
        <v>-1.8288</v>
      </c>
      <c r="S224" t="s">
        <v>42</v>
      </c>
      <c r="T224" t="s">
        <v>44</v>
      </c>
      <c r="U224" t="s">
        <v>44</v>
      </c>
      <c r="V224" t="s">
        <v>44</v>
      </c>
      <c r="W224" t="s">
        <v>44</v>
      </c>
      <c r="X224" t="s">
        <v>44</v>
      </c>
      <c r="Y224" t="s">
        <v>44</v>
      </c>
      <c r="Z224" t="s">
        <v>44</v>
      </c>
      <c r="AA224" t="s">
        <v>44</v>
      </c>
      <c r="AB224" t="s">
        <v>44</v>
      </c>
      <c r="AC224" t="s">
        <v>44</v>
      </c>
      <c r="AD224" t="s">
        <v>44</v>
      </c>
      <c r="AE224" t="s">
        <v>544</v>
      </c>
      <c r="AF224">
        <v>144</v>
      </c>
      <c r="AG224">
        <f t="shared" si="12"/>
        <v>4</v>
      </c>
      <c r="AH224" s="5">
        <f t="shared" si="13"/>
        <v>144</v>
      </c>
      <c r="AI224">
        <f t="shared" si="14"/>
        <v>4</v>
      </c>
      <c r="AJ224" t="str">
        <f t="shared" si="15"/>
        <v>PTG_P1</v>
      </c>
    </row>
    <row r="225" spans="1:37" ht="63" x14ac:dyDescent="0.25">
      <c r="A225">
        <v>224</v>
      </c>
      <c r="B225" t="s">
        <v>538</v>
      </c>
      <c r="C225" t="s">
        <v>560</v>
      </c>
      <c r="D225" t="s">
        <v>561</v>
      </c>
      <c r="E225" t="s">
        <v>34</v>
      </c>
      <c r="F225">
        <v>2015</v>
      </c>
      <c r="G225" s="2" t="s">
        <v>541</v>
      </c>
      <c r="H225" t="s">
        <v>76</v>
      </c>
      <c r="I225" t="s">
        <v>538</v>
      </c>
      <c r="J225" t="s">
        <v>542</v>
      </c>
      <c r="K225" t="s">
        <v>77</v>
      </c>
      <c r="L225" t="s">
        <v>77</v>
      </c>
      <c r="M225" s="1">
        <v>42095</v>
      </c>
      <c r="N225">
        <v>47.822049999999997</v>
      </c>
      <c r="O225">
        <v>-122.5805</v>
      </c>
      <c r="P225" t="s">
        <v>40</v>
      </c>
      <c r="Q225" t="s">
        <v>41</v>
      </c>
      <c r="R225" t="s">
        <v>44</v>
      </c>
      <c r="S225" t="s">
        <v>42</v>
      </c>
      <c r="T225">
        <v>60</v>
      </c>
      <c r="U225">
        <v>36</v>
      </c>
      <c r="V225">
        <v>2160</v>
      </c>
      <c r="W225">
        <v>320</v>
      </c>
      <c r="X225">
        <v>7.9124999999999996</v>
      </c>
      <c r="Y225">
        <v>1582.5</v>
      </c>
      <c r="Z225">
        <v>6330</v>
      </c>
      <c r="AA225">
        <v>2.9305555555555598</v>
      </c>
      <c r="AB225">
        <v>19.78125</v>
      </c>
      <c r="AC225" t="s">
        <v>543</v>
      </c>
      <c r="AD225" t="s">
        <v>44</v>
      </c>
      <c r="AE225" t="s">
        <v>544</v>
      </c>
      <c r="AF225">
        <v>145</v>
      </c>
      <c r="AG225">
        <f t="shared" si="12"/>
        <v>4</v>
      </c>
      <c r="AH225" s="5">
        <f t="shared" si="13"/>
        <v>145</v>
      </c>
      <c r="AI225">
        <f t="shared" si="14"/>
        <v>4</v>
      </c>
      <c r="AJ225" t="str">
        <f t="shared" si="15"/>
        <v>PTG_P2</v>
      </c>
    </row>
    <row r="226" spans="1:37" ht="63" x14ac:dyDescent="0.25">
      <c r="A226">
        <v>225</v>
      </c>
      <c r="B226" t="s">
        <v>538</v>
      </c>
      <c r="C226" t="s">
        <v>562</v>
      </c>
      <c r="D226" t="s">
        <v>561</v>
      </c>
      <c r="E226" t="s">
        <v>34</v>
      </c>
      <c r="F226">
        <v>2015</v>
      </c>
      <c r="G226" s="2" t="s">
        <v>541</v>
      </c>
      <c r="H226" t="s">
        <v>76</v>
      </c>
      <c r="I226" t="s">
        <v>538</v>
      </c>
      <c r="J226" t="s">
        <v>542</v>
      </c>
      <c r="K226" t="s">
        <v>77</v>
      </c>
      <c r="L226" t="s">
        <v>69</v>
      </c>
      <c r="M226" s="1">
        <v>42095</v>
      </c>
      <c r="N226">
        <v>47.821750000000002</v>
      </c>
      <c r="O226">
        <v>-122.579966666667</v>
      </c>
      <c r="P226" t="s">
        <v>40</v>
      </c>
      <c r="Q226" t="s">
        <v>41</v>
      </c>
      <c r="R226" t="s">
        <v>44</v>
      </c>
      <c r="S226" t="s">
        <v>42</v>
      </c>
      <c r="T226" t="s">
        <v>44</v>
      </c>
      <c r="U226" t="s">
        <v>44</v>
      </c>
      <c r="V226" t="s">
        <v>44</v>
      </c>
      <c r="W226" t="s">
        <v>44</v>
      </c>
      <c r="X226" t="s">
        <v>44</v>
      </c>
      <c r="Y226" t="s">
        <v>44</v>
      </c>
      <c r="Z226" t="s">
        <v>44</v>
      </c>
      <c r="AA226" t="s">
        <v>44</v>
      </c>
      <c r="AB226" t="s">
        <v>44</v>
      </c>
      <c r="AC226" t="s">
        <v>44</v>
      </c>
      <c r="AD226" t="s">
        <v>44</v>
      </c>
      <c r="AE226" t="s">
        <v>544</v>
      </c>
      <c r="AF226">
        <v>145</v>
      </c>
      <c r="AG226">
        <f t="shared" si="12"/>
        <v>4</v>
      </c>
      <c r="AH226" s="5">
        <f t="shared" si="13"/>
        <v>145</v>
      </c>
      <c r="AI226">
        <f t="shared" si="14"/>
        <v>4</v>
      </c>
      <c r="AJ226" t="str">
        <f t="shared" si="15"/>
        <v>PTG_P2</v>
      </c>
    </row>
    <row r="227" spans="1:37" ht="63" x14ac:dyDescent="0.25">
      <c r="A227">
        <v>226</v>
      </c>
      <c r="B227" t="s">
        <v>538</v>
      </c>
      <c r="C227" t="s">
        <v>563</v>
      </c>
      <c r="D227" t="s">
        <v>561</v>
      </c>
      <c r="E227" t="s">
        <v>34</v>
      </c>
      <c r="F227">
        <v>2015</v>
      </c>
      <c r="G227" s="2" t="s">
        <v>541</v>
      </c>
      <c r="H227" t="s">
        <v>76</v>
      </c>
      <c r="I227" t="s">
        <v>538</v>
      </c>
      <c r="J227" t="s">
        <v>542</v>
      </c>
      <c r="K227" t="s">
        <v>77</v>
      </c>
      <c r="L227" t="s">
        <v>69</v>
      </c>
      <c r="M227" s="1">
        <v>42095</v>
      </c>
      <c r="N227">
        <v>47.821516666666703</v>
      </c>
      <c r="O227">
        <v>-122.580216666667</v>
      </c>
      <c r="P227" t="s">
        <v>40</v>
      </c>
      <c r="Q227" t="s">
        <v>41</v>
      </c>
      <c r="R227" t="s">
        <v>44</v>
      </c>
      <c r="S227" t="s">
        <v>42</v>
      </c>
      <c r="T227" t="s">
        <v>44</v>
      </c>
      <c r="U227" t="s">
        <v>44</v>
      </c>
      <c r="V227" t="s">
        <v>44</v>
      </c>
      <c r="W227" t="s">
        <v>44</v>
      </c>
      <c r="X227" t="s">
        <v>44</v>
      </c>
      <c r="Y227" t="s">
        <v>44</v>
      </c>
      <c r="Z227" t="s">
        <v>44</v>
      </c>
      <c r="AA227" t="s">
        <v>44</v>
      </c>
      <c r="AB227" t="s">
        <v>44</v>
      </c>
      <c r="AC227" t="s">
        <v>44</v>
      </c>
      <c r="AD227" t="s">
        <v>44</v>
      </c>
      <c r="AE227" t="s">
        <v>544</v>
      </c>
      <c r="AF227">
        <v>145</v>
      </c>
      <c r="AG227">
        <f t="shared" si="12"/>
        <v>4</v>
      </c>
      <c r="AH227" s="5">
        <f t="shared" si="13"/>
        <v>145</v>
      </c>
      <c r="AI227">
        <f t="shared" si="14"/>
        <v>4</v>
      </c>
      <c r="AJ227" t="str">
        <f t="shared" si="15"/>
        <v>PTG_P2</v>
      </c>
    </row>
    <row r="228" spans="1:37" ht="63" x14ac:dyDescent="0.25">
      <c r="A228">
        <v>227</v>
      </c>
      <c r="B228" t="s">
        <v>538</v>
      </c>
      <c r="C228" t="s">
        <v>564</v>
      </c>
      <c r="D228" t="s">
        <v>561</v>
      </c>
      <c r="E228" t="s">
        <v>34</v>
      </c>
      <c r="F228">
        <v>2015</v>
      </c>
      <c r="G228" s="2" t="s">
        <v>541</v>
      </c>
      <c r="H228" t="s">
        <v>76</v>
      </c>
      <c r="I228" t="s">
        <v>538</v>
      </c>
      <c r="J228" t="s">
        <v>542</v>
      </c>
      <c r="K228" t="s">
        <v>77</v>
      </c>
      <c r="L228" t="s">
        <v>69</v>
      </c>
      <c r="M228" s="1">
        <v>42095</v>
      </c>
      <c r="N228">
        <v>47.8217833333333</v>
      </c>
      <c r="O228">
        <v>-122.58091666666699</v>
      </c>
      <c r="P228" t="s">
        <v>40</v>
      </c>
      <c r="Q228" t="s">
        <v>41</v>
      </c>
      <c r="R228" t="s">
        <v>44</v>
      </c>
      <c r="S228" t="s">
        <v>42</v>
      </c>
      <c r="T228" t="s">
        <v>44</v>
      </c>
      <c r="U228" t="s">
        <v>44</v>
      </c>
      <c r="V228" t="s">
        <v>44</v>
      </c>
      <c r="W228" t="s">
        <v>44</v>
      </c>
      <c r="X228" t="s">
        <v>44</v>
      </c>
      <c r="Y228" t="s">
        <v>44</v>
      </c>
      <c r="Z228" t="s">
        <v>44</v>
      </c>
      <c r="AA228" t="s">
        <v>44</v>
      </c>
      <c r="AB228" t="s">
        <v>44</v>
      </c>
      <c r="AC228" t="s">
        <v>44</v>
      </c>
      <c r="AD228" t="s">
        <v>44</v>
      </c>
      <c r="AE228" t="s">
        <v>544</v>
      </c>
      <c r="AF228">
        <v>145</v>
      </c>
      <c r="AG228">
        <f t="shared" si="12"/>
        <v>4</v>
      </c>
      <c r="AH228" s="5">
        <f t="shared" si="13"/>
        <v>145</v>
      </c>
      <c r="AI228">
        <f t="shared" si="14"/>
        <v>4</v>
      </c>
      <c r="AJ228" t="str">
        <f t="shared" si="15"/>
        <v>PTG_P2</v>
      </c>
    </row>
    <row r="229" spans="1:37" ht="63" x14ac:dyDescent="0.25">
      <c r="A229">
        <v>228</v>
      </c>
      <c r="B229" t="s">
        <v>538</v>
      </c>
      <c r="C229" t="s">
        <v>565</v>
      </c>
      <c r="D229" t="s">
        <v>566</v>
      </c>
      <c r="E229" t="s">
        <v>34</v>
      </c>
      <c r="F229">
        <v>2015</v>
      </c>
      <c r="G229" s="2" t="s">
        <v>541</v>
      </c>
      <c r="H229" t="s">
        <v>76</v>
      </c>
      <c r="I229" t="s">
        <v>538</v>
      </c>
      <c r="J229" t="s">
        <v>542</v>
      </c>
      <c r="K229" t="s">
        <v>77</v>
      </c>
      <c r="L229" t="s">
        <v>77</v>
      </c>
      <c r="M229" s="1">
        <v>42095</v>
      </c>
      <c r="N229">
        <v>47.821566666666698</v>
      </c>
      <c r="O229">
        <v>-122.578016666667</v>
      </c>
      <c r="P229" t="s">
        <v>40</v>
      </c>
      <c r="Q229" t="s">
        <v>41</v>
      </c>
      <c r="R229" t="s">
        <v>44</v>
      </c>
      <c r="S229" t="s">
        <v>42</v>
      </c>
      <c r="T229">
        <v>60</v>
      </c>
      <c r="U229">
        <v>36</v>
      </c>
      <c r="V229">
        <v>2160</v>
      </c>
      <c r="W229">
        <v>320</v>
      </c>
      <c r="X229">
        <v>8</v>
      </c>
      <c r="Y229">
        <v>1600</v>
      </c>
      <c r="Z229">
        <v>6400</v>
      </c>
      <c r="AA229">
        <v>2.9629629629629601</v>
      </c>
      <c r="AB229">
        <v>20</v>
      </c>
      <c r="AC229" t="s">
        <v>543</v>
      </c>
      <c r="AD229" t="s">
        <v>44</v>
      </c>
      <c r="AE229" t="s">
        <v>544</v>
      </c>
      <c r="AF229">
        <v>146</v>
      </c>
      <c r="AG229">
        <f t="shared" si="12"/>
        <v>4</v>
      </c>
      <c r="AH229" s="5">
        <f t="shared" si="13"/>
        <v>146</v>
      </c>
      <c r="AI229">
        <f t="shared" si="14"/>
        <v>4</v>
      </c>
      <c r="AJ229" t="str">
        <f t="shared" si="15"/>
        <v>PTG_P3</v>
      </c>
    </row>
    <row r="230" spans="1:37" ht="63" x14ac:dyDescent="0.25">
      <c r="A230">
        <v>229</v>
      </c>
      <c r="B230" t="s">
        <v>538</v>
      </c>
      <c r="C230" t="s">
        <v>567</v>
      </c>
      <c r="D230" t="s">
        <v>566</v>
      </c>
      <c r="E230" t="s">
        <v>34</v>
      </c>
      <c r="F230">
        <v>2015</v>
      </c>
      <c r="G230" s="2" t="s">
        <v>541</v>
      </c>
      <c r="H230" t="s">
        <v>76</v>
      </c>
      <c r="I230" t="s">
        <v>538</v>
      </c>
      <c r="J230" t="s">
        <v>542</v>
      </c>
      <c r="K230" t="s">
        <v>77</v>
      </c>
      <c r="L230" t="s">
        <v>69</v>
      </c>
      <c r="M230" s="1">
        <v>42095</v>
      </c>
      <c r="N230">
        <v>47.821516666666703</v>
      </c>
      <c r="O230">
        <v>-122.577216666667</v>
      </c>
      <c r="P230" t="s">
        <v>40</v>
      </c>
      <c r="Q230" t="s">
        <v>41</v>
      </c>
      <c r="R230" t="s">
        <v>44</v>
      </c>
      <c r="S230" t="s">
        <v>42</v>
      </c>
      <c r="T230" t="s">
        <v>44</v>
      </c>
      <c r="U230" t="s">
        <v>44</v>
      </c>
      <c r="V230" t="s">
        <v>44</v>
      </c>
      <c r="W230" t="s">
        <v>44</v>
      </c>
      <c r="X230" t="s">
        <v>44</v>
      </c>
      <c r="Y230" t="s">
        <v>44</v>
      </c>
      <c r="Z230" t="s">
        <v>44</v>
      </c>
      <c r="AA230" t="s">
        <v>44</v>
      </c>
      <c r="AB230" t="s">
        <v>44</v>
      </c>
      <c r="AC230" t="s">
        <v>44</v>
      </c>
      <c r="AD230" t="s">
        <v>44</v>
      </c>
      <c r="AE230" t="s">
        <v>544</v>
      </c>
      <c r="AF230">
        <v>146</v>
      </c>
      <c r="AG230">
        <f t="shared" si="12"/>
        <v>4</v>
      </c>
      <c r="AH230" s="5">
        <f t="shared" si="13"/>
        <v>146</v>
      </c>
      <c r="AI230">
        <f t="shared" si="14"/>
        <v>4</v>
      </c>
      <c r="AJ230" t="str">
        <f t="shared" si="15"/>
        <v>PTG_P3</v>
      </c>
    </row>
    <row r="231" spans="1:37" ht="63" x14ac:dyDescent="0.25">
      <c r="A231">
        <v>230</v>
      </c>
      <c r="B231" t="s">
        <v>538</v>
      </c>
      <c r="C231" t="s">
        <v>568</v>
      </c>
      <c r="D231" t="s">
        <v>566</v>
      </c>
      <c r="E231" t="s">
        <v>34</v>
      </c>
      <c r="F231">
        <v>2015</v>
      </c>
      <c r="G231" s="2" t="s">
        <v>541</v>
      </c>
      <c r="H231" t="s">
        <v>76</v>
      </c>
      <c r="I231" t="s">
        <v>538</v>
      </c>
      <c r="J231" t="s">
        <v>542</v>
      </c>
      <c r="K231" t="s">
        <v>77</v>
      </c>
      <c r="L231" t="s">
        <v>69</v>
      </c>
      <c r="M231" s="1">
        <v>42095</v>
      </c>
      <c r="N231">
        <v>47.821183333333302</v>
      </c>
      <c r="O231">
        <v>-122.577116666667</v>
      </c>
      <c r="P231" t="s">
        <v>40</v>
      </c>
      <c r="Q231" t="s">
        <v>41</v>
      </c>
      <c r="R231" t="s">
        <v>44</v>
      </c>
      <c r="S231" t="s">
        <v>42</v>
      </c>
      <c r="T231" t="s">
        <v>44</v>
      </c>
      <c r="U231" t="s">
        <v>44</v>
      </c>
      <c r="V231" t="s">
        <v>44</v>
      </c>
      <c r="W231" t="s">
        <v>44</v>
      </c>
      <c r="X231" t="s">
        <v>44</v>
      </c>
      <c r="Y231" t="s">
        <v>44</v>
      </c>
      <c r="Z231" t="s">
        <v>44</v>
      </c>
      <c r="AA231" t="s">
        <v>44</v>
      </c>
      <c r="AB231" t="s">
        <v>44</v>
      </c>
      <c r="AC231" t="s">
        <v>44</v>
      </c>
      <c r="AD231" t="s">
        <v>44</v>
      </c>
      <c r="AE231" t="s">
        <v>544</v>
      </c>
      <c r="AF231">
        <v>146</v>
      </c>
      <c r="AG231">
        <f t="shared" si="12"/>
        <v>4</v>
      </c>
      <c r="AH231" s="5">
        <f t="shared" si="13"/>
        <v>146</v>
      </c>
      <c r="AI231">
        <f t="shared" si="14"/>
        <v>4</v>
      </c>
      <c r="AJ231" t="str">
        <f t="shared" si="15"/>
        <v>PTG_P3</v>
      </c>
    </row>
    <row r="232" spans="1:37" ht="63" x14ac:dyDescent="0.25">
      <c r="A232">
        <v>231</v>
      </c>
      <c r="B232" t="s">
        <v>538</v>
      </c>
      <c r="C232" t="s">
        <v>569</v>
      </c>
      <c r="D232" t="s">
        <v>566</v>
      </c>
      <c r="E232" t="s">
        <v>34</v>
      </c>
      <c r="F232">
        <v>2015</v>
      </c>
      <c r="G232" s="2" t="s">
        <v>541</v>
      </c>
      <c r="H232" t="s">
        <v>76</v>
      </c>
      <c r="I232" t="s">
        <v>538</v>
      </c>
      <c r="J232" t="s">
        <v>542</v>
      </c>
      <c r="K232" t="s">
        <v>77</v>
      </c>
      <c r="L232" t="s">
        <v>69</v>
      </c>
      <c r="M232" s="1">
        <v>42095</v>
      </c>
      <c r="N232">
        <v>47.8212166666667</v>
      </c>
      <c r="O232">
        <v>-122.57791666666699</v>
      </c>
      <c r="P232" t="s">
        <v>40</v>
      </c>
      <c r="Q232" t="s">
        <v>41</v>
      </c>
      <c r="R232">
        <v>-1.8288</v>
      </c>
      <c r="S232" t="s">
        <v>42</v>
      </c>
      <c r="T232" t="s">
        <v>44</v>
      </c>
      <c r="U232" t="s">
        <v>44</v>
      </c>
      <c r="V232" t="s">
        <v>44</v>
      </c>
      <c r="W232" t="s">
        <v>44</v>
      </c>
      <c r="X232" t="s">
        <v>44</v>
      </c>
      <c r="Y232" t="s">
        <v>44</v>
      </c>
      <c r="Z232" t="s">
        <v>44</v>
      </c>
      <c r="AA232" t="s">
        <v>44</v>
      </c>
      <c r="AB232" t="s">
        <v>44</v>
      </c>
      <c r="AC232" t="s">
        <v>44</v>
      </c>
      <c r="AD232" t="s">
        <v>44</v>
      </c>
      <c r="AE232" t="s">
        <v>544</v>
      </c>
      <c r="AF232">
        <v>146</v>
      </c>
      <c r="AG232">
        <f t="shared" si="12"/>
        <v>4</v>
      </c>
      <c r="AH232" s="5">
        <f t="shared" si="13"/>
        <v>146</v>
      </c>
      <c r="AI232">
        <f t="shared" si="14"/>
        <v>4</v>
      </c>
      <c r="AJ232" t="str">
        <f t="shared" si="15"/>
        <v>PTG_P3</v>
      </c>
    </row>
    <row r="233" spans="1:37" ht="63" x14ac:dyDescent="0.25">
      <c r="A233">
        <v>232</v>
      </c>
      <c r="B233" t="s">
        <v>538</v>
      </c>
      <c r="C233" t="s">
        <v>570</v>
      </c>
      <c r="D233" t="s">
        <v>571</v>
      </c>
      <c r="E233" t="s">
        <v>34</v>
      </c>
      <c r="F233">
        <v>2015</v>
      </c>
      <c r="G233" s="2" t="s">
        <v>541</v>
      </c>
      <c r="H233" t="s">
        <v>76</v>
      </c>
      <c r="I233" t="s">
        <v>538</v>
      </c>
      <c r="J233" t="s">
        <v>542</v>
      </c>
      <c r="K233" t="s">
        <v>77</v>
      </c>
      <c r="L233" t="s">
        <v>77</v>
      </c>
      <c r="M233" s="1">
        <v>42095</v>
      </c>
      <c r="N233">
        <v>47.821666666666701</v>
      </c>
      <c r="O233">
        <v>-122.57623333333299</v>
      </c>
      <c r="P233" t="s">
        <v>40</v>
      </c>
      <c r="Q233" t="s">
        <v>41</v>
      </c>
      <c r="R233" t="s">
        <v>44</v>
      </c>
      <c r="S233" t="s">
        <v>42</v>
      </c>
      <c r="T233">
        <v>60</v>
      </c>
      <c r="U233">
        <v>36</v>
      </c>
      <c r="V233">
        <v>2160</v>
      </c>
      <c r="W233">
        <v>320</v>
      </c>
      <c r="X233">
        <v>7.9649999999999999</v>
      </c>
      <c r="Y233">
        <v>1593</v>
      </c>
      <c r="Z233">
        <v>6372</v>
      </c>
      <c r="AA233">
        <v>2.95</v>
      </c>
      <c r="AB233">
        <v>19.912500000000001</v>
      </c>
      <c r="AC233" t="s">
        <v>543</v>
      </c>
      <c r="AD233" t="s">
        <v>44</v>
      </c>
      <c r="AE233" t="s">
        <v>544</v>
      </c>
      <c r="AF233">
        <v>147</v>
      </c>
      <c r="AG233">
        <f t="shared" si="12"/>
        <v>4</v>
      </c>
      <c r="AH233" s="5">
        <f t="shared" si="13"/>
        <v>147</v>
      </c>
      <c r="AI233">
        <f t="shared" si="14"/>
        <v>4</v>
      </c>
      <c r="AJ233" t="str">
        <f t="shared" si="15"/>
        <v>PTG_P4</v>
      </c>
    </row>
    <row r="234" spans="1:37" ht="63" x14ac:dyDescent="0.25">
      <c r="A234">
        <v>233</v>
      </c>
      <c r="B234" t="s">
        <v>538</v>
      </c>
      <c r="C234" t="s">
        <v>572</v>
      </c>
      <c r="D234" t="s">
        <v>571</v>
      </c>
      <c r="E234" t="s">
        <v>34</v>
      </c>
      <c r="F234">
        <v>2015</v>
      </c>
      <c r="G234" s="2" t="s">
        <v>541</v>
      </c>
      <c r="H234" t="s">
        <v>76</v>
      </c>
      <c r="I234" t="s">
        <v>538</v>
      </c>
      <c r="J234" t="s">
        <v>542</v>
      </c>
      <c r="K234" t="s">
        <v>77</v>
      </c>
      <c r="L234" t="s">
        <v>69</v>
      </c>
      <c r="M234" s="1">
        <v>42095</v>
      </c>
      <c r="N234">
        <v>47.821533333333299</v>
      </c>
      <c r="O234">
        <v>-122.57538333333299</v>
      </c>
      <c r="P234" t="s">
        <v>40</v>
      </c>
      <c r="Q234" t="s">
        <v>41</v>
      </c>
      <c r="R234">
        <v>-2.7431999999999999</v>
      </c>
      <c r="S234" t="s">
        <v>42</v>
      </c>
      <c r="T234" t="s">
        <v>44</v>
      </c>
      <c r="U234" t="s">
        <v>44</v>
      </c>
      <c r="V234" t="s">
        <v>44</v>
      </c>
      <c r="W234" t="s">
        <v>44</v>
      </c>
      <c r="X234" t="s">
        <v>44</v>
      </c>
      <c r="Y234" t="s">
        <v>44</v>
      </c>
      <c r="Z234" t="s">
        <v>44</v>
      </c>
      <c r="AA234" t="s">
        <v>44</v>
      </c>
      <c r="AB234" t="s">
        <v>44</v>
      </c>
      <c r="AC234" t="s">
        <v>44</v>
      </c>
      <c r="AD234" t="s">
        <v>44</v>
      </c>
      <c r="AE234" t="s">
        <v>544</v>
      </c>
      <c r="AF234">
        <v>147</v>
      </c>
      <c r="AG234">
        <f t="shared" si="12"/>
        <v>4</v>
      </c>
      <c r="AH234" s="5">
        <f t="shared" si="13"/>
        <v>147</v>
      </c>
      <c r="AI234">
        <f t="shared" si="14"/>
        <v>4</v>
      </c>
      <c r="AJ234" t="str">
        <f t="shared" si="15"/>
        <v>PTG_P4</v>
      </c>
    </row>
    <row r="235" spans="1:37" ht="63" x14ac:dyDescent="0.25">
      <c r="A235">
        <v>234</v>
      </c>
      <c r="B235" t="s">
        <v>538</v>
      </c>
      <c r="C235" t="s">
        <v>573</v>
      </c>
      <c r="D235" t="s">
        <v>571</v>
      </c>
      <c r="E235" t="s">
        <v>34</v>
      </c>
      <c r="F235">
        <v>2015</v>
      </c>
      <c r="G235" s="2" t="s">
        <v>541</v>
      </c>
      <c r="H235" t="s">
        <v>76</v>
      </c>
      <c r="I235" t="s">
        <v>538</v>
      </c>
      <c r="J235" t="s">
        <v>542</v>
      </c>
      <c r="K235" t="s">
        <v>77</v>
      </c>
      <c r="L235" t="s">
        <v>69</v>
      </c>
      <c r="M235" s="1">
        <v>42095</v>
      </c>
      <c r="N235">
        <v>47.8212166666667</v>
      </c>
      <c r="O235">
        <v>-122.575283333333</v>
      </c>
      <c r="P235" t="s">
        <v>40</v>
      </c>
      <c r="Q235" t="s">
        <v>41</v>
      </c>
      <c r="R235" t="s">
        <v>44</v>
      </c>
      <c r="S235" t="s">
        <v>42</v>
      </c>
      <c r="T235" t="s">
        <v>44</v>
      </c>
      <c r="U235" t="s">
        <v>44</v>
      </c>
      <c r="V235" t="s">
        <v>44</v>
      </c>
      <c r="W235" t="s">
        <v>44</v>
      </c>
      <c r="X235" t="s">
        <v>44</v>
      </c>
      <c r="Y235" t="s">
        <v>44</v>
      </c>
      <c r="Z235" t="s">
        <v>44</v>
      </c>
      <c r="AA235" t="s">
        <v>44</v>
      </c>
      <c r="AB235" t="s">
        <v>44</v>
      </c>
      <c r="AC235" t="s">
        <v>44</v>
      </c>
      <c r="AD235" t="s">
        <v>44</v>
      </c>
      <c r="AE235" t="s">
        <v>544</v>
      </c>
      <c r="AF235">
        <v>147</v>
      </c>
      <c r="AG235">
        <f t="shared" si="12"/>
        <v>4</v>
      </c>
      <c r="AH235" s="5">
        <f t="shared" si="13"/>
        <v>147</v>
      </c>
      <c r="AI235">
        <f t="shared" si="14"/>
        <v>4</v>
      </c>
      <c r="AJ235" t="str">
        <f t="shared" si="15"/>
        <v>PTG_P4</v>
      </c>
    </row>
    <row r="236" spans="1:37" ht="63" x14ac:dyDescent="0.25">
      <c r="A236">
        <v>235</v>
      </c>
      <c r="B236" t="s">
        <v>538</v>
      </c>
      <c r="C236" t="s">
        <v>574</v>
      </c>
      <c r="D236" t="s">
        <v>571</v>
      </c>
      <c r="E236" t="s">
        <v>34</v>
      </c>
      <c r="F236">
        <v>2015</v>
      </c>
      <c r="G236" s="2" t="s">
        <v>541</v>
      </c>
      <c r="H236" t="s">
        <v>76</v>
      </c>
      <c r="I236" t="s">
        <v>538</v>
      </c>
      <c r="J236" t="s">
        <v>542</v>
      </c>
      <c r="K236" t="s">
        <v>77</v>
      </c>
      <c r="L236" t="s">
        <v>69</v>
      </c>
      <c r="M236" s="1">
        <v>42095</v>
      </c>
      <c r="N236">
        <v>47.821283333333298</v>
      </c>
      <c r="O236">
        <v>-122.57618333333301</v>
      </c>
      <c r="P236" t="s">
        <v>40</v>
      </c>
      <c r="Q236" t="s">
        <v>41</v>
      </c>
      <c r="R236" t="s">
        <v>44</v>
      </c>
      <c r="S236" t="s">
        <v>42</v>
      </c>
      <c r="T236" t="s">
        <v>44</v>
      </c>
      <c r="U236" t="s">
        <v>44</v>
      </c>
      <c r="V236" t="s">
        <v>44</v>
      </c>
      <c r="W236" t="s">
        <v>44</v>
      </c>
      <c r="X236" t="s">
        <v>44</v>
      </c>
      <c r="Y236" t="s">
        <v>44</v>
      </c>
      <c r="Z236" t="s">
        <v>44</v>
      </c>
      <c r="AA236" t="s">
        <v>44</v>
      </c>
      <c r="AB236" t="s">
        <v>44</v>
      </c>
      <c r="AC236" t="s">
        <v>44</v>
      </c>
      <c r="AD236" t="s">
        <v>44</v>
      </c>
      <c r="AE236" t="s">
        <v>544</v>
      </c>
      <c r="AF236">
        <v>147</v>
      </c>
      <c r="AG236">
        <f t="shared" si="12"/>
        <v>4</v>
      </c>
      <c r="AH236" s="5">
        <f t="shared" si="13"/>
        <v>147</v>
      </c>
      <c r="AI236">
        <f t="shared" si="14"/>
        <v>4</v>
      </c>
      <c r="AJ236" t="str">
        <f t="shared" si="15"/>
        <v>PTG_P4</v>
      </c>
    </row>
    <row r="237" spans="1:37" x14ac:dyDescent="0.25">
      <c r="A237">
        <v>236</v>
      </c>
      <c r="B237" t="s">
        <v>575</v>
      </c>
      <c r="C237" t="s">
        <v>576</v>
      </c>
      <c r="D237" t="s">
        <v>577</v>
      </c>
      <c r="E237" t="s">
        <v>34</v>
      </c>
      <c r="F237">
        <v>2018</v>
      </c>
      <c r="G237" t="s">
        <v>44</v>
      </c>
      <c r="H237" t="s">
        <v>36</v>
      </c>
      <c r="I237" t="s">
        <v>575</v>
      </c>
      <c r="J237" t="s">
        <v>38</v>
      </c>
      <c r="K237" t="s">
        <v>39</v>
      </c>
      <c r="L237" t="s">
        <v>39</v>
      </c>
      <c r="M237" s="1">
        <v>43250</v>
      </c>
      <c r="N237">
        <v>47.383499999999998</v>
      </c>
      <c r="O237">
        <v>-122.45133</v>
      </c>
      <c r="P237" t="s">
        <v>40</v>
      </c>
      <c r="Q237" t="s">
        <v>41</v>
      </c>
      <c r="R237">
        <v>-1.0363199999999999</v>
      </c>
      <c r="S237" t="s">
        <v>55</v>
      </c>
      <c r="T237">
        <v>12</v>
      </c>
      <c r="U237">
        <v>1</v>
      </c>
      <c r="V237">
        <v>12</v>
      </c>
      <c r="W237">
        <v>7.5</v>
      </c>
      <c r="X237">
        <v>0.75</v>
      </c>
      <c r="Y237">
        <v>30</v>
      </c>
      <c r="Z237">
        <v>600</v>
      </c>
      <c r="AA237">
        <v>50</v>
      </c>
      <c r="AB237">
        <v>80</v>
      </c>
      <c r="AC237" t="s">
        <v>113</v>
      </c>
      <c r="AD237" t="s">
        <v>578</v>
      </c>
      <c r="AE237" t="s">
        <v>129</v>
      </c>
      <c r="AF237">
        <v>148</v>
      </c>
      <c r="AG237">
        <f t="shared" si="12"/>
        <v>1</v>
      </c>
      <c r="AH237" s="5" t="str">
        <f t="shared" si="13"/>
        <v/>
      </c>
      <c r="AI237">
        <f t="shared" si="14"/>
        <v>1</v>
      </c>
      <c r="AJ237" t="str">
        <f t="shared" si="15"/>
        <v/>
      </c>
    </row>
    <row r="238" spans="1:37" x14ac:dyDescent="0.25">
      <c r="A238">
        <v>237</v>
      </c>
      <c r="B238" t="s">
        <v>575</v>
      </c>
      <c r="C238" t="s">
        <v>579</v>
      </c>
      <c r="D238" t="s">
        <v>580</v>
      </c>
      <c r="E238" t="s">
        <v>34</v>
      </c>
      <c r="F238">
        <v>2018</v>
      </c>
      <c r="G238" t="s">
        <v>44</v>
      </c>
      <c r="H238" t="s">
        <v>36</v>
      </c>
      <c r="I238" t="s">
        <v>575</v>
      </c>
      <c r="J238" t="s">
        <v>38</v>
      </c>
      <c r="K238" t="s">
        <v>39</v>
      </c>
      <c r="L238" t="s">
        <v>39</v>
      </c>
      <c r="M238" s="1">
        <v>43250</v>
      </c>
      <c r="N238">
        <v>47.383339999999997</v>
      </c>
      <c r="O238">
        <v>-122.4513</v>
      </c>
      <c r="P238" t="s">
        <v>40</v>
      </c>
      <c r="Q238" t="s">
        <v>41</v>
      </c>
      <c r="R238">
        <v>-1.8897600000000001</v>
      </c>
      <c r="S238" t="s">
        <v>55</v>
      </c>
      <c r="T238">
        <v>12</v>
      </c>
      <c r="U238">
        <v>1</v>
      </c>
      <c r="V238">
        <v>12</v>
      </c>
      <c r="W238">
        <v>7.5</v>
      </c>
      <c r="X238">
        <v>0.75</v>
      </c>
      <c r="Y238">
        <v>30</v>
      </c>
      <c r="Z238">
        <v>600</v>
      </c>
      <c r="AA238">
        <v>50</v>
      </c>
      <c r="AB238">
        <v>80</v>
      </c>
      <c r="AC238" t="s">
        <v>113</v>
      </c>
      <c r="AD238" t="s">
        <v>581</v>
      </c>
      <c r="AE238" t="s">
        <v>129</v>
      </c>
      <c r="AF238">
        <v>149</v>
      </c>
      <c r="AG238">
        <f t="shared" si="12"/>
        <v>1</v>
      </c>
      <c r="AH238" s="5" t="str">
        <f t="shared" si="13"/>
        <v/>
      </c>
      <c r="AI238">
        <f t="shared" si="14"/>
        <v>1</v>
      </c>
      <c r="AJ238" t="str">
        <f t="shared" si="15"/>
        <v/>
      </c>
    </row>
    <row r="239" spans="1:37" x14ac:dyDescent="0.25">
      <c r="A239">
        <v>238</v>
      </c>
      <c r="B239" t="s">
        <v>575</v>
      </c>
      <c r="C239" t="s">
        <v>582</v>
      </c>
      <c r="D239" t="s">
        <v>583</v>
      </c>
      <c r="E239" t="s">
        <v>34</v>
      </c>
      <c r="F239">
        <v>2018</v>
      </c>
      <c r="G239" t="s">
        <v>44</v>
      </c>
      <c r="H239" t="s">
        <v>36</v>
      </c>
      <c r="I239" t="s">
        <v>575</v>
      </c>
      <c r="J239" t="s">
        <v>38</v>
      </c>
      <c r="K239" t="s">
        <v>39</v>
      </c>
      <c r="L239" t="s">
        <v>39</v>
      </c>
      <c r="M239" s="1">
        <v>43250</v>
      </c>
      <c r="N239">
        <v>47.390659999999997</v>
      </c>
      <c r="O239">
        <v>-122.43606</v>
      </c>
      <c r="P239" t="s">
        <v>40</v>
      </c>
      <c r="Q239" t="s">
        <v>41</v>
      </c>
      <c r="R239">
        <v>-1.2192000000000001</v>
      </c>
      <c r="S239" t="s">
        <v>55</v>
      </c>
      <c r="T239">
        <v>12</v>
      </c>
      <c r="U239">
        <v>1</v>
      </c>
      <c r="V239">
        <v>12</v>
      </c>
      <c r="W239">
        <v>7.5</v>
      </c>
      <c r="X239">
        <v>0.75</v>
      </c>
      <c r="Y239">
        <v>30</v>
      </c>
      <c r="Z239">
        <v>600</v>
      </c>
      <c r="AA239">
        <v>50</v>
      </c>
      <c r="AB239">
        <v>80</v>
      </c>
      <c r="AC239" t="s">
        <v>113</v>
      </c>
      <c r="AD239" t="s">
        <v>584</v>
      </c>
      <c r="AE239" t="s">
        <v>129</v>
      </c>
      <c r="AF239">
        <v>150</v>
      </c>
      <c r="AG239">
        <f t="shared" si="12"/>
        <v>1</v>
      </c>
      <c r="AH239" s="5" t="str">
        <f t="shared" si="13"/>
        <v/>
      </c>
      <c r="AI239">
        <f t="shared" si="14"/>
        <v>6</v>
      </c>
      <c r="AJ239" s="7" t="str">
        <f t="shared" si="15"/>
        <v>QMH_4S</v>
      </c>
      <c r="AK239" t="s">
        <v>141</v>
      </c>
    </row>
    <row r="240" spans="1:37" x14ac:dyDescent="0.25">
      <c r="A240">
        <v>239</v>
      </c>
      <c r="B240" t="s">
        <v>575</v>
      </c>
      <c r="C240" t="s">
        <v>585</v>
      </c>
      <c r="D240" t="s">
        <v>586</v>
      </c>
      <c r="E240" t="s">
        <v>34</v>
      </c>
      <c r="F240">
        <v>2018</v>
      </c>
      <c r="G240" t="s">
        <v>44</v>
      </c>
      <c r="H240" t="s">
        <v>36</v>
      </c>
      <c r="I240" t="s">
        <v>575</v>
      </c>
      <c r="J240" t="s">
        <v>38</v>
      </c>
      <c r="K240" t="s">
        <v>39</v>
      </c>
      <c r="L240" t="s">
        <v>39</v>
      </c>
      <c r="M240" s="1">
        <v>43250</v>
      </c>
      <c r="N240">
        <v>47.390219999999999</v>
      </c>
      <c r="O240">
        <v>-122.43597</v>
      </c>
      <c r="P240" t="s">
        <v>40</v>
      </c>
      <c r="Q240" t="s">
        <v>41</v>
      </c>
      <c r="R240">
        <v>-1.61544</v>
      </c>
      <c r="S240" t="s">
        <v>55</v>
      </c>
      <c r="T240">
        <v>12</v>
      </c>
      <c r="U240">
        <v>1</v>
      </c>
      <c r="V240">
        <v>12</v>
      </c>
      <c r="W240">
        <v>7.5</v>
      </c>
      <c r="X240">
        <v>0.75</v>
      </c>
      <c r="Y240">
        <v>30</v>
      </c>
      <c r="Z240">
        <v>600</v>
      </c>
      <c r="AA240">
        <v>50</v>
      </c>
      <c r="AB240">
        <v>80</v>
      </c>
      <c r="AC240" t="s">
        <v>113</v>
      </c>
      <c r="AD240" t="s">
        <v>584</v>
      </c>
      <c r="AE240" t="s">
        <v>129</v>
      </c>
      <c r="AF240">
        <v>151</v>
      </c>
      <c r="AG240">
        <f t="shared" si="12"/>
        <v>1</v>
      </c>
      <c r="AH240" s="5" t="str">
        <f t="shared" si="13"/>
        <v/>
      </c>
      <c r="AI240">
        <f t="shared" si="14"/>
        <v>1</v>
      </c>
      <c r="AJ240" t="str">
        <f t="shared" si="15"/>
        <v/>
      </c>
    </row>
    <row r="241" spans="1:37" x14ac:dyDescent="0.25">
      <c r="A241">
        <v>240</v>
      </c>
      <c r="B241" t="s">
        <v>575</v>
      </c>
      <c r="C241" t="s">
        <v>587</v>
      </c>
      <c r="D241" t="s">
        <v>588</v>
      </c>
      <c r="E241" t="s">
        <v>34</v>
      </c>
      <c r="F241">
        <v>2018</v>
      </c>
      <c r="G241" t="s">
        <v>44</v>
      </c>
      <c r="H241" t="s">
        <v>36</v>
      </c>
      <c r="I241" t="s">
        <v>575</v>
      </c>
      <c r="J241" t="s">
        <v>38</v>
      </c>
      <c r="K241" t="s">
        <v>39</v>
      </c>
      <c r="L241" t="s">
        <v>39</v>
      </c>
      <c r="M241" s="1">
        <v>43251</v>
      </c>
      <c r="N241">
        <v>47.385919999999999</v>
      </c>
      <c r="O241">
        <v>-122.43792999999999</v>
      </c>
      <c r="P241" t="s">
        <v>40</v>
      </c>
      <c r="Q241" t="s">
        <v>41</v>
      </c>
      <c r="R241">
        <v>-1.18872</v>
      </c>
      <c r="S241" t="s">
        <v>55</v>
      </c>
      <c r="T241">
        <v>12</v>
      </c>
      <c r="U241">
        <v>1</v>
      </c>
      <c r="V241">
        <v>12</v>
      </c>
      <c r="W241">
        <v>7.5</v>
      </c>
      <c r="X241">
        <v>0.75</v>
      </c>
      <c r="Y241">
        <v>30</v>
      </c>
      <c r="Z241">
        <v>600</v>
      </c>
      <c r="AA241">
        <v>50</v>
      </c>
      <c r="AB241">
        <v>80</v>
      </c>
      <c r="AC241" t="s">
        <v>113</v>
      </c>
      <c r="AD241" t="s">
        <v>581</v>
      </c>
      <c r="AE241" t="s">
        <v>129</v>
      </c>
      <c r="AF241">
        <v>152</v>
      </c>
      <c r="AG241">
        <f t="shared" si="12"/>
        <v>1</v>
      </c>
      <c r="AH241" s="5" t="str">
        <f t="shared" si="13"/>
        <v/>
      </c>
      <c r="AI241">
        <f t="shared" si="14"/>
        <v>1</v>
      </c>
      <c r="AJ241" t="str">
        <f t="shared" si="15"/>
        <v/>
      </c>
    </row>
    <row r="242" spans="1:37" x14ac:dyDescent="0.25">
      <c r="A242">
        <v>241</v>
      </c>
      <c r="B242" t="s">
        <v>575</v>
      </c>
      <c r="C242" t="s">
        <v>589</v>
      </c>
      <c r="D242" t="s">
        <v>590</v>
      </c>
      <c r="E242" t="s">
        <v>34</v>
      </c>
      <c r="F242">
        <v>2018</v>
      </c>
      <c r="G242" t="s">
        <v>44</v>
      </c>
      <c r="H242" t="s">
        <v>36</v>
      </c>
      <c r="I242" t="s">
        <v>575</v>
      </c>
      <c r="J242" t="s">
        <v>38</v>
      </c>
      <c r="K242" t="s">
        <v>39</v>
      </c>
      <c r="L242" t="s">
        <v>39</v>
      </c>
      <c r="M242" s="1">
        <v>43251</v>
      </c>
      <c r="N242">
        <v>47.38597</v>
      </c>
      <c r="O242">
        <v>-122.43799</v>
      </c>
      <c r="P242" t="s">
        <v>40</v>
      </c>
      <c r="Q242" t="s">
        <v>41</v>
      </c>
      <c r="R242">
        <v>-1.73736</v>
      </c>
      <c r="S242" t="s">
        <v>55</v>
      </c>
      <c r="T242">
        <v>12</v>
      </c>
      <c r="U242">
        <v>1</v>
      </c>
      <c r="V242">
        <v>12</v>
      </c>
      <c r="W242">
        <v>7.5</v>
      </c>
      <c r="X242">
        <v>0.75</v>
      </c>
      <c r="Y242">
        <v>30</v>
      </c>
      <c r="Z242">
        <v>600</v>
      </c>
      <c r="AA242">
        <v>50</v>
      </c>
      <c r="AB242">
        <v>80</v>
      </c>
      <c r="AC242" t="s">
        <v>113</v>
      </c>
      <c r="AD242" t="s">
        <v>578</v>
      </c>
      <c r="AE242" t="s">
        <v>129</v>
      </c>
      <c r="AF242">
        <v>153</v>
      </c>
      <c r="AG242">
        <f t="shared" si="12"/>
        <v>1</v>
      </c>
      <c r="AH242" s="5" t="str">
        <f t="shared" si="13"/>
        <v/>
      </c>
      <c r="AI242">
        <f t="shared" si="14"/>
        <v>1</v>
      </c>
      <c r="AJ242" t="str">
        <f t="shared" si="15"/>
        <v/>
      </c>
    </row>
    <row r="243" spans="1:37" x14ac:dyDescent="0.25">
      <c r="A243">
        <v>242</v>
      </c>
      <c r="B243" t="s">
        <v>575</v>
      </c>
      <c r="C243" t="s">
        <v>591</v>
      </c>
      <c r="D243" t="s">
        <v>592</v>
      </c>
      <c r="E243" t="s">
        <v>34</v>
      </c>
      <c r="F243">
        <v>2018</v>
      </c>
      <c r="G243" t="s">
        <v>44</v>
      </c>
      <c r="H243" t="s">
        <v>36</v>
      </c>
      <c r="I243" t="s">
        <v>575</v>
      </c>
      <c r="J243" t="s">
        <v>38</v>
      </c>
      <c r="K243" t="s">
        <v>39</v>
      </c>
      <c r="L243" t="s">
        <v>39</v>
      </c>
      <c r="M243" s="1">
        <v>43252</v>
      </c>
      <c r="N243">
        <v>47.394410000000001</v>
      </c>
      <c r="O243">
        <v>-122.44898000000001</v>
      </c>
      <c r="P243" t="s">
        <v>40</v>
      </c>
      <c r="Q243" t="s">
        <v>41</v>
      </c>
      <c r="R243">
        <v>-1.7983199999999999</v>
      </c>
      <c r="S243" t="s">
        <v>55</v>
      </c>
      <c r="T243">
        <v>12</v>
      </c>
      <c r="U243">
        <v>1</v>
      </c>
      <c r="V243">
        <v>12</v>
      </c>
      <c r="W243">
        <v>7.5</v>
      </c>
      <c r="X243">
        <v>0.75</v>
      </c>
      <c r="Y243">
        <v>30</v>
      </c>
      <c r="Z243">
        <v>600</v>
      </c>
      <c r="AA243">
        <v>50</v>
      </c>
      <c r="AB243">
        <v>80</v>
      </c>
      <c r="AC243" t="s">
        <v>113</v>
      </c>
      <c r="AD243" t="s">
        <v>593</v>
      </c>
      <c r="AE243" t="s">
        <v>129</v>
      </c>
      <c r="AF243">
        <v>154</v>
      </c>
      <c r="AG243">
        <f t="shared" si="12"/>
        <v>1</v>
      </c>
      <c r="AH243" s="5" t="str">
        <f t="shared" si="13"/>
        <v/>
      </c>
      <c r="AI243">
        <f t="shared" si="14"/>
        <v>1</v>
      </c>
      <c r="AJ243" t="str">
        <f t="shared" si="15"/>
        <v/>
      </c>
    </row>
    <row r="244" spans="1:37" x14ac:dyDescent="0.25">
      <c r="A244">
        <v>243</v>
      </c>
      <c r="B244" t="s">
        <v>575</v>
      </c>
      <c r="C244" t="s">
        <v>594</v>
      </c>
      <c r="D244" t="s">
        <v>595</v>
      </c>
      <c r="E244" t="s">
        <v>34</v>
      </c>
      <c r="F244">
        <v>2018</v>
      </c>
      <c r="G244" t="s">
        <v>44</v>
      </c>
      <c r="H244" t="s">
        <v>36</v>
      </c>
      <c r="I244" t="s">
        <v>575</v>
      </c>
      <c r="J244" t="s">
        <v>38</v>
      </c>
      <c r="K244" t="s">
        <v>39</v>
      </c>
      <c r="L244" t="s">
        <v>39</v>
      </c>
      <c r="M244" s="1">
        <v>43252</v>
      </c>
      <c r="N244">
        <v>47.403919999999999</v>
      </c>
      <c r="O244">
        <v>-122.44499</v>
      </c>
      <c r="P244" t="s">
        <v>40</v>
      </c>
      <c r="Q244" t="s">
        <v>41</v>
      </c>
      <c r="R244">
        <v>-1.2192000000000001</v>
      </c>
      <c r="S244" t="s">
        <v>55</v>
      </c>
      <c r="T244">
        <v>12</v>
      </c>
      <c r="U244">
        <v>1</v>
      </c>
      <c r="V244">
        <v>12</v>
      </c>
      <c r="W244">
        <v>7.5</v>
      </c>
      <c r="X244">
        <v>0.75</v>
      </c>
      <c r="Y244">
        <v>30</v>
      </c>
      <c r="Z244">
        <v>600</v>
      </c>
      <c r="AA244">
        <v>50</v>
      </c>
      <c r="AB244">
        <v>80</v>
      </c>
      <c r="AC244" t="s">
        <v>113</v>
      </c>
      <c r="AD244" t="s">
        <v>596</v>
      </c>
      <c r="AE244" t="s">
        <v>129</v>
      </c>
      <c r="AF244">
        <v>155</v>
      </c>
      <c r="AG244">
        <f t="shared" si="12"/>
        <v>1</v>
      </c>
      <c r="AH244" s="5" t="str">
        <f t="shared" si="13"/>
        <v/>
      </c>
      <c r="AI244">
        <f t="shared" si="14"/>
        <v>1</v>
      </c>
      <c r="AJ244" t="str">
        <f t="shared" si="15"/>
        <v/>
      </c>
    </row>
    <row r="245" spans="1:37" x14ac:dyDescent="0.25">
      <c r="A245">
        <v>244</v>
      </c>
      <c r="B245" t="s">
        <v>575</v>
      </c>
      <c r="C245" t="s">
        <v>597</v>
      </c>
      <c r="D245" t="s">
        <v>598</v>
      </c>
      <c r="E245" t="s">
        <v>34</v>
      </c>
      <c r="F245">
        <v>2018</v>
      </c>
      <c r="G245" t="s">
        <v>44</v>
      </c>
      <c r="H245" t="s">
        <v>36</v>
      </c>
      <c r="I245" t="s">
        <v>575</v>
      </c>
      <c r="J245" t="s">
        <v>38</v>
      </c>
      <c r="K245" t="s">
        <v>39</v>
      </c>
      <c r="L245" t="s">
        <v>39</v>
      </c>
      <c r="M245" s="1">
        <v>43252</v>
      </c>
      <c r="N245">
        <v>47.403860000000002</v>
      </c>
      <c r="O245">
        <v>-122.44484</v>
      </c>
      <c r="P245" t="s">
        <v>40</v>
      </c>
      <c r="Q245" t="s">
        <v>41</v>
      </c>
      <c r="R245">
        <v>-1.85928</v>
      </c>
      <c r="S245" t="s">
        <v>55</v>
      </c>
      <c r="T245">
        <v>12</v>
      </c>
      <c r="U245">
        <v>1</v>
      </c>
      <c r="V245">
        <v>12</v>
      </c>
      <c r="W245">
        <v>7.5</v>
      </c>
      <c r="X245">
        <v>0.75</v>
      </c>
      <c r="Y245">
        <v>30</v>
      </c>
      <c r="Z245">
        <v>600</v>
      </c>
      <c r="AA245">
        <v>50</v>
      </c>
      <c r="AB245">
        <v>80</v>
      </c>
      <c r="AC245" t="s">
        <v>113</v>
      </c>
      <c r="AD245" t="s">
        <v>599</v>
      </c>
      <c r="AE245" t="s">
        <v>129</v>
      </c>
      <c r="AF245">
        <v>156</v>
      </c>
      <c r="AG245">
        <f t="shared" si="12"/>
        <v>1</v>
      </c>
      <c r="AH245" s="5" t="str">
        <f t="shared" si="13"/>
        <v/>
      </c>
      <c r="AI245">
        <f t="shared" si="14"/>
        <v>1</v>
      </c>
      <c r="AJ245" t="str">
        <f t="shared" si="15"/>
        <v/>
      </c>
    </row>
    <row r="246" spans="1:37" x14ac:dyDescent="0.25">
      <c r="A246">
        <v>245</v>
      </c>
      <c r="B246" t="s">
        <v>575</v>
      </c>
      <c r="C246" t="s">
        <v>600</v>
      </c>
      <c r="D246" t="s">
        <v>583</v>
      </c>
      <c r="E246" t="s">
        <v>409</v>
      </c>
      <c r="F246">
        <v>2021</v>
      </c>
      <c r="G246" t="s">
        <v>44</v>
      </c>
      <c r="H246" t="s">
        <v>36</v>
      </c>
      <c r="I246" t="s">
        <v>575</v>
      </c>
      <c r="J246" t="s">
        <v>38</v>
      </c>
      <c r="K246" t="s">
        <v>39</v>
      </c>
      <c r="L246" t="s">
        <v>39</v>
      </c>
      <c r="M246" s="1">
        <v>44329</v>
      </c>
      <c r="N246">
        <v>47.390659999999997</v>
      </c>
      <c r="O246">
        <v>-122.43606</v>
      </c>
      <c r="P246" t="s">
        <v>40</v>
      </c>
      <c r="Q246" t="s">
        <v>41</v>
      </c>
      <c r="R246">
        <v>-1.5</v>
      </c>
      <c r="S246" t="s">
        <v>55</v>
      </c>
      <c r="T246">
        <v>3.5</v>
      </c>
      <c r="U246">
        <v>0.5</v>
      </c>
      <c r="V246">
        <v>1.75</v>
      </c>
      <c r="W246">
        <v>1</v>
      </c>
      <c r="X246">
        <v>0.3</v>
      </c>
      <c r="Y246">
        <v>12</v>
      </c>
      <c r="Z246">
        <v>240</v>
      </c>
      <c r="AA246">
        <v>137.142857142857</v>
      </c>
      <c r="AB246">
        <v>240</v>
      </c>
      <c r="AC246" t="s">
        <v>99</v>
      </c>
      <c r="AD246" t="s">
        <v>601</v>
      </c>
      <c r="AE246" t="s">
        <v>184</v>
      </c>
      <c r="AF246">
        <v>157</v>
      </c>
      <c r="AG246">
        <f t="shared" si="12"/>
        <v>1</v>
      </c>
      <c r="AH246" s="5" t="str">
        <f t="shared" si="13"/>
        <v/>
      </c>
      <c r="AI246">
        <f t="shared" si="14"/>
        <v>6</v>
      </c>
      <c r="AJ246" s="7" t="str">
        <f t="shared" si="15"/>
        <v>QMH_4S</v>
      </c>
      <c r="AK246" t="s">
        <v>717</v>
      </c>
    </row>
    <row r="247" spans="1:37" x14ac:dyDescent="0.25">
      <c r="A247">
        <v>246</v>
      </c>
      <c r="B247" t="s">
        <v>575</v>
      </c>
      <c r="C247" t="s">
        <v>600</v>
      </c>
      <c r="D247" t="s">
        <v>583</v>
      </c>
      <c r="E247" t="s">
        <v>409</v>
      </c>
      <c r="F247">
        <v>2021</v>
      </c>
      <c r="G247" t="s">
        <v>44</v>
      </c>
      <c r="H247" t="s">
        <v>36</v>
      </c>
      <c r="I247" t="s">
        <v>575</v>
      </c>
      <c r="J247" t="s">
        <v>38</v>
      </c>
      <c r="K247" t="s">
        <v>39</v>
      </c>
      <c r="L247" t="s">
        <v>39</v>
      </c>
      <c r="M247" s="1">
        <v>44330</v>
      </c>
      <c r="N247">
        <v>47.390659999999997</v>
      </c>
      <c r="O247">
        <v>-122.43606</v>
      </c>
      <c r="P247" t="s">
        <v>40</v>
      </c>
      <c r="Q247" t="s">
        <v>41</v>
      </c>
      <c r="R247">
        <v>-1.5</v>
      </c>
      <c r="S247" t="s">
        <v>55</v>
      </c>
      <c r="T247">
        <v>4.5</v>
      </c>
      <c r="U247">
        <v>0.5</v>
      </c>
      <c r="V247">
        <v>2.25</v>
      </c>
      <c r="W247">
        <v>1.25</v>
      </c>
      <c r="X247">
        <v>0.375</v>
      </c>
      <c r="Y247">
        <v>15</v>
      </c>
      <c r="Z247">
        <v>375</v>
      </c>
      <c r="AA247">
        <v>166.666666666667</v>
      </c>
      <c r="AB247">
        <v>300</v>
      </c>
      <c r="AC247" t="s">
        <v>113</v>
      </c>
      <c r="AD247" t="s">
        <v>602</v>
      </c>
      <c r="AE247" t="s">
        <v>184</v>
      </c>
      <c r="AF247">
        <v>158</v>
      </c>
      <c r="AG247">
        <f t="shared" si="12"/>
        <v>1</v>
      </c>
      <c r="AH247" s="5" t="str">
        <f t="shared" si="13"/>
        <v/>
      </c>
      <c r="AI247">
        <f t="shared" si="14"/>
        <v>6</v>
      </c>
      <c r="AJ247" s="7" t="str">
        <f t="shared" si="15"/>
        <v>QMH_4S</v>
      </c>
      <c r="AK247" t="s">
        <v>717</v>
      </c>
    </row>
    <row r="248" spans="1:37" x14ac:dyDescent="0.25">
      <c r="A248">
        <v>247</v>
      </c>
      <c r="B248" t="s">
        <v>575</v>
      </c>
      <c r="C248" t="s">
        <v>600</v>
      </c>
      <c r="D248" t="s">
        <v>583</v>
      </c>
      <c r="E248" t="s">
        <v>409</v>
      </c>
      <c r="F248">
        <v>2021</v>
      </c>
      <c r="G248" t="s">
        <v>44</v>
      </c>
      <c r="H248" t="s">
        <v>36</v>
      </c>
      <c r="I248" t="s">
        <v>575</v>
      </c>
      <c r="J248" t="s">
        <v>38</v>
      </c>
      <c r="K248" t="s">
        <v>39</v>
      </c>
      <c r="L248" t="s">
        <v>39</v>
      </c>
      <c r="M248" s="1">
        <v>44342</v>
      </c>
      <c r="N248">
        <v>47.390659999999997</v>
      </c>
      <c r="O248">
        <v>-122.43606</v>
      </c>
      <c r="P248" t="s">
        <v>40</v>
      </c>
      <c r="Q248" t="s">
        <v>41</v>
      </c>
      <c r="R248">
        <v>-1.5</v>
      </c>
      <c r="S248" t="s">
        <v>55</v>
      </c>
      <c r="T248">
        <v>2.5</v>
      </c>
      <c r="U248">
        <v>1</v>
      </c>
      <c r="V248">
        <v>2.5</v>
      </c>
      <c r="W248">
        <v>1.5</v>
      </c>
      <c r="X248">
        <v>0.45</v>
      </c>
      <c r="Y248">
        <v>18</v>
      </c>
      <c r="Z248">
        <v>270</v>
      </c>
      <c r="AA248">
        <v>108</v>
      </c>
      <c r="AB248">
        <v>180</v>
      </c>
      <c r="AC248" t="s">
        <v>99</v>
      </c>
      <c r="AD248" t="s">
        <v>603</v>
      </c>
      <c r="AE248" t="s">
        <v>184</v>
      </c>
      <c r="AF248">
        <v>159</v>
      </c>
      <c r="AG248">
        <f t="shared" si="12"/>
        <v>1</v>
      </c>
      <c r="AH248" s="5" t="str">
        <f t="shared" si="13"/>
        <v/>
      </c>
      <c r="AI248">
        <f t="shared" si="14"/>
        <v>6</v>
      </c>
      <c r="AJ248" s="7" t="str">
        <f t="shared" si="15"/>
        <v>QMH_4S</v>
      </c>
      <c r="AK248" t="s">
        <v>717</v>
      </c>
    </row>
    <row r="249" spans="1:37" x14ac:dyDescent="0.25">
      <c r="A249">
        <v>248</v>
      </c>
      <c r="B249" t="s">
        <v>575</v>
      </c>
      <c r="C249" t="s">
        <v>604</v>
      </c>
      <c r="D249" t="s">
        <v>605</v>
      </c>
      <c r="E249" t="s">
        <v>409</v>
      </c>
      <c r="F249">
        <v>2021</v>
      </c>
      <c r="G249" t="s">
        <v>44</v>
      </c>
      <c r="H249" t="s">
        <v>36</v>
      </c>
      <c r="I249" t="s">
        <v>575</v>
      </c>
      <c r="J249" t="s">
        <v>38</v>
      </c>
      <c r="K249" t="s">
        <v>39</v>
      </c>
      <c r="L249" t="s">
        <v>39</v>
      </c>
      <c r="M249" s="1">
        <v>44329</v>
      </c>
      <c r="N249">
        <v>47.385899999999999</v>
      </c>
      <c r="O249">
        <v>-122.4379</v>
      </c>
      <c r="P249" t="s">
        <v>40</v>
      </c>
      <c r="Q249" t="s">
        <v>41</v>
      </c>
      <c r="R249">
        <v>-1.5</v>
      </c>
      <c r="S249" t="s">
        <v>55</v>
      </c>
      <c r="T249">
        <v>2.5</v>
      </c>
      <c r="U249">
        <v>0.5</v>
      </c>
      <c r="V249">
        <v>1.25</v>
      </c>
      <c r="W249">
        <v>0.75</v>
      </c>
      <c r="X249">
        <v>0.22500000000000001</v>
      </c>
      <c r="Y249">
        <v>9</v>
      </c>
      <c r="Z249">
        <v>180</v>
      </c>
      <c r="AA249">
        <v>144</v>
      </c>
      <c r="AB249">
        <v>240</v>
      </c>
      <c r="AC249" t="s">
        <v>99</v>
      </c>
      <c r="AD249" t="s">
        <v>606</v>
      </c>
      <c r="AE249" t="s">
        <v>184</v>
      </c>
      <c r="AF249">
        <v>160</v>
      </c>
      <c r="AG249">
        <f t="shared" si="12"/>
        <v>1</v>
      </c>
      <c r="AH249" s="5" t="str">
        <f t="shared" si="13"/>
        <v/>
      </c>
      <c r="AI249">
        <f t="shared" si="14"/>
        <v>2</v>
      </c>
      <c r="AJ249" s="7" t="str">
        <f t="shared" si="15"/>
        <v>QMH_5a</v>
      </c>
      <c r="AK249" t="s">
        <v>409</v>
      </c>
    </row>
    <row r="250" spans="1:37" x14ac:dyDescent="0.25">
      <c r="A250">
        <v>249</v>
      </c>
      <c r="B250" t="s">
        <v>575</v>
      </c>
      <c r="C250" t="s">
        <v>604</v>
      </c>
      <c r="D250" t="s">
        <v>605</v>
      </c>
      <c r="E250" t="s">
        <v>409</v>
      </c>
      <c r="F250">
        <v>2021</v>
      </c>
      <c r="G250" t="s">
        <v>44</v>
      </c>
      <c r="H250" t="s">
        <v>36</v>
      </c>
      <c r="I250" t="s">
        <v>575</v>
      </c>
      <c r="J250" t="s">
        <v>38</v>
      </c>
      <c r="K250" t="s">
        <v>39</v>
      </c>
      <c r="L250" t="s">
        <v>39</v>
      </c>
      <c r="M250" s="1">
        <v>44330</v>
      </c>
      <c r="N250">
        <v>47.385899999999999</v>
      </c>
      <c r="O250">
        <v>-122.4379</v>
      </c>
      <c r="P250" t="s">
        <v>40</v>
      </c>
      <c r="Q250" t="s">
        <v>41</v>
      </c>
      <c r="R250">
        <v>-1.5</v>
      </c>
      <c r="S250" t="s">
        <v>55</v>
      </c>
      <c r="T250">
        <v>2.5</v>
      </c>
      <c r="U250">
        <v>0.5</v>
      </c>
      <c r="V250">
        <v>1.25</v>
      </c>
      <c r="W250">
        <v>0.75</v>
      </c>
      <c r="X250">
        <v>0.22500000000000001</v>
      </c>
      <c r="Y250">
        <v>9</v>
      </c>
      <c r="Z250">
        <v>180</v>
      </c>
      <c r="AA250">
        <v>144</v>
      </c>
      <c r="AB250">
        <v>240</v>
      </c>
      <c r="AC250" t="s">
        <v>113</v>
      </c>
      <c r="AD250" t="s">
        <v>607</v>
      </c>
      <c r="AE250" t="s">
        <v>184</v>
      </c>
      <c r="AF250">
        <v>161</v>
      </c>
      <c r="AG250">
        <f t="shared" si="12"/>
        <v>1</v>
      </c>
      <c r="AH250" s="5" t="str">
        <f t="shared" si="13"/>
        <v/>
      </c>
      <c r="AI250">
        <f t="shared" si="14"/>
        <v>2</v>
      </c>
      <c r="AJ250" s="7" t="str">
        <f t="shared" si="15"/>
        <v>QMH_5a</v>
      </c>
      <c r="AK250" t="s">
        <v>409</v>
      </c>
    </row>
    <row r="251" spans="1:37" x14ac:dyDescent="0.25">
      <c r="A251">
        <v>250</v>
      </c>
      <c r="B251" t="s">
        <v>575</v>
      </c>
      <c r="C251" t="s">
        <v>600</v>
      </c>
      <c r="D251" t="s">
        <v>583</v>
      </c>
      <c r="E251" t="s">
        <v>409</v>
      </c>
      <c r="F251">
        <v>2021</v>
      </c>
      <c r="G251" t="s">
        <v>44</v>
      </c>
      <c r="H251" t="s">
        <v>36</v>
      </c>
      <c r="I251" t="s">
        <v>575</v>
      </c>
      <c r="J251" t="s">
        <v>38</v>
      </c>
      <c r="K251" t="s">
        <v>39</v>
      </c>
      <c r="L251" t="s">
        <v>39</v>
      </c>
      <c r="M251" s="1">
        <v>44342</v>
      </c>
      <c r="N251">
        <v>47.390659999999997</v>
      </c>
      <c r="O251">
        <v>-122.43606</v>
      </c>
      <c r="P251" t="s">
        <v>40</v>
      </c>
      <c r="Q251" t="s">
        <v>41</v>
      </c>
      <c r="R251">
        <v>-1.5</v>
      </c>
      <c r="S251" t="s">
        <v>55</v>
      </c>
      <c r="T251">
        <v>2.5</v>
      </c>
      <c r="U251">
        <v>1</v>
      </c>
      <c r="V251">
        <v>2.5</v>
      </c>
      <c r="W251">
        <v>4.5</v>
      </c>
      <c r="X251">
        <v>0.45</v>
      </c>
      <c r="Y251">
        <v>18</v>
      </c>
      <c r="Z251">
        <v>360</v>
      </c>
      <c r="AA251">
        <v>144</v>
      </c>
      <c r="AB251">
        <v>80</v>
      </c>
      <c r="AC251" t="s">
        <v>99</v>
      </c>
      <c r="AD251" t="s">
        <v>608</v>
      </c>
      <c r="AE251" t="s">
        <v>184</v>
      </c>
      <c r="AF251">
        <v>162</v>
      </c>
      <c r="AG251">
        <f t="shared" si="12"/>
        <v>1</v>
      </c>
      <c r="AH251" s="5" t="str">
        <f t="shared" si="13"/>
        <v/>
      </c>
      <c r="AI251">
        <f t="shared" si="14"/>
        <v>6</v>
      </c>
      <c r="AJ251" s="7" t="str">
        <f t="shared" si="15"/>
        <v>QMH_4S</v>
      </c>
      <c r="AK251" t="s">
        <v>717</v>
      </c>
    </row>
    <row r="252" spans="1:37" x14ac:dyDescent="0.25">
      <c r="A252">
        <v>251</v>
      </c>
      <c r="B252" t="s">
        <v>575</v>
      </c>
      <c r="C252" t="s">
        <v>609</v>
      </c>
      <c r="D252" t="s">
        <v>583</v>
      </c>
      <c r="E252" t="s">
        <v>409</v>
      </c>
      <c r="F252">
        <v>2022</v>
      </c>
      <c r="G252" t="s">
        <v>44</v>
      </c>
      <c r="H252" t="s">
        <v>36</v>
      </c>
      <c r="I252" t="s">
        <v>575</v>
      </c>
      <c r="J252" t="s">
        <v>38</v>
      </c>
      <c r="K252" t="s">
        <v>39</v>
      </c>
      <c r="L252" t="s">
        <v>39</v>
      </c>
      <c r="M252" s="1">
        <v>44700</v>
      </c>
      <c r="N252">
        <v>47.390659999999997</v>
      </c>
      <c r="O252">
        <v>-122.43606</v>
      </c>
      <c r="P252" t="s">
        <v>40</v>
      </c>
      <c r="Q252" t="s">
        <v>41</v>
      </c>
      <c r="R252">
        <v>-1.5</v>
      </c>
      <c r="S252" t="s">
        <v>610</v>
      </c>
      <c r="T252">
        <v>1.5</v>
      </c>
      <c r="U252">
        <v>0.5</v>
      </c>
      <c r="V252">
        <v>0.75</v>
      </c>
      <c r="W252">
        <v>0.75</v>
      </c>
      <c r="X252">
        <v>0.75</v>
      </c>
      <c r="Y252">
        <v>3</v>
      </c>
      <c r="Z252">
        <v>75</v>
      </c>
      <c r="AA252">
        <v>100</v>
      </c>
      <c r="AB252">
        <v>100</v>
      </c>
      <c r="AC252" t="s">
        <v>99</v>
      </c>
      <c r="AD252" t="s">
        <v>611</v>
      </c>
      <c r="AE252" t="s">
        <v>184</v>
      </c>
      <c r="AF252">
        <v>163</v>
      </c>
      <c r="AG252">
        <f t="shared" si="12"/>
        <v>1</v>
      </c>
      <c r="AH252" s="5" t="str">
        <f t="shared" si="13"/>
        <v/>
      </c>
      <c r="AI252">
        <f t="shared" si="14"/>
        <v>6</v>
      </c>
      <c r="AJ252" s="7" t="str">
        <f t="shared" si="15"/>
        <v>QMH_4S</v>
      </c>
      <c r="AK252" t="s">
        <v>717</v>
      </c>
    </row>
    <row r="253" spans="1:37" x14ac:dyDescent="0.25">
      <c r="A253">
        <v>252</v>
      </c>
      <c r="B253" t="s">
        <v>612</v>
      </c>
      <c r="C253" t="s">
        <v>613</v>
      </c>
      <c r="D253" t="s">
        <v>614</v>
      </c>
      <c r="E253" t="s">
        <v>34</v>
      </c>
      <c r="F253">
        <v>2014</v>
      </c>
      <c r="G253" t="s">
        <v>35</v>
      </c>
      <c r="H253" t="s">
        <v>36</v>
      </c>
      <c r="I253" t="s">
        <v>612</v>
      </c>
      <c r="J253" t="s">
        <v>542</v>
      </c>
      <c r="K253" t="s">
        <v>39</v>
      </c>
      <c r="L253" t="s">
        <v>39</v>
      </c>
      <c r="M253" s="1">
        <v>41967</v>
      </c>
      <c r="N253">
        <v>47.797766666666703</v>
      </c>
      <c r="O253">
        <v>-122.84966666666701</v>
      </c>
      <c r="P253" t="s">
        <v>40</v>
      </c>
      <c r="Q253" t="s">
        <v>41</v>
      </c>
      <c r="R253">
        <v>-0.4</v>
      </c>
      <c r="S253" t="s">
        <v>42</v>
      </c>
      <c r="T253">
        <v>5</v>
      </c>
      <c r="U253">
        <v>5</v>
      </c>
      <c r="V253">
        <v>25</v>
      </c>
      <c r="W253">
        <v>25</v>
      </c>
      <c r="X253">
        <v>0.625</v>
      </c>
      <c r="Y253">
        <v>125</v>
      </c>
      <c r="Z253">
        <v>500</v>
      </c>
      <c r="AA253">
        <v>20</v>
      </c>
      <c r="AB253">
        <v>20</v>
      </c>
      <c r="AC253" t="s">
        <v>612</v>
      </c>
      <c r="AD253" t="s">
        <v>44</v>
      </c>
      <c r="AE253" t="s">
        <v>51</v>
      </c>
      <c r="AF253">
        <v>164</v>
      </c>
      <c r="AG253">
        <f t="shared" si="12"/>
        <v>1</v>
      </c>
      <c r="AH253" s="5" t="str">
        <f t="shared" si="13"/>
        <v/>
      </c>
      <c r="AI253">
        <f t="shared" si="14"/>
        <v>1</v>
      </c>
      <c r="AJ253" t="str">
        <f t="shared" si="15"/>
        <v/>
      </c>
    </row>
    <row r="254" spans="1:37" x14ac:dyDescent="0.25">
      <c r="A254">
        <v>253</v>
      </c>
      <c r="B254" t="s">
        <v>615</v>
      </c>
      <c r="C254" t="s">
        <v>616</v>
      </c>
      <c r="D254" t="s">
        <v>617</v>
      </c>
      <c r="E254" t="s">
        <v>34</v>
      </c>
      <c r="F254">
        <v>2016</v>
      </c>
      <c r="G254" t="s">
        <v>35</v>
      </c>
      <c r="H254" t="s">
        <v>36</v>
      </c>
      <c r="I254" t="s">
        <v>612</v>
      </c>
      <c r="J254" t="s">
        <v>542</v>
      </c>
      <c r="K254" t="s">
        <v>39</v>
      </c>
      <c r="L254" t="s">
        <v>39</v>
      </c>
      <c r="M254" s="1">
        <v>42551</v>
      </c>
      <c r="N254">
        <v>47.7990833333333</v>
      </c>
      <c r="O254">
        <v>-122.848716666667</v>
      </c>
      <c r="P254" t="s">
        <v>40</v>
      </c>
      <c r="Q254" t="s">
        <v>41</v>
      </c>
      <c r="R254">
        <v>-1.64592</v>
      </c>
      <c r="S254" t="s">
        <v>42</v>
      </c>
      <c r="T254">
        <v>2</v>
      </c>
      <c r="U254">
        <v>2</v>
      </c>
      <c r="V254">
        <v>4</v>
      </c>
      <c r="W254">
        <v>4</v>
      </c>
      <c r="X254">
        <v>0.3</v>
      </c>
      <c r="Y254">
        <v>60</v>
      </c>
      <c r="Z254">
        <v>240</v>
      </c>
      <c r="AA254">
        <v>60</v>
      </c>
      <c r="AB254">
        <v>60</v>
      </c>
      <c r="AC254" t="s">
        <v>612</v>
      </c>
      <c r="AD254" t="s">
        <v>44</v>
      </c>
      <c r="AE254" t="s">
        <v>57</v>
      </c>
      <c r="AF254">
        <v>165</v>
      </c>
      <c r="AG254">
        <f t="shared" si="12"/>
        <v>1</v>
      </c>
      <c r="AH254" s="5" t="str">
        <f t="shared" si="13"/>
        <v/>
      </c>
      <c r="AI254">
        <f t="shared" si="14"/>
        <v>1</v>
      </c>
      <c r="AJ254" t="str">
        <f t="shared" si="15"/>
        <v/>
      </c>
    </row>
    <row r="255" spans="1:37" x14ac:dyDescent="0.25">
      <c r="A255">
        <v>254</v>
      </c>
      <c r="B255" t="s">
        <v>615</v>
      </c>
      <c r="C255" t="s">
        <v>618</v>
      </c>
      <c r="D255" t="s">
        <v>619</v>
      </c>
      <c r="E255" t="s">
        <v>34</v>
      </c>
      <c r="F255">
        <v>2016</v>
      </c>
      <c r="G255" t="s">
        <v>35</v>
      </c>
      <c r="H255" t="s">
        <v>36</v>
      </c>
      <c r="I255" t="s">
        <v>612</v>
      </c>
      <c r="J255" t="s">
        <v>542</v>
      </c>
      <c r="K255" t="s">
        <v>39</v>
      </c>
      <c r="L255" t="s">
        <v>39</v>
      </c>
      <c r="M255" s="1">
        <v>42551</v>
      </c>
      <c r="N255">
        <v>47.799149999999997</v>
      </c>
      <c r="O255">
        <v>-122.84875</v>
      </c>
      <c r="P255" t="s">
        <v>40</v>
      </c>
      <c r="Q255" t="s">
        <v>41</v>
      </c>
      <c r="R255">
        <v>-1.70688</v>
      </c>
      <c r="S255" t="s">
        <v>42</v>
      </c>
      <c r="T255">
        <v>2</v>
      </c>
      <c r="U255">
        <v>2</v>
      </c>
      <c r="V255">
        <v>4</v>
      </c>
      <c r="W255">
        <v>4</v>
      </c>
      <c r="X255">
        <v>0.3</v>
      </c>
      <c r="Y255">
        <v>60</v>
      </c>
      <c r="Z255">
        <v>240</v>
      </c>
      <c r="AA255">
        <v>60</v>
      </c>
      <c r="AB255">
        <v>60</v>
      </c>
      <c r="AC255" t="s">
        <v>612</v>
      </c>
      <c r="AD255" t="s">
        <v>44</v>
      </c>
      <c r="AE255" t="s">
        <v>57</v>
      </c>
      <c r="AF255">
        <v>166</v>
      </c>
      <c r="AG255">
        <f t="shared" si="12"/>
        <v>1</v>
      </c>
      <c r="AH255" s="5" t="str">
        <f t="shared" si="13"/>
        <v/>
      </c>
      <c r="AI255">
        <f t="shared" si="14"/>
        <v>1</v>
      </c>
      <c r="AJ255" t="str">
        <f t="shared" si="15"/>
        <v/>
      </c>
    </row>
    <row r="256" spans="1:37" x14ac:dyDescent="0.25">
      <c r="A256">
        <v>255</v>
      </c>
      <c r="B256" t="s">
        <v>615</v>
      </c>
      <c r="C256" t="s">
        <v>620</v>
      </c>
      <c r="D256" t="s">
        <v>621</v>
      </c>
      <c r="E256" t="s">
        <v>34</v>
      </c>
      <c r="F256">
        <v>2016</v>
      </c>
      <c r="G256" t="s">
        <v>35</v>
      </c>
      <c r="H256" t="s">
        <v>36</v>
      </c>
      <c r="I256" t="s">
        <v>612</v>
      </c>
      <c r="J256" t="s">
        <v>542</v>
      </c>
      <c r="K256" t="s">
        <v>39</v>
      </c>
      <c r="L256" t="s">
        <v>39</v>
      </c>
      <c r="M256" s="1">
        <v>42551</v>
      </c>
      <c r="N256">
        <v>47.7991666666667</v>
      </c>
      <c r="O256">
        <v>-122.8488</v>
      </c>
      <c r="P256" t="s">
        <v>40</v>
      </c>
      <c r="Q256" t="s">
        <v>41</v>
      </c>
      <c r="R256" t="s">
        <v>44</v>
      </c>
      <c r="S256" t="s">
        <v>42</v>
      </c>
      <c r="T256">
        <v>2</v>
      </c>
      <c r="U256">
        <v>2</v>
      </c>
      <c r="V256">
        <v>4</v>
      </c>
      <c r="W256">
        <v>4</v>
      </c>
      <c r="X256">
        <v>0.3</v>
      </c>
      <c r="Y256">
        <v>60</v>
      </c>
      <c r="Z256">
        <v>240</v>
      </c>
      <c r="AA256">
        <v>60</v>
      </c>
      <c r="AB256">
        <v>60</v>
      </c>
      <c r="AC256" t="s">
        <v>612</v>
      </c>
      <c r="AD256" t="s">
        <v>44</v>
      </c>
      <c r="AE256" t="s">
        <v>57</v>
      </c>
      <c r="AF256">
        <v>167</v>
      </c>
      <c r="AG256">
        <f t="shared" si="12"/>
        <v>1</v>
      </c>
      <c r="AH256" s="5" t="str">
        <f t="shared" si="13"/>
        <v/>
      </c>
      <c r="AI256">
        <f t="shared" si="14"/>
        <v>1</v>
      </c>
      <c r="AJ256" t="str">
        <f t="shared" si="15"/>
        <v/>
      </c>
    </row>
    <row r="257" spans="1:36" x14ac:dyDescent="0.25">
      <c r="A257">
        <v>256</v>
      </c>
      <c r="B257" t="s">
        <v>615</v>
      </c>
      <c r="C257" t="s">
        <v>622</v>
      </c>
      <c r="D257" t="s">
        <v>623</v>
      </c>
      <c r="E257" t="s">
        <v>34</v>
      </c>
      <c r="F257">
        <v>2016</v>
      </c>
      <c r="G257" t="s">
        <v>35</v>
      </c>
      <c r="H257" t="s">
        <v>36</v>
      </c>
      <c r="I257" t="s">
        <v>612</v>
      </c>
      <c r="J257" t="s">
        <v>542</v>
      </c>
      <c r="K257" t="s">
        <v>39</v>
      </c>
      <c r="L257" t="s">
        <v>39</v>
      </c>
      <c r="M257" s="1">
        <v>42551</v>
      </c>
      <c r="N257">
        <v>47.798033333333301</v>
      </c>
      <c r="O257">
        <v>-122.849516666667</v>
      </c>
      <c r="P257" t="s">
        <v>40</v>
      </c>
      <c r="Q257" t="s">
        <v>41</v>
      </c>
      <c r="R257">
        <v>-1.4325600000000001</v>
      </c>
      <c r="S257" t="s">
        <v>42</v>
      </c>
      <c r="T257">
        <v>2</v>
      </c>
      <c r="U257">
        <v>2</v>
      </c>
      <c r="V257">
        <v>4</v>
      </c>
      <c r="W257">
        <v>4</v>
      </c>
      <c r="X257">
        <v>0.3</v>
      </c>
      <c r="Y257">
        <v>60</v>
      </c>
      <c r="Z257">
        <v>240</v>
      </c>
      <c r="AA257">
        <v>60</v>
      </c>
      <c r="AB257">
        <v>60</v>
      </c>
      <c r="AC257" t="s">
        <v>612</v>
      </c>
      <c r="AD257" t="s">
        <v>44</v>
      </c>
      <c r="AE257" t="s">
        <v>57</v>
      </c>
      <c r="AF257">
        <v>168</v>
      </c>
      <c r="AG257">
        <f t="shared" si="12"/>
        <v>1</v>
      </c>
      <c r="AH257" s="5" t="str">
        <f t="shared" si="13"/>
        <v/>
      </c>
      <c r="AI257">
        <f t="shared" si="14"/>
        <v>1</v>
      </c>
      <c r="AJ257" t="str">
        <f t="shared" si="15"/>
        <v/>
      </c>
    </row>
    <row r="258" spans="1:36" x14ac:dyDescent="0.25">
      <c r="A258">
        <v>257</v>
      </c>
      <c r="B258" t="s">
        <v>615</v>
      </c>
      <c r="C258" t="s">
        <v>624</v>
      </c>
      <c r="D258" t="s">
        <v>625</v>
      </c>
      <c r="E258" t="s">
        <v>34</v>
      </c>
      <c r="F258">
        <v>2016</v>
      </c>
      <c r="G258" t="s">
        <v>35</v>
      </c>
      <c r="H258" t="s">
        <v>36</v>
      </c>
      <c r="I258" t="s">
        <v>612</v>
      </c>
      <c r="J258" t="s">
        <v>542</v>
      </c>
      <c r="K258" t="s">
        <v>39</v>
      </c>
      <c r="L258" t="s">
        <v>39</v>
      </c>
      <c r="M258" s="1">
        <v>42551</v>
      </c>
      <c r="N258">
        <v>47.798083333333302</v>
      </c>
      <c r="O258">
        <v>-122.849583333333</v>
      </c>
      <c r="P258" t="s">
        <v>40</v>
      </c>
      <c r="Q258" t="s">
        <v>41</v>
      </c>
      <c r="R258">
        <v>-1.7983199999999999</v>
      </c>
      <c r="S258" t="s">
        <v>42</v>
      </c>
      <c r="T258">
        <v>2</v>
      </c>
      <c r="U258">
        <v>2</v>
      </c>
      <c r="V258">
        <v>4</v>
      </c>
      <c r="W258">
        <v>4</v>
      </c>
      <c r="X258">
        <v>0.3</v>
      </c>
      <c r="Y258">
        <v>60</v>
      </c>
      <c r="Z258">
        <v>240</v>
      </c>
      <c r="AA258">
        <v>60</v>
      </c>
      <c r="AB258">
        <v>60</v>
      </c>
      <c r="AC258" t="s">
        <v>612</v>
      </c>
      <c r="AD258" t="s">
        <v>44</v>
      </c>
      <c r="AE258" t="s">
        <v>57</v>
      </c>
      <c r="AF258">
        <v>169</v>
      </c>
      <c r="AG258">
        <f t="shared" si="12"/>
        <v>1</v>
      </c>
      <c r="AH258" s="5" t="str">
        <f t="shared" si="13"/>
        <v/>
      </c>
      <c r="AI258">
        <f t="shared" si="14"/>
        <v>1</v>
      </c>
      <c r="AJ258" t="str">
        <f t="shared" si="15"/>
        <v/>
      </c>
    </row>
    <row r="259" spans="1:36" x14ac:dyDescent="0.25">
      <c r="A259">
        <v>258</v>
      </c>
      <c r="B259" t="s">
        <v>615</v>
      </c>
      <c r="C259" t="s">
        <v>626</v>
      </c>
      <c r="D259" t="s">
        <v>627</v>
      </c>
      <c r="E259" t="s">
        <v>34</v>
      </c>
      <c r="F259">
        <v>2016</v>
      </c>
      <c r="G259" t="s">
        <v>35</v>
      </c>
      <c r="H259" t="s">
        <v>36</v>
      </c>
      <c r="I259" t="s">
        <v>612</v>
      </c>
      <c r="J259" t="s">
        <v>542</v>
      </c>
      <c r="K259" t="s">
        <v>39</v>
      </c>
      <c r="L259" t="s">
        <v>39</v>
      </c>
      <c r="M259" s="1">
        <v>42551</v>
      </c>
      <c r="N259">
        <v>47.798116666666701</v>
      </c>
      <c r="O259">
        <v>-122.8496</v>
      </c>
      <c r="P259" t="s">
        <v>40</v>
      </c>
      <c r="Q259" t="s">
        <v>41</v>
      </c>
      <c r="R259">
        <v>-2.1335999999999999</v>
      </c>
      <c r="S259" t="s">
        <v>42</v>
      </c>
      <c r="T259">
        <v>2</v>
      </c>
      <c r="U259">
        <v>2</v>
      </c>
      <c r="V259">
        <v>4</v>
      </c>
      <c r="W259">
        <v>4</v>
      </c>
      <c r="X259">
        <v>0.3</v>
      </c>
      <c r="Y259">
        <v>60</v>
      </c>
      <c r="Z259">
        <v>240</v>
      </c>
      <c r="AA259">
        <v>60</v>
      </c>
      <c r="AB259">
        <v>60</v>
      </c>
      <c r="AC259" t="s">
        <v>612</v>
      </c>
      <c r="AD259" t="s">
        <v>44</v>
      </c>
      <c r="AE259" t="s">
        <v>57</v>
      </c>
      <c r="AF259">
        <v>170</v>
      </c>
      <c r="AG259">
        <f t="shared" ref="AG259:AG289" si="16">COUNTIF(AF:AF,AF259)</f>
        <v>1</v>
      </c>
      <c r="AH259" s="5" t="str">
        <f t="shared" ref="AH259:AH289" si="17">IF(AG259&gt;1,AF259,"")</f>
        <v/>
      </c>
      <c r="AI259">
        <f t="shared" ref="AI259:AI289" si="18">COUNTIF(D:D,D259)</f>
        <v>1</v>
      </c>
      <c r="AJ259" t="str">
        <f t="shared" ref="AJ259:AJ289" si="19">IF(AI259&gt;1,D259,"")</f>
        <v/>
      </c>
    </row>
    <row r="260" spans="1:36" x14ac:dyDescent="0.25">
      <c r="A260">
        <v>259</v>
      </c>
      <c r="B260" t="s">
        <v>615</v>
      </c>
      <c r="C260" t="s">
        <v>628</v>
      </c>
      <c r="D260" t="s">
        <v>629</v>
      </c>
      <c r="E260" t="s">
        <v>34</v>
      </c>
      <c r="F260">
        <v>2016</v>
      </c>
      <c r="G260" t="s">
        <v>35</v>
      </c>
      <c r="H260" t="s">
        <v>36</v>
      </c>
      <c r="I260" t="s">
        <v>612</v>
      </c>
      <c r="J260" t="s">
        <v>542</v>
      </c>
      <c r="K260" t="s">
        <v>39</v>
      </c>
      <c r="L260" t="s">
        <v>39</v>
      </c>
      <c r="M260" s="1">
        <v>42551</v>
      </c>
      <c r="N260">
        <v>47.79665</v>
      </c>
      <c r="O260">
        <v>-122.8501333</v>
      </c>
      <c r="P260" t="s">
        <v>40</v>
      </c>
      <c r="Q260" t="s">
        <v>41</v>
      </c>
      <c r="R260">
        <v>-1.1582399999999999</v>
      </c>
      <c r="S260" t="s">
        <v>42</v>
      </c>
      <c r="T260">
        <v>2</v>
      </c>
      <c r="U260">
        <v>2</v>
      </c>
      <c r="V260">
        <v>4</v>
      </c>
      <c r="W260">
        <v>4</v>
      </c>
      <c r="X260">
        <v>0.3</v>
      </c>
      <c r="Y260">
        <v>60</v>
      </c>
      <c r="Z260">
        <v>240</v>
      </c>
      <c r="AA260">
        <v>60</v>
      </c>
      <c r="AB260">
        <v>60</v>
      </c>
      <c r="AC260" t="s">
        <v>612</v>
      </c>
      <c r="AD260" t="s">
        <v>44</v>
      </c>
      <c r="AE260" t="s">
        <v>57</v>
      </c>
      <c r="AF260">
        <v>171</v>
      </c>
      <c r="AG260">
        <f t="shared" si="16"/>
        <v>1</v>
      </c>
      <c r="AH260" s="5" t="str">
        <f t="shared" si="17"/>
        <v/>
      </c>
      <c r="AI260">
        <f t="shared" si="18"/>
        <v>1</v>
      </c>
      <c r="AJ260" t="str">
        <f t="shared" si="19"/>
        <v/>
      </c>
    </row>
    <row r="261" spans="1:36" x14ac:dyDescent="0.25">
      <c r="A261">
        <v>260</v>
      </c>
      <c r="B261" t="s">
        <v>615</v>
      </c>
      <c r="C261" t="s">
        <v>630</v>
      </c>
      <c r="D261" t="s">
        <v>631</v>
      </c>
      <c r="E261" t="s">
        <v>34</v>
      </c>
      <c r="F261">
        <v>2016</v>
      </c>
      <c r="G261" t="s">
        <v>35</v>
      </c>
      <c r="H261" t="s">
        <v>36</v>
      </c>
      <c r="I261" t="s">
        <v>612</v>
      </c>
      <c r="J261" t="s">
        <v>542</v>
      </c>
      <c r="K261" t="s">
        <v>39</v>
      </c>
      <c r="L261" t="s">
        <v>39</v>
      </c>
      <c r="M261" s="1">
        <v>42551</v>
      </c>
      <c r="N261">
        <v>47.79668333</v>
      </c>
      <c r="O261">
        <v>-122.8502</v>
      </c>
      <c r="P261" t="s">
        <v>40</v>
      </c>
      <c r="Q261" t="s">
        <v>41</v>
      </c>
      <c r="R261">
        <v>-1.4630399999999999</v>
      </c>
      <c r="S261" t="s">
        <v>42</v>
      </c>
      <c r="T261">
        <v>2</v>
      </c>
      <c r="U261">
        <v>2</v>
      </c>
      <c r="V261">
        <v>4</v>
      </c>
      <c r="W261">
        <v>4</v>
      </c>
      <c r="X261">
        <v>0.3</v>
      </c>
      <c r="Y261">
        <v>60</v>
      </c>
      <c r="Z261">
        <v>240</v>
      </c>
      <c r="AA261">
        <v>60</v>
      </c>
      <c r="AB261">
        <v>60</v>
      </c>
      <c r="AC261" t="s">
        <v>612</v>
      </c>
      <c r="AD261" t="s">
        <v>44</v>
      </c>
      <c r="AE261" t="s">
        <v>57</v>
      </c>
      <c r="AF261">
        <v>172</v>
      </c>
      <c r="AG261">
        <f t="shared" si="16"/>
        <v>1</v>
      </c>
      <c r="AH261" s="5" t="str">
        <f t="shared" si="17"/>
        <v/>
      </c>
      <c r="AI261">
        <f t="shared" si="18"/>
        <v>1</v>
      </c>
      <c r="AJ261" t="str">
        <f t="shared" si="19"/>
        <v/>
      </c>
    </row>
    <row r="262" spans="1:36" x14ac:dyDescent="0.25">
      <c r="A262">
        <v>261</v>
      </c>
      <c r="B262" t="s">
        <v>615</v>
      </c>
      <c r="C262" t="s">
        <v>632</v>
      </c>
      <c r="D262" t="s">
        <v>633</v>
      </c>
      <c r="E262" t="s">
        <v>34</v>
      </c>
      <c r="F262">
        <v>2016</v>
      </c>
      <c r="G262" t="s">
        <v>35</v>
      </c>
      <c r="H262" t="s">
        <v>36</v>
      </c>
      <c r="I262" t="s">
        <v>612</v>
      </c>
      <c r="J262" t="s">
        <v>542</v>
      </c>
      <c r="K262" t="s">
        <v>39</v>
      </c>
      <c r="L262" t="s">
        <v>39</v>
      </c>
      <c r="M262" s="1">
        <v>42551</v>
      </c>
      <c r="N262">
        <v>47.79668333</v>
      </c>
      <c r="O262">
        <v>-122.8502333</v>
      </c>
      <c r="P262" t="s">
        <v>40</v>
      </c>
      <c r="Q262" t="s">
        <v>41</v>
      </c>
      <c r="R262">
        <v>-2.0726399999999998</v>
      </c>
      <c r="S262" t="s">
        <v>42</v>
      </c>
      <c r="T262">
        <v>2</v>
      </c>
      <c r="U262">
        <v>2</v>
      </c>
      <c r="V262">
        <v>4</v>
      </c>
      <c r="W262">
        <v>4</v>
      </c>
      <c r="X262">
        <v>0.3</v>
      </c>
      <c r="Y262">
        <v>60</v>
      </c>
      <c r="Z262">
        <v>240</v>
      </c>
      <c r="AA262">
        <v>60</v>
      </c>
      <c r="AB262">
        <v>60</v>
      </c>
      <c r="AC262" t="s">
        <v>612</v>
      </c>
      <c r="AD262" t="s">
        <v>44</v>
      </c>
      <c r="AE262" t="s">
        <v>57</v>
      </c>
      <c r="AF262">
        <v>173</v>
      </c>
      <c r="AG262">
        <f t="shared" si="16"/>
        <v>1</v>
      </c>
      <c r="AH262" s="5" t="str">
        <f t="shared" si="17"/>
        <v/>
      </c>
      <c r="AI262">
        <f t="shared" si="18"/>
        <v>1</v>
      </c>
      <c r="AJ262" t="str">
        <f t="shared" si="19"/>
        <v/>
      </c>
    </row>
    <row r="263" spans="1:36" x14ac:dyDescent="0.25">
      <c r="A263">
        <v>262</v>
      </c>
      <c r="B263" t="s">
        <v>634</v>
      </c>
      <c r="C263" t="s">
        <v>635</v>
      </c>
      <c r="D263" t="s">
        <v>636</v>
      </c>
      <c r="E263" t="s">
        <v>34</v>
      </c>
      <c r="F263">
        <v>2023</v>
      </c>
      <c r="G263" t="s">
        <v>44</v>
      </c>
      <c r="H263" t="s">
        <v>36</v>
      </c>
      <c r="I263" t="s">
        <v>637</v>
      </c>
      <c r="J263" t="s">
        <v>542</v>
      </c>
      <c r="K263" t="s">
        <v>39</v>
      </c>
      <c r="L263" t="s">
        <v>39</v>
      </c>
      <c r="M263" s="1">
        <v>45081</v>
      </c>
      <c r="N263">
        <v>47.866653999999997</v>
      </c>
      <c r="O263">
        <v>-122.67272</v>
      </c>
      <c r="P263" t="s">
        <v>40</v>
      </c>
      <c r="Q263" t="s">
        <v>41</v>
      </c>
      <c r="R263">
        <v>-0.5</v>
      </c>
      <c r="S263" t="s">
        <v>55</v>
      </c>
      <c r="T263" t="s">
        <v>44</v>
      </c>
      <c r="U263" t="s">
        <v>44</v>
      </c>
      <c r="V263">
        <v>0</v>
      </c>
      <c r="W263">
        <v>2.25</v>
      </c>
      <c r="X263">
        <v>0.22500000000000001</v>
      </c>
      <c r="Y263">
        <v>9</v>
      </c>
      <c r="Z263" t="s">
        <v>44</v>
      </c>
      <c r="AA263" t="s">
        <v>44</v>
      </c>
      <c r="AB263">
        <v>0</v>
      </c>
      <c r="AC263" t="s">
        <v>634</v>
      </c>
      <c r="AD263" t="s">
        <v>44</v>
      </c>
      <c r="AE263" t="s">
        <v>100</v>
      </c>
      <c r="AF263">
        <v>174</v>
      </c>
      <c r="AG263">
        <f t="shared" si="16"/>
        <v>1</v>
      </c>
      <c r="AH263" s="5" t="str">
        <f t="shared" si="17"/>
        <v/>
      </c>
      <c r="AI263">
        <f t="shared" si="18"/>
        <v>1</v>
      </c>
      <c r="AJ263" t="str">
        <f t="shared" si="19"/>
        <v/>
      </c>
    </row>
    <row r="264" spans="1:36" ht="47.25" x14ac:dyDescent="0.25">
      <c r="A264">
        <v>263</v>
      </c>
      <c r="B264" t="s">
        <v>638</v>
      </c>
      <c r="C264" t="s">
        <v>639</v>
      </c>
      <c r="D264" t="s">
        <v>640</v>
      </c>
      <c r="E264" t="s">
        <v>34</v>
      </c>
      <c r="F264">
        <v>2016</v>
      </c>
      <c r="G264" s="2" t="s">
        <v>641</v>
      </c>
      <c r="H264" t="s">
        <v>36</v>
      </c>
      <c r="I264" t="s">
        <v>642</v>
      </c>
      <c r="J264" t="s">
        <v>643</v>
      </c>
      <c r="K264" t="s">
        <v>39</v>
      </c>
      <c r="L264" t="s">
        <v>39</v>
      </c>
      <c r="M264" s="1">
        <v>42621</v>
      </c>
      <c r="N264">
        <v>48.347106666666697</v>
      </c>
      <c r="O264">
        <v>-122.541366666667</v>
      </c>
      <c r="P264" t="s">
        <v>40</v>
      </c>
      <c r="Q264" t="s">
        <v>41</v>
      </c>
      <c r="R264">
        <v>-0.70104</v>
      </c>
      <c r="S264" t="s">
        <v>55</v>
      </c>
      <c r="T264">
        <v>2</v>
      </c>
      <c r="U264">
        <v>2</v>
      </c>
      <c r="V264">
        <v>4</v>
      </c>
      <c r="W264">
        <v>5</v>
      </c>
      <c r="X264">
        <v>0.5</v>
      </c>
      <c r="Y264">
        <v>20</v>
      </c>
      <c r="Z264">
        <v>500</v>
      </c>
      <c r="AA264">
        <v>125</v>
      </c>
      <c r="AB264">
        <v>100</v>
      </c>
      <c r="AC264" t="s">
        <v>642</v>
      </c>
      <c r="AD264" t="s">
        <v>644</v>
      </c>
      <c r="AE264" t="s">
        <v>57</v>
      </c>
      <c r="AF264">
        <v>175</v>
      </c>
      <c r="AG264">
        <f t="shared" si="16"/>
        <v>1</v>
      </c>
      <c r="AH264" s="5" t="str">
        <f t="shared" si="17"/>
        <v/>
      </c>
      <c r="AI264">
        <f t="shared" si="18"/>
        <v>1</v>
      </c>
      <c r="AJ264" t="str">
        <f t="shared" si="19"/>
        <v/>
      </c>
    </row>
    <row r="265" spans="1:36" ht="47.25" x14ac:dyDescent="0.25">
      <c r="A265">
        <v>264</v>
      </c>
      <c r="B265" t="s">
        <v>638</v>
      </c>
      <c r="C265" t="s">
        <v>645</v>
      </c>
      <c r="D265" t="s">
        <v>646</v>
      </c>
      <c r="E265" t="s">
        <v>34</v>
      </c>
      <c r="F265">
        <v>2016</v>
      </c>
      <c r="G265" s="2" t="s">
        <v>641</v>
      </c>
      <c r="H265" t="s">
        <v>36</v>
      </c>
      <c r="I265" t="s">
        <v>642</v>
      </c>
      <c r="J265" t="s">
        <v>643</v>
      </c>
      <c r="K265" t="s">
        <v>39</v>
      </c>
      <c r="L265" t="s">
        <v>39</v>
      </c>
      <c r="M265" s="1">
        <v>42621</v>
      </c>
      <c r="N265">
        <v>48.347566666666701</v>
      </c>
      <c r="O265">
        <v>-122.54205</v>
      </c>
      <c r="P265" t="s">
        <v>40</v>
      </c>
      <c r="Q265" t="s">
        <v>41</v>
      </c>
      <c r="R265">
        <v>-0.70104</v>
      </c>
      <c r="S265" t="s">
        <v>55</v>
      </c>
      <c r="T265">
        <v>2</v>
      </c>
      <c r="U265">
        <v>2</v>
      </c>
      <c r="V265">
        <v>4</v>
      </c>
      <c r="W265">
        <v>5</v>
      </c>
      <c r="X265">
        <v>0.5</v>
      </c>
      <c r="Y265">
        <v>20</v>
      </c>
      <c r="Z265">
        <v>500</v>
      </c>
      <c r="AA265">
        <v>125</v>
      </c>
      <c r="AB265">
        <v>100</v>
      </c>
      <c r="AC265" t="s">
        <v>642</v>
      </c>
      <c r="AD265" t="s">
        <v>647</v>
      </c>
      <c r="AE265" t="s">
        <v>57</v>
      </c>
      <c r="AF265">
        <v>176</v>
      </c>
      <c r="AG265">
        <f t="shared" si="16"/>
        <v>1</v>
      </c>
      <c r="AH265" s="5" t="str">
        <f t="shared" si="17"/>
        <v/>
      </c>
      <c r="AI265">
        <f t="shared" si="18"/>
        <v>1</v>
      </c>
      <c r="AJ265" t="str">
        <f t="shared" si="19"/>
        <v/>
      </c>
    </row>
    <row r="266" spans="1:36" ht="47.25" x14ac:dyDescent="0.25">
      <c r="A266">
        <v>265</v>
      </c>
      <c r="B266" t="s">
        <v>638</v>
      </c>
      <c r="C266" t="s">
        <v>648</v>
      </c>
      <c r="D266" t="s">
        <v>649</v>
      </c>
      <c r="E266" t="s">
        <v>34</v>
      </c>
      <c r="F266">
        <v>2016</v>
      </c>
      <c r="G266" s="2" t="s">
        <v>641</v>
      </c>
      <c r="H266" t="s">
        <v>36</v>
      </c>
      <c r="I266" t="s">
        <v>642</v>
      </c>
      <c r="J266" t="s">
        <v>643</v>
      </c>
      <c r="K266" t="s">
        <v>39</v>
      </c>
      <c r="L266" t="s">
        <v>39</v>
      </c>
      <c r="M266" s="1">
        <v>42622</v>
      </c>
      <c r="N266">
        <v>48.348199999999999</v>
      </c>
      <c r="O266">
        <v>-122.54325</v>
      </c>
      <c r="P266" t="s">
        <v>40</v>
      </c>
      <c r="Q266" t="s">
        <v>41</v>
      </c>
      <c r="R266">
        <v>-0.42671999999999999</v>
      </c>
      <c r="S266" t="s">
        <v>55</v>
      </c>
      <c r="T266">
        <v>1.5</v>
      </c>
      <c r="U266">
        <v>2</v>
      </c>
      <c r="V266">
        <v>3</v>
      </c>
      <c r="W266">
        <v>4</v>
      </c>
      <c r="X266">
        <v>0.4</v>
      </c>
      <c r="Y266">
        <v>16</v>
      </c>
      <c r="Z266">
        <v>400</v>
      </c>
      <c r="AA266">
        <v>133.333333333333</v>
      </c>
      <c r="AB266">
        <v>100</v>
      </c>
      <c r="AC266" t="s">
        <v>642</v>
      </c>
      <c r="AD266" t="s">
        <v>650</v>
      </c>
      <c r="AE266" t="s">
        <v>57</v>
      </c>
      <c r="AF266">
        <v>177</v>
      </c>
      <c r="AG266">
        <f t="shared" si="16"/>
        <v>1</v>
      </c>
      <c r="AH266" s="5" t="str">
        <f t="shared" si="17"/>
        <v/>
      </c>
      <c r="AI266">
        <f t="shared" si="18"/>
        <v>1</v>
      </c>
      <c r="AJ266" t="str">
        <f t="shared" si="19"/>
        <v/>
      </c>
    </row>
    <row r="267" spans="1:36" ht="47.25" x14ac:dyDescent="0.25">
      <c r="A267">
        <v>266</v>
      </c>
      <c r="B267" t="s">
        <v>638</v>
      </c>
      <c r="C267" t="s">
        <v>651</v>
      </c>
      <c r="D267" t="s">
        <v>652</v>
      </c>
      <c r="E267" t="s">
        <v>34</v>
      </c>
      <c r="F267">
        <v>2016</v>
      </c>
      <c r="G267" s="2" t="s">
        <v>641</v>
      </c>
      <c r="H267" t="s">
        <v>36</v>
      </c>
      <c r="I267" t="s">
        <v>642</v>
      </c>
      <c r="J267" t="s">
        <v>643</v>
      </c>
      <c r="K267" t="s">
        <v>39</v>
      </c>
      <c r="L267" t="s">
        <v>39</v>
      </c>
      <c r="M267" s="1">
        <v>42622</v>
      </c>
      <c r="N267">
        <v>48.348199999999999</v>
      </c>
      <c r="O267">
        <v>-122.543816666667</v>
      </c>
      <c r="P267" t="s">
        <v>40</v>
      </c>
      <c r="Q267" t="s">
        <v>41</v>
      </c>
      <c r="R267">
        <v>-0.51815999999999995</v>
      </c>
      <c r="S267" t="s">
        <v>55</v>
      </c>
      <c r="T267">
        <v>1.5</v>
      </c>
      <c r="U267">
        <v>2</v>
      </c>
      <c r="V267">
        <v>3</v>
      </c>
      <c r="W267">
        <v>4</v>
      </c>
      <c r="X267">
        <v>0.4</v>
      </c>
      <c r="Y267">
        <v>16</v>
      </c>
      <c r="Z267">
        <v>400</v>
      </c>
      <c r="AA267">
        <v>133.333333333333</v>
      </c>
      <c r="AB267">
        <v>100</v>
      </c>
      <c r="AC267" t="s">
        <v>642</v>
      </c>
      <c r="AD267" t="s">
        <v>650</v>
      </c>
      <c r="AE267" t="s">
        <v>57</v>
      </c>
      <c r="AF267">
        <v>178</v>
      </c>
      <c r="AG267">
        <f t="shared" si="16"/>
        <v>1</v>
      </c>
      <c r="AH267" s="5" t="str">
        <f t="shared" si="17"/>
        <v/>
      </c>
      <c r="AI267">
        <f t="shared" si="18"/>
        <v>1</v>
      </c>
      <c r="AJ267" t="str">
        <f t="shared" si="19"/>
        <v/>
      </c>
    </row>
    <row r="268" spans="1:36" x14ac:dyDescent="0.25">
      <c r="A268">
        <v>267</v>
      </c>
      <c r="B268" t="s">
        <v>653</v>
      </c>
      <c r="C268" t="s">
        <v>654</v>
      </c>
      <c r="D268" t="s">
        <v>655</v>
      </c>
      <c r="E268" t="s">
        <v>34</v>
      </c>
      <c r="F268">
        <v>2015</v>
      </c>
      <c r="G268" t="s">
        <v>44</v>
      </c>
      <c r="H268" t="s">
        <v>36</v>
      </c>
      <c r="I268" t="s">
        <v>107</v>
      </c>
      <c r="J268" t="s">
        <v>38</v>
      </c>
      <c r="K268" t="s">
        <v>39</v>
      </c>
      <c r="L268" t="s">
        <v>39</v>
      </c>
      <c r="M268" s="1">
        <v>42075</v>
      </c>
      <c r="N268">
        <v>47.320098000000002</v>
      </c>
      <c r="O268">
        <v>-122.831565</v>
      </c>
      <c r="P268" t="s">
        <v>40</v>
      </c>
      <c r="Q268" t="s">
        <v>41</v>
      </c>
      <c r="R268">
        <v>-1.0668</v>
      </c>
      <c r="S268" t="s">
        <v>42</v>
      </c>
      <c r="T268">
        <v>5</v>
      </c>
      <c r="U268">
        <v>5</v>
      </c>
      <c r="V268">
        <v>25</v>
      </c>
      <c r="W268">
        <v>25</v>
      </c>
      <c r="X268">
        <v>0.625</v>
      </c>
      <c r="Y268">
        <v>125</v>
      </c>
      <c r="Z268">
        <v>500</v>
      </c>
      <c r="AA268">
        <v>20</v>
      </c>
      <c r="AB268">
        <v>20</v>
      </c>
      <c r="AC268" t="s">
        <v>201</v>
      </c>
      <c r="AD268" t="s">
        <v>656</v>
      </c>
      <c r="AE268" t="s">
        <v>51</v>
      </c>
      <c r="AF268">
        <v>179</v>
      </c>
      <c r="AG268">
        <f t="shared" si="16"/>
        <v>1</v>
      </c>
      <c r="AH268" s="5" t="str">
        <f t="shared" si="17"/>
        <v/>
      </c>
      <c r="AI268">
        <f t="shared" si="18"/>
        <v>1</v>
      </c>
      <c r="AJ268" t="str">
        <f t="shared" si="19"/>
        <v/>
      </c>
    </row>
    <row r="269" spans="1:36" x14ac:dyDescent="0.25">
      <c r="A269">
        <v>268</v>
      </c>
      <c r="B269" t="s">
        <v>657</v>
      </c>
      <c r="C269" t="s">
        <v>658</v>
      </c>
      <c r="D269" t="s">
        <v>659</v>
      </c>
      <c r="E269" t="s">
        <v>34</v>
      </c>
      <c r="F269">
        <v>2016</v>
      </c>
      <c r="G269" t="s">
        <v>44</v>
      </c>
      <c r="H269" t="s">
        <v>63</v>
      </c>
      <c r="I269" t="s">
        <v>107</v>
      </c>
      <c r="J269" t="s">
        <v>38</v>
      </c>
      <c r="K269" t="s">
        <v>39</v>
      </c>
      <c r="L269" t="s">
        <v>39</v>
      </c>
      <c r="M269" s="1">
        <v>42509</v>
      </c>
      <c r="N269">
        <v>47.183090558333298</v>
      </c>
      <c r="O269">
        <v>-122.777793994444</v>
      </c>
      <c r="P269" t="s">
        <v>40</v>
      </c>
      <c r="Q269" t="s">
        <v>41</v>
      </c>
      <c r="R269">
        <v>-2</v>
      </c>
      <c r="S269" t="s">
        <v>146</v>
      </c>
      <c r="T269">
        <v>25</v>
      </c>
      <c r="U269">
        <v>5</v>
      </c>
      <c r="V269">
        <v>125</v>
      </c>
      <c r="W269">
        <v>75</v>
      </c>
      <c r="X269">
        <v>9.75</v>
      </c>
      <c r="Y269">
        <v>156</v>
      </c>
      <c r="Z269">
        <v>780</v>
      </c>
      <c r="AA269">
        <v>6.24</v>
      </c>
      <c r="AB269">
        <v>10.4</v>
      </c>
      <c r="AC269" t="s">
        <v>65</v>
      </c>
      <c r="AD269" t="s">
        <v>148</v>
      </c>
      <c r="AE269" t="s">
        <v>67</v>
      </c>
      <c r="AF269">
        <v>180</v>
      </c>
      <c r="AG269">
        <f t="shared" si="16"/>
        <v>2</v>
      </c>
      <c r="AH269" s="5">
        <f t="shared" si="17"/>
        <v>180</v>
      </c>
      <c r="AI269">
        <f t="shared" si="18"/>
        <v>2</v>
      </c>
      <c r="AJ269" t="str">
        <f t="shared" si="19"/>
        <v>TAY_L1</v>
      </c>
    </row>
    <row r="270" spans="1:36" x14ac:dyDescent="0.25">
      <c r="A270">
        <v>269</v>
      </c>
      <c r="B270" t="s">
        <v>657</v>
      </c>
      <c r="C270" t="s">
        <v>660</v>
      </c>
      <c r="D270" t="s">
        <v>659</v>
      </c>
      <c r="E270" t="s">
        <v>34</v>
      </c>
      <c r="F270">
        <v>2016</v>
      </c>
      <c r="G270" t="s">
        <v>44</v>
      </c>
      <c r="H270" t="s">
        <v>63</v>
      </c>
      <c r="I270" t="s">
        <v>107</v>
      </c>
      <c r="J270" t="s">
        <v>38</v>
      </c>
      <c r="K270" t="s">
        <v>39</v>
      </c>
      <c r="L270" t="s">
        <v>69</v>
      </c>
      <c r="M270" s="1">
        <v>42509</v>
      </c>
      <c r="N270">
        <v>47.182860077777804</v>
      </c>
      <c r="O270">
        <v>-122.777782322222</v>
      </c>
      <c r="P270" t="s">
        <v>40</v>
      </c>
      <c r="Q270" t="s">
        <v>41</v>
      </c>
      <c r="R270" t="s">
        <v>44</v>
      </c>
      <c r="S270" t="s">
        <v>44</v>
      </c>
      <c r="T270" t="s">
        <v>44</v>
      </c>
      <c r="U270" t="s">
        <v>44</v>
      </c>
      <c r="V270" t="s">
        <v>44</v>
      </c>
      <c r="W270" t="s">
        <v>44</v>
      </c>
      <c r="X270" t="s">
        <v>44</v>
      </c>
      <c r="Y270" t="s">
        <v>44</v>
      </c>
      <c r="Z270" t="s">
        <v>44</v>
      </c>
      <c r="AA270" t="s">
        <v>44</v>
      </c>
      <c r="AB270" t="s">
        <v>44</v>
      </c>
      <c r="AC270" t="s">
        <v>44</v>
      </c>
      <c r="AD270" t="s">
        <v>44</v>
      </c>
      <c r="AE270" t="s">
        <v>67</v>
      </c>
      <c r="AF270">
        <v>180</v>
      </c>
      <c r="AG270">
        <f t="shared" si="16"/>
        <v>2</v>
      </c>
      <c r="AH270" s="5">
        <f t="shared" si="17"/>
        <v>180</v>
      </c>
      <c r="AI270">
        <f t="shared" si="18"/>
        <v>2</v>
      </c>
      <c r="AJ270" t="str">
        <f t="shared" si="19"/>
        <v>TAY_L1</v>
      </c>
    </row>
    <row r="271" spans="1:36" x14ac:dyDescent="0.25">
      <c r="A271">
        <v>270</v>
      </c>
      <c r="B271" t="s">
        <v>661</v>
      </c>
      <c r="C271" t="s">
        <v>662</v>
      </c>
      <c r="D271" t="s">
        <v>663</v>
      </c>
      <c r="E271" t="s">
        <v>34</v>
      </c>
      <c r="F271">
        <v>2013</v>
      </c>
      <c r="G271" t="s">
        <v>35</v>
      </c>
      <c r="H271" t="s">
        <v>36</v>
      </c>
      <c r="I271" t="s">
        <v>661</v>
      </c>
      <c r="J271" t="s">
        <v>112</v>
      </c>
      <c r="K271" t="s">
        <v>39</v>
      </c>
      <c r="L271" t="s">
        <v>39</v>
      </c>
      <c r="M271" s="1">
        <v>41439</v>
      </c>
      <c r="N271">
        <v>48.601783333333302</v>
      </c>
      <c r="O271">
        <v>-123.13939999999999</v>
      </c>
      <c r="P271" t="s">
        <v>40</v>
      </c>
      <c r="Q271" t="s">
        <v>41</v>
      </c>
      <c r="R271">
        <v>-1.2192000000000001</v>
      </c>
      <c r="S271" t="s">
        <v>42</v>
      </c>
      <c r="T271">
        <v>5</v>
      </c>
      <c r="U271">
        <v>95</v>
      </c>
      <c r="V271">
        <v>475</v>
      </c>
      <c r="W271">
        <v>25</v>
      </c>
      <c r="X271">
        <v>0.56000000000000005</v>
      </c>
      <c r="Y271">
        <v>112</v>
      </c>
      <c r="Z271">
        <v>448</v>
      </c>
      <c r="AA271">
        <v>0.94315789473684197</v>
      </c>
      <c r="AB271">
        <v>17.920000000000002</v>
      </c>
      <c r="AC271" t="s">
        <v>664</v>
      </c>
      <c r="AD271" t="s">
        <v>665</v>
      </c>
      <c r="AE271" t="s">
        <v>45</v>
      </c>
      <c r="AF271">
        <v>181</v>
      </c>
      <c r="AG271">
        <f t="shared" si="16"/>
        <v>1</v>
      </c>
      <c r="AH271" s="5" t="str">
        <f t="shared" si="17"/>
        <v/>
      </c>
      <c r="AI271">
        <f t="shared" si="18"/>
        <v>1</v>
      </c>
      <c r="AJ271" t="str">
        <f t="shared" si="19"/>
        <v/>
      </c>
    </row>
    <row r="272" spans="1:36" x14ac:dyDescent="0.25">
      <c r="A272">
        <v>271</v>
      </c>
      <c r="B272" t="s">
        <v>661</v>
      </c>
      <c r="C272" t="s">
        <v>666</v>
      </c>
      <c r="D272" t="s">
        <v>667</v>
      </c>
      <c r="E272" t="s">
        <v>34</v>
      </c>
      <c r="F272">
        <v>2013</v>
      </c>
      <c r="G272" t="s">
        <v>35</v>
      </c>
      <c r="H272" t="s">
        <v>36</v>
      </c>
      <c r="I272" t="s">
        <v>661</v>
      </c>
      <c r="J272" t="s">
        <v>112</v>
      </c>
      <c r="K272" t="s">
        <v>39</v>
      </c>
      <c r="L272" t="s">
        <v>39</v>
      </c>
      <c r="M272" s="1">
        <v>41439</v>
      </c>
      <c r="N272">
        <v>48.596449999999997</v>
      </c>
      <c r="O272">
        <v>-123.160866666667</v>
      </c>
      <c r="P272" t="s">
        <v>40</v>
      </c>
      <c r="Q272" t="s">
        <v>41</v>
      </c>
      <c r="R272">
        <v>-1.524</v>
      </c>
      <c r="S272" t="s">
        <v>42</v>
      </c>
      <c r="T272">
        <v>5</v>
      </c>
      <c r="U272">
        <v>57</v>
      </c>
      <c r="V272">
        <v>285</v>
      </c>
      <c r="W272">
        <v>25</v>
      </c>
      <c r="X272">
        <v>0.59</v>
      </c>
      <c r="Y272">
        <v>118</v>
      </c>
      <c r="Z272">
        <v>472</v>
      </c>
      <c r="AA272">
        <v>1.6561403508771899</v>
      </c>
      <c r="AB272">
        <v>18.88</v>
      </c>
      <c r="AC272" t="s">
        <v>664</v>
      </c>
      <c r="AD272" t="s">
        <v>668</v>
      </c>
      <c r="AE272" t="s">
        <v>45</v>
      </c>
      <c r="AF272">
        <v>182</v>
      </c>
      <c r="AG272">
        <f t="shared" si="16"/>
        <v>1</v>
      </c>
      <c r="AH272" s="5" t="str">
        <f t="shared" si="17"/>
        <v/>
      </c>
      <c r="AI272">
        <f t="shared" si="18"/>
        <v>1</v>
      </c>
      <c r="AJ272" t="str">
        <f t="shared" si="19"/>
        <v/>
      </c>
    </row>
    <row r="273" spans="1:37" x14ac:dyDescent="0.25">
      <c r="A273">
        <v>272</v>
      </c>
      <c r="B273" t="s">
        <v>661</v>
      </c>
      <c r="C273" t="s">
        <v>669</v>
      </c>
      <c r="D273" t="s">
        <v>670</v>
      </c>
      <c r="E273" t="s">
        <v>34</v>
      </c>
      <c r="F273">
        <v>2017</v>
      </c>
      <c r="G273" t="s">
        <v>35</v>
      </c>
      <c r="H273" t="s">
        <v>36</v>
      </c>
      <c r="I273" t="s">
        <v>661</v>
      </c>
      <c r="J273" t="s">
        <v>112</v>
      </c>
      <c r="K273" t="s">
        <v>39</v>
      </c>
      <c r="L273" t="s">
        <v>39</v>
      </c>
      <c r="M273" s="1">
        <v>42887</v>
      </c>
      <c r="N273">
        <v>48.595866666666701</v>
      </c>
      <c r="O273">
        <v>-123.16155000000001</v>
      </c>
      <c r="P273" t="s">
        <v>40</v>
      </c>
      <c r="Q273" t="s">
        <v>41</v>
      </c>
      <c r="R273">
        <v>-1.40208</v>
      </c>
      <c r="S273" t="s">
        <v>55</v>
      </c>
      <c r="T273">
        <v>2.5</v>
      </c>
      <c r="U273">
        <v>2.5</v>
      </c>
      <c r="V273">
        <v>6.25</v>
      </c>
      <c r="W273">
        <v>5</v>
      </c>
      <c r="X273">
        <v>0.5</v>
      </c>
      <c r="Y273">
        <v>20</v>
      </c>
      <c r="Z273">
        <v>500</v>
      </c>
      <c r="AA273">
        <v>80</v>
      </c>
      <c r="AB273">
        <v>100</v>
      </c>
      <c r="AC273" t="s">
        <v>671</v>
      </c>
      <c r="AD273" t="s">
        <v>44</v>
      </c>
      <c r="AE273" t="s">
        <v>129</v>
      </c>
      <c r="AF273">
        <v>183</v>
      </c>
      <c r="AG273">
        <f t="shared" si="16"/>
        <v>1</v>
      </c>
      <c r="AH273" s="5" t="str">
        <f t="shared" si="17"/>
        <v/>
      </c>
      <c r="AI273">
        <f t="shared" si="18"/>
        <v>1</v>
      </c>
      <c r="AJ273" t="str">
        <f t="shared" si="19"/>
        <v/>
      </c>
    </row>
    <row r="274" spans="1:37" x14ac:dyDescent="0.25">
      <c r="A274">
        <v>273</v>
      </c>
      <c r="B274" t="s">
        <v>661</v>
      </c>
      <c r="C274" t="s">
        <v>672</v>
      </c>
      <c r="D274" t="s">
        <v>673</v>
      </c>
      <c r="E274" t="s">
        <v>34</v>
      </c>
      <c r="F274">
        <v>2017</v>
      </c>
      <c r="G274" t="s">
        <v>35</v>
      </c>
      <c r="H274" t="s">
        <v>36</v>
      </c>
      <c r="I274" t="s">
        <v>661</v>
      </c>
      <c r="J274" t="s">
        <v>112</v>
      </c>
      <c r="K274" t="s">
        <v>39</v>
      </c>
      <c r="L274" t="s">
        <v>39</v>
      </c>
      <c r="M274" s="1">
        <v>42887</v>
      </c>
      <c r="N274">
        <v>48.596449999999997</v>
      </c>
      <c r="O274">
        <v>-123.161283333333</v>
      </c>
      <c r="P274" t="s">
        <v>40</v>
      </c>
      <c r="Q274" t="s">
        <v>41</v>
      </c>
      <c r="R274">
        <v>-1.4630399999999999</v>
      </c>
      <c r="S274" t="s">
        <v>55</v>
      </c>
      <c r="T274">
        <v>2.5</v>
      </c>
      <c r="U274">
        <v>2.5</v>
      </c>
      <c r="V274">
        <v>6.25</v>
      </c>
      <c r="W274">
        <v>5</v>
      </c>
      <c r="X274">
        <v>0.5</v>
      </c>
      <c r="Y274">
        <v>20</v>
      </c>
      <c r="Z274">
        <v>500</v>
      </c>
      <c r="AA274">
        <v>80</v>
      </c>
      <c r="AB274">
        <v>100</v>
      </c>
      <c r="AC274" t="s">
        <v>674</v>
      </c>
      <c r="AD274" t="s">
        <v>44</v>
      </c>
      <c r="AE274" t="s">
        <v>129</v>
      </c>
      <c r="AF274">
        <v>184</v>
      </c>
      <c r="AG274">
        <f t="shared" si="16"/>
        <v>1</v>
      </c>
      <c r="AH274" s="5" t="str">
        <f t="shared" si="17"/>
        <v/>
      </c>
      <c r="AI274">
        <f t="shared" si="18"/>
        <v>1</v>
      </c>
      <c r="AJ274" t="str">
        <f t="shared" si="19"/>
        <v/>
      </c>
    </row>
    <row r="275" spans="1:37" x14ac:dyDescent="0.25">
      <c r="A275">
        <v>274</v>
      </c>
      <c r="B275" t="s">
        <v>661</v>
      </c>
      <c r="C275" t="s">
        <v>675</v>
      </c>
      <c r="D275" t="s">
        <v>676</v>
      </c>
      <c r="E275" t="s">
        <v>34</v>
      </c>
      <c r="F275">
        <v>2017</v>
      </c>
      <c r="G275" t="s">
        <v>35</v>
      </c>
      <c r="H275" t="s">
        <v>36</v>
      </c>
      <c r="I275" t="s">
        <v>661</v>
      </c>
      <c r="J275" t="s">
        <v>112</v>
      </c>
      <c r="K275" t="s">
        <v>39</v>
      </c>
      <c r="L275" t="s">
        <v>39</v>
      </c>
      <c r="M275" s="1">
        <v>42888</v>
      </c>
      <c r="N275">
        <v>48.597716666666699</v>
      </c>
      <c r="O275">
        <v>-123.159983333333</v>
      </c>
      <c r="P275" t="s">
        <v>40</v>
      </c>
      <c r="Q275" t="s">
        <v>41</v>
      </c>
      <c r="R275">
        <v>-1.49352</v>
      </c>
      <c r="S275" t="s">
        <v>55</v>
      </c>
      <c r="T275">
        <v>2.5</v>
      </c>
      <c r="U275">
        <v>2.5</v>
      </c>
      <c r="V275">
        <v>6.25</v>
      </c>
      <c r="W275">
        <v>4.75</v>
      </c>
      <c r="X275">
        <v>0.47499999999999998</v>
      </c>
      <c r="Y275">
        <v>19</v>
      </c>
      <c r="Z275">
        <v>475</v>
      </c>
      <c r="AA275">
        <v>76</v>
      </c>
      <c r="AB275">
        <v>100</v>
      </c>
      <c r="AC275" t="s">
        <v>677</v>
      </c>
      <c r="AD275" t="s">
        <v>44</v>
      </c>
      <c r="AE275" t="s">
        <v>129</v>
      </c>
      <c r="AF275">
        <v>185</v>
      </c>
      <c r="AG275">
        <f t="shared" si="16"/>
        <v>1</v>
      </c>
      <c r="AH275" s="5" t="str">
        <f t="shared" si="17"/>
        <v/>
      </c>
      <c r="AI275">
        <f t="shared" si="18"/>
        <v>1</v>
      </c>
      <c r="AJ275" t="str">
        <f t="shared" si="19"/>
        <v/>
      </c>
    </row>
    <row r="276" spans="1:37" x14ac:dyDescent="0.25">
      <c r="A276">
        <v>275</v>
      </c>
      <c r="B276" t="s">
        <v>661</v>
      </c>
      <c r="C276" t="s">
        <v>678</v>
      </c>
      <c r="D276" t="s">
        <v>679</v>
      </c>
      <c r="E276" t="s">
        <v>34</v>
      </c>
      <c r="F276">
        <v>2017</v>
      </c>
      <c r="G276" t="s">
        <v>35</v>
      </c>
      <c r="H276" t="s">
        <v>36</v>
      </c>
      <c r="I276" t="s">
        <v>661</v>
      </c>
      <c r="J276" t="s">
        <v>112</v>
      </c>
      <c r="K276" t="s">
        <v>39</v>
      </c>
      <c r="L276" t="s">
        <v>39</v>
      </c>
      <c r="M276" s="1">
        <v>42888</v>
      </c>
      <c r="N276">
        <v>48.598483333333299</v>
      </c>
      <c r="O276">
        <v>-123.156833333333</v>
      </c>
      <c r="P276" t="s">
        <v>40</v>
      </c>
      <c r="Q276" t="s">
        <v>41</v>
      </c>
      <c r="R276">
        <v>-1.524</v>
      </c>
      <c r="S276" t="s">
        <v>55</v>
      </c>
      <c r="T276">
        <v>3</v>
      </c>
      <c r="U276">
        <v>2.5</v>
      </c>
      <c r="V276">
        <v>7.5</v>
      </c>
      <c r="W276">
        <v>6.18</v>
      </c>
      <c r="X276">
        <v>0.61799999999999999</v>
      </c>
      <c r="Y276">
        <v>24.72</v>
      </c>
      <c r="Z276">
        <v>618</v>
      </c>
      <c r="AA276">
        <v>82.4</v>
      </c>
      <c r="AB276">
        <v>100</v>
      </c>
      <c r="AC276" t="s">
        <v>117</v>
      </c>
      <c r="AD276" t="s">
        <v>44</v>
      </c>
      <c r="AE276" t="s">
        <v>129</v>
      </c>
      <c r="AF276">
        <v>186</v>
      </c>
      <c r="AG276">
        <f t="shared" si="16"/>
        <v>1</v>
      </c>
      <c r="AH276" s="5" t="str">
        <f t="shared" si="17"/>
        <v/>
      </c>
      <c r="AI276">
        <f t="shared" si="18"/>
        <v>1</v>
      </c>
      <c r="AJ276" t="str">
        <f t="shared" si="19"/>
        <v/>
      </c>
    </row>
    <row r="277" spans="1:37" x14ac:dyDescent="0.25">
      <c r="A277">
        <v>276</v>
      </c>
      <c r="B277" t="s">
        <v>661</v>
      </c>
      <c r="C277" t="s">
        <v>680</v>
      </c>
      <c r="D277" t="s">
        <v>681</v>
      </c>
      <c r="E277" t="s">
        <v>34</v>
      </c>
      <c r="F277">
        <v>2020</v>
      </c>
      <c r="G277" t="s">
        <v>111</v>
      </c>
      <c r="H277" t="s">
        <v>63</v>
      </c>
      <c r="I277" t="s">
        <v>661</v>
      </c>
      <c r="J277" t="s">
        <v>112</v>
      </c>
      <c r="K277" t="s">
        <v>39</v>
      </c>
      <c r="L277" t="s">
        <v>39</v>
      </c>
      <c r="M277" s="1">
        <v>44044</v>
      </c>
      <c r="N277">
        <v>48.593940000000003</v>
      </c>
      <c r="O277">
        <v>-123.15505</v>
      </c>
      <c r="P277" t="s">
        <v>40</v>
      </c>
      <c r="Q277" t="s">
        <v>41</v>
      </c>
      <c r="R277">
        <v>-1.7</v>
      </c>
      <c r="S277" t="s">
        <v>55</v>
      </c>
      <c r="T277">
        <v>14</v>
      </c>
      <c r="U277">
        <v>1</v>
      </c>
      <c r="V277">
        <v>14</v>
      </c>
      <c r="W277">
        <v>6</v>
      </c>
      <c r="X277">
        <v>0.6</v>
      </c>
      <c r="Y277">
        <v>24</v>
      </c>
      <c r="Z277">
        <v>640</v>
      </c>
      <c r="AA277">
        <v>45.714285714285701</v>
      </c>
      <c r="AB277">
        <v>106.666666666667</v>
      </c>
      <c r="AC277" t="s">
        <v>113</v>
      </c>
      <c r="AD277" t="s">
        <v>682</v>
      </c>
      <c r="AE277" t="s">
        <v>115</v>
      </c>
      <c r="AF277">
        <v>187</v>
      </c>
      <c r="AG277">
        <f t="shared" si="16"/>
        <v>1</v>
      </c>
      <c r="AH277" s="5" t="str">
        <f t="shared" si="17"/>
        <v/>
      </c>
      <c r="AI277">
        <f t="shared" si="18"/>
        <v>5</v>
      </c>
      <c r="AJ277" s="7" t="str">
        <f t="shared" si="19"/>
        <v>WES_test_1</v>
      </c>
      <c r="AK277" t="s">
        <v>409</v>
      </c>
    </row>
    <row r="278" spans="1:37" x14ac:dyDescent="0.25">
      <c r="A278">
        <v>277</v>
      </c>
      <c r="B278" t="s">
        <v>661</v>
      </c>
      <c r="C278" t="s">
        <v>683</v>
      </c>
      <c r="D278" t="s">
        <v>681</v>
      </c>
      <c r="E278" t="s">
        <v>34</v>
      </c>
      <c r="F278">
        <v>2020</v>
      </c>
      <c r="G278" t="s">
        <v>111</v>
      </c>
      <c r="H278" t="s">
        <v>63</v>
      </c>
      <c r="I278" t="s">
        <v>661</v>
      </c>
      <c r="J278" t="s">
        <v>112</v>
      </c>
      <c r="K278" t="s">
        <v>39</v>
      </c>
      <c r="L278" t="s">
        <v>39</v>
      </c>
      <c r="M278" s="1">
        <v>44044</v>
      </c>
      <c r="N278">
        <v>48.593940000000003</v>
      </c>
      <c r="O278">
        <v>-123.15505</v>
      </c>
      <c r="P278" t="s">
        <v>40</v>
      </c>
      <c r="Q278" t="s">
        <v>41</v>
      </c>
      <c r="R278">
        <v>-1.7</v>
      </c>
      <c r="S278" t="s">
        <v>55</v>
      </c>
      <c r="T278">
        <v>14</v>
      </c>
      <c r="U278">
        <v>1</v>
      </c>
      <c r="V278">
        <v>14</v>
      </c>
      <c r="W278">
        <v>0.75</v>
      </c>
      <c r="X278">
        <v>7.4999999999999997E-2</v>
      </c>
      <c r="Y278">
        <v>3</v>
      </c>
      <c r="Z278">
        <v>60</v>
      </c>
      <c r="AA278">
        <v>4.28571428571429</v>
      </c>
      <c r="AB278">
        <v>80</v>
      </c>
      <c r="AC278" t="s">
        <v>116</v>
      </c>
      <c r="AD278" t="s">
        <v>682</v>
      </c>
      <c r="AE278" t="s">
        <v>115</v>
      </c>
      <c r="AF278">
        <v>188</v>
      </c>
      <c r="AG278">
        <f t="shared" si="16"/>
        <v>1</v>
      </c>
      <c r="AH278" s="5" t="str">
        <f t="shared" si="17"/>
        <v/>
      </c>
      <c r="AI278">
        <f t="shared" si="18"/>
        <v>5</v>
      </c>
      <c r="AJ278" s="7" t="str">
        <f t="shared" si="19"/>
        <v>WES_test_1</v>
      </c>
      <c r="AK278" t="s">
        <v>409</v>
      </c>
    </row>
    <row r="279" spans="1:37" x14ac:dyDescent="0.25">
      <c r="A279">
        <v>278</v>
      </c>
      <c r="B279" t="s">
        <v>661</v>
      </c>
      <c r="C279" t="s">
        <v>684</v>
      </c>
      <c r="D279" t="s">
        <v>681</v>
      </c>
      <c r="E279" t="s">
        <v>34</v>
      </c>
      <c r="F279">
        <v>2020</v>
      </c>
      <c r="G279" t="s">
        <v>111</v>
      </c>
      <c r="H279" t="s">
        <v>63</v>
      </c>
      <c r="I279" t="s">
        <v>661</v>
      </c>
      <c r="J279" t="s">
        <v>112</v>
      </c>
      <c r="K279" t="s">
        <v>39</v>
      </c>
      <c r="L279" t="s">
        <v>39</v>
      </c>
      <c r="M279" s="1">
        <v>44044</v>
      </c>
      <c r="N279">
        <v>48.593940000000003</v>
      </c>
      <c r="O279">
        <v>-123.15505</v>
      </c>
      <c r="P279" t="s">
        <v>40</v>
      </c>
      <c r="Q279" t="s">
        <v>41</v>
      </c>
      <c r="R279">
        <v>-1.7</v>
      </c>
      <c r="S279" t="s">
        <v>55</v>
      </c>
      <c r="T279">
        <v>14</v>
      </c>
      <c r="U279">
        <v>1</v>
      </c>
      <c r="V279">
        <v>14</v>
      </c>
      <c r="W279">
        <v>2.25</v>
      </c>
      <c r="X279">
        <v>0.22500000000000001</v>
      </c>
      <c r="Y279">
        <v>9</v>
      </c>
      <c r="Z279">
        <v>135</v>
      </c>
      <c r="AA279">
        <v>9.6428571428571406</v>
      </c>
      <c r="AB279">
        <v>60</v>
      </c>
      <c r="AC279" t="s">
        <v>117</v>
      </c>
      <c r="AD279" t="s">
        <v>685</v>
      </c>
      <c r="AE279" t="s">
        <v>115</v>
      </c>
      <c r="AF279">
        <v>189</v>
      </c>
      <c r="AG279">
        <f t="shared" si="16"/>
        <v>1</v>
      </c>
      <c r="AH279" s="5" t="str">
        <f t="shared" si="17"/>
        <v/>
      </c>
      <c r="AI279">
        <f t="shared" si="18"/>
        <v>5</v>
      </c>
      <c r="AJ279" s="7" t="str">
        <f t="shared" si="19"/>
        <v>WES_test_1</v>
      </c>
      <c r="AK279" t="s">
        <v>409</v>
      </c>
    </row>
    <row r="280" spans="1:37" x14ac:dyDescent="0.25">
      <c r="A280">
        <v>279</v>
      </c>
      <c r="B280" t="s">
        <v>661</v>
      </c>
      <c r="C280" t="s">
        <v>686</v>
      </c>
      <c r="D280" t="s">
        <v>681</v>
      </c>
      <c r="E280" t="s">
        <v>34</v>
      </c>
      <c r="F280">
        <v>2020</v>
      </c>
      <c r="G280" t="s">
        <v>111</v>
      </c>
      <c r="H280" t="s">
        <v>63</v>
      </c>
      <c r="I280" t="s">
        <v>661</v>
      </c>
      <c r="J280" t="s">
        <v>112</v>
      </c>
      <c r="K280" t="s">
        <v>39</v>
      </c>
      <c r="L280" t="s">
        <v>39</v>
      </c>
      <c r="M280" s="1">
        <v>44044</v>
      </c>
      <c r="N280">
        <v>48.593940000000003</v>
      </c>
      <c r="O280">
        <v>-123.15505</v>
      </c>
      <c r="P280" t="s">
        <v>40</v>
      </c>
      <c r="Q280" t="s">
        <v>41</v>
      </c>
      <c r="R280">
        <v>-1.7</v>
      </c>
      <c r="S280" t="s">
        <v>55</v>
      </c>
      <c r="T280">
        <v>14</v>
      </c>
      <c r="U280">
        <v>1</v>
      </c>
      <c r="V280">
        <v>14</v>
      </c>
      <c r="W280">
        <v>3.75</v>
      </c>
      <c r="X280">
        <v>0.375</v>
      </c>
      <c r="Y280">
        <v>15</v>
      </c>
      <c r="Z280">
        <v>210</v>
      </c>
      <c r="AA280">
        <v>15</v>
      </c>
      <c r="AB280">
        <v>56</v>
      </c>
      <c r="AC280" t="s">
        <v>119</v>
      </c>
      <c r="AD280" t="s">
        <v>682</v>
      </c>
      <c r="AE280" t="s">
        <v>115</v>
      </c>
      <c r="AF280">
        <v>190</v>
      </c>
      <c r="AG280">
        <f t="shared" si="16"/>
        <v>1</v>
      </c>
      <c r="AH280" s="5" t="str">
        <f t="shared" si="17"/>
        <v/>
      </c>
      <c r="AI280">
        <f t="shared" si="18"/>
        <v>5</v>
      </c>
      <c r="AJ280" s="7" t="str">
        <f t="shared" si="19"/>
        <v>WES_test_1</v>
      </c>
      <c r="AK280" t="s">
        <v>409</v>
      </c>
    </row>
    <row r="281" spans="1:37" x14ac:dyDescent="0.25">
      <c r="A281">
        <v>280</v>
      </c>
      <c r="B281" t="s">
        <v>661</v>
      </c>
      <c r="C281" t="s">
        <v>687</v>
      </c>
      <c r="D281" t="s">
        <v>681</v>
      </c>
      <c r="E281" t="s">
        <v>34</v>
      </c>
      <c r="F281">
        <v>2020</v>
      </c>
      <c r="G281" t="s">
        <v>111</v>
      </c>
      <c r="H281" t="s">
        <v>63</v>
      </c>
      <c r="I281" t="s">
        <v>661</v>
      </c>
      <c r="J281" t="s">
        <v>112</v>
      </c>
      <c r="K281" t="s">
        <v>39</v>
      </c>
      <c r="L281" t="s">
        <v>39</v>
      </c>
      <c r="M281" s="1">
        <v>44044</v>
      </c>
      <c r="N281">
        <v>48.593940000000003</v>
      </c>
      <c r="O281">
        <v>-123.15505</v>
      </c>
      <c r="P281" t="s">
        <v>40</v>
      </c>
      <c r="Q281" t="s">
        <v>41</v>
      </c>
      <c r="R281">
        <v>-1.7</v>
      </c>
      <c r="S281" t="s">
        <v>55</v>
      </c>
      <c r="T281">
        <v>14</v>
      </c>
      <c r="U281">
        <v>1</v>
      </c>
      <c r="V281">
        <v>14</v>
      </c>
      <c r="W281">
        <v>2.25</v>
      </c>
      <c r="X281">
        <v>0.22500000000000001</v>
      </c>
      <c r="Y281">
        <v>9</v>
      </c>
      <c r="Z281">
        <v>275</v>
      </c>
      <c r="AA281">
        <v>19.6428571428571</v>
      </c>
      <c r="AB281">
        <v>122.222222222222</v>
      </c>
      <c r="AC281" t="s">
        <v>120</v>
      </c>
      <c r="AD281" t="s">
        <v>682</v>
      </c>
      <c r="AE281" t="s">
        <v>115</v>
      </c>
      <c r="AF281">
        <v>191</v>
      </c>
      <c r="AG281">
        <f t="shared" si="16"/>
        <v>1</v>
      </c>
      <c r="AH281" s="5" t="str">
        <f t="shared" si="17"/>
        <v/>
      </c>
      <c r="AI281">
        <f t="shared" si="18"/>
        <v>5</v>
      </c>
      <c r="AJ281" s="7" t="str">
        <f t="shared" si="19"/>
        <v>WES_test_1</v>
      </c>
      <c r="AK281" t="s">
        <v>409</v>
      </c>
    </row>
    <row r="282" spans="1:37" x14ac:dyDescent="0.25">
      <c r="A282">
        <v>281</v>
      </c>
      <c r="B282" t="s">
        <v>688</v>
      </c>
      <c r="C282" t="s">
        <v>689</v>
      </c>
      <c r="D282" t="s">
        <v>690</v>
      </c>
      <c r="E282" t="s">
        <v>34</v>
      </c>
      <c r="F282">
        <v>2013</v>
      </c>
      <c r="G282" t="s">
        <v>691</v>
      </c>
      <c r="H282" t="s">
        <v>36</v>
      </c>
      <c r="I282" t="s">
        <v>692</v>
      </c>
      <c r="J282" t="s">
        <v>200</v>
      </c>
      <c r="K282" t="s">
        <v>39</v>
      </c>
      <c r="L282" t="s">
        <v>39</v>
      </c>
      <c r="M282" s="1">
        <v>41431</v>
      </c>
      <c r="N282">
        <v>47.14555</v>
      </c>
      <c r="O282">
        <v>-122.893233333333</v>
      </c>
      <c r="P282" t="s">
        <v>40</v>
      </c>
      <c r="Q282" t="s">
        <v>41</v>
      </c>
      <c r="R282">
        <v>-1.2192000000000001</v>
      </c>
      <c r="S282" t="s">
        <v>42</v>
      </c>
      <c r="T282">
        <v>5</v>
      </c>
      <c r="U282">
        <v>9</v>
      </c>
      <c r="V282">
        <v>45</v>
      </c>
      <c r="W282">
        <v>45</v>
      </c>
      <c r="X282">
        <v>1.0900000000000001</v>
      </c>
      <c r="Y282">
        <v>218</v>
      </c>
      <c r="Z282">
        <v>872</v>
      </c>
      <c r="AA282">
        <v>19.377777777777801</v>
      </c>
      <c r="AB282">
        <v>19.377777777777801</v>
      </c>
      <c r="AC282" t="s">
        <v>43</v>
      </c>
      <c r="AD282" t="s">
        <v>44</v>
      </c>
      <c r="AE282" t="s">
        <v>45</v>
      </c>
      <c r="AF282">
        <v>192</v>
      </c>
      <c r="AG282">
        <f t="shared" si="16"/>
        <v>1</v>
      </c>
      <c r="AH282" s="5" t="str">
        <f t="shared" si="17"/>
        <v/>
      </c>
      <c r="AI282">
        <f t="shared" si="18"/>
        <v>1</v>
      </c>
      <c r="AJ282" t="str">
        <f t="shared" si="19"/>
        <v/>
      </c>
    </row>
    <row r="283" spans="1:37" x14ac:dyDescent="0.25">
      <c r="A283">
        <v>282</v>
      </c>
      <c r="B283" t="s">
        <v>688</v>
      </c>
      <c r="C283" t="s">
        <v>693</v>
      </c>
      <c r="D283" t="s">
        <v>694</v>
      </c>
      <c r="E283" t="s">
        <v>34</v>
      </c>
      <c r="F283">
        <v>2015</v>
      </c>
      <c r="G283" t="s">
        <v>691</v>
      </c>
      <c r="H283" t="s">
        <v>76</v>
      </c>
      <c r="I283" t="s">
        <v>692</v>
      </c>
      <c r="J283" t="s">
        <v>200</v>
      </c>
      <c r="K283" t="s">
        <v>77</v>
      </c>
      <c r="L283" t="s">
        <v>77</v>
      </c>
      <c r="M283" s="1">
        <v>42128</v>
      </c>
      <c r="N283">
        <v>47.145733333333297</v>
      </c>
      <c r="O283">
        <v>-122.893183333333</v>
      </c>
      <c r="P283" t="s">
        <v>40</v>
      </c>
      <c r="Q283" t="s">
        <v>41</v>
      </c>
      <c r="R283">
        <v>-2.286</v>
      </c>
      <c r="S283" t="s">
        <v>42</v>
      </c>
      <c r="T283">
        <v>55</v>
      </c>
      <c r="U283">
        <v>30</v>
      </c>
      <c r="V283">
        <v>1650</v>
      </c>
      <c r="W283">
        <v>220</v>
      </c>
      <c r="X283">
        <v>11.225</v>
      </c>
      <c r="Y283">
        <v>2245</v>
      </c>
      <c r="Z283">
        <v>8980</v>
      </c>
      <c r="AA283">
        <v>5.4424242424242397</v>
      </c>
      <c r="AB283">
        <v>40.818181818181799</v>
      </c>
      <c r="AC283" t="s">
        <v>43</v>
      </c>
      <c r="AD283" t="s">
        <v>695</v>
      </c>
      <c r="AE283" t="s">
        <v>51</v>
      </c>
      <c r="AF283">
        <v>193</v>
      </c>
      <c r="AG283">
        <f t="shared" si="16"/>
        <v>4</v>
      </c>
      <c r="AH283" s="5">
        <f t="shared" si="17"/>
        <v>193</v>
      </c>
      <c r="AI283">
        <f t="shared" si="18"/>
        <v>4</v>
      </c>
      <c r="AJ283" t="str">
        <f t="shared" si="19"/>
        <v>ZAN_P1</v>
      </c>
    </row>
    <row r="284" spans="1:37" x14ac:dyDescent="0.25">
      <c r="A284">
        <v>283</v>
      </c>
      <c r="B284" t="s">
        <v>688</v>
      </c>
      <c r="C284" t="s">
        <v>696</v>
      </c>
      <c r="D284" t="s">
        <v>694</v>
      </c>
      <c r="E284" t="s">
        <v>34</v>
      </c>
      <c r="F284">
        <v>2015</v>
      </c>
      <c r="G284" t="s">
        <v>691</v>
      </c>
      <c r="H284" t="s">
        <v>76</v>
      </c>
      <c r="I284" t="s">
        <v>692</v>
      </c>
      <c r="J284" t="s">
        <v>200</v>
      </c>
      <c r="K284" t="s">
        <v>77</v>
      </c>
      <c r="L284" t="s">
        <v>69</v>
      </c>
      <c r="M284" s="1">
        <v>42128</v>
      </c>
      <c r="N284">
        <v>47.145633333333301</v>
      </c>
      <c r="O284">
        <v>-122.892466666667</v>
      </c>
      <c r="P284" t="s">
        <v>40</v>
      </c>
      <c r="Q284" t="s">
        <v>41</v>
      </c>
      <c r="R284" t="s">
        <v>44</v>
      </c>
      <c r="S284" t="s">
        <v>42</v>
      </c>
      <c r="T284" t="s">
        <v>44</v>
      </c>
      <c r="U284" t="s">
        <v>44</v>
      </c>
      <c r="V284" t="s">
        <v>44</v>
      </c>
      <c r="W284" t="s">
        <v>44</v>
      </c>
      <c r="X284" t="s">
        <v>44</v>
      </c>
      <c r="Y284" t="s">
        <v>44</v>
      </c>
      <c r="Z284" t="s">
        <v>44</v>
      </c>
      <c r="AA284" t="s">
        <v>44</v>
      </c>
      <c r="AB284" t="s">
        <v>44</v>
      </c>
      <c r="AC284" t="s">
        <v>44</v>
      </c>
      <c r="AD284" t="s">
        <v>44</v>
      </c>
      <c r="AE284" t="s">
        <v>51</v>
      </c>
      <c r="AF284">
        <v>193</v>
      </c>
      <c r="AG284">
        <f t="shared" si="16"/>
        <v>4</v>
      </c>
      <c r="AH284" s="5">
        <f t="shared" si="17"/>
        <v>193</v>
      </c>
      <c r="AI284">
        <f t="shared" si="18"/>
        <v>4</v>
      </c>
      <c r="AJ284" t="str">
        <f t="shared" si="19"/>
        <v>ZAN_P1</v>
      </c>
    </row>
    <row r="285" spans="1:37" x14ac:dyDescent="0.25">
      <c r="A285">
        <v>284</v>
      </c>
      <c r="B285" t="s">
        <v>688</v>
      </c>
      <c r="C285" t="s">
        <v>697</v>
      </c>
      <c r="D285" t="s">
        <v>694</v>
      </c>
      <c r="E285" t="s">
        <v>34</v>
      </c>
      <c r="F285">
        <v>2015</v>
      </c>
      <c r="G285" t="s">
        <v>691</v>
      </c>
      <c r="H285" t="s">
        <v>76</v>
      </c>
      <c r="I285" t="s">
        <v>692</v>
      </c>
      <c r="J285" t="s">
        <v>200</v>
      </c>
      <c r="K285" t="s">
        <v>77</v>
      </c>
      <c r="L285" t="s">
        <v>69</v>
      </c>
      <c r="M285" s="1">
        <v>42128</v>
      </c>
      <c r="N285">
        <v>47.145400000000002</v>
      </c>
      <c r="O285">
        <v>-122.89255</v>
      </c>
      <c r="P285" t="s">
        <v>40</v>
      </c>
      <c r="Q285" t="s">
        <v>41</v>
      </c>
      <c r="R285" t="s">
        <v>44</v>
      </c>
      <c r="S285" t="s">
        <v>42</v>
      </c>
      <c r="T285" t="s">
        <v>44</v>
      </c>
      <c r="U285" t="s">
        <v>44</v>
      </c>
      <c r="V285" t="s">
        <v>44</v>
      </c>
      <c r="W285" t="s">
        <v>44</v>
      </c>
      <c r="X285" t="s">
        <v>44</v>
      </c>
      <c r="Y285" t="s">
        <v>44</v>
      </c>
      <c r="Z285" t="s">
        <v>44</v>
      </c>
      <c r="AA285" t="s">
        <v>44</v>
      </c>
      <c r="AB285" t="s">
        <v>44</v>
      </c>
      <c r="AC285" t="s">
        <v>44</v>
      </c>
      <c r="AD285" t="s">
        <v>44</v>
      </c>
      <c r="AE285" t="s">
        <v>51</v>
      </c>
      <c r="AF285">
        <v>193</v>
      </c>
      <c r="AG285">
        <f t="shared" si="16"/>
        <v>4</v>
      </c>
      <c r="AH285" s="5">
        <f t="shared" si="17"/>
        <v>193</v>
      </c>
      <c r="AI285">
        <f t="shared" si="18"/>
        <v>4</v>
      </c>
      <c r="AJ285" t="str">
        <f t="shared" si="19"/>
        <v>ZAN_P1</v>
      </c>
    </row>
    <row r="286" spans="1:37" x14ac:dyDescent="0.25">
      <c r="A286">
        <v>285</v>
      </c>
      <c r="B286" t="s">
        <v>688</v>
      </c>
      <c r="C286" t="s">
        <v>698</v>
      </c>
      <c r="D286" t="s">
        <v>694</v>
      </c>
      <c r="E286" t="s">
        <v>34</v>
      </c>
      <c r="F286">
        <v>2015</v>
      </c>
      <c r="G286" t="s">
        <v>691</v>
      </c>
      <c r="H286" t="s">
        <v>76</v>
      </c>
      <c r="I286" t="s">
        <v>692</v>
      </c>
      <c r="J286" t="s">
        <v>200</v>
      </c>
      <c r="K286" t="s">
        <v>77</v>
      </c>
      <c r="L286" t="s">
        <v>69</v>
      </c>
      <c r="M286" s="1">
        <v>42128</v>
      </c>
      <c r="N286">
        <v>47.14555</v>
      </c>
      <c r="O286">
        <v>-122.893233333333</v>
      </c>
      <c r="P286" t="s">
        <v>40</v>
      </c>
      <c r="Q286" t="s">
        <v>41</v>
      </c>
      <c r="R286">
        <v>-1.1277600000000001</v>
      </c>
      <c r="S286" t="s">
        <v>42</v>
      </c>
      <c r="T286" t="s">
        <v>44</v>
      </c>
      <c r="U286" t="s">
        <v>44</v>
      </c>
      <c r="V286" t="s">
        <v>44</v>
      </c>
      <c r="W286" t="s">
        <v>44</v>
      </c>
      <c r="X286" t="s">
        <v>44</v>
      </c>
      <c r="Y286" t="s">
        <v>44</v>
      </c>
      <c r="Z286" t="s">
        <v>44</v>
      </c>
      <c r="AA286" t="s">
        <v>44</v>
      </c>
      <c r="AB286" t="s">
        <v>44</v>
      </c>
      <c r="AC286" t="s">
        <v>44</v>
      </c>
      <c r="AD286" t="s">
        <v>44</v>
      </c>
      <c r="AE286" t="s">
        <v>51</v>
      </c>
      <c r="AF286">
        <v>193</v>
      </c>
      <c r="AG286">
        <f t="shared" si="16"/>
        <v>4</v>
      </c>
      <c r="AH286" s="5">
        <f t="shared" si="17"/>
        <v>193</v>
      </c>
      <c r="AI286">
        <f t="shared" si="18"/>
        <v>4</v>
      </c>
      <c r="AJ286" t="str">
        <f t="shared" si="19"/>
        <v>ZAN_P1</v>
      </c>
    </row>
    <row r="287" spans="1:37" x14ac:dyDescent="0.25">
      <c r="A287">
        <v>286</v>
      </c>
      <c r="B287" t="s">
        <v>688</v>
      </c>
      <c r="C287" t="s">
        <v>699</v>
      </c>
      <c r="D287" t="s">
        <v>700</v>
      </c>
      <c r="E287" t="s">
        <v>34</v>
      </c>
      <c r="F287">
        <v>2015</v>
      </c>
      <c r="G287" t="s">
        <v>691</v>
      </c>
      <c r="H287" t="s">
        <v>36</v>
      </c>
      <c r="I287" t="s">
        <v>692</v>
      </c>
      <c r="J287" t="s">
        <v>200</v>
      </c>
      <c r="K287" t="s">
        <v>39</v>
      </c>
      <c r="L287" t="s">
        <v>39</v>
      </c>
      <c r="M287" s="1">
        <v>42130</v>
      </c>
      <c r="N287">
        <v>47.145699999999998</v>
      </c>
      <c r="O287">
        <v>-122.89225</v>
      </c>
      <c r="P287" t="s">
        <v>40</v>
      </c>
      <c r="Q287" t="s">
        <v>41</v>
      </c>
      <c r="R287">
        <v>-2.3469600000000002</v>
      </c>
      <c r="S287" t="s">
        <v>42</v>
      </c>
      <c r="T287">
        <v>5</v>
      </c>
      <c r="U287">
        <v>5</v>
      </c>
      <c r="V287">
        <v>25</v>
      </c>
      <c r="W287">
        <v>25</v>
      </c>
      <c r="X287">
        <v>0.625</v>
      </c>
      <c r="Y287">
        <v>125</v>
      </c>
      <c r="Z287">
        <v>500</v>
      </c>
      <c r="AA287">
        <v>20</v>
      </c>
      <c r="AB287">
        <v>20</v>
      </c>
      <c r="AC287" t="s">
        <v>43</v>
      </c>
      <c r="AD287" t="s">
        <v>44</v>
      </c>
      <c r="AE287" t="s">
        <v>51</v>
      </c>
      <c r="AF287">
        <v>194</v>
      </c>
      <c r="AG287">
        <f t="shared" si="16"/>
        <v>1</v>
      </c>
      <c r="AH287" s="5" t="str">
        <f t="shared" si="17"/>
        <v/>
      </c>
      <c r="AI287">
        <f t="shared" si="18"/>
        <v>1</v>
      </c>
      <c r="AJ287" t="str">
        <f t="shared" si="19"/>
        <v/>
      </c>
    </row>
    <row r="288" spans="1:37" x14ac:dyDescent="0.25">
      <c r="A288">
        <v>287</v>
      </c>
      <c r="B288" t="s">
        <v>688</v>
      </c>
      <c r="C288" t="s">
        <v>701</v>
      </c>
      <c r="D288" t="s">
        <v>702</v>
      </c>
      <c r="E288" t="s">
        <v>34</v>
      </c>
      <c r="F288">
        <v>2016</v>
      </c>
      <c r="G288" t="s">
        <v>691</v>
      </c>
      <c r="H288" t="s">
        <v>36</v>
      </c>
      <c r="I288" t="s">
        <v>692</v>
      </c>
      <c r="J288" t="s">
        <v>200</v>
      </c>
      <c r="K288" t="s">
        <v>39</v>
      </c>
      <c r="L288" t="s">
        <v>39</v>
      </c>
      <c r="M288" s="1">
        <v>42527</v>
      </c>
      <c r="N288">
        <v>47.145636789500003</v>
      </c>
      <c r="O288">
        <v>-122.8932577651</v>
      </c>
      <c r="P288" t="s">
        <v>40</v>
      </c>
      <c r="Q288" t="s">
        <v>41</v>
      </c>
      <c r="R288" t="s">
        <v>44</v>
      </c>
      <c r="S288" t="s">
        <v>55</v>
      </c>
      <c r="T288">
        <v>0.25</v>
      </c>
      <c r="U288">
        <v>0.25</v>
      </c>
      <c r="V288">
        <v>6.25E-2</v>
      </c>
      <c r="W288">
        <v>0.25</v>
      </c>
      <c r="X288">
        <v>2.5000000000000001E-2</v>
      </c>
      <c r="Y288">
        <v>1</v>
      </c>
      <c r="Z288">
        <v>40</v>
      </c>
      <c r="AA288">
        <v>640</v>
      </c>
      <c r="AB288">
        <v>160</v>
      </c>
      <c r="AC288" t="s">
        <v>99</v>
      </c>
      <c r="AD288" t="s">
        <v>703</v>
      </c>
      <c r="AE288" t="s">
        <v>164</v>
      </c>
      <c r="AF288">
        <v>195</v>
      </c>
      <c r="AG288">
        <f t="shared" si="16"/>
        <v>1</v>
      </c>
      <c r="AH288" s="5" t="str">
        <f t="shared" si="17"/>
        <v/>
      </c>
      <c r="AI288">
        <f t="shared" si="18"/>
        <v>1</v>
      </c>
      <c r="AJ288" t="str">
        <f t="shared" si="19"/>
        <v/>
      </c>
    </row>
    <row r="289" spans="1:36" x14ac:dyDescent="0.25">
      <c r="A289">
        <v>288</v>
      </c>
      <c r="B289" t="s">
        <v>688</v>
      </c>
      <c r="C289" t="s">
        <v>704</v>
      </c>
      <c r="D289" t="s">
        <v>705</v>
      </c>
      <c r="E289" t="s">
        <v>34</v>
      </c>
      <c r="F289">
        <v>2016</v>
      </c>
      <c r="G289" t="s">
        <v>691</v>
      </c>
      <c r="H289" t="s">
        <v>36</v>
      </c>
      <c r="I289" t="s">
        <v>692</v>
      </c>
      <c r="J289" t="s">
        <v>200</v>
      </c>
      <c r="K289" t="s">
        <v>39</v>
      </c>
      <c r="L289" t="s">
        <v>39</v>
      </c>
      <c r="M289" s="1">
        <v>42572</v>
      </c>
      <c r="N289">
        <v>47.145493289999997</v>
      </c>
      <c r="O289">
        <v>-122.8937296</v>
      </c>
      <c r="P289" t="s">
        <v>40</v>
      </c>
      <c r="Q289" t="s">
        <v>41</v>
      </c>
      <c r="R289">
        <v>-0.5</v>
      </c>
      <c r="S289" t="s">
        <v>55</v>
      </c>
      <c r="T289">
        <v>4</v>
      </c>
      <c r="U289">
        <v>0.25</v>
      </c>
      <c r="V289">
        <v>1</v>
      </c>
      <c r="W289">
        <v>1</v>
      </c>
      <c r="X289">
        <v>0.1</v>
      </c>
      <c r="Y289">
        <v>4</v>
      </c>
      <c r="Z289">
        <v>200</v>
      </c>
      <c r="AA289">
        <v>200</v>
      </c>
      <c r="AB289">
        <v>200</v>
      </c>
      <c r="AC289" t="s">
        <v>99</v>
      </c>
      <c r="AD289" t="s">
        <v>706</v>
      </c>
      <c r="AE289" t="s">
        <v>164</v>
      </c>
      <c r="AF289">
        <v>196</v>
      </c>
      <c r="AG289">
        <f t="shared" si="16"/>
        <v>1</v>
      </c>
      <c r="AH289" s="5" t="str">
        <f t="shared" si="17"/>
        <v/>
      </c>
      <c r="AI289">
        <f t="shared" si="18"/>
        <v>1</v>
      </c>
      <c r="AJ289" t="str">
        <f t="shared" si="19"/>
        <v/>
      </c>
    </row>
  </sheetData>
  <pageMargins left="0.75" right="0.75" top="1" bottom="1" header="0.5" footer="0.5"/>
</worksheet>
</file>

<file path=docMetadata/LabelInfo.xml><?xml version="1.0" encoding="utf-8"?>
<clbl:labelList xmlns:clbl="http://schemas.microsoft.com/office/2020/mipLabelMetadata">
  <clbl:label id="{11d0e217-264e-400a-8ba0-57dcc127d72d}" enabled="0" method="" siteId="{11d0e217-264e-400a-8ba0-57dcc127d72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p_gps_pts1_groupno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 Dowty</dc:creator>
  <cp:lastModifiedBy>DOWTY, PETER (DNR)</cp:lastModifiedBy>
  <dcterms:created xsi:type="dcterms:W3CDTF">2026-05-06T04:11:34Z</dcterms:created>
  <dcterms:modified xsi:type="dcterms:W3CDTF">2026-05-06T15:45:56Z</dcterms:modified>
</cp:coreProperties>
</file>